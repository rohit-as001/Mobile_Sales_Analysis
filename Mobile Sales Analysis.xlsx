
<file path=[Content_Types].xml><?xml version="1.0" encoding="utf-8"?>
<Types xmlns="http://schemas.openxmlformats.org/package/2006/content-types">
  <Default Extension="PNG" ContentType="image/pn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240" yWindow="75" windowWidth="20115" windowHeight="7995"/>
  </bookViews>
  <sheets>
    <sheet name="Mobile Sales Analysis" sheetId="3" r:id="rId1"/>
    <sheet name="Mobile Sales Report" sheetId="2" r:id="rId2"/>
    <sheet name="Mobile Sales Dataset" sheetId="1" r:id="rId3"/>
  </sheets>
  <definedNames>
    <definedName name="_xlnm._FilterDatabase" localSheetId="2" hidden="1">'Mobile Sales Dataset'!$A$1:$S$3836</definedName>
    <definedName name="Slicer_Brand">#N/A</definedName>
    <definedName name="Slicer_Mobile_Model">#N/A</definedName>
    <definedName name="Slicer_Month_Name">#N/A</definedName>
    <definedName name="Slicer_Payment_Method">#N/A</definedName>
  </definedNames>
  <calcPr calcId="144525"/>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X15" i="2" l="1"/>
  <c r="Y15" i="2"/>
  <c r="Z15" i="2"/>
  <c r="X16" i="2"/>
  <c r="Y16" i="2"/>
  <c r="Z16" i="2"/>
  <c r="X17" i="2"/>
  <c r="Y17" i="2"/>
  <c r="Z17" i="2"/>
  <c r="X18" i="2"/>
  <c r="Y18" i="2"/>
  <c r="Z18" i="2"/>
  <c r="X19" i="2"/>
  <c r="Y19" i="2"/>
  <c r="Z19" i="2"/>
  <c r="X20" i="2"/>
  <c r="Y20" i="2"/>
  <c r="Z20" i="2"/>
  <c r="X21" i="2"/>
  <c r="Y21" i="2"/>
  <c r="Z21" i="2"/>
  <c r="F2" i="1" l="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F3002" i="1"/>
  <c r="F3003" i="1"/>
  <c r="F3004" i="1"/>
  <c r="F3005" i="1"/>
  <c r="F3006" i="1"/>
  <c r="F3007" i="1"/>
  <c r="F3008" i="1"/>
  <c r="F3009" i="1"/>
  <c r="F3010" i="1"/>
  <c r="F3011" i="1"/>
  <c r="F3012" i="1"/>
  <c r="F3013" i="1"/>
  <c r="F3014" i="1"/>
  <c r="F3015" i="1"/>
  <c r="F3016" i="1"/>
  <c r="F3017" i="1"/>
  <c r="F3018" i="1"/>
  <c r="F3019" i="1"/>
  <c r="F3020" i="1"/>
  <c r="F3021" i="1"/>
  <c r="F3022" i="1"/>
  <c r="F3023" i="1"/>
  <c r="F3024" i="1"/>
  <c r="F3025" i="1"/>
  <c r="F3026" i="1"/>
  <c r="F3027" i="1"/>
  <c r="F3028" i="1"/>
  <c r="F3029" i="1"/>
  <c r="F3030" i="1"/>
  <c r="F3031" i="1"/>
  <c r="F3032" i="1"/>
  <c r="F3033" i="1"/>
  <c r="F3034" i="1"/>
  <c r="F3035" i="1"/>
  <c r="F3036" i="1"/>
  <c r="F3037" i="1"/>
  <c r="F3038" i="1"/>
  <c r="F3039" i="1"/>
  <c r="F3040" i="1"/>
  <c r="F3041" i="1"/>
  <c r="F3042" i="1"/>
  <c r="F3043" i="1"/>
  <c r="F3044" i="1"/>
  <c r="F3045" i="1"/>
  <c r="F3046" i="1"/>
  <c r="F3047" i="1"/>
  <c r="F3048" i="1"/>
  <c r="F3049" i="1"/>
  <c r="F3050" i="1"/>
  <c r="F3051" i="1"/>
  <c r="F3052" i="1"/>
  <c r="F3053" i="1"/>
  <c r="F3054" i="1"/>
  <c r="F3055" i="1"/>
  <c r="F3056" i="1"/>
  <c r="F3057" i="1"/>
  <c r="F3058" i="1"/>
  <c r="F3059" i="1"/>
  <c r="F3060" i="1"/>
  <c r="F3061" i="1"/>
  <c r="F3062" i="1"/>
  <c r="F3063" i="1"/>
  <c r="F3064" i="1"/>
  <c r="F3065" i="1"/>
  <c r="F3066" i="1"/>
  <c r="F3067" i="1"/>
  <c r="F3068" i="1"/>
  <c r="F3069" i="1"/>
  <c r="F3070" i="1"/>
  <c r="F3071" i="1"/>
  <c r="F3072" i="1"/>
  <c r="F3073" i="1"/>
  <c r="F3074" i="1"/>
  <c r="F3075" i="1"/>
  <c r="F3076" i="1"/>
  <c r="F3077" i="1"/>
  <c r="F3078" i="1"/>
  <c r="F3079" i="1"/>
  <c r="F3080" i="1"/>
  <c r="F3081" i="1"/>
  <c r="F3082" i="1"/>
  <c r="F3083" i="1"/>
  <c r="F3084" i="1"/>
  <c r="F3085" i="1"/>
  <c r="F3086" i="1"/>
  <c r="F3087" i="1"/>
  <c r="F3088" i="1"/>
  <c r="F3089" i="1"/>
  <c r="F3090" i="1"/>
  <c r="F3091" i="1"/>
  <c r="F3092" i="1"/>
  <c r="F3093" i="1"/>
  <c r="F3094" i="1"/>
  <c r="F3095" i="1"/>
  <c r="F3096" i="1"/>
  <c r="F3097" i="1"/>
  <c r="F3098" i="1"/>
  <c r="F3099" i="1"/>
  <c r="F3100" i="1"/>
  <c r="F3101" i="1"/>
  <c r="F3102" i="1"/>
  <c r="F3103" i="1"/>
  <c r="F3104" i="1"/>
  <c r="F3105" i="1"/>
  <c r="F3106" i="1"/>
  <c r="F3107" i="1"/>
  <c r="F3108" i="1"/>
  <c r="F3109" i="1"/>
  <c r="F3110" i="1"/>
  <c r="F3111" i="1"/>
  <c r="F3112" i="1"/>
  <c r="F3113" i="1"/>
  <c r="F3114" i="1"/>
  <c r="F3115" i="1"/>
  <c r="F3116" i="1"/>
  <c r="F3117" i="1"/>
  <c r="F3118" i="1"/>
  <c r="F3119" i="1"/>
  <c r="F3120" i="1"/>
  <c r="F3121" i="1"/>
  <c r="F3122" i="1"/>
  <c r="F3123" i="1"/>
  <c r="F3124" i="1"/>
  <c r="F3125" i="1"/>
  <c r="F3126" i="1"/>
  <c r="F3127" i="1"/>
  <c r="F3128" i="1"/>
  <c r="F3129" i="1"/>
  <c r="F3130" i="1"/>
  <c r="F3131" i="1"/>
  <c r="F3132" i="1"/>
  <c r="F3133" i="1"/>
  <c r="F3134" i="1"/>
  <c r="F3135" i="1"/>
  <c r="F3136" i="1"/>
  <c r="F3137" i="1"/>
  <c r="F3138" i="1"/>
  <c r="F3139" i="1"/>
  <c r="F3140" i="1"/>
  <c r="F3141" i="1"/>
  <c r="F3142" i="1"/>
  <c r="F3143" i="1"/>
  <c r="F3144" i="1"/>
  <c r="F3145" i="1"/>
  <c r="F3146" i="1"/>
  <c r="F3147" i="1"/>
  <c r="F3148" i="1"/>
  <c r="F3149" i="1"/>
  <c r="F3150" i="1"/>
  <c r="F3151" i="1"/>
  <c r="F3152" i="1"/>
  <c r="F3153" i="1"/>
  <c r="F3154" i="1"/>
  <c r="F3155" i="1"/>
  <c r="F3156" i="1"/>
  <c r="F3157" i="1"/>
  <c r="F3158" i="1"/>
  <c r="F3159" i="1"/>
  <c r="F3160" i="1"/>
  <c r="F3161" i="1"/>
  <c r="F3162" i="1"/>
  <c r="F3163" i="1"/>
  <c r="F3164" i="1"/>
  <c r="F3165" i="1"/>
  <c r="F3166" i="1"/>
  <c r="F3167" i="1"/>
  <c r="F3168" i="1"/>
  <c r="F3169" i="1"/>
  <c r="F3170" i="1"/>
  <c r="F3171" i="1"/>
  <c r="F3172" i="1"/>
  <c r="F3173" i="1"/>
  <c r="F3174" i="1"/>
  <c r="F3175" i="1"/>
  <c r="F3176" i="1"/>
  <c r="F3177" i="1"/>
  <c r="F3178" i="1"/>
  <c r="F3179" i="1"/>
  <c r="F3180" i="1"/>
  <c r="F3181" i="1"/>
  <c r="F3182" i="1"/>
  <c r="F3183" i="1"/>
  <c r="F3184" i="1"/>
  <c r="F3185" i="1"/>
  <c r="F3186" i="1"/>
  <c r="F3187" i="1"/>
  <c r="F3188" i="1"/>
  <c r="F3189" i="1"/>
  <c r="F3190" i="1"/>
  <c r="F3191" i="1"/>
  <c r="F3192" i="1"/>
  <c r="F3193" i="1"/>
  <c r="F3194" i="1"/>
  <c r="F3195" i="1"/>
  <c r="F3196" i="1"/>
  <c r="F3197" i="1"/>
  <c r="F3198" i="1"/>
  <c r="F3199" i="1"/>
  <c r="F3200" i="1"/>
  <c r="F3201" i="1"/>
  <c r="F3202" i="1"/>
  <c r="F3203" i="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75" i="1"/>
  <c r="F3276" i="1"/>
  <c r="F3277" i="1"/>
  <c r="F3278" i="1"/>
  <c r="F3279" i="1"/>
  <c r="F3280" i="1"/>
  <c r="F3281" i="1"/>
  <c r="F3282" i="1"/>
  <c r="F3283" i="1"/>
  <c r="F3284" i="1"/>
  <c r="F3285" i="1"/>
  <c r="F3286" i="1"/>
  <c r="F3287" i="1"/>
  <c r="F3288" i="1"/>
  <c r="F3289" i="1"/>
  <c r="F3290" i="1"/>
  <c r="F3291" i="1"/>
  <c r="F3292" i="1"/>
  <c r="F3293" i="1"/>
  <c r="F3294" i="1"/>
  <c r="F3295" i="1"/>
  <c r="F3296" i="1"/>
  <c r="F3297" i="1"/>
  <c r="F3298" i="1"/>
  <c r="F3299" i="1"/>
  <c r="F3300" i="1"/>
  <c r="F3301" i="1"/>
  <c r="F3302" i="1"/>
  <c r="F3303" i="1"/>
  <c r="F3304" i="1"/>
  <c r="F3305" i="1"/>
  <c r="F3306" i="1"/>
  <c r="F3307" i="1"/>
  <c r="F3308" i="1"/>
  <c r="F3309" i="1"/>
  <c r="F3310" i="1"/>
  <c r="F3311" i="1"/>
  <c r="F3312" i="1"/>
  <c r="F3313" i="1"/>
  <c r="F3314" i="1"/>
  <c r="F3315" i="1"/>
  <c r="F3316" i="1"/>
  <c r="F3317" i="1"/>
  <c r="F3318" i="1"/>
  <c r="F3319" i="1"/>
  <c r="F3320" i="1"/>
  <c r="F3321" i="1"/>
  <c r="F3322" i="1"/>
  <c r="F3323" i="1"/>
  <c r="F3324" i="1"/>
  <c r="F3325" i="1"/>
  <c r="F3326" i="1"/>
  <c r="F3327" i="1"/>
  <c r="F3328" i="1"/>
  <c r="F3329" i="1"/>
  <c r="F3330" i="1"/>
  <c r="F3331" i="1"/>
  <c r="F3332" i="1"/>
  <c r="F3333" i="1"/>
  <c r="F3334" i="1"/>
  <c r="F3335" i="1"/>
  <c r="F3336" i="1"/>
  <c r="F3337" i="1"/>
  <c r="F3338" i="1"/>
  <c r="F3339" i="1"/>
  <c r="F3340" i="1"/>
  <c r="F3341" i="1"/>
  <c r="F3342" i="1"/>
  <c r="F3343" i="1"/>
  <c r="F3344" i="1"/>
  <c r="F3345" i="1"/>
  <c r="F3346" i="1"/>
  <c r="F3347" i="1"/>
  <c r="F3348" i="1"/>
  <c r="F3349" i="1"/>
  <c r="F3350" i="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3" i="1"/>
  <c r="F3384"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3587" i="1"/>
  <c r="F3588" i="1"/>
  <c r="F3589" i="1"/>
  <c r="F3590" i="1"/>
  <c r="F3591" i="1"/>
  <c r="F3592" i="1"/>
  <c r="F3593" i="1"/>
  <c r="F3594" i="1"/>
  <c r="F3595" i="1"/>
  <c r="F3596" i="1"/>
  <c r="F3597" i="1"/>
  <c r="F3598" i="1"/>
  <c r="F3599" i="1"/>
  <c r="F3600" i="1"/>
  <c r="F3601" i="1"/>
  <c r="F3602" i="1"/>
  <c r="F3603" i="1"/>
  <c r="F3604" i="1"/>
  <c r="F3605" i="1"/>
  <c r="F3606" i="1"/>
  <c r="F3607" i="1"/>
  <c r="F3608" i="1"/>
  <c r="F3609" i="1"/>
  <c r="F3610" i="1"/>
  <c r="F3611" i="1"/>
  <c r="F3612" i="1"/>
  <c r="F3613" i="1"/>
  <c r="F3614" i="1"/>
  <c r="F3615" i="1"/>
  <c r="F3616" i="1"/>
  <c r="F3617" i="1"/>
  <c r="F3618" i="1"/>
  <c r="F3619" i="1"/>
  <c r="F3620" i="1"/>
  <c r="F3621" i="1"/>
  <c r="F3622" i="1"/>
  <c r="F3623" i="1"/>
  <c r="F3624" i="1"/>
  <c r="F3625" i="1"/>
  <c r="F3626" i="1"/>
  <c r="F3627" i="1"/>
  <c r="F3628" i="1"/>
  <c r="F3629" i="1"/>
  <c r="F3630" i="1"/>
  <c r="F3631" i="1"/>
  <c r="F3632" i="1"/>
  <c r="F3633" i="1"/>
  <c r="F3634" i="1"/>
  <c r="F3635" i="1"/>
  <c r="F3636" i="1"/>
  <c r="F3637" i="1"/>
  <c r="F3638" i="1"/>
  <c r="F3639" i="1"/>
  <c r="F3640" i="1"/>
  <c r="F3641" i="1"/>
  <c r="F3642" i="1"/>
  <c r="F3643" i="1"/>
  <c r="F3644" i="1"/>
  <c r="F3645" i="1"/>
  <c r="F3646" i="1"/>
  <c r="F3647" i="1"/>
  <c r="F3648" i="1"/>
  <c r="F3649" i="1"/>
  <c r="F3650" i="1"/>
  <c r="F3651" i="1"/>
  <c r="F3652" i="1"/>
  <c r="F3653" i="1"/>
  <c r="F3654" i="1"/>
  <c r="F3655" i="1"/>
  <c r="F3656" i="1"/>
  <c r="F3657" i="1"/>
  <c r="F3658" i="1"/>
  <c r="F3659" i="1"/>
  <c r="F3660" i="1"/>
  <c r="F3661" i="1"/>
  <c r="F3662" i="1"/>
  <c r="F3663" i="1"/>
  <c r="F3664" i="1"/>
  <c r="F3665" i="1"/>
  <c r="F3666" i="1"/>
  <c r="F3667" i="1"/>
  <c r="F3668" i="1"/>
  <c r="F3669" i="1"/>
  <c r="F3670" i="1"/>
  <c r="F3671" i="1"/>
  <c r="F3672" i="1"/>
  <c r="F3673" i="1"/>
  <c r="F3674" i="1"/>
  <c r="F3675" i="1"/>
  <c r="F3676" i="1"/>
  <c r="F3677" i="1"/>
  <c r="F3678" i="1"/>
  <c r="F3679" i="1"/>
  <c r="F3680" i="1"/>
  <c r="F3681" i="1"/>
  <c r="F3682" i="1"/>
  <c r="F3683" i="1"/>
  <c r="F3684" i="1"/>
  <c r="F3685" i="1"/>
  <c r="F3686" i="1"/>
  <c r="F3687" i="1"/>
  <c r="F3688" i="1"/>
  <c r="F3689" i="1"/>
  <c r="F3690" i="1"/>
  <c r="F3691" i="1"/>
  <c r="F3692" i="1"/>
  <c r="F3693" i="1"/>
  <c r="F3694" i="1"/>
  <c r="F3695" i="1"/>
  <c r="F3696" i="1"/>
  <c r="F3697" i="1"/>
  <c r="F3698" i="1"/>
  <c r="F3699" i="1"/>
  <c r="F3700" i="1"/>
  <c r="F3701" i="1"/>
  <c r="F3702" i="1"/>
  <c r="F3703" i="1"/>
  <c r="F3704" i="1"/>
  <c r="F3705" i="1"/>
  <c r="F3706" i="1"/>
  <c r="F3707" i="1"/>
  <c r="F3708" i="1"/>
  <c r="F3709" i="1"/>
  <c r="F3710" i="1"/>
  <c r="F3711" i="1"/>
  <c r="F3712" i="1"/>
  <c r="F3713" i="1"/>
  <c r="F3714" i="1"/>
  <c r="F3715" i="1"/>
  <c r="F3716" i="1"/>
  <c r="F3717" i="1"/>
  <c r="F3718" i="1"/>
  <c r="F3719" i="1"/>
  <c r="F3720" i="1"/>
  <c r="F3721" i="1"/>
  <c r="F3722" i="1"/>
  <c r="F3723" i="1"/>
  <c r="F3724" i="1"/>
  <c r="F3725" i="1"/>
  <c r="F3726" i="1"/>
  <c r="F3727" i="1"/>
  <c r="F3728" i="1"/>
  <c r="F3729" i="1"/>
  <c r="F3730" i="1"/>
  <c r="F3731" i="1"/>
  <c r="F3732" i="1"/>
  <c r="F3733" i="1"/>
  <c r="F3734" i="1"/>
  <c r="F3735" i="1"/>
  <c r="F3736" i="1"/>
  <c r="F3737" i="1"/>
  <c r="F3738" i="1"/>
  <c r="F3739" i="1"/>
  <c r="F3740" i="1"/>
  <c r="F3741" i="1"/>
  <c r="F3742" i="1"/>
  <c r="F3743" i="1"/>
  <c r="F3744" i="1"/>
  <c r="F3745" i="1"/>
  <c r="F3746" i="1"/>
  <c r="F3747" i="1"/>
  <c r="F3748" i="1"/>
  <c r="F3749" i="1"/>
  <c r="F3750" i="1"/>
  <c r="F3751" i="1"/>
  <c r="F3752" i="1"/>
  <c r="F3753" i="1"/>
  <c r="F3754" i="1"/>
  <c r="F3755" i="1"/>
  <c r="F3756" i="1"/>
  <c r="F3757" i="1"/>
  <c r="F3758" i="1"/>
  <c r="F3759" i="1"/>
  <c r="F3760" i="1"/>
  <c r="F3761" i="1"/>
  <c r="F3762" i="1"/>
  <c r="F3763" i="1"/>
  <c r="F3764" i="1"/>
  <c r="F3765" i="1"/>
  <c r="F3766" i="1"/>
  <c r="F3767" i="1"/>
  <c r="F3768" i="1"/>
  <c r="F3769" i="1"/>
  <c r="F3770" i="1"/>
  <c r="F3771" i="1"/>
  <c r="F3772" i="1"/>
  <c r="F3773" i="1"/>
  <c r="F3774" i="1"/>
  <c r="F3775" i="1"/>
  <c r="F3776" i="1"/>
  <c r="F3777" i="1"/>
  <c r="F3778" i="1"/>
  <c r="F3779" i="1"/>
  <c r="F3780" i="1"/>
  <c r="F3781" i="1"/>
  <c r="F3782" i="1"/>
  <c r="F3783" i="1"/>
  <c r="F3784" i="1"/>
  <c r="F3785" i="1"/>
  <c r="F3786" i="1"/>
  <c r="F3787" i="1"/>
  <c r="F3788" i="1"/>
  <c r="F3789" i="1"/>
  <c r="F3790" i="1"/>
  <c r="F3791" i="1"/>
  <c r="F3792" i="1"/>
  <c r="F3793" i="1"/>
  <c r="F3794" i="1"/>
  <c r="F3795" i="1"/>
  <c r="F3796" i="1"/>
  <c r="F3797" i="1"/>
  <c r="F3798" i="1"/>
  <c r="F3799" i="1"/>
  <c r="F3800" i="1"/>
  <c r="F3801" i="1"/>
  <c r="F3802" i="1"/>
  <c r="F3803" i="1"/>
  <c r="F3804" i="1"/>
  <c r="F3805" i="1"/>
  <c r="F3806" i="1"/>
  <c r="F3807" i="1"/>
  <c r="F3808" i="1"/>
  <c r="F3809" i="1"/>
  <c r="F3810" i="1"/>
  <c r="F3811" i="1"/>
  <c r="F3812" i="1"/>
  <c r="F3813" i="1"/>
  <c r="F3814" i="1"/>
  <c r="F3815" i="1"/>
  <c r="F3816" i="1"/>
  <c r="F3817" i="1"/>
  <c r="F3818" i="1"/>
  <c r="F3819" i="1"/>
  <c r="F3820" i="1"/>
  <c r="F3821" i="1"/>
  <c r="F3822" i="1"/>
  <c r="F3823" i="1"/>
  <c r="F3824" i="1"/>
  <c r="F3825" i="1"/>
  <c r="F3826" i="1"/>
  <c r="F3827" i="1"/>
  <c r="F3828" i="1"/>
  <c r="F3829" i="1"/>
  <c r="F3830" i="1"/>
  <c r="F3831" i="1"/>
  <c r="F3832" i="1"/>
  <c r="F3833" i="1"/>
  <c r="F3834" i="1"/>
  <c r="F3835" i="1"/>
  <c r="F3836" i="1"/>
  <c r="R2" i="1" l="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R3002" i="1"/>
  <c r="R3003" i="1"/>
  <c r="R3004" i="1"/>
  <c r="R3005" i="1"/>
  <c r="R3006" i="1"/>
  <c r="R3007" i="1"/>
  <c r="R3008" i="1"/>
  <c r="R3009" i="1"/>
  <c r="R3010" i="1"/>
  <c r="R3011" i="1"/>
  <c r="R3012" i="1"/>
  <c r="R3013" i="1"/>
  <c r="R3014" i="1"/>
  <c r="R3015" i="1"/>
  <c r="R3016" i="1"/>
  <c r="R3017" i="1"/>
  <c r="R3018" i="1"/>
  <c r="R3019" i="1"/>
  <c r="R3020" i="1"/>
  <c r="R3021" i="1"/>
  <c r="R3022" i="1"/>
  <c r="R3023" i="1"/>
  <c r="R3024" i="1"/>
  <c r="R3025" i="1"/>
  <c r="R3026" i="1"/>
  <c r="R3027" i="1"/>
  <c r="R3028" i="1"/>
  <c r="R3029" i="1"/>
  <c r="R3030" i="1"/>
  <c r="R3031" i="1"/>
  <c r="R3032" i="1"/>
  <c r="R3033" i="1"/>
  <c r="R3034" i="1"/>
  <c r="R3035" i="1"/>
  <c r="R3036" i="1"/>
  <c r="R3037" i="1"/>
  <c r="R3038" i="1"/>
  <c r="R3039" i="1"/>
  <c r="R3040" i="1"/>
  <c r="R3041" i="1"/>
  <c r="R3042" i="1"/>
  <c r="R3043" i="1"/>
  <c r="R3044" i="1"/>
  <c r="R3045" i="1"/>
  <c r="R3046" i="1"/>
  <c r="R3047" i="1"/>
  <c r="R3048" i="1"/>
  <c r="R3049" i="1"/>
  <c r="R3050" i="1"/>
  <c r="R3051" i="1"/>
  <c r="R3052" i="1"/>
  <c r="R3053" i="1"/>
  <c r="R3054" i="1"/>
  <c r="R3055" i="1"/>
  <c r="R3056" i="1"/>
  <c r="R3057" i="1"/>
  <c r="R3058" i="1"/>
  <c r="R3059" i="1"/>
  <c r="R3060" i="1"/>
  <c r="R3061" i="1"/>
  <c r="R3062" i="1"/>
  <c r="R3063" i="1"/>
  <c r="R3064" i="1"/>
  <c r="R3065" i="1"/>
  <c r="R3066" i="1"/>
  <c r="R3067" i="1"/>
  <c r="R3068" i="1"/>
  <c r="R3069" i="1"/>
  <c r="R3070" i="1"/>
  <c r="R3071" i="1"/>
  <c r="R3072" i="1"/>
  <c r="R3073" i="1"/>
  <c r="R3074" i="1"/>
  <c r="R3075" i="1"/>
  <c r="R3076" i="1"/>
  <c r="R3077" i="1"/>
  <c r="R3078" i="1"/>
  <c r="R3079" i="1"/>
  <c r="R3080" i="1"/>
  <c r="R3081" i="1"/>
  <c r="R3082" i="1"/>
  <c r="R3083" i="1"/>
  <c r="R3084" i="1"/>
  <c r="R3085" i="1"/>
  <c r="R3086" i="1"/>
  <c r="R3087" i="1"/>
  <c r="R3088" i="1"/>
  <c r="R3089" i="1"/>
  <c r="R3090" i="1"/>
  <c r="R3091" i="1"/>
  <c r="R3092" i="1"/>
  <c r="R3093" i="1"/>
  <c r="R3094" i="1"/>
  <c r="R3095" i="1"/>
  <c r="R3096" i="1"/>
  <c r="R3097" i="1"/>
  <c r="R3098" i="1"/>
  <c r="R3099" i="1"/>
  <c r="R3100" i="1"/>
  <c r="R3101" i="1"/>
  <c r="R3102" i="1"/>
  <c r="R3103" i="1"/>
  <c r="R3104" i="1"/>
  <c r="R3105" i="1"/>
  <c r="R3106" i="1"/>
  <c r="R3107" i="1"/>
  <c r="R3108" i="1"/>
  <c r="R3109" i="1"/>
  <c r="R3110" i="1"/>
  <c r="R3111" i="1"/>
  <c r="R3112" i="1"/>
  <c r="R3113" i="1"/>
  <c r="R3114" i="1"/>
  <c r="R3115" i="1"/>
  <c r="R3116" i="1"/>
  <c r="R3117" i="1"/>
  <c r="R3118" i="1"/>
  <c r="R3119" i="1"/>
  <c r="R3120" i="1"/>
  <c r="R3121" i="1"/>
  <c r="R3122" i="1"/>
  <c r="R3123" i="1"/>
  <c r="R3124" i="1"/>
  <c r="R3125" i="1"/>
  <c r="R3126" i="1"/>
  <c r="R3127" i="1"/>
  <c r="R3128" i="1"/>
  <c r="R3129" i="1"/>
  <c r="R3130" i="1"/>
  <c r="R3131" i="1"/>
  <c r="R3132" i="1"/>
  <c r="R3133" i="1"/>
  <c r="R3134" i="1"/>
  <c r="R3135" i="1"/>
  <c r="R3136" i="1"/>
  <c r="R3137" i="1"/>
  <c r="R3138" i="1"/>
  <c r="R3139" i="1"/>
  <c r="R3140" i="1"/>
  <c r="R3141" i="1"/>
  <c r="R3142" i="1"/>
  <c r="R3143" i="1"/>
  <c r="R3144" i="1"/>
  <c r="R3145" i="1"/>
  <c r="R3146" i="1"/>
  <c r="R3147" i="1"/>
  <c r="R3148" i="1"/>
  <c r="R3149" i="1"/>
  <c r="R3150" i="1"/>
  <c r="R3151" i="1"/>
  <c r="R3152" i="1"/>
  <c r="R3153" i="1"/>
  <c r="R3154" i="1"/>
  <c r="R3155" i="1"/>
  <c r="R3156" i="1"/>
  <c r="R3157" i="1"/>
  <c r="R3158" i="1"/>
  <c r="R3159" i="1"/>
  <c r="R3160" i="1"/>
  <c r="R3161" i="1"/>
  <c r="R3162" i="1"/>
  <c r="R3163" i="1"/>
  <c r="R3164" i="1"/>
  <c r="R3165" i="1"/>
  <c r="R3166" i="1"/>
  <c r="R3167" i="1"/>
  <c r="R3168" i="1"/>
  <c r="R3169" i="1"/>
  <c r="R3170" i="1"/>
  <c r="R3171" i="1"/>
  <c r="R3172" i="1"/>
  <c r="R3173" i="1"/>
  <c r="R3174" i="1"/>
  <c r="R3175" i="1"/>
  <c r="R3176" i="1"/>
  <c r="R3177" i="1"/>
  <c r="R3178" i="1"/>
  <c r="R3179" i="1"/>
  <c r="R3180" i="1"/>
  <c r="R3181" i="1"/>
  <c r="R3182" i="1"/>
  <c r="R3183" i="1"/>
  <c r="R3184" i="1"/>
  <c r="R3185" i="1"/>
  <c r="R3186" i="1"/>
  <c r="R3187" i="1"/>
  <c r="R3188" i="1"/>
  <c r="R3189" i="1"/>
  <c r="R3190" i="1"/>
  <c r="R3191" i="1"/>
  <c r="R3192" i="1"/>
  <c r="R3193" i="1"/>
  <c r="R3194" i="1"/>
  <c r="R3195" i="1"/>
  <c r="R3196" i="1"/>
  <c r="R3197" i="1"/>
  <c r="R3198" i="1"/>
  <c r="R3199" i="1"/>
  <c r="R3200" i="1"/>
  <c r="R3201" i="1"/>
  <c r="R3202" i="1"/>
  <c r="R3203" i="1"/>
  <c r="R3204" i="1"/>
  <c r="R3205" i="1"/>
  <c r="R3206" i="1"/>
  <c r="R3207" i="1"/>
  <c r="R3208" i="1"/>
  <c r="R3209" i="1"/>
  <c r="R3210" i="1"/>
  <c r="R3211" i="1"/>
  <c r="R3212" i="1"/>
  <c r="R3213" i="1"/>
  <c r="R3214" i="1"/>
  <c r="R3215" i="1"/>
  <c r="R3216" i="1"/>
  <c r="R3217" i="1"/>
  <c r="R3218" i="1"/>
  <c r="R3219" i="1"/>
  <c r="R3220" i="1"/>
  <c r="R3221" i="1"/>
  <c r="R3222" i="1"/>
  <c r="R3223" i="1"/>
  <c r="R3224" i="1"/>
  <c r="R3225" i="1"/>
  <c r="R3226" i="1"/>
  <c r="R3227" i="1"/>
  <c r="R3228" i="1"/>
  <c r="R3229" i="1"/>
  <c r="R3230" i="1"/>
  <c r="R3231" i="1"/>
  <c r="R3232" i="1"/>
  <c r="R3233" i="1"/>
  <c r="R3234" i="1"/>
  <c r="R3235" i="1"/>
  <c r="R3236" i="1"/>
  <c r="R3237" i="1"/>
  <c r="R3238" i="1"/>
  <c r="R3239" i="1"/>
  <c r="R3240" i="1"/>
  <c r="R3241" i="1"/>
  <c r="R3242" i="1"/>
  <c r="R3243" i="1"/>
  <c r="R3244" i="1"/>
  <c r="R3245" i="1"/>
  <c r="R3246" i="1"/>
  <c r="R3247" i="1"/>
  <c r="R3248" i="1"/>
  <c r="R3249" i="1"/>
  <c r="R3250" i="1"/>
  <c r="R3251" i="1"/>
  <c r="R3252" i="1"/>
  <c r="R3253" i="1"/>
  <c r="R3254" i="1"/>
  <c r="R3255" i="1"/>
  <c r="R3256" i="1"/>
  <c r="R3257" i="1"/>
  <c r="R3258" i="1"/>
  <c r="R3259" i="1"/>
  <c r="R3260" i="1"/>
  <c r="R3261" i="1"/>
  <c r="R3262" i="1"/>
  <c r="R3263" i="1"/>
  <c r="R3264" i="1"/>
  <c r="R3265" i="1"/>
  <c r="R3266" i="1"/>
  <c r="R3267" i="1"/>
  <c r="R3268" i="1"/>
  <c r="R3269" i="1"/>
  <c r="R3270" i="1"/>
  <c r="R3271" i="1"/>
  <c r="R3272" i="1"/>
  <c r="R3273" i="1"/>
  <c r="R3274" i="1"/>
  <c r="R3275" i="1"/>
  <c r="R3276" i="1"/>
  <c r="R3277" i="1"/>
  <c r="R3278" i="1"/>
  <c r="R3279" i="1"/>
  <c r="R3280" i="1"/>
  <c r="R3281" i="1"/>
  <c r="R3282" i="1"/>
  <c r="R3283" i="1"/>
  <c r="R3284" i="1"/>
  <c r="R3285" i="1"/>
  <c r="R3286" i="1"/>
  <c r="R3287" i="1"/>
  <c r="R3288" i="1"/>
  <c r="R3289" i="1"/>
  <c r="R3290" i="1"/>
  <c r="R3291" i="1"/>
  <c r="R3292" i="1"/>
  <c r="R3293" i="1"/>
  <c r="R3294" i="1"/>
  <c r="R3295" i="1"/>
  <c r="R3296" i="1"/>
  <c r="R3297" i="1"/>
  <c r="R3298" i="1"/>
  <c r="R3299" i="1"/>
  <c r="R3300" i="1"/>
  <c r="R3301" i="1"/>
  <c r="R3302" i="1"/>
  <c r="R3303" i="1"/>
  <c r="R3304" i="1"/>
  <c r="R3305" i="1"/>
  <c r="R3306" i="1"/>
  <c r="R3307" i="1"/>
  <c r="R3308" i="1"/>
  <c r="R3309" i="1"/>
  <c r="R3310" i="1"/>
  <c r="R3311" i="1"/>
  <c r="R3312" i="1"/>
  <c r="R3313" i="1"/>
  <c r="R3314" i="1"/>
  <c r="R3315" i="1"/>
  <c r="R3316" i="1"/>
  <c r="R3317" i="1"/>
  <c r="R3318" i="1"/>
  <c r="R3319" i="1"/>
  <c r="R3320" i="1"/>
  <c r="R3321" i="1"/>
  <c r="R3322" i="1"/>
  <c r="R3323" i="1"/>
  <c r="R3324" i="1"/>
  <c r="R3325" i="1"/>
  <c r="R3326" i="1"/>
  <c r="R3327" i="1"/>
  <c r="R3328" i="1"/>
  <c r="R3329" i="1"/>
  <c r="R3330" i="1"/>
  <c r="R3331" i="1"/>
  <c r="R3332" i="1"/>
  <c r="R3333" i="1"/>
  <c r="R3334" i="1"/>
  <c r="R3335" i="1"/>
  <c r="R3336" i="1"/>
  <c r="R3337" i="1"/>
  <c r="R3338" i="1"/>
  <c r="R3339" i="1"/>
  <c r="R3340" i="1"/>
  <c r="R3341" i="1"/>
  <c r="R3342" i="1"/>
  <c r="R3343" i="1"/>
  <c r="R3344" i="1"/>
  <c r="R3345" i="1"/>
  <c r="R3346" i="1"/>
  <c r="R3347" i="1"/>
  <c r="R3348" i="1"/>
  <c r="R3349" i="1"/>
  <c r="R3350" i="1"/>
  <c r="R3351" i="1"/>
  <c r="R3352" i="1"/>
  <c r="R3353" i="1"/>
  <c r="R3354" i="1"/>
  <c r="R3355" i="1"/>
  <c r="R3356" i="1"/>
  <c r="R3357" i="1"/>
  <c r="R3358" i="1"/>
  <c r="R3359" i="1"/>
  <c r="R3360" i="1"/>
  <c r="R3361" i="1"/>
  <c r="R3362" i="1"/>
  <c r="R3363" i="1"/>
  <c r="R3364" i="1"/>
  <c r="R3365" i="1"/>
  <c r="R3366" i="1"/>
  <c r="R3367" i="1"/>
  <c r="R3368" i="1"/>
  <c r="R3369" i="1"/>
  <c r="R3370" i="1"/>
  <c r="R3371" i="1"/>
  <c r="R3372" i="1"/>
  <c r="R3373" i="1"/>
  <c r="R3374" i="1"/>
  <c r="R3375" i="1"/>
  <c r="R3376" i="1"/>
  <c r="R3377" i="1"/>
  <c r="R3378" i="1"/>
  <c r="R3379" i="1"/>
  <c r="R3380" i="1"/>
  <c r="R3381" i="1"/>
  <c r="R3382" i="1"/>
  <c r="R3383" i="1"/>
  <c r="R3384" i="1"/>
  <c r="R3385" i="1"/>
  <c r="R3386" i="1"/>
  <c r="R3387" i="1"/>
  <c r="R3388" i="1"/>
  <c r="R3389" i="1"/>
  <c r="R3390" i="1"/>
  <c r="R3391" i="1"/>
  <c r="R3392" i="1"/>
  <c r="R3393" i="1"/>
  <c r="R3394" i="1"/>
  <c r="R3395" i="1"/>
  <c r="R3396" i="1"/>
  <c r="R3397" i="1"/>
  <c r="R3398" i="1"/>
  <c r="R3399" i="1"/>
  <c r="R3400" i="1"/>
  <c r="R3401" i="1"/>
  <c r="R3402" i="1"/>
  <c r="R3403" i="1"/>
  <c r="R3404" i="1"/>
  <c r="R3405" i="1"/>
  <c r="R3406" i="1"/>
  <c r="R3407" i="1"/>
  <c r="R3408" i="1"/>
  <c r="R3409" i="1"/>
  <c r="R3410" i="1"/>
  <c r="R3411" i="1"/>
  <c r="R3412" i="1"/>
  <c r="R3413" i="1"/>
  <c r="R3414" i="1"/>
  <c r="R3415" i="1"/>
  <c r="R3416" i="1"/>
  <c r="R3417" i="1"/>
  <c r="R3418" i="1"/>
  <c r="R3419" i="1"/>
  <c r="R3420" i="1"/>
  <c r="R3421" i="1"/>
  <c r="R3422" i="1"/>
  <c r="R3423" i="1"/>
  <c r="R3424" i="1"/>
  <c r="R3425" i="1"/>
  <c r="R3426" i="1"/>
  <c r="R3427" i="1"/>
  <c r="R3428" i="1"/>
  <c r="R3429" i="1"/>
  <c r="R3430" i="1"/>
  <c r="R3431" i="1"/>
  <c r="R3432" i="1"/>
  <c r="R3433" i="1"/>
  <c r="R3434" i="1"/>
  <c r="R3435" i="1"/>
  <c r="R3436" i="1"/>
  <c r="R3437" i="1"/>
  <c r="R3438" i="1"/>
  <c r="R3439" i="1"/>
  <c r="R3440" i="1"/>
  <c r="R3441" i="1"/>
  <c r="R3442" i="1"/>
  <c r="R3443" i="1"/>
  <c r="R3444" i="1"/>
  <c r="R3445" i="1"/>
  <c r="R3446" i="1"/>
  <c r="R3447" i="1"/>
  <c r="R3448" i="1"/>
  <c r="R3449" i="1"/>
  <c r="R3450" i="1"/>
  <c r="R3451" i="1"/>
  <c r="R3452" i="1"/>
  <c r="R3453" i="1"/>
  <c r="R3454" i="1"/>
  <c r="R3455" i="1"/>
  <c r="R3456" i="1"/>
  <c r="R3457" i="1"/>
  <c r="R3458" i="1"/>
  <c r="R3459" i="1"/>
  <c r="R3460" i="1"/>
  <c r="R3461" i="1"/>
  <c r="R3462" i="1"/>
  <c r="R3463" i="1"/>
  <c r="R3464" i="1"/>
  <c r="R3465" i="1"/>
  <c r="R3466" i="1"/>
  <c r="R3467" i="1"/>
  <c r="R3468" i="1"/>
  <c r="R3469" i="1"/>
  <c r="R3470" i="1"/>
  <c r="R3471" i="1"/>
  <c r="R3472" i="1"/>
  <c r="R3473" i="1"/>
  <c r="R3474" i="1"/>
  <c r="R3475" i="1"/>
  <c r="R3476" i="1"/>
  <c r="R3477" i="1"/>
  <c r="R3478" i="1"/>
  <c r="R3479" i="1"/>
  <c r="R3480" i="1"/>
  <c r="R3481" i="1"/>
  <c r="R3482" i="1"/>
  <c r="R3483" i="1"/>
  <c r="R3484" i="1"/>
  <c r="R3485" i="1"/>
  <c r="R3486" i="1"/>
  <c r="R3487" i="1"/>
  <c r="R3488" i="1"/>
  <c r="R3489" i="1"/>
  <c r="R3490" i="1"/>
  <c r="R3491" i="1"/>
  <c r="R3492" i="1"/>
  <c r="R3493" i="1"/>
  <c r="R3494" i="1"/>
  <c r="R3495" i="1"/>
  <c r="R3496" i="1"/>
  <c r="R3497" i="1"/>
  <c r="R3498" i="1"/>
  <c r="R3499" i="1"/>
  <c r="R3500" i="1"/>
  <c r="R3501" i="1"/>
  <c r="R3502" i="1"/>
  <c r="R3503" i="1"/>
  <c r="R3504" i="1"/>
  <c r="R3505" i="1"/>
  <c r="R3506" i="1"/>
  <c r="R3507" i="1"/>
  <c r="R3508" i="1"/>
  <c r="R3509" i="1"/>
  <c r="R3510" i="1"/>
  <c r="R3511" i="1"/>
  <c r="R3512" i="1"/>
  <c r="R3513" i="1"/>
  <c r="R3514" i="1"/>
  <c r="R3515" i="1"/>
  <c r="R3516" i="1"/>
  <c r="R3517" i="1"/>
  <c r="R3518" i="1"/>
  <c r="R3519" i="1"/>
  <c r="R3520" i="1"/>
  <c r="R3521" i="1"/>
  <c r="R3522" i="1"/>
  <c r="R3523" i="1"/>
  <c r="R3524" i="1"/>
  <c r="R3525" i="1"/>
  <c r="R3526" i="1"/>
  <c r="R3527" i="1"/>
  <c r="R3528" i="1"/>
  <c r="R3529" i="1"/>
  <c r="R3530" i="1"/>
  <c r="R3531" i="1"/>
  <c r="R3532" i="1"/>
  <c r="R3533" i="1"/>
  <c r="R3534" i="1"/>
  <c r="R3535" i="1"/>
  <c r="R3536" i="1"/>
  <c r="R3537" i="1"/>
  <c r="R3538" i="1"/>
  <c r="R3539" i="1"/>
  <c r="R3540" i="1"/>
  <c r="R3541" i="1"/>
  <c r="R3542" i="1"/>
  <c r="R3543" i="1"/>
  <c r="R3544" i="1"/>
  <c r="R3545" i="1"/>
  <c r="R3546" i="1"/>
  <c r="R3547" i="1"/>
  <c r="R3548" i="1"/>
  <c r="R3549" i="1"/>
  <c r="R3550" i="1"/>
  <c r="R3551" i="1"/>
  <c r="R3552" i="1"/>
  <c r="R3553" i="1"/>
  <c r="R3554" i="1"/>
  <c r="R3555" i="1"/>
  <c r="R3556" i="1"/>
  <c r="R3557" i="1"/>
  <c r="R3558" i="1"/>
  <c r="R3559" i="1"/>
  <c r="R3560" i="1"/>
  <c r="R3561" i="1"/>
  <c r="R3562" i="1"/>
  <c r="R3563" i="1"/>
  <c r="R3564" i="1"/>
  <c r="R3565" i="1"/>
  <c r="R3566" i="1"/>
  <c r="R3567" i="1"/>
  <c r="R3568" i="1"/>
  <c r="R3569" i="1"/>
  <c r="R3570" i="1"/>
  <c r="R3571" i="1"/>
  <c r="R3572" i="1"/>
  <c r="R3573" i="1"/>
  <c r="R3574" i="1"/>
  <c r="R3575" i="1"/>
  <c r="R3576" i="1"/>
  <c r="R3577" i="1"/>
  <c r="R3578" i="1"/>
  <c r="R3579" i="1"/>
  <c r="R3580" i="1"/>
  <c r="R3581" i="1"/>
  <c r="R3582" i="1"/>
  <c r="R3583" i="1"/>
  <c r="R3584" i="1"/>
  <c r="R3585" i="1"/>
  <c r="R3586" i="1"/>
  <c r="R3587" i="1"/>
  <c r="R3588" i="1"/>
  <c r="R3589" i="1"/>
  <c r="R3590" i="1"/>
  <c r="R3591" i="1"/>
  <c r="R3592" i="1"/>
  <c r="R3593" i="1"/>
  <c r="R3594" i="1"/>
  <c r="R3595" i="1"/>
  <c r="R3596" i="1"/>
  <c r="R3597" i="1"/>
  <c r="R3598" i="1"/>
  <c r="R3599" i="1"/>
  <c r="R3600" i="1"/>
  <c r="R3601" i="1"/>
  <c r="R3602" i="1"/>
  <c r="R3603" i="1"/>
  <c r="R3604" i="1"/>
  <c r="R3605" i="1"/>
  <c r="R3606" i="1"/>
  <c r="R3607" i="1"/>
  <c r="R3608" i="1"/>
  <c r="R3609" i="1"/>
  <c r="R3610" i="1"/>
  <c r="R3611" i="1"/>
  <c r="R3612" i="1"/>
  <c r="R3613" i="1"/>
  <c r="R3614" i="1"/>
  <c r="R3615" i="1"/>
  <c r="R3616" i="1"/>
  <c r="R3617" i="1"/>
  <c r="R3618" i="1"/>
  <c r="R3619" i="1"/>
  <c r="R3620" i="1"/>
  <c r="R3621" i="1"/>
  <c r="R3622" i="1"/>
  <c r="R3623" i="1"/>
  <c r="R3624" i="1"/>
  <c r="R3625" i="1"/>
  <c r="R3626" i="1"/>
  <c r="R3627" i="1"/>
  <c r="R3628" i="1"/>
  <c r="R3629" i="1"/>
  <c r="R3630" i="1"/>
  <c r="R3631" i="1"/>
  <c r="R3632" i="1"/>
  <c r="R3633" i="1"/>
  <c r="R3634" i="1"/>
  <c r="R3635" i="1"/>
  <c r="R3636" i="1"/>
  <c r="R3637" i="1"/>
  <c r="R3638" i="1"/>
  <c r="R3639" i="1"/>
  <c r="R3640" i="1"/>
  <c r="R3641" i="1"/>
  <c r="R3642" i="1"/>
  <c r="R3643" i="1"/>
  <c r="R3644" i="1"/>
  <c r="R3645" i="1"/>
  <c r="R3646" i="1"/>
  <c r="R3647" i="1"/>
  <c r="R3648" i="1"/>
  <c r="R3649" i="1"/>
  <c r="R3650" i="1"/>
  <c r="R3651" i="1"/>
  <c r="R3652" i="1"/>
  <c r="R3653" i="1"/>
  <c r="R3654" i="1"/>
  <c r="R3655" i="1"/>
  <c r="R3656" i="1"/>
  <c r="R3657" i="1"/>
  <c r="R3658" i="1"/>
  <c r="R3659" i="1"/>
  <c r="R3660" i="1"/>
  <c r="R3661" i="1"/>
  <c r="R3662" i="1"/>
  <c r="R3663" i="1"/>
  <c r="R3664" i="1"/>
  <c r="R3665" i="1"/>
  <c r="R3666" i="1"/>
  <c r="R3667" i="1"/>
  <c r="R3668" i="1"/>
  <c r="R3669" i="1"/>
  <c r="R3670" i="1"/>
  <c r="R3671" i="1"/>
  <c r="R3672" i="1"/>
  <c r="R3673" i="1"/>
  <c r="R3674" i="1"/>
  <c r="R3675" i="1"/>
  <c r="R3676" i="1"/>
  <c r="R3677" i="1"/>
  <c r="R3678" i="1"/>
  <c r="R3679" i="1"/>
  <c r="R3680" i="1"/>
  <c r="R3681" i="1"/>
  <c r="R3682" i="1"/>
  <c r="R3683" i="1"/>
  <c r="R3684" i="1"/>
  <c r="R3685" i="1"/>
  <c r="R3686" i="1"/>
  <c r="R3687" i="1"/>
  <c r="R3688" i="1"/>
  <c r="R3689" i="1"/>
  <c r="R3690" i="1"/>
  <c r="R3691" i="1"/>
  <c r="R3692" i="1"/>
  <c r="R3693" i="1"/>
  <c r="R3694" i="1"/>
  <c r="R3695" i="1"/>
  <c r="R3696" i="1"/>
  <c r="R3697" i="1"/>
  <c r="R3698" i="1"/>
  <c r="R3699" i="1"/>
  <c r="R3700" i="1"/>
  <c r="R3701" i="1"/>
  <c r="R3702" i="1"/>
  <c r="R3703" i="1"/>
  <c r="R3704" i="1"/>
  <c r="R3705" i="1"/>
  <c r="R3706" i="1"/>
  <c r="R3707" i="1"/>
  <c r="R3708" i="1"/>
  <c r="R3709" i="1"/>
  <c r="R3710" i="1"/>
  <c r="R3711" i="1"/>
  <c r="R3712" i="1"/>
  <c r="R3713" i="1"/>
  <c r="R3714" i="1"/>
  <c r="R3715" i="1"/>
  <c r="R3716" i="1"/>
  <c r="R3717" i="1"/>
  <c r="R3718" i="1"/>
  <c r="R3719" i="1"/>
  <c r="R3720" i="1"/>
  <c r="R3721" i="1"/>
  <c r="R3722" i="1"/>
  <c r="R3723" i="1"/>
  <c r="R3724" i="1"/>
  <c r="R3725" i="1"/>
  <c r="R3726" i="1"/>
  <c r="R3727" i="1"/>
  <c r="R3728" i="1"/>
  <c r="R3729" i="1"/>
  <c r="R3730" i="1"/>
  <c r="R3731" i="1"/>
  <c r="R3732" i="1"/>
  <c r="R3733" i="1"/>
  <c r="R3734" i="1"/>
  <c r="R3735" i="1"/>
  <c r="R3736" i="1"/>
  <c r="R3737" i="1"/>
  <c r="R3738" i="1"/>
  <c r="R3739" i="1"/>
  <c r="R3740" i="1"/>
  <c r="R3741" i="1"/>
  <c r="R3742" i="1"/>
  <c r="R3743" i="1"/>
  <c r="R3744" i="1"/>
  <c r="R3745" i="1"/>
  <c r="R3746" i="1"/>
  <c r="R3747" i="1"/>
  <c r="R3748" i="1"/>
  <c r="R3749" i="1"/>
  <c r="R3750" i="1"/>
  <c r="R3751" i="1"/>
  <c r="R3752" i="1"/>
  <c r="R3753" i="1"/>
  <c r="R3754" i="1"/>
  <c r="R3755" i="1"/>
  <c r="R3756" i="1"/>
  <c r="R3757" i="1"/>
  <c r="R3758" i="1"/>
  <c r="R3759" i="1"/>
  <c r="R3760" i="1"/>
  <c r="R3761" i="1"/>
  <c r="R3762" i="1"/>
  <c r="R3763" i="1"/>
  <c r="R3764" i="1"/>
  <c r="R3765" i="1"/>
  <c r="R3766" i="1"/>
  <c r="R3767" i="1"/>
  <c r="R3768" i="1"/>
  <c r="R3769" i="1"/>
  <c r="R3770" i="1"/>
  <c r="R3771" i="1"/>
  <c r="R3772" i="1"/>
  <c r="R3773" i="1"/>
  <c r="R3774" i="1"/>
  <c r="R3775" i="1"/>
  <c r="R3776" i="1"/>
  <c r="R3777" i="1"/>
  <c r="R3778" i="1"/>
  <c r="R3779" i="1"/>
  <c r="R3780" i="1"/>
  <c r="R3781" i="1"/>
  <c r="R3782" i="1"/>
  <c r="R3783" i="1"/>
  <c r="R3784" i="1"/>
  <c r="R3785" i="1"/>
  <c r="R3786" i="1"/>
  <c r="R3787" i="1"/>
  <c r="R3788" i="1"/>
  <c r="R3789" i="1"/>
  <c r="R3790" i="1"/>
  <c r="R3791" i="1"/>
  <c r="R3792" i="1"/>
  <c r="R3793" i="1"/>
  <c r="R3794" i="1"/>
  <c r="R3795" i="1"/>
  <c r="R3796" i="1"/>
  <c r="R3797" i="1"/>
  <c r="R3798" i="1"/>
  <c r="R3799" i="1"/>
  <c r="R3800" i="1"/>
  <c r="R3801" i="1"/>
  <c r="R3802" i="1"/>
  <c r="R3803" i="1"/>
  <c r="R3804" i="1"/>
  <c r="R3805" i="1"/>
  <c r="R3806" i="1"/>
  <c r="R3807" i="1"/>
  <c r="R3808" i="1"/>
  <c r="R3809" i="1"/>
  <c r="R3810" i="1"/>
  <c r="R3811" i="1"/>
  <c r="R3812" i="1"/>
  <c r="R3813" i="1"/>
  <c r="R3814" i="1"/>
  <c r="R3815" i="1"/>
  <c r="R3816" i="1"/>
  <c r="R3817" i="1"/>
  <c r="R3818" i="1"/>
  <c r="R3819" i="1"/>
  <c r="R3820" i="1"/>
  <c r="R3821" i="1"/>
  <c r="R3822" i="1"/>
  <c r="R3823" i="1"/>
  <c r="R3824" i="1"/>
  <c r="R3825" i="1"/>
  <c r="R3826" i="1"/>
  <c r="R3827" i="1"/>
  <c r="R3828" i="1"/>
  <c r="R3829" i="1"/>
  <c r="R3830" i="1"/>
  <c r="R3831" i="1"/>
  <c r="R3832" i="1"/>
  <c r="R3833" i="1"/>
  <c r="R3834" i="1"/>
  <c r="R3835" i="1"/>
  <c r="R3836"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B2" i="1"/>
  <c r="G2" i="1" s="1"/>
  <c r="B3" i="1"/>
  <c r="G3" i="1" s="1"/>
  <c r="B4" i="1"/>
  <c r="G4" i="1" s="1"/>
  <c r="B5" i="1"/>
  <c r="G5" i="1" s="1"/>
  <c r="B6" i="1"/>
  <c r="G6" i="1" s="1"/>
  <c r="B7" i="1"/>
  <c r="G7" i="1" s="1"/>
  <c r="B8" i="1"/>
  <c r="G8" i="1" s="1"/>
  <c r="B9" i="1"/>
  <c r="G9" i="1" s="1"/>
  <c r="B10" i="1"/>
  <c r="G10" i="1" s="1"/>
  <c r="B11" i="1"/>
  <c r="G11" i="1" s="1"/>
  <c r="B12" i="1"/>
  <c r="G12" i="1" s="1"/>
  <c r="B13" i="1"/>
  <c r="G13" i="1" s="1"/>
  <c r="B14" i="1"/>
  <c r="G14" i="1" s="1"/>
  <c r="B15" i="1"/>
  <c r="G15" i="1" s="1"/>
  <c r="B16" i="1"/>
  <c r="G16" i="1" s="1"/>
  <c r="B17" i="1"/>
  <c r="G17" i="1" s="1"/>
  <c r="B18" i="1"/>
  <c r="G18" i="1" s="1"/>
  <c r="B19" i="1"/>
  <c r="G19" i="1" s="1"/>
  <c r="B20" i="1"/>
  <c r="G20" i="1" s="1"/>
  <c r="B21" i="1"/>
  <c r="G21" i="1" s="1"/>
  <c r="B22" i="1"/>
  <c r="G22" i="1" s="1"/>
  <c r="B23" i="1"/>
  <c r="G23" i="1" s="1"/>
  <c r="B24" i="1"/>
  <c r="G24" i="1" s="1"/>
  <c r="B25" i="1"/>
  <c r="G25" i="1" s="1"/>
  <c r="B26" i="1"/>
  <c r="G26" i="1" s="1"/>
  <c r="B27" i="1"/>
  <c r="G27" i="1" s="1"/>
  <c r="B28" i="1"/>
  <c r="G28" i="1" s="1"/>
  <c r="B29" i="1"/>
  <c r="G29" i="1" s="1"/>
  <c r="B30" i="1"/>
  <c r="G30" i="1" s="1"/>
  <c r="B31" i="1"/>
  <c r="G31" i="1" s="1"/>
  <c r="B32" i="1"/>
  <c r="G32" i="1" s="1"/>
  <c r="B33" i="1"/>
  <c r="G33" i="1" s="1"/>
  <c r="B34" i="1"/>
  <c r="G34" i="1" s="1"/>
  <c r="B35" i="1"/>
  <c r="G35" i="1" s="1"/>
  <c r="B36" i="1"/>
  <c r="G36" i="1" s="1"/>
  <c r="B37" i="1"/>
  <c r="G37" i="1" s="1"/>
  <c r="B38" i="1"/>
  <c r="G38" i="1" s="1"/>
  <c r="B39" i="1"/>
  <c r="G39" i="1" s="1"/>
  <c r="B40" i="1"/>
  <c r="G40" i="1" s="1"/>
  <c r="B41" i="1"/>
  <c r="G41" i="1" s="1"/>
  <c r="B42" i="1"/>
  <c r="G42" i="1" s="1"/>
  <c r="B43" i="1"/>
  <c r="G43" i="1" s="1"/>
  <c r="B44" i="1"/>
  <c r="G44" i="1" s="1"/>
  <c r="B45" i="1"/>
  <c r="G45" i="1" s="1"/>
  <c r="B46" i="1"/>
  <c r="G46" i="1" s="1"/>
  <c r="B47" i="1"/>
  <c r="G47" i="1" s="1"/>
  <c r="B48" i="1"/>
  <c r="G48" i="1" s="1"/>
  <c r="B49" i="1"/>
  <c r="G49" i="1" s="1"/>
  <c r="B50" i="1"/>
  <c r="G50" i="1" s="1"/>
  <c r="B51" i="1"/>
  <c r="G51" i="1" s="1"/>
  <c r="B52" i="1"/>
  <c r="G52" i="1" s="1"/>
  <c r="B53" i="1"/>
  <c r="G53" i="1" s="1"/>
  <c r="B54" i="1"/>
  <c r="G54" i="1" s="1"/>
  <c r="B55" i="1"/>
  <c r="G55" i="1" s="1"/>
  <c r="B56" i="1"/>
  <c r="G56" i="1" s="1"/>
  <c r="B57" i="1"/>
  <c r="G57" i="1" s="1"/>
  <c r="B58" i="1"/>
  <c r="G58" i="1" s="1"/>
  <c r="B59" i="1"/>
  <c r="G59" i="1" s="1"/>
  <c r="B60" i="1"/>
  <c r="G60" i="1" s="1"/>
  <c r="B61" i="1"/>
  <c r="G61" i="1" s="1"/>
  <c r="B62" i="1"/>
  <c r="G62" i="1" s="1"/>
  <c r="B63" i="1"/>
  <c r="G63" i="1" s="1"/>
  <c r="B64" i="1"/>
  <c r="G64" i="1" s="1"/>
  <c r="B65" i="1"/>
  <c r="G65" i="1" s="1"/>
  <c r="B66" i="1"/>
  <c r="G66" i="1" s="1"/>
  <c r="B67" i="1"/>
  <c r="G67" i="1" s="1"/>
  <c r="B68" i="1"/>
  <c r="G68" i="1" s="1"/>
  <c r="B69" i="1"/>
  <c r="G69" i="1" s="1"/>
  <c r="B70" i="1"/>
  <c r="G70" i="1" s="1"/>
  <c r="B71" i="1"/>
  <c r="G71" i="1" s="1"/>
  <c r="B72" i="1"/>
  <c r="G72" i="1" s="1"/>
  <c r="B73" i="1"/>
  <c r="G73" i="1" s="1"/>
  <c r="B74" i="1"/>
  <c r="G74" i="1" s="1"/>
  <c r="B75" i="1"/>
  <c r="G75" i="1" s="1"/>
  <c r="B76" i="1"/>
  <c r="G76" i="1" s="1"/>
  <c r="B77" i="1"/>
  <c r="G77" i="1" s="1"/>
  <c r="B78" i="1"/>
  <c r="G78" i="1" s="1"/>
  <c r="B79" i="1"/>
  <c r="G79" i="1" s="1"/>
  <c r="B80" i="1"/>
  <c r="G80" i="1" s="1"/>
  <c r="B81" i="1"/>
  <c r="G81" i="1" s="1"/>
  <c r="B82" i="1"/>
  <c r="G82" i="1" s="1"/>
  <c r="B83" i="1"/>
  <c r="G83" i="1" s="1"/>
  <c r="B84" i="1"/>
  <c r="G84" i="1" s="1"/>
  <c r="B85" i="1"/>
  <c r="G85" i="1" s="1"/>
  <c r="B86" i="1"/>
  <c r="G86" i="1" s="1"/>
  <c r="B87" i="1"/>
  <c r="G87" i="1" s="1"/>
  <c r="B88" i="1"/>
  <c r="G88" i="1" s="1"/>
  <c r="B89" i="1"/>
  <c r="G89" i="1" s="1"/>
  <c r="B90" i="1"/>
  <c r="G90" i="1" s="1"/>
  <c r="B91" i="1"/>
  <c r="G91" i="1" s="1"/>
  <c r="B92" i="1"/>
  <c r="G92" i="1" s="1"/>
  <c r="B93" i="1"/>
  <c r="G93" i="1" s="1"/>
  <c r="B94" i="1"/>
  <c r="G94" i="1" s="1"/>
  <c r="B95" i="1"/>
  <c r="G95" i="1" s="1"/>
  <c r="B96" i="1"/>
  <c r="G96" i="1" s="1"/>
  <c r="B97" i="1"/>
  <c r="G97" i="1" s="1"/>
  <c r="B98" i="1"/>
  <c r="G98" i="1" s="1"/>
  <c r="B99" i="1"/>
  <c r="G99" i="1" s="1"/>
  <c r="B100" i="1"/>
  <c r="G100" i="1" s="1"/>
  <c r="B101" i="1"/>
  <c r="G101" i="1" s="1"/>
  <c r="B102" i="1"/>
  <c r="G102" i="1" s="1"/>
  <c r="B103" i="1"/>
  <c r="G103" i="1" s="1"/>
  <c r="B104" i="1"/>
  <c r="G104" i="1" s="1"/>
  <c r="B105" i="1"/>
  <c r="G105" i="1" s="1"/>
  <c r="B106" i="1"/>
  <c r="G106" i="1" s="1"/>
  <c r="B107" i="1"/>
  <c r="G107" i="1" s="1"/>
  <c r="B108" i="1"/>
  <c r="G108" i="1" s="1"/>
  <c r="B109" i="1"/>
  <c r="G109" i="1" s="1"/>
  <c r="B110" i="1"/>
  <c r="G110" i="1" s="1"/>
  <c r="B111" i="1"/>
  <c r="G111" i="1" s="1"/>
  <c r="B112" i="1"/>
  <c r="G112" i="1" s="1"/>
  <c r="B113" i="1"/>
  <c r="G113" i="1" s="1"/>
  <c r="B114" i="1"/>
  <c r="G114" i="1" s="1"/>
  <c r="B115" i="1"/>
  <c r="G115" i="1" s="1"/>
  <c r="B116" i="1"/>
  <c r="G116" i="1" s="1"/>
  <c r="B117" i="1"/>
  <c r="G117" i="1" s="1"/>
  <c r="B118" i="1"/>
  <c r="G118" i="1" s="1"/>
  <c r="B119" i="1"/>
  <c r="G119" i="1" s="1"/>
  <c r="B120" i="1"/>
  <c r="G120" i="1" s="1"/>
  <c r="B121" i="1"/>
  <c r="G121" i="1" s="1"/>
  <c r="B122" i="1"/>
  <c r="G122" i="1" s="1"/>
  <c r="B123" i="1"/>
  <c r="G123" i="1" s="1"/>
  <c r="B124" i="1"/>
  <c r="G124" i="1" s="1"/>
  <c r="B125" i="1"/>
  <c r="G125" i="1" s="1"/>
  <c r="B126" i="1"/>
  <c r="G126" i="1" s="1"/>
  <c r="B127" i="1"/>
  <c r="G127" i="1" s="1"/>
  <c r="B128" i="1"/>
  <c r="G128" i="1" s="1"/>
  <c r="B129" i="1"/>
  <c r="G129" i="1" s="1"/>
  <c r="B130" i="1"/>
  <c r="G130" i="1" s="1"/>
  <c r="B131" i="1"/>
  <c r="G131" i="1" s="1"/>
  <c r="B132" i="1"/>
  <c r="G132" i="1" s="1"/>
  <c r="B133" i="1"/>
  <c r="G133" i="1" s="1"/>
  <c r="B134" i="1"/>
  <c r="G134" i="1" s="1"/>
  <c r="B135" i="1"/>
  <c r="G135" i="1" s="1"/>
  <c r="B136" i="1"/>
  <c r="G136" i="1" s="1"/>
  <c r="B137" i="1"/>
  <c r="G137" i="1" s="1"/>
  <c r="B138" i="1"/>
  <c r="G138" i="1" s="1"/>
  <c r="B139" i="1"/>
  <c r="G139" i="1" s="1"/>
  <c r="B140" i="1"/>
  <c r="G140" i="1" s="1"/>
  <c r="B141" i="1"/>
  <c r="G141" i="1" s="1"/>
  <c r="B142" i="1"/>
  <c r="G142" i="1" s="1"/>
  <c r="B143" i="1"/>
  <c r="G143" i="1" s="1"/>
  <c r="B144" i="1"/>
  <c r="G144" i="1" s="1"/>
  <c r="B145" i="1"/>
  <c r="G145" i="1" s="1"/>
  <c r="B146" i="1"/>
  <c r="G146" i="1" s="1"/>
  <c r="B147" i="1"/>
  <c r="G147" i="1" s="1"/>
  <c r="B148" i="1"/>
  <c r="G148" i="1" s="1"/>
  <c r="B149" i="1"/>
  <c r="G149" i="1" s="1"/>
  <c r="B150" i="1"/>
  <c r="G150" i="1" s="1"/>
  <c r="B151" i="1"/>
  <c r="G151" i="1" s="1"/>
  <c r="B152" i="1"/>
  <c r="G152" i="1" s="1"/>
  <c r="B153" i="1"/>
  <c r="G153" i="1" s="1"/>
  <c r="B154" i="1"/>
  <c r="G154" i="1" s="1"/>
  <c r="B155" i="1"/>
  <c r="G155" i="1" s="1"/>
  <c r="B156" i="1"/>
  <c r="G156" i="1" s="1"/>
  <c r="B157" i="1"/>
  <c r="G157" i="1" s="1"/>
  <c r="B158" i="1"/>
  <c r="G158" i="1" s="1"/>
  <c r="B159" i="1"/>
  <c r="G159" i="1" s="1"/>
  <c r="B160" i="1"/>
  <c r="G160" i="1" s="1"/>
  <c r="B161" i="1"/>
  <c r="G161" i="1" s="1"/>
  <c r="B162" i="1"/>
  <c r="G162" i="1" s="1"/>
  <c r="B163" i="1"/>
  <c r="G163" i="1" s="1"/>
  <c r="B164" i="1"/>
  <c r="G164" i="1" s="1"/>
  <c r="B165" i="1"/>
  <c r="G165" i="1" s="1"/>
  <c r="B166" i="1"/>
  <c r="G166" i="1" s="1"/>
  <c r="B167" i="1"/>
  <c r="G167" i="1" s="1"/>
  <c r="B168" i="1"/>
  <c r="G168" i="1" s="1"/>
  <c r="B169" i="1"/>
  <c r="G169" i="1" s="1"/>
  <c r="B170" i="1"/>
  <c r="G170" i="1" s="1"/>
  <c r="B171" i="1"/>
  <c r="G171" i="1" s="1"/>
  <c r="B172" i="1"/>
  <c r="G172" i="1" s="1"/>
  <c r="B173" i="1"/>
  <c r="G173" i="1" s="1"/>
  <c r="B174" i="1"/>
  <c r="G174" i="1" s="1"/>
  <c r="B175" i="1"/>
  <c r="G175" i="1" s="1"/>
  <c r="B176" i="1"/>
  <c r="G176" i="1" s="1"/>
  <c r="B177" i="1"/>
  <c r="G177" i="1" s="1"/>
  <c r="B178" i="1"/>
  <c r="G178" i="1" s="1"/>
  <c r="B179" i="1"/>
  <c r="G179" i="1" s="1"/>
  <c r="B180" i="1"/>
  <c r="G180" i="1" s="1"/>
  <c r="B181" i="1"/>
  <c r="G181" i="1" s="1"/>
  <c r="B182" i="1"/>
  <c r="G182" i="1" s="1"/>
  <c r="B183" i="1"/>
  <c r="G183" i="1" s="1"/>
  <c r="B184" i="1"/>
  <c r="G184" i="1" s="1"/>
  <c r="B185" i="1"/>
  <c r="G185" i="1" s="1"/>
  <c r="B186" i="1"/>
  <c r="G186" i="1" s="1"/>
  <c r="B187" i="1"/>
  <c r="G187" i="1" s="1"/>
  <c r="B188" i="1"/>
  <c r="G188" i="1" s="1"/>
  <c r="B189" i="1"/>
  <c r="G189" i="1" s="1"/>
  <c r="B190" i="1"/>
  <c r="G190" i="1" s="1"/>
  <c r="B191" i="1"/>
  <c r="G191" i="1" s="1"/>
  <c r="B192" i="1"/>
  <c r="G192" i="1" s="1"/>
  <c r="B193" i="1"/>
  <c r="G193" i="1" s="1"/>
  <c r="B194" i="1"/>
  <c r="G194" i="1" s="1"/>
  <c r="B195" i="1"/>
  <c r="G195" i="1" s="1"/>
  <c r="B196" i="1"/>
  <c r="G196" i="1" s="1"/>
  <c r="B197" i="1"/>
  <c r="G197" i="1" s="1"/>
  <c r="B198" i="1"/>
  <c r="G198" i="1" s="1"/>
  <c r="B199" i="1"/>
  <c r="G199" i="1" s="1"/>
  <c r="B200" i="1"/>
  <c r="G200" i="1" s="1"/>
  <c r="B201" i="1"/>
  <c r="G201" i="1" s="1"/>
  <c r="B202" i="1"/>
  <c r="G202" i="1" s="1"/>
  <c r="B203" i="1"/>
  <c r="G203" i="1" s="1"/>
  <c r="B204" i="1"/>
  <c r="G204" i="1" s="1"/>
  <c r="B205" i="1"/>
  <c r="G205" i="1" s="1"/>
  <c r="B206" i="1"/>
  <c r="G206" i="1" s="1"/>
  <c r="B207" i="1"/>
  <c r="G207" i="1" s="1"/>
  <c r="B208" i="1"/>
  <c r="G208" i="1" s="1"/>
  <c r="B209" i="1"/>
  <c r="G209" i="1" s="1"/>
  <c r="B210" i="1"/>
  <c r="G210" i="1" s="1"/>
  <c r="B211" i="1"/>
  <c r="G211" i="1" s="1"/>
  <c r="B212" i="1"/>
  <c r="G212" i="1" s="1"/>
  <c r="B213" i="1"/>
  <c r="G213" i="1" s="1"/>
  <c r="B214" i="1"/>
  <c r="G214" i="1" s="1"/>
  <c r="B215" i="1"/>
  <c r="G215" i="1" s="1"/>
  <c r="B216" i="1"/>
  <c r="G216" i="1" s="1"/>
  <c r="B217" i="1"/>
  <c r="G217" i="1" s="1"/>
  <c r="B218" i="1"/>
  <c r="G218" i="1" s="1"/>
  <c r="B219" i="1"/>
  <c r="G219" i="1" s="1"/>
  <c r="B220" i="1"/>
  <c r="G220" i="1" s="1"/>
  <c r="B221" i="1"/>
  <c r="G221" i="1" s="1"/>
  <c r="B222" i="1"/>
  <c r="G222" i="1" s="1"/>
  <c r="B223" i="1"/>
  <c r="G223" i="1" s="1"/>
  <c r="B224" i="1"/>
  <c r="G224" i="1" s="1"/>
  <c r="B225" i="1"/>
  <c r="G225" i="1" s="1"/>
  <c r="B226" i="1"/>
  <c r="G226" i="1" s="1"/>
  <c r="B227" i="1"/>
  <c r="G227" i="1" s="1"/>
  <c r="B228" i="1"/>
  <c r="G228" i="1" s="1"/>
  <c r="B229" i="1"/>
  <c r="G229" i="1" s="1"/>
  <c r="B230" i="1"/>
  <c r="G230" i="1" s="1"/>
  <c r="B231" i="1"/>
  <c r="G231" i="1" s="1"/>
  <c r="B232" i="1"/>
  <c r="G232" i="1" s="1"/>
  <c r="B233" i="1"/>
  <c r="G233" i="1" s="1"/>
  <c r="B234" i="1"/>
  <c r="G234" i="1" s="1"/>
  <c r="B235" i="1"/>
  <c r="G235" i="1" s="1"/>
  <c r="B236" i="1"/>
  <c r="G236" i="1" s="1"/>
  <c r="B237" i="1"/>
  <c r="G237" i="1" s="1"/>
  <c r="B238" i="1"/>
  <c r="G238" i="1" s="1"/>
  <c r="B239" i="1"/>
  <c r="G239" i="1" s="1"/>
  <c r="B240" i="1"/>
  <c r="G240" i="1" s="1"/>
  <c r="B241" i="1"/>
  <c r="G241" i="1" s="1"/>
  <c r="B242" i="1"/>
  <c r="G242" i="1" s="1"/>
  <c r="B243" i="1"/>
  <c r="G243" i="1" s="1"/>
  <c r="B244" i="1"/>
  <c r="G244" i="1" s="1"/>
  <c r="B245" i="1"/>
  <c r="G245" i="1" s="1"/>
  <c r="B246" i="1"/>
  <c r="G246" i="1" s="1"/>
  <c r="B247" i="1"/>
  <c r="G247" i="1" s="1"/>
  <c r="B248" i="1"/>
  <c r="G248" i="1" s="1"/>
  <c r="B249" i="1"/>
  <c r="G249" i="1" s="1"/>
  <c r="B250" i="1"/>
  <c r="G250" i="1" s="1"/>
  <c r="B251" i="1"/>
  <c r="G251" i="1" s="1"/>
  <c r="B252" i="1"/>
  <c r="G252" i="1" s="1"/>
  <c r="B253" i="1"/>
  <c r="G253" i="1" s="1"/>
  <c r="B254" i="1"/>
  <c r="G254" i="1" s="1"/>
  <c r="B255" i="1"/>
  <c r="G255" i="1" s="1"/>
  <c r="B256" i="1"/>
  <c r="G256" i="1" s="1"/>
  <c r="B257" i="1"/>
  <c r="G257" i="1" s="1"/>
  <c r="B258" i="1"/>
  <c r="G258" i="1" s="1"/>
  <c r="B259" i="1"/>
  <c r="G259" i="1" s="1"/>
  <c r="B260" i="1"/>
  <c r="G260" i="1" s="1"/>
  <c r="B261" i="1"/>
  <c r="G261" i="1" s="1"/>
  <c r="B262" i="1"/>
  <c r="G262" i="1" s="1"/>
  <c r="B263" i="1"/>
  <c r="G263" i="1" s="1"/>
  <c r="B264" i="1"/>
  <c r="G264" i="1" s="1"/>
  <c r="B265" i="1"/>
  <c r="G265" i="1" s="1"/>
  <c r="B266" i="1"/>
  <c r="G266" i="1" s="1"/>
  <c r="B267" i="1"/>
  <c r="G267" i="1" s="1"/>
  <c r="B268" i="1"/>
  <c r="G268" i="1" s="1"/>
  <c r="B269" i="1"/>
  <c r="G269" i="1" s="1"/>
  <c r="B270" i="1"/>
  <c r="G270" i="1" s="1"/>
  <c r="B271" i="1"/>
  <c r="G271" i="1" s="1"/>
  <c r="B272" i="1"/>
  <c r="G272" i="1" s="1"/>
  <c r="B273" i="1"/>
  <c r="G273" i="1" s="1"/>
  <c r="B274" i="1"/>
  <c r="G274" i="1" s="1"/>
  <c r="B275" i="1"/>
  <c r="G275" i="1" s="1"/>
  <c r="B276" i="1"/>
  <c r="G276" i="1" s="1"/>
  <c r="B277" i="1"/>
  <c r="G277" i="1" s="1"/>
  <c r="B278" i="1"/>
  <c r="G278" i="1" s="1"/>
  <c r="B279" i="1"/>
  <c r="G279" i="1" s="1"/>
  <c r="B280" i="1"/>
  <c r="G280" i="1" s="1"/>
  <c r="B281" i="1"/>
  <c r="G281" i="1" s="1"/>
  <c r="B282" i="1"/>
  <c r="G282" i="1" s="1"/>
  <c r="B283" i="1"/>
  <c r="G283" i="1" s="1"/>
  <c r="B284" i="1"/>
  <c r="G284" i="1" s="1"/>
  <c r="B285" i="1"/>
  <c r="G285" i="1" s="1"/>
  <c r="B286" i="1"/>
  <c r="G286" i="1" s="1"/>
  <c r="B287" i="1"/>
  <c r="G287" i="1" s="1"/>
  <c r="B288" i="1"/>
  <c r="G288" i="1" s="1"/>
  <c r="B289" i="1"/>
  <c r="G289" i="1" s="1"/>
  <c r="B290" i="1"/>
  <c r="G290" i="1" s="1"/>
  <c r="B291" i="1"/>
  <c r="G291" i="1" s="1"/>
  <c r="B292" i="1"/>
  <c r="G292" i="1" s="1"/>
  <c r="B293" i="1"/>
  <c r="G293" i="1" s="1"/>
  <c r="B294" i="1"/>
  <c r="G294" i="1" s="1"/>
  <c r="B295" i="1"/>
  <c r="G295" i="1" s="1"/>
  <c r="B296" i="1"/>
  <c r="G296" i="1" s="1"/>
  <c r="B297" i="1"/>
  <c r="G297" i="1" s="1"/>
  <c r="B298" i="1"/>
  <c r="G298" i="1" s="1"/>
  <c r="B299" i="1"/>
  <c r="G299" i="1" s="1"/>
  <c r="B300" i="1"/>
  <c r="G300" i="1" s="1"/>
  <c r="B301" i="1"/>
  <c r="G301" i="1" s="1"/>
  <c r="B302" i="1"/>
  <c r="G302" i="1" s="1"/>
  <c r="B303" i="1"/>
  <c r="G303" i="1" s="1"/>
  <c r="B304" i="1"/>
  <c r="G304" i="1" s="1"/>
  <c r="B305" i="1"/>
  <c r="G305" i="1" s="1"/>
  <c r="B306" i="1"/>
  <c r="G306" i="1" s="1"/>
  <c r="B307" i="1"/>
  <c r="G307" i="1" s="1"/>
  <c r="B308" i="1"/>
  <c r="G308" i="1" s="1"/>
  <c r="B309" i="1"/>
  <c r="G309" i="1" s="1"/>
  <c r="B310" i="1"/>
  <c r="G310" i="1" s="1"/>
  <c r="B311" i="1"/>
  <c r="G311" i="1" s="1"/>
  <c r="B312" i="1"/>
  <c r="G312" i="1" s="1"/>
  <c r="B313" i="1"/>
  <c r="G313" i="1" s="1"/>
  <c r="B314" i="1"/>
  <c r="G314" i="1" s="1"/>
  <c r="B315" i="1"/>
  <c r="G315" i="1" s="1"/>
  <c r="B316" i="1"/>
  <c r="G316" i="1" s="1"/>
  <c r="B317" i="1"/>
  <c r="G317" i="1" s="1"/>
  <c r="B318" i="1"/>
  <c r="G318" i="1" s="1"/>
  <c r="B319" i="1"/>
  <c r="G319" i="1" s="1"/>
  <c r="B320" i="1"/>
  <c r="G320" i="1" s="1"/>
  <c r="B321" i="1"/>
  <c r="G321" i="1" s="1"/>
  <c r="B322" i="1"/>
  <c r="G322" i="1" s="1"/>
  <c r="B323" i="1"/>
  <c r="G323" i="1" s="1"/>
  <c r="B324" i="1"/>
  <c r="G324" i="1" s="1"/>
  <c r="B325" i="1"/>
  <c r="G325" i="1" s="1"/>
  <c r="B326" i="1"/>
  <c r="G326" i="1" s="1"/>
  <c r="B327" i="1"/>
  <c r="G327" i="1" s="1"/>
  <c r="B328" i="1"/>
  <c r="G328" i="1" s="1"/>
  <c r="B329" i="1"/>
  <c r="G329" i="1" s="1"/>
  <c r="B330" i="1"/>
  <c r="G330" i="1" s="1"/>
  <c r="B331" i="1"/>
  <c r="G331" i="1" s="1"/>
  <c r="B332" i="1"/>
  <c r="G332" i="1" s="1"/>
  <c r="B333" i="1"/>
  <c r="G333" i="1" s="1"/>
  <c r="B334" i="1"/>
  <c r="G334" i="1" s="1"/>
  <c r="B335" i="1"/>
  <c r="G335" i="1" s="1"/>
  <c r="B336" i="1"/>
  <c r="G336" i="1" s="1"/>
  <c r="B337" i="1"/>
  <c r="G337" i="1" s="1"/>
  <c r="B338" i="1"/>
  <c r="G338" i="1" s="1"/>
  <c r="B339" i="1"/>
  <c r="G339" i="1" s="1"/>
  <c r="B340" i="1"/>
  <c r="G340" i="1" s="1"/>
  <c r="B341" i="1"/>
  <c r="G341" i="1" s="1"/>
  <c r="B342" i="1"/>
  <c r="G342" i="1" s="1"/>
  <c r="B343" i="1"/>
  <c r="G343" i="1" s="1"/>
  <c r="B344" i="1"/>
  <c r="G344" i="1" s="1"/>
  <c r="B345" i="1"/>
  <c r="G345" i="1" s="1"/>
  <c r="B346" i="1"/>
  <c r="G346" i="1" s="1"/>
  <c r="B347" i="1"/>
  <c r="G347" i="1" s="1"/>
  <c r="B348" i="1"/>
  <c r="G348" i="1" s="1"/>
  <c r="B349" i="1"/>
  <c r="G349" i="1" s="1"/>
  <c r="B350" i="1"/>
  <c r="G350" i="1" s="1"/>
  <c r="B351" i="1"/>
  <c r="G351" i="1" s="1"/>
  <c r="B352" i="1"/>
  <c r="G352" i="1" s="1"/>
  <c r="B353" i="1"/>
  <c r="G353" i="1" s="1"/>
  <c r="B354" i="1"/>
  <c r="G354" i="1" s="1"/>
  <c r="B355" i="1"/>
  <c r="G355" i="1" s="1"/>
  <c r="B356" i="1"/>
  <c r="G356" i="1" s="1"/>
  <c r="B357" i="1"/>
  <c r="G357" i="1" s="1"/>
  <c r="B358" i="1"/>
  <c r="G358" i="1" s="1"/>
  <c r="B359" i="1"/>
  <c r="G359" i="1" s="1"/>
  <c r="B360" i="1"/>
  <c r="G360" i="1" s="1"/>
  <c r="B361" i="1"/>
  <c r="G361" i="1" s="1"/>
  <c r="B362" i="1"/>
  <c r="G362" i="1" s="1"/>
  <c r="B363" i="1"/>
  <c r="G363" i="1" s="1"/>
  <c r="B364" i="1"/>
  <c r="G364" i="1" s="1"/>
  <c r="B365" i="1"/>
  <c r="G365" i="1" s="1"/>
  <c r="B366" i="1"/>
  <c r="G366" i="1" s="1"/>
  <c r="B367" i="1"/>
  <c r="G367" i="1" s="1"/>
  <c r="B368" i="1"/>
  <c r="G368" i="1" s="1"/>
  <c r="B369" i="1"/>
  <c r="G369" i="1" s="1"/>
  <c r="B370" i="1"/>
  <c r="G370" i="1" s="1"/>
  <c r="B371" i="1"/>
  <c r="G371" i="1" s="1"/>
  <c r="B372" i="1"/>
  <c r="G372" i="1" s="1"/>
  <c r="B373" i="1"/>
  <c r="G373" i="1" s="1"/>
  <c r="B374" i="1"/>
  <c r="G374" i="1" s="1"/>
  <c r="B375" i="1"/>
  <c r="G375" i="1" s="1"/>
  <c r="B376" i="1"/>
  <c r="G376" i="1" s="1"/>
  <c r="B377" i="1"/>
  <c r="G377" i="1" s="1"/>
  <c r="B378" i="1"/>
  <c r="G378" i="1" s="1"/>
  <c r="B379" i="1"/>
  <c r="G379" i="1" s="1"/>
  <c r="B380" i="1"/>
  <c r="G380" i="1" s="1"/>
  <c r="B381" i="1"/>
  <c r="G381" i="1" s="1"/>
  <c r="B382" i="1"/>
  <c r="G382" i="1" s="1"/>
  <c r="B383" i="1"/>
  <c r="G383" i="1" s="1"/>
  <c r="B384" i="1"/>
  <c r="G384" i="1" s="1"/>
  <c r="B385" i="1"/>
  <c r="G385" i="1" s="1"/>
  <c r="B386" i="1"/>
  <c r="G386" i="1" s="1"/>
  <c r="B387" i="1"/>
  <c r="G387" i="1" s="1"/>
  <c r="B388" i="1"/>
  <c r="G388" i="1" s="1"/>
  <c r="B389" i="1"/>
  <c r="G389" i="1" s="1"/>
  <c r="B390" i="1"/>
  <c r="G390" i="1" s="1"/>
  <c r="B391" i="1"/>
  <c r="G391" i="1" s="1"/>
  <c r="B392" i="1"/>
  <c r="G392" i="1" s="1"/>
  <c r="B393" i="1"/>
  <c r="G393" i="1" s="1"/>
  <c r="B394" i="1"/>
  <c r="G394" i="1" s="1"/>
  <c r="B395" i="1"/>
  <c r="G395" i="1" s="1"/>
  <c r="B396" i="1"/>
  <c r="G396" i="1" s="1"/>
  <c r="B397" i="1"/>
  <c r="G397" i="1" s="1"/>
  <c r="B398" i="1"/>
  <c r="G398" i="1" s="1"/>
  <c r="B399" i="1"/>
  <c r="G399" i="1" s="1"/>
  <c r="B400" i="1"/>
  <c r="G400" i="1" s="1"/>
  <c r="B401" i="1"/>
  <c r="G401" i="1" s="1"/>
  <c r="B402" i="1"/>
  <c r="G402" i="1" s="1"/>
  <c r="B403" i="1"/>
  <c r="G403" i="1" s="1"/>
  <c r="B404" i="1"/>
  <c r="G404" i="1" s="1"/>
  <c r="B405" i="1"/>
  <c r="G405" i="1" s="1"/>
  <c r="B406" i="1"/>
  <c r="G406" i="1" s="1"/>
  <c r="B407" i="1"/>
  <c r="G407" i="1" s="1"/>
  <c r="B408" i="1"/>
  <c r="G408" i="1" s="1"/>
  <c r="B409" i="1"/>
  <c r="G409" i="1" s="1"/>
  <c r="B410" i="1"/>
  <c r="G410" i="1" s="1"/>
  <c r="B411" i="1"/>
  <c r="G411" i="1" s="1"/>
  <c r="B412" i="1"/>
  <c r="G412" i="1" s="1"/>
  <c r="B413" i="1"/>
  <c r="G413" i="1" s="1"/>
  <c r="B414" i="1"/>
  <c r="G414" i="1" s="1"/>
  <c r="B415" i="1"/>
  <c r="G415" i="1" s="1"/>
  <c r="B416" i="1"/>
  <c r="G416" i="1" s="1"/>
  <c r="B417" i="1"/>
  <c r="G417" i="1" s="1"/>
  <c r="B418" i="1"/>
  <c r="G418" i="1" s="1"/>
  <c r="B419" i="1"/>
  <c r="G419" i="1" s="1"/>
  <c r="B420" i="1"/>
  <c r="G420" i="1" s="1"/>
  <c r="B421" i="1"/>
  <c r="G421" i="1" s="1"/>
  <c r="B422" i="1"/>
  <c r="G422" i="1" s="1"/>
  <c r="B423" i="1"/>
  <c r="G423" i="1" s="1"/>
  <c r="B424" i="1"/>
  <c r="G424" i="1" s="1"/>
  <c r="B425" i="1"/>
  <c r="G425" i="1" s="1"/>
  <c r="B426" i="1"/>
  <c r="G426" i="1" s="1"/>
  <c r="B427" i="1"/>
  <c r="G427" i="1" s="1"/>
  <c r="B428" i="1"/>
  <c r="G428" i="1" s="1"/>
  <c r="B429" i="1"/>
  <c r="G429" i="1" s="1"/>
  <c r="B430" i="1"/>
  <c r="G430" i="1" s="1"/>
  <c r="B431" i="1"/>
  <c r="G431" i="1" s="1"/>
  <c r="B432" i="1"/>
  <c r="G432" i="1" s="1"/>
  <c r="B433" i="1"/>
  <c r="G433" i="1" s="1"/>
  <c r="B434" i="1"/>
  <c r="G434" i="1" s="1"/>
  <c r="B435" i="1"/>
  <c r="G435" i="1" s="1"/>
  <c r="B436" i="1"/>
  <c r="G436" i="1" s="1"/>
  <c r="B437" i="1"/>
  <c r="G437" i="1" s="1"/>
  <c r="B438" i="1"/>
  <c r="G438" i="1" s="1"/>
  <c r="B439" i="1"/>
  <c r="G439" i="1" s="1"/>
  <c r="B440" i="1"/>
  <c r="G440" i="1" s="1"/>
  <c r="B441" i="1"/>
  <c r="G441" i="1" s="1"/>
  <c r="B442" i="1"/>
  <c r="G442" i="1" s="1"/>
  <c r="B443" i="1"/>
  <c r="G443" i="1" s="1"/>
  <c r="B444" i="1"/>
  <c r="G444" i="1" s="1"/>
  <c r="B445" i="1"/>
  <c r="G445" i="1" s="1"/>
  <c r="B446" i="1"/>
  <c r="G446" i="1" s="1"/>
  <c r="B447" i="1"/>
  <c r="G447" i="1" s="1"/>
  <c r="B448" i="1"/>
  <c r="G448" i="1" s="1"/>
  <c r="B449" i="1"/>
  <c r="G449" i="1" s="1"/>
  <c r="B450" i="1"/>
  <c r="G450" i="1" s="1"/>
  <c r="B451" i="1"/>
  <c r="G451" i="1" s="1"/>
  <c r="B452" i="1"/>
  <c r="G452" i="1" s="1"/>
  <c r="B453" i="1"/>
  <c r="G453" i="1" s="1"/>
  <c r="B454" i="1"/>
  <c r="G454" i="1" s="1"/>
  <c r="B455" i="1"/>
  <c r="G455" i="1" s="1"/>
  <c r="B456" i="1"/>
  <c r="G456" i="1" s="1"/>
  <c r="B457" i="1"/>
  <c r="G457" i="1" s="1"/>
  <c r="B458" i="1"/>
  <c r="G458" i="1" s="1"/>
  <c r="B459" i="1"/>
  <c r="G459" i="1" s="1"/>
  <c r="B460" i="1"/>
  <c r="G460" i="1" s="1"/>
  <c r="B461" i="1"/>
  <c r="G461" i="1" s="1"/>
  <c r="B462" i="1"/>
  <c r="G462" i="1" s="1"/>
  <c r="B463" i="1"/>
  <c r="G463" i="1" s="1"/>
  <c r="B464" i="1"/>
  <c r="G464" i="1" s="1"/>
  <c r="B465" i="1"/>
  <c r="G465" i="1" s="1"/>
  <c r="B466" i="1"/>
  <c r="G466" i="1" s="1"/>
  <c r="B467" i="1"/>
  <c r="G467" i="1" s="1"/>
  <c r="B468" i="1"/>
  <c r="G468" i="1" s="1"/>
  <c r="B469" i="1"/>
  <c r="G469" i="1" s="1"/>
  <c r="B470" i="1"/>
  <c r="G470" i="1" s="1"/>
  <c r="B471" i="1"/>
  <c r="G471" i="1" s="1"/>
  <c r="B472" i="1"/>
  <c r="G472" i="1" s="1"/>
  <c r="B473" i="1"/>
  <c r="G473" i="1" s="1"/>
  <c r="B474" i="1"/>
  <c r="G474" i="1" s="1"/>
  <c r="B475" i="1"/>
  <c r="G475" i="1" s="1"/>
  <c r="B476" i="1"/>
  <c r="G476" i="1" s="1"/>
  <c r="B477" i="1"/>
  <c r="G477" i="1" s="1"/>
  <c r="B478" i="1"/>
  <c r="G478" i="1" s="1"/>
  <c r="B479" i="1"/>
  <c r="G479" i="1" s="1"/>
  <c r="B480" i="1"/>
  <c r="G480" i="1" s="1"/>
  <c r="B481" i="1"/>
  <c r="G481" i="1" s="1"/>
  <c r="B482" i="1"/>
  <c r="G482" i="1" s="1"/>
  <c r="B483" i="1"/>
  <c r="G483" i="1" s="1"/>
  <c r="B484" i="1"/>
  <c r="G484" i="1" s="1"/>
  <c r="B485" i="1"/>
  <c r="G485" i="1" s="1"/>
  <c r="B486" i="1"/>
  <c r="G486" i="1" s="1"/>
  <c r="B487" i="1"/>
  <c r="G487" i="1" s="1"/>
  <c r="B488" i="1"/>
  <c r="G488" i="1" s="1"/>
  <c r="B489" i="1"/>
  <c r="G489" i="1" s="1"/>
  <c r="B490" i="1"/>
  <c r="G490" i="1" s="1"/>
  <c r="B491" i="1"/>
  <c r="G491" i="1" s="1"/>
  <c r="B492" i="1"/>
  <c r="G492" i="1" s="1"/>
  <c r="B493" i="1"/>
  <c r="G493" i="1" s="1"/>
  <c r="B494" i="1"/>
  <c r="G494" i="1" s="1"/>
  <c r="B495" i="1"/>
  <c r="G495" i="1" s="1"/>
  <c r="B496" i="1"/>
  <c r="G496" i="1" s="1"/>
  <c r="B497" i="1"/>
  <c r="G497" i="1" s="1"/>
  <c r="B498" i="1"/>
  <c r="G498" i="1" s="1"/>
  <c r="B499" i="1"/>
  <c r="G499" i="1" s="1"/>
  <c r="B500" i="1"/>
  <c r="G500" i="1" s="1"/>
  <c r="B501" i="1"/>
  <c r="G501" i="1" s="1"/>
  <c r="B502" i="1"/>
  <c r="G502" i="1" s="1"/>
  <c r="B503" i="1"/>
  <c r="G503" i="1" s="1"/>
  <c r="B504" i="1"/>
  <c r="G504" i="1" s="1"/>
  <c r="B505" i="1"/>
  <c r="G505" i="1" s="1"/>
  <c r="B506" i="1"/>
  <c r="G506" i="1" s="1"/>
  <c r="B507" i="1"/>
  <c r="G507" i="1" s="1"/>
  <c r="B508" i="1"/>
  <c r="G508" i="1" s="1"/>
  <c r="B509" i="1"/>
  <c r="G509" i="1" s="1"/>
  <c r="B510" i="1"/>
  <c r="G510" i="1" s="1"/>
  <c r="B511" i="1"/>
  <c r="G511" i="1" s="1"/>
  <c r="B512" i="1"/>
  <c r="G512" i="1" s="1"/>
  <c r="B513" i="1"/>
  <c r="G513" i="1" s="1"/>
  <c r="B514" i="1"/>
  <c r="G514" i="1" s="1"/>
  <c r="B515" i="1"/>
  <c r="G515" i="1" s="1"/>
  <c r="B516" i="1"/>
  <c r="G516" i="1" s="1"/>
  <c r="B517" i="1"/>
  <c r="G517" i="1" s="1"/>
  <c r="B518" i="1"/>
  <c r="G518" i="1" s="1"/>
  <c r="B519" i="1"/>
  <c r="G519" i="1" s="1"/>
  <c r="B520" i="1"/>
  <c r="G520" i="1" s="1"/>
  <c r="B521" i="1"/>
  <c r="G521" i="1" s="1"/>
  <c r="B522" i="1"/>
  <c r="G522" i="1" s="1"/>
  <c r="B523" i="1"/>
  <c r="G523" i="1" s="1"/>
  <c r="B524" i="1"/>
  <c r="G524" i="1" s="1"/>
  <c r="B525" i="1"/>
  <c r="G525" i="1" s="1"/>
  <c r="B526" i="1"/>
  <c r="G526" i="1" s="1"/>
  <c r="B527" i="1"/>
  <c r="G527" i="1" s="1"/>
  <c r="B528" i="1"/>
  <c r="G528" i="1" s="1"/>
  <c r="B529" i="1"/>
  <c r="G529" i="1" s="1"/>
  <c r="B530" i="1"/>
  <c r="G530" i="1" s="1"/>
  <c r="B531" i="1"/>
  <c r="G531" i="1" s="1"/>
  <c r="B532" i="1"/>
  <c r="G532" i="1" s="1"/>
  <c r="B533" i="1"/>
  <c r="G533" i="1" s="1"/>
  <c r="B534" i="1"/>
  <c r="G534" i="1" s="1"/>
  <c r="B535" i="1"/>
  <c r="G535" i="1" s="1"/>
  <c r="B536" i="1"/>
  <c r="G536" i="1" s="1"/>
  <c r="B537" i="1"/>
  <c r="G537" i="1" s="1"/>
  <c r="B538" i="1"/>
  <c r="G538" i="1" s="1"/>
  <c r="B539" i="1"/>
  <c r="G539" i="1" s="1"/>
  <c r="B540" i="1"/>
  <c r="G540" i="1" s="1"/>
  <c r="B541" i="1"/>
  <c r="G541" i="1" s="1"/>
  <c r="B542" i="1"/>
  <c r="G542" i="1" s="1"/>
  <c r="B543" i="1"/>
  <c r="G543" i="1" s="1"/>
  <c r="B544" i="1"/>
  <c r="G544" i="1" s="1"/>
  <c r="B545" i="1"/>
  <c r="G545" i="1" s="1"/>
  <c r="B546" i="1"/>
  <c r="G546" i="1" s="1"/>
  <c r="B547" i="1"/>
  <c r="G547" i="1" s="1"/>
  <c r="B548" i="1"/>
  <c r="G548" i="1" s="1"/>
  <c r="B549" i="1"/>
  <c r="G549" i="1" s="1"/>
  <c r="B550" i="1"/>
  <c r="G550" i="1" s="1"/>
  <c r="B551" i="1"/>
  <c r="G551" i="1" s="1"/>
  <c r="B552" i="1"/>
  <c r="G552" i="1" s="1"/>
  <c r="B553" i="1"/>
  <c r="G553" i="1" s="1"/>
  <c r="B554" i="1"/>
  <c r="G554" i="1" s="1"/>
  <c r="B555" i="1"/>
  <c r="G555" i="1" s="1"/>
  <c r="B556" i="1"/>
  <c r="G556" i="1" s="1"/>
  <c r="B557" i="1"/>
  <c r="G557" i="1" s="1"/>
  <c r="B558" i="1"/>
  <c r="G558" i="1" s="1"/>
  <c r="B559" i="1"/>
  <c r="G559" i="1" s="1"/>
  <c r="B560" i="1"/>
  <c r="G560" i="1" s="1"/>
  <c r="B561" i="1"/>
  <c r="G561" i="1" s="1"/>
  <c r="B562" i="1"/>
  <c r="G562" i="1" s="1"/>
  <c r="B563" i="1"/>
  <c r="G563" i="1" s="1"/>
  <c r="B564" i="1"/>
  <c r="G564" i="1" s="1"/>
  <c r="B565" i="1"/>
  <c r="G565" i="1" s="1"/>
  <c r="B566" i="1"/>
  <c r="G566" i="1" s="1"/>
  <c r="B567" i="1"/>
  <c r="G567" i="1" s="1"/>
  <c r="B568" i="1"/>
  <c r="G568" i="1" s="1"/>
  <c r="B569" i="1"/>
  <c r="G569" i="1" s="1"/>
  <c r="B570" i="1"/>
  <c r="G570" i="1" s="1"/>
  <c r="B571" i="1"/>
  <c r="G571" i="1" s="1"/>
  <c r="B572" i="1"/>
  <c r="G572" i="1" s="1"/>
  <c r="B573" i="1"/>
  <c r="G573" i="1" s="1"/>
  <c r="B574" i="1"/>
  <c r="G574" i="1" s="1"/>
  <c r="B575" i="1"/>
  <c r="G575" i="1" s="1"/>
  <c r="B576" i="1"/>
  <c r="G576" i="1" s="1"/>
  <c r="B577" i="1"/>
  <c r="G577" i="1" s="1"/>
  <c r="B578" i="1"/>
  <c r="G578" i="1" s="1"/>
  <c r="B579" i="1"/>
  <c r="G579" i="1" s="1"/>
  <c r="B580" i="1"/>
  <c r="G580" i="1" s="1"/>
  <c r="B581" i="1"/>
  <c r="G581" i="1" s="1"/>
  <c r="B582" i="1"/>
  <c r="G582" i="1" s="1"/>
  <c r="B583" i="1"/>
  <c r="G583" i="1" s="1"/>
  <c r="B584" i="1"/>
  <c r="G584" i="1" s="1"/>
  <c r="B585" i="1"/>
  <c r="G585" i="1" s="1"/>
  <c r="B586" i="1"/>
  <c r="G586" i="1" s="1"/>
  <c r="B587" i="1"/>
  <c r="G587" i="1" s="1"/>
  <c r="B588" i="1"/>
  <c r="G588" i="1" s="1"/>
  <c r="B589" i="1"/>
  <c r="G589" i="1" s="1"/>
  <c r="B590" i="1"/>
  <c r="G590" i="1" s="1"/>
  <c r="B591" i="1"/>
  <c r="G591" i="1" s="1"/>
  <c r="B592" i="1"/>
  <c r="G592" i="1" s="1"/>
  <c r="B593" i="1"/>
  <c r="G593" i="1" s="1"/>
  <c r="B594" i="1"/>
  <c r="G594" i="1" s="1"/>
  <c r="B595" i="1"/>
  <c r="G595" i="1" s="1"/>
  <c r="B596" i="1"/>
  <c r="G596" i="1" s="1"/>
  <c r="B597" i="1"/>
  <c r="G597" i="1" s="1"/>
  <c r="B598" i="1"/>
  <c r="G598" i="1" s="1"/>
  <c r="B599" i="1"/>
  <c r="G599" i="1" s="1"/>
  <c r="B600" i="1"/>
  <c r="G600" i="1" s="1"/>
  <c r="B601" i="1"/>
  <c r="G601" i="1" s="1"/>
  <c r="B602" i="1"/>
  <c r="G602" i="1" s="1"/>
  <c r="B603" i="1"/>
  <c r="G603" i="1" s="1"/>
  <c r="B604" i="1"/>
  <c r="G604" i="1" s="1"/>
  <c r="B605" i="1"/>
  <c r="G605" i="1" s="1"/>
  <c r="B606" i="1"/>
  <c r="G606" i="1" s="1"/>
  <c r="B607" i="1"/>
  <c r="G607" i="1" s="1"/>
  <c r="B608" i="1"/>
  <c r="G608" i="1" s="1"/>
  <c r="B609" i="1"/>
  <c r="G609" i="1" s="1"/>
  <c r="B610" i="1"/>
  <c r="G610" i="1" s="1"/>
  <c r="B611" i="1"/>
  <c r="G611" i="1" s="1"/>
  <c r="B612" i="1"/>
  <c r="G612" i="1" s="1"/>
  <c r="B613" i="1"/>
  <c r="G613" i="1" s="1"/>
  <c r="B614" i="1"/>
  <c r="G614" i="1" s="1"/>
  <c r="B615" i="1"/>
  <c r="G615" i="1" s="1"/>
  <c r="B616" i="1"/>
  <c r="G616" i="1" s="1"/>
  <c r="B617" i="1"/>
  <c r="G617" i="1" s="1"/>
  <c r="B618" i="1"/>
  <c r="G618" i="1" s="1"/>
  <c r="B619" i="1"/>
  <c r="G619" i="1" s="1"/>
  <c r="B620" i="1"/>
  <c r="G620" i="1" s="1"/>
  <c r="B621" i="1"/>
  <c r="G621" i="1" s="1"/>
  <c r="B622" i="1"/>
  <c r="G622" i="1" s="1"/>
  <c r="B623" i="1"/>
  <c r="G623" i="1" s="1"/>
  <c r="B624" i="1"/>
  <c r="G624" i="1" s="1"/>
  <c r="B625" i="1"/>
  <c r="G625" i="1" s="1"/>
  <c r="B626" i="1"/>
  <c r="G626" i="1" s="1"/>
  <c r="B627" i="1"/>
  <c r="G627" i="1" s="1"/>
  <c r="B628" i="1"/>
  <c r="G628" i="1" s="1"/>
  <c r="B629" i="1"/>
  <c r="G629" i="1" s="1"/>
  <c r="B630" i="1"/>
  <c r="G630" i="1" s="1"/>
  <c r="B631" i="1"/>
  <c r="G631" i="1" s="1"/>
  <c r="B632" i="1"/>
  <c r="G632" i="1" s="1"/>
  <c r="B633" i="1"/>
  <c r="G633" i="1" s="1"/>
  <c r="B634" i="1"/>
  <c r="G634" i="1" s="1"/>
  <c r="B635" i="1"/>
  <c r="G635" i="1" s="1"/>
  <c r="B636" i="1"/>
  <c r="G636" i="1" s="1"/>
  <c r="B637" i="1"/>
  <c r="G637" i="1" s="1"/>
  <c r="B638" i="1"/>
  <c r="G638" i="1" s="1"/>
  <c r="B639" i="1"/>
  <c r="G639" i="1" s="1"/>
  <c r="B640" i="1"/>
  <c r="G640" i="1" s="1"/>
  <c r="B641" i="1"/>
  <c r="G641" i="1" s="1"/>
  <c r="B642" i="1"/>
  <c r="G642" i="1" s="1"/>
  <c r="B643" i="1"/>
  <c r="G643" i="1" s="1"/>
  <c r="B644" i="1"/>
  <c r="G644" i="1" s="1"/>
  <c r="B645" i="1"/>
  <c r="G645" i="1" s="1"/>
  <c r="B646" i="1"/>
  <c r="G646" i="1" s="1"/>
  <c r="B647" i="1"/>
  <c r="G647" i="1" s="1"/>
  <c r="B648" i="1"/>
  <c r="G648" i="1" s="1"/>
  <c r="B649" i="1"/>
  <c r="G649" i="1" s="1"/>
  <c r="B650" i="1"/>
  <c r="G650" i="1" s="1"/>
  <c r="B651" i="1"/>
  <c r="G651" i="1" s="1"/>
  <c r="B652" i="1"/>
  <c r="G652" i="1" s="1"/>
  <c r="B653" i="1"/>
  <c r="G653" i="1" s="1"/>
  <c r="B654" i="1"/>
  <c r="G654" i="1" s="1"/>
  <c r="B655" i="1"/>
  <c r="G655" i="1" s="1"/>
  <c r="B656" i="1"/>
  <c r="G656" i="1" s="1"/>
  <c r="B657" i="1"/>
  <c r="G657" i="1" s="1"/>
  <c r="B658" i="1"/>
  <c r="G658" i="1" s="1"/>
  <c r="B659" i="1"/>
  <c r="G659" i="1" s="1"/>
  <c r="B660" i="1"/>
  <c r="G660" i="1" s="1"/>
  <c r="B661" i="1"/>
  <c r="G661" i="1" s="1"/>
  <c r="B662" i="1"/>
  <c r="G662" i="1" s="1"/>
  <c r="B663" i="1"/>
  <c r="G663" i="1" s="1"/>
  <c r="B664" i="1"/>
  <c r="G664" i="1" s="1"/>
  <c r="B665" i="1"/>
  <c r="G665" i="1" s="1"/>
  <c r="B666" i="1"/>
  <c r="G666" i="1" s="1"/>
  <c r="B667" i="1"/>
  <c r="G667" i="1" s="1"/>
  <c r="B668" i="1"/>
  <c r="G668" i="1" s="1"/>
  <c r="B669" i="1"/>
  <c r="G669" i="1" s="1"/>
  <c r="B670" i="1"/>
  <c r="G670" i="1" s="1"/>
  <c r="B671" i="1"/>
  <c r="G671" i="1" s="1"/>
  <c r="B672" i="1"/>
  <c r="G672" i="1" s="1"/>
  <c r="B673" i="1"/>
  <c r="G673" i="1" s="1"/>
  <c r="B674" i="1"/>
  <c r="G674" i="1" s="1"/>
  <c r="B675" i="1"/>
  <c r="G675" i="1" s="1"/>
  <c r="B676" i="1"/>
  <c r="G676" i="1" s="1"/>
  <c r="B677" i="1"/>
  <c r="G677" i="1" s="1"/>
  <c r="B678" i="1"/>
  <c r="G678" i="1" s="1"/>
  <c r="B679" i="1"/>
  <c r="G679" i="1" s="1"/>
  <c r="B680" i="1"/>
  <c r="G680" i="1" s="1"/>
  <c r="B681" i="1"/>
  <c r="G681" i="1" s="1"/>
  <c r="B682" i="1"/>
  <c r="G682" i="1" s="1"/>
  <c r="B683" i="1"/>
  <c r="G683" i="1" s="1"/>
  <c r="B684" i="1"/>
  <c r="G684" i="1" s="1"/>
  <c r="B685" i="1"/>
  <c r="G685" i="1" s="1"/>
  <c r="B686" i="1"/>
  <c r="G686" i="1" s="1"/>
  <c r="B687" i="1"/>
  <c r="G687" i="1" s="1"/>
  <c r="B688" i="1"/>
  <c r="G688" i="1" s="1"/>
  <c r="B689" i="1"/>
  <c r="G689" i="1" s="1"/>
  <c r="B690" i="1"/>
  <c r="G690" i="1" s="1"/>
  <c r="B691" i="1"/>
  <c r="G691" i="1" s="1"/>
  <c r="B692" i="1"/>
  <c r="G692" i="1" s="1"/>
  <c r="B693" i="1"/>
  <c r="G693" i="1" s="1"/>
  <c r="B694" i="1"/>
  <c r="G694" i="1" s="1"/>
  <c r="B695" i="1"/>
  <c r="G695" i="1" s="1"/>
  <c r="B696" i="1"/>
  <c r="G696" i="1" s="1"/>
  <c r="B697" i="1"/>
  <c r="G697" i="1" s="1"/>
  <c r="B698" i="1"/>
  <c r="G698" i="1" s="1"/>
  <c r="B699" i="1"/>
  <c r="G699" i="1" s="1"/>
  <c r="B700" i="1"/>
  <c r="G700" i="1" s="1"/>
  <c r="B701" i="1"/>
  <c r="G701" i="1" s="1"/>
  <c r="B702" i="1"/>
  <c r="G702" i="1" s="1"/>
  <c r="B703" i="1"/>
  <c r="G703" i="1" s="1"/>
  <c r="B704" i="1"/>
  <c r="G704" i="1" s="1"/>
  <c r="B705" i="1"/>
  <c r="G705" i="1" s="1"/>
  <c r="B706" i="1"/>
  <c r="G706" i="1" s="1"/>
  <c r="B707" i="1"/>
  <c r="G707" i="1" s="1"/>
  <c r="B708" i="1"/>
  <c r="G708" i="1" s="1"/>
  <c r="B709" i="1"/>
  <c r="G709" i="1" s="1"/>
  <c r="B710" i="1"/>
  <c r="G710" i="1" s="1"/>
  <c r="B711" i="1"/>
  <c r="G711" i="1" s="1"/>
  <c r="B712" i="1"/>
  <c r="G712" i="1" s="1"/>
  <c r="B713" i="1"/>
  <c r="G713" i="1" s="1"/>
  <c r="B714" i="1"/>
  <c r="G714" i="1" s="1"/>
  <c r="B715" i="1"/>
  <c r="G715" i="1" s="1"/>
  <c r="B716" i="1"/>
  <c r="G716" i="1" s="1"/>
  <c r="B717" i="1"/>
  <c r="G717" i="1" s="1"/>
  <c r="B718" i="1"/>
  <c r="G718" i="1" s="1"/>
  <c r="B719" i="1"/>
  <c r="G719" i="1" s="1"/>
  <c r="B720" i="1"/>
  <c r="G720" i="1" s="1"/>
  <c r="B721" i="1"/>
  <c r="G721" i="1" s="1"/>
  <c r="B722" i="1"/>
  <c r="G722" i="1" s="1"/>
  <c r="B723" i="1"/>
  <c r="G723" i="1" s="1"/>
  <c r="B724" i="1"/>
  <c r="G724" i="1" s="1"/>
  <c r="B725" i="1"/>
  <c r="G725" i="1" s="1"/>
  <c r="B726" i="1"/>
  <c r="G726" i="1" s="1"/>
  <c r="B727" i="1"/>
  <c r="G727" i="1" s="1"/>
  <c r="B728" i="1"/>
  <c r="G728" i="1" s="1"/>
  <c r="B729" i="1"/>
  <c r="G729" i="1" s="1"/>
  <c r="B730" i="1"/>
  <c r="G730" i="1" s="1"/>
  <c r="B731" i="1"/>
  <c r="G731" i="1" s="1"/>
  <c r="B732" i="1"/>
  <c r="G732" i="1" s="1"/>
  <c r="B733" i="1"/>
  <c r="G733" i="1" s="1"/>
  <c r="B734" i="1"/>
  <c r="G734" i="1" s="1"/>
  <c r="B735" i="1"/>
  <c r="G735" i="1" s="1"/>
  <c r="B736" i="1"/>
  <c r="G736" i="1" s="1"/>
  <c r="B737" i="1"/>
  <c r="G737" i="1" s="1"/>
  <c r="B738" i="1"/>
  <c r="G738" i="1" s="1"/>
  <c r="B739" i="1"/>
  <c r="G739" i="1" s="1"/>
  <c r="B740" i="1"/>
  <c r="G740" i="1" s="1"/>
  <c r="B741" i="1"/>
  <c r="G741" i="1" s="1"/>
  <c r="B742" i="1"/>
  <c r="G742" i="1" s="1"/>
  <c r="B743" i="1"/>
  <c r="G743" i="1" s="1"/>
  <c r="B744" i="1"/>
  <c r="G744" i="1" s="1"/>
  <c r="B745" i="1"/>
  <c r="G745" i="1" s="1"/>
  <c r="B746" i="1"/>
  <c r="G746" i="1" s="1"/>
  <c r="B747" i="1"/>
  <c r="G747" i="1" s="1"/>
  <c r="B748" i="1"/>
  <c r="G748" i="1" s="1"/>
  <c r="B749" i="1"/>
  <c r="G749" i="1" s="1"/>
  <c r="B750" i="1"/>
  <c r="G750" i="1" s="1"/>
  <c r="B751" i="1"/>
  <c r="G751" i="1" s="1"/>
  <c r="B752" i="1"/>
  <c r="G752" i="1" s="1"/>
  <c r="B753" i="1"/>
  <c r="G753" i="1" s="1"/>
  <c r="B754" i="1"/>
  <c r="G754" i="1" s="1"/>
  <c r="B755" i="1"/>
  <c r="G755" i="1" s="1"/>
  <c r="B756" i="1"/>
  <c r="G756" i="1" s="1"/>
  <c r="B757" i="1"/>
  <c r="G757" i="1" s="1"/>
  <c r="B758" i="1"/>
  <c r="G758" i="1" s="1"/>
  <c r="B759" i="1"/>
  <c r="G759" i="1" s="1"/>
  <c r="B760" i="1"/>
  <c r="G760" i="1" s="1"/>
  <c r="B761" i="1"/>
  <c r="G761" i="1" s="1"/>
  <c r="B762" i="1"/>
  <c r="G762" i="1" s="1"/>
  <c r="B763" i="1"/>
  <c r="G763" i="1" s="1"/>
  <c r="B764" i="1"/>
  <c r="G764" i="1" s="1"/>
  <c r="B765" i="1"/>
  <c r="G765" i="1" s="1"/>
  <c r="B766" i="1"/>
  <c r="G766" i="1" s="1"/>
  <c r="B767" i="1"/>
  <c r="G767" i="1" s="1"/>
  <c r="B768" i="1"/>
  <c r="G768" i="1" s="1"/>
  <c r="B769" i="1"/>
  <c r="G769" i="1" s="1"/>
  <c r="B770" i="1"/>
  <c r="G770" i="1" s="1"/>
  <c r="B771" i="1"/>
  <c r="G771" i="1" s="1"/>
  <c r="B772" i="1"/>
  <c r="G772" i="1" s="1"/>
  <c r="B773" i="1"/>
  <c r="G773" i="1" s="1"/>
  <c r="B774" i="1"/>
  <c r="G774" i="1" s="1"/>
  <c r="B775" i="1"/>
  <c r="G775" i="1" s="1"/>
  <c r="B776" i="1"/>
  <c r="G776" i="1" s="1"/>
  <c r="B777" i="1"/>
  <c r="G777" i="1" s="1"/>
  <c r="B778" i="1"/>
  <c r="G778" i="1" s="1"/>
  <c r="B779" i="1"/>
  <c r="G779" i="1" s="1"/>
  <c r="B780" i="1"/>
  <c r="G780" i="1" s="1"/>
  <c r="B781" i="1"/>
  <c r="G781" i="1" s="1"/>
  <c r="B782" i="1"/>
  <c r="G782" i="1" s="1"/>
  <c r="B783" i="1"/>
  <c r="G783" i="1" s="1"/>
  <c r="B784" i="1"/>
  <c r="G784" i="1" s="1"/>
  <c r="B785" i="1"/>
  <c r="G785" i="1" s="1"/>
  <c r="B786" i="1"/>
  <c r="G786" i="1" s="1"/>
  <c r="B787" i="1"/>
  <c r="G787" i="1" s="1"/>
  <c r="B788" i="1"/>
  <c r="G788" i="1" s="1"/>
  <c r="B789" i="1"/>
  <c r="G789" i="1" s="1"/>
  <c r="B790" i="1"/>
  <c r="G790" i="1" s="1"/>
  <c r="B791" i="1"/>
  <c r="G791" i="1" s="1"/>
  <c r="B792" i="1"/>
  <c r="G792" i="1" s="1"/>
  <c r="B793" i="1"/>
  <c r="G793" i="1" s="1"/>
  <c r="B794" i="1"/>
  <c r="G794" i="1" s="1"/>
  <c r="B795" i="1"/>
  <c r="G795" i="1" s="1"/>
  <c r="B796" i="1"/>
  <c r="G796" i="1" s="1"/>
  <c r="B797" i="1"/>
  <c r="G797" i="1" s="1"/>
  <c r="B798" i="1"/>
  <c r="G798" i="1" s="1"/>
  <c r="B799" i="1"/>
  <c r="G799" i="1" s="1"/>
  <c r="B800" i="1"/>
  <c r="G800" i="1" s="1"/>
  <c r="B801" i="1"/>
  <c r="G801" i="1" s="1"/>
  <c r="B802" i="1"/>
  <c r="G802" i="1" s="1"/>
  <c r="B803" i="1"/>
  <c r="G803" i="1" s="1"/>
  <c r="B804" i="1"/>
  <c r="G804" i="1" s="1"/>
  <c r="B805" i="1"/>
  <c r="G805" i="1" s="1"/>
  <c r="B806" i="1"/>
  <c r="G806" i="1" s="1"/>
  <c r="B807" i="1"/>
  <c r="G807" i="1" s="1"/>
  <c r="B808" i="1"/>
  <c r="G808" i="1" s="1"/>
  <c r="B809" i="1"/>
  <c r="G809" i="1" s="1"/>
  <c r="B810" i="1"/>
  <c r="G810" i="1" s="1"/>
  <c r="B811" i="1"/>
  <c r="G811" i="1" s="1"/>
  <c r="B812" i="1"/>
  <c r="G812" i="1" s="1"/>
  <c r="B813" i="1"/>
  <c r="G813" i="1" s="1"/>
  <c r="B814" i="1"/>
  <c r="G814" i="1" s="1"/>
  <c r="B815" i="1"/>
  <c r="G815" i="1" s="1"/>
  <c r="B816" i="1"/>
  <c r="G816" i="1" s="1"/>
  <c r="B817" i="1"/>
  <c r="G817" i="1" s="1"/>
  <c r="B818" i="1"/>
  <c r="G818" i="1" s="1"/>
  <c r="B819" i="1"/>
  <c r="G819" i="1" s="1"/>
  <c r="B820" i="1"/>
  <c r="G820" i="1" s="1"/>
  <c r="B821" i="1"/>
  <c r="G821" i="1" s="1"/>
  <c r="B822" i="1"/>
  <c r="G822" i="1" s="1"/>
  <c r="B823" i="1"/>
  <c r="G823" i="1" s="1"/>
  <c r="B824" i="1"/>
  <c r="G824" i="1" s="1"/>
  <c r="B825" i="1"/>
  <c r="G825" i="1" s="1"/>
  <c r="B826" i="1"/>
  <c r="G826" i="1" s="1"/>
  <c r="B827" i="1"/>
  <c r="G827" i="1" s="1"/>
  <c r="B828" i="1"/>
  <c r="G828" i="1" s="1"/>
  <c r="B829" i="1"/>
  <c r="G829" i="1" s="1"/>
  <c r="B830" i="1"/>
  <c r="G830" i="1" s="1"/>
  <c r="B831" i="1"/>
  <c r="G831" i="1" s="1"/>
  <c r="B832" i="1"/>
  <c r="G832" i="1" s="1"/>
  <c r="B833" i="1"/>
  <c r="G833" i="1" s="1"/>
  <c r="B834" i="1"/>
  <c r="G834" i="1" s="1"/>
  <c r="B835" i="1"/>
  <c r="G835" i="1" s="1"/>
  <c r="B836" i="1"/>
  <c r="G836" i="1" s="1"/>
  <c r="B837" i="1"/>
  <c r="G837" i="1" s="1"/>
  <c r="B838" i="1"/>
  <c r="G838" i="1" s="1"/>
  <c r="B839" i="1"/>
  <c r="G839" i="1" s="1"/>
  <c r="B840" i="1"/>
  <c r="G840" i="1" s="1"/>
  <c r="B841" i="1"/>
  <c r="G841" i="1" s="1"/>
  <c r="B842" i="1"/>
  <c r="G842" i="1" s="1"/>
  <c r="B843" i="1"/>
  <c r="G843" i="1" s="1"/>
  <c r="B844" i="1"/>
  <c r="G844" i="1" s="1"/>
  <c r="B845" i="1"/>
  <c r="G845" i="1" s="1"/>
  <c r="B846" i="1"/>
  <c r="G846" i="1" s="1"/>
  <c r="B847" i="1"/>
  <c r="G847" i="1" s="1"/>
  <c r="B848" i="1"/>
  <c r="G848" i="1" s="1"/>
  <c r="B849" i="1"/>
  <c r="G849" i="1" s="1"/>
  <c r="B850" i="1"/>
  <c r="G850" i="1" s="1"/>
  <c r="B851" i="1"/>
  <c r="G851" i="1" s="1"/>
  <c r="B852" i="1"/>
  <c r="G852" i="1" s="1"/>
  <c r="B853" i="1"/>
  <c r="G853" i="1" s="1"/>
  <c r="B854" i="1"/>
  <c r="G854" i="1" s="1"/>
  <c r="B855" i="1"/>
  <c r="G855" i="1" s="1"/>
  <c r="B856" i="1"/>
  <c r="G856" i="1" s="1"/>
  <c r="B857" i="1"/>
  <c r="G857" i="1" s="1"/>
  <c r="B858" i="1"/>
  <c r="G858" i="1" s="1"/>
  <c r="B859" i="1"/>
  <c r="G859" i="1" s="1"/>
  <c r="B860" i="1"/>
  <c r="G860" i="1" s="1"/>
  <c r="B861" i="1"/>
  <c r="G861" i="1" s="1"/>
  <c r="B862" i="1"/>
  <c r="G862" i="1" s="1"/>
  <c r="B863" i="1"/>
  <c r="G863" i="1" s="1"/>
  <c r="B864" i="1"/>
  <c r="G864" i="1" s="1"/>
  <c r="B865" i="1"/>
  <c r="G865" i="1" s="1"/>
  <c r="B866" i="1"/>
  <c r="G866" i="1" s="1"/>
  <c r="B867" i="1"/>
  <c r="G867" i="1" s="1"/>
  <c r="B868" i="1"/>
  <c r="G868" i="1" s="1"/>
  <c r="B869" i="1"/>
  <c r="G869" i="1" s="1"/>
  <c r="B870" i="1"/>
  <c r="G870" i="1" s="1"/>
  <c r="B871" i="1"/>
  <c r="G871" i="1" s="1"/>
  <c r="B872" i="1"/>
  <c r="G872" i="1" s="1"/>
  <c r="B873" i="1"/>
  <c r="G873" i="1" s="1"/>
  <c r="B874" i="1"/>
  <c r="G874" i="1" s="1"/>
  <c r="B875" i="1"/>
  <c r="G875" i="1" s="1"/>
  <c r="B876" i="1"/>
  <c r="G876" i="1" s="1"/>
  <c r="B877" i="1"/>
  <c r="G877" i="1" s="1"/>
  <c r="B878" i="1"/>
  <c r="G878" i="1" s="1"/>
  <c r="B879" i="1"/>
  <c r="G879" i="1" s="1"/>
  <c r="B880" i="1"/>
  <c r="G880" i="1" s="1"/>
  <c r="B881" i="1"/>
  <c r="G881" i="1" s="1"/>
  <c r="B882" i="1"/>
  <c r="G882" i="1" s="1"/>
  <c r="B883" i="1"/>
  <c r="G883" i="1" s="1"/>
  <c r="B884" i="1"/>
  <c r="G884" i="1" s="1"/>
  <c r="B885" i="1"/>
  <c r="G885" i="1" s="1"/>
  <c r="B886" i="1"/>
  <c r="G886" i="1" s="1"/>
  <c r="B887" i="1"/>
  <c r="G887" i="1" s="1"/>
  <c r="B888" i="1"/>
  <c r="G888" i="1" s="1"/>
  <c r="B889" i="1"/>
  <c r="G889" i="1" s="1"/>
  <c r="B890" i="1"/>
  <c r="G890" i="1" s="1"/>
  <c r="B891" i="1"/>
  <c r="G891" i="1" s="1"/>
  <c r="B892" i="1"/>
  <c r="G892" i="1" s="1"/>
  <c r="B893" i="1"/>
  <c r="G893" i="1" s="1"/>
  <c r="B894" i="1"/>
  <c r="G894" i="1" s="1"/>
  <c r="B895" i="1"/>
  <c r="G895" i="1" s="1"/>
  <c r="B896" i="1"/>
  <c r="G896" i="1" s="1"/>
  <c r="B897" i="1"/>
  <c r="G897" i="1" s="1"/>
  <c r="B898" i="1"/>
  <c r="G898" i="1" s="1"/>
  <c r="B899" i="1"/>
  <c r="G899" i="1" s="1"/>
  <c r="B900" i="1"/>
  <c r="G900" i="1" s="1"/>
  <c r="B901" i="1"/>
  <c r="G901" i="1" s="1"/>
  <c r="B902" i="1"/>
  <c r="G902" i="1" s="1"/>
  <c r="B903" i="1"/>
  <c r="G903" i="1" s="1"/>
  <c r="B904" i="1"/>
  <c r="G904" i="1" s="1"/>
  <c r="B905" i="1"/>
  <c r="G905" i="1" s="1"/>
  <c r="B906" i="1"/>
  <c r="G906" i="1" s="1"/>
  <c r="B907" i="1"/>
  <c r="G907" i="1" s="1"/>
  <c r="B908" i="1"/>
  <c r="G908" i="1" s="1"/>
  <c r="B909" i="1"/>
  <c r="G909" i="1" s="1"/>
  <c r="B910" i="1"/>
  <c r="G910" i="1" s="1"/>
  <c r="B911" i="1"/>
  <c r="G911" i="1" s="1"/>
  <c r="B912" i="1"/>
  <c r="G912" i="1" s="1"/>
  <c r="B913" i="1"/>
  <c r="G913" i="1" s="1"/>
  <c r="B914" i="1"/>
  <c r="G914" i="1" s="1"/>
  <c r="B915" i="1"/>
  <c r="G915" i="1" s="1"/>
  <c r="B916" i="1"/>
  <c r="G916" i="1" s="1"/>
  <c r="B917" i="1"/>
  <c r="G917" i="1" s="1"/>
  <c r="B918" i="1"/>
  <c r="G918" i="1" s="1"/>
  <c r="B919" i="1"/>
  <c r="G919" i="1" s="1"/>
  <c r="B920" i="1"/>
  <c r="G920" i="1" s="1"/>
  <c r="B921" i="1"/>
  <c r="G921" i="1" s="1"/>
  <c r="B922" i="1"/>
  <c r="G922" i="1" s="1"/>
  <c r="B923" i="1"/>
  <c r="G923" i="1" s="1"/>
  <c r="B924" i="1"/>
  <c r="G924" i="1" s="1"/>
  <c r="B925" i="1"/>
  <c r="G925" i="1" s="1"/>
  <c r="B926" i="1"/>
  <c r="G926" i="1" s="1"/>
  <c r="B927" i="1"/>
  <c r="G927" i="1" s="1"/>
  <c r="B928" i="1"/>
  <c r="G928" i="1" s="1"/>
  <c r="B929" i="1"/>
  <c r="G929" i="1" s="1"/>
  <c r="B930" i="1"/>
  <c r="G930" i="1" s="1"/>
  <c r="B931" i="1"/>
  <c r="G931" i="1" s="1"/>
  <c r="B932" i="1"/>
  <c r="G932" i="1" s="1"/>
  <c r="B933" i="1"/>
  <c r="G933" i="1" s="1"/>
  <c r="B934" i="1"/>
  <c r="G934" i="1" s="1"/>
  <c r="B935" i="1"/>
  <c r="G935" i="1" s="1"/>
  <c r="B936" i="1"/>
  <c r="G936" i="1" s="1"/>
  <c r="B937" i="1"/>
  <c r="G937" i="1" s="1"/>
  <c r="B938" i="1"/>
  <c r="G938" i="1" s="1"/>
  <c r="B939" i="1"/>
  <c r="G939" i="1" s="1"/>
  <c r="B940" i="1"/>
  <c r="G940" i="1" s="1"/>
  <c r="B941" i="1"/>
  <c r="G941" i="1" s="1"/>
  <c r="B942" i="1"/>
  <c r="G942" i="1" s="1"/>
  <c r="B943" i="1"/>
  <c r="G943" i="1" s="1"/>
  <c r="B944" i="1"/>
  <c r="G944" i="1" s="1"/>
  <c r="B945" i="1"/>
  <c r="G945" i="1" s="1"/>
  <c r="B946" i="1"/>
  <c r="G946" i="1" s="1"/>
  <c r="B947" i="1"/>
  <c r="G947" i="1" s="1"/>
  <c r="B948" i="1"/>
  <c r="G948" i="1" s="1"/>
  <c r="B949" i="1"/>
  <c r="G949" i="1" s="1"/>
  <c r="B950" i="1"/>
  <c r="G950" i="1" s="1"/>
  <c r="B951" i="1"/>
  <c r="G951" i="1" s="1"/>
  <c r="B952" i="1"/>
  <c r="G952" i="1" s="1"/>
  <c r="B953" i="1"/>
  <c r="G953" i="1" s="1"/>
  <c r="B954" i="1"/>
  <c r="G954" i="1" s="1"/>
  <c r="B955" i="1"/>
  <c r="G955" i="1" s="1"/>
  <c r="B956" i="1"/>
  <c r="G956" i="1" s="1"/>
  <c r="B957" i="1"/>
  <c r="G957" i="1" s="1"/>
  <c r="B958" i="1"/>
  <c r="G958" i="1" s="1"/>
  <c r="B959" i="1"/>
  <c r="G959" i="1" s="1"/>
  <c r="B960" i="1"/>
  <c r="G960" i="1" s="1"/>
  <c r="B961" i="1"/>
  <c r="G961" i="1" s="1"/>
  <c r="B962" i="1"/>
  <c r="G962" i="1" s="1"/>
  <c r="B963" i="1"/>
  <c r="G963" i="1" s="1"/>
  <c r="B964" i="1"/>
  <c r="G964" i="1" s="1"/>
  <c r="B965" i="1"/>
  <c r="G965" i="1" s="1"/>
  <c r="B966" i="1"/>
  <c r="G966" i="1" s="1"/>
  <c r="B967" i="1"/>
  <c r="G967" i="1" s="1"/>
  <c r="B968" i="1"/>
  <c r="G968" i="1" s="1"/>
  <c r="B969" i="1"/>
  <c r="G969" i="1" s="1"/>
  <c r="B970" i="1"/>
  <c r="G970" i="1" s="1"/>
  <c r="B971" i="1"/>
  <c r="G971" i="1" s="1"/>
  <c r="B972" i="1"/>
  <c r="G972" i="1" s="1"/>
  <c r="B973" i="1"/>
  <c r="G973" i="1" s="1"/>
  <c r="B974" i="1"/>
  <c r="G974" i="1" s="1"/>
  <c r="B975" i="1"/>
  <c r="G975" i="1" s="1"/>
  <c r="B976" i="1"/>
  <c r="G976" i="1" s="1"/>
  <c r="B977" i="1"/>
  <c r="G977" i="1" s="1"/>
  <c r="B978" i="1"/>
  <c r="G978" i="1" s="1"/>
  <c r="B979" i="1"/>
  <c r="G979" i="1" s="1"/>
  <c r="B980" i="1"/>
  <c r="G980" i="1" s="1"/>
  <c r="B981" i="1"/>
  <c r="G981" i="1" s="1"/>
  <c r="B982" i="1"/>
  <c r="G982" i="1" s="1"/>
  <c r="B983" i="1"/>
  <c r="G983" i="1" s="1"/>
  <c r="B984" i="1"/>
  <c r="G984" i="1" s="1"/>
  <c r="B985" i="1"/>
  <c r="G985" i="1" s="1"/>
  <c r="B986" i="1"/>
  <c r="G986" i="1" s="1"/>
  <c r="B987" i="1"/>
  <c r="G987" i="1" s="1"/>
  <c r="B988" i="1"/>
  <c r="G988" i="1" s="1"/>
  <c r="B989" i="1"/>
  <c r="G989" i="1" s="1"/>
  <c r="B990" i="1"/>
  <c r="G990" i="1" s="1"/>
  <c r="B991" i="1"/>
  <c r="G991" i="1" s="1"/>
  <c r="B992" i="1"/>
  <c r="G992" i="1" s="1"/>
  <c r="B993" i="1"/>
  <c r="G993" i="1" s="1"/>
  <c r="B994" i="1"/>
  <c r="G994" i="1" s="1"/>
  <c r="B995" i="1"/>
  <c r="G995" i="1" s="1"/>
  <c r="B996" i="1"/>
  <c r="G996" i="1" s="1"/>
  <c r="B997" i="1"/>
  <c r="G997" i="1" s="1"/>
  <c r="B998" i="1"/>
  <c r="G998" i="1" s="1"/>
  <c r="B999" i="1"/>
  <c r="G999" i="1" s="1"/>
  <c r="B1000" i="1"/>
  <c r="G1000" i="1" s="1"/>
  <c r="B1001" i="1"/>
  <c r="G1001" i="1" s="1"/>
  <c r="B1002" i="1"/>
  <c r="G1002" i="1" s="1"/>
  <c r="B1003" i="1"/>
  <c r="G1003" i="1" s="1"/>
  <c r="B1004" i="1"/>
  <c r="G1004" i="1" s="1"/>
  <c r="B1005" i="1"/>
  <c r="G1005" i="1" s="1"/>
  <c r="B1006" i="1"/>
  <c r="G1006" i="1" s="1"/>
  <c r="B1007" i="1"/>
  <c r="G1007" i="1" s="1"/>
  <c r="B1008" i="1"/>
  <c r="G1008" i="1" s="1"/>
  <c r="B1009" i="1"/>
  <c r="G1009" i="1" s="1"/>
  <c r="B1010" i="1"/>
  <c r="G1010" i="1" s="1"/>
  <c r="B1011" i="1"/>
  <c r="G1011" i="1" s="1"/>
  <c r="B1012" i="1"/>
  <c r="G1012" i="1" s="1"/>
  <c r="B1013" i="1"/>
  <c r="G1013" i="1" s="1"/>
  <c r="B1014" i="1"/>
  <c r="G1014" i="1" s="1"/>
  <c r="B1015" i="1"/>
  <c r="G1015" i="1" s="1"/>
  <c r="B1016" i="1"/>
  <c r="G1016" i="1" s="1"/>
  <c r="B1017" i="1"/>
  <c r="G1017" i="1" s="1"/>
  <c r="B1018" i="1"/>
  <c r="G1018" i="1" s="1"/>
  <c r="B1019" i="1"/>
  <c r="G1019" i="1" s="1"/>
  <c r="B1020" i="1"/>
  <c r="G1020" i="1" s="1"/>
  <c r="B1021" i="1"/>
  <c r="G1021" i="1" s="1"/>
  <c r="B1022" i="1"/>
  <c r="G1022" i="1" s="1"/>
  <c r="B1023" i="1"/>
  <c r="G1023" i="1" s="1"/>
  <c r="B1024" i="1"/>
  <c r="G1024" i="1" s="1"/>
  <c r="B1025" i="1"/>
  <c r="G1025" i="1" s="1"/>
  <c r="B1026" i="1"/>
  <c r="G1026" i="1" s="1"/>
  <c r="B1027" i="1"/>
  <c r="G1027" i="1" s="1"/>
  <c r="B1028" i="1"/>
  <c r="G1028" i="1" s="1"/>
  <c r="B1029" i="1"/>
  <c r="G1029" i="1" s="1"/>
  <c r="B1030" i="1"/>
  <c r="G1030" i="1" s="1"/>
  <c r="B1031" i="1"/>
  <c r="G1031" i="1" s="1"/>
  <c r="B1032" i="1"/>
  <c r="G1032" i="1" s="1"/>
  <c r="B1033" i="1"/>
  <c r="G1033" i="1" s="1"/>
  <c r="B1034" i="1"/>
  <c r="G1034" i="1" s="1"/>
  <c r="B1035" i="1"/>
  <c r="G1035" i="1" s="1"/>
  <c r="B1036" i="1"/>
  <c r="G1036" i="1" s="1"/>
  <c r="B1037" i="1"/>
  <c r="G1037" i="1" s="1"/>
  <c r="B1038" i="1"/>
  <c r="G1038" i="1" s="1"/>
  <c r="B1039" i="1"/>
  <c r="G1039" i="1" s="1"/>
  <c r="B1040" i="1"/>
  <c r="G1040" i="1" s="1"/>
  <c r="B1041" i="1"/>
  <c r="G1041" i="1" s="1"/>
  <c r="B1042" i="1"/>
  <c r="G1042" i="1" s="1"/>
  <c r="B1043" i="1"/>
  <c r="G1043" i="1" s="1"/>
  <c r="B1044" i="1"/>
  <c r="G1044" i="1" s="1"/>
  <c r="B1045" i="1"/>
  <c r="G1045" i="1" s="1"/>
  <c r="B1046" i="1"/>
  <c r="G1046" i="1" s="1"/>
  <c r="B1047" i="1"/>
  <c r="G1047" i="1" s="1"/>
  <c r="B1048" i="1"/>
  <c r="G1048" i="1" s="1"/>
  <c r="B1049" i="1"/>
  <c r="G1049" i="1" s="1"/>
  <c r="B1050" i="1"/>
  <c r="G1050" i="1" s="1"/>
  <c r="B1051" i="1"/>
  <c r="G1051" i="1" s="1"/>
  <c r="B1052" i="1"/>
  <c r="G1052" i="1" s="1"/>
  <c r="B1053" i="1"/>
  <c r="G1053" i="1" s="1"/>
  <c r="B1054" i="1"/>
  <c r="G1054" i="1" s="1"/>
  <c r="B1055" i="1"/>
  <c r="G1055" i="1" s="1"/>
  <c r="B1056" i="1"/>
  <c r="G1056" i="1" s="1"/>
  <c r="B1057" i="1"/>
  <c r="G1057" i="1" s="1"/>
  <c r="B1058" i="1"/>
  <c r="G1058" i="1" s="1"/>
  <c r="B1059" i="1"/>
  <c r="G1059" i="1" s="1"/>
  <c r="B1060" i="1"/>
  <c r="G1060" i="1" s="1"/>
  <c r="B1061" i="1"/>
  <c r="G1061" i="1" s="1"/>
  <c r="B1062" i="1"/>
  <c r="G1062" i="1" s="1"/>
  <c r="B1063" i="1"/>
  <c r="G1063" i="1" s="1"/>
  <c r="B1064" i="1"/>
  <c r="G1064" i="1" s="1"/>
  <c r="B1065" i="1"/>
  <c r="G1065" i="1" s="1"/>
  <c r="B1066" i="1"/>
  <c r="G1066" i="1" s="1"/>
  <c r="B1067" i="1"/>
  <c r="G1067" i="1" s="1"/>
  <c r="B1068" i="1"/>
  <c r="G1068" i="1" s="1"/>
  <c r="B1069" i="1"/>
  <c r="G1069" i="1" s="1"/>
  <c r="B1070" i="1"/>
  <c r="G1070" i="1" s="1"/>
  <c r="B1071" i="1"/>
  <c r="G1071" i="1" s="1"/>
  <c r="B1072" i="1"/>
  <c r="G1072" i="1" s="1"/>
  <c r="B1073" i="1"/>
  <c r="G1073" i="1" s="1"/>
  <c r="B1074" i="1"/>
  <c r="G1074" i="1" s="1"/>
  <c r="B1075" i="1"/>
  <c r="G1075" i="1" s="1"/>
  <c r="B1076" i="1"/>
  <c r="G1076" i="1" s="1"/>
  <c r="B1077" i="1"/>
  <c r="G1077" i="1" s="1"/>
  <c r="B1078" i="1"/>
  <c r="G1078" i="1" s="1"/>
  <c r="B1079" i="1"/>
  <c r="G1079" i="1" s="1"/>
  <c r="B1080" i="1"/>
  <c r="G1080" i="1" s="1"/>
  <c r="B1081" i="1"/>
  <c r="G1081" i="1" s="1"/>
  <c r="B1082" i="1"/>
  <c r="G1082" i="1" s="1"/>
  <c r="B1083" i="1"/>
  <c r="G1083" i="1" s="1"/>
  <c r="B1084" i="1"/>
  <c r="G1084" i="1" s="1"/>
  <c r="B1085" i="1"/>
  <c r="G1085" i="1" s="1"/>
  <c r="B1086" i="1"/>
  <c r="G1086" i="1" s="1"/>
  <c r="B1087" i="1"/>
  <c r="G1087" i="1" s="1"/>
  <c r="B1088" i="1"/>
  <c r="G1088" i="1" s="1"/>
  <c r="B1089" i="1"/>
  <c r="G1089" i="1" s="1"/>
  <c r="B1090" i="1"/>
  <c r="G1090" i="1" s="1"/>
  <c r="B1091" i="1"/>
  <c r="G1091" i="1" s="1"/>
  <c r="B1092" i="1"/>
  <c r="G1092" i="1" s="1"/>
  <c r="B1093" i="1"/>
  <c r="G1093" i="1" s="1"/>
  <c r="B1094" i="1"/>
  <c r="G1094" i="1" s="1"/>
  <c r="B1095" i="1"/>
  <c r="G1095" i="1" s="1"/>
  <c r="B1096" i="1"/>
  <c r="G1096" i="1" s="1"/>
  <c r="B1097" i="1"/>
  <c r="G1097" i="1" s="1"/>
  <c r="B1098" i="1"/>
  <c r="G1098" i="1" s="1"/>
  <c r="B1099" i="1"/>
  <c r="G1099" i="1" s="1"/>
  <c r="B1100" i="1"/>
  <c r="G1100" i="1" s="1"/>
  <c r="B1101" i="1"/>
  <c r="G1101" i="1" s="1"/>
  <c r="B1102" i="1"/>
  <c r="G1102" i="1" s="1"/>
  <c r="B1103" i="1"/>
  <c r="G1103" i="1" s="1"/>
  <c r="B1104" i="1"/>
  <c r="G1104" i="1" s="1"/>
  <c r="B1105" i="1"/>
  <c r="G1105" i="1" s="1"/>
  <c r="B1106" i="1"/>
  <c r="G1106" i="1" s="1"/>
  <c r="B1107" i="1"/>
  <c r="G1107" i="1" s="1"/>
  <c r="B1108" i="1"/>
  <c r="G1108" i="1" s="1"/>
  <c r="B1109" i="1"/>
  <c r="G1109" i="1" s="1"/>
  <c r="B1110" i="1"/>
  <c r="G1110" i="1" s="1"/>
  <c r="B1111" i="1"/>
  <c r="G1111" i="1" s="1"/>
  <c r="B1112" i="1"/>
  <c r="G1112" i="1" s="1"/>
  <c r="B1113" i="1"/>
  <c r="G1113" i="1" s="1"/>
  <c r="B1114" i="1"/>
  <c r="G1114" i="1" s="1"/>
  <c r="B1115" i="1"/>
  <c r="G1115" i="1" s="1"/>
  <c r="B1116" i="1"/>
  <c r="G1116" i="1" s="1"/>
  <c r="B1117" i="1"/>
  <c r="G1117" i="1" s="1"/>
  <c r="B1118" i="1"/>
  <c r="G1118" i="1" s="1"/>
  <c r="B1119" i="1"/>
  <c r="G1119" i="1" s="1"/>
  <c r="B1120" i="1"/>
  <c r="G1120" i="1" s="1"/>
  <c r="B1121" i="1"/>
  <c r="G1121" i="1" s="1"/>
  <c r="B1122" i="1"/>
  <c r="G1122" i="1" s="1"/>
  <c r="B1123" i="1"/>
  <c r="G1123" i="1" s="1"/>
  <c r="B1124" i="1"/>
  <c r="G1124" i="1" s="1"/>
  <c r="B1125" i="1"/>
  <c r="G1125" i="1" s="1"/>
  <c r="B1126" i="1"/>
  <c r="G1126" i="1" s="1"/>
  <c r="B1127" i="1"/>
  <c r="G1127" i="1" s="1"/>
  <c r="B1128" i="1"/>
  <c r="G1128" i="1" s="1"/>
  <c r="B1129" i="1"/>
  <c r="G1129" i="1" s="1"/>
  <c r="B1130" i="1"/>
  <c r="G1130" i="1" s="1"/>
  <c r="B1131" i="1"/>
  <c r="G1131" i="1" s="1"/>
  <c r="B1132" i="1"/>
  <c r="G1132" i="1" s="1"/>
  <c r="B1133" i="1"/>
  <c r="G1133" i="1" s="1"/>
  <c r="B1134" i="1"/>
  <c r="G1134" i="1" s="1"/>
  <c r="B1135" i="1"/>
  <c r="G1135" i="1" s="1"/>
  <c r="B1136" i="1"/>
  <c r="G1136" i="1" s="1"/>
  <c r="B1137" i="1"/>
  <c r="G1137" i="1" s="1"/>
  <c r="B1138" i="1"/>
  <c r="G1138" i="1" s="1"/>
  <c r="B1139" i="1"/>
  <c r="G1139" i="1" s="1"/>
  <c r="B1140" i="1"/>
  <c r="G1140" i="1" s="1"/>
  <c r="B1141" i="1"/>
  <c r="G1141" i="1" s="1"/>
  <c r="B1142" i="1"/>
  <c r="G1142" i="1" s="1"/>
  <c r="B1143" i="1"/>
  <c r="G1143" i="1" s="1"/>
  <c r="B1144" i="1"/>
  <c r="G1144" i="1" s="1"/>
  <c r="B1145" i="1"/>
  <c r="G1145" i="1" s="1"/>
  <c r="B1146" i="1"/>
  <c r="G1146" i="1" s="1"/>
  <c r="B1147" i="1"/>
  <c r="G1147" i="1" s="1"/>
  <c r="B1148" i="1"/>
  <c r="G1148" i="1" s="1"/>
  <c r="B1149" i="1"/>
  <c r="G1149" i="1" s="1"/>
  <c r="B1150" i="1"/>
  <c r="G1150" i="1" s="1"/>
  <c r="B1151" i="1"/>
  <c r="G1151" i="1" s="1"/>
  <c r="B1152" i="1"/>
  <c r="G1152" i="1" s="1"/>
  <c r="B1153" i="1"/>
  <c r="G1153" i="1" s="1"/>
  <c r="B1154" i="1"/>
  <c r="G1154" i="1" s="1"/>
  <c r="B1155" i="1"/>
  <c r="G1155" i="1" s="1"/>
  <c r="B1156" i="1"/>
  <c r="G1156" i="1" s="1"/>
  <c r="B1157" i="1"/>
  <c r="G1157" i="1" s="1"/>
  <c r="B1158" i="1"/>
  <c r="G1158" i="1" s="1"/>
  <c r="B1159" i="1"/>
  <c r="G1159" i="1" s="1"/>
  <c r="B1160" i="1"/>
  <c r="G1160" i="1" s="1"/>
  <c r="B1161" i="1"/>
  <c r="G1161" i="1" s="1"/>
  <c r="B1162" i="1"/>
  <c r="G1162" i="1" s="1"/>
  <c r="B1163" i="1"/>
  <c r="G1163" i="1" s="1"/>
  <c r="B1164" i="1"/>
  <c r="G1164" i="1" s="1"/>
  <c r="B1165" i="1"/>
  <c r="G1165" i="1" s="1"/>
  <c r="B1166" i="1"/>
  <c r="G1166" i="1" s="1"/>
  <c r="B1167" i="1"/>
  <c r="G1167" i="1" s="1"/>
  <c r="B1168" i="1"/>
  <c r="G1168" i="1" s="1"/>
  <c r="B1169" i="1"/>
  <c r="G1169" i="1" s="1"/>
  <c r="B1170" i="1"/>
  <c r="G1170" i="1" s="1"/>
  <c r="B1171" i="1"/>
  <c r="G1171" i="1" s="1"/>
  <c r="B1172" i="1"/>
  <c r="G1172" i="1" s="1"/>
  <c r="B1173" i="1"/>
  <c r="G1173" i="1" s="1"/>
  <c r="B1174" i="1"/>
  <c r="G1174" i="1" s="1"/>
  <c r="B1175" i="1"/>
  <c r="G1175" i="1" s="1"/>
  <c r="B1176" i="1"/>
  <c r="G1176" i="1" s="1"/>
  <c r="B1177" i="1"/>
  <c r="G1177" i="1" s="1"/>
  <c r="B1178" i="1"/>
  <c r="G1178" i="1" s="1"/>
  <c r="B1179" i="1"/>
  <c r="G1179" i="1" s="1"/>
  <c r="B1180" i="1"/>
  <c r="G1180" i="1" s="1"/>
  <c r="B1181" i="1"/>
  <c r="G1181" i="1" s="1"/>
  <c r="B1182" i="1"/>
  <c r="G1182" i="1" s="1"/>
  <c r="B1183" i="1"/>
  <c r="G1183" i="1" s="1"/>
  <c r="B1184" i="1"/>
  <c r="G1184" i="1" s="1"/>
  <c r="B1185" i="1"/>
  <c r="G1185" i="1" s="1"/>
  <c r="B1186" i="1"/>
  <c r="G1186" i="1" s="1"/>
  <c r="B1187" i="1"/>
  <c r="G1187" i="1" s="1"/>
  <c r="B1188" i="1"/>
  <c r="G1188" i="1" s="1"/>
  <c r="B1189" i="1"/>
  <c r="G1189" i="1" s="1"/>
  <c r="B1190" i="1"/>
  <c r="G1190" i="1" s="1"/>
  <c r="B1191" i="1"/>
  <c r="G1191" i="1" s="1"/>
  <c r="B1192" i="1"/>
  <c r="G1192" i="1" s="1"/>
  <c r="B1193" i="1"/>
  <c r="G1193" i="1" s="1"/>
  <c r="B1194" i="1"/>
  <c r="G1194" i="1" s="1"/>
  <c r="B1195" i="1"/>
  <c r="G1195" i="1" s="1"/>
  <c r="B1196" i="1"/>
  <c r="G1196" i="1" s="1"/>
  <c r="B1197" i="1"/>
  <c r="G1197" i="1" s="1"/>
  <c r="B1198" i="1"/>
  <c r="G1198" i="1" s="1"/>
  <c r="B1199" i="1"/>
  <c r="G1199" i="1" s="1"/>
  <c r="B1200" i="1"/>
  <c r="G1200" i="1" s="1"/>
  <c r="B1201" i="1"/>
  <c r="G1201" i="1" s="1"/>
  <c r="B1202" i="1"/>
  <c r="G1202" i="1" s="1"/>
  <c r="B1203" i="1"/>
  <c r="G1203" i="1" s="1"/>
  <c r="B1204" i="1"/>
  <c r="G1204" i="1" s="1"/>
  <c r="B1205" i="1"/>
  <c r="G1205" i="1" s="1"/>
  <c r="B1206" i="1"/>
  <c r="G1206" i="1" s="1"/>
  <c r="B1207" i="1"/>
  <c r="G1207" i="1" s="1"/>
  <c r="B1208" i="1"/>
  <c r="G1208" i="1" s="1"/>
  <c r="B1209" i="1"/>
  <c r="G1209" i="1" s="1"/>
  <c r="B1210" i="1"/>
  <c r="G1210" i="1" s="1"/>
  <c r="B1211" i="1"/>
  <c r="G1211" i="1" s="1"/>
  <c r="B1212" i="1"/>
  <c r="G1212" i="1" s="1"/>
  <c r="B1213" i="1"/>
  <c r="G1213" i="1" s="1"/>
  <c r="B1214" i="1"/>
  <c r="G1214" i="1" s="1"/>
  <c r="B1215" i="1"/>
  <c r="G1215" i="1" s="1"/>
  <c r="B1216" i="1"/>
  <c r="G1216" i="1" s="1"/>
  <c r="B1217" i="1"/>
  <c r="G1217" i="1" s="1"/>
  <c r="B1218" i="1"/>
  <c r="G1218" i="1" s="1"/>
  <c r="B1219" i="1"/>
  <c r="G1219" i="1" s="1"/>
  <c r="B1220" i="1"/>
  <c r="G1220" i="1" s="1"/>
  <c r="B1221" i="1"/>
  <c r="G1221" i="1" s="1"/>
  <c r="B1222" i="1"/>
  <c r="G1222" i="1" s="1"/>
  <c r="B1223" i="1"/>
  <c r="G1223" i="1" s="1"/>
  <c r="B1224" i="1"/>
  <c r="G1224" i="1" s="1"/>
  <c r="B1225" i="1"/>
  <c r="G1225" i="1" s="1"/>
  <c r="B1226" i="1"/>
  <c r="G1226" i="1" s="1"/>
  <c r="B1227" i="1"/>
  <c r="G1227" i="1" s="1"/>
  <c r="B1228" i="1"/>
  <c r="G1228" i="1" s="1"/>
  <c r="B1229" i="1"/>
  <c r="G1229" i="1" s="1"/>
  <c r="B1230" i="1"/>
  <c r="G1230" i="1" s="1"/>
  <c r="B1231" i="1"/>
  <c r="G1231" i="1" s="1"/>
  <c r="B1232" i="1"/>
  <c r="G1232" i="1" s="1"/>
  <c r="B1233" i="1"/>
  <c r="G1233" i="1" s="1"/>
  <c r="B1234" i="1"/>
  <c r="G1234" i="1" s="1"/>
  <c r="B1235" i="1"/>
  <c r="G1235" i="1" s="1"/>
  <c r="B1236" i="1"/>
  <c r="G1236" i="1" s="1"/>
  <c r="B1237" i="1"/>
  <c r="G1237" i="1" s="1"/>
  <c r="B1238" i="1"/>
  <c r="G1238" i="1" s="1"/>
  <c r="B1239" i="1"/>
  <c r="G1239" i="1" s="1"/>
  <c r="B1240" i="1"/>
  <c r="G1240" i="1" s="1"/>
  <c r="B1241" i="1"/>
  <c r="G1241" i="1" s="1"/>
  <c r="B1242" i="1"/>
  <c r="G1242" i="1" s="1"/>
  <c r="B1243" i="1"/>
  <c r="G1243" i="1" s="1"/>
  <c r="B1244" i="1"/>
  <c r="G1244" i="1" s="1"/>
  <c r="B1245" i="1"/>
  <c r="G1245" i="1" s="1"/>
  <c r="B1246" i="1"/>
  <c r="G1246" i="1" s="1"/>
  <c r="B1247" i="1"/>
  <c r="G1247" i="1" s="1"/>
  <c r="B1248" i="1"/>
  <c r="G1248" i="1" s="1"/>
  <c r="B1249" i="1"/>
  <c r="G1249" i="1" s="1"/>
  <c r="B1250" i="1"/>
  <c r="G1250" i="1" s="1"/>
  <c r="B1251" i="1"/>
  <c r="G1251" i="1" s="1"/>
  <c r="B1252" i="1"/>
  <c r="G1252" i="1" s="1"/>
  <c r="B1253" i="1"/>
  <c r="G1253" i="1" s="1"/>
  <c r="B1254" i="1"/>
  <c r="G1254" i="1" s="1"/>
  <c r="B1255" i="1"/>
  <c r="G1255" i="1" s="1"/>
  <c r="B1256" i="1"/>
  <c r="G1256" i="1" s="1"/>
  <c r="B1257" i="1"/>
  <c r="G1257" i="1" s="1"/>
  <c r="B1258" i="1"/>
  <c r="G1258" i="1" s="1"/>
  <c r="B1259" i="1"/>
  <c r="G1259" i="1" s="1"/>
  <c r="B1260" i="1"/>
  <c r="G1260" i="1" s="1"/>
  <c r="B1261" i="1"/>
  <c r="G1261" i="1" s="1"/>
  <c r="B1262" i="1"/>
  <c r="G1262" i="1" s="1"/>
  <c r="B1263" i="1"/>
  <c r="G1263" i="1" s="1"/>
  <c r="B1264" i="1"/>
  <c r="G1264" i="1" s="1"/>
  <c r="B1265" i="1"/>
  <c r="G1265" i="1" s="1"/>
  <c r="B1266" i="1"/>
  <c r="G1266" i="1" s="1"/>
  <c r="B1267" i="1"/>
  <c r="G1267" i="1" s="1"/>
  <c r="B1268" i="1"/>
  <c r="G1268" i="1" s="1"/>
  <c r="B1269" i="1"/>
  <c r="G1269" i="1" s="1"/>
  <c r="B1270" i="1"/>
  <c r="G1270" i="1" s="1"/>
  <c r="B1271" i="1"/>
  <c r="G1271" i="1" s="1"/>
  <c r="B1272" i="1"/>
  <c r="G1272" i="1" s="1"/>
  <c r="B1273" i="1"/>
  <c r="G1273" i="1" s="1"/>
  <c r="B1274" i="1"/>
  <c r="G1274" i="1" s="1"/>
  <c r="B1275" i="1"/>
  <c r="G1275" i="1" s="1"/>
  <c r="B1276" i="1"/>
  <c r="G1276" i="1" s="1"/>
  <c r="B1277" i="1"/>
  <c r="G1277" i="1" s="1"/>
  <c r="B1278" i="1"/>
  <c r="G1278" i="1" s="1"/>
  <c r="B1279" i="1"/>
  <c r="G1279" i="1" s="1"/>
  <c r="B1280" i="1"/>
  <c r="G1280" i="1" s="1"/>
  <c r="B1281" i="1"/>
  <c r="G1281" i="1" s="1"/>
  <c r="B1282" i="1"/>
  <c r="G1282" i="1" s="1"/>
  <c r="B1283" i="1"/>
  <c r="G1283" i="1" s="1"/>
  <c r="B1284" i="1"/>
  <c r="G1284" i="1" s="1"/>
  <c r="B1285" i="1"/>
  <c r="G1285" i="1" s="1"/>
  <c r="B1286" i="1"/>
  <c r="G1286" i="1" s="1"/>
  <c r="B1287" i="1"/>
  <c r="G1287" i="1" s="1"/>
  <c r="B1288" i="1"/>
  <c r="G1288" i="1" s="1"/>
  <c r="B1289" i="1"/>
  <c r="G1289" i="1" s="1"/>
  <c r="B1290" i="1"/>
  <c r="G1290" i="1" s="1"/>
  <c r="B1291" i="1"/>
  <c r="G1291" i="1" s="1"/>
  <c r="B1292" i="1"/>
  <c r="G1292" i="1" s="1"/>
  <c r="B1293" i="1"/>
  <c r="G1293" i="1" s="1"/>
  <c r="B1294" i="1"/>
  <c r="G1294" i="1" s="1"/>
  <c r="B1295" i="1"/>
  <c r="G1295" i="1" s="1"/>
  <c r="B1296" i="1"/>
  <c r="G1296" i="1" s="1"/>
  <c r="B1297" i="1"/>
  <c r="G1297" i="1" s="1"/>
  <c r="B1298" i="1"/>
  <c r="G1298" i="1" s="1"/>
  <c r="B1299" i="1"/>
  <c r="G1299" i="1" s="1"/>
  <c r="B1300" i="1"/>
  <c r="G1300" i="1" s="1"/>
  <c r="B1301" i="1"/>
  <c r="G1301" i="1" s="1"/>
  <c r="B1302" i="1"/>
  <c r="G1302" i="1" s="1"/>
  <c r="B1303" i="1"/>
  <c r="G1303" i="1" s="1"/>
  <c r="B1304" i="1"/>
  <c r="G1304" i="1" s="1"/>
  <c r="B1305" i="1"/>
  <c r="G1305" i="1" s="1"/>
  <c r="B1306" i="1"/>
  <c r="G1306" i="1" s="1"/>
  <c r="B1307" i="1"/>
  <c r="G1307" i="1" s="1"/>
  <c r="B1308" i="1"/>
  <c r="G1308" i="1" s="1"/>
  <c r="B1309" i="1"/>
  <c r="G1309" i="1" s="1"/>
  <c r="B1310" i="1"/>
  <c r="G1310" i="1" s="1"/>
  <c r="B1311" i="1"/>
  <c r="G1311" i="1" s="1"/>
  <c r="B1312" i="1"/>
  <c r="G1312" i="1" s="1"/>
  <c r="B1313" i="1"/>
  <c r="G1313" i="1" s="1"/>
  <c r="B1314" i="1"/>
  <c r="G1314" i="1" s="1"/>
  <c r="B1315" i="1"/>
  <c r="G1315" i="1" s="1"/>
  <c r="B1316" i="1"/>
  <c r="G1316" i="1" s="1"/>
  <c r="B1317" i="1"/>
  <c r="G1317" i="1" s="1"/>
  <c r="B1318" i="1"/>
  <c r="G1318" i="1" s="1"/>
  <c r="B1319" i="1"/>
  <c r="G1319" i="1" s="1"/>
  <c r="B1320" i="1"/>
  <c r="G1320" i="1" s="1"/>
  <c r="B1321" i="1"/>
  <c r="G1321" i="1" s="1"/>
  <c r="B1322" i="1"/>
  <c r="G1322" i="1" s="1"/>
  <c r="B1323" i="1"/>
  <c r="G1323" i="1" s="1"/>
  <c r="B1324" i="1"/>
  <c r="G1324" i="1" s="1"/>
  <c r="B1325" i="1"/>
  <c r="G1325" i="1" s="1"/>
  <c r="B1326" i="1"/>
  <c r="G1326" i="1" s="1"/>
  <c r="B1327" i="1"/>
  <c r="G1327" i="1" s="1"/>
  <c r="B1328" i="1"/>
  <c r="G1328" i="1" s="1"/>
  <c r="B1329" i="1"/>
  <c r="G1329" i="1" s="1"/>
  <c r="B1330" i="1"/>
  <c r="G1330" i="1" s="1"/>
  <c r="B1331" i="1"/>
  <c r="G1331" i="1" s="1"/>
  <c r="B1332" i="1"/>
  <c r="G1332" i="1" s="1"/>
  <c r="B1333" i="1"/>
  <c r="G1333" i="1" s="1"/>
  <c r="B1334" i="1"/>
  <c r="G1334" i="1" s="1"/>
  <c r="B1335" i="1"/>
  <c r="G1335" i="1" s="1"/>
  <c r="B1336" i="1"/>
  <c r="G1336" i="1" s="1"/>
  <c r="B1337" i="1"/>
  <c r="G1337" i="1" s="1"/>
  <c r="B1338" i="1"/>
  <c r="G1338" i="1" s="1"/>
  <c r="B1339" i="1"/>
  <c r="G1339" i="1" s="1"/>
  <c r="B1340" i="1"/>
  <c r="G1340" i="1" s="1"/>
  <c r="B1341" i="1"/>
  <c r="G1341" i="1" s="1"/>
  <c r="B1342" i="1"/>
  <c r="G1342" i="1" s="1"/>
  <c r="B1343" i="1"/>
  <c r="G1343" i="1" s="1"/>
  <c r="B1344" i="1"/>
  <c r="G1344" i="1" s="1"/>
  <c r="B1345" i="1"/>
  <c r="G1345" i="1" s="1"/>
  <c r="B1346" i="1"/>
  <c r="G1346" i="1" s="1"/>
  <c r="B1347" i="1"/>
  <c r="G1347" i="1" s="1"/>
  <c r="B1348" i="1"/>
  <c r="G1348" i="1" s="1"/>
  <c r="B1349" i="1"/>
  <c r="G1349" i="1" s="1"/>
  <c r="B1350" i="1"/>
  <c r="G1350" i="1" s="1"/>
  <c r="B1351" i="1"/>
  <c r="G1351" i="1" s="1"/>
  <c r="B1352" i="1"/>
  <c r="G1352" i="1" s="1"/>
  <c r="B1353" i="1"/>
  <c r="G1353" i="1" s="1"/>
  <c r="B1354" i="1"/>
  <c r="G1354" i="1" s="1"/>
  <c r="B1355" i="1"/>
  <c r="G1355" i="1" s="1"/>
  <c r="B1356" i="1"/>
  <c r="G1356" i="1" s="1"/>
  <c r="B1357" i="1"/>
  <c r="G1357" i="1" s="1"/>
  <c r="B1358" i="1"/>
  <c r="G1358" i="1" s="1"/>
  <c r="B1359" i="1"/>
  <c r="G1359" i="1" s="1"/>
  <c r="B1360" i="1"/>
  <c r="G1360" i="1" s="1"/>
  <c r="B1361" i="1"/>
  <c r="G1361" i="1" s="1"/>
  <c r="B1362" i="1"/>
  <c r="G1362" i="1" s="1"/>
  <c r="B1363" i="1"/>
  <c r="G1363" i="1" s="1"/>
  <c r="B1364" i="1"/>
  <c r="G1364" i="1" s="1"/>
  <c r="B1365" i="1"/>
  <c r="G1365" i="1" s="1"/>
  <c r="B1366" i="1"/>
  <c r="G1366" i="1" s="1"/>
  <c r="B1367" i="1"/>
  <c r="G1367" i="1" s="1"/>
  <c r="B1368" i="1"/>
  <c r="G1368" i="1" s="1"/>
  <c r="B1369" i="1"/>
  <c r="G1369" i="1" s="1"/>
  <c r="B1370" i="1"/>
  <c r="G1370" i="1" s="1"/>
  <c r="B1371" i="1"/>
  <c r="G1371" i="1" s="1"/>
  <c r="B1372" i="1"/>
  <c r="G1372" i="1" s="1"/>
  <c r="B1373" i="1"/>
  <c r="G1373" i="1" s="1"/>
  <c r="B1374" i="1"/>
  <c r="G1374" i="1" s="1"/>
  <c r="B1375" i="1"/>
  <c r="G1375" i="1" s="1"/>
  <c r="B1376" i="1"/>
  <c r="G1376" i="1" s="1"/>
  <c r="B1377" i="1"/>
  <c r="G1377" i="1" s="1"/>
  <c r="B1378" i="1"/>
  <c r="G1378" i="1" s="1"/>
  <c r="B1379" i="1"/>
  <c r="G1379" i="1" s="1"/>
  <c r="B1380" i="1"/>
  <c r="G1380" i="1" s="1"/>
  <c r="B1381" i="1"/>
  <c r="G1381" i="1" s="1"/>
  <c r="B1382" i="1"/>
  <c r="G1382" i="1" s="1"/>
  <c r="B1383" i="1"/>
  <c r="G1383" i="1" s="1"/>
  <c r="B1384" i="1"/>
  <c r="G1384" i="1" s="1"/>
  <c r="B1385" i="1"/>
  <c r="G1385" i="1" s="1"/>
  <c r="B1386" i="1"/>
  <c r="G1386" i="1" s="1"/>
  <c r="B1387" i="1"/>
  <c r="G1387" i="1" s="1"/>
  <c r="B1388" i="1"/>
  <c r="G1388" i="1" s="1"/>
  <c r="B1389" i="1"/>
  <c r="G1389" i="1" s="1"/>
  <c r="B1390" i="1"/>
  <c r="G1390" i="1" s="1"/>
  <c r="B1391" i="1"/>
  <c r="G1391" i="1" s="1"/>
  <c r="B1392" i="1"/>
  <c r="G1392" i="1" s="1"/>
  <c r="B1393" i="1"/>
  <c r="G1393" i="1" s="1"/>
  <c r="B1394" i="1"/>
  <c r="G1394" i="1" s="1"/>
  <c r="B1395" i="1"/>
  <c r="G1395" i="1" s="1"/>
  <c r="B1396" i="1"/>
  <c r="G1396" i="1" s="1"/>
  <c r="B1397" i="1"/>
  <c r="G1397" i="1" s="1"/>
  <c r="B1398" i="1"/>
  <c r="G1398" i="1" s="1"/>
  <c r="B1399" i="1"/>
  <c r="G1399" i="1" s="1"/>
  <c r="B1400" i="1"/>
  <c r="G1400" i="1" s="1"/>
  <c r="B1401" i="1"/>
  <c r="G1401" i="1" s="1"/>
  <c r="B1402" i="1"/>
  <c r="G1402" i="1" s="1"/>
  <c r="B1403" i="1"/>
  <c r="G1403" i="1" s="1"/>
  <c r="B1404" i="1"/>
  <c r="G1404" i="1" s="1"/>
  <c r="B1405" i="1"/>
  <c r="G1405" i="1" s="1"/>
  <c r="B1406" i="1"/>
  <c r="G1406" i="1" s="1"/>
  <c r="B1407" i="1"/>
  <c r="G1407" i="1" s="1"/>
  <c r="B1408" i="1"/>
  <c r="G1408" i="1" s="1"/>
  <c r="B1409" i="1"/>
  <c r="G1409" i="1" s="1"/>
  <c r="B1410" i="1"/>
  <c r="G1410" i="1" s="1"/>
  <c r="B1411" i="1"/>
  <c r="G1411" i="1" s="1"/>
  <c r="B1412" i="1"/>
  <c r="G1412" i="1" s="1"/>
  <c r="B1413" i="1"/>
  <c r="G1413" i="1" s="1"/>
  <c r="B1414" i="1"/>
  <c r="G1414" i="1" s="1"/>
  <c r="B1415" i="1"/>
  <c r="G1415" i="1" s="1"/>
  <c r="B1416" i="1"/>
  <c r="G1416" i="1" s="1"/>
  <c r="B1417" i="1"/>
  <c r="G1417" i="1" s="1"/>
  <c r="B1418" i="1"/>
  <c r="G1418" i="1" s="1"/>
  <c r="B1419" i="1"/>
  <c r="G1419" i="1" s="1"/>
  <c r="B1420" i="1"/>
  <c r="G1420" i="1" s="1"/>
  <c r="B1421" i="1"/>
  <c r="G1421" i="1" s="1"/>
  <c r="B1422" i="1"/>
  <c r="G1422" i="1" s="1"/>
  <c r="B1423" i="1"/>
  <c r="G1423" i="1" s="1"/>
  <c r="B1424" i="1"/>
  <c r="G1424" i="1" s="1"/>
  <c r="B1425" i="1"/>
  <c r="G1425" i="1" s="1"/>
  <c r="B1426" i="1"/>
  <c r="G1426" i="1" s="1"/>
  <c r="B1427" i="1"/>
  <c r="G1427" i="1" s="1"/>
  <c r="B1428" i="1"/>
  <c r="G1428" i="1" s="1"/>
  <c r="B1429" i="1"/>
  <c r="G1429" i="1" s="1"/>
  <c r="B1430" i="1"/>
  <c r="G1430" i="1" s="1"/>
  <c r="B1431" i="1"/>
  <c r="G1431" i="1" s="1"/>
  <c r="B1432" i="1"/>
  <c r="G1432" i="1" s="1"/>
  <c r="B1433" i="1"/>
  <c r="G1433" i="1" s="1"/>
  <c r="B1434" i="1"/>
  <c r="G1434" i="1" s="1"/>
  <c r="B1435" i="1"/>
  <c r="G1435" i="1" s="1"/>
  <c r="B1436" i="1"/>
  <c r="G1436" i="1" s="1"/>
  <c r="B1437" i="1"/>
  <c r="G1437" i="1" s="1"/>
  <c r="B1438" i="1"/>
  <c r="G1438" i="1" s="1"/>
  <c r="B1439" i="1"/>
  <c r="G1439" i="1" s="1"/>
  <c r="B1440" i="1"/>
  <c r="G1440" i="1" s="1"/>
  <c r="B1441" i="1"/>
  <c r="G1441" i="1" s="1"/>
  <c r="B1442" i="1"/>
  <c r="G1442" i="1" s="1"/>
  <c r="B1443" i="1"/>
  <c r="G1443" i="1" s="1"/>
  <c r="B1444" i="1"/>
  <c r="G1444" i="1" s="1"/>
  <c r="B1445" i="1"/>
  <c r="G1445" i="1" s="1"/>
  <c r="B1446" i="1"/>
  <c r="G1446" i="1" s="1"/>
  <c r="B1447" i="1"/>
  <c r="G1447" i="1" s="1"/>
  <c r="B1448" i="1"/>
  <c r="G1448" i="1" s="1"/>
  <c r="B1449" i="1"/>
  <c r="G1449" i="1" s="1"/>
  <c r="B1450" i="1"/>
  <c r="G1450" i="1" s="1"/>
  <c r="B1451" i="1"/>
  <c r="G1451" i="1" s="1"/>
  <c r="B1452" i="1"/>
  <c r="G1452" i="1" s="1"/>
  <c r="B1453" i="1"/>
  <c r="G1453" i="1" s="1"/>
  <c r="B1454" i="1"/>
  <c r="G1454" i="1" s="1"/>
  <c r="B1455" i="1"/>
  <c r="G1455" i="1" s="1"/>
  <c r="B1456" i="1"/>
  <c r="G1456" i="1" s="1"/>
  <c r="B1457" i="1"/>
  <c r="G1457" i="1" s="1"/>
  <c r="B1458" i="1"/>
  <c r="G1458" i="1" s="1"/>
  <c r="B1459" i="1"/>
  <c r="G1459" i="1" s="1"/>
  <c r="B1460" i="1"/>
  <c r="G1460" i="1" s="1"/>
  <c r="B1461" i="1"/>
  <c r="G1461" i="1" s="1"/>
  <c r="B1462" i="1"/>
  <c r="G1462" i="1" s="1"/>
  <c r="B1463" i="1"/>
  <c r="G1463" i="1" s="1"/>
  <c r="B1464" i="1"/>
  <c r="G1464" i="1" s="1"/>
  <c r="B1465" i="1"/>
  <c r="G1465" i="1" s="1"/>
  <c r="B1466" i="1"/>
  <c r="G1466" i="1" s="1"/>
  <c r="B1467" i="1"/>
  <c r="G1467" i="1" s="1"/>
  <c r="B1468" i="1"/>
  <c r="G1468" i="1" s="1"/>
  <c r="B1469" i="1"/>
  <c r="G1469" i="1" s="1"/>
  <c r="B1470" i="1"/>
  <c r="G1470" i="1" s="1"/>
  <c r="B1471" i="1"/>
  <c r="G1471" i="1" s="1"/>
  <c r="B1472" i="1"/>
  <c r="G1472" i="1" s="1"/>
  <c r="B1473" i="1"/>
  <c r="G1473" i="1" s="1"/>
  <c r="B1474" i="1"/>
  <c r="G1474" i="1" s="1"/>
  <c r="B1475" i="1"/>
  <c r="G1475" i="1" s="1"/>
  <c r="B1476" i="1"/>
  <c r="G1476" i="1" s="1"/>
  <c r="B1477" i="1"/>
  <c r="G1477" i="1" s="1"/>
  <c r="B1478" i="1"/>
  <c r="G1478" i="1" s="1"/>
  <c r="B1479" i="1"/>
  <c r="G1479" i="1" s="1"/>
  <c r="B1480" i="1"/>
  <c r="G1480" i="1" s="1"/>
  <c r="B1481" i="1"/>
  <c r="G1481" i="1" s="1"/>
  <c r="B1482" i="1"/>
  <c r="G1482" i="1" s="1"/>
  <c r="B1483" i="1"/>
  <c r="G1483" i="1" s="1"/>
  <c r="B1484" i="1"/>
  <c r="G1484" i="1" s="1"/>
  <c r="B1485" i="1"/>
  <c r="G1485" i="1" s="1"/>
  <c r="B1486" i="1"/>
  <c r="G1486" i="1" s="1"/>
  <c r="B1487" i="1"/>
  <c r="G1487" i="1" s="1"/>
  <c r="B1488" i="1"/>
  <c r="G1488" i="1" s="1"/>
  <c r="B1489" i="1"/>
  <c r="G1489" i="1" s="1"/>
  <c r="B1490" i="1"/>
  <c r="G1490" i="1" s="1"/>
  <c r="B1491" i="1"/>
  <c r="G1491" i="1" s="1"/>
  <c r="B1492" i="1"/>
  <c r="G1492" i="1" s="1"/>
  <c r="B1493" i="1"/>
  <c r="G1493" i="1" s="1"/>
  <c r="B1494" i="1"/>
  <c r="G1494" i="1" s="1"/>
  <c r="B1495" i="1"/>
  <c r="G1495" i="1" s="1"/>
  <c r="B1496" i="1"/>
  <c r="G1496" i="1" s="1"/>
  <c r="B1497" i="1"/>
  <c r="G1497" i="1" s="1"/>
  <c r="B1498" i="1"/>
  <c r="G1498" i="1" s="1"/>
  <c r="B1499" i="1"/>
  <c r="G1499" i="1" s="1"/>
  <c r="B1500" i="1"/>
  <c r="G1500" i="1" s="1"/>
  <c r="B1501" i="1"/>
  <c r="G1501" i="1" s="1"/>
  <c r="B1502" i="1"/>
  <c r="G1502" i="1" s="1"/>
  <c r="B1503" i="1"/>
  <c r="G1503" i="1" s="1"/>
  <c r="B1504" i="1"/>
  <c r="G1504" i="1" s="1"/>
  <c r="B1505" i="1"/>
  <c r="G1505" i="1" s="1"/>
  <c r="B1506" i="1"/>
  <c r="G1506" i="1" s="1"/>
  <c r="B1507" i="1"/>
  <c r="G1507" i="1" s="1"/>
  <c r="B1508" i="1"/>
  <c r="G1508" i="1" s="1"/>
  <c r="B1509" i="1"/>
  <c r="G1509" i="1" s="1"/>
  <c r="B1510" i="1"/>
  <c r="G1510" i="1" s="1"/>
  <c r="B1511" i="1"/>
  <c r="G1511" i="1" s="1"/>
  <c r="B1512" i="1"/>
  <c r="G1512" i="1" s="1"/>
  <c r="B1513" i="1"/>
  <c r="G1513" i="1" s="1"/>
  <c r="B1514" i="1"/>
  <c r="G1514" i="1" s="1"/>
  <c r="B1515" i="1"/>
  <c r="G1515" i="1" s="1"/>
  <c r="B1516" i="1"/>
  <c r="G1516" i="1" s="1"/>
  <c r="B1517" i="1"/>
  <c r="G1517" i="1" s="1"/>
  <c r="B1518" i="1"/>
  <c r="G1518" i="1" s="1"/>
  <c r="B1519" i="1"/>
  <c r="G1519" i="1" s="1"/>
  <c r="B1520" i="1"/>
  <c r="G1520" i="1" s="1"/>
  <c r="B1521" i="1"/>
  <c r="G1521" i="1" s="1"/>
  <c r="B1522" i="1"/>
  <c r="G1522" i="1" s="1"/>
  <c r="B1523" i="1"/>
  <c r="G1523" i="1" s="1"/>
  <c r="B1524" i="1"/>
  <c r="G1524" i="1" s="1"/>
  <c r="B1525" i="1"/>
  <c r="G1525" i="1" s="1"/>
  <c r="B1526" i="1"/>
  <c r="G1526" i="1" s="1"/>
  <c r="B1527" i="1"/>
  <c r="G1527" i="1" s="1"/>
  <c r="B1528" i="1"/>
  <c r="G1528" i="1" s="1"/>
  <c r="B1529" i="1"/>
  <c r="G1529" i="1" s="1"/>
  <c r="B1530" i="1"/>
  <c r="G1530" i="1" s="1"/>
  <c r="B1531" i="1"/>
  <c r="G1531" i="1" s="1"/>
  <c r="B1532" i="1"/>
  <c r="G1532" i="1" s="1"/>
  <c r="B1533" i="1"/>
  <c r="G1533" i="1" s="1"/>
  <c r="B1534" i="1"/>
  <c r="G1534" i="1" s="1"/>
  <c r="B1535" i="1"/>
  <c r="G1535" i="1" s="1"/>
  <c r="B1536" i="1"/>
  <c r="G1536" i="1" s="1"/>
  <c r="B1537" i="1"/>
  <c r="G1537" i="1" s="1"/>
  <c r="B1538" i="1"/>
  <c r="G1538" i="1" s="1"/>
  <c r="B1539" i="1"/>
  <c r="G1539" i="1" s="1"/>
  <c r="B1540" i="1"/>
  <c r="G1540" i="1" s="1"/>
  <c r="B1541" i="1"/>
  <c r="G1541" i="1" s="1"/>
  <c r="B1542" i="1"/>
  <c r="G1542" i="1" s="1"/>
  <c r="B1543" i="1"/>
  <c r="G1543" i="1" s="1"/>
  <c r="B1544" i="1"/>
  <c r="G1544" i="1" s="1"/>
  <c r="B1545" i="1"/>
  <c r="G1545" i="1" s="1"/>
  <c r="B1546" i="1"/>
  <c r="G1546" i="1" s="1"/>
  <c r="B1547" i="1"/>
  <c r="G1547" i="1" s="1"/>
  <c r="B1548" i="1"/>
  <c r="G1548" i="1" s="1"/>
  <c r="B1549" i="1"/>
  <c r="G1549" i="1" s="1"/>
  <c r="B1550" i="1"/>
  <c r="G1550" i="1" s="1"/>
  <c r="B1551" i="1"/>
  <c r="G1551" i="1" s="1"/>
  <c r="B1552" i="1"/>
  <c r="G1552" i="1" s="1"/>
  <c r="B1553" i="1"/>
  <c r="G1553" i="1" s="1"/>
  <c r="B1554" i="1"/>
  <c r="G1554" i="1" s="1"/>
  <c r="B1555" i="1"/>
  <c r="G1555" i="1" s="1"/>
  <c r="B1556" i="1"/>
  <c r="G1556" i="1" s="1"/>
  <c r="B1557" i="1"/>
  <c r="G1557" i="1" s="1"/>
  <c r="B1558" i="1"/>
  <c r="G1558" i="1" s="1"/>
  <c r="B1559" i="1"/>
  <c r="G1559" i="1" s="1"/>
  <c r="B1560" i="1"/>
  <c r="G1560" i="1" s="1"/>
  <c r="B1561" i="1"/>
  <c r="G1561" i="1" s="1"/>
  <c r="B1562" i="1"/>
  <c r="G1562" i="1" s="1"/>
  <c r="B1563" i="1"/>
  <c r="G1563" i="1" s="1"/>
  <c r="B1564" i="1"/>
  <c r="G1564" i="1" s="1"/>
  <c r="B1565" i="1"/>
  <c r="G1565" i="1" s="1"/>
  <c r="B1566" i="1"/>
  <c r="G1566" i="1" s="1"/>
  <c r="B1567" i="1"/>
  <c r="G1567" i="1" s="1"/>
  <c r="B1568" i="1"/>
  <c r="G1568" i="1" s="1"/>
  <c r="B1569" i="1"/>
  <c r="G1569" i="1" s="1"/>
  <c r="B1570" i="1"/>
  <c r="G1570" i="1" s="1"/>
  <c r="B1571" i="1"/>
  <c r="G1571" i="1" s="1"/>
  <c r="B1572" i="1"/>
  <c r="G1572" i="1" s="1"/>
  <c r="B1573" i="1"/>
  <c r="G1573" i="1" s="1"/>
  <c r="B1574" i="1"/>
  <c r="G1574" i="1" s="1"/>
  <c r="B1575" i="1"/>
  <c r="G1575" i="1" s="1"/>
  <c r="B1576" i="1"/>
  <c r="G1576" i="1" s="1"/>
  <c r="B1577" i="1"/>
  <c r="G1577" i="1" s="1"/>
  <c r="B1578" i="1"/>
  <c r="G1578" i="1" s="1"/>
  <c r="B1579" i="1"/>
  <c r="G1579" i="1" s="1"/>
  <c r="B1580" i="1"/>
  <c r="G1580" i="1" s="1"/>
  <c r="B1581" i="1"/>
  <c r="G1581" i="1" s="1"/>
  <c r="B1582" i="1"/>
  <c r="G1582" i="1" s="1"/>
  <c r="B1583" i="1"/>
  <c r="G1583" i="1" s="1"/>
  <c r="B1584" i="1"/>
  <c r="G1584" i="1" s="1"/>
  <c r="B1585" i="1"/>
  <c r="G1585" i="1" s="1"/>
  <c r="B1586" i="1"/>
  <c r="G1586" i="1" s="1"/>
  <c r="B1587" i="1"/>
  <c r="G1587" i="1" s="1"/>
  <c r="B1588" i="1"/>
  <c r="G1588" i="1" s="1"/>
  <c r="B1589" i="1"/>
  <c r="G1589" i="1" s="1"/>
  <c r="B1590" i="1"/>
  <c r="G1590" i="1" s="1"/>
  <c r="B1591" i="1"/>
  <c r="G1591" i="1" s="1"/>
  <c r="B1592" i="1"/>
  <c r="G1592" i="1" s="1"/>
  <c r="B1593" i="1"/>
  <c r="G1593" i="1" s="1"/>
  <c r="B1594" i="1"/>
  <c r="G1594" i="1" s="1"/>
  <c r="B1595" i="1"/>
  <c r="G1595" i="1" s="1"/>
  <c r="B1596" i="1"/>
  <c r="G1596" i="1" s="1"/>
  <c r="B1597" i="1"/>
  <c r="G1597" i="1" s="1"/>
  <c r="B1598" i="1"/>
  <c r="G1598" i="1" s="1"/>
  <c r="B1599" i="1"/>
  <c r="G1599" i="1" s="1"/>
  <c r="B1600" i="1"/>
  <c r="G1600" i="1" s="1"/>
  <c r="B1601" i="1"/>
  <c r="G1601" i="1" s="1"/>
  <c r="B1602" i="1"/>
  <c r="G1602" i="1" s="1"/>
  <c r="B1603" i="1"/>
  <c r="G1603" i="1" s="1"/>
  <c r="B1604" i="1"/>
  <c r="G1604" i="1" s="1"/>
  <c r="B1605" i="1"/>
  <c r="G1605" i="1" s="1"/>
  <c r="B1606" i="1"/>
  <c r="G1606" i="1" s="1"/>
  <c r="B1607" i="1"/>
  <c r="G1607" i="1" s="1"/>
  <c r="B1608" i="1"/>
  <c r="G1608" i="1" s="1"/>
  <c r="B1609" i="1"/>
  <c r="G1609" i="1" s="1"/>
  <c r="B1610" i="1"/>
  <c r="G1610" i="1" s="1"/>
  <c r="B1611" i="1"/>
  <c r="G1611" i="1" s="1"/>
  <c r="B1612" i="1"/>
  <c r="G1612" i="1" s="1"/>
  <c r="B1613" i="1"/>
  <c r="G1613" i="1" s="1"/>
  <c r="B1614" i="1"/>
  <c r="G1614" i="1" s="1"/>
  <c r="B1615" i="1"/>
  <c r="G1615" i="1" s="1"/>
  <c r="B1616" i="1"/>
  <c r="G1616" i="1" s="1"/>
  <c r="B1617" i="1"/>
  <c r="G1617" i="1" s="1"/>
  <c r="B1618" i="1"/>
  <c r="G1618" i="1" s="1"/>
  <c r="B1619" i="1"/>
  <c r="G1619" i="1" s="1"/>
  <c r="B1620" i="1"/>
  <c r="G1620" i="1" s="1"/>
  <c r="B1621" i="1"/>
  <c r="G1621" i="1" s="1"/>
  <c r="B1622" i="1"/>
  <c r="G1622" i="1" s="1"/>
  <c r="B1623" i="1"/>
  <c r="G1623" i="1" s="1"/>
  <c r="B1624" i="1"/>
  <c r="G1624" i="1" s="1"/>
  <c r="B1625" i="1"/>
  <c r="G1625" i="1" s="1"/>
  <c r="B1626" i="1"/>
  <c r="G1626" i="1" s="1"/>
  <c r="B1627" i="1"/>
  <c r="G1627" i="1" s="1"/>
  <c r="B1628" i="1"/>
  <c r="G1628" i="1" s="1"/>
  <c r="B1629" i="1"/>
  <c r="G1629" i="1" s="1"/>
  <c r="B1630" i="1"/>
  <c r="G1630" i="1" s="1"/>
  <c r="B1631" i="1"/>
  <c r="G1631" i="1" s="1"/>
  <c r="B1632" i="1"/>
  <c r="G1632" i="1" s="1"/>
  <c r="B1633" i="1"/>
  <c r="G1633" i="1" s="1"/>
  <c r="B1634" i="1"/>
  <c r="G1634" i="1" s="1"/>
  <c r="B1635" i="1"/>
  <c r="G1635" i="1" s="1"/>
  <c r="B1636" i="1"/>
  <c r="G1636" i="1" s="1"/>
  <c r="B1637" i="1"/>
  <c r="G1637" i="1" s="1"/>
  <c r="B1638" i="1"/>
  <c r="G1638" i="1" s="1"/>
  <c r="B1639" i="1"/>
  <c r="G1639" i="1" s="1"/>
  <c r="B1640" i="1"/>
  <c r="G1640" i="1" s="1"/>
  <c r="B1641" i="1"/>
  <c r="G1641" i="1" s="1"/>
  <c r="B1642" i="1"/>
  <c r="G1642" i="1" s="1"/>
  <c r="B1643" i="1"/>
  <c r="G1643" i="1" s="1"/>
  <c r="B1644" i="1"/>
  <c r="G1644" i="1" s="1"/>
  <c r="B1645" i="1"/>
  <c r="G1645" i="1" s="1"/>
  <c r="B1646" i="1"/>
  <c r="G1646" i="1" s="1"/>
  <c r="B1647" i="1"/>
  <c r="G1647" i="1" s="1"/>
  <c r="B1648" i="1"/>
  <c r="G1648" i="1" s="1"/>
  <c r="B1649" i="1"/>
  <c r="G1649" i="1" s="1"/>
  <c r="B1650" i="1"/>
  <c r="G1650" i="1" s="1"/>
  <c r="B1651" i="1"/>
  <c r="G1651" i="1" s="1"/>
  <c r="B1652" i="1"/>
  <c r="G1652" i="1" s="1"/>
  <c r="B1653" i="1"/>
  <c r="G1653" i="1" s="1"/>
  <c r="B1654" i="1"/>
  <c r="G1654" i="1" s="1"/>
  <c r="B1655" i="1"/>
  <c r="G1655" i="1" s="1"/>
  <c r="B1656" i="1"/>
  <c r="G1656" i="1" s="1"/>
  <c r="B1657" i="1"/>
  <c r="G1657" i="1" s="1"/>
  <c r="B1658" i="1"/>
  <c r="G1658" i="1" s="1"/>
  <c r="B1659" i="1"/>
  <c r="G1659" i="1" s="1"/>
  <c r="B1660" i="1"/>
  <c r="G1660" i="1" s="1"/>
  <c r="B1661" i="1"/>
  <c r="G1661" i="1" s="1"/>
  <c r="B1662" i="1"/>
  <c r="G1662" i="1" s="1"/>
  <c r="B1663" i="1"/>
  <c r="G1663" i="1" s="1"/>
  <c r="B1664" i="1"/>
  <c r="G1664" i="1" s="1"/>
  <c r="B1665" i="1"/>
  <c r="G1665" i="1" s="1"/>
  <c r="B1666" i="1"/>
  <c r="G1666" i="1" s="1"/>
  <c r="B1667" i="1"/>
  <c r="G1667" i="1" s="1"/>
  <c r="B1668" i="1"/>
  <c r="G1668" i="1" s="1"/>
  <c r="B1669" i="1"/>
  <c r="G1669" i="1" s="1"/>
  <c r="B1670" i="1"/>
  <c r="G1670" i="1" s="1"/>
  <c r="B1671" i="1"/>
  <c r="G1671" i="1" s="1"/>
  <c r="B1672" i="1"/>
  <c r="G1672" i="1" s="1"/>
  <c r="B1673" i="1"/>
  <c r="G1673" i="1" s="1"/>
  <c r="B1674" i="1"/>
  <c r="G1674" i="1" s="1"/>
  <c r="B1675" i="1"/>
  <c r="G1675" i="1" s="1"/>
  <c r="B1676" i="1"/>
  <c r="G1676" i="1" s="1"/>
  <c r="B1677" i="1"/>
  <c r="G1677" i="1" s="1"/>
  <c r="B1678" i="1"/>
  <c r="G1678" i="1" s="1"/>
  <c r="B1679" i="1"/>
  <c r="G1679" i="1" s="1"/>
  <c r="B1680" i="1"/>
  <c r="G1680" i="1" s="1"/>
  <c r="B1681" i="1"/>
  <c r="G1681" i="1" s="1"/>
  <c r="B1682" i="1"/>
  <c r="G1682" i="1" s="1"/>
  <c r="B1683" i="1"/>
  <c r="G1683" i="1" s="1"/>
  <c r="B1684" i="1"/>
  <c r="G1684" i="1" s="1"/>
  <c r="B1685" i="1"/>
  <c r="G1685" i="1" s="1"/>
  <c r="B1686" i="1"/>
  <c r="G1686" i="1" s="1"/>
  <c r="B1687" i="1"/>
  <c r="G1687" i="1" s="1"/>
  <c r="B1688" i="1"/>
  <c r="G1688" i="1" s="1"/>
  <c r="B1689" i="1"/>
  <c r="G1689" i="1" s="1"/>
  <c r="B1690" i="1"/>
  <c r="G1690" i="1" s="1"/>
  <c r="B1691" i="1"/>
  <c r="G1691" i="1" s="1"/>
  <c r="B1692" i="1"/>
  <c r="G1692" i="1" s="1"/>
  <c r="B1693" i="1"/>
  <c r="G1693" i="1" s="1"/>
  <c r="B1694" i="1"/>
  <c r="G1694" i="1" s="1"/>
  <c r="B1695" i="1"/>
  <c r="G1695" i="1" s="1"/>
  <c r="B1696" i="1"/>
  <c r="G1696" i="1" s="1"/>
  <c r="B1697" i="1"/>
  <c r="G1697" i="1" s="1"/>
  <c r="B1698" i="1"/>
  <c r="G1698" i="1" s="1"/>
  <c r="B1699" i="1"/>
  <c r="G1699" i="1" s="1"/>
  <c r="B1700" i="1"/>
  <c r="G1700" i="1" s="1"/>
  <c r="B1701" i="1"/>
  <c r="G1701" i="1" s="1"/>
  <c r="B1702" i="1"/>
  <c r="G1702" i="1" s="1"/>
  <c r="B1703" i="1"/>
  <c r="G1703" i="1" s="1"/>
  <c r="B1704" i="1"/>
  <c r="G1704" i="1" s="1"/>
  <c r="B1705" i="1"/>
  <c r="G1705" i="1" s="1"/>
  <c r="B1706" i="1"/>
  <c r="G1706" i="1" s="1"/>
  <c r="B1707" i="1"/>
  <c r="G1707" i="1" s="1"/>
  <c r="B1708" i="1"/>
  <c r="G1708" i="1" s="1"/>
  <c r="B1709" i="1"/>
  <c r="G1709" i="1" s="1"/>
  <c r="B1710" i="1"/>
  <c r="G1710" i="1" s="1"/>
  <c r="B1711" i="1"/>
  <c r="G1711" i="1" s="1"/>
  <c r="B1712" i="1"/>
  <c r="G1712" i="1" s="1"/>
  <c r="B1713" i="1"/>
  <c r="G1713" i="1" s="1"/>
  <c r="B1714" i="1"/>
  <c r="G1714" i="1" s="1"/>
  <c r="B1715" i="1"/>
  <c r="G1715" i="1" s="1"/>
  <c r="B1716" i="1"/>
  <c r="G1716" i="1" s="1"/>
  <c r="B1717" i="1"/>
  <c r="G1717" i="1" s="1"/>
  <c r="B1718" i="1"/>
  <c r="G1718" i="1" s="1"/>
  <c r="B1719" i="1"/>
  <c r="G1719" i="1" s="1"/>
  <c r="B1720" i="1"/>
  <c r="G1720" i="1" s="1"/>
  <c r="B1721" i="1"/>
  <c r="G1721" i="1" s="1"/>
  <c r="B1722" i="1"/>
  <c r="G1722" i="1" s="1"/>
  <c r="B1723" i="1"/>
  <c r="G1723" i="1" s="1"/>
  <c r="B1724" i="1"/>
  <c r="G1724" i="1" s="1"/>
  <c r="B1725" i="1"/>
  <c r="G1725" i="1" s="1"/>
  <c r="B1726" i="1"/>
  <c r="G1726" i="1" s="1"/>
  <c r="B1727" i="1"/>
  <c r="G1727" i="1" s="1"/>
  <c r="B1728" i="1"/>
  <c r="G1728" i="1" s="1"/>
  <c r="B1729" i="1"/>
  <c r="G1729" i="1" s="1"/>
  <c r="B1730" i="1"/>
  <c r="G1730" i="1" s="1"/>
  <c r="B1731" i="1"/>
  <c r="G1731" i="1" s="1"/>
  <c r="B1732" i="1"/>
  <c r="G1732" i="1" s="1"/>
  <c r="B1733" i="1"/>
  <c r="G1733" i="1" s="1"/>
  <c r="B1734" i="1"/>
  <c r="G1734" i="1" s="1"/>
  <c r="B1735" i="1"/>
  <c r="G1735" i="1" s="1"/>
  <c r="B1736" i="1"/>
  <c r="G1736" i="1" s="1"/>
  <c r="B1737" i="1"/>
  <c r="G1737" i="1" s="1"/>
  <c r="B1738" i="1"/>
  <c r="G1738" i="1" s="1"/>
  <c r="B1739" i="1"/>
  <c r="G1739" i="1" s="1"/>
  <c r="B1740" i="1"/>
  <c r="G1740" i="1" s="1"/>
  <c r="B1741" i="1"/>
  <c r="G1741" i="1" s="1"/>
  <c r="B1742" i="1"/>
  <c r="G1742" i="1" s="1"/>
  <c r="B1743" i="1"/>
  <c r="G1743" i="1" s="1"/>
  <c r="B1744" i="1"/>
  <c r="G1744" i="1" s="1"/>
  <c r="B1745" i="1"/>
  <c r="G1745" i="1" s="1"/>
  <c r="B1746" i="1"/>
  <c r="G1746" i="1" s="1"/>
  <c r="B1747" i="1"/>
  <c r="G1747" i="1" s="1"/>
  <c r="B1748" i="1"/>
  <c r="G1748" i="1" s="1"/>
  <c r="B1749" i="1"/>
  <c r="G1749" i="1" s="1"/>
  <c r="B1750" i="1"/>
  <c r="G1750" i="1" s="1"/>
  <c r="B1751" i="1"/>
  <c r="G1751" i="1" s="1"/>
  <c r="B1752" i="1"/>
  <c r="G1752" i="1" s="1"/>
  <c r="B1753" i="1"/>
  <c r="G1753" i="1" s="1"/>
  <c r="B1754" i="1"/>
  <c r="G1754" i="1" s="1"/>
  <c r="B1755" i="1"/>
  <c r="G1755" i="1" s="1"/>
  <c r="B1756" i="1"/>
  <c r="G1756" i="1" s="1"/>
  <c r="B1757" i="1"/>
  <c r="G1757" i="1" s="1"/>
  <c r="B1758" i="1"/>
  <c r="G1758" i="1" s="1"/>
  <c r="B1759" i="1"/>
  <c r="G1759" i="1" s="1"/>
  <c r="B1760" i="1"/>
  <c r="G1760" i="1" s="1"/>
  <c r="B1761" i="1"/>
  <c r="G1761" i="1" s="1"/>
  <c r="B1762" i="1"/>
  <c r="G1762" i="1" s="1"/>
  <c r="B1763" i="1"/>
  <c r="G1763" i="1" s="1"/>
  <c r="B1764" i="1"/>
  <c r="G1764" i="1" s="1"/>
  <c r="B1765" i="1"/>
  <c r="G1765" i="1" s="1"/>
  <c r="B1766" i="1"/>
  <c r="G1766" i="1" s="1"/>
  <c r="B1767" i="1"/>
  <c r="G1767" i="1" s="1"/>
  <c r="B1768" i="1"/>
  <c r="G1768" i="1" s="1"/>
  <c r="B1769" i="1"/>
  <c r="G1769" i="1" s="1"/>
  <c r="B1770" i="1"/>
  <c r="G1770" i="1" s="1"/>
  <c r="B1771" i="1"/>
  <c r="G1771" i="1" s="1"/>
  <c r="B1772" i="1"/>
  <c r="G1772" i="1" s="1"/>
  <c r="B1773" i="1"/>
  <c r="G1773" i="1" s="1"/>
  <c r="B1774" i="1"/>
  <c r="G1774" i="1" s="1"/>
  <c r="B1775" i="1"/>
  <c r="G1775" i="1" s="1"/>
  <c r="B1776" i="1"/>
  <c r="G1776" i="1" s="1"/>
  <c r="B1777" i="1"/>
  <c r="G1777" i="1" s="1"/>
  <c r="B1778" i="1"/>
  <c r="G1778" i="1" s="1"/>
  <c r="B1779" i="1"/>
  <c r="G1779" i="1" s="1"/>
  <c r="B1780" i="1"/>
  <c r="G1780" i="1" s="1"/>
  <c r="B1781" i="1"/>
  <c r="G1781" i="1" s="1"/>
  <c r="B1782" i="1"/>
  <c r="G1782" i="1" s="1"/>
  <c r="B1783" i="1"/>
  <c r="G1783" i="1" s="1"/>
  <c r="B1784" i="1"/>
  <c r="G1784" i="1" s="1"/>
  <c r="B1785" i="1"/>
  <c r="G1785" i="1" s="1"/>
  <c r="B1786" i="1"/>
  <c r="G1786" i="1" s="1"/>
  <c r="B1787" i="1"/>
  <c r="G1787" i="1" s="1"/>
  <c r="B1788" i="1"/>
  <c r="G1788" i="1" s="1"/>
  <c r="B1789" i="1"/>
  <c r="G1789" i="1" s="1"/>
  <c r="B1790" i="1"/>
  <c r="G1790" i="1" s="1"/>
  <c r="B1791" i="1"/>
  <c r="G1791" i="1" s="1"/>
  <c r="B1792" i="1"/>
  <c r="G1792" i="1" s="1"/>
  <c r="B1793" i="1"/>
  <c r="G1793" i="1" s="1"/>
  <c r="B1794" i="1"/>
  <c r="G1794" i="1" s="1"/>
  <c r="B1795" i="1"/>
  <c r="G1795" i="1" s="1"/>
  <c r="B1796" i="1"/>
  <c r="G1796" i="1" s="1"/>
  <c r="B1797" i="1"/>
  <c r="G1797" i="1" s="1"/>
  <c r="B1798" i="1"/>
  <c r="G1798" i="1" s="1"/>
  <c r="B1799" i="1"/>
  <c r="G1799" i="1" s="1"/>
  <c r="B1800" i="1"/>
  <c r="G1800" i="1" s="1"/>
  <c r="B1801" i="1"/>
  <c r="G1801" i="1" s="1"/>
  <c r="B1802" i="1"/>
  <c r="G1802" i="1" s="1"/>
  <c r="B1803" i="1"/>
  <c r="G1803" i="1" s="1"/>
  <c r="B1804" i="1"/>
  <c r="G1804" i="1" s="1"/>
  <c r="B1805" i="1"/>
  <c r="G1805" i="1" s="1"/>
  <c r="B1806" i="1"/>
  <c r="G1806" i="1" s="1"/>
  <c r="B1807" i="1"/>
  <c r="G1807" i="1" s="1"/>
  <c r="B1808" i="1"/>
  <c r="G1808" i="1" s="1"/>
  <c r="B1809" i="1"/>
  <c r="G1809" i="1" s="1"/>
  <c r="B1810" i="1"/>
  <c r="G1810" i="1" s="1"/>
  <c r="B1811" i="1"/>
  <c r="G1811" i="1" s="1"/>
  <c r="B1812" i="1"/>
  <c r="G1812" i="1" s="1"/>
  <c r="B1813" i="1"/>
  <c r="G1813" i="1" s="1"/>
  <c r="B1814" i="1"/>
  <c r="G1814" i="1" s="1"/>
  <c r="B1815" i="1"/>
  <c r="G1815" i="1" s="1"/>
  <c r="B1816" i="1"/>
  <c r="G1816" i="1" s="1"/>
  <c r="B1817" i="1"/>
  <c r="G1817" i="1" s="1"/>
  <c r="B1818" i="1"/>
  <c r="G1818" i="1" s="1"/>
  <c r="B1819" i="1"/>
  <c r="G1819" i="1" s="1"/>
  <c r="B1820" i="1"/>
  <c r="G1820" i="1" s="1"/>
  <c r="B1821" i="1"/>
  <c r="G1821" i="1" s="1"/>
  <c r="B1822" i="1"/>
  <c r="G1822" i="1" s="1"/>
  <c r="B1823" i="1"/>
  <c r="G1823" i="1" s="1"/>
  <c r="B1824" i="1"/>
  <c r="G1824" i="1" s="1"/>
  <c r="B1825" i="1"/>
  <c r="G1825" i="1" s="1"/>
  <c r="B1826" i="1"/>
  <c r="G1826" i="1" s="1"/>
  <c r="B1827" i="1"/>
  <c r="G1827" i="1" s="1"/>
  <c r="B1828" i="1"/>
  <c r="G1828" i="1" s="1"/>
  <c r="B1829" i="1"/>
  <c r="G1829" i="1" s="1"/>
  <c r="B1830" i="1"/>
  <c r="G1830" i="1" s="1"/>
  <c r="B1831" i="1"/>
  <c r="G1831" i="1" s="1"/>
  <c r="B1832" i="1"/>
  <c r="G1832" i="1" s="1"/>
  <c r="B1833" i="1"/>
  <c r="G1833" i="1" s="1"/>
  <c r="B1834" i="1"/>
  <c r="G1834" i="1" s="1"/>
  <c r="B1835" i="1"/>
  <c r="G1835" i="1" s="1"/>
  <c r="B1836" i="1"/>
  <c r="G1836" i="1" s="1"/>
  <c r="B1837" i="1"/>
  <c r="G1837" i="1" s="1"/>
  <c r="B1838" i="1"/>
  <c r="G1838" i="1" s="1"/>
  <c r="B1839" i="1"/>
  <c r="G1839" i="1" s="1"/>
  <c r="B1840" i="1"/>
  <c r="G1840" i="1" s="1"/>
  <c r="B1841" i="1"/>
  <c r="G1841" i="1" s="1"/>
  <c r="B1842" i="1"/>
  <c r="G1842" i="1" s="1"/>
  <c r="B1843" i="1"/>
  <c r="G1843" i="1" s="1"/>
  <c r="B1844" i="1"/>
  <c r="G1844" i="1" s="1"/>
  <c r="B1845" i="1"/>
  <c r="G1845" i="1" s="1"/>
  <c r="B1846" i="1"/>
  <c r="G1846" i="1" s="1"/>
  <c r="B1847" i="1"/>
  <c r="G1847" i="1" s="1"/>
  <c r="B1848" i="1"/>
  <c r="G1848" i="1" s="1"/>
  <c r="B1849" i="1"/>
  <c r="G1849" i="1" s="1"/>
  <c r="B1850" i="1"/>
  <c r="G1850" i="1" s="1"/>
  <c r="B1851" i="1"/>
  <c r="G1851" i="1" s="1"/>
  <c r="B1852" i="1"/>
  <c r="G1852" i="1" s="1"/>
  <c r="B1853" i="1"/>
  <c r="G1853" i="1" s="1"/>
  <c r="B1854" i="1"/>
  <c r="G1854" i="1" s="1"/>
  <c r="B1855" i="1"/>
  <c r="G1855" i="1" s="1"/>
  <c r="B1856" i="1"/>
  <c r="G1856" i="1" s="1"/>
  <c r="B1857" i="1"/>
  <c r="G1857" i="1" s="1"/>
  <c r="B1858" i="1"/>
  <c r="G1858" i="1" s="1"/>
  <c r="B1859" i="1"/>
  <c r="G1859" i="1" s="1"/>
  <c r="B1860" i="1"/>
  <c r="G1860" i="1" s="1"/>
  <c r="B1861" i="1"/>
  <c r="G1861" i="1" s="1"/>
  <c r="B1862" i="1"/>
  <c r="G1862" i="1" s="1"/>
  <c r="B1863" i="1"/>
  <c r="G1863" i="1" s="1"/>
  <c r="B1864" i="1"/>
  <c r="G1864" i="1" s="1"/>
  <c r="B1865" i="1"/>
  <c r="G1865" i="1" s="1"/>
  <c r="B1866" i="1"/>
  <c r="G1866" i="1" s="1"/>
  <c r="B1867" i="1"/>
  <c r="G1867" i="1" s="1"/>
  <c r="B1868" i="1"/>
  <c r="G1868" i="1" s="1"/>
  <c r="B1869" i="1"/>
  <c r="G1869" i="1" s="1"/>
  <c r="B1870" i="1"/>
  <c r="G1870" i="1" s="1"/>
  <c r="B1871" i="1"/>
  <c r="G1871" i="1" s="1"/>
  <c r="B1872" i="1"/>
  <c r="G1872" i="1" s="1"/>
  <c r="B1873" i="1"/>
  <c r="G1873" i="1" s="1"/>
  <c r="B1874" i="1"/>
  <c r="G1874" i="1" s="1"/>
  <c r="B1875" i="1"/>
  <c r="G1875" i="1" s="1"/>
  <c r="B1876" i="1"/>
  <c r="G1876" i="1" s="1"/>
  <c r="B1877" i="1"/>
  <c r="G1877" i="1" s="1"/>
  <c r="B1878" i="1"/>
  <c r="G1878" i="1" s="1"/>
  <c r="B1879" i="1"/>
  <c r="G1879" i="1" s="1"/>
  <c r="B1880" i="1"/>
  <c r="G1880" i="1" s="1"/>
  <c r="B1881" i="1"/>
  <c r="G1881" i="1" s="1"/>
  <c r="B1882" i="1"/>
  <c r="G1882" i="1" s="1"/>
  <c r="B1883" i="1"/>
  <c r="G1883" i="1" s="1"/>
  <c r="B1884" i="1"/>
  <c r="G1884" i="1" s="1"/>
  <c r="B1885" i="1"/>
  <c r="G1885" i="1" s="1"/>
  <c r="B1886" i="1"/>
  <c r="G1886" i="1" s="1"/>
  <c r="B1887" i="1"/>
  <c r="G1887" i="1" s="1"/>
  <c r="B1888" i="1"/>
  <c r="G1888" i="1" s="1"/>
  <c r="B1889" i="1"/>
  <c r="G1889" i="1" s="1"/>
  <c r="B1890" i="1"/>
  <c r="G1890" i="1" s="1"/>
  <c r="B1891" i="1"/>
  <c r="G1891" i="1" s="1"/>
  <c r="B1892" i="1"/>
  <c r="G1892" i="1" s="1"/>
  <c r="B1893" i="1"/>
  <c r="G1893" i="1" s="1"/>
  <c r="B1894" i="1"/>
  <c r="G1894" i="1" s="1"/>
  <c r="B1895" i="1"/>
  <c r="G1895" i="1" s="1"/>
  <c r="B1896" i="1"/>
  <c r="G1896" i="1" s="1"/>
  <c r="B1897" i="1"/>
  <c r="G1897" i="1" s="1"/>
  <c r="B1898" i="1"/>
  <c r="G1898" i="1" s="1"/>
  <c r="B1899" i="1"/>
  <c r="G1899" i="1" s="1"/>
  <c r="B1900" i="1"/>
  <c r="G1900" i="1" s="1"/>
  <c r="B1901" i="1"/>
  <c r="G1901" i="1" s="1"/>
  <c r="B1902" i="1"/>
  <c r="G1902" i="1" s="1"/>
  <c r="B1903" i="1"/>
  <c r="G1903" i="1" s="1"/>
  <c r="B1904" i="1"/>
  <c r="G1904" i="1" s="1"/>
  <c r="B1905" i="1"/>
  <c r="G1905" i="1" s="1"/>
  <c r="B1906" i="1"/>
  <c r="G1906" i="1" s="1"/>
  <c r="B1907" i="1"/>
  <c r="G1907" i="1" s="1"/>
  <c r="B1908" i="1"/>
  <c r="G1908" i="1" s="1"/>
  <c r="B1909" i="1"/>
  <c r="G1909" i="1" s="1"/>
  <c r="B1910" i="1"/>
  <c r="G1910" i="1" s="1"/>
  <c r="B1911" i="1"/>
  <c r="G1911" i="1" s="1"/>
  <c r="B1912" i="1"/>
  <c r="G1912" i="1" s="1"/>
  <c r="B1913" i="1"/>
  <c r="G1913" i="1" s="1"/>
  <c r="B1914" i="1"/>
  <c r="G1914" i="1" s="1"/>
  <c r="B1915" i="1"/>
  <c r="G1915" i="1" s="1"/>
  <c r="B1916" i="1"/>
  <c r="G1916" i="1" s="1"/>
  <c r="B1917" i="1"/>
  <c r="G1917" i="1" s="1"/>
  <c r="B1918" i="1"/>
  <c r="G1918" i="1" s="1"/>
  <c r="B1919" i="1"/>
  <c r="G1919" i="1" s="1"/>
  <c r="B1920" i="1"/>
  <c r="G1920" i="1" s="1"/>
  <c r="B1921" i="1"/>
  <c r="G1921" i="1" s="1"/>
  <c r="B1922" i="1"/>
  <c r="G1922" i="1" s="1"/>
  <c r="B1923" i="1"/>
  <c r="G1923" i="1" s="1"/>
  <c r="B1924" i="1"/>
  <c r="G1924" i="1" s="1"/>
  <c r="B1925" i="1"/>
  <c r="G1925" i="1" s="1"/>
  <c r="B1926" i="1"/>
  <c r="G1926" i="1" s="1"/>
  <c r="B1927" i="1"/>
  <c r="G1927" i="1" s="1"/>
  <c r="B1928" i="1"/>
  <c r="G1928" i="1" s="1"/>
  <c r="B1929" i="1"/>
  <c r="G1929" i="1" s="1"/>
  <c r="B1930" i="1"/>
  <c r="G1930" i="1" s="1"/>
  <c r="B1931" i="1"/>
  <c r="G1931" i="1" s="1"/>
  <c r="B1932" i="1"/>
  <c r="G1932" i="1" s="1"/>
  <c r="B1933" i="1"/>
  <c r="G1933" i="1" s="1"/>
  <c r="B1934" i="1"/>
  <c r="G1934" i="1" s="1"/>
  <c r="B1935" i="1"/>
  <c r="G1935" i="1" s="1"/>
  <c r="B1936" i="1"/>
  <c r="G1936" i="1" s="1"/>
  <c r="B1937" i="1"/>
  <c r="G1937" i="1" s="1"/>
  <c r="B1938" i="1"/>
  <c r="G1938" i="1" s="1"/>
  <c r="B1939" i="1"/>
  <c r="G1939" i="1" s="1"/>
  <c r="B1940" i="1"/>
  <c r="G1940" i="1" s="1"/>
  <c r="B1941" i="1"/>
  <c r="G1941" i="1" s="1"/>
  <c r="B1942" i="1"/>
  <c r="G1942" i="1" s="1"/>
  <c r="B1943" i="1"/>
  <c r="G1943" i="1" s="1"/>
  <c r="B1944" i="1"/>
  <c r="G1944" i="1" s="1"/>
  <c r="B1945" i="1"/>
  <c r="G1945" i="1" s="1"/>
  <c r="B1946" i="1"/>
  <c r="G1946" i="1" s="1"/>
  <c r="B1947" i="1"/>
  <c r="G1947" i="1" s="1"/>
  <c r="B1948" i="1"/>
  <c r="G1948" i="1" s="1"/>
  <c r="B1949" i="1"/>
  <c r="G1949" i="1" s="1"/>
  <c r="B1950" i="1"/>
  <c r="G1950" i="1" s="1"/>
  <c r="B1951" i="1"/>
  <c r="G1951" i="1" s="1"/>
  <c r="B1952" i="1"/>
  <c r="G1952" i="1" s="1"/>
  <c r="B1953" i="1"/>
  <c r="G1953" i="1" s="1"/>
  <c r="B1954" i="1"/>
  <c r="G1954" i="1" s="1"/>
  <c r="B1955" i="1"/>
  <c r="G1955" i="1" s="1"/>
  <c r="B1956" i="1"/>
  <c r="G1956" i="1" s="1"/>
  <c r="B1957" i="1"/>
  <c r="G1957" i="1" s="1"/>
  <c r="B1958" i="1"/>
  <c r="G1958" i="1" s="1"/>
  <c r="B1959" i="1"/>
  <c r="G1959" i="1" s="1"/>
  <c r="B1960" i="1"/>
  <c r="G1960" i="1" s="1"/>
  <c r="B1961" i="1"/>
  <c r="G1961" i="1" s="1"/>
  <c r="B1962" i="1"/>
  <c r="G1962" i="1" s="1"/>
  <c r="B1963" i="1"/>
  <c r="G1963" i="1" s="1"/>
  <c r="B1964" i="1"/>
  <c r="G1964" i="1" s="1"/>
  <c r="B1965" i="1"/>
  <c r="G1965" i="1" s="1"/>
  <c r="B1966" i="1"/>
  <c r="G1966" i="1" s="1"/>
  <c r="B1967" i="1"/>
  <c r="G1967" i="1" s="1"/>
  <c r="B1968" i="1"/>
  <c r="G1968" i="1" s="1"/>
  <c r="B1969" i="1"/>
  <c r="G1969" i="1" s="1"/>
  <c r="B1970" i="1"/>
  <c r="G1970" i="1" s="1"/>
  <c r="B1971" i="1"/>
  <c r="G1971" i="1" s="1"/>
  <c r="B1972" i="1"/>
  <c r="G1972" i="1" s="1"/>
  <c r="B1973" i="1"/>
  <c r="G1973" i="1" s="1"/>
  <c r="B1974" i="1"/>
  <c r="G1974" i="1" s="1"/>
  <c r="B1975" i="1"/>
  <c r="G1975" i="1" s="1"/>
  <c r="B1976" i="1"/>
  <c r="G1976" i="1" s="1"/>
  <c r="B1977" i="1"/>
  <c r="G1977" i="1" s="1"/>
  <c r="B1978" i="1"/>
  <c r="G1978" i="1" s="1"/>
  <c r="B1979" i="1"/>
  <c r="G1979" i="1" s="1"/>
  <c r="B1980" i="1"/>
  <c r="G1980" i="1" s="1"/>
  <c r="B1981" i="1"/>
  <c r="G1981" i="1" s="1"/>
  <c r="B1982" i="1"/>
  <c r="G1982" i="1" s="1"/>
  <c r="B1983" i="1"/>
  <c r="G1983" i="1" s="1"/>
  <c r="B1984" i="1"/>
  <c r="G1984" i="1" s="1"/>
  <c r="B1985" i="1"/>
  <c r="G1985" i="1" s="1"/>
  <c r="B1986" i="1"/>
  <c r="G1986" i="1" s="1"/>
  <c r="B1987" i="1"/>
  <c r="G1987" i="1" s="1"/>
  <c r="B1988" i="1"/>
  <c r="G1988" i="1" s="1"/>
  <c r="B1989" i="1"/>
  <c r="G1989" i="1" s="1"/>
  <c r="B1990" i="1"/>
  <c r="G1990" i="1" s="1"/>
  <c r="B1991" i="1"/>
  <c r="G1991" i="1" s="1"/>
  <c r="B1992" i="1"/>
  <c r="G1992" i="1" s="1"/>
  <c r="B1993" i="1"/>
  <c r="G1993" i="1" s="1"/>
  <c r="B1994" i="1"/>
  <c r="G1994" i="1" s="1"/>
  <c r="B1995" i="1"/>
  <c r="G1995" i="1" s="1"/>
  <c r="B1996" i="1"/>
  <c r="G1996" i="1" s="1"/>
  <c r="B1997" i="1"/>
  <c r="G1997" i="1" s="1"/>
  <c r="B1998" i="1"/>
  <c r="G1998" i="1" s="1"/>
  <c r="B1999" i="1"/>
  <c r="G1999" i="1" s="1"/>
  <c r="B2000" i="1"/>
  <c r="G2000" i="1" s="1"/>
  <c r="B2001" i="1"/>
  <c r="G2001" i="1" s="1"/>
  <c r="B2002" i="1"/>
  <c r="G2002" i="1" s="1"/>
  <c r="B2003" i="1"/>
  <c r="G2003" i="1" s="1"/>
  <c r="B2004" i="1"/>
  <c r="G2004" i="1" s="1"/>
  <c r="B2005" i="1"/>
  <c r="G2005" i="1" s="1"/>
  <c r="B2006" i="1"/>
  <c r="G2006" i="1" s="1"/>
  <c r="B2007" i="1"/>
  <c r="G2007" i="1" s="1"/>
  <c r="B2008" i="1"/>
  <c r="G2008" i="1" s="1"/>
  <c r="B2009" i="1"/>
  <c r="G2009" i="1" s="1"/>
  <c r="B2010" i="1"/>
  <c r="G2010" i="1" s="1"/>
  <c r="B2011" i="1"/>
  <c r="G2011" i="1" s="1"/>
  <c r="B2012" i="1"/>
  <c r="G2012" i="1" s="1"/>
  <c r="B2013" i="1"/>
  <c r="G2013" i="1" s="1"/>
  <c r="B2014" i="1"/>
  <c r="G2014" i="1" s="1"/>
  <c r="B2015" i="1"/>
  <c r="G2015" i="1" s="1"/>
  <c r="B2016" i="1"/>
  <c r="G2016" i="1" s="1"/>
  <c r="B2017" i="1"/>
  <c r="G2017" i="1" s="1"/>
  <c r="B2018" i="1"/>
  <c r="G2018" i="1" s="1"/>
  <c r="B2019" i="1"/>
  <c r="G2019" i="1" s="1"/>
  <c r="B2020" i="1"/>
  <c r="G2020" i="1" s="1"/>
  <c r="B2021" i="1"/>
  <c r="G2021" i="1" s="1"/>
  <c r="B2022" i="1"/>
  <c r="G2022" i="1" s="1"/>
  <c r="B2023" i="1"/>
  <c r="G2023" i="1" s="1"/>
  <c r="B2024" i="1"/>
  <c r="G2024" i="1" s="1"/>
  <c r="B2025" i="1"/>
  <c r="G2025" i="1" s="1"/>
  <c r="B2026" i="1"/>
  <c r="G2026" i="1" s="1"/>
  <c r="B2027" i="1"/>
  <c r="G2027" i="1" s="1"/>
  <c r="B2028" i="1"/>
  <c r="G2028" i="1" s="1"/>
  <c r="B2029" i="1"/>
  <c r="G2029" i="1" s="1"/>
  <c r="B2030" i="1"/>
  <c r="G2030" i="1" s="1"/>
  <c r="B2031" i="1"/>
  <c r="G2031" i="1" s="1"/>
  <c r="B2032" i="1"/>
  <c r="G2032" i="1" s="1"/>
  <c r="B2033" i="1"/>
  <c r="G2033" i="1" s="1"/>
  <c r="B2034" i="1"/>
  <c r="G2034" i="1" s="1"/>
  <c r="B2035" i="1"/>
  <c r="G2035" i="1" s="1"/>
  <c r="B2036" i="1"/>
  <c r="G2036" i="1" s="1"/>
  <c r="B2037" i="1"/>
  <c r="G2037" i="1" s="1"/>
  <c r="B2038" i="1"/>
  <c r="G2038" i="1" s="1"/>
  <c r="B2039" i="1"/>
  <c r="G2039" i="1" s="1"/>
  <c r="B2040" i="1"/>
  <c r="G2040" i="1" s="1"/>
  <c r="B2041" i="1"/>
  <c r="G2041" i="1" s="1"/>
  <c r="B2042" i="1"/>
  <c r="G2042" i="1" s="1"/>
  <c r="B2043" i="1"/>
  <c r="G2043" i="1" s="1"/>
  <c r="B2044" i="1"/>
  <c r="G2044" i="1" s="1"/>
  <c r="B2045" i="1"/>
  <c r="G2045" i="1" s="1"/>
  <c r="B2046" i="1"/>
  <c r="G2046" i="1" s="1"/>
  <c r="B2047" i="1"/>
  <c r="G2047" i="1" s="1"/>
  <c r="B2048" i="1"/>
  <c r="G2048" i="1" s="1"/>
  <c r="B2049" i="1"/>
  <c r="G2049" i="1" s="1"/>
  <c r="B2050" i="1"/>
  <c r="G2050" i="1" s="1"/>
  <c r="B2051" i="1"/>
  <c r="G2051" i="1" s="1"/>
  <c r="B2052" i="1"/>
  <c r="G2052" i="1" s="1"/>
  <c r="B2053" i="1"/>
  <c r="G2053" i="1" s="1"/>
  <c r="B2054" i="1"/>
  <c r="G2054" i="1" s="1"/>
  <c r="B2055" i="1"/>
  <c r="G2055" i="1" s="1"/>
  <c r="B2056" i="1"/>
  <c r="G2056" i="1" s="1"/>
  <c r="B2057" i="1"/>
  <c r="G2057" i="1" s="1"/>
  <c r="B2058" i="1"/>
  <c r="G2058" i="1" s="1"/>
  <c r="B2059" i="1"/>
  <c r="G2059" i="1" s="1"/>
  <c r="B2060" i="1"/>
  <c r="G2060" i="1" s="1"/>
  <c r="B2061" i="1"/>
  <c r="G2061" i="1" s="1"/>
  <c r="B2062" i="1"/>
  <c r="G2062" i="1" s="1"/>
  <c r="B2063" i="1"/>
  <c r="G2063" i="1" s="1"/>
  <c r="B2064" i="1"/>
  <c r="G2064" i="1" s="1"/>
  <c r="B2065" i="1"/>
  <c r="G2065" i="1" s="1"/>
  <c r="B2066" i="1"/>
  <c r="G2066" i="1" s="1"/>
  <c r="B2067" i="1"/>
  <c r="G2067" i="1" s="1"/>
  <c r="B2068" i="1"/>
  <c r="G2068" i="1" s="1"/>
  <c r="B2069" i="1"/>
  <c r="G2069" i="1" s="1"/>
  <c r="B2070" i="1"/>
  <c r="G2070" i="1" s="1"/>
  <c r="B2071" i="1"/>
  <c r="G2071" i="1" s="1"/>
  <c r="B2072" i="1"/>
  <c r="G2072" i="1" s="1"/>
  <c r="B2073" i="1"/>
  <c r="G2073" i="1" s="1"/>
  <c r="B2074" i="1"/>
  <c r="G2074" i="1" s="1"/>
  <c r="B2075" i="1"/>
  <c r="G2075" i="1" s="1"/>
  <c r="B2076" i="1"/>
  <c r="G2076" i="1" s="1"/>
  <c r="B2077" i="1"/>
  <c r="G2077" i="1" s="1"/>
  <c r="B2078" i="1"/>
  <c r="G2078" i="1" s="1"/>
  <c r="B2079" i="1"/>
  <c r="G2079" i="1" s="1"/>
  <c r="B2080" i="1"/>
  <c r="G2080" i="1" s="1"/>
  <c r="B2081" i="1"/>
  <c r="G2081" i="1" s="1"/>
  <c r="B2082" i="1"/>
  <c r="G2082" i="1" s="1"/>
  <c r="B2083" i="1"/>
  <c r="G2083" i="1" s="1"/>
  <c r="B2084" i="1"/>
  <c r="G2084" i="1" s="1"/>
  <c r="B2085" i="1"/>
  <c r="G2085" i="1" s="1"/>
  <c r="B2086" i="1"/>
  <c r="G2086" i="1" s="1"/>
  <c r="B2087" i="1"/>
  <c r="G2087" i="1" s="1"/>
  <c r="B2088" i="1"/>
  <c r="G2088" i="1" s="1"/>
  <c r="B2089" i="1"/>
  <c r="G2089" i="1" s="1"/>
  <c r="B2090" i="1"/>
  <c r="G2090" i="1" s="1"/>
  <c r="B2091" i="1"/>
  <c r="G2091" i="1" s="1"/>
  <c r="B2092" i="1"/>
  <c r="G2092" i="1" s="1"/>
  <c r="B2093" i="1"/>
  <c r="G2093" i="1" s="1"/>
  <c r="B2094" i="1"/>
  <c r="G2094" i="1" s="1"/>
  <c r="B2095" i="1"/>
  <c r="G2095" i="1" s="1"/>
  <c r="B2096" i="1"/>
  <c r="G2096" i="1" s="1"/>
  <c r="B2097" i="1"/>
  <c r="G2097" i="1" s="1"/>
  <c r="B2098" i="1"/>
  <c r="G2098" i="1" s="1"/>
  <c r="B2099" i="1"/>
  <c r="G2099" i="1" s="1"/>
  <c r="B2100" i="1"/>
  <c r="G2100" i="1" s="1"/>
  <c r="B2101" i="1"/>
  <c r="G2101" i="1" s="1"/>
  <c r="B2102" i="1"/>
  <c r="G2102" i="1" s="1"/>
  <c r="B2103" i="1"/>
  <c r="G2103" i="1" s="1"/>
  <c r="B2104" i="1"/>
  <c r="G2104" i="1" s="1"/>
  <c r="B2105" i="1"/>
  <c r="G2105" i="1" s="1"/>
  <c r="B2106" i="1"/>
  <c r="G2106" i="1" s="1"/>
  <c r="B2107" i="1"/>
  <c r="G2107" i="1" s="1"/>
  <c r="B2108" i="1"/>
  <c r="G2108" i="1" s="1"/>
  <c r="B2109" i="1"/>
  <c r="G2109" i="1" s="1"/>
  <c r="B2110" i="1"/>
  <c r="G2110" i="1" s="1"/>
  <c r="B2111" i="1"/>
  <c r="G2111" i="1" s="1"/>
  <c r="B2112" i="1"/>
  <c r="G2112" i="1" s="1"/>
  <c r="B2113" i="1"/>
  <c r="G2113" i="1" s="1"/>
  <c r="B2114" i="1"/>
  <c r="G2114" i="1" s="1"/>
  <c r="B2115" i="1"/>
  <c r="G2115" i="1" s="1"/>
  <c r="B2116" i="1"/>
  <c r="G2116" i="1" s="1"/>
  <c r="B2117" i="1"/>
  <c r="G2117" i="1" s="1"/>
  <c r="B2118" i="1"/>
  <c r="G2118" i="1" s="1"/>
  <c r="B2119" i="1"/>
  <c r="G2119" i="1" s="1"/>
  <c r="B2120" i="1"/>
  <c r="G2120" i="1" s="1"/>
  <c r="B2121" i="1"/>
  <c r="G2121" i="1" s="1"/>
  <c r="B2122" i="1"/>
  <c r="G2122" i="1" s="1"/>
  <c r="B2123" i="1"/>
  <c r="G2123" i="1" s="1"/>
  <c r="B2124" i="1"/>
  <c r="G2124" i="1" s="1"/>
  <c r="B2125" i="1"/>
  <c r="G2125" i="1" s="1"/>
  <c r="B2126" i="1"/>
  <c r="G2126" i="1" s="1"/>
  <c r="B2127" i="1"/>
  <c r="G2127" i="1" s="1"/>
  <c r="B2128" i="1"/>
  <c r="G2128" i="1" s="1"/>
  <c r="B2129" i="1"/>
  <c r="G2129" i="1" s="1"/>
  <c r="B2130" i="1"/>
  <c r="G2130" i="1" s="1"/>
  <c r="B2131" i="1"/>
  <c r="G2131" i="1" s="1"/>
  <c r="B2132" i="1"/>
  <c r="G2132" i="1" s="1"/>
  <c r="B2133" i="1"/>
  <c r="G2133" i="1" s="1"/>
  <c r="B2134" i="1"/>
  <c r="G2134" i="1" s="1"/>
  <c r="B2135" i="1"/>
  <c r="G2135" i="1" s="1"/>
  <c r="B2136" i="1"/>
  <c r="G2136" i="1" s="1"/>
  <c r="B2137" i="1"/>
  <c r="G2137" i="1" s="1"/>
  <c r="B2138" i="1"/>
  <c r="G2138" i="1" s="1"/>
  <c r="B2139" i="1"/>
  <c r="G2139" i="1" s="1"/>
  <c r="B2140" i="1"/>
  <c r="G2140" i="1" s="1"/>
  <c r="B2141" i="1"/>
  <c r="G2141" i="1" s="1"/>
  <c r="B2142" i="1"/>
  <c r="G2142" i="1" s="1"/>
  <c r="B2143" i="1"/>
  <c r="G2143" i="1" s="1"/>
  <c r="B2144" i="1"/>
  <c r="G2144" i="1" s="1"/>
  <c r="B2145" i="1"/>
  <c r="G2145" i="1" s="1"/>
  <c r="B2146" i="1"/>
  <c r="G2146" i="1" s="1"/>
  <c r="B2147" i="1"/>
  <c r="G2147" i="1" s="1"/>
  <c r="B2148" i="1"/>
  <c r="G2148" i="1" s="1"/>
  <c r="B2149" i="1"/>
  <c r="G2149" i="1" s="1"/>
  <c r="B2150" i="1"/>
  <c r="G2150" i="1" s="1"/>
  <c r="B2151" i="1"/>
  <c r="G2151" i="1" s="1"/>
  <c r="B2152" i="1"/>
  <c r="G2152" i="1" s="1"/>
  <c r="B2153" i="1"/>
  <c r="G2153" i="1" s="1"/>
  <c r="B2154" i="1"/>
  <c r="G2154" i="1" s="1"/>
  <c r="B2155" i="1"/>
  <c r="G2155" i="1" s="1"/>
  <c r="B2156" i="1"/>
  <c r="G2156" i="1" s="1"/>
  <c r="B2157" i="1"/>
  <c r="G2157" i="1" s="1"/>
  <c r="B2158" i="1"/>
  <c r="G2158" i="1" s="1"/>
  <c r="B2159" i="1"/>
  <c r="G2159" i="1" s="1"/>
  <c r="B2160" i="1"/>
  <c r="G2160" i="1" s="1"/>
  <c r="B2161" i="1"/>
  <c r="G2161" i="1" s="1"/>
  <c r="B2162" i="1"/>
  <c r="G2162" i="1" s="1"/>
  <c r="B2163" i="1"/>
  <c r="G2163" i="1" s="1"/>
  <c r="B2164" i="1"/>
  <c r="G2164" i="1" s="1"/>
  <c r="B2165" i="1"/>
  <c r="G2165" i="1" s="1"/>
  <c r="B2166" i="1"/>
  <c r="G2166" i="1" s="1"/>
  <c r="B2167" i="1"/>
  <c r="G2167" i="1" s="1"/>
  <c r="B2168" i="1"/>
  <c r="G2168" i="1" s="1"/>
  <c r="B2169" i="1"/>
  <c r="G2169" i="1" s="1"/>
  <c r="B2170" i="1"/>
  <c r="G2170" i="1" s="1"/>
  <c r="B2171" i="1"/>
  <c r="G2171" i="1" s="1"/>
  <c r="B2172" i="1"/>
  <c r="G2172" i="1" s="1"/>
  <c r="B2173" i="1"/>
  <c r="G2173" i="1" s="1"/>
  <c r="B2174" i="1"/>
  <c r="G2174" i="1" s="1"/>
  <c r="B2175" i="1"/>
  <c r="G2175" i="1" s="1"/>
  <c r="B2176" i="1"/>
  <c r="G2176" i="1" s="1"/>
  <c r="B2177" i="1"/>
  <c r="G2177" i="1" s="1"/>
  <c r="B2178" i="1"/>
  <c r="G2178" i="1" s="1"/>
  <c r="B2179" i="1"/>
  <c r="G2179" i="1" s="1"/>
  <c r="B2180" i="1"/>
  <c r="G2180" i="1" s="1"/>
  <c r="B2181" i="1"/>
  <c r="G2181" i="1" s="1"/>
  <c r="B2182" i="1"/>
  <c r="G2182" i="1" s="1"/>
  <c r="B2183" i="1"/>
  <c r="G2183" i="1" s="1"/>
  <c r="B2184" i="1"/>
  <c r="G2184" i="1" s="1"/>
  <c r="B2185" i="1"/>
  <c r="G2185" i="1" s="1"/>
  <c r="B2186" i="1"/>
  <c r="G2186" i="1" s="1"/>
  <c r="B2187" i="1"/>
  <c r="G2187" i="1" s="1"/>
  <c r="B2188" i="1"/>
  <c r="G2188" i="1" s="1"/>
  <c r="B2189" i="1"/>
  <c r="G2189" i="1" s="1"/>
  <c r="B2190" i="1"/>
  <c r="G2190" i="1" s="1"/>
  <c r="B2191" i="1"/>
  <c r="G2191" i="1" s="1"/>
  <c r="B2192" i="1"/>
  <c r="G2192" i="1" s="1"/>
  <c r="B2193" i="1"/>
  <c r="G2193" i="1" s="1"/>
  <c r="B2194" i="1"/>
  <c r="G2194" i="1" s="1"/>
  <c r="B2195" i="1"/>
  <c r="G2195" i="1" s="1"/>
  <c r="B2196" i="1"/>
  <c r="G2196" i="1" s="1"/>
  <c r="B2197" i="1"/>
  <c r="G2197" i="1" s="1"/>
  <c r="B2198" i="1"/>
  <c r="G2198" i="1" s="1"/>
  <c r="B2199" i="1"/>
  <c r="G2199" i="1" s="1"/>
  <c r="B2200" i="1"/>
  <c r="G2200" i="1" s="1"/>
  <c r="B2201" i="1"/>
  <c r="G2201" i="1" s="1"/>
  <c r="B2202" i="1"/>
  <c r="G2202" i="1" s="1"/>
  <c r="B2203" i="1"/>
  <c r="G2203" i="1" s="1"/>
  <c r="B2204" i="1"/>
  <c r="G2204" i="1" s="1"/>
  <c r="B2205" i="1"/>
  <c r="G2205" i="1" s="1"/>
  <c r="B2206" i="1"/>
  <c r="G2206" i="1" s="1"/>
  <c r="B2207" i="1"/>
  <c r="G2207" i="1" s="1"/>
  <c r="B2208" i="1"/>
  <c r="G2208" i="1" s="1"/>
  <c r="B2209" i="1"/>
  <c r="G2209" i="1" s="1"/>
  <c r="B2210" i="1"/>
  <c r="G2210" i="1" s="1"/>
  <c r="B2211" i="1"/>
  <c r="G2211" i="1" s="1"/>
  <c r="B2212" i="1"/>
  <c r="G2212" i="1" s="1"/>
  <c r="B2213" i="1"/>
  <c r="G2213" i="1" s="1"/>
  <c r="B2214" i="1"/>
  <c r="G2214" i="1" s="1"/>
  <c r="B2215" i="1"/>
  <c r="G2215" i="1" s="1"/>
  <c r="B2216" i="1"/>
  <c r="G2216" i="1" s="1"/>
  <c r="B2217" i="1"/>
  <c r="G2217" i="1" s="1"/>
  <c r="B2218" i="1"/>
  <c r="G2218" i="1" s="1"/>
  <c r="B2219" i="1"/>
  <c r="G2219" i="1" s="1"/>
  <c r="B2220" i="1"/>
  <c r="G2220" i="1" s="1"/>
  <c r="B2221" i="1"/>
  <c r="G2221" i="1" s="1"/>
  <c r="B2222" i="1"/>
  <c r="G2222" i="1" s="1"/>
  <c r="B2223" i="1"/>
  <c r="G2223" i="1" s="1"/>
  <c r="B2224" i="1"/>
  <c r="G2224" i="1" s="1"/>
  <c r="B2225" i="1"/>
  <c r="G2225" i="1" s="1"/>
  <c r="B2226" i="1"/>
  <c r="G2226" i="1" s="1"/>
  <c r="B2227" i="1"/>
  <c r="G2227" i="1" s="1"/>
  <c r="B2228" i="1"/>
  <c r="G2228" i="1" s="1"/>
  <c r="B2229" i="1"/>
  <c r="G2229" i="1" s="1"/>
  <c r="B2230" i="1"/>
  <c r="G2230" i="1" s="1"/>
  <c r="B2231" i="1"/>
  <c r="G2231" i="1" s="1"/>
  <c r="B2232" i="1"/>
  <c r="G2232" i="1" s="1"/>
  <c r="B2233" i="1"/>
  <c r="G2233" i="1" s="1"/>
  <c r="B2234" i="1"/>
  <c r="G2234" i="1" s="1"/>
  <c r="B2235" i="1"/>
  <c r="G2235" i="1" s="1"/>
  <c r="B2236" i="1"/>
  <c r="G2236" i="1" s="1"/>
  <c r="B2237" i="1"/>
  <c r="G2237" i="1" s="1"/>
  <c r="B2238" i="1"/>
  <c r="G2238" i="1" s="1"/>
  <c r="B2239" i="1"/>
  <c r="G2239" i="1" s="1"/>
  <c r="B2240" i="1"/>
  <c r="G2240" i="1" s="1"/>
  <c r="B2241" i="1"/>
  <c r="G2241" i="1" s="1"/>
  <c r="B2242" i="1"/>
  <c r="G2242" i="1" s="1"/>
  <c r="B2243" i="1"/>
  <c r="G2243" i="1" s="1"/>
  <c r="B2244" i="1"/>
  <c r="G2244" i="1" s="1"/>
  <c r="B2245" i="1"/>
  <c r="G2245" i="1" s="1"/>
  <c r="B2246" i="1"/>
  <c r="G2246" i="1" s="1"/>
  <c r="B2247" i="1"/>
  <c r="G2247" i="1" s="1"/>
  <c r="B2248" i="1"/>
  <c r="G2248" i="1" s="1"/>
  <c r="B2249" i="1"/>
  <c r="G2249" i="1" s="1"/>
  <c r="B2250" i="1"/>
  <c r="G2250" i="1" s="1"/>
  <c r="B2251" i="1"/>
  <c r="G2251" i="1" s="1"/>
  <c r="B2252" i="1"/>
  <c r="G2252" i="1" s="1"/>
  <c r="B2253" i="1"/>
  <c r="G2253" i="1" s="1"/>
  <c r="B2254" i="1"/>
  <c r="G2254" i="1" s="1"/>
  <c r="B2255" i="1"/>
  <c r="G2255" i="1" s="1"/>
  <c r="B2256" i="1"/>
  <c r="G2256" i="1" s="1"/>
  <c r="B2257" i="1"/>
  <c r="G2257" i="1" s="1"/>
  <c r="B2258" i="1"/>
  <c r="G2258" i="1" s="1"/>
  <c r="B2259" i="1"/>
  <c r="G2259" i="1" s="1"/>
  <c r="B2260" i="1"/>
  <c r="G2260" i="1" s="1"/>
  <c r="B2261" i="1"/>
  <c r="G2261" i="1" s="1"/>
  <c r="B2262" i="1"/>
  <c r="G2262" i="1" s="1"/>
  <c r="B2263" i="1"/>
  <c r="G2263" i="1" s="1"/>
  <c r="B2264" i="1"/>
  <c r="G2264" i="1" s="1"/>
  <c r="B2265" i="1"/>
  <c r="G2265" i="1" s="1"/>
  <c r="B2266" i="1"/>
  <c r="G2266" i="1" s="1"/>
  <c r="B2267" i="1"/>
  <c r="G2267" i="1" s="1"/>
  <c r="B2268" i="1"/>
  <c r="G2268" i="1" s="1"/>
  <c r="B2269" i="1"/>
  <c r="G2269" i="1" s="1"/>
  <c r="B2270" i="1"/>
  <c r="G2270" i="1" s="1"/>
  <c r="B2271" i="1"/>
  <c r="G2271" i="1" s="1"/>
  <c r="B2272" i="1"/>
  <c r="G2272" i="1" s="1"/>
  <c r="B2273" i="1"/>
  <c r="G2273" i="1" s="1"/>
  <c r="B2274" i="1"/>
  <c r="G2274" i="1" s="1"/>
  <c r="B2275" i="1"/>
  <c r="G2275" i="1" s="1"/>
  <c r="B2276" i="1"/>
  <c r="G2276" i="1" s="1"/>
  <c r="B2277" i="1"/>
  <c r="G2277" i="1" s="1"/>
  <c r="B2278" i="1"/>
  <c r="G2278" i="1" s="1"/>
  <c r="B2279" i="1"/>
  <c r="G2279" i="1" s="1"/>
  <c r="B2280" i="1"/>
  <c r="G2280" i="1" s="1"/>
  <c r="B2281" i="1"/>
  <c r="G2281" i="1" s="1"/>
  <c r="B2282" i="1"/>
  <c r="G2282" i="1" s="1"/>
  <c r="B2283" i="1"/>
  <c r="G2283" i="1" s="1"/>
  <c r="B2284" i="1"/>
  <c r="G2284" i="1" s="1"/>
  <c r="B2285" i="1"/>
  <c r="G2285" i="1" s="1"/>
  <c r="B2286" i="1"/>
  <c r="G2286" i="1" s="1"/>
  <c r="B2287" i="1"/>
  <c r="G2287" i="1" s="1"/>
  <c r="B2288" i="1"/>
  <c r="G2288" i="1" s="1"/>
  <c r="B2289" i="1"/>
  <c r="G2289" i="1" s="1"/>
  <c r="B2290" i="1"/>
  <c r="G2290" i="1" s="1"/>
  <c r="B2291" i="1"/>
  <c r="G2291" i="1" s="1"/>
  <c r="B2292" i="1"/>
  <c r="G2292" i="1" s="1"/>
  <c r="B2293" i="1"/>
  <c r="G2293" i="1" s="1"/>
  <c r="B2294" i="1"/>
  <c r="G2294" i="1" s="1"/>
  <c r="B2295" i="1"/>
  <c r="G2295" i="1" s="1"/>
  <c r="B2296" i="1"/>
  <c r="G2296" i="1" s="1"/>
  <c r="B2297" i="1"/>
  <c r="G2297" i="1" s="1"/>
  <c r="B2298" i="1"/>
  <c r="G2298" i="1" s="1"/>
  <c r="B2299" i="1"/>
  <c r="G2299" i="1" s="1"/>
  <c r="B2300" i="1"/>
  <c r="G2300" i="1" s="1"/>
  <c r="B2301" i="1"/>
  <c r="G2301" i="1" s="1"/>
  <c r="B2302" i="1"/>
  <c r="G2302" i="1" s="1"/>
  <c r="B2303" i="1"/>
  <c r="G2303" i="1" s="1"/>
  <c r="B2304" i="1"/>
  <c r="G2304" i="1" s="1"/>
  <c r="B2305" i="1"/>
  <c r="G2305" i="1" s="1"/>
  <c r="B2306" i="1"/>
  <c r="G2306" i="1" s="1"/>
  <c r="B2307" i="1"/>
  <c r="G2307" i="1" s="1"/>
  <c r="B2308" i="1"/>
  <c r="G2308" i="1" s="1"/>
  <c r="B2309" i="1"/>
  <c r="G2309" i="1" s="1"/>
  <c r="B2310" i="1"/>
  <c r="G2310" i="1" s="1"/>
  <c r="B2311" i="1"/>
  <c r="G2311" i="1" s="1"/>
  <c r="B2312" i="1"/>
  <c r="G2312" i="1" s="1"/>
  <c r="B2313" i="1"/>
  <c r="G2313" i="1" s="1"/>
  <c r="B2314" i="1"/>
  <c r="G2314" i="1" s="1"/>
  <c r="B2315" i="1"/>
  <c r="G2315" i="1" s="1"/>
  <c r="B2316" i="1"/>
  <c r="G2316" i="1" s="1"/>
  <c r="B2317" i="1"/>
  <c r="G2317" i="1" s="1"/>
  <c r="B2318" i="1"/>
  <c r="G2318" i="1" s="1"/>
  <c r="B2319" i="1"/>
  <c r="G2319" i="1" s="1"/>
  <c r="B2320" i="1"/>
  <c r="G2320" i="1" s="1"/>
  <c r="B2321" i="1"/>
  <c r="G2321" i="1" s="1"/>
  <c r="B2322" i="1"/>
  <c r="G2322" i="1" s="1"/>
  <c r="B2323" i="1"/>
  <c r="G2323" i="1" s="1"/>
  <c r="B2324" i="1"/>
  <c r="G2324" i="1" s="1"/>
  <c r="B2325" i="1"/>
  <c r="G2325" i="1" s="1"/>
  <c r="B2326" i="1"/>
  <c r="G2326" i="1" s="1"/>
  <c r="B2327" i="1"/>
  <c r="G2327" i="1" s="1"/>
  <c r="B2328" i="1"/>
  <c r="G2328" i="1" s="1"/>
  <c r="B2329" i="1"/>
  <c r="G2329" i="1" s="1"/>
  <c r="B2330" i="1"/>
  <c r="G2330" i="1" s="1"/>
  <c r="B2331" i="1"/>
  <c r="G2331" i="1" s="1"/>
  <c r="B2332" i="1"/>
  <c r="G2332" i="1" s="1"/>
  <c r="B2333" i="1"/>
  <c r="G2333" i="1" s="1"/>
  <c r="B2334" i="1"/>
  <c r="G2334" i="1" s="1"/>
  <c r="B2335" i="1"/>
  <c r="G2335" i="1" s="1"/>
  <c r="B2336" i="1"/>
  <c r="G2336" i="1" s="1"/>
  <c r="B2337" i="1"/>
  <c r="G2337" i="1" s="1"/>
  <c r="B2338" i="1"/>
  <c r="G2338" i="1" s="1"/>
  <c r="B2339" i="1"/>
  <c r="G2339" i="1" s="1"/>
  <c r="B2340" i="1"/>
  <c r="G2340" i="1" s="1"/>
  <c r="B2341" i="1"/>
  <c r="G2341" i="1" s="1"/>
  <c r="B2342" i="1"/>
  <c r="G2342" i="1" s="1"/>
  <c r="B2343" i="1"/>
  <c r="G2343" i="1" s="1"/>
  <c r="B2344" i="1"/>
  <c r="G2344" i="1" s="1"/>
  <c r="B2345" i="1"/>
  <c r="G2345" i="1" s="1"/>
  <c r="B2346" i="1"/>
  <c r="G2346" i="1" s="1"/>
  <c r="B2347" i="1"/>
  <c r="G2347" i="1" s="1"/>
  <c r="B2348" i="1"/>
  <c r="G2348" i="1" s="1"/>
  <c r="B2349" i="1"/>
  <c r="G2349" i="1" s="1"/>
  <c r="B2350" i="1"/>
  <c r="G2350" i="1" s="1"/>
  <c r="B2351" i="1"/>
  <c r="G2351" i="1" s="1"/>
  <c r="B2352" i="1"/>
  <c r="G2352" i="1" s="1"/>
  <c r="B2353" i="1"/>
  <c r="G2353" i="1" s="1"/>
  <c r="B2354" i="1"/>
  <c r="G2354" i="1" s="1"/>
  <c r="B2355" i="1"/>
  <c r="G2355" i="1" s="1"/>
  <c r="B2356" i="1"/>
  <c r="G2356" i="1" s="1"/>
  <c r="B2357" i="1"/>
  <c r="G2357" i="1" s="1"/>
  <c r="B2358" i="1"/>
  <c r="G2358" i="1" s="1"/>
  <c r="B2359" i="1"/>
  <c r="G2359" i="1" s="1"/>
  <c r="B2360" i="1"/>
  <c r="G2360" i="1" s="1"/>
  <c r="B2361" i="1"/>
  <c r="G2361" i="1" s="1"/>
  <c r="B2362" i="1"/>
  <c r="G2362" i="1" s="1"/>
  <c r="B2363" i="1"/>
  <c r="G2363" i="1" s="1"/>
  <c r="B2364" i="1"/>
  <c r="G2364" i="1" s="1"/>
  <c r="B2365" i="1"/>
  <c r="G2365" i="1" s="1"/>
  <c r="B2366" i="1"/>
  <c r="G2366" i="1" s="1"/>
  <c r="B2367" i="1"/>
  <c r="G2367" i="1" s="1"/>
  <c r="B2368" i="1"/>
  <c r="G2368" i="1" s="1"/>
  <c r="B2369" i="1"/>
  <c r="G2369" i="1" s="1"/>
  <c r="B2370" i="1"/>
  <c r="G2370" i="1" s="1"/>
  <c r="B2371" i="1"/>
  <c r="G2371" i="1" s="1"/>
  <c r="B2372" i="1"/>
  <c r="G2372" i="1" s="1"/>
  <c r="B2373" i="1"/>
  <c r="G2373" i="1" s="1"/>
  <c r="B2374" i="1"/>
  <c r="G2374" i="1" s="1"/>
  <c r="B2375" i="1"/>
  <c r="G2375" i="1" s="1"/>
  <c r="B2376" i="1"/>
  <c r="G2376" i="1" s="1"/>
  <c r="B2377" i="1"/>
  <c r="G2377" i="1" s="1"/>
  <c r="B2378" i="1"/>
  <c r="G2378" i="1" s="1"/>
  <c r="B2379" i="1"/>
  <c r="G2379" i="1" s="1"/>
  <c r="B2380" i="1"/>
  <c r="G2380" i="1" s="1"/>
  <c r="B2381" i="1"/>
  <c r="G2381" i="1" s="1"/>
  <c r="B2382" i="1"/>
  <c r="G2382" i="1" s="1"/>
  <c r="B2383" i="1"/>
  <c r="G2383" i="1" s="1"/>
  <c r="B2384" i="1"/>
  <c r="G2384" i="1" s="1"/>
  <c r="B2385" i="1"/>
  <c r="G2385" i="1" s="1"/>
  <c r="B2386" i="1"/>
  <c r="G2386" i="1" s="1"/>
  <c r="B2387" i="1"/>
  <c r="G2387" i="1" s="1"/>
  <c r="B2388" i="1"/>
  <c r="G2388" i="1" s="1"/>
  <c r="B2389" i="1"/>
  <c r="G2389" i="1" s="1"/>
  <c r="B2390" i="1"/>
  <c r="G2390" i="1" s="1"/>
  <c r="B2391" i="1"/>
  <c r="G2391" i="1" s="1"/>
  <c r="B2392" i="1"/>
  <c r="G2392" i="1" s="1"/>
  <c r="B2393" i="1"/>
  <c r="G2393" i="1" s="1"/>
  <c r="B2394" i="1"/>
  <c r="G2394" i="1" s="1"/>
  <c r="B2395" i="1"/>
  <c r="G2395" i="1" s="1"/>
  <c r="B2396" i="1"/>
  <c r="G2396" i="1" s="1"/>
  <c r="B2397" i="1"/>
  <c r="G2397" i="1" s="1"/>
  <c r="B2398" i="1"/>
  <c r="G2398" i="1" s="1"/>
  <c r="B2399" i="1"/>
  <c r="G2399" i="1" s="1"/>
  <c r="B2400" i="1"/>
  <c r="G2400" i="1" s="1"/>
  <c r="B2401" i="1"/>
  <c r="G2401" i="1" s="1"/>
  <c r="B2402" i="1"/>
  <c r="G2402" i="1" s="1"/>
  <c r="B2403" i="1"/>
  <c r="G2403" i="1" s="1"/>
  <c r="B2404" i="1"/>
  <c r="G2404" i="1" s="1"/>
  <c r="B2405" i="1"/>
  <c r="G2405" i="1" s="1"/>
  <c r="B2406" i="1"/>
  <c r="G2406" i="1" s="1"/>
  <c r="B2407" i="1"/>
  <c r="G2407" i="1" s="1"/>
  <c r="B2408" i="1"/>
  <c r="G2408" i="1" s="1"/>
  <c r="B2409" i="1"/>
  <c r="G2409" i="1" s="1"/>
  <c r="B2410" i="1"/>
  <c r="G2410" i="1" s="1"/>
  <c r="B2411" i="1"/>
  <c r="G2411" i="1" s="1"/>
  <c r="B2412" i="1"/>
  <c r="G2412" i="1" s="1"/>
  <c r="B2413" i="1"/>
  <c r="G2413" i="1" s="1"/>
  <c r="B2414" i="1"/>
  <c r="G2414" i="1" s="1"/>
  <c r="B2415" i="1"/>
  <c r="G2415" i="1" s="1"/>
  <c r="B2416" i="1"/>
  <c r="G2416" i="1" s="1"/>
  <c r="B2417" i="1"/>
  <c r="G2417" i="1" s="1"/>
  <c r="B2418" i="1"/>
  <c r="G2418" i="1" s="1"/>
  <c r="B2419" i="1"/>
  <c r="G2419" i="1" s="1"/>
  <c r="B2420" i="1"/>
  <c r="G2420" i="1" s="1"/>
  <c r="B2421" i="1"/>
  <c r="G2421" i="1" s="1"/>
  <c r="B2422" i="1"/>
  <c r="G2422" i="1" s="1"/>
  <c r="B2423" i="1"/>
  <c r="G2423" i="1" s="1"/>
  <c r="B2424" i="1"/>
  <c r="G2424" i="1" s="1"/>
  <c r="B2425" i="1"/>
  <c r="G2425" i="1" s="1"/>
  <c r="B2426" i="1"/>
  <c r="G2426" i="1" s="1"/>
  <c r="B2427" i="1"/>
  <c r="G2427" i="1" s="1"/>
  <c r="B2428" i="1"/>
  <c r="G2428" i="1" s="1"/>
  <c r="B2429" i="1"/>
  <c r="G2429" i="1" s="1"/>
  <c r="B2430" i="1"/>
  <c r="G2430" i="1" s="1"/>
  <c r="B2431" i="1"/>
  <c r="G2431" i="1" s="1"/>
  <c r="B2432" i="1"/>
  <c r="G2432" i="1" s="1"/>
  <c r="B2433" i="1"/>
  <c r="G2433" i="1" s="1"/>
  <c r="B2434" i="1"/>
  <c r="G2434" i="1" s="1"/>
  <c r="B2435" i="1"/>
  <c r="G2435" i="1" s="1"/>
  <c r="B2436" i="1"/>
  <c r="G2436" i="1" s="1"/>
  <c r="B2437" i="1"/>
  <c r="G2437" i="1" s="1"/>
  <c r="B2438" i="1"/>
  <c r="G2438" i="1" s="1"/>
  <c r="B2439" i="1"/>
  <c r="G2439" i="1" s="1"/>
  <c r="B2440" i="1"/>
  <c r="G2440" i="1" s="1"/>
  <c r="B2441" i="1"/>
  <c r="G2441" i="1" s="1"/>
  <c r="B2442" i="1"/>
  <c r="G2442" i="1" s="1"/>
  <c r="B2443" i="1"/>
  <c r="G2443" i="1" s="1"/>
  <c r="B2444" i="1"/>
  <c r="G2444" i="1" s="1"/>
  <c r="B2445" i="1"/>
  <c r="G2445" i="1" s="1"/>
  <c r="B2446" i="1"/>
  <c r="G2446" i="1" s="1"/>
  <c r="B2447" i="1"/>
  <c r="G2447" i="1" s="1"/>
  <c r="B2448" i="1"/>
  <c r="G2448" i="1" s="1"/>
  <c r="B2449" i="1"/>
  <c r="G2449" i="1" s="1"/>
  <c r="B2450" i="1"/>
  <c r="G2450" i="1" s="1"/>
  <c r="B2451" i="1"/>
  <c r="G2451" i="1" s="1"/>
  <c r="B2452" i="1"/>
  <c r="G2452" i="1" s="1"/>
  <c r="B2453" i="1"/>
  <c r="G2453" i="1" s="1"/>
  <c r="B2454" i="1"/>
  <c r="G2454" i="1" s="1"/>
  <c r="B2455" i="1"/>
  <c r="G2455" i="1" s="1"/>
  <c r="B2456" i="1"/>
  <c r="G2456" i="1" s="1"/>
  <c r="B2457" i="1"/>
  <c r="G2457" i="1" s="1"/>
  <c r="B2458" i="1"/>
  <c r="G2458" i="1" s="1"/>
  <c r="B2459" i="1"/>
  <c r="G2459" i="1" s="1"/>
  <c r="B2460" i="1"/>
  <c r="G2460" i="1" s="1"/>
  <c r="B2461" i="1"/>
  <c r="G2461" i="1" s="1"/>
  <c r="B2462" i="1"/>
  <c r="G2462" i="1" s="1"/>
  <c r="B2463" i="1"/>
  <c r="G2463" i="1" s="1"/>
  <c r="B2464" i="1"/>
  <c r="G2464" i="1" s="1"/>
  <c r="B2465" i="1"/>
  <c r="G2465" i="1" s="1"/>
  <c r="B2466" i="1"/>
  <c r="G2466" i="1" s="1"/>
  <c r="B2467" i="1"/>
  <c r="G2467" i="1" s="1"/>
  <c r="B2468" i="1"/>
  <c r="G2468" i="1" s="1"/>
  <c r="B2469" i="1"/>
  <c r="G2469" i="1" s="1"/>
  <c r="B2470" i="1"/>
  <c r="G2470" i="1" s="1"/>
  <c r="B2471" i="1"/>
  <c r="G2471" i="1" s="1"/>
  <c r="B2472" i="1"/>
  <c r="G2472" i="1" s="1"/>
  <c r="B2473" i="1"/>
  <c r="G2473" i="1" s="1"/>
  <c r="B2474" i="1"/>
  <c r="G2474" i="1" s="1"/>
  <c r="B2475" i="1"/>
  <c r="G2475" i="1" s="1"/>
  <c r="B2476" i="1"/>
  <c r="G2476" i="1" s="1"/>
  <c r="B2477" i="1"/>
  <c r="G2477" i="1" s="1"/>
  <c r="B2478" i="1"/>
  <c r="G2478" i="1" s="1"/>
  <c r="B2479" i="1"/>
  <c r="G2479" i="1" s="1"/>
  <c r="B2480" i="1"/>
  <c r="G2480" i="1" s="1"/>
  <c r="B2481" i="1"/>
  <c r="G2481" i="1" s="1"/>
  <c r="B2482" i="1"/>
  <c r="G2482" i="1" s="1"/>
  <c r="B2483" i="1"/>
  <c r="G2483" i="1" s="1"/>
  <c r="B2484" i="1"/>
  <c r="G2484" i="1" s="1"/>
  <c r="B2485" i="1"/>
  <c r="G2485" i="1" s="1"/>
  <c r="B2486" i="1"/>
  <c r="G2486" i="1" s="1"/>
  <c r="B2487" i="1"/>
  <c r="G2487" i="1" s="1"/>
  <c r="B2488" i="1"/>
  <c r="G2488" i="1" s="1"/>
  <c r="B2489" i="1"/>
  <c r="G2489" i="1" s="1"/>
  <c r="B2490" i="1"/>
  <c r="G2490" i="1" s="1"/>
  <c r="B2491" i="1"/>
  <c r="G2491" i="1" s="1"/>
  <c r="B2492" i="1"/>
  <c r="G2492" i="1" s="1"/>
  <c r="B2493" i="1"/>
  <c r="G2493" i="1" s="1"/>
  <c r="B2494" i="1"/>
  <c r="G2494" i="1" s="1"/>
  <c r="B2495" i="1"/>
  <c r="G2495" i="1" s="1"/>
  <c r="B2496" i="1"/>
  <c r="G2496" i="1" s="1"/>
  <c r="B2497" i="1"/>
  <c r="G2497" i="1" s="1"/>
  <c r="B2498" i="1"/>
  <c r="G2498" i="1" s="1"/>
  <c r="B2499" i="1"/>
  <c r="G2499" i="1" s="1"/>
  <c r="B2500" i="1"/>
  <c r="G2500" i="1" s="1"/>
  <c r="B2501" i="1"/>
  <c r="G2501" i="1" s="1"/>
  <c r="B2502" i="1"/>
  <c r="G2502" i="1" s="1"/>
  <c r="B2503" i="1"/>
  <c r="G2503" i="1" s="1"/>
  <c r="B2504" i="1"/>
  <c r="G2504" i="1" s="1"/>
  <c r="B2505" i="1"/>
  <c r="G2505" i="1" s="1"/>
  <c r="B2506" i="1"/>
  <c r="G2506" i="1" s="1"/>
  <c r="B2507" i="1"/>
  <c r="G2507" i="1" s="1"/>
  <c r="B2508" i="1"/>
  <c r="G2508" i="1" s="1"/>
  <c r="B2509" i="1"/>
  <c r="G2509" i="1" s="1"/>
  <c r="B2510" i="1"/>
  <c r="G2510" i="1" s="1"/>
  <c r="B2511" i="1"/>
  <c r="G2511" i="1" s="1"/>
  <c r="B2512" i="1"/>
  <c r="G2512" i="1" s="1"/>
  <c r="B2513" i="1"/>
  <c r="G2513" i="1" s="1"/>
  <c r="B2514" i="1"/>
  <c r="G2514" i="1" s="1"/>
  <c r="B2515" i="1"/>
  <c r="G2515" i="1" s="1"/>
  <c r="B2516" i="1"/>
  <c r="G2516" i="1" s="1"/>
  <c r="B2517" i="1"/>
  <c r="G2517" i="1" s="1"/>
  <c r="B2518" i="1"/>
  <c r="G2518" i="1" s="1"/>
  <c r="B2519" i="1"/>
  <c r="G2519" i="1" s="1"/>
  <c r="B2520" i="1"/>
  <c r="G2520" i="1" s="1"/>
  <c r="B2521" i="1"/>
  <c r="G2521" i="1" s="1"/>
  <c r="B2522" i="1"/>
  <c r="G2522" i="1" s="1"/>
  <c r="B2523" i="1"/>
  <c r="G2523" i="1" s="1"/>
  <c r="B2524" i="1"/>
  <c r="G2524" i="1" s="1"/>
  <c r="B2525" i="1"/>
  <c r="G2525" i="1" s="1"/>
  <c r="B2526" i="1"/>
  <c r="G2526" i="1" s="1"/>
  <c r="B2527" i="1"/>
  <c r="G2527" i="1" s="1"/>
  <c r="B2528" i="1"/>
  <c r="G2528" i="1" s="1"/>
  <c r="B2529" i="1"/>
  <c r="G2529" i="1" s="1"/>
  <c r="B2530" i="1"/>
  <c r="G2530" i="1" s="1"/>
  <c r="B2531" i="1"/>
  <c r="G2531" i="1" s="1"/>
  <c r="B2532" i="1"/>
  <c r="G2532" i="1" s="1"/>
  <c r="B2533" i="1"/>
  <c r="G2533" i="1" s="1"/>
  <c r="B2534" i="1"/>
  <c r="G2534" i="1" s="1"/>
  <c r="B2535" i="1"/>
  <c r="G2535" i="1" s="1"/>
  <c r="B2536" i="1"/>
  <c r="G2536" i="1" s="1"/>
  <c r="B2537" i="1"/>
  <c r="G2537" i="1" s="1"/>
  <c r="B2538" i="1"/>
  <c r="G2538" i="1" s="1"/>
  <c r="B2539" i="1"/>
  <c r="G2539" i="1" s="1"/>
  <c r="B2540" i="1"/>
  <c r="G2540" i="1" s="1"/>
  <c r="B2541" i="1"/>
  <c r="G2541" i="1" s="1"/>
  <c r="B2542" i="1"/>
  <c r="G2542" i="1" s="1"/>
  <c r="B2543" i="1"/>
  <c r="G2543" i="1" s="1"/>
  <c r="B2544" i="1"/>
  <c r="G2544" i="1" s="1"/>
  <c r="B2545" i="1"/>
  <c r="G2545" i="1" s="1"/>
  <c r="B2546" i="1"/>
  <c r="G2546" i="1" s="1"/>
  <c r="B2547" i="1"/>
  <c r="G2547" i="1" s="1"/>
  <c r="B2548" i="1"/>
  <c r="G2548" i="1" s="1"/>
  <c r="B2549" i="1"/>
  <c r="G2549" i="1" s="1"/>
  <c r="B2550" i="1"/>
  <c r="G2550" i="1" s="1"/>
  <c r="B2551" i="1"/>
  <c r="G2551" i="1" s="1"/>
  <c r="B2552" i="1"/>
  <c r="G2552" i="1" s="1"/>
  <c r="B2553" i="1"/>
  <c r="G2553" i="1" s="1"/>
  <c r="B2554" i="1"/>
  <c r="G2554" i="1" s="1"/>
  <c r="B2555" i="1"/>
  <c r="G2555" i="1" s="1"/>
  <c r="B2556" i="1"/>
  <c r="G2556" i="1" s="1"/>
  <c r="B2557" i="1"/>
  <c r="G2557" i="1" s="1"/>
  <c r="B2558" i="1"/>
  <c r="G2558" i="1" s="1"/>
  <c r="B2559" i="1"/>
  <c r="G2559" i="1" s="1"/>
  <c r="B2560" i="1"/>
  <c r="G2560" i="1" s="1"/>
  <c r="B2561" i="1"/>
  <c r="G2561" i="1" s="1"/>
  <c r="B2562" i="1"/>
  <c r="G2562" i="1" s="1"/>
  <c r="B2563" i="1"/>
  <c r="G2563" i="1" s="1"/>
  <c r="B2564" i="1"/>
  <c r="G2564" i="1" s="1"/>
  <c r="B2565" i="1"/>
  <c r="G2565" i="1" s="1"/>
  <c r="B2566" i="1"/>
  <c r="G2566" i="1" s="1"/>
  <c r="B2567" i="1"/>
  <c r="G2567" i="1" s="1"/>
  <c r="B2568" i="1"/>
  <c r="G2568" i="1" s="1"/>
  <c r="B2569" i="1"/>
  <c r="G2569" i="1" s="1"/>
  <c r="B2570" i="1"/>
  <c r="G2570" i="1" s="1"/>
  <c r="B2571" i="1"/>
  <c r="G2571" i="1" s="1"/>
  <c r="B2572" i="1"/>
  <c r="G2572" i="1" s="1"/>
  <c r="B2573" i="1"/>
  <c r="G2573" i="1" s="1"/>
  <c r="B2574" i="1"/>
  <c r="G2574" i="1" s="1"/>
  <c r="B2575" i="1"/>
  <c r="G2575" i="1" s="1"/>
  <c r="B2576" i="1"/>
  <c r="G2576" i="1" s="1"/>
  <c r="B2577" i="1"/>
  <c r="G2577" i="1" s="1"/>
  <c r="B2578" i="1"/>
  <c r="G2578" i="1" s="1"/>
  <c r="B2579" i="1"/>
  <c r="G2579" i="1" s="1"/>
  <c r="B2580" i="1"/>
  <c r="G2580" i="1" s="1"/>
  <c r="B2581" i="1"/>
  <c r="G2581" i="1" s="1"/>
  <c r="B2582" i="1"/>
  <c r="G2582" i="1" s="1"/>
  <c r="B2583" i="1"/>
  <c r="G2583" i="1" s="1"/>
  <c r="B2584" i="1"/>
  <c r="G2584" i="1" s="1"/>
  <c r="B2585" i="1"/>
  <c r="G2585" i="1" s="1"/>
  <c r="B2586" i="1"/>
  <c r="G2586" i="1" s="1"/>
  <c r="B2587" i="1"/>
  <c r="G2587" i="1" s="1"/>
  <c r="B2588" i="1"/>
  <c r="G2588" i="1" s="1"/>
  <c r="B2589" i="1"/>
  <c r="G2589" i="1" s="1"/>
  <c r="B2590" i="1"/>
  <c r="G2590" i="1" s="1"/>
  <c r="B2591" i="1"/>
  <c r="G2591" i="1" s="1"/>
  <c r="B2592" i="1"/>
  <c r="G2592" i="1" s="1"/>
  <c r="B2593" i="1"/>
  <c r="G2593" i="1" s="1"/>
  <c r="B2594" i="1"/>
  <c r="G2594" i="1" s="1"/>
  <c r="B2595" i="1"/>
  <c r="G2595" i="1" s="1"/>
  <c r="B2596" i="1"/>
  <c r="G2596" i="1" s="1"/>
  <c r="B2597" i="1"/>
  <c r="G2597" i="1" s="1"/>
  <c r="B2598" i="1"/>
  <c r="G2598" i="1" s="1"/>
  <c r="B2599" i="1"/>
  <c r="G2599" i="1" s="1"/>
  <c r="B2600" i="1"/>
  <c r="G2600" i="1" s="1"/>
  <c r="B2601" i="1"/>
  <c r="G2601" i="1" s="1"/>
  <c r="B2602" i="1"/>
  <c r="G2602" i="1" s="1"/>
  <c r="B2603" i="1"/>
  <c r="G2603" i="1" s="1"/>
  <c r="B2604" i="1"/>
  <c r="G2604" i="1" s="1"/>
  <c r="B2605" i="1"/>
  <c r="G2605" i="1" s="1"/>
  <c r="B2606" i="1"/>
  <c r="G2606" i="1" s="1"/>
  <c r="B2607" i="1"/>
  <c r="G2607" i="1" s="1"/>
  <c r="B2608" i="1"/>
  <c r="G2608" i="1" s="1"/>
  <c r="B2609" i="1"/>
  <c r="G2609" i="1" s="1"/>
  <c r="B2610" i="1"/>
  <c r="G2610" i="1" s="1"/>
  <c r="B2611" i="1"/>
  <c r="G2611" i="1" s="1"/>
  <c r="B2612" i="1"/>
  <c r="G2612" i="1" s="1"/>
  <c r="B2613" i="1"/>
  <c r="G2613" i="1" s="1"/>
  <c r="B2614" i="1"/>
  <c r="G2614" i="1" s="1"/>
  <c r="B2615" i="1"/>
  <c r="G2615" i="1" s="1"/>
  <c r="B2616" i="1"/>
  <c r="G2616" i="1" s="1"/>
  <c r="B2617" i="1"/>
  <c r="G2617" i="1" s="1"/>
  <c r="B2618" i="1"/>
  <c r="G2618" i="1" s="1"/>
  <c r="B2619" i="1"/>
  <c r="G2619" i="1" s="1"/>
  <c r="B2620" i="1"/>
  <c r="G2620" i="1" s="1"/>
  <c r="B2621" i="1"/>
  <c r="G2621" i="1" s="1"/>
  <c r="B2622" i="1"/>
  <c r="G2622" i="1" s="1"/>
  <c r="B2623" i="1"/>
  <c r="G2623" i="1" s="1"/>
  <c r="B2624" i="1"/>
  <c r="G2624" i="1" s="1"/>
  <c r="B2625" i="1"/>
  <c r="G2625" i="1" s="1"/>
  <c r="B2626" i="1"/>
  <c r="G2626" i="1" s="1"/>
  <c r="B2627" i="1"/>
  <c r="G2627" i="1" s="1"/>
  <c r="B2628" i="1"/>
  <c r="G2628" i="1" s="1"/>
  <c r="B2629" i="1"/>
  <c r="G2629" i="1" s="1"/>
  <c r="B2630" i="1"/>
  <c r="G2630" i="1" s="1"/>
  <c r="B2631" i="1"/>
  <c r="G2631" i="1" s="1"/>
  <c r="B2632" i="1"/>
  <c r="G2632" i="1" s="1"/>
  <c r="B2633" i="1"/>
  <c r="G2633" i="1" s="1"/>
  <c r="B2634" i="1"/>
  <c r="G2634" i="1" s="1"/>
  <c r="B2635" i="1"/>
  <c r="G2635" i="1" s="1"/>
  <c r="B2636" i="1"/>
  <c r="G2636" i="1" s="1"/>
  <c r="B2637" i="1"/>
  <c r="G2637" i="1" s="1"/>
  <c r="B2638" i="1"/>
  <c r="G2638" i="1" s="1"/>
  <c r="B2639" i="1"/>
  <c r="G2639" i="1" s="1"/>
  <c r="B2640" i="1"/>
  <c r="G2640" i="1" s="1"/>
  <c r="B2641" i="1"/>
  <c r="G2641" i="1" s="1"/>
  <c r="B2642" i="1"/>
  <c r="G2642" i="1" s="1"/>
  <c r="B2643" i="1"/>
  <c r="G2643" i="1" s="1"/>
  <c r="B2644" i="1"/>
  <c r="G2644" i="1" s="1"/>
  <c r="B2645" i="1"/>
  <c r="G2645" i="1" s="1"/>
  <c r="B2646" i="1"/>
  <c r="G2646" i="1" s="1"/>
  <c r="B2647" i="1"/>
  <c r="G2647" i="1" s="1"/>
  <c r="B2648" i="1"/>
  <c r="G2648" i="1" s="1"/>
  <c r="B2649" i="1"/>
  <c r="G2649" i="1" s="1"/>
  <c r="B2650" i="1"/>
  <c r="G2650" i="1" s="1"/>
  <c r="B2651" i="1"/>
  <c r="G2651" i="1" s="1"/>
  <c r="B2652" i="1"/>
  <c r="G2652" i="1" s="1"/>
  <c r="B2653" i="1"/>
  <c r="G2653" i="1" s="1"/>
  <c r="B2654" i="1"/>
  <c r="G2654" i="1" s="1"/>
  <c r="B2655" i="1"/>
  <c r="G2655" i="1" s="1"/>
  <c r="B2656" i="1"/>
  <c r="G2656" i="1" s="1"/>
  <c r="B2657" i="1"/>
  <c r="G2657" i="1" s="1"/>
  <c r="B2658" i="1"/>
  <c r="G2658" i="1" s="1"/>
  <c r="B2659" i="1"/>
  <c r="G2659" i="1" s="1"/>
  <c r="B2660" i="1"/>
  <c r="G2660" i="1" s="1"/>
  <c r="B2661" i="1"/>
  <c r="G2661" i="1" s="1"/>
  <c r="B2662" i="1"/>
  <c r="G2662" i="1" s="1"/>
  <c r="B2663" i="1"/>
  <c r="G2663" i="1" s="1"/>
  <c r="B2664" i="1"/>
  <c r="G2664" i="1" s="1"/>
  <c r="B2665" i="1"/>
  <c r="G2665" i="1" s="1"/>
  <c r="B2666" i="1"/>
  <c r="G2666" i="1" s="1"/>
  <c r="B2667" i="1"/>
  <c r="G2667" i="1" s="1"/>
  <c r="B2668" i="1"/>
  <c r="G2668" i="1" s="1"/>
  <c r="B2669" i="1"/>
  <c r="G2669" i="1" s="1"/>
  <c r="B2670" i="1"/>
  <c r="G2670" i="1" s="1"/>
  <c r="B2671" i="1"/>
  <c r="G2671" i="1" s="1"/>
  <c r="B2672" i="1"/>
  <c r="G2672" i="1" s="1"/>
  <c r="B2673" i="1"/>
  <c r="G2673" i="1" s="1"/>
  <c r="B2674" i="1"/>
  <c r="G2674" i="1" s="1"/>
  <c r="B2675" i="1"/>
  <c r="G2675" i="1" s="1"/>
  <c r="B2676" i="1"/>
  <c r="G2676" i="1" s="1"/>
  <c r="B2677" i="1"/>
  <c r="G2677" i="1" s="1"/>
  <c r="B2678" i="1"/>
  <c r="G2678" i="1" s="1"/>
  <c r="B2679" i="1"/>
  <c r="G2679" i="1" s="1"/>
  <c r="B2680" i="1"/>
  <c r="G2680" i="1" s="1"/>
  <c r="B2681" i="1"/>
  <c r="G2681" i="1" s="1"/>
  <c r="B2682" i="1"/>
  <c r="G2682" i="1" s="1"/>
  <c r="B2683" i="1"/>
  <c r="G2683" i="1" s="1"/>
  <c r="B2684" i="1"/>
  <c r="G2684" i="1" s="1"/>
  <c r="B2685" i="1"/>
  <c r="G2685" i="1" s="1"/>
  <c r="B2686" i="1"/>
  <c r="G2686" i="1" s="1"/>
  <c r="B2687" i="1"/>
  <c r="G2687" i="1" s="1"/>
  <c r="B2688" i="1"/>
  <c r="G2688" i="1" s="1"/>
  <c r="B2689" i="1"/>
  <c r="G2689" i="1" s="1"/>
  <c r="B2690" i="1"/>
  <c r="G2690" i="1" s="1"/>
  <c r="B2691" i="1"/>
  <c r="G2691" i="1" s="1"/>
  <c r="B2692" i="1"/>
  <c r="G2692" i="1" s="1"/>
  <c r="B2693" i="1"/>
  <c r="G2693" i="1" s="1"/>
  <c r="B2694" i="1"/>
  <c r="G2694" i="1" s="1"/>
  <c r="B2695" i="1"/>
  <c r="G2695" i="1" s="1"/>
  <c r="B2696" i="1"/>
  <c r="G2696" i="1" s="1"/>
  <c r="B2697" i="1"/>
  <c r="G2697" i="1" s="1"/>
  <c r="B2698" i="1"/>
  <c r="G2698" i="1" s="1"/>
  <c r="B2699" i="1"/>
  <c r="G2699" i="1" s="1"/>
  <c r="B2700" i="1"/>
  <c r="G2700" i="1" s="1"/>
  <c r="B2701" i="1"/>
  <c r="G2701" i="1" s="1"/>
  <c r="B2702" i="1"/>
  <c r="G2702" i="1" s="1"/>
  <c r="B2703" i="1"/>
  <c r="G2703" i="1" s="1"/>
  <c r="B2704" i="1"/>
  <c r="G2704" i="1" s="1"/>
  <c r="B2705" i="1"/>
  <c r="G2705" i="1" s="1"/>
  <c r="B2706" i="1"/>
  <c r="G2706" i="1" s="1"/>
  <c r="B2707" i="1"/>
  <c r="G2707" i="1" s="1"/>
  <c r="B2708" i="1"/>
  <c r="G2708" i="1" s="1"/>
  <c r="B2709" i="1"/>
  <c r="G2709" i="1" s="1"/>
  <c r="B2710" i="1"/>
  <c r="G2710" i="1" s="1"/>
  <c r="B2711" i="1"/>
  <c r="G2711" i="1" s="1"/>
  <c r="B2712" i="1"/>
  <c r="G2712" i="1" s="1"/>
  <c r="B2713" i="1"/>
  <c r="G2713" i="1" s="1"/>
  <c r="B2714" i="1"/>
  <c r="G2714" i="1" s="1"/>
  <c r="B2715" i="1"/>
  <c r="G2715" i="1" s="1"/>
  <c r="B2716" i="1"/>
  <c r="G2716" i="1" s="1"/>
  <c r="B2717" i="1"/>
  <c r="G2717" i="1" s="1"/>
  <c r="B2718" i="1"/>
  <c r="G2718" i="1" s="1"/>
  <c r="B2719" i="1"/>
  <c r="G2719" i="1" s="1"/>
  <c r="B2720" i="1"/>
  <c r="G2720" i="1" s="1"/>
  <c r="B2721" i="1"/>
  <c r="G2721" i="1" s="1"/>
  <c r="B2722" i="1"/>
  <c r="G2722" i="1" s="1"/>
  <c r="B2723" i="1"/>
  <c r="G2723" i="1" s="1"/>
  <c r="B2724" i="1"/>
  <c r="G2724" i="1" s="1"/>
  <c r="B2725" i="1"/>
  <c r="G2725" i="1" s="1"/>
  <c r="B2726" i="1"/>
  <c r="G2726" i="1" s="1"/>
  <c r="B2727" i="1"/>
  <c r="G2727" i="1" s="1"/>
  <c r="B2728" i="1"/>
  <c r="G2728" i="1" s="1"/>
  <c r="B2729" i="1"/>
  <c r="G2729" i="1" s="1"/>
  <c r="B2730" i="1"/>
  <c r="G2730" i="1" s="1"/>
  <c r="B2731" i="1"/>
  <c r="G2731" i="1" s="1"/>
  <c r="B2732" i="1"/>
  <c r="G2732" i="1" s="1"/>
  <c r="B2733" i="1"/>
  <c r="G2733" i="1" s="1"/>
  <c r="B2734" i="1"/>
  <c r="G2734" i="1" s="1"/>
  <c r="B2735" i="1"/>
  <c r="G2735" i="1" s="1"/>
  <c r="B2736" i="1"/>
  <c r="G2736" i="1" s="1"/>
  <c r="B2737" i="1"/>
  <c r="G2737" i="1" s="1"/>
  <c r="B2738" i="1"/>
  <c r="G2738" i="1" s="1"/>
  <c r="B2739" i="1"/>
  <c r="G2739" i="1" s="1"/>
  <c r="B2740" i="1"/>
  <c r="G2740" i="1" s="1"/>
  <c r="B2741" i="1"/>
  <c r="G2741" i="1" s="1"/>
  <c r="B2742" i="1"/>
  <c r="G2742" i="1" s="1"/>
  <c r="B2743" i="1"/>
  <c r="G2743" i="1" s="1"/>
  <c r="B2744" i="1"/>
  <c r="G2744" i="1" s="1"/>
  <c r="B2745" i="1"/>
  <c r="G2745" i="1" s="1"/>
  <c r="B2746" i="1"/>
  <c r="G2746" i="1" s="1"/>
  <c r="B2747" i="1"/>
  <c r="G2747" i="1" s="1"/>
  <c r="B2748" i="1"/>
  <c r="G2748" i="1" s="1"/>
  <c r="B2749" i="1"/>
  <c r="G2749" i="1" s="1"/>
  <c r="B2750" i="1"/>
  <c r="G2750" i="1" s="1"/>
  <c r="B2751" i="1"/>
  <c r="G2751" i="1" s="1"/>
  <c r="B2752" i="1"/>
  <c r="G2752" i="1" s="1"/>
  <c r="B2753" i="1"/>
  <c r="G2753" i="1" s="1"/>
  <c r="B2754" i="1"/>
  <c r="G2754" i="1" s="1"/>
  <c r="B2755" i="1"/>
  <c r="G2755" i="1" s="1"/>
  <c r="B2756" i="1"/>
  <c r="G2756" i="1" s="1"/>
  <c r="B2757" i="1"/>
  <c r="G2757" i="1" s="1"/>
  <c r="B2758" i="1"/>
  <c r="G2758" i="1" s="1"/>
  <c r="B2759" i="1"/>
  <c r="G2759" i="1" s="1"/>
  <c r="B2760" i="1"/>
  <c r="G2760" i="1" s="1"/>
  <c r="B2761" i="1"/>
  <c r="G2761" i="1" s="1"/>
  <c r="B2762" i="1"/>
  <c r="G2762" i="1" s="1"/>
  <c r="B2763" i="1"/>
  <c r="G2763" i="1" s="1"/>
  <c r="B2764" i="1"/>
  <c r="G2764" i="1" s="1"/>
  <c r="B2765" i="1"/>
  <c r="G2765" i="1" s="1"/>
  <c r="B2766" i="1"/>
  <c r="G2766" i="1" s="1"/>
  <c r="B2767" i="1"/>
  <c r="G2767" i="1" s="1"/>
  <c r="B2768" i="1"/>
  <c r="G2768" i="1" s="1"/>
  <c r="B2769" i="1"/>
  <c r="G2769" i="1" s="1"/>
  <c r="B2770" i="1"/>
  <c r="G2770" i="1" s="1"/>
  <c r="B2771" i="1"/>
  <c r="G2771" i="1" s="1"/>
  <c r="B2772" i="1"/>
  <c r="G2772" i="1" s="1"/>
  <c r="B2773" i="1"/>
  <c r="G2773" i="1" s="1"/>
  <c r="B2774" i="1"/>
  <c r="G2774" i="1" s="1"/>
  <c r="B2775" i="1"/>
  <c r="G2775" i="1" s="1"/>
  <c r="B2776" i="1"/>
  <c r="G2776" i="1" s="1"/>
  <c r="B2777" i="1"/>
  <c r="G2777" i="1" s="1"/>
  <c r="B2778" i="1"/>
  <c r="G2778" i="1" s="1"/>
  <c r="B2779" i="1"/>
  <c r="G2779" i="1" s="1"/>
  <c r="B2780" i="1"/>
  <c r="G2780" i="1" s="1"/>
  <c r="B2781" i="1"/>
  <c r="G2781" i="1" s="1"/>
  <c r="B2782" i="1"/>
  <c r="G2782" i="1" s="1"/>
  <c r="B2783" i="1"/>
  <c r="G2783" i="1" s="1"/>
  <c r="B2784" i="1"/>
  <c r="G2784" i="1" s="1"/>
  <c r="B2785" i="1"/>
  <c r="G2785" i="1" s="1"/>
  <c r="B2786" i="1"/>
  <c r="G2786" i="1" s="1"/>
  <c r="B2787" i="1"/>
  <c r="G2787" i="1" s="1"/>
  <c r="B2788" i="1"/>
  <c r="G2788" i="1" s="1"/>
  <c r="B2789" i="1"/>
  <c r="G2789" i="1" s="1"/>
  <c r="B2790" i="1"/>
  <c r="G2790" i="1" s="1"/>
  <c r="B2791" i="1"/>
  <c r="G2791" i="1" s="1"/>
  <c r="B2792" i="1"/>
  <c r="G2792" i="1" s="1"/>
  <c r="B2793" i="1"/>
  <c r="G2793" i="1" s="1"/>
  <c r="B2794" i="1"/>
  <c r="G2794" i="1" s="1"/>
  <c r="B2795" i="1"/>
  <c r="G2795" i="1" s="1"/>
  <c r="B2796" i="1"/>
  <c r="G2796" i="1" s="1"/>
  <c r="B2797" i="1"/>
  <c r="G2797" i="1" s="1"/>
  <c r="B2798" i="1"/>
  <c r="G2798" i="1" s="1"/>
  <c r="B2799" i="1"/>
  <c r="G2799" i="1" s="1"/>
  <c r="B2800" i="1"/>
  <c r="G2800" i="1" s="1"/>
  <c r="B2801" i="1"/>
  <c r="G2801" i="1" s="1"/>
  <c r="B2802" i="1"/>
  <c r="G2802" i="1" s="1"/>
  <c r="B2803" i="1"/>
  <c r="G2803" i="1" s="1"/>
  <c r="B2804" i="1"/>
  <c r="G2804" i="1" s="1"/>
  <c r="B2805" i="1"/>
  <c r="G2805" i="1" s="1"/>
  <c r="B2806" i="1"/>
  <c r="G2806" i="1" s="1"/>
  <c r="B2807" i="1"/>
  <c r="G2807" i="1" s="1"/>
  <c r="B2808" i="1"/>
  <c r="G2808" i="1" s="1"/>
  <c r="B2809" i="1"/>
  <c r="G2809" i="1" s="1"/>
  <c r="B2810" i="1"/>
  <c r="G2810" i="1" s="1"/>
  <c r="B2811" i="1"/>
  <c r="G2811" i="1" s="1"/>
  <c r="B2812" i="1"/>
  <c r="G2812" i="1" s="1"/>
  <c r="B2813" i="1"/>
  <c r="G2813" i="1" s="1"/>
  <c r="B2814" i="1"/>
  <c r="G2814" i="1" s="1"/>
  <c r="B2815" i="1"/>
  <c r="G2815" i="1" s="1"/>
  <c r="B2816" i="1"/>
  <c r="G2816" i="1" s="1"/>
  <c r="B2817" i="1"/>
  <c r="G2817" i="1" s="1"/>
  <c r="B2818" i="1"/>
  <c r="G2818" i="1" s="1"/>
  <c r="B2819" i="1"/>
  <c r="G2819" i="1" s="1"/>
  <c r="B2820" i="1"/>
  <c r="G2820" i="1" s="1"/>
  <c r="B2821" i="1"/>
  <c r="G2821" i="1" s="1"/>
  <c r="B2822" i="1"/>
  <c r="G2822" i="1" s="1"/>
  <c r="B2823" i="1"/>
  <c r="G2823" i="1" s="1"/>
  <c r="B2824" i="1"/>
  <c r="G2824" i="1" s="1"/>
  <c r="B2825" i="1"/>
  <c r="G2825" i="1" s="1"/>
  <c r="B2826" i="1"/>
  <c r="G2826" i="1" s="1"/>
  <c r="B2827" i="1"/>
  <c r="G2827" i="1" s="1"/>
  <c r="B2828" i="1"/>
  <c r="G2828" i="1" s="1"/>
  <c r="B2829" i="1"/>
  <c r="G2829" i="1" s="1"/>
  <c r="B2830" i="1"/>
  <c r="G2830" i="1" s="1"/>
  <c r="B2831" i="1"/>
  <c r="G2831" i="1" s="1"/>
  <c r="B2832" i="1"/>
  <c r="G2832" i="1" s="1"/>
  <c r="B2833" i="1"/>
  <c r="G2833" i="1" s="1"/>
  <c r="B2834" i="1"/>
  <c r="G2834" i="1" s="1"/>
  <c r="B2835" i="1"/>
  <c r="G2835" i="1" s="1"/>
  <c r="B2836" i="1"/>
  <c r="G2836" i="1" s="1"/>
  <c r="B2837" i="1"/>
  <c r="G2837" i="1" s="1"/>
  <c r="B2838" i="1"/>
  <c r="G2838" i="1" s="1"/>
  <c r="B2839" i="1"/>
  <c r="G2839" i="1" s="1"/>
  <c r="B2840" i="1"/>
  <c r="G2840" i="1" s="1"/>
  <c r="B2841" i="1"/>
  <c r="G2841" i="1" s="1"/>
  <c r="B2842" i="1"/>
  <c r="G2842" i="1" s="1"/>
  <c r="B2843" i="1"/>
  <c r="G2843" i="1" s="1"/>
  <c r="B2844" i="1"/>
  <c r="G2844" i="1" s="1"/>
  <c r="B2845" i="1"/>
  <c r="G2845" i="1" s="1"/>
  <c r="B2846" i="1"/>
  <c r="G2846" i="1" s="1"/>
  <c r="B2847" i="1"/>
  <c r="G2847" i="1" s="1"/>
  <c r="B2848" i="1"/>
  <c r="G2848" i="1" s="1"/>
  <c r="B2849" i="1"/>
  <c r="G2849" i="1" s="1"/>
  <c r="B2850" i="1"/>
  <c r="G2850" i="1" s="1"/>
  <c r="B2851" i="1"/>
  <c r="G2851" i="1" s="1"/>
  <c r="B2852" i="1"/>
  <c r="G2852" i="1" s="1"/>
  <c r="B2853" i="1"/>
  <c r="G2853" i="1" s="1"/>
  <c r="B2854" i="1"/>
  <c r="G2854" i="1" s="1"/>
  <c r="B2855" i="1"/>
  <c r="G2855" i="1" s="1"/>
  <c r="B2856" i="1"/>
  <c r="G2856" i="1" s="1"/>
  <c r="B2857" i="1"/>
  <c r="G2857" i="1" s="1"/>
  <c r="B2858" i="1"/>
  <c r="G2858" i="1" s="1"/>
  <c r="B2859" i="1"/>
  <c r="G2859" i="1" s="1"/>
  <c r="B2860" i="1"/>
  <c r="G2860" i="1" s="1"/>
  <c r="B2861" i="1"/>
  <c r="G2861" i="1" s="1"/>
  <c r="B2862" i="1"/>
  <c r="G2862" i="1" s="1"/>
  <c r="B2863" i="1"/>
  <c r="G2863" i="1" s="1"/>
  <c r="B2864" i="1"/>
  <c r="G2864" i="1" s="1"/>
  <c r="B2865" i="1"/>
  <c r="G2865" i="1" s="1"/>
  <c r="B2866" i="1"/>
  <c r="G2866" i="1" s="1"/>
  <c r="B2867" i="1"/>
  <c r="G2867" i="1" s="1"/>
  <c r="B2868" i="1"/>
  <c r="G2868" i="1" s="1"/>
  <c r="B2869" i="1"/>
  <c r="G2869" i="1" s="1"/>
  <c r="B2870" i="1"/>
  <c r="G2870" i="1" s="1"/>
  <c r="B2871" i="1"/>
  <c r="G2871" i="1" s="1"/>
  <c r="B2872" i="1"/>
  <c r="G2872" i="1" s="1"/>
  <c r="B2873" i="1"/>
  <c r="G2873" i="1" s="1"/>
  <c r="B2874" i="1"/>
  <c r="G2874" i="1" s="1"/>
  <c r="B2875" i="1"/>
  <c r="G2875" i="1" s="1"/>
  <c r="B2876" i="1"/>
  <c r="G2876" i="1" s="1"/>
  <c r="B2877" i="1"/>
  <c r="G2877" i="1" s="1"/>
  <c r="B2878" i="1"/>
  <c r="G2878" i="1" s="1"/>
  <c r="B2879" i="1"/>
  <c r="G2879" i="1" s="1"/>
  <c r="B2880" i="1"/>
  <c r="G2880" i="1" s="1"/>
  <c r="B2881" i="1"/>
  <c r="G2881" i="1" s="1"/>
  <c r="B2882" i="1"/>
  <c r="G2882" i="1" s="1"/>
  <c r="B2883" i="1"/>
  <c r="G2883" i="1" s="1"/>
  <c r="B2884" i="1"/>
  <c r="G2884" i="1" s="1"/>
  <c r="B2885" i="1"/>
  <c r="G2885" i="1" s="1"/>
  <c r="B2886" i="1"/>
  <c r="G2886" i="1" s="1"/>
  <c r="B2887" i="1"/>
  <c r="G2887" i="1" s="1"/>
  <c r="B2888" i="1"/>
  <c r="G2888" i="1" s="1"/>
  <c r="B2889" i="1"/>
  <c r="G2889" i="1" s="1"/>
  <c r="B2890" i="1"/>
  <c r="G2890" i="1" s="1"/>
  <c r="B2891" i="1"/>
  <c r="G2891" i="1" s="1"/>
  <c r="B2892" i="1"/>
  <c r="G2892" i="1" s="1"/>
  <c r="B2893" i="1"/>
  <c r="G2893" i="1" s="1"/>
  <c r="B2894" i="1"/>
  <c r="G2894" i="1" s="1"/>
  <c r="B2895" i="1"/>
  <c r="G2895" i="1" s="1"/>
  <c r="B2896" i="1"/>
  <c r="G2896" i="1" s="1"/>
  <c r="B2897" i="1"/>
  <c r="G2897" i="1" s="1"/>
  <c r="B2898" i="1"/>
  <c r="G2898" i="1" s="1"/>
  <c r="B2899" i="1"/>
  <c r="G2899" i="1" s="1"/>
  <c r="B2900" i="1"/>
  <c r="G2900" i="1" s="1"/>
  <c r="B2901" i="1"/>
  <c r="G2901" i="1" s="1"/>
  <c r="B2902" i="1"/>
  <c r="G2902" i="1" s="1"/>
  <c r="B2903" i="1"/>
  <c r="G2903" i="1" s="1"/>
  <c r="B2904" i="1"/>
  <c r="G2904" i="1" s="1"/>
  <c r="B2905" i="1"/>
  <c r="G2905" i="1" s="1"/>
  <c r="B2906" i="1"/>
  <c r="G2906" i="1" s="1"/>
  <c r="B2907" i="1"/>
  <c r="G2907" i="1" s="1"/>
  <c r="B2908" i="1"/>
  <c r="G2908" i="1" s="1"/>
  <c r="B2909" i="1"/>
  <c r="G2909" i="1" s="1"/>
  <c r="B2910" i="1"/>
  <c r="G2910" i="1" s="1"/>
  <c r="B2911" i="1"/>
  <c r="G2911" i="1" s="1"/>
  <c r="B2912" i="1"/>
  <c r="G2912" i="1" s="1"/>
  <c r="B2913" i="1"/>
  <c r="G2913" i="1" s="1"/>
  <c r="B2914" i="1"/>
  <c r="G2914" i="1" s="1"/>
  <c r="B2915" i="1"/>
  <c r="G2915" i="1" s="1"/>
  <c r="B2916" i="1"/>
  <c r="G2916" i="1" s="1"/>
  <c r="B2917" i="1"/>
  <c r="G2917" i="1" s="1"/>
  <c r="B2918" i="1"/>
  <c r="G2918" i="1" s="1"/>
  <c r="B2919" i="1"/>
  <c r="G2919" i="1" s="1"/>
  <c r="B2920" i="1"/>
  <c r="G2920" i="1" s="1"/>
  <c r="B2921" i="1"/>
  <c r="G2921" i="1" s="1"/>
  <c r="B2922" i="1"/>
  <c r="G2922" i="1" s="1"/>
  <c r="B2923" i="1"/>
  <c r="G2923" i="1" s="1"/>
  <c r="B2924" i="1"/>
  <c r="G2924" i="1" s="1"/>
  <c r="B2925" i="1"/>
  <c r="G2925" i="1" s="1"/>
  <c r="B2926" i="1"/>
  <c r="G2926" i="1" s="1"/>
  <c r="B2927" i="1"/>
  <c r="G2927" i="1" s="1"/>
  <c r="B2928" i="1"/>
  <c r="G2928" i="1" s="1"/>
  <c r="B2929" i="1"/>
  <c r="G2929" i="1" s="1"/>
  <c r="B2930" i="1"/>
  <c r="G2930" i="1" s="1"/>
  <c r="B2931" i="1"/>
  <c r="G2931" i="1" s="1"/>
  <c r="B2932" i="1"/>
  <c r="G2932" i="1" s="1"/>
  <c r="B2933" i="1"/>
  <c r="G2933" i="1" s="1"/>
  <c r="B2934" i="1"/>
  <c r="G2934" i="1" s="1"/>
  <c r="B2935" i="1"/>
  <c r="G2935" i="1" s="1"/>
  <c r="B2936" i="1"/>
  <c r="G2936" i="1" s="1"/>
  <c r="B2937" i="1"/>
  <c r="G2937" i="1" s="1"/>
  <c r="B2938" i="1"/>
  <c r="G2938" i="1" s="1"/>
  <c r="B2939" i="1"/>
  <c r="G2939" i="1" s="1"/>
  <c r="B2940" i="1"/>
  <c r="G2940" i="1" s="1"/>
  <c r="B2941" i="1"/>
  <c r="G2941" i="1" s="1"/>
  <c r="B2942" i="1"/>
  <c r="G2942" i="1" s="1"/>
  <c r="B2943" i="1"/>
  <c r="G2943" i="1" s="1"/>
  <c r="B2944" i="1"/>
  <c r="G2944" i="1" s="1"/>
  <c r="B2945" i="1"/>
  <c r="G2945" i="1" s="1"/>
  <c r="B2946" i="1"/>
  <c r="G2946" i="1" s="1"/>
  <c r="B2947" i="1"/>
  <c r="G2947" i="1" s="1"/>
  <c r="B2948" i="1"/>
  <c r="G2948" i="1" s="1"/>
  <c r="B2949" i="1"/>
  <c r="G2949" i="1" s="1"/>
  <c r="B2950" i="1"/>
  <c r="G2950" i="1" s="1"/>
  <c r="B2951" i="1"/>
  <c r="G2951" i="1" s="1"/>
  <c r="B2952" i="1"/>
  <c r="G2952" i="1" s="1"/>
  <c r="B2953" i="1"/>
  <c r="G2953" i="1" s="1"/>
  <c r="B2954" i="1"/>
  <c r="G2954" i="1" s="1"/>
  <c r="B2955" i="1"/>
  <c r="G2955" i="1" s="1"/>
  <c r="B2956" i="1"/>
  <c r="G2956" i="1" s="1"/>
  <c r="B2957" i="1"/>
  <c r="G2957" i="1" s="1"/>
  <c r="B2958" i="1"/>
  <c r="G2958" i="1" s="1"/>
  <c r="B2959" i="1"/>
  <c r="G2959" i="1" s="1"/>
  <c r="B2960" i="1"/>
  <c r="G2960" i="1" s="1"/>
  <c r="B2961" i="1"/>
  <c r="G2961" i="1" s="1"/>
  <c r="B2962" i="1"/>
  <c r="G2962" i="1" s="1"/>
  <c r="B2963" i="1"/>
  <c r="G2963" i="1" s="1"/>
  <c r="B2964" i="1"/>
  <c r="G2964" i="1" s="1"/>
  <c r="B2965" i="1"/>
  <c r="G2965" i="1" s="1"/>
  <c r="B2966" i="1"/>
  <c r="G2966" i="1" s="1"/>
  <c r="B2967" i="1"/>
  <c r="G2967" i="1" s="1"/>
  <c r="B2968" i="1"/>
  <c r="G2968" i="1" s="1"/>
  <c r="B2969" i="1"/>
  <c r="G2969" i="1" s="1"/>
  <c r="B2970" i="1"/>
  <c r="G2970" i="1" s="1"/>
  <c r="B2971" i="1"/>
  <c r="G2971" i="1" s="1"/>
  <c r="B2972" i="1"/>
  <c r="G2972" i="1" s="1"/>
  <c r="B2973" i="1"/>
  <c r="G2973" i="1" s="1"/>
  <c r="B2974" i="1"/>
  <c r="G2974" i="1" s="1"/>
  <c r="B2975" i="1"/>
  <c r="G2975" i="1" s="1"/>
  <c r="B2976" i="1"/>
  <c r="G2976" i="1" s="1"/>
  <c r="B2977" i="1"/>
  <c r="G2977" i="1" s="1"/>
  <c r="B2978" i="1"/>
  <c r="G2978" i="1" s="1"/>
  <c r="B2979" i="1"/>
  <c r="G2979" i="1" s="1"/>
  <c r="B2980" i="1"/>
  <c r="G2980" i="1" s="1"/>
  <c r="B2981" i="1"/>
  <c r="G2981" i="1" s="1"/>
  <c r="B2982" i="1"/>
  <c r="G2982" i="1" s="1"/>
  <c r="B2983" i="1"/>
  <c r="G2983" i="1" s="1"/>
  <c r="B2984" i="1"/>
  <c r="G2984" i="1" s="1"/>
  <c r="B2985" i="1"/>
  <c r="G2985" i="1" s="1"/>
  <c r="B2986" i="1"/>
  <c r="G2986" i="1" s="1"/>
  <c r="B2987" i="1"/>
  <c r="G2987" i="1" s="1"/>
  <c r="B2988" i="1"/>
  <c r="G2988" i="1" s="1"/>
  <c r="B2989" i="1"/>
  <c r="G2989" i="1" s="1"/>
  <c r="B2990" i="1"/>
  <c r="G2990" i="1" s="1"/>
  <c r="B2991" i="1"/>
  <c r="G2991" i="1" s="1"/>
  <c r="B2992" i="1"/>
  <c r="G2992" i="1" s="1"/>
  <c r="B2993" i="1"/>
  <c r="G2993" i="1" s="1"/>
  <c r="B2994" i="1"/>
  <c r="G2994" i="1" s="1"/>
  <c r="B2995" i="1"/>
  <c r="G2995" i="1" s="1"/>
  <c r="B2996" i="1"/>
  <c r="G2996" i="1" s="1"/>
  <c r="B2997" i="1"/>
  <c r="G2997" i="1" s="1"/>
  <c r="B2998" i="1"/>
  <c r="G2998" i="1" s="1"/>
  <c r="B2999" i="1"/>
  <c r="G2999" i="1" s="1"/>
  <c r="B3000" i="1"/>
  <c r="G3000" i="1" s="1"/>
  <c r="B3001" i="1"/>
  <c r="G3001" i="1" s="1"/>
  <c r="B3002" i="1"/>
  <c r="G3002" i="1" s="1"/>
  <c r="B3003" i="1"/>
  <c r="G3003" i="1" s="1"/>
  <c r="B3004" i="1"/>
  <c r="G3004" i="1" s="1"/>
  <c r="B3005" i="1"/>
  <c r="G3005" i="1" s="1"/>
  <c r="B3006" i="1"/>
  <c r="G3006" i="1" s="1"/>
  <c r="B3007" i="1"/>
  <c r="G3007" i="1" s="1"/>
  <c r="B3008" i="1"/>
  <c r="G3008" i="1" s="1"/>
  <c r="B3009" i="1"/>
  <c r="G3009" i="1" s="1"/>
  <c r="B3010" i="1"/>
  <c r="G3010" i="1" s="1"/>
  <c r="B3011" i="1"/>
  <c r="G3011" i="1" s="1"/>
  <c r="B3012" i="1"/>
  <c r="G3012" i="1" s="1"/>
  <c r="B3013" i="1"/>
  <c r="G3013" i="1" s="1"/>
  <c r="B3014" i="1"/>
  <c r="G3014" i="1" s="1"/>
  <c r="B3015" i="1"/>
  <c r="G3015" i="1" s="1"/>
  <c r="B3016" i="1"/>
  <c r="G3016" i="1" s="1"/>
  <c r="B3017" i="1"/>
  <c r="G3017" i="1" s="1"/>
  <c r="B3018" i="1"/>
  <c r="G3018" i="1" s="1"/>
  <c r="B3019" i="1"/>
  <c r="G3019" i="1" s="1"/>
  <c r="B3020" i="1"/>
  <c r="G3020" i="1" s="1"/>
  <c r="B3021" i="1"/>
  <c r="G3021" i="1" s="1"/>
  <c r="B3022" i="1"/>
  <c r="G3022" i="1" s="1"/>
  <c r="B3023" i="1"/>
  <c r="G3023" i="1" s="1"/>
  <c r="B3024" i="1"/>
  <c r="G3024" i="1" s="1"/>
  <c r="B3025" i="1"/>
  <c r="G3025" i="1" s="1"/>
  <c r="B3026" i="1"/>
  <c r="G3026" i="1" s="1"/>
  <c r="B3027" i="1"/>
  <c r="G3027" i="1" s="1"/>
  <c r="B3028" i="1"/>
  <c r="G3028" i="1" s="1"/>
  <c r="B3029" i="1"/>
  <c r="G3029" i="1" s="1"/>
  <c r="B3030" i="1"/>
  <c r="G3030" i="1" s="1"/>
  <c r="B3031" i="1"/>
  <c r="G3031" i="1" s="1"/>
  <c r="B3032" i="1"/>
  <c r="G3032" i="1" s="1"/>
  <c r="B3033" i="1"/>
  <c r="G3033" i="1" s="1"/>
  <c r="B3034" i="1"/>
  <c r="G3034" i="1" s="1"/>
  <c r="B3035" i="1"/>
  <c r="G3035" i="1" s="1"/>
  <c r="B3036" i="1"/>
  <c r="G3036" i="1" s="1"/>
  <c r="B3037" i="1"/>
  <c r="G3037" i="1" s="1"/>
  <c r="B3038" i="1"/>
  <c r="G3038" i="1" s="1"/>
  <c r="B3039" i="1"/>
  <c r="G3039" i="1" s="1"/>
  <c r="B3040" i="1"/>
  <c r="G3040" i="1" s="1"/>
  <c r="B3041" i="1"/>
  <c r="G3041" i="1" s="1"/>
  <c r="B3042" i="1"/>
  <c r="G3042" i="1" s="1"/>
  <c r="B3043" i="1"/>
  <c r="G3043" i="1" s="1"/>
  <c r="B3044" i="1"/>
  <c r="G3044" i="1" s="1"/>
  <c r="B3045" i="1"/>
  <c r="G3045" i="1" s="1"/>
  <c r="B3046" i="1"/>
  <c r="G3046" i="1" s="1"/>
  <c r="B3047" i="1"/>
  <c r="G3047" i="1" s="1"/>
  <c r="B3048" i="1"/>
  <c r="G3048" i="1" s="1"/>
  <c r="B3049" i="1"/>
  <c r="G3049" i="1" s="1"/>
  <c r="B3050" i="1"/>
  <c r="G3050" i="1" s="1"/>
  <c r="B3051" i="1"/>
  <c r="G3051" i="1" s="1"/>
  <c r="B3052" i="1"/>
  <c r="G3052" i="1" s="1"/>
  <c r="B3053" i="1"/>
  <c r="G3053" i="1" s="1"/>
  <c r="B3054" i="1"/>
  <c r="G3054" i="1" s="1"/>
  <c r="B3055" i="1"/>
  <c r="G3055" i="1" s="1"/>
  <c r="B3056" i="1"/>
  <c r="G3056" i="1" s="1"/>
  <c r="B3057" i="1"/>
  <c r="G3057" i="1" s="1"/>
  <c r="B3058" i="1"/>
  <c r="G3058" i="1" s="1"/>
  <c r="B3059" i="1"/>
  <c r="G3059" i="1" s="1"/>
  <c r="B3060" i="1"/>
  <c r="G3060" i="1" s="1"/>
  <c r="B3061" i="1"/>
  <c r="G3061" i="1" s="1"/>
  <c r="B3062" i="1"/>
  <c r="G3062" i="1" s="1"/>
  <c r="B3063" i="1"/>
  <c r="G3063" i="1" s="1"/>
  <c r="B3064" i="1"/>
  <c r="G3064" i="1" s="1"/>
  <c r="B3065" i="1"/>
  <c r="G3065" i="1" s="1"/>
  <c r="B3066" i="1"/>
  <c r="G3066" i="1" s="1"/>
  <c r="B3067" i="1"/>
  <c r="G3067" i="1" s="1"/>
  <c r="B3068" i="1"/>
  <c r="G3068" i="1" s="1"/>
  <c r="B3069" i="1"/>
  <c r="G3069" i="1" s="1"/>
  <c r="B3070" i="1"/>
  <c r="G3070" i="1" s="1"/>
  <c r="B3071" i="1"/>
  <c r="G3071" i="1" s="1"/>
  <c r="B3072" i="1"/>
  <c r="G3072" i="1" s="1"/>
  <c r="B3073" i="1"/>
  <c r="G3073" i="1" s="1"/>
  <c r="B3074" i="1"/>
  <c r="G3074" i="1" s="1"/>
  <c r="B3075" i="1"/>
  <c r="G3075" i="1" s="1"/>
  <c r="B3076" i="1"/>
  <c r="G3076" i="1" s="1"/>
  <c r="B3077" i="1"/>
  <c r="G3077" i="1" s="1"/>
  <c r="B3078" i="1"/>
  <c r="G3078" i="1" s="1"/>
  <c r="B3079" i="1"/>
  <c r="G3079" i="1" s="1"/>
  <c r="B3080" i="1"/>
  <c r="G3080" i="1" s="1"/>
  <c r="B3081" i="1"/>
  <c r="G3081" i="1" s="1"/>
  <c r="B3082" i="1"/>
  <c r="G3082" i="1" s="1"/>
  <c r="B3083" i="1"/>
  <c r="G3083" i="1" s="1"/>
  <c r="B3084" i="1"/>
  <c r="G3084" i="1" s="1"/>
  <c r="B3085" i="1"/>
  <c r="G3085" i="1" s="1"/>
  <c r="B3086" i="1"/>
  <c r="G3086" i="1" s="1"/>
  <c r="B3087" i="1"/>
  <c r="G3087" i="1" s="1"/>
  <c r="B3088" i="1"/>
  <c r="G3088" i="1" s="1"/>
  <c r="B3089" i="1"/>
  <c r="G3089" i="1" s="1"/>
  <c r="B3090" i="1"/>
  <c r="G3090" i="1" s="1"/>
  <c r="B3091" i="1"/>
  <c r="G3091" i="1" s="1"/>
  <c r="B3092" i="1"/>
  <c r="G3092" i="1" s="1"/>
  <c r="B3093" i="1"/>
  <c r="G3093" i="1" s="1"/>
  <c r="B3094" i="1"/>
  <c r="G3094" i="1" s="1"/>
  <c r="B3095" i="1"/>
  <c r="G3095" i="1" s="1"/>
  <c r="B3096" i="1"/>
  <c r="G3096" i="1" s="1"/>
  <c r="B3097" i="1"/>
  <c r="G3097" i="1" s="1"/>
  <c r="B3098" i="1"/>
  <c r="G3098" i="1" s="1"/>
  <c r="B3099" i="1"/>
  <c r="G3099" i="1" s="1"/>
  <c r="B3100" i="1"/>
  <c r="G3100" i="1" s="1"/>
  <c r="B3101" i="1"/>
  <c r="G3101" i="1" s="1"/>
  <c r="B3102" i="1"/>
  <c r="G3102" i="1" s="1"/>
  <c r="B3103" i="1"/>
  <c r="G3103" i="1" s="1"/>
  <c r="B3104" i="1"/>
  <c r="G3104" i="1" s="1"/>
  <c r="B3105" i="1"/>
  <c r="G3105" i="1" s="1"/>
  <c r="B3106" i="1"/>
  <c r="G3106" i="1" s="1"/>
  <c r="B3107" i="1"/>
  <c r="G3107" i="1" s="1"/>
  <c r="B3108" i="1"/>
  <c r="G3108" i="1" s="1"/>
  <c r="B3109" i="1"/>
  <c r="G3109" i="1" s="1"/>
  <c r="B3110" i="1"/>
  <c r="G3110" i="1" s="1"/>
  <c r="B3111" i="1"/>
  <c r="G3111" i="1" s="1"/>
  <c r="B3112" i="1"/>
  <c r="G3112" i="1" s="1"/>
  <c r="B3113" i="1"/>
  <c r="G3113" i="1" s="1"/>
  <c r="B3114" i="1"/>
  <c r="G3114" i="1" s="1"/>
  <c r="B3115" i="1"/>
  <c r="G3115" i="1" s="1"/>
  <c r="B3116" i="1"/>
  <c r="G3116" i="1" s="1"/>
  <c r="B3117" i="1"/>
  <c r="G3117" i="1" s="1"/>
  <c r="B3118" i="1"/>
  <c r="G3118" i="1" s="1"/>
  <c r="B3119" i="1"/>
  <c r="G3119" i="1" s="1"/>
  <c r="B3120" i="1"/>
  <c r="G3120" i="1" s="1"/>
  <c r="B3121" i="1"/>
  <c r="G3121" i="1" s="1"/>
  <c r="B3122" i="1"/>
  <c r="G3122" i="1" s="1"/>
  <c r="B3123" i="1"/>
  <c r="G3123" i="1" s="1"/>
  <c r="B3124" i="1"/>
  <c r="G3124" i="1" s="1"/>
  <c r="B3125" i="1"/>
  <c r="G3125" i="1" s="1"/>
  <c r="B3126" i="1"/>
  <c r="G3126" i="1" s="1"/>
  <c r="B3127" i="1"/>
  <c r="G3127" i="1" s="1"/>
  <c r="B3128" i="1"/>
  <c r="G3128" i="1" s="1"/>
  <c r="B3129" i="1"/>
  <c r="G3129" i="1" s="1"/>
  <c r="B3130" i="1"/>
  <c r="G3130" i="1" s="1"/>
  <c r="B3131" i="1"/>
  <c r="G3131" i="1" s="1"/>
  <c r="B3132" i="1"/>
  <c r="G3132" i="1" s="1"/>
  <c r="B3133" i="1"/>
  <c r="G3133" i="1" s="1"/>
  <c r="B3134" i="1"/>
  <c r="G3134" i="1" s="1"/>
  <c r="B3135" i="1"/>
  <c r="G3135" i="1" s="1"/>
  <c r="B3136" i="1"/>
  <c r="G3136" i="1" s="1"/>
  <c r="B3137" i="1"/>
  <c r="G3137" i="1" s="1"/>
  <c r="B3138" i="1"/>
  <c r="G3138" i="1" s="1"/>
  <c r="B3139" i="1"/>
  <c r="G3139" i="1" s="1"/>
  <c r="B3140" i="1"/>
  <c r="G3140" i="1" s="1"/>
  <c r="B3141" i="1"/>
  <c r="G3141" i="1" s="1"/>
  <c r="B3142" i="1"/>
  <c r="G3142" i="1" s="1"/>
  <c r="B3143" i="1"/>
  <c r="G3143" i="1" s="1"/>
  <c r="B3144" i="1"/>
  <c r="G3144" i="1" s="1"/>
  <c r="B3145" i="1"/>
  <c r="G3145" i="1" s="1"/>
  <c r="B3146" i="1"/>
  <c r="G3146" i="1" s="1"/>
  <c r="B3147" i="1"/>
  <c r="G3147" i="1" s="1"/>
  <c r="B3148" i="1"/>
  <c r="G3148" i="1" s="1"/>
  <c r="B3149" i="1"/>
  <c r="G3149" i="1" s="1"/>
  <c r="B3150" i="1"/>
  <c r="G3150" i="1" s="1"/>
  <c r="B3151" i="1"/>
  <c r="G3151" i="1" s="1"/>
  <c r="B3152" i="1"/>
  <c r="G3152" i="1" s="1"/>
  <c r="B3153" i="1"/>
  <c r="G3153" i="1" s="1"/>
  <c r="B3154" i="1"/>
  <c r="G3154" i="1" s="1"/>
  <c r="B3155" i="1"/>
  <c r="G3155" i="1" s="1"/>
  <c r="B3156" i="1"/>
  <c r="G3156" i="1" s="1"/>
  <c r="B3157" i="1"/>
  <c r="G3157" i="1" s="1"/>
  <c r="B3158" i="1"/>
  <c r="G3158" i="1" s="1"/>
  <c r="B3159" i="1"/>
  <c r="G3159" i="1" s="1"/>
  <c r="B3160" i="1"/>
  <c r="G3160" i="1" s="1"/>
  <c r="B3161" i="1"/>
  <c r="G3161" i="1" s="1"/>
  <c r="B3162" i="1"/>
  <c r="G3162" i="1" s="1"/>
  <c r="B3163" i="1"/>
  <c r="G3163" i="1" s="1"/>
  <c r="B3164" i="1"/>
  <c r="G3164" i="1" s="1"/>
  <c r="B3165" i="1"/>
  <c r="G3165" i="1" s="1"/>
  <c r="B3166" i="1"/>
  <c r="G3166" i="1" s="1"/>
  <c r="B3167" i="1"/>
  <c r="G3167" i="1" s="1"/>
  <c r="B3168" i="1"/>
  <c r="G3168" i="1" s="1"/>
  <c r="B3169" i="1"/>
  <c r="G3169" i="1" s="1"/>
  <c r="B3170" i="1"/>
  <c r="G3170" i="1" s="1"/>
  <c r="B3171" i="1"/>
  <c r="G3171" i="1" s="1"/>
  <c r="B3172" i="1"/>
  <c r="G3172" i="1" s="1"/>
  <c r="B3173" i="1"/>
  <c r="G3173" i="1" s="1"/>
  <c r="B3174" i="1"/>
  <c r="G3174" i="1" s="1"/>
  <c r="B3175" i="1"/>
  <c r="G3175" i="1" s="1"/>
  <c r="B3176" i="1"/>
  <c r="G3176" i="1" s="1"/>
  <c r="B3177" i="1"/>
  <c r="G3177" i="1" s="1"/>
  <c r="B3178" i="1"/>
  <c r="G3178" i="1" s="1"/>
  <c r="B3179" i="1"/>
  <c r="G3179" i="1" s="1"/>
  <c r="B3180" i="1"/>
  <c r="G3180" i="1" s="1"/>
  <c r="B3181" i="1"/>
  <c r="G3181" i="1" s="1"/>
  <c r="B3182" i="1"/>
  <c r="G3182" i="1" s="1"/>
  <c r="B3183" i="1"/>
  <c r="G3183" i="1" s="1"/>
  <c r="B3184" i="1"/>
  <c r="G3184" i="1" s="1"/>
  <c r="B3185" i="1"/>
  <c r="G3185" i="1" s="1"/>
  <c r="B3186" i="1"/>
  <c r="G3186" i="1" s="1"/>
  <c r="B3187" i="1"/>
  <c r="G3187" i="1" s="1"/>
  <c r="B3188" i="1"/>
  <c r="G3188" i="1" s="1"/>
  <c r="B3189" i="1"/>
  <c r="G3189" i="1" s="1"/>
  <c r="B3190" i="1"/>
  <c r="G3190" i="1" s="1"/>
  <c r="B3191" i="1"/>
  <c r="G3191" i="1" s="1"/>
  <c r="B3192" i="1"/>
  <c r="G3192" i="1" s="1"/>
  <c r="B3193" i="1"/>
  <c r="G3193" i="1" s="1"/>
  <c r="B3194" i="1"/>
  <c r="G3194" i="1" s="1"/>
  <c r="B3195" i="1"/>
  <c r="G3195" i="1" s="1"/>
  <c r="B3196" i="1"/>
  <c r="G3196" i="1" s="1"/>
  <c r="B3197" i="1"/>
  <c r="G3197" i="1" s="1"/>
  <c r="B3198" i="1"/>
  <c r="G3198" i="1" s="1"/>
  <c r="B3199" i="1"/>
  <c r="G3199" i="1" s="1"/>
  <c r="B3200" i="1"/>
  <c r="G3200" i="1" s="1"/>
  <c r="B3201" i="1"/>
  <c r="G3201" i="1" s="1"/>
  <c r="B3202" i="1"/>
  <c r="G3202" i="1" s="1"/>
  <c r="B3203" i="1"/>
  <c r="G3203" i="1" s="1"/>
  <c r="B3204" i="1"/>
  <c r="G3204" i="1" s="1"/>
  <c r="B3205" i="1"/>
  <c r="G3205" i="1" s="1"/>
  <c r="B3206" i="1"/>
  <c r="G3206" i="1" s="1"/>
  <c r="B3207" i="1"/>
  <c r="G3207" i="1" s="1"/>
  <c r="B3208" i="1"/>
  <c r="G3208" i="1" s="1"/>
  <c r="B3209" i="1"/>
  <c r="G3209" i="1" s="1"/>
  <c r="B3210" i="1"/>
  <c r="G3210" i="1" s="1"/>
  <c r="B3211" i="1"/>
  <c r="G3211" i="1" s="1"/>
  <c r="B3212" i="1"/>
  <c r="G3212" i="1" s="1"/>
  <c r="B3213" i="1"/>
  <c r="G3213" i="1" s="1"/>
  <c r="B3214" i="1"/>
  <c r="G3214" i="1" s="1"/>
  <c r="B3215" i="1"/>
  <c r="G3215" i="1" s="1"/>
  <c r="B3216" i="1"/>
  <c r="G3216" i="1" s="1"/>
  <c r="B3217" i="1"/>
  <c r="G3217" i="1" s="1"/>
  <c r="B3218" i="1"/>
  <c r="G3218" i="1" s="1"/>
  <c r="B3219" i="1"/>
  <c r="G3219" i="1" s="1"/>
  <c r="B3220" i="1"/>
  <c r="G3220" i="1" s="1"/>
  <c r="B3221" i="1"/>
  <c r="G3221" i="1" s="1"/>
  <c r="B3222" i="1"/>
  <c r="G3222" i="1" s="1"/>
  <c r="B3223" i="1"/>
  <c r="G3223" i="1" s="1"/>
  <c r="B3224" i="1"/>
  <c r="G3224" i="1" s="1"/>
  <c r="B3225" i="1"/>
  <c r="G3225" i="1" s="1"/>
  <c r="B3226" i="1"/>
  <c r="G3226" i="1" s="1"/>
  <c r="B3227" i="1"/>
  <c r="G3227" i="1" s="1"/>
  <c r="B3228" i="1"/>
  <c r="G3228" i="1" s="1"/>
  <c r="B3229" i="1"/>
  <c r="G3229" i="1" s="1"/>
  <c r="B3230" i="1"/>
  <c r="G3230" i="1" s="1"/>
  <c r="B3231" i="1"/>
  <c r="G3231" i="1" s="1"/>
  <c r="B3232" i="1"/>
  <c r="G3232" i="1" s="1"/>
  <c r="B3233" i="1"/>
  <c r="G3233" i="1" s="1"/>
  <c r="B3234" i="1"/>
  <c r="G3234" i="1" s="1"/>
  <c r="B3235" i="1"/>
  <c r="G3235" i="1" s="1"/>
  <c r="B3236" i="1"/>
  <c r="G3236" i="1" s="1"/>
  <c r="B3237" i="1"/>
  <c r="G3237" i="1" s="1"/>
  <c r="B3238" i="1"/>
  <c r="G3238" i="1" s="1"/>
  <c r="B3239" i="1"/>
  <c r="G3239" i="1" s="1"/>
  <c r="B3240" i="1"/>
  <c r="G3240" i="1" s="1"/>
  <c r="B3241" i="1"/>
  <c r="G3241" i="1" s="1"/>
  <c r="B3242" i="1"/>
  <c r="G3242" i="1" s="1"/>
  <c r="B3243" i="1"/>
  <c r="G3243" i="1" s="1"/>
  <c r="B3244" i="1"/>
  <c r="G3244" i="1" s="1"/>
  <c r="B3245" i="1"/>
  <c r="G3245" i="1" s="1"/>
  <c r="B3246" i="1"/>
  <c r="G3246" i="1" s="1"/>
  <c r="B3247" i="1"/>
  <c r="G3247" i="1" s="1"/>
  <c r="B3248" i="1"/>
  <c r="G3248" i="1" s="1"/>
  <c r="B3249" i="1"/>
  <c r="G3249" i="1" s="1"/>
  <c r="B3250" i="1"/>
  <c r="G3250" i="1" s="1"/>
  <c r="B3251" i="1"/>
  <c r="G3251" i="1" s="1"/>
  <c r="B3252" i="1"/>
  <c r="G3252" i="1" s="1"/>
  <c r="B3253" i="1"/>
  <c r="G3253" i="1" s="1"/>
  <c r="B3254" i="1"/>
  <c r="G3254" i="1" s="1"/>
  <c r="B3255" i="1"/>
  <c r="G3255" i="1" s="1"/>
  <c r="B3256" i="1"/>
  <c r="G3256" i="1" s="1"/>
  <c r="B3257" i="1"/>
  <c r="G3257" i="1" s="1"/>
  <c r="B3258" i="1"/>
  <c r="G3258" i="1" s="1"/>
  <c r="B3259" i="1"/>
  <c r="G3259" i="1" s="1"/>
  <c r="B3260" i="1"/>
  <c r="G3260" i="1" s="1"/>
  <c r="B3261" i="1"/>
  <c r="G3261" i="1" s="1"/>
  <c r="B3262" i="1"/>
  <c r="G3262" i="1" s="1"/>
  <c r="B3263" i="1"/>
  <c r="G3263" i="1" s="1"/>
  <c r="B3264" i="1"/>
  <c r="G3264" i="1" s="1"/>
  <c r="B3265" i="1"/>
  <c r="G3265" i="1" s="1"/>
  <c r="B3266" i="1"/>
  <c r="G3266" i="1" s="1"/>
  <c r="B3267" i="1"/>
  <c r="G3267" i="1" s="1"/>
  <c r="B3268" i="1"/>
  <c r="G3268" i="1" s="1"/>
  <c r="B3269" i="1"/>
  <c r="G3269" i="1" s="1"/>
  <c r="B3270" i="1"/>
  <c r="G3270" i="1" s="1"/>
  <c r="B3271" i="1"/>
  <c r="G3271" i="1" s="1"/>
  <c r="B3272" i="1"/>
  <c r="G3272" i="1" s="1"/>
  <c r="B3273" i="1"/>
  <c r="G3273" i="1" s="1"/>
  <c r="B3274" i="1"/>
  <c r="G3274" i="1" s="1"/>
  <c r="B3275" i="1"/>
  <c r="G3275" i="1" s="1"/>
  <c r="B3276" i="1"/>
  <c r="G3276" i="1" s="1"/>
  <c r="B3277" i="1"/>
  <c r="G3277" i="1" s="1"/>
  <c r="B3278" i="1"/>
  <c r="G3278" i="1" s="1"/>
  <c r="B3279" i="1"/>
  <c r="G3279" i="1" s="1"/>
  <c r="B3280" i="1"/>
  <c r="G3280" i="1" s="1"/>
  <c r="B3281" i="1"/>
  <c r="G3281" i="1" s="1"/>
  <c r="B3282" i="1"/>
  <c r="G3282" i="1" s="1"/>
  <c r="B3283" i="1"/>
  <c r="G3283" i="1" s="1"/>
  <c r="B3284" i="1"/>
  <c r="G3284" i="1" s="1"/>
  <c r="B3285" i="1"/>
  <c r="G3285" i="1" s="1"/>
  <c r="B3286" i="1"/>
  <c r="G3286" i="1" s="1"/>
  <c r="B3287" i="1"/>
  <c r="G3287" i="1" s="1"/>
  <c r="B3288" i="1"/>
  <c r="G3288" i="1" s="1"/>
  <c r="B3289" i="1"/>
  <c r="G3289" i="1" s="1"/>
  <c r="B3290" i="1"/>
  <c r="G3290" i="1" s="1"/>
  <c r="B3291" i="1"/>
  <c r="G3291" i="1" s="1"/>
  <c r="B3292" i="1"/>
  <c r="G3292" i="1" s="1"/>
  <c r="B3293" i="1"/>
  <c r="G3293" i="1" s="1"/>
  <c r="B3294" i="1"/>
  <c r="G3294" i="1" s="1"/>
  <c r="B3295" i="1"/>
  <c r="G3295" i="1" s="1"/>
  <c r="B3296" i="1"/>
  <c r="G3296" i="1" s="1"/>
  <c r="B3297" i="1"/>
  <c r="G3297" i="1" s="1"/>
  <c r="B3298" i="1"/>
  <c r="G3298" i="1" s="1"/>
  <c r="B3299" i="1"/>
  <c r="G3299" i="1" s="1"/>
  <c r="B3300" i="1"/>
  <c r="G3300" i="1" s="1"/>
  <c r="B3301" i="1"/>
  <c r="G3301" i="1" s="1"/>
  <c r="B3302" i="1"/>
  <c r="G3302" i="1" s="1"/>
  <c r="B3303" i="1"/>
  <c r="G3303" i="1" s="1"/>
  <c r="B3304" i="1"/>
  <c r="G3304" i="1" s="1"/>
  <c r="B3305" i="1"/>
  <c r="G3305" i="1" s="1"/>
  <c r="B3306" i="1"/>
  <c r="G3306" i="1" s="1"/>
  <c r="B3307" i="1"/>
  <c r="G3307" i="1" s="1"/>
  <c r="B3308" i="1"/>
  <c r="G3308" i="1" s="1"/>
  <c r="B3309" i="1"/>
  <c r="G3309" i="1" s="1"/>
  <c r="B3310" i="1"/>
  <c r="G3310" i="1" s="1"/>
  <c r="B3311" i="1"/>
  <c r="G3311" i="1" s="1"/>
  <c r="B3312" i="1"/>
  <c r="G3312" i="1" s="1"/>
  <c r="B3313" i="1"/>
  <c r="G3313" i="1" s="1"/>
  <c r="B3314" i="1"/>
  <c r="G3314" i="1" s="1"/>
  <c r="B3315" i="1"/>
  <c r="G3315" i="1" s="1"/>
  <c r="B3316" i="1"/>
  <c r="G3316" i="1" s="1"/>
  <c r="B3317" i="1"/>
  <c r="G3317" i="1" s="1"/>
  <c r="B3318" i="1"/>
  <c r="G3318" i="1" s="1"/>
  <c r="B3319" i="1"/>
  <c r="G3319" i="1" s="1"/>
  <c r="B3320" i="1"/>
  <c r="G3320" i="1" s="1"/>
  <c r="B3321" i="1"/>
  <c r="G3321" i="1" s="1"/>
  <c r="B3322" i="1"/>
  <c r="G3322" i="1" s="1"/>
  <c r="B3323" i="1"/>
  <c r="G3323" i="1" s="1"/>
  <c r="B3324" i="1"/>
  <c r="G3324" i="1" s="1"/>
  <c r="B3325" i="1"/>
  <c r="G3325" i="1" s="1"/>
  <c r="B3326" i="1"/>
  <c r="G3326" i="1" s="1"/>
  <c r="B3327" i="1"/>
  <c r="G3327" i="1" s="1"/>
  <c r="B3328" i="1"/>
  <c r="G3328" i="1" s="1"/>
  <c r="B3329" i="1"/>
  <c r="G3329" i="1" s="1"/>
  <c r="B3330" i="1"/>
  <c r="G3330" i="1" s="1"/>
  <c r="B3331" i="1"/>
  <c r="G3331" i="1" s="1"/>
  <c r="B3332" i="1"/>
  <c r="G3332" i="1" s="1"/>
  <c r="B3333" i="1"/>
  <c r="G3333" i="1" s="1"/>
  <c r="B3334" i="1"/>
  <c r="G3334" i="1" s="1"/>
  <c r="B3335" i="1"/>
  <c r="G3335" i="1" s="1"/>
  <c r="B3336" i="1"/>
  <c r="G3336" i="1" s="1"/>
  <c r="B3337" i="1"/>
  <c r="G3337" i="1" s="1"/>
  <c r="B3338" i="1"/>
  <c r="G3338" i="1" s="1"/>
  <c r="B3339" i="1"/>
  <c r="G3339" i="1" s="1"/>
  <c r="B3340" i="1"/>
  <c r="G3340" i="1" s="1"/>
  <c r="B3341" i="1"/>
  <c r="G3341" i="1" s="1"/>
  <c r="B3342" i="1"/>
  <c r="G3342" i="1" s="1"/>
  <c r="B3343" i="1"/>
  <c r="G3343" i="1" s="1"/>
  <c r="B3344" i="1"/>
  <c r="G3344" i="1" s="1"/>
  <c r="B3345" i="1"/>
  <c r="G3345" i="1" s="1"/>
  <c r="B3346" i="1"/>
  <c r="G3346" i="1" s="1"/>
  <c r="B3347" i="1"/>
  <c r="G3347" i="1" s="1"/>
  <c r="B3348" i="1"/>
  <c r="G3348" i="1" s="1"/>
  <c r="B3349" i="1"/>
  <c r="G3349" i="1" s="1"/>
  <c r="B3350" i="1"/>
  <c r="G3350" i="1" s="1"/>
  <c r="B3351" i="1"/>
  <c r="G3351" i="1" s="1"/>
  <c r="B3352" i="1"/>
  <c r="G3352" i="1" s="1"/>
  <c r="B3353" i="1"/>
  <c r="G3353" i="1" s="1"/>
  <c r="B3354" i="1"/>
  <c r="G3354" i="1" s="1"/>
  <c r="B3355" i="1"/>
  <c r="G3355" i="1" s="1"/>
  <c r="B3356" i="1"/>
  <c r="G3356" i="1" s="1"/>
  <c r="B3357" i="1"/>
  <c r="G3357" i="1" s="1"/>
  <c r="B3358" i="1"/>
  <c r="G3358" i="1" s="1"/>
  <c r="B3359" i="1"/>
  <c r="G3359" i="1" s="1"/>
  <c r="B3360" i="1"/>
  <c r="G3360" i="1" s="1"/>
  <c r="B3361" i="1"/>
  <c r="G3361" i="1" s="1"/>
  <c r="B3362" i="1"/>
  <c r="G3362" i="1" s="1"/>
  <c r="B3363" i="1"/>
  <c r="G3363" i="1" s="1"/>
  <c r="B3364" i="1"/>
  <c r="G3364" i="1" s="1"/>
  <c r="B3365" i="1"/>
  <c r="G3365" i="1" s="1"/>
  <c r="B3366" i="1"/>
  <c r="G3366" i="1" s="1"/>
  <c r="B3367" i="1"/>
  <c r="G3367" i="1" s="1"/>
  <c r="B3368" i="1"/>
  <c r="G3368" i="1" s="1"/>
  <c r="B3369" i="1"/>
  <c r="G3369" i="1" s="1"/>
  <c r="B3370" i="1"/>
  <c r="G3370" i="1" s="1"/>
  <c r="B3371" i="1"/>
  <c r="G3371" i="1" s="1"/>
  <c r="B3372" i="1"/>
  <c r="G3372" i="1" s="1"/>
  <c r="B3373" i="1"/>
  <c r="G3373" i="1" s="1"/>
  <c r="B3374" i="1"/>
  <c r="G3374" i="1" s="1"/>
  <c r="B3375" i="1"/>
  <c r="G3375" i="1" s="1"/>
  <c r="B3376" i="1"/>
  <c r="G3376" i="1" s="1"/>
  <c r="B3377" i="1"/>
  <c r="G3377" i="1" s="1"/>
  <c r="B3378" i="1"/>
  <c r="G3378" i="1" s="1"/>
  <c r="B3379" i="1"/>
  <c r="G3379" i="1" s="1"/>
  <c r="B3380" i="1"/>
  <c r="G3380" i="1" s="1"/>
  <c r="B3381" i="1"/>
  <c r="G3381" i="1" s="1"/>
  <c r="B3382" i="1"/>
  <c r="G3382" i="1" s="1"/>
  <c r="B3383" i="1"/>
  <c r="G3383" i="1" s="1"/>
  <c r="B3384" i="1"/>
  <c r="G3384" i="1" s="1"/>
  <c r="B3385" i="1"/>
  <c r="G3385" i="1" s="1"/>
  <c r="B3386" i="1"/>
  <c r="G3386" i="1" s="1"/>
  <c r="B3387" i="1"/>
  <c r="G3387" i="1" s="1"/>
  <c r="B3388" i="1"/>
  <c r="G3388" i="1" s="1"/>
  <c r="B3389" i="1"/>
  <c r="G3389" i="1" s="1"/>
  <c r="B3390" i="1"/>
  <c r="G3390" i="1" s="1"/>
  <c r="B3391" i="1"/>
  <c r="G3391" i="1" s="1"/>
  <c r="B3392" i="1"/>
  <c r="G3392" i="1" s="1"/>
  <c r="B3393" i="1"/>
  <c r="G3393" i="1" s="1"/>
  <c r="B3394" i="1"/>
  <c r="G3394" i="1" s="1"/>
  <c r="B3395" i="1"/>
  <c r="G3395" i="1" s="1"/>
  <c r="B3396" i="1"/>
  <c r="G3396" i="1" s="1"/>
  <c r="B3397" i="1"/>
  <c r="G3397" i="1" s="1"/>
  <c r="B3398" i="1"/>
  <c r="G3398" i="1" s="1"/>
  <c r="B3399" i="1"/>
  <c r="G3399" i="1" s="1"/>
  <c r="B3400" i="1"/>
  <c r="G3400" i="1" s="1"/>
  <c r="B3401" i="1"/>
  <c r="G3401" i="1" s="1"/>
  <c r="B3402" i="1"/>
  <c r="G3402" i="1" s="1"/>
  <c r="B3403" i="1"/>
  <c r="G3403" i="1" s="1"/>
  <c r="B3404" i="1"/>
  <c r="G3404" i="1" s="1"/>
  <c r="B3405" i="1"/>
  <c r="G3405" i="1" s="1"/>
  <c r="B3406" i="1"/>
  <c r="G3406" i="1" s="1"/>
  <c r="B3407" i="1"/>
  <c r="G3407" i="1" s="1"/>
  <c r="B3408" i="1"/>
  <c r="G3408" i="1" s="1"/>
  <c r="B3409" i="1"/>
  <c r="G3409" i="1" s="1"/>
  <c r="B3410" i="1"/>
  <c r="G3410" i="1" s="1"/>
  <c r="B3411" i="1"/>
  <c r="G3411" i="1" s="1"/>
  <c r="B3412" i="1"/>
  <c r="G3412" i="1" s="1"/>
  <c r="B3413" i="1"/>
  <c r="G3413" i="1" s="1"/>
  <c r="B3414" i="1"/>
  <c r="G3414" i="1" s="1"/>
  <c r="B3415" i="1"/>
  <c r="G3415" i="1" s="1"/>
  <c r="B3416" i="1"/>
  <c r="G3416" i="1" s="1"/>
  <c r="B3417" i="1"/>
  <c r="G3417" i="1" s="1"/>
  <c r="B3418" i="1"/>
  <c r="G3418" i="1" s="1"/>
  <c r="B3419" i="1"/>
  <c r="G3419" i="1" s="1"/>
  <c r="B3420" i="1"/>
  <c r="G3420" i="1" s="1"/>
  <c r="B3421" i="1"/>
  <c r="G3421" i="1" s="1"/>
  <c r="B3422" i="1"/>
  <c r="G3422" i="1" s="1"/>
  <c r="B3423" i="1"/>
  <c r="G3423" i="1" s="1"/>
  <c r="B3424" i="1"/>
  <c r="G3424" i="1" s="1"/>
  <c r="B3425" i="1"/>
  <c r="G3425" i="1" s="1"/>
  <c r="B3426" i="1"/>
  <c r="G3426" i="1" s="1"/>
  <c r="B3427" i="1"/>
  <c r="G3427" i="1" s="1"/>
  <c r="B3428" i="1"/>
  <c r="G3428" i="1" s="1"/>
  <c r="B3429" i="1"/>
  <c r="G3429" i="1" s="1"/>
  <c r="B3430" i="1"/>
  <c r="G3430" i="1" s="1"/>
  <c r="B3431" i="1"/>
  <c r="G3431" i="1" s="1"/>
  <c r="B3432" i="1"/>
  <c r="G3432" i="1" s="1"/>
  <c r="B3433" i="1"/>
  <c r="G3433" i="1" s="1"/>
  <c r="B3434" i="1"/>
  <c r="G3434" i="1" s="1"/>
  <c r="B3435" i="1"/>
  <c r="G3435" i="1" s="1"/>
  <c r="B3436" i="1"/>
  <c r="G3436" i="1" s="1"/>
  <c r="B3437" i="1"/>
  <c r="G3437" i="1" s="1"/>
  <c r="B3438" i="1"/>
  <c r="G3438" i="1" s="1"/>
  <c r="B3439" i="1"/>
  <c r="G3439" i="1" s="1"/>
  <c r="B3440" i="1"/>
  <c r="G3440" i="1" s="1"/>
  <c r="B3441" i="1"/>
  <c r="G3441" i="1" s="1"/>
  <c r="B3442" i="1"/>
  <c r="G3442" i="1" s="1"/>
  <c r="B3443" i="1"/>
  <c r="G3443" i="1" s="1"/>
  <c r="B3444" i="1"/>
  <c r="G3444" i="1" s="1"/>
  <c r="B3445" i="1"/>
  <c r="G3445" i="1" s="1"/>
  <c r="B3446" i="1"/>
  <c r="G3446" i="1" s="1"/>
  <c r="B3447" i="1"/>
  <c r="G3447" i="1" s="1"/>
  <c r="B3448" i="1"/>
  <c r="G3448" i="1" s="1"/>
  <c r="B3449" i="1"/>
  <c r="G3449" i="1" s="1"/>
  <c r="B3450" i="1"/>
  <c r="G3450" i="1" s="1"/>
  <c r="B3451" i="1"/>
  <c r="G3451" i="1" s="1"/>
  <c r="B3452" i="1"/>
  <c r="G3452" i="1" s="1"/>
  <c r="B3453" i="1"/>
  <c r="G3453" i="1" s="1"/>
  <c r="B3454" i="1"/>
  <c r="G3454" i="1" s="1"/>
  <c r="B3455" i="1"/>
  <c r="G3455" i="1" s="1"/>
  <c r="B3456" i="1"/>
  <c r="G3456" i="1" s="1"/>
  <c r="B3457" i="1"/>
  <c r="G3457" i="1" s="1"/>
  <c r="B3458" i="1"/>
  <c r="G3458" i="1" s="1"/>
  <c r="B3459" i="1"/>
  <c r="G3459" i="1" s="1"/>
  <c r="B3460" i="1"/>
  <c r="G3460" i="1" s="1"/>
  <c r="B3461" i="1"/>
  <c r="G3461" i="1" s="1"/>
  <c r="B3462" i="1"/>
  <c r="G3462" i="1" s="1"/>
  <c r="B3463" i="1"/>
  <c r="G3463" i="1" s="1"/>
  <c r="B3464" i="1"/>
  <c r="G3464" i="1" s="1"/>
  <c r="B3465" i="1"/>
  <c r="G3465" i="1" s="1"/>
  <c r="B3466" i="1"/>
  <c r="G3466" i="1" s="1"/>
  <c r="B3467" i="1"/>
  <c r="G3467" i="1" s="1"/>
  <c r="B3468" i="1"/>
  <c r="G3468" i="1" s="1"/>
  <c r="B3469" i="1"/>
  <c r="G3469" i="1" s="1"/>
  <c r="B3470" i="1"/>
  <c r="G3470" i="1" s="1"/>
  <c r="B3471" i="1"/>
  <c r="G3471" i="1" s="1"/>
  <c r="B3472" i="1"/>
  <c r="G3472" i="1" s="1"/>
  <c r="B3473" i="1"/>
  <c r="G3473" i="1" s="1"/>
  <c r="B3474" i="1"/>
  <c r="G3474" i="1" s="1"/>
  <c r="B3475" i="1"/>
  <c r="G3475" i="1" s="1"/>
  <c r="B3476" i="1"/>
  <c r="G3476" i="1" s="1"/>
  <c r="B3477" i="1"/>
  <c r="G3477" i="1" s="1"/>
  <c r="B3478" i="1"/>
  <c r="G3478" i="1" s="1"/>
  <c r="B3479" i="1"/>
  <c r="G3479" i="1" s="1"/>
  <c r="B3480" i="1"/>
  <c r="G3480" i="1" s="1"/>
  <c r="B3481" i="1"/>
  <c r="G3481" i="1" s="1"/>
  <c r="B3482" i="1"/>
  <c r="G3482" i="1" s="1"/>
  <c r="B3483" i="1"/>
  <c r="G3483" i="1" s="1"/>
  <c r="B3484" i="1"/>
  <c r="G3484" i="1" s="1"/>
  <c r="B3485" i="1"/>
  <c r="G3485" i="1" s="1"/>
  <c r="B3486" i="1"/>
  <c r="G3486" i="1" s="1"/>
  <c r="B3487" i="1"/>
  <c r="G3487" i="1" s="1"/>
  <c r="B3488" i="1"/>
  <c r="G3488" i="1" s="1"/>
  <c r="B3489" i="1"/>
  <c r="G3489" i="1" s="1"/>
  <c r="B3490" i="1"/>
  <c r="G3490" i="1" s="1"/>
  <c r="B3491" i="1"/>
  <c r="G3491" i="1" s="1"/>
  <c r="B3492" i="1"/>
  <c r="G3492" i="1" s="1"/>
  <c r="B3493" i="1"/>
  <c r="G3493" i="1" s="1"/>
  <c r="B3494" i="1"/>
  <c r="G3494" i="1" s="1"/>
  <c r="B3495" i="1"/>
  <c r="G3495" i="1" s="1"/>
  <c r="B3496" i="1"/>
  <c r="G3496" i="1" s="1"/>
  <c r="B3497" i="1"/>
  <c r="G3497" i="1" s="1"/>
  <c r="B3498" i="1"/>
  <c r="G3498" i="1" s="1"/>
  <c r="B3499" i="1"/>
  <c r="G3499" i="1" s="1"/>
  <c r="B3500" i="1"/>
  <c r="G3500" i="1" s="1"/>
  <c r="B3501" i="1"/>
  <c r="G3501" i="1" s="1"/>
  <c r="B3502" i="1"/>
  <c r="G3502" i="1" s="1"/>
  <c r="B3503" i="1"/>
  <c r="G3503" i="1" s="1"/>
  <c r="B3504" i="1"/>
  <c r="G3504" i="1" s="1"/>
  <c r="B3505" i="1"/>
  <c r="G3505" i="1" s="1"/>
  <c r="B3506" i="1"/>
  <c r="G3506" i="1" s="1"/>
  <c r="B3507" i="1"/>
  <c r="G3507" i="1" s="1"/>
  <c r="B3508" i="1"/>
  <c r="G3508" i="1" s="1"/>
  <c r="B3509" i="1"/>
  <c r="G3509" i="1" s="1"/>
  <c r="B3510" i="1"/>
  <c r="G3510" i="1" s="1"/>
  <c r="B3511" i="1"/>
  <c r="G3511" i="1" s="1"/>
  <c r="B3512" i="1"/>
  <c r="G3512" i="1" s="1"/>
  <c r="B3513" i="1"/>
  <c r="G3513" i="1" s="1"/>
  <c r="B3514" i="1"/>
  <c r="G3514" i="1" s="1"/>
  <c r="B3515" i="1"/>
  <c r="G3515" i="1" s="1"/>
  <c r="B3516" i="1"/>
  <c r="G3516" i="1" s="1"/>
  <c r="B3517" i="1"/>
  <c r="G3517" i="1" s="1"/>
  <c r="B3518" i="1"/>
  <c r="G3518" i="1" s="1"/>
  <c r="B3519" i="1"/>
  <c r="G3519" i="1" s="1"/>
  <c r="B3520" i="1"/>
  <c r="G3520" i="1" s="1"/>
  <c r="B3521" i="1"/>
  <c r="G3521" i="1" s="1"/>
  <c r="B3522" i="1"/>
  <c r="G3522" i="1" s="1"/>
  <c r="B3523" i="1"/>
  <c r="G3523" i="1" s="1"/>
  <c r="B3524" i="1"/>
  <c r="G3524" i="1" s="1"/>
  <c r="B3525" i="1"/>
  <c r="G3525" i="1" s="1"/>
  <c r="B3526" i="1"/>
  <c r="G3526" i="1" s="1"/>
  <c r="B3527" i="1"/>
  <c r="G3527" i="1" s="1"/>
  <c r="B3528" i="1"/>
  <c r="G3528" i="1" s="1"/>
  <c r="B3529" i="1"/>
  <c r="G3529" i="1" s="1"/>
  <c r="B3530" i="1"/>
  <c r="G3530" i="1" s="1"/>
  <c r="B3531" i="1"/>
  <c r="G3531" i="1" s="1"/>
  <c r="B3532" i="1"/>
  <c r="G3532" i="1" s="1"/>
  <c r="B3533" i="1"/>
  <c r="G3533" i="1" s="1"/>
  <c r="B3534" i="1"/>
  <c r="G3534" i="1" s="1"/>
  <c r="B3535" i="1"/>
  <c r="G3535" i="1" s="1"/>
  <c r="B3536" i="1"/>
  <c r="G3536" i="1" s="1"/>
  <c r="B3537" i="1"/>
  <c r="G3537" i="1" s="1"/>
  <c r="B3538" i="1"/>
  <c r="G3538" i="1" s="1"/>
  <c r="B3539" i="1"/>
  <c r="G3539" i="1" s="1"/>
  <c r="B3540" i="1"/>
  <c r="G3540" i="1" s="1"/>
  <c r="B3541" i="1"/>
  <c r="G3541" i="1" s="1"/>
  <c r="B3542" i="1"/>
  <c r="G3542" i="1" s="1"/>
  <c r="B3543" i="1"/>
  <c r="G3543" i="1" s="1"/>
  <c r="B3544" i="1"/>
  <c r="G3544" i="1" s="1"/>
  <c r="B3545" i="1"/>
  <c r="G3545" i="1" s="1"/>
  <c r="B3546" i="1"/>
  <c r="G3546" i="1" s="1"/>
  <c r="B3547" i="1"/>
  <c r="G3547" i="1" s="1"/>
  <c r="B3548" i="1"/>
  <c r="G3548" i="1" s="1"/>
  <c r="B3549" i="1"/>
  <c r="G3549" i="1" s="1"/>
  <c r="B3550" i="1"/>
  <c r="G3550" i="1" s="1"/>
  <c r="B3551" i="1"/>
  <c r="G3551" i="1" s="1"/>
  <c r="B3552" i="1"/>
  <c r="G3552" i="1" s="1"/>
  <c r="B3553" i="1"/>
  <c r="G3553" i="1" s="1"/>
  <c r="B3554" i="1"/>
  <c r="G3554" i="1" s="1"/>
  <c r="B3555" i="1"/>
  <c r="G3555" i="1" s="1"/>
  <c r="B3556" i="1"/>
  <c r="G3556" i="1" s="1"/>
  <c r="B3557" i="1"/>
  <c r="G3557" i="1" s="1"/>
  <c r="B3558" i="1"/>
  <c r="G3558" i="1" s="1"/>
  <c r="B3559" i="1"/>
  <c r="G3559" i="1" s="1"/>
  <c r="B3560" i="1"/>
  <c r="G3560" i="1" s="1"/>
  <c r="B3561" i="1"/>
  <c r="G3561" i="1" s="1"/>
  <c r="B3562" i="1"/>
  <c r="G3562" i="1" s="1"/>
  <c r="B3563" i="1"/>
  <c r="G3563" i="1" s="1"/>
  <c r="B3564" i="1"/>
  <c r="G3564" i="1" s="1"/>
  <c r="B3565" i="1"/>
  <c r="G3565" i="1" s="1"/>
  <c r="B3566" i="1"/>
  <c r="G3566" i="1" s="1"/>
  <c r="B3567" i="1"/>
  <c r="G3567" i="1" s="1"/>
  <c r="B3568" i="1"/>
  <c r="G3568" i="1" s="1"/>
  <c r="B3569" i="1"/>
  <c r="G3569" i="1" s="1"/>
  <c r="B3570" i="1"/>
  <c r="G3570" i="1" s="1"/>
  <c r="B3571" i="1"/>
  <c r="G3571" i="1" s="1"/>
  <c r="B3572" i="1"/>
  <c r="G3572" i="1" s="1"/>
  <c r="B3573" i="1"/>
  <c r="G3573" i="1" s="1"/>
  <c r="B3574" i="1"/>
  <c r="G3574" i="1" s="1"/>
  <c r="B3575" i="1"/>
  <c r="G3575" i="1" s="1"/>
  <c r="B3576" i="1"/>
  <c r="G3576" i="1" s="1"/>
  <c r="B3577" i="1"/>
  <c r="G3577" i="1" s="1"/>
  <c r="B3578" i="1"/>
  <c r="G3578" i="1" s="1"/>
  <c r="B3579" i="1"/>
  <c r="G3579" i="1" s="1"/>
  <c r="B3580" i="1"/>
  <c r="G3580" i="1" s="1"/>
  <c r="B3581" i="1"/>
  <c r="G3581" i="1" s="1"/>
  <c r="B3582" i="1"/>
  <c r="G3582" i="1" s="1"/>
  <c r="B3583" i="1"/>
  <c r="G3583" i="1" s="1"/>
  <c r="B3584" i="1"/>
  <c r="G3584" i="1" s="1"/>
  <c r="B3585" i="1"/>
  <c r="G3585" i="1" s="1"/>
  <c r="B3586" i="1"/>
  <c r="G3586" i="1" s="1"/>
  <c r="B3587" i="1"/>
  <c r="G3587" i="1" s="1"/>
  <c r="B3588" i="1"/>
  <c r="G3588" i="1" s="1"/>
  <c r="B3589" i="1"/>
  <c r="G3589" i="1" s="1"/>
  <c r="B3590" i="1"/>
  <c r="G3590" i="1" s="1"/>
  <c r="B3591" i="1"/>
  <c r="G3591" i="1" s="1"/>
  <c r="B3592" i="1"/>
  <c r="G3592" i="1" s="1"/>
  <c r="B3593" i="1"/>
  <c r="G3593" i="1" s="1"/>
  <c r="B3594" i="1"/>
  <c r="G3594" i="1" s="1"/>
  <c r="B3595" i="1"/>
  <c r="G3595" i="1" s="1"/>
  <c r="B3596" i="1"/>
  <c r="G3596" i="1" s="1"/>
  <c r="B3597" i="1"/>
  <c r="G3597" i="1" s="1"/>
  <c r="B3598" i="1"/>
  <c r="G3598" i="1" s="1"/>
  <c r="B3599" i="1"/>
  <c r="G3599" i="1" s="1"/>
  <c r="B3600" i="1"/>
  <c r="G3600" i="1" s="1"/>
  <c r="B3601" i="1"/>
  <c r="G3601" i="1" s="1"/>
  <c r="B3602" i="1"/>
  <c r="G3602" i="1" s="1"/>
  <c r="B3603" i="1"/>
  <c r="G3603" i="1" s="1"/>
  <c r="B3604" i="1"/>
  <c r="G3604" i="1" s="1"/>
  <c r="B3605" i="1"/>
  <c r="G3605" i="1" s="1"/>
  <c r="B3606" i="1"/>
  <c r="G3606" i="1" s="1"/>
  <c r="B3607" i="1"/>
  <c r="G3607" i="1" s="1"/>
  <c r="B3608" i="1"/>
  <c r="G3608" i="1" s="1"/>
  <c r="B3609" i="1"/>
  <c r="G3609" i="1" s="1"/>
  <c r="B3610" i="1"/>
  <c r="G3610" i="1" s="1"/>
  <c r="B3611" i="1"/>
  <c r="G3611" i="1" s="1"/>
  <c r="B3612" i="1"/>
  <c r="G3612" i="1" s="1"/>
  <c r="B3613" i="1"/>
  <c r="G3613" i="1" s="1"/>
  <c r="B3614" i="1"/>
  <c r="G3614" i="1" s="1"/>
  <c r="B3615" i="1"/>
  <c r="G3615" i="1" s="1"/>
  <c r="B3616" i="1"/>
  <c r="G3616" i="1" s="1"/>
  <c r="B3617" i="1"/>
  <c r="G3617" i="1" s="1"/>
  <c r="B3618" i="1"/>
  <c r="G3618" i="1" s="1"/>
  <c r="B3619" i="1"/>
  <c r="G3619" i="1" s="1"/>
  <c r="B3620" i="1"/>
  <c r="G3620" i="1" s="1"/>
  <c r="B3621" i="1"/>
  <c r="G3621" i="1" s="1"/>
  <c r="B3622" i="1"/>
  <c r="G3622" i="1" s="1"/>
  <c r="B3623" i="1"/>
  <c r="G3623" i="1" s="1"/>
  <c r="B3624" i="1"/>
  <c r="G3624" i="1" s="1"/>
  <c r="B3625" i="1"/>
  <c r="G3625" i="1" s="1"/>
  <c r="B3626" i="1"/>
  <c r="G3626" i="1" s="1"/>
  <c r="B3627" i="1"/>
  <c r="G3627" i="1" s="1"/>
  <c r="B3628" i="1"/>
  <c r="G3628" i="1" s="1"/>
  <c r="B3629" i="1"/>
  <c r="G3629" i="1" s="1"/>
  <c r="B3630" i="1"/>
  <c r="G3630" i="1" s="1"/>
  <c r="B3631" i="1"/>
  <c r="G3631" i="1" s="1"/>
  <c r="B3632" i="1"/>
  <c r="G3632" i="1" s="1"/>
  <c r="B3633" i="1"/>
  <c r="G3633" i="1" s="1"/>
  <c r="B3634" i="1"/>
  <c r="G3634" i="1" s="1"/>
  <c r="B3635" i="1"/>
  <c r="G3635" i="1" s="1"/>
  <c r="B3636" i="1"/>
  <c r="G3636" i="1" s="1"/>
  <c r="B3637" i="1"/>
  <c r="G3637" i="1" s="1"/>
  <c r="B3638" i="1"/>
  <c r="G3638" i="1" s="1"/>
  <c r="B3639" i="1"/>
  <c r="G3639" i="1" s="1"/>
  <c r="B3640" i="1"/>
  <c r="G3640" i="1" s="1"/>
  <c r="B3641" i="1"/>
  <c r="G3641" i="1" s="1"/>
  <c r="B3642" i="1"/>
  <c r="G3642" i="1" s="1"/>
  <c r="B3643" i="1"/>
  <c r="G3643" i="1" s="1"/>
  <c r="B3644" i="1"/>
  <c r="G3644" i="1" s="1"/>
  <c r="B3645" i="1"/>
  <c r="G3645" i="1" s="1"/>
  <c r="B3646" i="1"/>
  <c r="G3646" i="1" s="1"/>
  <c r="B3647" i="1"/>
  <c r="G3647" i="1" s="1"/>
  <c r="B3648" i="1"/>
  <c r="G3648" i="1" s="1"/>
  <c r="B3649" i="1"/>
  <c r="G3649" i="1" s="1"/>
  <c r="B3650" i="1"/>
  <c r="G3650" i="1" s="1"/>
  <c r="B3651" i="1"/>
  <c r="G3651" i="1" s="1"/>
  <c r="B3652" i="1"/>
  <c r="G3652" i="1" s="1"/>
  <c r="B3653" i="1"/>
  <c r="G3653" i="1" s="1"/>
  <c r="B3654" i="1"/>
  <c r="G3654" i="1" s="1"/>
  <c r="B3655" i="1"/>
  <c r="G3655" i="1" s="1"/>
  <c r="B3656" i="1"/>
  <c r="G3656" i="1" s="1"/>
  <c r="B3657" i="1"/>
  <c r="G3657" i="1" s="1"/>
  <c r="B3658" i="1"/>
  <c r="G3658" i="1" s="1"/>
  <c r="B3659" i="1"/>
  <c r="G3659" i="1" s="1"/>
  <c r="B3660" i="1"/>
  <c r="G3660" i="1" s="1"/>
  <c r="B3661" i="1"/>
  <c r="G3661" i="1" s="1"/>
  <c r="B3662" i="1"/>
  <c r="G3662" i="1" s="1"/>
  <c r="B3663" i="1"/>
  <c r="G3663" i="1" s="1"/>
  <c r="B3664" i="1"/>
  <c r="G3664" i="1" s="1"/>
  <c r="B3665" i="1"/>
  <c r="G3665" i="1" s="1"/>
  <c r="B3666" i="1"/>
  <c r="G3666" i="1" s="1"/>
  <c r="B3667" i="1"/>
  <c r="G3667" i="1" s="1"/>
  <c r="B3668" i="1"/>
  <c r="G3668" i="1" s="1"/>
  <c r="B3669" i="1"/>
  <c r="G3669" i="1" s="1"/>
  <c r="B3670" i="1"/>
  <c r="G3670" i="1" s="1"/>
  <c r="B3671" i="1"/>
  <c r="G3671" i="1" s="1"/>
  <c r="B3672" i="1"/>
  <c r="G3672" i="1" s="1"/>
  <c r="B3673" i="1"/>
  <c r="G3673" i="1" s="1"/>
  <c r="B3674" i="1"/>
  <c r="G3674" i="1" s="1"/>
  <c r="B3675" i="1"/>
  <c r="G3675" i="1" s="1"/>
  <c r="B3676" i="1"/>
  <c r="G3676" i="1" s="1"/>
  <c r="B3677" i="1"/>
  <c r="G3677" i="1" s="1"/>
  <c r="B3678" i="1"/>
  <c r="G3678" i="1" s="1"/>
  <c r="B3679" i="1"/>
  <c r="G3679" i="1" s="1"/>
  <c r="B3680" i="1"/>
  <c r="G3680" i="1" s="1"/>
  <c r="B3681" i="1"/>
  <c r="G3681" i="1" s="1"/>
  <c r="B3682" i="1"/>
  <c r="G3682" i="1" s="1"/>
  <c r="B3683" i="1"/>
  <c r="G3683" i="1" s="1"/>
  <c r="B3684" i="1"/>
  <c r="G3684" i="1" s="1"/>
  <c r="B3685" i="1"/>
  <c r="G3685" i="1" s="1"/>
  <c r="B3686" i="1"/>
  <c r="G3686" i="1" s="1"/>
  <c r="B3687" i="1"/>
  <c r="G3687" i="1" s="1"/>
  <c r="B3688" i="1"/>
  <c r="G3688" i="1" s="1"/>
  <c r="B3689" i="1"/>
  <c r="G3689" i="1" s="1"/>
  <c r="B3690" i="1"/>
  <c r="G3690" i="1" s="1"/>
  <c r="B3691" i="1"/>
  <c r="G3691" i="1" s="1"/>
  <c r="B3692" i="1"/>
  <c r="G3692" i="1" s="1"/>
  <c r="B3693" i="1"/>
  <c r="G3693" i="1" s="1"/>
  <c r="B3694" i="1"/>
  <c r="G3694" i="1" s="1"/>
  <c r="B3695" i="1"/>
  <c r="G3695" i="1" s="1"/>
  <c r="B3696" i="1"/>
  <c r="G3696" i="1" s="1"/>
  <c r="B3697" i="1"/>
  <c r="G3697" i="1" s="1"/>
  <c r="B3698" i="1"/>
  <c r="G3698" i="1" s="1"/>
  <c r="B3699" i="1"/>
  <c r="G3699" i="1" s="1"/>
  <c r="B3700" i="1"/>
  <c r="G3700" i="1" s="1"/>
  <c r="B3701" i="1"/>
  <c r="G3701" i="1" s="1"/>
  <c r="B3702" i="1"/>
  <c r="G3702" i="1" s="1"/>
  <c r="B3703" i="1"/>
  <c r="G3703" i="1" s="1"/>
  <c r="B3704" i="1"/>
  <c r="G3704" i="1" s="1"/>
  <c r="B3705" i="1"/>
  <c r="G3705" i="1" s="1"/>
  <c r="B3706" i="1"/>
  <c r="G3706" i="1" s="1"/>
  <c r="B3707" i="1"/>
  <c r="G3707" i="1" s="1"/>
  <c r="B3708" i="1"/>
  <c r="G3708" i="1" s="1"/>
  <c r="B3709" i="1"/>
  <c r="G3709" i="1" s="1"/>
  <c r="B3710" i="1"/>
  <c r="G3710" i="1" s="1"/>
  <c r="B3711" i="1"/>
  <c r="G3711" i="1" s="1"/>
  <c r="B3712" i="1"/>
  <c r="G3712" i="1" s="1"/>
  <c r="B3713" i="1"/>
  <c r="G3713" i="1" s="1"/>
  <c r="B3714" i="1"/>
  <c r="G3714" i="1" s="1"/>
  <c r="B3715" i="1"/>
  <c r="G3715" i="1" s="1"/>
  <c r="B3716" i="1"/>
  <c r="G3716" i="1" s="1"/>
  <c r="B3717" i="1"/>
  <c r="G3717" i="1" s="1"/>
  <c r="B3718" i="1"/>
  <c r="G3718" i="1" s="1"/>
  <c r="B3719" i="1"/>
  <c r="G3719" i="1" s="1"/>
  <c r="B3720" i="1"/>
  <c r="G3720" i="1" s="1"/>
  <c r="B3721" i="1"/>
  <c r="G3721" i="1" s="1"/>
  <c r="B3722" i="1"/>
  <c r="G3722" i="1" s="1"/>
  <c r="B3723" i="1"/>
  <c r="G3723" i="1" s="1"/>
  <c r="B3724" i="1"/>
  <c r="G3724" i="1" s="1"/>
  <c r="B3725" i="1"/>
  <c r="G3725" i="1" s="1"/>
  <c r="B3726" i="1"/>
  <c r="G3726" i="1" s="1"/>
  <c r="B3727" i="1"/>
  <c r="G3727" i="1" s="1"/>
  <c r="B3728" i="1"/>
  <c r="G3728" i="1" s="1"/>
  <c r="B3729" i="1"/>
  <c r="G3729" i="1" s="1"/>
  <c r="B3730" i="1"/>
  <c r="G3730" i="1" s="1"/>
  <c r="B3731" i="1"/>
  <c r="G3731" i="1" s="1"/>
  <c r="B3732" i="1"/>
  <c r="G3732" i="1" s="1"/>
  <c r="B3733" i="1"/>
  <c r="G3733" i="1" s="1"/>
  <c r="B3734" i="1"/>
  <c r="G3734" i="1" s="1"/>
  <c r="B3735" i="1"/>
  <c r="G3735" i="1" s="1"/>
  <c r="B3736" i="1"/>
  <c r="G3736" i="1" s="1"/>
  <c r="B3737" i="1"/>
  <c r="G3737" i="1" s="1"/>
  <c r="B3738" i="1"/>
  <c r="G3738" i="1" s="1"/>
  <c r="B3739" i="1"/>
  <c r="G3739" i="1" s="1"/>
  <c r="B3740" i="1"/>
  <c r="G3740" i="1" s="1"/>
  <c r="B3741" i="1"/>
  <c r="G3741" i="1" s="1"/>
  <c r="B3742" i="1"/>
  <c r="G3742" i="1" s="1"/>
  <c r="B3743" i="1"/>
  <c r="G3743" i="1" s="1"/>
  <c r="B3744" i="1"/>
  <c r="G3744" i="1" s="1"/>
  <c r="B3745" i="1"/>
  <c r="G3745" i="1" s="1"/>
  <c r="B3746" i="1"/>
  <c r="G3746" i="1" s="1"/>
  <c r="B3747" i="1"/>
  <c r="G3747" i="1" s="1"/>
  <c r="B3748" i="1"/>
  <c r="G3748" i="1" s="1"/>
  <c r="B3749" i="1"/>
  <c r="G3749" i="1" s="1"/>
  <c r="B3750" i="1"/>
  <c r="G3750" i="1" s="1"/>
  <c r="B3751" i="1"/>
  <c r="G3751" i="1" s="1"/>
  <c r="B3752" i="1"/>
  <c r="G3752" i="1" s="1"/>
  <c r="B3753" i="1"/>
  <c r="G3753" i="1" s="1"/>
  <c r="B3754" i="1"/>
  <c r="G3754" i="1" s="1"/>
  <c r="B3755" i="1"/>
  <c r="G3755" i="1" s="1"/>
  <c r="B3756" i="1"/>
  <c r="G3756" i="1" s="1"/>
  <c r="B3757" i="1"/>
  <c r="G3757" i="1" s="1"/>
  <c r="B3758" i="1"/>
  <c r="G3758" i="1" s="1"/>
  <c r="B3759" i="1"/>
  <c r="G3759" i="1" s="1"/>
  <c r="B3760" i="1"/>
  <c r="G3760" i="1" s="1"/>
  <c r="B3761" i="1"/>
  <c r="G3761" i="1" s="1"/>
  <c r="B3762" i="1"/>
  <c r="G3762" i="1" s="1"/>
  <c r="B3763" i="1"/>
  <c r="G3763" i="1" s="1"/>
  <c r="B3764" i="1"/>
  <c r="G3764" i="1" s="1"/>
  <c r="B3765" i="1"/>
  <c r="G3765" i="1" s="1"/>
  <c r="B3766" i="1"/>
  <c r="G3766" i="1" s="1"/>
  <c r="B3767" i="1"/>
  <c r="G3767" i="1" s="1"/>
  <c r="B3768" i="1"/>
  <c r="G3768" i="1" s="1"/>
  <c r="B3769" i="1"/>
  <c r="G3769" i="1" s="1"/>
  <c r="B3770" i="1"/>
  <c r="G3770" i="1" s="1"/>
  <c r="B3771" i="1"/>
  <c r="G3771" i="1" s="1"/>
  <c r="B3772" i="1"/>
  <c r="G3772" i="1" s="1"/>
  <c r="B3773" i="1"/>
  <c r="G3773" i="1" s="1"/>
  <c r="B3774" i="1"/>
  <c r="G3774" i="1" s="1"/>
  <c r="B3775" i="1"/>
  <c r="G3775" i="1" s="1"/>
  <c r="B3776" i="1"/>
  <c r="G3776" i="1" s="1"/>
  <c r="B3777" i="1"/>
  <c r="G3777" i="1" s="1"/>
  <c r="B3778" i="1"/>
  <c r="G3778" i="1" s="1"/>
  <c r="B3779" i="1"/>
  <c r="G3779" i="1" s="1"/>
  <c r="B3780" i="1"/>
  <c r="G3780" i="1" s="1"/>
  <c r="B3781" i="1"/>
  <c r="G3781" i="1" s="1"/>
  <c r="B3782" i="1"/>
  <c r="G3782" i="1" s="1"/>
  <c r="B3783" i="1"/>
  <c r="G3783" i="1" s="1"/>
  <c r="B3784" i="1"/>
  <c r="G3784" i="1" s="1"/>
  <c r="B3785" i="1"/>
  <c r="G3785" i="1" s="1"/>
  <c r="B3786" i="1"/>
  <c r="G3786" i="1" s="1"/>
  <c r="B3787" i="1"/>
  <c r="G3787" i="1" s="1"/>
  <c r="B3788" i="1"/>
  <c r="G3788" i="1" s="1"/>
  <c r="B3789" i="1"/>
  <c r="G3789" i="1" s="1"/>
  <c r="B3790" i="1"/>
  <c r="G3790" i="1" s="1"/>
  <c r="B3791" i="1"/>
  <c r="G3791" i="1" s="1"/>
  <c r="B3792" i="1"/>
  <c r="G3792" i="1" s="1"/>
  <c r="B3793" i="1"/>
  <c r="G3793" i="1" s="1"/>
  <c r="B3794" i="1"/>
  <c r="G3794" i="1" s="1"/>
  <c r="B3795" i="1"/>
  <c r="G3795" i="1" s="1"/>
  <c r="B3796" i="1"/>
  <c r="G3796" i="1" s="1"/>
  <c r="B3797" i="1"/>
  <c r="G3797" i="1" s="1"/>
  <c r="B3798" i="1"/>
  <c r="G3798" i="1" s="1"/>
  <c r="B3799" i="1"/>
  <c r="G3799" i="1" s="1"/>
  <c r="B3800" i="1"/>
  <c r="G3800" i="1" s="1"/>
  <c r="B3801" i="1"/>
  <c r="G3801" i="1" s="1"/>
  <c r="B3802" i="1"/>
  <c r="G3802" i="1" s="1"/>
  <c r="B3803" i="1"/>
  <c r="G3803" i="1" s="1"/>
  <c r="B3804" i="1"/>
  <c r="G3804" i="1" s="1"/>
  <c r="B3805" i="1"/>
  <c r="G3805" i="1" s="1"/>
  <c r="B3806" i="1"/>
  <c r="G3806" i="1" s="1"/>
  <c r="B3807" i="1"/>
  <c r="G3807" i="1" s="1"/>
  <c r="B3808" i="1"/>
  <c r="G3808" i="1" s="1"/>
  <c r="B3809" i="1"/>
  <c r="G3809" i="1" s="1"/>
  <c r="B3810" i="1"/>
  <c r="G3810" i="1" s="1"/>
  <c r="B3811" i="1"/>
  <c r="G3811" i="1" s="1"/>
  <c r="B3812" i="1"/>
  <c r="G3812" i="1" s="1"/>
  <c r="B3813" i="1"/>
  <c r="G3813" i="1" s="1"/>
  <c r="B3814" i="1"/>
  <c r="G3814" i="1" s="1"/>
  <c r="B3815" i="1"/>
  <c r="G3815" i="1" s="1"/>
  <c r="B3816" i="1"/>
  <c r="G3816" i="1" s="1"/>
  <c r="B3817" i="1"/>
  <c r="G3817" i="1" s="1"/>
  <c r="B3818" i="1"/>
  <c r="G3818" i="1" s="1"/>
  <c r="B3819" i="1"/>
  <c r="G3819" i="1" s="1"/>
  <c r="B3820" i="1"/>
  <c r="G3820" i="1" s="1"/>
  <c r="B3821" i="1"/>
  <c r="G3821" i="1" s="1"/>
  <c r="B3822" i="1"/>
  <c r="G3822" i="1" s="1"/>
  <c r="B3823" i="1"/>
  <c r="G3823" i="1" s="1"/>
  <c r="B3824" i="1"/>
  <c r="G3824" i="1" s="1"/>
  <c r="B3825" i="1"/>
  <c r="G3825" i="1" s="1"/>
  <c r="B3826" i="1"/>
  <c r="G3826" i="1" s="1"/>
  <c r="B3827" i="1"/>
  <c r="G3827" i="1" s="1"/>
  <c r="B3828" i="1"/>
  <c r="G3828" i="1" s="1"/>
  <c r="B3829" i="1"/>
  <c r="G3829" i="1" s="1"/>
  <c r="B3830" i="1"/>
  <c r="G3830" i="1" s="1"/>
  <c r="B3831" i="1"/>
  <c r="G3831" i="1" s="1"/>
  <c r="B3832" i="1"/>
  <c r="G3832" i="1" s="1"/>
  <c r="B3833" i="1"/>
  <c r="G3833" i="1" s="1"/>
  <c r="B3834" i="1"/>
  <c r="G3834" i="1" s="1"/>
  <c r="B3835" i="1"/>
  <c r="G3835" i="1" s="1"/>
  <c r="B3836" i="1"/>
  <c r="G3836" i="1" s="1"/>
  <c r="C4" i="2"/>
  <c r="C22" i="2"/>
  <c r="C10" i="2"/>
  <c r="C16" i="2"/>
</calcChain>
</file>

<file path=xl/sharedStrings.xml><?xml version="1.0" encoding="utf-8"?>
<sst xmlns="http://schemas.openxmlformats.org/spreadsheetml/2006/main" count="23103" uniqueCount="1088">
  <si>
    <t>Transaction ID</t>
  </si>
  <si>
    <t>Day</t>
  </si>
  <si>
    <t>Month</t>
  </si>
  <si>
    <t>Year</t>
  </si>
  <si>
    <t>Brand</t>
  </si>
  <si>
    <t>Units Sold</t>
  </si>
  <si>
    <t>Price Per Unit</t>
  </si>
  <si>
    <t>Customer Name</t>
  </si>
  <si>
    <t>Customer Age</t>
  </si>
  <si>
    <t>City</t>
  </si>
  <si>
    <t>Payment Method</t>
  </si>
  <si>
    <t>Customer Ratings</t>
  </si>
  <si>
    <t>Mobile Model</t>
  </si>
  <si>
    <t>Xiaomi</t>
  </si>
  <si>
    <t>Lalita Ahuja</t>
  </si>
  <si>
    <t>Ludhiana</t>
  </si>
  <si>
    <t>UPI</t>
  </si>
  <si>
    <t>Redmi Note 10</t>
  </si>
  <si>
    <t>Vivo</t>
  </si>
  <si>
    <t>Sneha Sharma</t>
  </si>
  <si>
    <t>Delhi</t>
  </si>
  <si>
    <t>Credit Card</t>
  </si>
  <si>
    <t>Vivo Y51</t>
  </si>
  <si>
    <t>Radha Srivastava</t>
  </si>
  <si>
    <t>Mumbai</t>
  </si>
  <si>
    <t>Vivo S1</t>
  </si>
  <si>
    <t>Bhavana Arora</t>
  </si>
  <si>
    <t>Mi 11</t>
  </si>
  <si>
    <t>OnePlus</t>
  </si>
  <si>
    <t>Sneha Mehta</t>
  </si>
  <si>
    <t>Gorakhpur</t>
  </si>
  <si>
    <t>Cash</t>
  </si>
  <si>
    <t>OnePlus 9</t>
  </si>
  <si>
    <t>Samsung</t>
  </si>
  <si>
    <t>Reena Mehta</t>
  </si>
  <si>
    <t>Jodhpur</t>
  </si>
  <si>
    <t>Galaxy Note 20</t>
  </si>
  <si>
    <t>Pankaj Alva</t>
  </si>
  <si>
    <t>OnePlus Nord</t>
  </si>
  <si>
    <t>Apple</t>
  </si>
  <si>
    <t>Mala Rawat</t>
  </si>
  <si>
    <t>Vadodara</t>
  </si>
  <si>
    <t>iPhone 12</t>
  </si>
  <si>
    <t>Pankaj Varma</t>
  </si>
  <si>
    <t>Yogesh Sharma</t>
  </si>
  <si>
    <t>Debit Card</t>
  </si>
  <si>
    <t>Galaxy A51</t>
  </si>
  <si>
    <t>Radha Sharma</t>
  </si>
  <si>
    <t>Madurai</t>
  </si>
  <si>
    <t>Namita Roy</t>
  </si>
  <si>
    <t>Ramesh Joshi</t>
  </si>
  <si>
    <t>Arun Iyer</t>
  </si>
  <si>
    <t>Hyderabad</t>
  </si>
  <si>
    <t>Manoj Siddiqui</t>
  </si>
  <si>
    <t>Chennai</t>
  </si>
  <si>
    <t>Vivo V20</t>
  </si>
  <si>
    <t>Anjali Gupta</t>
  </si>
  <si>
    <t>Ramesh Rao</t>
  </si>
  <si>
    <t>Coimbatore</t>
  </si>
  <si>
    <t>Anand Pillai</t>
  </si>
  <si>
    <t>Kiran Rawat</t>
  </si>
  <si>
    <t>Harish Kaur</t>
  </si>
  <si>
    <t>Manoj Luthra</t>
  </si>
  <si>
    <t>Jyoti Roy</t>
  </si>
  <si>
    <t>Rajesh Sheth</t>
  </si>
  <si>
    <t>Kolkata</t>
  </si>
  <si>
    <t>Mala Ghosh</t>
  </si>
  <si>
    <t>Reena Teja</t>
  </si>
  <si>
    <t>Bhavana Dutta</t>
  </si>
  <si>
    <t>Yogesh Ahuja</t>
  </si>
  <si>
    <t>Isha Desai</t>
  </si>
  <si>
    <t>Tapan Shah</t>
  </si>
  <si>
    <t>Redmi 9</t>
  </si>
  <si>
    <t>Vinod Pathak</t>
  </si>
  <si>
    <t>Bhavana Siddiqui</t>
  </si>
  <si>
    <t>Meena Mathur</t>
  </si>
  <si>
    <t>iPhone SE</t>
  </si>
  <si>
    <t>Sumit Pillai</t>
  </si>
  <si>
    <t>Rajkot</t>
  </si>
  <si>
    <t>Vinod Dutta</t>
  </si>
  <si>
    <t>Shruti Bhatnagar</t>
  </si>
  <si>
    <t>Kanpur</t>
  </si>
  <si>
    <t>Pankaj Shah</t>
  </si>
  <si>
    <t>Galaxy S21</t>
  </si>
  <si>
    <t>Deepika Verma</t>
  </si>
  <si>
    <t>Sanjay Joshi</t>
  </si>
  <si>
    <t>Umesh Goyal</t>
  </si>
  <si>
    <t>OnePlus 8T</t>
  </si>
  <si>
    <t>Rajesh Verma</t>
  </si>
  <si>
    <t>Pooja Rao</t>
  </si>
  <si>
    <t>iPhone 11</t>
  </si>
  <si>
    <t>Jyoti Mishra</t>
  </si>
  <si>
    <t>Sachin Desai</t>
  </si>
  <si>
    <t>Manoj Jain</t>
  </si>
  <si>
    <t>Deepika Shah</t>
  </si>
  <si>
    <t>Priyanka Pillai</t>
  </si>
  <si>
    <t>Pooja Arora</t>
  </si>
  <si>
    <t>Tanuja Prasad</t>
  </si>
  <si>
    <t>Bhopal</t>
  </si>
  <si>
    <t>Monika Thakur</t>
  </si>
  <si>
    <t>Anand Nair</t>
  </si>
  <si>
    <t>Vinod Kaur</t>
  </si>
  <si>
    <t>Ranchi</t>
  </si>
  <si>
    <t>Yogesh Roy</t>
  </si>
  <si>
    <t>Krishna Mehta</t>
  </si>
  <si>
    <t>Lucknow</t>
  </si>
  <si>
    <t>Mala Malhotra</t>
  </si>
  <si>
    <t>Sunita Thakur</t>
  </si>
  <si>
    <t>Kavita Sheth</t>
  </si>
  <si>
    <t>Anjali Roy</t>
  </si>
  <si>
    <t>Shruti Dutta</t>
  </si>
  <si>
    <t>Devendra Jain</t>
  </si>
  <si>
    <t>Jyoti Bhattacharya</t>
  </si>
  <si>
    <t>Kavita Srivastava</t>
  </si>
  <si>
    <t>Radha Mathur</t>
  </si>
  <si>
    <t>Lata Shah</t>
  </si>
  <si>
    <t>Sumit Ghosh</t>
  </si>
  <si>
    <t>Tanuja Dutta</t>
  </si>
  <si>
    <t>Ramesh Kumar</t>
  </si>
  <si>
    <t>Sunil Luthra</t>
  </si>
  <si>
    <t>Indore</t>
  </si>
  <si>
    <t>Kavita Solanki</t>
  </si>
  <si>
    <t>Meena Thakur</t>
  </si>
  <si>
    <t>Pooja Reddy</t>
  </si>
  <si>
    <t>Ayesha Ghosh</t>
  </si>
  <si>
    <t>Patna</t>
  </si>
  <si>
    <t>Nikhil Bhattacharya</t>
  </si>
  <si>
    <t>Sunil Das</t>
  </si>
  <si>
    <t>Shruti Iyer</t>
  </si>
  <si>
    <t>Sunita Arora</t>
  </si>
  <si>
    <t>Deepika Deshmukh</t>
  </si>
  <si>
    <t>Kiran Malhotra</t>
  </si>
  <si>
    <t>Bina Mishra</t>
  </si>
  <si>
    <t>Monika Srivastava</t>
  </si>
  <si>
    <t>Prashant Dutta</t>
  </si>
  <si>
    <t>Sunil Kapoor</t>
  </si>
  <si>
    <t>Sneha Mishra</t>
  </si>
  <si>
    <t>Bangalore</t>
  </si>
  <si>
    <t>Sanjay Bhattacharya</t>
  </si>
  <si>
    <t>Sneha Rao</t>
  </si>
  <si>
    <t>Namita Bhatnagar</t>
  </si>
  <si>
    <t>Pooja Roy</t>
  </si>
  <si>
    <t>Neeta Sharma</t>
  </si>
  <si>
    <t>Sumit Sheth</t>
  </si>
  <si>
    <t>Bina Deshmukh</t>
  </si>
  <si>
    <t>Ravi Arora</t>
  </si>
  <si>
    <t>Anjali Pathak</t>
  </si>
  <si>
    <t>Rajesh Menon</t>
  </si>
  <si>
    <t>Reena Chatterjee</t>
  </si>
  <si>
    <t>Nikhil Pathak</t>
  </si>
  <si>
    <t>Krishna Bhattacharya</t>
  </si>
  <si>
    <t>Ayesha Thakur</t>
  </si>
  <si>
    <t>Bina Nair</t>
  </si>
  <si>
    <t>Krishna Malhotra</t>
  </si>
  <si>
    <t>Mala Das</t>
  </si>
  <si>
    <t>Anita Bhattacharya</t>
  </si>
  <si>
    <t>Nikhil Solanki</t>
  </si>
  <si>
    <t>Kiran Goyal</t>
  </si>
  <si>
    <t>Kiran Prasad</t>
  </si>
  <si>
    <t>Sunil Jain</t>
  </si>
  <si>
    <t>Manoj Rathod</t>
  </si>
  <si>
    <t>Tapan Gupta</t>
  </si>
  <si>
    <t>Vinod Goyal</t>
  </si>
  <si>
    <t>Krishna Rathod</t>
  </si>
  <si>
    <t>Jyoti Alva</t>
  </si>
  <si>
    <t>Pankaj Mehta</t>
  </si>
  <si>
    <t>Anjali Srivastava</t>
  </si>
  <si>
    <t>Anita Pathak</t>
  </si>
  <si>
    <t>Arun Verma</t>
  </si>
  <si>
    <t>Yogesh Luthra</t>
  </si>
  <si>
    <t>Sachin Joshi</t>
  </si>
  <si>
    <t>Sumit Arora</t>
  </si>
  <si>
    <t>Sunil Rawat</t>
  </si>
  <si>
    <t>Pankaj Desai</t>
  </si>
  <si>
    <t>Kiran Solanki</t>
  </si>
  <si>
    <t>Prashant Luthra</t>
  </si>
  <si>
    <t>Kavita Patel</t>
  </si>
  <si>
    <t>Sanjay Pathak</t>
  </si>
  <si>
    <t>Ravi Ghosh</t>
  </si>
  <si>
    <t>Vinod Joshi</t>
  </si>
  <si>
    <t>Tanuja Goyal</t>
  </si>
  <si>
    <t>Krishna Jain</t>
  </si>
  <si>
    <t>Tanuja Mathur</t>
  </si>
  <si>
    <t>Anand Kapoor</t>
  </si>
  <si>
    <t>Neeta Kulkarni</t>
  </si>
  <si>
    <t>Sachin Varma</t>
  </si>
  <si>
    <t>Sumit Verma</t>
  </si>
  <si>
    <t>Kavita Jain</t>
  </si>
  <si>
    <t>Reena Bhatnagar</t>
  </si>
  <si>
    <t>Anjali Ahuja</t>
  </si>
  <si>
    <t>Prashant Teja</t>
  </si>
  <si>
    <t>Rajesh Kaur</t>
  </si>
  <si>
    <t>Anita Prasad</t>
  </si>
  <si>
    <t>Mala Teja</t>
  </si>
  <si>
    <t>Reena Rao</t>
  </si>
  <si>
    <t>Tanuja Shah</t>
  </si>
  <si>
    <t>Radha Jain</t>
  </si>
  <si>
    <t>Monika Ahuja</t>
  </si>
  <si>
    <t>Kavita Goyal</t>
  </si>
  <si>
    <t>Priya Roy</t>
  </si>
  <si>
    <t>Pooja Dutta</t>
  </si>
  <si>
    <t>Namita Das</t>
  </si>
  <si>
    <t>Nikhil Bhatnagar</t>
  </si>
  <si>
    <t>Sanjay Sheth</t>
  </si>
  <si>
    <t>Radha Rao</t>
  </si>
  <si>
    <t>Lata Iyer</t>
  </si>
  <si>
    <t>Namita Desai</t>
  </si>
  <si>
    <t>Pooja Joshi</t>
  </si>
  <si>
    <t>Reena Deshmukh</t>
  </si>
  <si>
    <t>Pooja Thakur</t>
  </si>
  <si>
    <t>Bhavana Kapoor</t>
  </si>
  <si>
    <t>Amit Dutta</t>
  </si>
  <si>
    <t>Shruti Chaudhary</t>
  </si>
  <si>
    <t>Sumit Reddy</t>
  </si>
  <si>
    <t>Bina Goyal</t>
  </si>
  <si>
    <t>Reena Dutta</t>
  </si>
  <si>
    <t>Vivek Srivastava</t>
  </si>
  <si>
    <t>Kavita Desai</t>
  </si>
  <si>
    <t>Anjali Thakur</t>
  </si>
  <si>
    <t>Vijay Sheth</t>
  </si>
  <si>
    <t>Vivek Nair</t>
  </si>
  <si>
    <t>Sneha Jain</t>
  </si>
  <si>
    <t>Manoj Mehta</t>
  </si>
  <si>
    <t>Lalita Patel</t>
  </si>
  <si>
    <t>Nikhil Jain</t>
  </si>
  <si>
    <t>Lata Chaudhary</t>
  </si>
  <si>
    <t>Neeta Menon</t>
  </si>
  <si>
    <t>Sachin Yadav</t>
  </si>
  <si>
    <t>Sachin Goyal</t>
  </si>
  <si>
    <t>Sneha Prasad</t>
  </si>
  <si>
    <t>Sunil Varma</t>
  </si>
  <si>
    <t>Krishna Roy</t>
  </si>
  <si>
    <t>Vinod Kumar</t>
  </si>
  <si>
    <t>Sanjay Das</t>
  </si>
  <si>
    <t>Anand Bhattacharya</t>
  </si>
  <si>
    <t>Tanuja Ahuja</t>
  </si>
  <si>
    <t>Navin Verma</t>
  </si>
  <si>
    <t>Bhavana Varma</t>
  </si>
  <si>
    <t>Neeta Ghosh</t>
  </si>
  <si>
    <t>Umesh Dutta</t>
  </si>
  <si>
    <t>Lalita Dutta</t>
  </si>
  <si>
    <t>Kiran Mathur</t>
  </si>
  <si>
    <t>Sumit Malhotra</t>
  </si>
  <si>
    <t>Bhavana Yadav</t>
  </si>
  <si>
    <t>Navin Sharma</t>
  </si>
  <si>
    <t>Priya Teja</t>
  </si>
  <si>
    <t>Sunita Teja</t>
  </si>
  <si>
    <t>Priya Varma</t>
  </si>
  <si>
    <t>Ravi Sharma</t>
  </si>
  <si>
    <t>Lalita Shah</t>
  </si>
  <si>
    <t>Aditya Deshmukh</t>
  </si>
  <si>
    <t>Kiran Rathod</t>
  </si>
  <si>
    <t>Krishna Menon</t>
  </si>
  <si>
    <t>Monika Deshmukh</t>
  </si>
  <si>
    <t>Bhavana Jain</t>
  </si>
  <si>
    <t>Ramesh Nambiar</t>
  </si>
  <si>
    <t>Sunil Gupta</t>
  </si>
  <si>
    <t>Nikhil Rathod</t>
  </si>
  <si>
    <t>Vijay Shah</t>
  </si>
  <si>
    <t>Vivek Yadav</t>
  </si>
  <si>
    <t>Isha Menon</t>
  </si>
  <si>
    <t>Kunal Malhotra</t>
  </si>
  <si>
    <t>Yogesh Dutta</t>
  </si>
  <si>
    <t>Isha Thakur</t>
  </si>
  <si>
    <t>Krishna Rawat</t>
  </si>
  <si>
    <t>Manoj Thakur</t>
  </si>
  <si>
    <t>Anjali Nambiar</t>
  </si>
  <si>
    <t>Jyoti Varma</t>
  </si>
  <si>
    <t>Tapan Chatterjee</t>
  </si>
  <si>
    <t>Bhavana Prasad</t>
  </si>
  <si>
    <t>Manoj Dutta</t>
  </si>
  <si>
    <t>Rajesh Shah</t>
  </si>
  <si>
    <t>Bina Singh</t>
  </si>
  <si>
    <t>Neeta Ahuja</t>
  </si>
  <si>
    <t>Pankaj Gupta</t>
  </si>
  <si>
    <t>Yogesh Shah</t>
  </si>
  <si>
    <t>Vijay Varma</t>
  </si>
  <si>
    <t>Anita Srivastava</t>
  </si>
  <si>
    <t>Kavita Teja</t>
  </si>
  <si>
    <t>Manoj Iyer</t>
  </si>
  <si>
    <t>Deepika Sharma</t>
  </si>
  <si>
    <t>Rohan Gupta</t>
  </si>
  <si>
    <t>Amit Ghosh</t>
  </si>
  <si>
    <t>Kiran Ghosh</t>
  </si>
  <si>
    <t>Arun Sheth</t>
  </si>
  <si>
    <t>Aditya Menon</t>
  </si>
  <si>
    <t>Pooja Solanki</t>
  </si>
  <si>
    <t>Monika Nambiar</t>
  </si>
  <si>
    <t>Kiran Jain</t>
  </si>
  <si>
    <t>Umesh Rawat</t>
  </si>
  <si>
    <t>Tapan Singh</t>
  </si>
  <si>
    <t>Isha Ghosh</t>
  </si>
  <si>
    <t>Jyoti Iyer</t>
  </si>
  <si>
    <t>Monika Sharma</t>
  </si>
  <si>
    <t>Devendra Pathak</t>
  </si>
  <si>
    <t>Manoj Pathak</t>
  </si>
  <si>
    <t>Anita Varma</t>
  </si>
  <si>
    <t>Shruti Sharma</t>
  </si>
  <si>
    <t>Tapan Ahuja</t>
  </si>
  <si>
    <t>Sumit Alva</t>
  </si>
  <si>
    <t>Lata Rawat</t>
  </si>
  <si>
    <t>Gita Sheth</t>
  </si>
  <si>
    <t>Priya Bhattacharya</t>
  </si>
  <si>
    <t>Kavita Dutta</t>
  </si>
  <si>
    <t>Meena Joshi</t>
  </si>
  <si>
    <t>Vivek Siddiqui</t>
  </si>
  <si>
    <t>Deepika Desai</t>
  </si>
  <si>
    <t>Anita Deshmukh</t>
  </si>
  <si>
    <t>Rajesh Kapoor</t>
  </si>
  <si>
    <t>Aditya Arora</t>
  </si>
  <si>
    <t>Isha Dutta</t>
  </si>
  <si>
    <t>Bhavana Mishra</t>
  </si>
  <si>
    <t>Anita Sharma</t>
  </si>
  <si>
    <t>Radha Ghosh</t>
  </si>
  <si>
    <t>Tanuja Rao</t>
  </si>
  <si>
    <t>Namita Reddy</t>
  </si>
  <si>
    <t>Rohan Prasad</t>
  </si>
  <si>
    <t>Priyanka Jain</t>
  </si>
  <si>
    <t>Anita Rawat</t>
  </si>
  <si>
    <t>Vivek Teja</t>
  </si>
  <si>
    <t>Anand Mehta</t>
  </si>
  <si>
    <t>Sneha Reddy</t>
  </si>
  <si>
    <t>Bhavana Srivastava</t>
  </si>
  <si>
    <t>Ramesh Jain</t>
  </si>
  <si>
    <t>Anjali Patel</t>
  </si>
  <si>
    <t>Pooja Goyal</t>
  </si>
  <si>
    <t>Neeta Malhotra</t>
  </si>
  <si>
    <t>Reena Das</t>
  </si>
  <si>
    <t>Ramesh Dutta</t>
  </si>
  <si>
    <t>Harish Goyal</t>
  </si>
  <si>
    <t>Bina Rawat</t>
  </si>
  <si>
    <t>Sunil Mathur</t>
  </si>
  <si>
    <t>Navin Solanki</t>
  </si>
  <si>
    <t>Kavita Bhattacharya</t>
  </si>
  <si>
    <t>Priyanka Alva</t>
  </si>
  <si>
    <t>Rohan Rathod</t>
  </si>
  <si>
    <t>Devendra Arora</t>
  </si>
  <si>
    <t>Reena Desai</t>
  </si>
  <si>
    <t>Pankaj Singh</t>
  </si>
  <si>
    <t>Priyanka Mishra</t>
  </si>
  <si>
    <t>Bhavana Rawat</t>
  </si>
  <si>
    <t>Pooja Luthra</t>
  </si>
  <si>
    <t>Manoj Ahuja</t>
  </si>
  <si>
    <t>Priyanka Sharma</t>
  </si>
  <si>
    <t>Navin Malhotra</t>
  </si>
  <si>
    <t>Kavita Iyer</t>
  </si>
  <si>
    <t>Anand Patel</t>
  </si>
  <si>
    <t>Vijay Prasad</t>
  </si>
  <si>
    <t>Umesh Ghosh</t>
  </si>
  <si>
    <t>Manoj Rao</t>
  </si>
  <si>
    <t>Vivek Jain</t>
  </si>
  <si>
    <t>Aditya Patel</t>
  </si>
  <si>
    <t>Sumit Siddiqui</t>
  </si>
  <si>
    <t>Bhavana Desai</t>
  </si>
  <si>
    <t>Ravi Sheth</t>
  </si>
  <si>
    <t>Ravi Patel</t>
  </si>
  <si>
    <t>Tapan Mishra</t>
  </si>
  <si>
    <t>Mala Verma</t>
  </si>
  <si>
    <t>Gita Roy</t>
  </si>
  <si>
    <t>Vivek Rawat</t>
  </si>
  <si>
    <t>Anita Menon</t>
  </si>
  <si>
    <t>Tapan Deshmukh</t>
  </si>
  <si>
    <t>Shruti Thakur</t>
  </si>
  <si>
    <t>Tapan Bhattacharya</t>
  </si>
  <si>
    <t>Anand Reddy</t>
  </si>
  <si>
    <t>Tapan Rawat</t>
  </si>
  <si>
    <t>Namita Sheth</t>
  </si>
  <si>
    <t>Arun Luthra</t>
  </si>
  <si>
    <t>Mala Roy</t>
  </si>
  <si>
    <t>Devendra Varma</t>
  </si>
  <si>
    <t>Ravi Dutta</t>
  </si>
  <si>
    <t>Ramesh Das</t>
  </si>
  <si>
    <t>Bina Siddiqui</t>
  </si>
  <si>
    <t>Kunal Chaudhary</t>
  </si>
  <si>
    <t>Vinod Malhotra</t>
  </si>
  <si>
    <t>Sneha Arora</t>
  </si>
  <si>
    <t>Radha Alva</t>
  </si>
  <si>
    <t>Krishna Nambiar</t>
  </si>
  <si>
    <t>Vijay Jain</t>
  </si>
  <si>
    <t>Yogesh Alva</t>
  </si>
  <si>
    <t>Sanjay Mehta</t>
  </si>
  <si>
    <t>Neeta Yadav</t>
  </si>
  <si>
    <t>Gita Rathod</t>
  </si>
  <si>
    <t>Vinod Chatterjee</t>
  </si>
  <si>
    <t>Harish Mishra</t>
  </si>
  <si>
    <t>Sneha Patel</t>
  </si>
  <si>
    <t>Vivek Mehta</t>
  </si>
  <si>
    <t>Ravi Bhattacharya</t>
  </si>
  <si>
    <t>Anand Siddiqui</t>
  </si>
  <si>
    <t>Jyoti Kumar</t>
  </si>
  <si>
    <t>Krishna Sharma</t>
  </si>
  <si>
    <t>Aditya Roy</t>
  </si>
  <si>
    <t>Anita Arora</t>
  </si>
  <si>
    <t>Harish Teja</t>
  </si>
  <si>
    <t>Gita Teja</t>
  </si>
  <si>
    <t>Amit Srivastava</t>
  </si>
  <si>
    <t>Ayesha Menon</t>
  </si>
  <si>
    <t>Vivek Sheth</t>
  </si>
  <si>
    <t>Tapan Mathur</t>
  </si>
  <si>
    <t>Sneha Desai</t>
  </si>
  <si>
    <t>Amit Prasad</t>
  </si>
  <si>
    <t>Sumit Sharma</t>
  </si>
  <si>
    <t>Anand Joshi</t>
  </si>
  <si>
    <t>Namita Srivastava</t>
  </si>
  <si>
    <t>Vivek Alva</t>
  </si>
  <si>
    <t>Navin Mathur</t>
  </si>
  <si>
    <t>Devendra Mathur</t>
  </si>
  <si>
    <t>Isha Nair</t>
  </si>
  <si>
    <t>Pankaj Jain</t>
  </si>
  <si>
    <t>Kiran Alva</t>
  </si>
  <si>
    <t>Arun Deshmukh</t>
  </si>
  <si>
    <t>Vijay Rawat</t>
  </si>
  <si>
    <t>Arun Dutta</t>
  </si>
  <si>
    <t>Harish Solanki</t>
  </si>
  <si>
    <t>Sunita Roy</t>
  </si>
  <si>
    <t>Vinod Nambiar</t>
  </si>
  <si>
    <t>Meena Kulkarni</t>
  </si>
  <si>
    <t>Bhavana Mehta</t>
  </si>
  <si>
    <t>Prashant Rathod</t>
  </si>
  <si>
    <t>Priyanka Menon</t>
  </si>
  <si>
    <t>Anjali Sharma</t>
  </si>
  <si>
    <t>Arun Kapoor</t>
  </si>
  <si>
    <t>Arun Goyal</t>
  </si>
  <si>
    <t>Arun Pillai</t>
  </si>
  <si>
    <t>Bhavana Mathur</t>
  </si>
  <si>
    <t>Priya Singh</t>
  </si>
  <si>
    <t>Meena Patel</t>
  </si>
  <si>
    <t>Kunal Shah</t>
  </si>
  <si>
    <t>Sumit Mishra</t>
  </si>
  <si>
    <t>Kavita Gupta</t>
  </si>
  <si>
    <t>Tapan Joshi</t>
  </si>
  <si>
    <t>Nikhil Menon</t>
  </si>
  <si>
    <t>Vinod Prasad</t>
  </si>
  <si>
    <t>Jyoti Pillai</t>
  </si>
  <si>
    <t>Manoj Shah</t>
  </si>
  <si>
    <t>Reena Sharma</t>
  </si>
  <si>
    <t>Sumit Rathod</t>
  </si>
  <si>
    <t>Namita Patel</t>
  </si>
  <si>
    <t>Devendra Rao</t>
  </si>
  <si>
    <t>Ravi Malhotra</t>
  </si>
  <si>
    <t>Ramesh Gupta</t>
  </si>
  <si>
    <t>Shruti Pathak</t>
  </si>
  <si>
    <t>Ramesh Solanki</t>
  </si>
  <si>
    <t>Gita Iyer</t>
  </si>
  <si>
    <t>Sanjay Patel</t>
  </si>
  <si>
    <t>Anita Desai</t>
  </si>
  <si>
    <t>Anand Chatterjee</t>
  </si>
  <si>
    <t>Bina Solanki</t>
  </si>
  <si>
    <t>Sunita Mehta</t>
  </si>
  <si>
    <t>Pankaj Arora</t>
  </si>
  <si>
    <t>Rajesh Ghosh</t>
  </si>
  <si>
    <t>Priya Sharma</t>
  </si>
  <si>
    <t>Kavita Kaur</t>
  </si>
  <si>
    <t>Vivek Deshmukh</t>
  </si>
  <si>
    <t>Pooja Patel</t>
  </si>
  <si>
    <t>Namita Gupta</t>
  </si>
  <si>
    <t>Harish Malhotra</t>
  </si>
  <si>
    <t>Pankaj Patel</t>
  </si>
  <si>
    <t>Aditya Iyer</t>
  </si>
  <si>
    <t>Sachin Rao</t>
  </si>
  <si>
    <t>Monika Singh</t>
  </si>
  <si>
    <t>Deepika Kulkarni</t>
  </si>
  <si>
    <t>Neeta Kumar</t>
  </si>
  <si>
    <t>Vinod Kulkarni</t>
  </si>
  <si>
    <t>Vinod Nair</t>
  </si>
  <si>
    <t>Vinod Solanki</t>
  </si>
  <si>
    <t>Sachin Sheth</t>
  </si>
  <si>
    <t>Prashant Srivastava</t>
  </si>
  <si>
    <t>Neeta Nair</t>
  </si>
  <si>
    <t>Lalita Kaur</t>
  </si>
  <si>
    <t>Neeta Pillai</t>
  </si>
  <si>
    <t>Anand Mishra</t>
  </si>
  <si>
    <t>Rohan Menon</t>
  </si>
  <si>
    <t>Vivek Patel</t>
  </si>
  <si>
    <t>Rajesh Yadav</t>
  </si>
  <si>
    <t>Arun Ghosh</t>
  </si>
  <si>
    <t>Anita Patel</t>
  </si>
  <si>
    <t>Kunal Patel</t>
  </si>
  <si>
    <t>Ravi Kulkarni</t>
  </si>
  <si>
    <t>Neeta Mishra</t>
  </si>
  <si>
    <t>Nikhil Chaudhary</t>
  </si>
  <si>
    <t>Sanjay Menon</t>
  </si>
  <si>
    <t>Sunil Rao</t>
  </si>
  <si>
    <t>Deepika Das</t>
  </si>
  <si>
    <t>Kiran Singh</t>
  </si>
  <si>
    <t>Rohan Pathak</t>
  </si>
  <si>
    <t>Yogesh Patel</t>
  </si>
  <si>
    <t>Bhavana Bhatnagar</t>
  </si>
  <si>
    <t>Meena Verma</t>
  </si>
  <si>
    <t>Priyanka Chatterjee</t>
  </si>
  <si>
    <t>Vijay Malhotra</t>
  </si>
  <si>
    <t>Monika Chatterjee</t>
  </si>
  <si>
    <t>Ayesha Sheth</t>
  </si>
  <si>
    <t>Mala Siddiqui</t>
  </si>
  <si>
    <t>Nikhil Reddy</t>
  </si>
  <si>
    <t>Pankaj Kapoor</t>
  </si>
  <si>
    <t>Vivek Ghosh</t>
  </si>
  <si>
    <t>Mala Goyal</t>
  </si>
  <si>
    <t>Priya Mehta</t>
  </si>
  <si>
    <t>Rohan Singh</t>
  </si>
  <si>
    <t>Sneha Yadav</t>
  </si>
  <si>
    <t>Yogesh Reddy</t>
  </si>
  <si>
    <t>Kavita Siddiqui</t>
  </si>
  <si>
    <t>Rajesh Siddiqui</t>
  </si>
  <si>
    <t>Jyoti Mehta</t>
  </si>
  <si>
    <t>Lata Kaur</t>
  </si>
  <si>
    <t>Amit Sheth</t>
  </si>
  <si>
    <t>Kavita Bhatnagar</t>
  </si>
  <si>
    <t>Neeta Arora</t>
  </si>
  <si>
    <t>Jyoti Sheth</t>
  </si>
  <si>
    <t>Amit Rathod</t>
  </si>
  <si>
    <t>Anjali Chatterjee</t>
  </si>
  <si>
    <t>Harish Kapoor</t>
  </si>
  <si>
    <t>Rajesh Roy</t>
  </si>
  <si>
    <t>Sachin Iyer</t>
  </si>
  <si>
    <t>Rajesh Arora</t>
  </si>
  <si>
    <t>Sneha Teja</t>
  </si>
  <si>
    <t>Sachin Rawat</t>
  </si>
  <si>
    <t>Lata Nambiar</t>
  </si>
  <si>
    <t>Sachin Kaur</t>
  </si>
  <si>
    <t>Meena Prasad</t>
  </si>
  <si>
    <t>Vinod Arora</t>
  </si>
  <si>
    <t>Navin Joshi</t>
  </si>
  <si>
    <t>Neeta Deshmukh</t>
  </si>
  <si>
    <t>Mala Kulkarni</t>
  </si>
  <si>
    <t>Sanjay Jain</t>
  </si>
  <si>
    <t>Rajesh Chatterjee</t>
  </si>
  <si>
    <t>Namita Deshmukh</t>
  </si>
  <si>
    <t>Ayesha Luthra</t>
  </si>
  <si>
    <t>Gita Dutta</t>
  </si>
  <si>
    <t>Devendra Singh</t>
  </si>
  <si>
    <t>Vivek Bhatnagar</t>
  </si>
  <si>
    <t>Krishna Chatterjee</t>
  </si>
  <si>
    <t>Shruti Menon</t>
  </si>
  <si>
    <t>Rajesh Pathak</t>
  </si>
  <si>
    <t>Umesh Teja</t>
  </si>
  <si>
    <t>Ramesh Mishra</t>
  </si>
  <si>
    <t>Lalita Thakur</t>
  </si>
  <si>
    <t>Kavita Mehta</t>
  </si>
  <si>
    <t>Pooja Pillai</t>
  </si>
  <si>
    <t>Priyanka Ghosh</t>
  </si>
  <si>
    <t>Harish Mehta</t>
  </si>
  <si>
    <t>Priyanka Pathak</t>
  </si>
  <si>
    <t>Anita Shah</t>
  </si>
  <si>
    <t>Bhavana Sheth</t>
  </si>
  <si>
    <t>Sachin Arora</t>
  </si>
  <si>
    <t>Rajesh Prasad</t>
  </si>
  <si>
    <t>Vijay Das</t>
  </si>
  <si>
    <t>Sunita Verma</t>
  </si>
  <si>
    <t>Sunita Sharma</t>
  </si>
  <si>
    <t>Amit Teja</t>
  </si>
  <si>
    <t>Monika Dutta</t>
  </si>
  <si>
    <t>Namita Kapoor</t>
  </si>
  <si>
    <t>Sunita Ahuja</t>
  </si>
  <si>
    <t>Bina Teja</t>
  </si>
  <si>
    <t>Ravi Kumar</t>
  </si>
  <si>
    <t>Sunil Singh</t>
  </si>
  <si>
    <t>Meena Pillai</t>
  </si>
  <si>
    <t>Ayesha Siddiqui</t>
  </si>
  <si>
    <t>Lata Patel</t>
  </si>
  <si>
    <t>Yogesh Mishra</t>
  </si>
  <si>
    <t>Sunita Luthra</t>
  </si>
  <si>
    <t>Prashant Deshmukh</t>
  </si>
  <si>
    <t>Ravi Reddy</t>
  </si>
  <si>
    <t>Navin Pathak</t>
  </si>
  <si>
    <t>Lalita Rathod</t>
  </si>
  <si>
    <t>Isha Kaur</t>
  </si>
  <si>
    <t>Vivek Mishra</t>
  </si>
  <si>
    <t>Monika Rathod</t>
  </si>
  <si>
    <t>Anita Kulkarni</t>
  </si>
  <si>
    <t>Priyanka Goyal</t>
  </si>
  <si>
    <t>Aditya Rao</t>
  </si>
  <si>
    <t>Rohan Goyal</t>
  </si>
  <si>
    <t>Amit Chatterjee</t>
  </si>
  <si>
    <t>Bhavana Malhotra</t>
  </si>
  <si>
    <t>Tapan Luthra</t>
  </si>
  <si>
    <t>Sachin Jain</t>
  </si>
  <si>
    <t>Sumit Joshi</t>
  </si>
  <si>
    <t>Meena Malhotra</t>
  </si>
  <si>
    <t>Ravi Varma</t>
  </si>
  <si>
    <t>Tanuja Reddy</t>
  </si>
  <si>
    <t>Yogesh Malhotra</t>
  </si>
  <si>
    <t>Deepika Malhotra</t>
  </si>
  <si>
    <t>Aditya Luthra</t>
  </si>
  <si>
    <t>Navin Chaudhary</t>
  </si>
  <si>
    <t>Kunal Deshmukh</t>
  </si>
  <si>
    <t>Pankaj Srivastava</t>
  </si>
  <si>
    <t>Krishna Pillai</t>
  </si>
  <si>
    <t>Mala Mathur</t>
  </si>
  <si>
    <t>Navin Kapoor</t>
  </si>
  <si>
    <t>Manoj Kulkarni</t>
  </si>
  <si>
    <t>Kiran Siddiqui</t>
  </si>
  <si>
    <t>Jyoti Ahuja</t>
  </si>
  <si>
    <t>Umesh Kaur</t>
  </si>
  <si>
    <t>Nikhil Varma</t>
  </si>
  <si>
    <t>Namita Mehta</t>
  </si>
  <si>
    <t>Sunil Kumar</t>
  </si>
  <si>
    <t>Priya Kaur</t>
  </si>
  <si>
    <t>Sunita Nair</t>
  </si>
  <si>
    <t>Anand Kaur</t>
  </si>
  <si>
    <t>Kunal Yadav</t>
  </si>
  <si>
    <t>Rohan Sheth</t>
  </si>
  <si>
    <t>Vivek Bhattacharya</t>
  </si>
  <si>
    <t>Ravi Gupta</t>
  </si>
  <si>
    <t>Shruti Shah</t>
  </si>
  <si>
    <t>Radha Pathak</t>
  </si>
  <si>
    <t>Arun Chaudhary</t>
  </si>
  <si>
    <t>Umesh Srivastava</t>
  </si>
  <si>
    <t>Deepika Patel</t>
  </si>
  <si>
    <t>Sunil Patel</t>
  </si>
  <si>
    <t>Vivek Luthra</t>
  </si>
  <si>
    <t>Sumit Roy</t>
  </si>
  <si>
    <t>Sachin Shah</t>
  </si>
  <si>
    <t>Arun Yadav</t>
  </si>
  <si>
    <t>Meena Yadav</t>
  </si>
  <si>
    <t>Prashant Shah</t>
  </si>
  <si>
    <t>Navin Gupta</t>
  </si>
  <si>
    <t>Amit Joshi</t>
  </si>
  <si>
    <t>Prashant Chatterjee</t>
  </si>
  <si>
    <t>Jyoti Gupta</t>
  </si>
  <si>
    <t>Shruti Verma</t>
  </si>
  <si>
    <t>Amit Goyal</t>
  </si>
  <si>
    <t>Aditya Nair</t>
  </si>
  <si>
    <t>Aditya Jain</t>
  </si>
  <si>
    <t>Krishna Goyal</t>
  </si>
  <si>
    <t>Sumit Teja</t>
  </si>
  <si>
    <t>Pooja Kaur</t>
  </si>
  <si>
    <t>Namita Ghosh</t>
  </si>
  <si>
    <t>Sunita Mathur</t>
  </si>
  <si>
    <t>Radha Sheth</t>
  </si>
  <si>
    <t>Aditya Kulkarni</t>
  </si>
  <si>
    <t>Reena Arora</t>
  </si>
  <si>
    <t>Yogesh Rao</t>
  </si>
  <si>
    <t>Sunil Siddiqui</t>
  </si>
  <si>
    <t>Tanuja Bhatnagar</t>
  </si>
  <si>
    <t>Harish Prasad</t>
  </si>
  <si>
    <t>Vinod Ahuja</t>
  </si>
  <si>
    <t>Pankaj Sheth</t>
  </si>
  <si>
    <t>Anand Srivastava</t>
  </si>
  <si>
    <t>Rohan Dutta</t>
  </si>
  <si>
    <t>Yogesh Kulkarni</t>
  </si>
  <si>
    <t>Rohan Mishra</t>
  </si>
  <si>
    <t>Anita Mehta</t>
  </si>
  <si>
    <t>Umesh Menon</t>
  </si>
  <si>
    <t>Deepika Gupta</t>
  </si>
  <si>
    <t>Ayesha Kaur</t>
  </si>
  <si>
    <t>Meena Das</t>
  </si>
  <si>
    <t>Nikhil Patel</t>
  </si>
  <si>
    <t>Lalita Siddiqui</t>
  </si>
  <si>
    <t>Radha Kulkarni</t>
  </si>
  <si>
    <t>Meena Kumar</t>
  </si>
  <si>
    <t>Priyanka Nambiar</t>
  </si>
  <si>
    <t>Mala Chatterjee</t>
  </si>
  <si>
    <t>Priya Patel</t>
  </si>
  <si>
    <t>Anand Thakur</t>
  </si>
  <si>
    <t>Sneha Thakur</t>
  </si>
  <si>
    <t>Bina Joshi</t>
  </si>
  <si>
    <t>Ramesh Chatterjee</t>
  </si>
  <si>
    <t>Ravi Teja</t>
  </si>
  <si>
    <t>Vijay Siddiqui</t>
  </si>
  <si>
    <t>Pooja Deshmukh</t>
  </si>
  <si>
    <t>Arun Gupta</t>
  </si>
  <si>
    <t>Meena Roy</t>
  </si>
  <si>
    <t>Vinod Verma</t>
  </si>
  <si>
    <t>Pankaj Prasad</t>
  </si>
  <si>
    <t>Navin Patel</t>
  </si>
  <si>
    <t>Namita Teja</t>
  </si>
  <si>
    <t>Monika Mehta</t>
  </si>
  <si>
    <t>Ayesha Ahuja</t>
  </si>
  <si>
    <t>Ayesha Bhattacharya</t>
  </si>
  <si>
    <t>Harish Kumar</t>
  </si>
  <si>
    <t>Yogesh Desai</t>
  </si>
  <si>
    <t>Tanuja Solanki</t>
  </si>
  <si>
    <t>Namita Kumar</t>
  </si>
  <si>
    <t>Sumit Chatterjee</t>
  </si>
  <si>
    <t>Ravi Jain</t>
  </si>
  <si>
    <t>Namita Goyal</t>
  </si>
  <si>
    <t>Lalita Desai</t>
  </si>
  <si>
    <t>Ramesh Verma</t>
  </si>
  <si>
    <t>Sanjay Roy</t>
  </si>
  <si>
    <t>Ramesh Yadav</t>
  </si>
  <si>
    <t>Devendra Thakur</t>
  </si>
  <si>
    <t>Arun Rawat</t>
  </si>
  <si>
    <t>Harish Pillai</t>
  </si>
  <si>
    <t>Devendra Yadav</t>
  </si>
  <si>
    <t>Bhavana Rathod</t>
  </si>
  <si>
    <t>Lata Goyal</t>
  </si>
  <si>
    <t>Isha Luthra</t>
  </si>
  <si>
    <t>Lalita Sheth</t>
  </si>
  <si>
    <t>Prashant Verma</t>
  </si>
  <si>
    <t>Prashant Sharma</t>
  </si>
  <si>
    <t>Nikhil Arora</t>
  </si>
  <si>
    <t>Prashant Arora</t>
  </si>
  <si>
    <t>Kiran Pathak</t>
  </si>
  <si>
    <t>Lata Alva</t>
  </si>
  <si>
    <t>Arun Siddiqui</t>
  </si>
  <si>
    <t>Krishna Patel</t>
  </si>
  <si>
    <t>Ramesh Shah</t>
  </si>
  <si>
    <t>Priyanka Dutta</t>
  </si>
  <si>
    <t>Arun Shah</t>
  </si>
  <si>
    <t>Umesh Kulkarni</t>
  </si>
  <si>
    <t>Monika Rawat</t>
  </si>
  <si>
    <t>Krishna Iyer</t>
  </si>
  <si>
    <t>Lalita Rao</t>
  </si>
  <si>
    <t>Kavita Kumar</t>
  </si>
  <si>
    <t>Neeta Singh</t>
  </si>
  <si>
    <t>Namita Siddiqui</t>
  </si>
  <si>
    <t>Arun Prasad</t>
  </si>
  <si>
    <t>Lalita Alva</t>
  </si>
  <si>
    <t>Jyoti Rawat</t>
  </si>
  <si>
    <t>Meena Dutta</t>
  </si>
  <si>
    <t>Tapan Rathod</t>
  </si>
  <si>
    <t>Prashant Jain</t>
  </si>
  <si>
    <t>Lata Mehta</t>
  </si>
  <si>
    <t>Kavita Nair</t>
  </si>
  <si>
    <t>Sunita Sheth</t>
  </si>
  <si>
    <t>Isha Ahuja</t>
  </si>
  <si>
    <t>Ramesh Srivastava</t>
  </si>
  <si>
    <t>Priya Siddiqui</t>
  </si>
  <si>
    <t>Shruti Kulkarni</t>
  </si>
  <si>
    <t>Reena Bhattacharya</t>
  </si>
  <si>
    <t>Radha Gupta</t>
  </si>
  <si>
    <t>Monika Bhatnagar</t>
  </si>
  <si>
    <t>Tapan Varma</t>
  </si>
  <si>
    <t>Ayesha Solanki</t>
  </si>
  <si>
    <t>Vivek Menon</t>
  </si>
  <si>
    <t>Mala Pathak</t>
  </si>
  <si>
    <t>Nikhil Ahuja</t>
  </si>
  <si>
    <t>Vivek Prasad</t>
  </si>
  <si>
    <t>Amit Das</t>
  </si>
  <si>
    <t>Pooja Menon</t>
  </si>
  <si>
    <t>Yogesh Kaur</t>
  </si>
  <si>
    <t>Anjali Varma</t>
  </si>
  <si>
    <t>Meena Desai</t>
  </si>
  <si>
    <t>Nikhil Kapoor</t>
  </si>
  <si>
    <t>Ayesha Patel</t>
  </si>
  <si>
    <t>Gita Bhattacharya</t>
  </si>
  <si>
    <t>Deepika Reddy</t>
  </si>
  <si>
    <t>Devendra Srivastava</t>
  </si>
  <si>
    <t>Krishna Alva</t>
  </si>
  <si>
    <t>Amit Rao</t>
  </si>
  <si>
    <t>Kiran Bhattacharya</t>
  </si>
  <si>
    <t>Lata Dutta</t>
  </si>
  <si>
    <t>Deepika Alva</t>
  </si>
  <si>
    <t>Anita Ghosh</t>
  </si>
  <si>
    <t>Deepika Menon</t>
  </si>
  <si>
    <t>Arun Mathur</t>
  </si>
  <si>
    <t>Deepika Solanki</t>
  </si>
  <si>
    <t>Meena Menon</t>
  </si>
  <si>
    <t>Aditya Joshi</t>
  </si>
  <si>
    <t>Rohan Jain</t>
  </si>
  <si>
    <t>Lata Chatterjee</t>
  </si>
  <si>
    <t>Bhavana Ghosh</t>
  </si>
  <si>
    <t>Sunita Singh</t>
  </si>
  <si>
    <t>Prashant Gupta</t>
  </si>
  <si>
    <t>Prashant Nair</t>
  </si>
  <si>
    <t>Namita Pathak</t>
  </si>
  <si>
    <t>Rajesh Kulkarni</t>
  </si>
  <si>
    <t>Krishna Joshi</t>
  </si>
  <si>
    <t>Isha Singh</t>
  </si>
  <si>
    <t>Radha Kaur</t>
  </si>
  <si>
    <t>Rajesh Ahuja</t>
  </si>
  <si>
    <t>Kavita Rawat</t>
  </si>
  <si>
    <t>Kiran Gupta</t>
  </si>
  <si>
    <t>Lata Verma</t>
  </si>
  <si>
    <t>Rohan Thakur</t>
  </si>
  <si>
    <t>Pankaj Bhattacharya</t>
  </si>
  <si>
    <t>Lalita Nambiar</t>
  </si>
  <si>
    <t>Sunil Dutta</t>
  </si>
  <si>
    <t>Manoj Nambiar</t>
  </si>
  <si>
    <t>Deepika Iyer</t>
  </si>
  <si>
    <t>Mala Thakur</t>
  </si>
  <si>
    <t>Gita Mehta</t>
  </si>
  <si>
    <t>Pankaj Pathak</t>
  </si>
  <si>
    <t>Manoj Kaur</t>
  </si>
  <si>
    <t>Manoj Sharma</t>
  </si>
  <si>
    <t>Anjali Chaudhary</t>
  </si>
  <si>
    <t>Lata Reddy</t>
  </si>
  <si>
    <t>Vivek Mathur</t>
  </si>
  <si>
    <t>Umesh Varma</t>
  </si>
  <si>
    <t>Prashant Das</t>
  </si>
  <si>
    <t>Arun Kumar</t>
  </si>
  <si>
    <t>Pankaj Teja</t>
  </si>
  <si>
    <t>Kavita Ahuja</t>
  </si>
  <si>
    <t>Lalita Bhatnagar</t>
  </si>
  <si>
    <t>Sanjay Ghosh</t>
  </si>
  <si>
    <t>Radha Nair</t>
  </si>
  <si>
    <t>Anita Dutta</t>
  </si>
  <si>
    <t>Anita Mishra</t>
  </si>
  <si>
    <t>Priya Reddy</t>
  </si>
  <si>
    <t>Sumit Nambiar</t>
  </si>
  <si>
    <t>Harish Sharma</t>
  </si>
  <si>
    <t>Sumit Dutta</t>
  </si>
  <si>
    <t>Pooja Sharma</t>
  </si>
  <si>
    <t>Umesh Bhattacharya</t>
  </si>
  <si>
    <t>Lata Mathur</t>
  </si>
  <si>
    <t>Bina Mathur</t>
  </si>
  <si>
    <t>Sunil Chaudhary</t>
  </si>
  <si>
    <t>Isha Arora</t>
  </si>
  <si>
    <t>Bhavana Luthra</t>
  </si>
  <si>
    <t>Kiran Nair</t>
  </si>
  <si>
    <t>Pankaj Nambiar</t>
  </si>
  <si>
    <t>Sneha Malhotra</t>
  </si>
  <si>
    <t>Namita Nambiar</t>
  </si>
  <si>
    <t>Nikhil Deshmukh</t>
  </si>
  <si>
    <t>Neeta Solanki</t>
  </si>
  <si>
    <t>Anita Kumar</t>
  </si>
  <si>
    <t>Deepika Prasad</t>
  </si>
  <si>
    <t>Reena Patel</t>
  </si>
  <si>
    <t>Radha Kapoor</t>
  </si>
  <si>
    <t>Priya Mathur</t>
  </si>
  <si>
    <t>Neeta Desai</t>
  </si>
  <si>
    <t>Ayesha Roy</t>
  </si>
  <si>
    <t>Lalita Luthra</t>
  </si>
  <si>
    <t>Anita Joshi</t>
  </si>
  <si>
    <t>Anita Pillai</t>
  </si>
  <si>
    <t>Kiran Chaudhary</t>
  </si>
  <si>
    <t>Umesh Nair</t>
  </si>
  <si>
    <t>Radha Bhatnagar</t>
  </si>
  <si>
    <t>Sneha Ghosh</t>
  </si>
  <si>
    <t>Monika Mathur</t>
  </si>
  <si>
    <t>Sunil Menon</t>
  </si>
  <si>
    <t>Radha Solanki</t>
  </si>
  <si>
    <t>Anand Yadav</t>
  </si>
  <si>
    <t>Tapan Siddiqui</t>
  </si>
  <si>
    <t>Rajesh Nambiar</t>
  </si>
  <si>
    <t>Ravi Siddiqui</t>
  </si>
  <si>
    <t>Anjali Desai</t>
  </si>
  <si>
    <t>Vijay Solanki</t>
  </si>
  <si>
    <t>Namita Malhotra</t>
  </si>
  <si>
    <t>Priyanka Patel</t>
  </si>
  <si>
    <t>Sunil Iyer</t>
  </si>
  <si>
    <t>Harish Patel</t>
  </si>
  <si>
    <t>Vijay Patel</t>
  </si>
  <si>
    <t>Tapan Kumar</t>
  </si>
  <si>
    <t>Neeta Mathur</t>
  </si>
  <si>
    <t>Kavita Singh</t>
  </si>
  <si>
    <t>Sunita Das</t>
  </si>
  <si>
    <t>Sneha Menon</t>
  </si>
  <si>
    <t>Bhavana Teja</t>
  </si>
  <si>
    <t>Ayesha Singh</t>
  </si>
  <si>
    <t>Sanjay Malhotra</t>
  </si>
  <si>
    <t>Monika Goyal</t>
  </si>
  <si>
    <t>Sachin Nambiar</t>
  </si>
  <si>
    <t>Vijay Singh</t>
  </si>
  <si>
    <t>Arun Nair</t>
  </si>
  <si>
    <t>Anita Mathur</t>
  </si>
  <si>
    <t>Radha Varma</t>
  </si>
  <si>
    <t>Amit Ahuja</t>
  </si>
  <si>
    <t>Shruti Mehta</t>
  </si>
  <si>
    <t>Manoj Gupta</t>
  </si>
  <si>
    <t>Ravi Prasad</t>
  </si>
  <si>
    <t>Manoj Kapoor</t>
  </si>
  <si>
    <t>Kavita Kapoor</t>
  </si>
  <si>
    <t>Sachin Ghosh</t>
  </si>
  <si>
    <t>Prashant Roy</t>
  </si>
  <si>
    <t>Anita Malhotra</t>
  </si>
  <si>
    <t>Meena Srivastava</t>
  </si>
  <si>
    <t>Mala Dutta</t>
  </si>
  <si>
    <t>Ramesh Varma</t>
  </si>
  <si>
    <t>Reena Kulkarni</t>
  </si>
  <si>
    <t>Sunita Iyer</t>
  </si>
  <si>
    <t>Priya Thakur</t>
  </si>
  <si>
    <t>Sanjay Srivastava</t>
  </si>
  <si>
    <t>Meena Sheth</t>
  </si>
  <si>
    <t>Rohan Deshmukh</t>
  </si>
  <si>
    <t>Rajesh Chaudhary</t>
  </si>
  <si>
    <t>Meena Rathod</t>
  </si>
  <si>
    <t>Devendra Menon</t>
  </si>
  <si>
    <t>Lata Joshi</t>
  </si>
  <si>
    <t>Vivek Shah</t>
  </si>
  <si>
    <t>Vivek Nambiar</t>
  </si>
  <si>
    <t>Amit Pillai</t>
  </si>
  <si>
    <t>Lalita Verma</t>
  </si>
  <si>
    <t>Aditya Sheth</t>
  </si>
  <si>
    <t>Shruti Teja</t>
  </si>
  <si>
    <t>Tanuja Gupta</t>
  </si>
  <si>
    <t>Sachin Chaudhary</t>
  </si>
  <si>
    <t>Shruti Ahuja</t>
  </si>
  <si>
    <t>Bina Das</t>
  </si>
  <si>
    <t>Vijay Rao</t>
  </si>
  <si>
    <t>Sachin Singh</t>
  </si>
  <si>
    <t>Lata Rathod</t>
  </si>
  <si>
    <t>Isha Reddy</t>
  </si>
  <si>
    <t>Harish Joshi</t>
  </si>
  <si>
    <t>Rohan Shah</t>
  </si>
  <si>
    <t>Arun Mehta</t>
  </si>
  <si>
    <t>Shruti Joshi</t>
  </si>
  <si>
    <t>Prashant Mathur</t>
  </si>
  <si>
    <t>Jyoti Srivastava</t>
  </si>
  <si>
    <t>Bina Kumar</t>
  </si>
  <si>
    <t>Anita Luthra</t>
  </si>
  <si>
    <t>Pankaj Mishra</t>
  </si>
  <si>
    <t>Manoj Goyal</t>
  </si>
  <si>
    <t>Arun Desai</t>
  </si>
  <si>
    <t>Tapan Nair</t>
  </si>
  <si>
    <t>Manoj Patel</t>
  </si>
  <si>
    <t>Tanuja Teja</t>
  </si>
  <si>
    <t>Prashant Ghosh</t>
  </si>
  <si>
    <t>Ayesha Dutta</t>
  </si>
  <si>
    <t>Mala Arora</t>
  </si>
  <si>
    <t>Priyanka Roy</t>
  </si>
  <si>
    <t>Tapan Kulkarni</t>
  </si>
  <si>
    <t>Reena Sheth</t>
  </si>
  <si>
    <t>Anjali Alva</t>
  </si>
  <si>
    <t>Nikhil Luthra</t>
  </si>
  <si>
    <t>Arun Kaur</t>
  </si>
  <si>
    <t>Bina Bhattacharya</t>
  </si>
  <si>
    <t>Bina Jain</t>
  </si>
  <si>
    <t>Sunil Sheth</t>
  </si>
  <si>
    <t>Devendra Luthra</t>
  </si>
  <si>
    <t>Vivek Rathod</t>
  </si>
  <si>
    <t>Sanjay Pillai</t>
  </si>
  <si>
    <t>Priya Dutta</t>
  </si>
  <si>
    <t>Ravi Thakur</t>
  </si>
  <si>
    <t>Rohan Nambiar</t>
  </si>
  <si>
    <t>Bhavana Reddy</t>
  </si>
  <si>
    <t>Gita Rao</t>
  </si>
  <si>
    <t>Deepika Dutta</t>
  </si>
  <si>
    <t>Vivek Pathak</t>
  </si>
  <si>
    <t>Aditya Mishra</t>
  </si>
  <si>
    <t>Yogesh Siddiqui</t>
  </si>
  <si>
    <t>Shruti Sheth</t>
  </si>
  <si>
    <t>Monika Solanki</t>
  </si>
  <si>
    <t>Priyanka Yadav</t>
  </si>
  <si>
    <t>Isha Gupta</t>
  </si>
  <si>
    <t>Sunil Arora</t>
  </si>
  <si>
    <t>Jyoti Jain</t>
  </si>
  <si>
    <t>Pooja Srivastava</t>
  </si>
  <si>
    <t>Pankaj Luthra</t>
  </si>
  <si>
    <t>Meena Chatterjee</t>
  </si>
  <si>
    <t>Anjali Kulkarni</t>
  </si>
  <si>
    <t>Monika Patel</t>
  </si>
  <si>
    <t>Reena Srivastava</t>
  </si>
  <si>
    <t>Sneha Deshmukh</t>
  </si>
  <si>
    <t>Anjali Jain</t>
  </si>
  <si>
    <t>Shruti Alva</t>
  </si>
  <si>
    <t>Pooja Ahuja</t>
  </si>
  <si>
    <t>Manoj Chatterjee</t>
  </si>
  <si>
    <t>Priyanka Teja</t>
  </si>
  <si>
    <t>Rohan Kapoor</t>
  </si>
  <si>
    <t>Shruti Roy</t>
  </si>
  <si>
    <t>Jyoti Ghosh</t>
  </si>
  <si>
    <t>Umesh Chaudhary</t>
  </si>
  <si>
    <t>Anjali Das</t>
  </si>
  <si>
    <t>Reena Goyal</t>
  </si>
  <si>
    <t>Tapan Patel</t>
  </si>
  <si>
    <t>Tanuja Roy</t>
  </si>
  <si>
    <t>Navin Nair</t>
  </si>
  <si>
    <t>Pankaj Mathur</t>
  </si>
  <si>
    <t>Kiran Srivastava</t>
  </si>
  <si>
    <t>Harish Thakur</t>
  </si>
  <si>
    <t>Ramesh Sharma</t>
  </si>
  <si>
    <t>Bina Patel</t>
  </si>
  <si>
    <t>Ravi Kaur</t>
  </si>
  <si>
    <t>Yogesh Menon</t>
  </si>
  <si>
    <t>Kiran Patel</t>
  </si>
  <si>
    <t>Ravi Solanki</t>
  </si>
  <si>
    <t>Rajesh Mishra</t>
  </si>
  <si>
    <t>Anjali Rao</t>
  </si>
  <si>
    <t>Sunil Reddy</t>
  </si>
  <si>
    <t>Kiran Deshmukh</t>
  </si>
  <si>
    <t>Monika Kumar</t>
  </si>
  <si>
    <t>Pooja Pathak</t>
  </si>
  <si>
    <t>Krishna Rao</t>
  </si>
  <si>
    <t>Lata Kumar</t>
  </si>
  <si>
    <t>Umesh Patel</t>
  </si>
  <si>
    <t>Namita Rao</t>
  </si>
  <si>
    <t>Priya Prasad</t>
  </si>
  <si>
    <t>Nikhil Yadav</t>
  </si>
  <si>
    <t>Aditya Prasad</t>
  </si>
  <si>
    <t>Kiran Joshi</t>
  </si>
  <si>
    <t>Amit Patel</t>
  </si>
  <si>
    <t>Vijay Bhattacharya</t>
  </si>
  <si>
    <t>Namita Varma</t>
  </si>
  <si>
    <t>Sumit Solanki</t>
  </si>
  <si>
    <t>Radha Kumar</t>
  </si>
  <si>
    <t>Isha Yadav</t>
  </si>
  <si>
    <t>Lata Bhattacharya</t>
  </si>
  <si>
    <t>Vijay Mishra</t>
  </si>
  <si>
    <t>Jyoti Reddy</t>
  </si>
  <si>
    <t>Sachin Kulkarni</t>
  </si>
  <si>
    <t>Bina Roy</t>
  </si>
  <si>
    <t>Sachin Malhotra</t>
  </si>
  <si>
    <t>Mala Pillai</t>
  </si>
  <si>
    <t>Aditya Siddiqui</t>
  </si>
  <si>
    <t>Mala Srivastava</t>
  </si>
  <si>
    <t>Anand Arora</t>
  </si>
  <si>
    <t>Sachin Prasad</t>
  </si>
  <si>
    <t>Kunal Singh</t>
  </si>
  <si>
    <t>Krishna Bhatnagar</t>
  </si>
  <si>
    <t>Reena Menon</t>
  </si>
  <si>
    <t>Rohan Rao</t>
  </si>
  <si>
    <t>Radha Dutta</t>
  </si>
  <si>
    <t>Vinod Srivastava</t>
  </si>
  <si>
    <t>Rajesh Desai</t>
  </si>
  <si>
    <t>Krishna Ahuja</t>
  </si>
  <si>
    <t>Pankaj Deshmukh</t>
  </si>
  <si>
    <t>Krishna Reddy</t>
  </si>
  <si>
    <t>Shruti Deshmukh</t>
  </si>
  <si>
    <t>Navin Kaur</t>
  </si>
  <si>
    <t>Ayesha Arora</t>
  </si>
  <si>
    <t>Kiran Mishra</t>
  </si>
  <si>
    <t>Vijay Chatterjee</t>
  </si>
  <si>
    <t>Deepika Pathak</t>
  </si>
  <si>
    <t>Aditya Singh</t>
  </si>
  <si>
    <t>Prashant Mishra</t>
  </si>
  <si>
    <t>Vinod Sharma</t>
  </si>
  <si>
    <t>Neeta Prasad</t>
  </si>
  <si>
    <t>Rajesh Singh</t>
  </si>
  <si>
    <t>Umesh Kumar</t>
  </si>
  <si>
    <t>Rajesh Mathur</t>
  </si>
  <si>
    <t>Arun Jain</t>
  </si>
  <si>
    <t>Sunil Malhotra</t>
  </si>
  <si>
    <t>Jyoti Menon</t>
  </si>
  <si>
    <t>Umesh Reddy</t>
  </si>
  <si>
    <t>Gita Kulkarni</t>
  </si>
  <si>
    <t>Pankaj Roy</t>
  </si>
  <si>
    <t>Pankaj Verma</t>
  </si>
  <si>
    <t>Neeta Patel</t>
  </si>
  <si>
    <t>Tanuja Srivastava</t>
  </si>
  <si>
    <t>Ayesha Rathod</t>
  </si>
  <si>
    <t>Pooja Chatterjee</t>
  </si>
  <si>
    <t>Sumit Goyal</t>
  </si>
  <si>
    <t>Sneha Kaur</t>
  </si>
  <si>
    <t>Aditya Alva</t>
  </si>
  <si>
    <t>Tanuja Malhotra</t>
  </si>
  <si>
    <t>Mala Menon</t>
  </si>
  <si>
    <t>Priya Ahuja</t>
  </si>
  <si>
    <t>Priyanka Joshi</t>
  </si>
  <si>
    <t>Sunita Prasad</t>
  </si>
  <si>
    <t>Meena Kaur</t>
  </si>
  <si>
    <t>Vivek Sharma</t>
  </si>
  <si>
    <t>Yogesh Bhattacharya</t>
  </si>
  <si>
    <t>Isha Sheth</t>
  </si>
  <si>
    <t>Rohan Roy</t>
  </si>
  <si>
    <t>Sanjay Thakur</t>
  </si>
  <si>
    <t>Yogesh Pathak</t>
  </si>
  <si>
    <t>Priyanka Verma</t>
  </si>
  <si>
    <t>Arun Teja</t>
  </si>
  <si>
    <t>Rohan Patel</t>
  </si>
  <si>
    <t>Vivek Kaur</t>
  </si>
  <si>
    <t>Tanuja Bhattacharya</t>
  </si>
  <si>
    <t>Anand Rao</t>
  </si>
  <si>
    <t>Date</t>
  </si>
  <si>
    <t>Month Name</t>
  </si>
  <si>
    <t>Sales</t>
  </si>
  <si>
    <t>Rating Status</t>
  </si>
  <si>
    <t>Sum of Sales</t>
  </si>
  <si>
    <t>Sum of Units Sold</t>
  </si>
  <si>
    <t>Count of Transaction ID</t>
  </si>
  <si>
    <t>Average of Price Per Unit</t>
  </si>
  <si>
    <t>Total_Sales</t>
  </si>
  <si>
    <t>Total_Quantity</t>
  </si>
  <si>
    <t>Transactions</t>
  </si>
  <si>
    <t>Average_Price</t>
  </si>
  <si>
    <t>Grand Total</t>
  </si>
  <si>
    <t>April</t>
  </si>
  <si>
    <t>May</t>
  </si>
  <si>
    <t>June</t>
  </si>
  <si>
    <t>July</t>
  </si>
  <si>
    <t>August</t>
  </si>
  <si>
    <t>September</t>
  </si>
  <si>
    <t>October</t>
  </si>
  <si>
    <t>November</t>
  </si>
  <si>
    <t>December</t>
  </si>
  <si>
    <t>January</t>
  </si>
  <si>
    <t>February</t>
  </si>
  <si>
    <t>March</t>
  </si>
  <si>
    <t>Average</t>
  </si>
  <si>
    <t>Good</t>
  </si>
  <si>
    <t>Poor</t>
  </si>
  <si>
    <t>Rating_Status</t>
  </si>
  <si>
    <t>Customer_Ratings</t>
  </si>
  <si>
    <t>Payment_Method</t>
  </si>
  <si>
    <t>Mobile_Model</t>
  </si>
  <si>
    <t>Days</t>
  </si>
  <si>
    <t>Months</t>
  </si>
  <si>
    <t>Brands</t>
  </si>
  <si>
    <t>Sat</t>
  </si>
  <si>
    <t>Sun</t>
  </si>
  <si>
    <t>Mon</t>
  </si>
  <si>
    <t>Tue</t>
  </si>
  <si>
    <t>Wed</t>
  </si>
  <si>
    <t>Thu</t>
  </si>
  <si>
    <t>Fri</t>
  </si>
  <si>
    <t>Day_Name</t>
  </si>
  <si>
    <t>Quarter</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</si>
</sst>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0,\ &quot;K&quot;"/>
    <numFmt numFmtId="165" formatCode="0.0,\ &quot;K&quot;"/>
    <numFmt numFmtId="166" formatCode="[$₹-439]\ #,##0,,\ &quot;M&quot;"/>
    <numFmt numFmtId="167" formatCode="[$₹-439]\ #,##0.00,\ &quot;K&quot;"/>
    <numFmt numFmtId="168" formatCode="[$₹-439]\ #,##0.00,,\ &quot;M&quot;"/>
  </numFmts>
  <fonts count="3" x14ac:knownFonts="1">
    <font>
      <sz val="11"/>
      <color theme="1"/>
      <name val="Calibri"/>
      <family val="2"/>
      <scheme val="minor"/>
    </font>
    <font>
      <sz val="11"/>
      <color theme="1"/>
      <name val="Berlin Sans FB"/>
      <family val="2"/>
    </font>
    <font>
      <b/>
      <sz val="11"/>
      <color theme="0"/>
      <name val="Calibri"/>
      <family val="2"/>
      <scheme val="minor"/>
    </font>
  </fonts>
  <fills count="5">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0" tint="-4.9989318521683403E-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26">
    <xf numFmtId="0" fontId="0" fillId="0" borderId="0" xfId="0"/>
    <xf numFmtId="0" fontId="0" fillId="0" borderId="0" xfId="0" applyAlignment="1">
      <alignment horizontal="left" vertical="top"/>
    </xf>
    <xf numFmtId="14" fontId="0" fillId="0" borderId="0" xfId="0" applyNumberFormat="1" applyAlignment="1">
      <alignment horizontal="left" vertical="top"/>
    </xf>
    <xf numFmtId="0" fontId="0" fillId="0" borderId="0" xfId="0" applyAlignment="1">
      <alignment horizontal="left"/>
    </xf>
    <xf numFmtId="1" fontId="0" fillId="0" borderId="0" xfId="0" applyNumberFormat="1" applyAlignment="1">
      <alignment horizontal="left"/>
    </xf>
    <xf numFmtId="14" fontId="0" fillId="0" borderId="0" xfId="0" applyNumberFormat="1" applyAlignment="1">
      <alignment horizontal="left"/>
    </xf>
    <xf numFmtId="0" fontId="0" fillId="0" borderId="0" xfId="0" applyNumberFormat="1"/>
    <xf numFmtId="0" fontId="0" fillId="2" borderId="0" xfId="0" applyFill="1" applyAlignment="1">
      <alignment horizontal="right"/>
    </xf>
    <xf numFmtId="0" fontId="0" fillId="2" borderId="0" xfId="0" applyFill="1"/>
    <xf numFmtId="0" fontId="0" fillId="2" borderId="0" xfId="0" applyFill="1" applyAlignment="1">
      <alignment horizontal="left"/>
    </xf>
    <xf numFmtId="0" fontId="0" fillId="2" borderId="0" xfId="0" applyNumberFormat="1" applyFill="1"/>
    <xf numFmtId="0" fontId="1" fillId="2" borderId="0" xfId="0" applyFont="1" applyFill="1"/>
    <xf numFmtId="164" fontId="0" fillId="3" borderId="0" xfId="0" applyNumberFormat="1" applyFill="1" applyAlignment="1">
      <alignment horizontal="right"/>
    </xf>
    <xf numFmtId="165" fontId="0" fillId="3" borderId="0" xfId="0" applyNumberFormat="1" applyFill="1" applyAlignment="1">
      <alignment horizontal="right"/>
    </xf>
    <xf numFmtId="0" fontId="0" fillId="4" borderId="0" xfId="0" applyFill="1" applyAlignment="1">
      <alignment horizontal="left"/>
    </xf>
    <xf numFmtId="0" fontId="0" fillId="4" borderId="0" xfId="0" applyNumberFormat="1" applyFill="1"/>
    <xf numFmtId="0" fontId="2" fillId="2" borderId="1" xfId="0" applyFont="1" applyFill="1" applyBorder="1"/>
    <xf numFmtId="0" fontId="2" fillId="2" borderId="2" xfId="0" applyFont="1" applyFill="1" applyBorder="1" applyAlignment="1">
      <alignment horizontal="left"/>
    </xf>
    <xf numFmtId="0" fontId="2" fillId="2" borderId="2" xfId="0" applyNumberFormat="1" applyFont="1" applyFill="1" applyBorder="1"/>
    <xf numFmtId="166" fontId="0" fillId="3" borderId="0" xfId="0" applyNumberFormat="1" applyFill="1" applyAlignment="1">
      <alignment horizontal="right"/>
    </xf>
    <xf numFmtId="167" fontId="0" fillId="3" borderId="0" xfId="0" applyNumberFormat="1" applyFill="1" applyAlignment="1">
      <alignment horizontal="right"/>
    </xf>
    <xf numFmtId="168" fontId="0" fillId="0" borderId="0" xfId="0" applyNumberFormat="1"/>
    <xf numFmtId="168" fontId="0" fillId="4" borderId="0" xfId="0" applyNumberFormat="1" applyFill="1"/>
    <xf numFmtId="168" fontId="2" fillId="2" borderId="2" xfId="0" applyNumberFormat="1" applyFont="1" applyFill="1" applyBorder="1"/>
    <xf numFmtId="168" fontId="0" fillId="2" borderId="0" xfId="0" applyNumberFormat="1" applyFill="1"/>
    <xf numFmtId="0" fontId="2" fillId="2" borderId="1" xfId="0" applyFont="1" applyFill="1" applyBorder="1" applyAlignment="1">
      <alignment horizontal="right"/>
    </xf>
  </cellXfs>
  <cellStyles count="1">
    <cellStyle name="Normal" xfId="0" builtinId="0"/>
  </cellStyles>
  <dxfs count="77">
    <dxf>
      <alignment horizontal="left" textRotation="0" wrapText="0" indent="0" justifyLastLine="0" shrinkToFit="0" readingOrder="0"/>
    </dxf>
    <dxf>
      <numFmt numFmtId="1" formatCode="0"/>
      <alignment horizontal="left" vertical="bottom" textRotation="0" wrapText="0" indent="0" justifyLastLine="0" shrinkToFit="0" readingOrder="0"/>
    </dxf>
    <dxf>
      <numFmt numFmtId="1" formatCode="0"/>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numFmt numFmtId="0" formatCode="General"/>
      <alignment horizontal="left" vertical="bottom"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numFmt numFmtId="19" formatCode="dd/mm/yy"/>
      <alignment horizontal="left" vertical="bottom"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vertical="top" textRotation="0" wrapText="0" indent="0" justifyLastLine="0" shrinkToFit="0" readingOrder="0"/>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numFmt numFmtId="168" formatCode="[$₹-439]\ #,##0.00,,\ &quot;M&quot;"/>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ont>
        <sz val="12"/>
        <color theme="1" tint="0.499984740745262"/>
      </font>
      <border>
        <bottom style="medium">
          <color theme="2" tint="-0.24994659260841701"/>
        </bottom>
        <vertical/>
        <horizontal/>
      </border>
    </dxf>
    <dxf>
      <font>
        <color theme="1"/>
      </font>
      <border diagonalUp="0" diagonalDown="0">
        <left/>
        <right/>
        <top/>
        <bottom/>
        <vertical/>
        <horizontal/>
      </border>
    </dxf>
  </dxfs>
  <tableStyles count="1" defaultTableStyle="TableStyleMedium2" defaultPivotStyle="PivotStyleLight16">
    <tableStyle name="Mobile Sales" pivot="0" table="0" count="10">
      <tableStyleElement type="wholeTable" dxfId="76"/>
      <tableStyleElement type="headerRow" dxfId="75"/>
    </tableStyle>
  </tableStyles>
  <extLst>
    <ext xmlns:x14="http://schemas.microsoft.com/office/spreadsheetml/2009/9/main" uri="{46F421CA-312F-682f-3DD2-61675219B42D}">
      <x14:dxfs count="8">
        <dxf>
          <font>
            <color rgb="FF000000"/>
          </font>
          <fill>
            <patternFill patternType="solid">
              <fgColor auto="1"/>
              <bgColor theme="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2"/>
            </patternFill>
          </fill>
          <border diagonalUp="0" diagonalDown="0">
            <left/>
            <right/>
            <top/>
            <bottom/>
            <vertical/>
            <horizontal/>
          </border>
        </dxf>
        <dxf>
          <font>
            <color rgb="FF000000"/>
          </font>
          <fill>
            <patternFill patternType="solid">
              <fgColor auto="1"/>
              <bgColor theme="2"/>
            </patternFill>
          </fill>
          <border diagonalUp="0" diagonalDown="0">
            <left/>
            <right/>
            <top/>
            <bottom/>
            <vertical/>
            <horizontal/>
          </border>
        </dxf>
        <dxf>
          <font>
            <color rgb="FF828282"/>
          </font>
          <fill>
            <patternFill patternType="solid">
              <fgColor theme="4" tint="0.79998168889431442"/>
              <bgColor theme="4" tint="0.79998168889431442"/>
            </patternFill>
          </fill>
          <border diagonalUp="0" diagonalDown="0">
            <left/>
            <right/>
            <top/>
            <bottom/>
            <vertical/>
            <horizontal/>
          </border>
        </dxf>
        <dxf>
          <font>
            <color rgb="FF000000"/>
          </font>
          <fill>
            <gradientFill>
              <stop position="0">
                <color theme="0"/>
              </stop>
              <stop position="1">
                <color rgb="FFFFC000"/>
              </stop>
            </gradientFill>
          </fill>
          <border diagonalUp="0" diagonalDown="0">
            <left/>
            <right/>
            <top/>
            <bottom/>
            <vertical/>
            <horizontal/>
          </border>
        </dxf>
        <dxf>
          <font>
            <color rgb="FF828282"/>
          </font>
          <fill>
            <patternFill patternType="solid">
              <fgColor rgb="FFFFFFFF"/>
              <bgColor rgb="FFFFFFFF"/>
            </patternFill>
          </fill>
          <border diagonalUp="0" diagonalDown="0">
            <left/>
            <right/>
            <top/>
            <bottom/>
            <vertical/>
            <horizontal/>
          </border>
        </dxf>
        <dxf>
          <font>
            <color rgb="FF000000"/>
          </font>
          <fill>
            <patternFill patternType="solid">
              <fgColor rgb="FFFFFFFF"/>
              <bgColor rgb="FFFFFFFF"/>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Mobile Sale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Sales Analysis.xlsx]Mobile Sales Report!Total_Quantity by Months</c:name>
    <c:fmtId val="2"/>
  </c:pivotSource>
  <c:chart>
    <c:title>
      <c:tx>
        <c:rich>
          <a:bodyPr/>
          <a:lstStyle/>
          <a:p>
            <a:pPr>
              <a:defRPr b="0"/>
            </a:pPr>
            <a:r>
              <a:rPr lang="en-US" sz="1200" b="0">
                <a:solidFill>
                  <a:schemeClr val="tx1">
                    <a:lumMod val="50000"/>
                    <a:lumOff val="50000"/>
                  </a:schemeClr>
                </a:solidFill>
              </a:rPr>
              <a:t>Total_Quantity</a:t>
            </a:r>
            <a:r>
              <a:rPr lang="en-US" sz="1200" b="0" baseline="0">
                <a:solidFill>
                  <a:schemeClr val="tx1">
                    <a:lumMod val="50000"/>
                    <a:lumOff val="50000"/>
                  </a:schemeClr>
                </a:solidFill>
              </a:rPr>
              <a:t> by Month</a:t>
            </a:r>
            <a:endParaRPr lang="en-US" sz="1200" b="0">
              <a:solidFill>
                <a:schemeClr val="tx1">
                  <a:lumMod val="50000"/>
                  <a:lumOff val="50000"/>
                </a:schemeClr>
              </a:solidFill>
            </a:endParaRPr>
          </a:p>
        </c:rich>
      </c:tx>
      <c:layout>
        <c:manualLayout>
          <c:xMode val="edge"/>
          <c:yMode val="edge"/>
          <c:x val="2.2222222222222534E-3"/>
          <c:y val="0"/>
        </c:manualLayout>
      </c:layout>
      <c:overlay val="0"/>
    </c:title>
    <c:autoTitleDeleted val="0"/>
    <c:pivotFmts>
      <c:pivotFmt>
        <c:idx val="0"/>
      </c:pivotFmt>
      <c:pivotFmt>
        <c:idx val="1"/>
      </c:pivotFmt>
      <c:pivotFmt>
        <c:idx val="2"/>
        <c:spPr>
          <a:ln>
            <a:solidFill>
              <a:schemeClr val="accent2">
                <a:lumMod val="75000"/>
              </a:schemeClr>
            </a:solidFill>
          </a:ln>
        </c:spPr>
        <c:marker>
          <c:symbol val="circle"/>
          <c:size val="7"/>
          <c:spPr>
            <a:solidFill>
              <a:schemeClr val="accent2">
                <a:lumMod val="75000"/>
              </a:schemeClr>
            </a:solidFill>
            <a:ln>
              <a:solidFill>
                <a:schemeClr val="accent2">
                  <a:lumMod val="75000"/>
                </a:schemeClr>
              </a:solidFill>
            </a:ln>
          </c:spPr>
        </c:marker>
        <c:dLbl>
          <c:idx val="0"/>
          <c:spPr>
            <a:solidFill>
              <a:schemeClr val="bg1">
                <a:lumMod val="95000"/>
              </a:schemeClr>
            </a:solidFill>
          </c:spPr>
          <c:txPr>
            <a:bodyPr/>
            <a:lstStyle/>
            <a:p>
              <a:pPr>
                <a:defRPr/>
              </a:pPr>
              <a:endParaRPr lang="en-US"/>
            </a:p>
          </c:txPr>
          <c:showLegendKey val="0"/>
          <c:showVal val="1"/>
          <c:showCatName val="0"/>
          <c:showSerName val="0"/>
          <c:showPercent val="0"/>
          <c:showBubbleSize val="0"/>
        </c:dLbl>
      </c:pivotFmt>
      <c:pivotFmt>
        <c:idx val="3"/>
        <c:dLbl>
          <c:idx val="0"/>
          <c:layout>
            <c:manualLayout>
              <c:x val="-2.3148148148148147E-2"/>
              <c:y val="-0.14184386601599672"/>
            </c:manualLayout>
          </c:layout>
          <c:showLegendKey val="0"/>
          <c:showVal val="1"/>
          <c:showCatName val="0"/>
          <c:showSerName val="0"/>
          <c:showPercent val="0"/>
          <c:showBubbleSize val="0"/>
        </c:dLbl>
      </c:pivotFmt>
      <c:pivotFmt>
        <c:idx val="4"/>
        <c:dLbl>
          <c:idx val="0"/>
          <c:layout>
            <c:manualLayout>
              <c:x val="-2.0061728395061727E-2"/>
              <c:y val="-0.1513001237503965"/>
            </c:manualLayout>
          </c:layout>
          <c:showLegendKey val="0"/>
          <c:showVal val="1"/>
          <c:showCatName val="0"/>
          <c:showSerName val="0"/>
          <c:showPercent val="0"/>
          <c:showBubbleSize val="0"/>
        </c:dLbl>
      </c:pivotFmt>
      <c:pivotFmt>
        <c:idx val="5"/>
        <c:dLbl>
          <c:idx val="0"/>
          <c:layout>
            <c:manualLayout>
              <c:x val="-2.7777777777777776E-2"/>
              <c:y val="-0.14184386601599672"/>
            </c:manualLayout>
          </c:layout>
          <c:showLegendKey val="0"/>
          <c:showVal val="1"/>
          <c:showCatName val="0"/>
          <c:showSerName val="0"/>
          <c:showPercent val="0"/>
          <c:showBubbleSize val="0"/>
        </c:dLbl>
      </c:pivotFmt>
      <c:pivotFmt>
        <c:idx val="6"/>
        <c:dLbl>
          <c:idx val="0"/>
          <c:layout>
            <c:manualLayout>
              <c:x val="-2.7777777777777776E-2"/>
              <c:y val="0.1513001237503965"/>
            </c:manualLayout>
          </c:layout>
          <c:showLegendKey val="0"/>
          <c:showVal val="1"/>
          <c:showCatName val="0"/>
          <c:showSerName val="0"/>
          <c:showPercent val="0"/>
          <c:showBubbleSize val="0"/>
        </c:dLbl>
      </c:pivotFmt>
      <c:pivotFmt>
        <c:idx val="7"/>
        <c:dLbl>
          <c:idx val="0"/>
          <c:layout>
            <c:manualLayout>
              <c:x val="-2.4691358024691357E-2"/>
              <c:y val="-0.14184386601599672"/>
            </c:manualLayout>
          </c:layout>
          <c:showLegendKey val="0"/>
          <c:showVal val="1"/>
          <c:showCatName val="0"/>
          <c:showSerName val="0"/>
          <c:showPercent val="0"/>
          <c:showBubbleSize val="0"/>
        </c:dLbl>
      </c:pivotFmt>
      <c:pivotFmt>
        <c:idx val="8"/>
        <c:dLbl>
          <c:idx val="0"/>
          <c:layout>
            <c:manualLayout>
              <c:x val="-2.7777777777777776E-2"/>
              <c:y val="0.1513001237503965"/>
            </c:manualLayout>
          </c:layout>
          <c:showLegendKey val="0"/>
          <c:showVal val="1"/>
          <c:showCatName val="0"/>
          <c:showSerName val="0"/>
          <c:showPercent val="0"/>
          <c:showBubbleSize val="0"/>
        </c:dLbl>
      </c:pivotFmt>
      <c:pivotFmt>
        <c:idx val="9"/>
        <c:dLbl>
          <c:idx val="0"/>
          <c:layout>
            <c:manualLayout>
              <c:x val="-2.7777777777777776E-2"/>
              <c:y val="0.14184386601599672"/>
            </c:manualLayout>
          </c:layout>
          <c:showLegendKey val="0"/>
          <c:showVal val="1"/>
          <c:showCatName val="0"/>
          <c:showSerName val="0"/>
          <c:showPercent val="0"/>
          <c:showBubbleSize val="0"/>
        </c:dLbl>
      </c:pivotFmt>
      <c:pivotFmt>
        <c:idx val="10"/>
        <c:dLbl>
          <c:idx val="0"/>
          <c:layout>
            <c:manualLayout>
              <c:x val="-2.9320987654320986E-2"/>
              <c:y val="-0.13238760828159693"/>
            </c:manualLayout>
          </c:layout>
          <c:showLegendKey val="0"/>
          <c:showVal val="1"/>
          <c:showCatName val="0"/>
          <c:showSerName val="0"/>
          <c:showPercent val="0"/>
          <c:showBubbleSize val="0"/>
        </c:dLbl>
      </c:pivotFmt>
      <c:pivotFmt>
        <c:idx val="11"/>
        <c:dLbl>
          <c:idx val="0"/>
          <c:layout>
            <c:manualLayout>
              <c:x val="-2.9320987654320986E-2"/>
              <c:y val="0.12293135054719714"/>
            </c:manualLayout>
          </c:layout>
          <c:showLegendKey val="0"/>
          <c:showVal val="1"/>
          <c:showCatName val="0"/>
          <c:showSerName val="0"/>
          <c:showPercent val="0"/>
          <c:showBubbleSize val="0"/>
        </c:dLbl>
      </c:pivotFmt>
      <c:pivotFmt>
        <c:idx val="12"/>
        <c:dLbl>
          <c:idx val="0"/>
          <c:layout>
            <c:manualLayout>
              <c:x val="-3.0864197530864196E-2"/>
              <c:y val="0.17021263921919605"/>
            </c:manualLayout>
          </c:layout>
          <c:showLegendKey val="0"/>
          <c:showVal val="1"/>
          <c:showCatName val="0"/>
          <c:showSerName val="0"/>
          <c:showPercent val="0"/>
          <c:showBubbleSize val="0"/>
        </c:dLbl>
      </c:pivotFmt>
      <c:pivotFmt>
        <c:idx val="13"/>
        <c:dLbl>
          <c:idx val="0"/>
          <c:layout>
            <c:manualLayout>
              <c:x val="-3.2407407407407406E-2"/>
              <c:y val="-0.14184386601599672"/>
            </c:manualLayout>
          </c:layout>
          <c:showLegendKey val="0"/>
          <c:showVal val="1"/>
          <c:showCatName val="0"/>
          <c:showSerName val="0"/>
          <c:showPercent val="0"/>
          <c:showBubbleSize val="0"/>
        </c:dLbl>
      </c:pivotFmt>
      <c:pivotFmt>
        <c:idx val="14"/>
        <c:dLbl>
          <c:idx val="0"/>
          <c:layout>
            <c:manualLayout>
              <c:x val="-4.0123456790123455E-2"/>
              <c:y val="0.1513001237503965"/>
            </c:manualLayout>
          </c:layout>
          <c:showLegendKey val="0"/>
          <c:showVal val="1"/>
          <c:showCatName val="0"/>
          <c:showSerName val="0"/>
          <c:showPercent val="0"/>
          <c:showBubbleSize val="0"/>
        </c:dLbl>
      </c:pivotFmt>
    </c:pivotFmts>
    <c:plotArea>
      <c:layout>
        <c:manualLayout>
          <c:layoutTarget val="inner"/>
          <c:xMode val="edge"/>
          <c:yMode val="edge"/>
          <c:x val="9.1056673471371623E-3"/>
          <c:y val="0.19644742544075841"/>
          <c:w val="0.98194371536891223"/>
          <c:h val="0.61258456649387272"/>
        </c:manualLayout>
      </c:layout>
      <c:lineChart>
        <c:grouping val="standard"/>
        <c:varyColors val="0"/>
        <c:ser>
          <c:idx val="0"/>
          <c:order val="0"/>
          <c:tx>
            <c:strRef>
              <c:f>'Mobile Sales Report'!$J$3</c:f>
              <c:strCache>
                <c:ptCount val="1"/>
                <c:pt idx="0">
                  <c:v>Total</c:v>
                </c:pt>
              </c:strCache>
            </c:strRef>
          </c:tx>
          <c:spPr>
            <a:ln>
              <a:solidFill>
                <a:schemeClr val="accent2">
                  <a:lumMod val="75000"/>
                </a:schemeClr>
              </a:solidFill>
            </a:ln>
          </c:spPr>
          <c:marker>
            <c:symbol val="circle"/>
            <c:size val="7"/>
            <c:spPr>
              <a:solidFill>
                <a:schemeClr val="accent2">
                  <a:lumMod val="75000"/>
                </a:schemeClr>
              </a:solidFill>
              <a:ln>
                <a:solidFill>
                  <a:schemeClr val="accent2">
                    <a:lumMod val="75000"/>
                  </a:schemeClr>
                </a:solidFill>
              </a:ln>
            </c:spPr>
          </c:marker>
          <c:dLbls>
            <c:dLbl>
              <c:idx val="0"/>
              <c:layout>
                <c:manualLayout>
                  <c:x val="-4.0123456790123455E-2"/>
                  <c:y val="0.1513001237503965"/>
                </c:manualLayout>
              </c:layout>
              <c:showLegendKey val="0"/>
              <c:showVal val="1"/>
              <c:showCatName val="0"/>
              <c:showSerName val="0"/>
              <c:showPercent val="0"/>
              <c:showBubbleSize val="0"/>
            </c:dLbl>
            <c:dLbl>
              <c:idx val="1"/>
              <c:layout>
                <c:manualLayout>
                  <c:x val="-3.2407407407407406E-2"/>
                  <c:y val="-0.14184386601599672"/>
                </c:manualLayout>
              </c:layout>
              <c:showLegendKey val="0"/>
              <c:showVal val="1"/>
              <c:showCatName val="0"/>
              <c:showSerName val="0"/>
              <c:showPercent val="0"/>
              <c:showBubbleSize val="0"/>
            </c:dLbl>
            <c:dLbl>
              <c:idx val="2"/>
              <c:layout>
                <c:manualLayout>
                  <c:x val="-3.0864197530864196E-2"/>
                  <c:y val="0.17021263921919605"/>
                </c:manualLayout>
              </c:layout>
              <c:showLegendKey val="0"/>
              <c:showVal val="1"/>
              <c:showCatName val="0"/>
              <c:showSerName val="0"/>
              <c:showPercent val="0"/>
              <c:showBubbleSize val="0"/>
            </c:dLbl>
            <c:dLbl>
              <c:idx val="3"/>
              <c:layout>
                <c:manualLayout>
                  <c:x val="-2.9320987654320986E-2"/>
                  <c:y val="0.12293135054719714"/>
                </c:manualLayout>
              </c:layout>
              <c:showLegendKey val="0"/>
              <c:showVal val="1"/>
              <c:showCatName val="0"/>
              <c:showSerName val="0"/>
              <c:showPercent val="0"/>
              <c:showBubbleSize val="0"/>
            </c:dLbl>
            <c:dLbl>
              <c:idx val="4"/>
              <c:layout>
                <c:manualLayout>
                  <c:x val="-2.9320987654320986E-2"/>
                  <c:y val="-0.13238760828159693"/>
                </c:manualLayout>
              </c:layout>
              <c:showLegendKey val="0"/>
              <c:showVal val="1"/>
              <c:showCatName val="0"/>
              <c:showSerName val="0"/>
              <c:showPercent val="0"/>
              <c:showBubbleSize val="0"/>
            </c:dLbl>
            <c:dLbl>
              <c:idx val="5"/>
              <c:layout>
                <c:manualLayout>
                  <c:x val="-2.7777777777777776E-2"/>
                  <c:y val="0.14184386601599672"/>
                </c:manualLayout>
              </c:layout>
              <c:showLegendKey val="0"/>
              <c:showVal val="1"/>
              <c:showCatName val="0"/>
              <c:showSerName val="0"/>
              <c:showPercent val="0"/>
              <c:showBubbleSize val="0"/>
            </c:dLbl>
            <c:dLbl>
              <c:idx val="6"/>
              <c:layout>
                <c:manualLayout>
                  <c:x val="-2.7777777777777776E-2"/>
                  <c:y val="0.1513001237503965"/>
                </c:manualLayout>
              </c:layout>
              <c:showLegendKey val="0"/>
              <c:showVal val="1"/>
              <c:showCatName val="0"/>
              <c:showSerName val="0"/>
              <c:showPercent val="0"/>
              <c:showBubbleSize val="0"/>
            </c:dLbl>
            <c:dLbl>
              <c:idx val="7"/>
              <c:layout>
                <c:manualLayout>
                  <c:x val="-2.4691358024691357E-2"/>
                  <c:y val="-0.14184386601599672"/>
                </c:manualLayout>
              </c:layout>
              <c:showLegendKey val="0"/>
              <c:showVal val="1"/>
              <c:showCatName val="0"/>
              <c:showSerName val="0"/>
              <c:showPercent val="0"/>
              <c:showBubbleSize val="0"/>
            </c:dLbl>
            <c:dLbl>
              <c:idx val="8"/>
              <c:layout>
                <c:manualLayout>
                  <c:x val="-2.7777777777777776E-2"/>
                  <c:y val="0.1513001237503965"/>
                </c:manualLayout>
              </c:layout>
              <c:showLegendKey val="0"/>
              <c:showVal val="1"/>
              <c:showCatName val="0"/>
              <c:showSerName val="0"/>
              <c:showPercent val="0"/>
              <c:showBubbleSize val="0"/>
            </c:dLbl>
            <c:dLbl>
              <c:idx val="9"/>
              <c:layout>
                <c:manualLayout>
                  <c:x val="-2.7777777777777776E-2"/>
                  <c:y val="-0.14184386601599672"/>
                </c:manualLayout>
              </c:layout>
              <c:showLegendKey val="0"/>
              <c:showVal val="1"/>
              <c:showCatName val="0"/>
              <c:showSerName val="0"/>
              <c:showPercent val="0"/>
              <c:showBubbleSize val="0"/>
            </c:dLbl>
            <c:dLbl>
              <c:idx val="10"/>
              <c:layout>
                <c:manualLayout>
                  <c:x val="-2.0061728395061727E-2"/>
                  <c:y val="-0.1513001237503965"/>
                </c:manualLayout>
              </c:layout>
              <c:showLegendKey val="0"/>
              <c:showVal val="1"/>
              <c:showCatName val="0"/>
              <c:showSerName val="0"/>
              <c:showPercent val="0"/>
              <c:showBubbleSize val="0"/>
            </c:dLbl>
            <c:dLbl>
              <c:idx val="11"/>
              <c:layout>
                <c:manualLayout>
                  <c:x val="-2.3148148148148147E-2"/>
                  <c:y val="-0.14184386601599672"/>
                </c:manualLayout>
              </c:layout>
              <c:showLegendKey val="0"/>
              <c:showVal val="1"/>
              <c:showCatName val="0"/>
              <c:showSerName val="0"/>
              <c:showPercent val="0"/>
              <c:showBubbleSize val="0"/>
            </c:dLbl>
            <c:spPr>
              <a:solidFill>
                <a:schemeClr val="bg1">
                  <a:lumMod val="95000"/>
                </a:schemeClr>
              </a:solidFill>
            </c:spPr>
            <c:txPr>
              <a:bodyPr/>
              <a:lstStyle/>
              <a:p>
                <a:pPr>
                  <a:defRPr/>
                </a:pPr>
                <a:endParaRPr lang="en-US"/>
              </a:p>
            </c:txPr>
            <c:showLegendKey val="0"/>
            <c:showVal val="1"/>
            <c:showCatName val="0"/>
            <c:showSerName val="0"/>
            <c:showPercent val="0"/>
            <c:showBubbleSize val="0"/>
            <c:showLeaderLines val="0"/>
          </c:dLbls>
          <c:cat>
            <c:strRef>
              <c:f>'Mobile Sales Report'!$I$4:$I$16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'Mobile Sales Report'!$J$4:$J$16</c:f>
              <c:numCache>
                <c:formatCode>General</c:formatCode>
                <c:ptCount val="12"/>
                <c:pt idx="0">
                  <c:v>1672</c:v>
                </c:pt>
                <c:pt idx="1">
                  <c:v>1451</c:v>
                </c:pt>
                <c:pt idx="2">
                  <c:v>1696</c:v>
                </c:pt>
                <c:pt idx="3">
                  <c:v>1528</c:v>
                </c:pt>
                <c:pt idx="4">
                  <c:v>1625</c:v>
                </c:pt>
                <c:pt idx="5">
                  <c:v>1597</c:v>
                </c:pt>
                <c:pt idx="6">
                  <c:v>1700</c:v>
                </c:pt>
                <c:pt idx="7">
                  <c:v>1592</c:v>
                </c:pt>
                <c:pt idx="8">
                  <c:v>1521</c:v>
                </c:pt>
                <c:pt idx="9">
                  <c:v>1577</c:v>
                </c:pt>
                <c:pt idx="10">
                  <c:v>1582</c:v>
                </c:pt>
                <c:pt idx="11">
                  <c:v>1609</c:v>
                </c:pt>
              </c:numCache>
            </c:numRef>
          </c:val>
          <c:smooth val="0"/>
        </c:ser>
        <c:dLbls>
          <c:showLegendKey val="0"/>
          <c:showVal val="0"/>
          <c:showCatName val="0"/>
          <c:showSerName val="0"/>
          <c:showPercent val="0"/>
          <c:showBubbleSize val="0"/>
        </c:dLbls>
        <c:marker val="1"/>
        <c:smooth val="0"/>
        <c:axId val="47646592"/>
        <c:axId val="47648128"/>
      </c:lineChart>
      <c:catAx>
        <c:axId val="47646592"/>
        <c:scaling>
          <c:orientation val="minMax"/>
        </c:scaling>
        <c:delete val="0"/>
        <c:axPos val="b"/>
        <c:majorTickMark val="out"/>
        <c:minorTickMark val="none"/>
        <c:tickLblPos val="nextTo"/>
        <c:crossAx val="47648128"/>
        <c:crosses val="autoZero"/>
        <c:auto val="1"/>
        <c:lblAlgn val="ctr"/>
        <c:lblOffset val="100"/>
        <c:noMultiLvlLbl val="0"/>
      </c:catAx>
      <c:valAx>
        <c:axId val="47648128"/>
        <c:scaling>
          <c:orientation val="minMax"/>
        </c:scaling>
        <c:delete val="1"/>
        <c:axPos val="l"/>
        <c:numFmt formatCode="General" sourceLinked="1"/>
        <c:majorTickMark val="out"/>
        <c:minorTickMark val="none"/>
        <c:tickLblPos val="nextTo"/>
        <c:crossAx val="47646592"/>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Sales Analysis.xlsx]Mobile Sales Report!Customer_Ratings by Rating_Status</c:name>
    <c:fmtId val="2"/>
  </c:pivotSource>
  <c:chart>
    <c:title>
      <c:tx>
        <c:rich>
          <a:bodyPr/>
          <a:lstStyle/>
          <a:p>
            <a:pPr>
              <a:defRPr/>
            </a:pPr>
            <a:r>
              <a:rPr lang="en-US" sz="1200" b="0">
                <a:solidFill>
                  <a:schemeClr val="tx1">
                    <a:lumMod val="50000"/>
                    <a:lumOff val="50000"/>
                  </a:schemeClr>
                </a:solidFill>
              </a:rPr>
              <a:t>Rating</a:t>
            </a:r>
            <a:r>
              <a:rPr lang="en-US" sz="1200" b="0" baseline="0">
                <a:solidFill>
                  <a:schemeClr val="tx1">
                    <a:lumMod val="50000"/>
                    <a:lumOff val="50000"/>
                  </a:schemeClr>
                </a:solidFill>
              </a:rPr>
              <a:t> by Rating_Status</a:t>
            </a:r>
            <a:endParaRPr lang="en-US" sz="1200" b="0">
              <a:solidFill>
                <a:schemeClr val="tx1">
                  <a:lumMod val="50000"/>
                  <a:lumOff val="50000"/>
                </a:schemeClr>
              </a:solidFill>
            </a:endParaRPr>
          </a:p>
        </c:rich>
      </c:tx>
      <c:layout>
        <c:manualLayout>
          <c:xMode val="edge"/>
          <c:yMode val="edge"/>
          <c:x val="2.2222222222222534E-3"/>
          <c:y val="0"/>
        </c:manualLayout>
      </c:layout>
      <c:overlay val="0"/>
    </c:title>
    <c:autoTitleDeleted val="0"/>
    <c:pivotFmts>
      <c:pivotFmt>
        <c:idx val="0"/>
        <c:marker>
          <c:symbol val="none"/>
        </c:marker>
      </c:pivotFmt>
      <c:pivotFmt>
        <c:idx val="1"/>
        <c:marker>
          <c:symbol val="none"/>
        </c:marker>
      </c:pivotFmt>
      <c:pivotFmt>
        <c:idx val="2"/>
        <c:spPr>
          <a:solidFill>
            <a:schemeClr val="accent2">
              <a:lumMod val="75000"/>
            </a:schemeClr>
          </a:solidFill>
        </c:spPr>
        <c:marker>
          <c:symbol val="none"/>
        </c:marker>
        <c:dLbl>
          <c:idx val="0"/>
          <c:layout/>
          <c:spPr>
            <a:solidFill>
              <a:schemeClr val="bg1">
                <a:lumMod val="95000"/>
              </a:schemeClr>
            </a:solidFill>
          </c:spPr>
          <c:txPr>
            <a:bodyPr/>
            <a:lstStyle/>
            <a:p>
              <a:pPr>
                <a:defRPr/>
              </a:pPr>
              <a:endParaRPr lang="en-US"/>
            </a:p>
          </c:txPr>
          <c:showLegendKey val="0"/>
          <c:showVal val="1"/>
          <c:showCatName val="1"/>
          <c:showSerName val="0"/>
          <c:showPercent val="0"/>
          <c:showBubbleSize val="0"/>
          <c:separator>; </c:separator>
        </c:dLbl>
      </c:pivotFmt>
    </c:pivotFmts>
    <c:plotArea>
      <c:layout>
        <c:manualLayout>
          <c:layoutTarget val="inner"/>
          <c:xMode val="edge"/>
          <c:yMode val="edge"/>
          <c:x val="3.3950617283950615E-2"/>
          <c:y val="0.21884057971014492"/>
          <c:w val="0.84259259259259256"/>
          <c:h val="0.72318840579710131"/>
        </c:manualLayout>
      </c:layout>
      <c:barChart>
        <c:barDir val="bar"/>
        <c:grouping val="clustered"/>
        <c:varyColors val="0"/>
        <c:ser>
          <c:idx val="0"/>
          <c:order val="0"/>
          <c:tx>
            <c:strRef>
              <c:f>'Mobile Sales Report'!$M$3</c:f>
              <c:strCache>
                <c:ptCount val="1"/>
                <c:pt idx="0">
                  <c:v>Total</c:v>
                </c:pt>
              </c:strCache>
            </c:strRef>
          </c:tx>
          <c:spPr>
            <a:solidFill>
              <a:schemeClr val="accent2">
                <a:lumMod val="75000"/>
              </a:schemeClr>
            </a:solidFill>
          </c:spPr>
          <c:invertIfNegative val="0"/>
          <c:dLbls>
            <c:spPr>
              <a:solidFill>
                <a:schemeClr val="bg1">
                  <a:lumMod val="95000"/>
                </a:schemeClr>
              </a:solidFill>
            </c:spPr>
            <c:txPr>
              <a:bodyPr/>
              <a:lstStyle/>
              <a:p>
                <a:pPr>
                  <a:defRPr/>
                </a:pPr>
                <a:endParaRPr lang="en-US"/>
              </a:p>
            </c:txPr>
            <c:showLegendKey val="0"/>
            <c:showVal val="1"/>
            <c:showCatName val="1"/>
            <c:showSerName val="0"/>
            <c:showPercent val="0"/>
            <c:showBubbleSize val="0"/>
            <c:separator>; </c:separator>
            <c:showLeaderLines val="0"/>
          </c:dLbls>
          <c:cat>
            <c:strRef>
              <c:f>'Mobile Sales Report'!$L$4:$L$7</c:f>
              <c:strCache>
                <c:ptCount val="3"/>
                <c:pt idx="0">
                  <c:v>Average</c:v>
                </c:pt>
                <c:pt idx="1">
                  <c:v>Poor</c:v>
                </c:pt>
                <c:pt idx="2">
                  <c:v>Good</c:v>
                </c:pt>
              </c:strCache>
            </c:strRef>
          </c:cat>
          <c:val>
            <c:numRef>
              <c:f>'Mobile Sales Report'!$M$4:$M$7</c:f>
              <c:numCache>
                <c:formatCode>General</c:formatCode>
                <c:ptCount val="3"/>
                <c:pt idx="0">
                  <c:v>652</c:v>
                </c:pt>
                <c:pt idx="1">
                  <c:v>852</c:v>
                </c:pt>
                <c:pt idx="2">
                  <c:v>2331</c:v>
                </c:pt>
              </c:numCache>
            </c:numRef>
          </c:val>
        </c:ser>
        <c:dLbls>
          <c:showLegendKey val="0"/>
          <c:showVal val="0"/>
          <c:showCatName val="0"/>
          <c:showSerName val="0"/>
          <c:showPercent val="0"/>
          <c:showBubbleSize val="0"/>
        </c:dLbls>
        <c:gapWidth val="20"/>
        <c:axId val="48375680"/>
        <c:axId val="48377216"/>
      </c:barChart>
      <c:catAx>
        <c:axId val="48375680"/>
        <c:scaling>
          <c:orientation val="minMax"/>
        </c:scaling>
        <c:delete val="1"/>
        <c:axPos val="l"/>
        <c:majorTickMark val="out"/>
        <c:minorTickMark val="none"/>
        <c:tickLblPos val="nextTo"/>
        <c:crossAx val="48377216"/>
        <c:crosses val="autoZero"/>
        <c:auto val="1"/>
        <c:lblAlgn val="ctr"/>
        <c:lblOffset val="100"/>
        <c:noMultiLvlLbl val="0"/>
      </c:catAx>
      <c:valAx>
        <c:axId val="48377216"/>
        <c:scaling>
          <c:orientation val="minMax"/>
        </c:scaling>
        <c:delete val="1"/>
        <c:axPos val="b"/>
        <c:numFmt formatCode="General" sourceLinked="1"/>
        <c:majorTickMark val="out"/>
        <c:minorTickMark val="none"/>
        <c:tickLblPos val="nextTo"/>
        <c:crossAx val="48375680"/>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Sales Analysis.xlsx]Mobile Sales Report!Total_Transcations by Payment_Method</c:name>
    <c:fmtId val="2"/>
  </c:pivotSource>
  <c:chart>
    <c:title>
      <c:tx>
        <c:rich>
          <a:bodyPr/>
          <a:lstStyle/>
          <a:p>
            <a:pPr>
              <a:defRPr/>
            </a:pPr>
            <a:r>
              <a:rPr lang="en-US" sz="1200" b="0">
                <a:solidFill>
                  <a:schemeClr val="tx1">
                    <a:lumMod val="50000"/>
                    <a:lumOff val="50000"/>
                  </a:schemeClr>
                </a:solidFill>
              </a:rPr>
              <a:t>Transactions</a:t>
            </a:r>
            <a:r>
              <a:rPr lang="en-US" sz="1200" b="0" baseline="0">
                <a:solidFill>
                  <a:schemeClr val="tx1">
                    <a:lumMod val="50000"/>
                    <a:lumOff val="50000"/>
                  </a:schemeClr>
                </a:solidFill>
              </a:rPr>
              <a:t> by Payment_Method</a:t>
            </a:r>
            <a:endParaRPr lang="en-US" sz="1200" b="0">
              <a:solidFill>
                <a:schemeClr val="tx1">
                  <a:lumMod val="50000"/>
                  <a:lumOff val="50000"/>
                </a:schemeClr>
              </a:solidFill>
            </a:endParaRPr>
          </a:p>
        </c:rich>
      </c:tx>
      <c:layout>
        <c:manualLayout>
          <c:xMode val="edge"/>
          <c:yMode val="edge"/>
          <c:x val="2.839506172839506E-3"/>
          <c:y val="9.6452792851978737E-3"/>
        </c:manualLayout>
      </c:layout>
      <c:overlay val="0"/>
    </c:title>
    <c:autoTitleDeleted val="0"/>
    <c:pivotFmts>
      <c:pivotFmt>
        <c:idx val="0"/>
        <c:marker>
          <c:symbol val="none"/>
        </c:marker>
      </c:pivotFmt>
      <c:pivotFmt>
        <c:idx val="1"/>
        <c:marker>
          <c:symbol val="none"/>
        </c:marker>
      </c:pivotFmt>
      <c:pivotFmt>
        <c:idx val="2"/>
        <c:marker>
          <c:symbol val="none"/>
        </c:marker>
        <c:dLbl>
          <c:idx val="0"/>
          <c:layout/>
          <c:numFmt formatCode="0.00%" sourceLinked="0"/>
          <c:spPr/>
          <c:txPr>
            <a:bodyPr/>
            <a:lstStyle/>
            <a:p>
              <a:pPr>
                <a:defRPr>
                  <a:solidFill>
                    <a:schemeClr val="bg1"/>
                  </a:solidFill>
                </a:defRPr>
              </a:pPr>
              <a:endParaRPr lang="en-US"/>
            </a:p>
          </c:txPr>
          <c:showLegendKey val="0"/>
          <c:showVal val="0"/>
          <c:showCatName val="0"/>
          <c:showSerName val="0"/>
          <c:showPercent val="1"/>
          <c:showBubbleSize val="0"/>
        </c:dLbl>
      </c:pivotFmt>
      <c:pivotFmt>
        <c:idx val="3"/>
        <c:spPr>
          <a:solidFill>
            <a:srgbClr val="FFC000"/>
          </a:solidFill>
        </c:spPr>
      </c:pivotFmt>
    </c:pivotFmts>
    <c:plotArea>
      <c:layout>
        <c:manualLayout>
          <c:layoutTarget val="inner"/>
          <c:xMode val="edge"/>
          <c:yMode val="edge"/>
          <c:x val="0.65141270535627493"/>
          <c:y val="0"/>
          <c:w val="0.30419704481384269"/>
          <c:h val="0.99555475666488247"/>
        </c:manualLayout>
      </c:layout>
      <c:pieChart>
        <c:varyColors val="1"/>
        <c:ser>
          <c:idx val="0"/>
          <c:order val="0"/>
          <c:tx>
            <c:strRef>
              <c:f>'Mobile Sales Report'!$P$3</c:f>
              <c:strCache>
                <c:ptCount val="1"/>
                <c:pt idx="0">
                  <c:v>Total</c:v>
                </c:pt>
              </c:strCache>
            </c:strRef>
          </c:tx>
          <c:explosion val="2"/>
          <c:dPt>
            <c:idx val="3"/>
            <c:bubble3D val="0"/>
            <c:spPr>
              <a:solidFill>
                <a:srgbClr val="FFC000"/>
              </a:solidFill>
            </c:spPr>
          </c:dPt>
          <c:dLbls>
            <c:numFmt formatCode="0.00%" sourceLinked="0"/>
            <c:spPr/>
            <c:txPr>
              <a:bodyPr/>
              <a:lstStyle/>
              <a:p>
                <a:pPr>
                  <a:defRPr>
                    <a:solidFill>
                      <a:schemeClr val="bg1"/>
                    </a:solidFill>
                  </a:defRPr>
                </a:pPr>
                <a:endParaRPr lang="en-US"/>
              </a:p>
            </c:txPr>
            <c:showLegendKey val="0"/>
            <c:showVal val="0"/>
            <c:showCatName val="0"/>
            <c:showSerName val="0"/>
            <c:showPercent val="1"/>
            <c:showBubbleSize val="0"/>
            <c:showLeaderLines val="1"/>
          </c:dLbls>
          <c:cat>
            <c:strRef>
              <c:f>'Mobile Sales Report'!$O$4:$O$8</c:f>
              <c:strCache>
                <c:ptCount val="4"/>
                <c:pt idx="0">
                  <c:v>Cash</c:v>
                </c:pt>
                <c:pt idx="1">
                  <c:v>Credit Card</c:v>
                </c:pt>
                <c:pt idx="2">
                  <c:v>Debit Card</c:v>
                </c:pt>
                <c:pt idx="3">
                  <c:v>UPI</c:v>
                </c:pt>
              </c:strCache>
            </c:strRef>
          </c:cat>
          <c:val>
            <c:numRef>
              <c:f>'Mobile Sales Report'!$P$4:$P$8</c:f>
              <c:numCache>
                <c:formatCode>General</c:formatCode>
                <c:ptCount val="4"/>
                <c:pt idx="0">
                  <c:v>929</c:v>
                </c:pt>
                <c:pt idx="1">
                  <c:v>947</c:v>
                </c:pt>
                <c:pt idx="2">
                  <c:v>948</c:v>
                </c:pt>
                <c:pt idx="3">
                  <c:v>1011</c:v>
                </c:pt>
              </c:numCache>
            </c:numRef>
          </c:val>
        </c:ser>
        <c:dLbls>
          <c:showLegendKey val="0"/>
          <c:showVal val="0"/>
          <c:showCatName val="0"/>
          <c:showSerName val="0"/>
          <c:showPercent val="0"/>
          <c:showBubbleSize val="0"/>
          <c:showLeaderLines val="1"/>
        </c:dLbls>
        <c:firstSliceAng val="0"/>
      </c:pieChart>
      <c:spPr>
        <a:noFill/>
        <a:ln>
          <a:noFill/>
        </a:ln>
      </c:spPr>
    </c:plotArea>
    <c:legend>
      <c:legendPos val="l"/>
      <c:layout>
        <c:manualLayout>
          <c:xMode val="edge"/>
          <c:yMode val="edge"/>
          <c:x val="1.8518518518518517E-2"/>
          <c:y val="0.22424817008523829"/>
          <c:w val="0.30183556916496551"/>
          <c:h val="0.74998787082468055"/>
        </c:manualLayout>
      </c:layout>
      <c:overlay val="0"/>
    </c:legend>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Sales Analysis.xlsx]Mobile Sales Report!Total_Sales by Mobile_Model</c:name>
    <c:fmtId val="2"/>
  </c:pivotSource>
  <c:chart>
    <c:title>
      <c:tx>
        <c:rich>
          <a:bodyPr/>
          <a:lstStyle/>
          <a:p>
            <a:pPr>
              <a:defRPr>
                <a:solidFill>
                  <a:schemeClr val="tx1">
                    <a:lumMod val="50000"/>
                    <a:lumOff val="50000"/>
                  </a:schemeClr>
                </a:solidFill>
              </a:defRPr>
            </a:pPr>
            <a:r>
              <a:rPr lang="en-US" sz="1200" b="0">
                <a:solidFill>
                  <a:schemeClr val="tx1">
                    <a:lumMod val="50000"/>
                    <a:lumOff val="50000"/>
                  </a:schemeClr>
                </a:solidFill>
              </a:rPr>
              <a:t>Total_Sales</a:t>
            </a:r>
            <a:r>
              <a:rPr lang="en-US" sz="1200" b="0" baseline="0">
                <a:solidFill>
                  <a:schemeClr val="tx1">
                    <a:lumMod val="50000"/>
                    <a:lumOff val="50000"/>
                  </a:schemeClr>
                </a:solidFill>
              </a:rPr>
              <a:t> by Mobile_Model</a:t>
            </a:r>
            <a:endParaRPr lang="en-US" sz="1200" b="0">
              <a:solidFill>
                <a:schemeClr val="tx1">
                  <a:lumMod val="50000"/>
                  <a:lumOff val="50000"/>
                </a:schemeClr>
              </a:solidFill>
            </a:endParaRPr>
          </a:p>
        </c:rich>
      </c:tx>
      <c:layout>
        <c:manualLayout>
          <c:xMode val="edge"/>
          <c:yMode val="edge"/>
          <c:x val="6.7901234567900885E-4"/>
          <c:y val="0"/>
        </c:manualLayout>
      </c:layout>
      <c:overlay val="0"/>
    </c:title>
    <c:autoTitleDeleted val="0"/>
    <c:pivotFmts>
      <c:pivotFmt>
        <c:idx val="0"/>
        <c:marker>
          <c:symbol val="none"/>
        </c:marker>
      </c:pivotFmt>
      <c:pivotFmt>
        <c:idx val="1"/>
        <c:marker>
          <c:symbol val="none"/>
        </c:marker>
      </c:pivotFmt>
      <c:pivotFmt>
        <c:idx val="2"/>
        <c:spPr>
          <a:solidFill>
            <a:schemeClr val="accent2">
              <a:lumMod val="75000"/>
            </a:schemeClr>
          </a:solidFill>
        </c:spPr>
        <c:marker>
          <c:symbol val="none"/>
        </c:marker>
        <c:dLbl>
          <c:idx val="0"/>
          <c:layout/>
          <c:numFmt formatCode="[$₹-439]\ #,##0.0,,\ &quot;M&quot;" sourceLinked="0"/>
          <c:spPr>
            <a:solidFill>
              <a:schemeClr val="bg1">
                <a:lumMod val="95000"/>
              </a:schemeClr>
            </a:solidFill>
          </c:spPr>
          <c:txPr>
            <a:bodyPr/>
            <a:lstStyle/>
            <a:p>
              <a:pPr>
                <a:defRPr sz="860"/>
              </a:pPr>
              <a:endParaRPr lang="en-US"/>
            </a:p>
          </c:txPr>
          <c:showLegendKey val="0"/>
          <c:showVal val="1"/>
          <c:showCatName val="0"/>
          <c:showSerName val="0"/>
          <c:showPercent val="0"/>
          <c:showBubbleSize val="0"/>
        </c:dLbl>
      </c:pivotFmt>
    </c:pivotFmts>
    <c:plotArea>
      <c:layout>
        <c:manualLayout>
          <c:layoutTarget val="inner"/>
          <c:xMode val="edge"/>
          <c:yMode val="edge"/>
          <c:x val="0.23929328278409642"/>
          <c:y val="0.26446383961041015"/>
          <c:w val="0.60552153203071835"/>
          <c:h val="0.55017265914049895"/>
        </c:manualLayout>
      </c:layout>
      <c:barChart>
        <c:barDir val="bar"/>
        <c:grouping val="clustered"/>
        <c:varyColors val="0"/>
        <c:ser>
          <c:idx val="0"/>
          <c:order val="0"/>
          <c:tx>
            <c:strRef>
              <c:f>'Mobile Sales Report'!$S$3</c:f>
              <c:strCache>
                <c:ptCount val="1"/>
                <c:pt idx="0">
                  <c:v>Total</c:v>
                </c:pt>
              </c:strCache>
            </c:strRef>
          </c:tx>
          <c:spPr>
            <a:solidFill>
              <a:schemeClr val="accent2">
                <a:lumMod val="75000"/>
              </a:schemeClr>
            </a:solidFill>
          </c:spPr>
          <c:invertIfNegative val="0"/>
          <c:dLbls>
            <c:numFmt formatCode="[$₹-439]\ #,##0.0,,\ &quot;M&quot;" sourceLinked="0"/>
            <c:spPr>
              <a:solidFill>
                <a:schemeClr val="bg1">
                  <a:lumMod val="95000"/>
                </a:schemeClr>
              </a:solidFill>
            </c:spPr>
            <c:txPr>
              <a:bodyPr/>
              <a:lstStyle/>
              <a:p>
                <a:pPr>
                  <a:defRPr sz="860"/>
                </a:pPr>
                <a:endParaRPr lang="en-US"/>
              </a:p>
            </c:txPr>
            <c:showLegendKey val="0"/>
            <c:showVal val="1"/>
            <c:showCatName val="0"/>
            <c:showSerName val="0"/>
            <c:showPercent val="0"/>
            <c:showBubbleSize val="0"/>
            <c:showLeaderLines val="0"/>
          </c:dLbls>
          <c:cat>
            <c:strRef>
              <c:f>'Mobile Sales Report'!$R$4:$R$7</c:f>
              <c:strCache>
                <c:ptCount val="3"/>
                <c:pt idx="0">
                  <c:v>Galaxy Note 20</c:v>
                </c:pt>
                <c:pt idx="1">
                  <c:v>OnePlus Nord</c:v>
                </c:pt>
                <c:pt idx="2">
                  <c:v>iPhone SE</c:v>
                </c:pt>
              </c:strCache>
            </c:strRef>
          </c:cat>
          <c:val>
            <c:numRef>
              <c:f>'Mobile Sales Report'!$S$4:$S$7</c:f>
              <c:numCache>
                <c:formatCode>General</c:formatCode>
                <c:ptCount val="3"/>
                <c:pt idx="0">
                  <c:v>56005282.170000024</c:v>
                </c:pt>
                <c:pt idx="1">
                  <c:v>57888590.529999986</c:v>
                </c:pt>
                <c:pt idx="2">
                  <c:v>59572003.520000026</c:v>
                </c:pt>
              </c:numCache>
            </c:numRef>
          </c:val>
        </c:ser>
        <c:dLbls>
          <c:showLegendKey val="0"/>
          <c:showVal val="0"/>
          <c:showCatName val="0"/>
          <c:showSerName val="0"/>
          <c:showPercent val="0"/>
          <c:showBubbleSize val="0"/>
        </c:dLbls>
        <c:gapWidth val="20"/>
        <c:axId val="48778240"/>
        <c:axId val="48780032"/>
      </c:barChart>
      <c:catAx>
        <c:axId val="48778240"/>
        <c:scaling>
          <c:orientation val="minMax"/>
        </c:scaling>
        <c:delete val="0"/>
        <c:axPos val="l"/>
        <c:majorTickMark val="out"/>
        <c:minorTickMark val="none"/>
        <c:tickLblPos val="nextTo"/>
        <c:crossAx val="48780032"/>
        <c:crosses val="autoZero"/>
        <c:auto val="1"/>
        <c:lblAlgn val="ctr"/>
        <c:lblOffset val="100"/>
        <c:noMultiLvlLbl val="0"/>
      </c:catAx>
      <c:valAx>
        <c:axId val="48780032"/>
        <c:scaling>
          <c:orientation val="minMax"/>
          <c:max val="60000000"/>
          <c:min val="0"/>
        </c:scaling>
        <c:delete val="0"/>
        <c:axPos val="b"/>
        <c:numFmt formatCode="[$₹-439]\ #,##0.0,,\ &quot;M&quot;" sourceLinked="0"/>
        <c:majorTickMark val="out"/>
        <c:minorTickMark val="none"/>
        <c:tickLblPos val="nextTo"/>
        <c:crossAx val="48778240"/>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Sales Analysis.xlsx]Mobile Sales Report!Total_Sales by Days</c:name>
    <c:fmtId val="2"/>
  </c:pivotSource>
  <c:chart>
    <c:title>
      <c:tx>
        <c:rich>
          <a:bodyPr/>
          <a:lstStyle/>
          <a:p>
            <a:pPr>
              <a:defRPr/>
            </a:pPr>
            <a:r>
              <a:rPr lang="en-US" sz="1200" b="0">
                <a:solidFill>
                  <a:schemeClr val="tx1">
                    <a:lumMod val="50000"/>
                    <a:lumOff val="50000"/>
                  </a:schemeClr>
                </a:solidFill>
              </a:rPr>
              <a:t>Total_Sales</a:t>
            </a:r>
            <a:r>
              <a:rPr lang="en-US" sz="1200" b="0" baseline="0">
                <a:solidFill>
                  <a:schemeClr val="tx1">
                    <a:lumMod val="50000"/>
                    <a:lumOff val="50000"/>
                  </a:schemeClr>
                </a:solidFill>
              </a:rPr>
              <a:t> by Days</a:t>
            </a:r>
            <a:endParaRPr lang="en-US" sz="1200" b="0">
              <a:solidFill>
                <a:schemeClr val="tx1">
                  <a:lumMod val="50000"/>
                  <a:lumOff val="50000"/>
                </a:schemeClr>
              </a:solidFill>
            </a:endParaRPr>
          </a:p>
        </c:rich>
      </c:tx>
      <c:layout>
        <c:manualLayout>
          <c:xMode val="edge"/>
          <c:yMode val="edge"/>
          <c:x val="8.9572562130429932E-3"/>
          <c:y val="0"/>
        </c:manualLayout>
      </c:layout>
      <c:overlay val="0"/>
    </c:title>
    <c:autoTitleDeleted val="0"/>
    <c:pivotFmts>
      <c:pivotFmt>
        <c:idx val="0"/>
        <c:marker>
          <c:symbol val="none"/>
        </c:marker>
      </c:pivotFmt>
      <c:pivotFmt>
        <c:idx val="1"/>
        <c:marker>
          <c:symbol val="none"/>
        </c:marker>
      </c:pivotFmt>
      <c:pivotFmt>
        <c:idx val="2"/>
        <c:spPr>
          <a:solidFill>
            <a:srgbClr val="00B0F0">
              <a:alpha val="41000"/>
            </a:srgbClr>
          </a:solidFill>
          <a:ln w="25400">
            <a:solidFill>
              <a:srgbClr val="00B0F0"/>
            </a:solidFill>
          </a:ln>
        </c:spPr>
        <c:marker>
          <c:symbol val="none"/>
        </c:marker>
        <c:dLbl>
          <c:idx val="0"/>
          <c:numFmt formatCode="[$₹-439]\ #,##0.0,,\ &quot;M&quot;" sourceLinked="0"/>
          <c:spPr>
            <a:solidFill>
              <a:schemeClr val="bg1">
                <a:lumMod val="95000"/>
              </a:schemeClr>
            </a:solidFill>
          </c:spPr>
          <c:txPr>
            <a:bodyPr/>
            <a:lstStyle/>
            <a:p>
              <a:pPr>
                <a:defRPr sz="860"/>
              </a:pPr>
              <a:endParaRPr lang="en-US"/>
            </a:p>
          </c:txPr>
          <c:showLegendKey val="0"/>
          <c:showVal val="1"/>
          <c:showCatName val="0"/>
          <c:showSerName val="0"/>
          <c:showPercent val="0"/>
          <c:showBubbleSize val="0"/>
        </c:dLbl>
      </c:pivotFmt>
      <c:pivotFmt>
        <c:idx val="3"/>
        <c:dLbl>
          <c:idx val="0"/>
          <c:layout>
            <c:manualLayout>
              <c:x val="0"/>
              <c:y val="-0.29407224451991348"/>
            </c:manualLayout>
          </c:layout>
          <c:showLegendKey val="0"/>
          <c:showVal val="1"/>
          <c:showCatName val="0"/>
          <c:showSerName val="0"/>
          <c:showPercent val="0"/>
          <c:showBubbleSize val="0"/>
        </c:dLbl>
      </c:pivotFmt>
      <c:pivotFmt>
        <c:idx val="4"/>
        <c:dLbl>
          <c:idx val="0"/>
          <c:layout>
            <c:manualLayout>
              <c:x val="-3.0935808197989174E-3"/>
              <c:y val="-0.28427060821241124"/>
            </c:manualLayout>
          </c:layout>
          <c:showLegendKey val="0"/>
          <c:showVal val="1"/>
          <c:showCatName val="0"/>
          <c:showSerName val="0"/>
          <c:showPercent val="0"/>
          <c:showBubbleSize val="0"/>
        </c:dLbl>
      </c:pivotFmt>
      <c:pivotFmt>
        <c:idx val="5"/>
        <c:dLbl>
          <c:idx val="0"/>
          <c:layout>
            <c:manualLayout>
              <c:x val="-3.0935808197989174E-3"/>
              <c:y val="-0.24506020376659463"/>
            </c:manualLayout>
          </c:layout>
          <c:showLegendKey val="0"/>
          <c:showVal val="1"/>
          <c:showCatName val="0"/>
          <c:showSerName val="0"/>
          <c:showPercent val="0"/>
          <c:showBubbleSize val="0"/>
        </c:dLbl>
      </c:pivotFmt>
      <c:pivotFmt>
        <c:idx val="6"/>
        <c:dLbl>
          <c:idx val="0"/>
          <c:layout>
            <c:manualLayout>
              <c:x val="0"/>
              <c:y val="-0.2646650200679222"/>
            </c:manualLayout>
          </c:layout>
          <c:showLegendKey val="0"/>
          <c:showVal val="1"/>
          <c:showCatName val="0"/>
          <c:showSerName val="0"/>
          <c:showPercent val="0"/>
          <c:showBubbleSize val="0"/>
        </c:dLbl>
      </c:pivotFmt>
      <c:pivotFmt>
        <c:idx val="7"/>
        <c:dLbl>
          <c:idx val="0"/>
          <c:layout>
            <c:manualLayout>
              <c:x val="-3.0935808197989174E-3"/>
              <c:y val="-0.29407224451991359"/>
            </c:manualLayout>
          </c:layout>
          <c:showLegendKey val="0"/>
          <c:showVal val="1"/>
          <c:showCatName val="0"/>
          <c:showSerName val="0"/>
          <c:showPercent val="0"/>
          <c:showBubbleSize val="0"/>
        </c:dLbl>
      </c:pivotFmt>
      <c:pivotFmt>
        <c:idx val="8"/>
        <c:dLbl>
          <c:idx val="0"/>
          <c:layout>
            <c:manualLayout>
              <c:x val="3.0935808197989174E-3"/>
              <c:y val="-0.31367706082124108"/>
            </c:manualLayout>
          </c:layout>
          <c:showLegendKey val="0"/>
          <c:showVal val="1"/>
          <c:showCatName val="0"/>
          <c:showSerName val="0"/>
          <c:showPercent val="0"/>
          <c:showBubbleSize val="0"/>
        </c:dLbl>
      </c:pivotFmt>
      <c:pivotFmt>
        <c:idx val="9"/>
        <c:dLbl>
          <c:idx val="0"/>
          <c:layout>
            <c:manualLayout>
              <c:x val="0"/>
              <c:y val="-0.30387542451373883"/>
            </c:manualLayout>
          </c:layout>
          <c:showLegendKey val="0"/>
          <c:showVal val="1"/>
          <c:showCatName val="0"/>
          <c:showSerName val="0"/>
          <c:showPercent val="0"/>
          <c:showBubbleSize val="0"/>
        </c:dLbl>
      </c:pivotFmt>
    </c:pivotFmts>
    <c:plotArea>
      <c:layout>
        <c:manualLayout>
          <c:layoutTarget val="inner"/>
          <c:xMode val="edge"/>
          <c:yMode val="edge"/>
          <c:x val="4.8074245939675173E-2"/>
          <c:y val="0.19261732016054336"/>
          <c:w val="0.9099999391027398"/>
          <c:h val="0.61082818771225689"/>
        </c:manualLayout>
      </c:layout>
      <c:areaChart>
        <c:grouping val="stacked"/>
        <c:varyColors val="0"/>
        <c:ser>
          <c:idx val="0"/>
          <c:order val="0"/>
          <c:tx>
            <c:strRef>
              <c:f>'Mobile Sales Report'!$V$3</c:f>
              <c:strCache>
                <c:ptCount val="1"/>
                <c:pt idx="0">
                  <c:v>Total</c:v>
                </c:pt>
              </c:strCache>
            </c:strRef>
          </c:tx>
          <c:spPr>
            <a:solidFill>
              <a:srgbClr val="00B0F0">
                <a:alpha val="41000"/>
              </a:srgbClr>
            </a:solidFill>
            <a:ln w="25400">
              <a:solidFill>
                <a:srgbClr val="00B0F0"/>
              </a:solidFill>
            </a:ln>
          </c:spPr>
          <c:dLbls>
            <c:dLbl>
              <c:idx val="0"/>
              <c:layout>
                <c:manualLayout>
                  <c:x val="0"/>
                  <c:y val="-0.29407224451991348"/>
                </c:manualLayout>
              </c:layout>
              <c:showLegendKey val="0"/>
              <c:showVal val="1"/>
              <c:showCatName val="0"/>
              <c:showSerName val="0"/>
              <c:showPercent val="0"/>
              <c:showBubbleSize val="0"/>
            </c:dLbl>
            <c:dLbl>
              <c:idx val="1"/>
              <c:layout>
                <c:manualLayout>
                  <c:x val="-3.0935808197989174E-3"/>
                  <c:y val="-0.28427060821241124"/>
                </c:manualLayout>
              </c:layout>
              <c:showLegendKey val="0"/>
              <c:showVal val="1"/>
              <c:showCatName val="0"/>
              <c:showSerName val="0"/>
              <c:showPercent val="0"/>
              <c:showBubbleSize val="0"/>
            </c:dLbl>
            <c:dLbl>
              <c:idx val="2"/>
              <c:layout>
                <c:manualLayout>
                  <c:x val="-3.0935808197989174E-3"/>
                  <c:y val="-0.24506020376659463"/>
                </c:manualLayout>
              </c:layout>
              <c:showLegendKey val="0"/>
              <c:showVal val="1"/>
              <c:showCatName val="0"/>
              <c:showSerName val="0"/>
              <c:showPercent val="0"/>
              <c:showBubbleSize val="0"/>
            </c:dLbl>
            <c:dLbl>
              <c:idx val="3"/>
              <c:layout>
                <c:manualLayout>
                  <c:x val="0"/>
                  <c:y val="-0.2646650200679222"/>
                </c:manualLayout>
              </c:layout>
              <c:showLegendKey val="0"/>
              <c:showVal val="1"/>
              <c:showCatName val="0"/>
              <c:showSerName val="0"/>
              <c:showPercent val="0"/>
              <c:showBubbleSize val="0"/>
            </c:dLbl>
            <c:dLbl>
              <c:idx val="4"/>
              <c:layout>
                <c:manualLayout>
                  <c:x val="-3.0935808197989174E-3"/>
                  <c:y val="-0.29407224451991359"/>
                </c:manualLayout>
              </c:layout>
              <c:showLegendKey val="0"/>
              <c:showVal val="1"/>
              <c:showCatName val="0"/>
              <c:showSerName val="0"/>
              <c:showPercent val="0"/>
              <c:showBubbleSize val="0"/>
            </c:dLbl>
            <c:dLbl>
              <c:idx val="5"/>
              <c:layout>
                <c:manualLayout>
                  <c:x val="3.0935808197989174E-3"/>
                  <c:y val="-0.31367706082124108"/>
                </c:manualLayout>
              </c:layout>
              <c:showLegendKey val="0"/>
              <c:showVal val="1"/>
              <c:showCatName val="0"/>
              <c:showSerName val="0"/>
              <c:showPercent val="0"/>
              <c:showBubbleSize val="0"/>
            </c:dLbl>
            <c:dLbl>
              <c:idx val="6"/>
              <c:layout>
                <c:manualLayout>
                  <c:x val="0"/>
                  <c:y val="-0.30387542451373883"/>
                </c:manualLayout>
              </c:layout>
              <c:showLegendKey val="0"/>
              <c:showVal val="1"/>
              <c:showCatName val="0"/>
              <c:showSerName val="0"/>
              <c:showPercent val="0"/>
              <c:showBubbleSize val="0"/>
            </c:dLbl>
            <c:numFmt formatCode="[$₹-439]\ #,##0.0,,\ &quot;M&quot;" sourceLinked="0"/>
            <c:spPr>
              <a:solidFill>
                <a:schemeClr val="bg1">
                  <a:lumMod val="95000"/>
                </a:schemeClr>
              </a:solidFill>
            </c:spPr>
            <c:txPr>
              <a:bodyPr/>
              <a:lstStyle/>
              <a:p>
                <a:pPr>
                  <a:defRPr sz="860"/>
                </a:pPr>
                <a:endParaRPr lang="en-US"/>
              </a:p>
            </c:txPr>
            <c:showLegendKey val="0"/>
            <c:showVal val="1"/>
            <c:showCatName val="0"/>
            <c:showSerName val="0"/>
            <c:showPercent val="0"/>
            <c:showBubbleSize val="0"/>
            <c:showLeaderLines val="0"/>
          </c:dLbls>
          <c:cat>
            <c:strRef>
              <c:f>'Mobile Sales Report'!$U$4:$U$11</c:f>
              <c:strCache>
                <c:ptCount val="7"/>
                <c:pt idx="0">
                  <c:v>Mon</c:v>
                </c:pt>
                <c:pt idx="1">
                  <c:v>Tue</c:v>
                </c:pt>
                <c:pt idx="2">
                  <c:v>Wed</c:v>
                </c:pt>
                <c:pt idx="3">
                  <c:v>Thu</c:v>
                </c:pt>
                <c:pt idx="4">
                  <c:v>Fri</c:v>
                </c:pt>
                <c:pt idx="5">
                  <c:v>Sat</c:v>
                </c:pt>
                <c:pt idx="6">
                  <c:v>Sun</c:v>
                </c:pt>
              </c:strCache>
            </c:strRef>
          </c:cat>
          <c:val>
            <c:numRef>
              <c:f>'Mobile Sales Report'!$V$4:$V$11</c:f>
              <c:numCache>
                <c:formatCode>General</c:formatCode>
                <c:ptCount val="7"/>
                <c:pt idx="0">
                  <c:v>113543379.95000011</c:v>
                </c:pt>
                <c:pt idx="1">
                  <c:v>109566845.13000004</c:v>
                </c:pt>
                <c:pt idx="2">
                  <c:v>104914665.53000008</c:v>
                </c:pt>
                <c:pt idx="3">
                  <c:v>106724167.28</c:v>
                </c:pt>
                <c:pt idx="4">
                  <c:v>111750250.55</c:v>
                </c:pt>
                <c:pt idx="5">
                  <c:v>114621857.79999998</c:v>
                </c:pt>
                <c:pt idx="6">
                  <c:v>108083821.73000002</c:v>
                </c:pt>
              </c:numCache>
            </c:numRef>
          </c:val>
        </c:ser>
        <c:dLbls>
          <c:showLegendKey val="0"/>
          <c:showVal val="0"/>
          <c:showCatName val="0"/>
          <c:showSerName val="0"/>
          <c:showPercent val="0"/>
          <c:showBubbleSize val="0"/>
        </c:dLbls>
        <c:axId val="48821760"/>
        <c:axId val="48823296"/>
      </c:areaChart>
      <c:catAx>
        <c:axId val="48821760"/>
        <c:scaling>
          <c:orientation val="minMax"/>
        </c:scaling>
        <c:delete val="0"/>
        <c:axPos val="b"/>
        <c:majorTickMark val="out"/>
        <c:minorTickMark val="none"/>
        <c:tickLblPos val="nextTo"/>
        <c:txPr>
          <a:bodyPr rot="0" vert="horz"/>
          <a:lstStyle/>
          <a:p>
            <a:pPr>
              <a:defRPr/>
            </a:pPr>
            <a:endParaRPr lang="en-US"/>
          </a:p>
        </c:txPr>
        <c:crossAx val="48823296"/>
        <c:crosses val="autoZero"/>
        <c:auto val="1"/>
        <c:lblAlgn val="ctr"/>
        <c:lblOffset val="100"/>
        <c:noMultiLvlLbl val="0"/>
      </c:catAx>
      <c:valAx>
        <c:axId val="48823296"/>
        <c:scaling>
          <c:orientation val="minMax"/>
        </c:scaling>
        <c:delete val="1"/>
        <c:axPos val="l"/>
        <c:numFmt formatCode="General" sourceLinked="1"/>
        <c:majorTickMark val="out"/>
        <c:minorTickMark val="none"/>
        <c:tickLblPos val="nextTo"/>
        <c:crossAx val="48821760"/>
        <c:crosses val="autoZero"/>
        <c:crossBetween val="midCat"/>
      </c:valAx>
      <c:spPr>
        <a:noFill/>
        <a:ln>
          <a:noFill/>
        </a:ln>
      </c:spPr>
    </c:plotArea>
    <c:plotVisOnly val="1"/>
    <c:dispBlanksAs val="zero"/>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Sales Analysis.xlsx]Mobile Sales Report!Total_Sales by Cities</c:name>
    <c:fmtId val="2"/>
  </c:pivotSource>
  <c:chart>
    <c:title>
      <c:tx>
        <c:rich>
          <a:bodyPr/>
          <a:lstStyle/>
          <a:p>
            <a:pPr>
              <a:defRPr/>
            </a:pPr>
            <a:r>
              <a:rPr lang="en-US" sz="1200" b="0">
                <a:solidFill>
                  <a:schemeClr val="tx1">
                    <a:lumMod val="50000"/>
                    <a:lumOff val="50000"/>
                  </a:schemeClr>
                </a:solidFill>
              </a:rPr>
              <a:t>Total_Sales</a:t>
            </a:r>
            <a:r>
              <a:rPr lang="en-US" sz="1200" b="0" baseline="0">
                <a:solidFill>
                  <a:schemeClr val="tx1">
                    <a:lumMod val="50000"/>
                    <a:lumOff val="50000"/>
                  </a:schemeClr>
                </a:solidFill>
              </a:rPr>
              <a:t> by Cities</a:t>
            </a:r>
            <a:endParaRPr lang="en-US" sz="1200" b="0">
              <a:solidFill>
                <a:schemeClr val="tx1">
                  <a:lumMod val="50000"/>
                  <a:lumOff val="50000"/>
                </a:schemeClr>
              </a:solidFill>
            </a:endParaRPr>
          </a:p>
        </c:rich>
      </c:tx>
      <c:layout>
        <c:manualLayout>
          <c:xMode val="edge"/>
          <c:yMode val="edge"/>
          <c:x val="7.7777777777777776E-3"/>
          <c:y val="0"/>
        </c:manualLayout>
      </c:layout>
      <c:overlay val="0"/>
    </c:title>
    <c:autoTitleDeleted val="0"/>
    <c:pivotFmts>
      <c:pivotFmt>
        <c:idx val="0"/>
        <c:marker>
          <c:symbol val="none"/>
        </c:marker>
      </c:pivotFmt>
      <c:pivotFmt>
        <c:idx val="1"/>
        <c:marker>
          <c:symbol val="none"/>
        </c:marker>
      </c:pivotFmt>
      <c:pivotFmt>
        <c:idx val="2"/>
        <c:spPr>
          <a:solidFill>
            <a:schemeClr val="accent2">
              <a:lumMod val="75000"/>
            </a:schemeClr>
          </a:solidFill>
        </c:spPr>
        <c:marker>
          <c:symbol val="none"/>
        </c:marker>
        <c:dLbl>
          <c:idx val="0"/>
          <c:layout/>
          <c:numFmt formatCode="[$₹-439]\ #,##0.0,,\ &quot;M&quot;" sourceLinked="0"/>
          <c:spPr>
            <a:solidFill>
              <a:schemeClr val="bg1">
                <a:lumMod val="95000"/>
              </a:schemeClr>
            </a:solidFill>
          </c:spPr>
          <c:txPr>
            <a:bodyPr/>
            <a:lstStyle/>
            <a:p>
              <a:pPr>
                <a:defRPr sz="860">
                  <a:latin typeface="+mn-lt"/>
                  <a:ea typeface="Segoe UI" pitchFamily="34" charset="0"/>
                  <a:cs typeface="Segoe UI" pitchFamily="34" charset="0"/>
                </a:defRPr>
              </a:pPr>
              <a:endParaRPr lang="en-US"/>
            </a:p>
          </c:txPr>
          <c:showLegendKey val="0"/>
          <c:showVal val="1"/>
          <c:showCatName val="0"/>
          <c:showSerName val="0"/>
          <c:showPercent val="0"/>
          <c:showBubbleSize val="0"/>
        </c:dLbl>
      </c:pivotFmt>
      <c:pivotFmt>
        <c:idx val="3"/>
      </c:pivotFmt>
    </c:pivotFmts>
    <c:plotArea>
      <c:layout>
        <c:manualLayout>
          <c:layoutTarget val="inner"/>
          <c:xMode val="edge"/>
          <c:yMode val="edge"/>
          <c:x val="0.29733003591157603"/>
          <c:y val="0.11412037037037037"/>
          <c:w val="0.67211461383211579"/>
          <c:h val="0.86158101957537492"/>
        </c:manualLayout>
      </c:layout>
      <c:barChart>
        <c:barDir val="bar"/>
        <c:grouping val="clustered"/>
        <c:varyColors val="0"/>
        <c:ser>
          <c:idx val="0"/>
          <c:order val="0"/>
          <c:tx>
            <c:strRef>
              <c:f>'Mobile Sales Report'!$G$3</c:f>
              <c:strCache>
                <c:ptCount val="1"/>
                <c:pt idx="0">
                  <c:v>Total</c:v>
                </c:pt>
              </c:strCache>
            </c:strRef>
          </c:tx>
          <c:spPr>
            <a:solidFill>
              <a:schemeClr val="accent2">
                <a:lumMod val="75000"/>
              </a:schemeClr>
            </a:solidFill>
          </c:spPr>
          <c:invertIfNegative val="0"/>
          <c:dLbls>
            <c:numFmt formatCode="[$₹-439]\ #,##0.0,,\ &quot;M&quot;" sourceLinked="0"/>
            <c:spPr>
              <a:solidFill>
                <a:schemeClr val="bg1">
                  <a:lumMod val="95000"/>
                </a:schemeClr>
              </a:solidFill>
            </c:spPr>
            <c:txPr>
              <a:bodyPr/>
              <a:lstStyle/>
              <a:p>
                <a:pPr>
                  <a:defRPr sz="860">
                    <a:latin typeface="+mn-lt"/>
                    <a:ea typeface="Segoe UI" pitchFamily="34" charset="0"/>
                    <a:cs typeface="Segoe UI" pitchFamily="34" charset="0"/>
                  </a:defRPr>
                </a:pPr>
                <a:endParaRPr lang="en-US"/>
              </a:p>
            </c:txPr>
            <c:showLegendKey val="0"/>
            <c:showVal val="1"/>
            <c:showCatName val="0"/>
            <c:showSerName val="0"/>
            <c:showPercent val="0"/>
            <c:showBubbleSize val="0"/>
            <c:showLeaderLines val="0"/>
          </c:dLbls>
          <c:cat>
            <c:strRef>
              <c:f>'Mobile Sales Report'!$F$4:$F$14</c:f>
              <c:strCache>
                <c:ptCount val="10"/>
                <c:pt idx="0">
                  <c:v>Gorakhpur</c:v>
                </c:pt>
                <c:pt idx="1">
                  <c:v>Madurai</c:v>
                </c:pt>
                <c:pt idx="2">
                  <c:v>Lucknow</c:v>
                </c:pt>
                <c:pt idx="3">
                  <c:v>Bangalore</c:v>
                </c:pt>
                <c:pt idx="4">
                  <c:v>Jodhpur</c:v>
                </c:pt>
                <c:pt idx="5">
                  <c:v>Rajkot</c:v>
                </c:pt>
                <c:pt idx="6">
                  <c:v>Chennai</c:v>
                </c:pt>
                <c:pt idx="7">
                  <c:v>Ranchi</c:v>
                </c:pt>
                <c:pt idx="8">
                  <c:v>Mumbai</c:v>
                </c:pt>
                <c:pt idx="9">
                  <c:v>Delhi</c:v>
                </c:pt>
              </c:strCache>
            </c:strRef>
          </c:cat>
          <c:val>
            <c:numRef>
              <c:f>'Mobile Sales Report'!$G$4:$G$14</c:f>
              <c:numCache>
                <c:formatCode>General</c:formatCode>
                <c:ptCount val="10"/>
                <c:pt idx="0">
                  <c:v>25663158.940000001</c:v>
                </c:pt>
                <c:pt idx="1">
                  <c:v>26674256.780000001</c:v>
                </c:pt>
                <c:pt idx="2">
                  <c:v>26843792.04999999</c:v>
                </c:pt>
                <c:pt idx="3">
                  <c:v>26994947.780000005</c:v>
                </c:pt>
                <c:pt idx="4">
                  <c:v>27172939.039999988</c:v>
                </c:pt>
                <c:pt idx="5">
                  <c:v>27326700.549999993</c:v>
                </c:pt>
                <c:pt idx="6">
                  <c:v>30759533.52999999</c:v>
                </c:pt>
                <c:pt idx="7">
                  <c:v>31018767.249999985</c:v>
                </c:pt>
                <c:pt idx="8">
                  <c:v>127191279.70999998</c:v>
                </c:pt>
                <c:pt idx="9">
                  <c:v>203883475.84999999</c:v>
                </c:pt>
              </c:numCache>
            </c:numRef>
          </c:val>
        </c:ser>
        <c:dLbls>
          <c:showLegendKey val="0"/>
          <c:showVal val="0"/>
          <c:showCatName val="0"/>
          <c:showSerName val="0"/>
          <c:showPercent val="0"/>
          <c:showBubbleSize val="0"/>
        </c:dLbls>
        <c:gapWidth val="20"/>
        <c:axId val="48615808"/>
        <c:axId val="48617344"/>
      </c:barChart>
      <c:catAx>
        <c:axId val="48615808"/>
        <c:scaling>
          <c:orientation val="minMax"/>
        </c:scaling>
        <c:delete val="0"/>
        <c:axPos val="l"/>
        <c:majorTickMark val="out"/>
        <c:minorTickMark val="none"/>
        <c:tickLblPos val="nextTo"/>
        <c:crossAx val="48617344"/>
        <c:crosses val="autoZero"/>
        <c:auto val="1"/>
        <c:lblAlgn val="ctr"/>
        <c:lblOffset val="100"/>
        <c:noMultiLvlLbl val="0"/>
      </c:catAx>
      <c:valAx>
        <c:axId val="48617344"/>
        <c:scaling>
          <c:orientation val="minMax"/>
        </c:scaling>
        <c:delete val="1"/>
        <c:axPos val="b"/>
        <c:numFmt formatCode="General" sourceLinked="1"/>
        <c:majorTickMark val="out"/>
        <c:minorTickMark val="none"/>
        <c:tickLblPos val="nextTo"/>
        <c:crossAx val="48615808"/>
        <c:crosses val="autoZero"/>
        <c:crossBetween val="between"/>
      </c:valAx>
      <c:spPr>
        <a:noFill/>
        <a:ln>
          <a:noFill/>
        </a:ln>
      </c:spPr>
    </c:plotArea>
    <c:plotVisOnly val="1"/>
    <c:dispBlanksAs val="gap"/>
    <c:showDLblsOverMax val="0"/>
  </c:chart>
  <c:spPr>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13" Type="http://schemas.openxmlformats.org/officeDocument/2006/relationships/image" Target="../media/image7.emf"/><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chart" Target="../charts/chart6.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5.xml"/><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xdr:from>
      <xdr:col>0</xdr:col>
      <xdr:colOff>28574</xdr:colOff>
      <xdr:row>0</xdr:row>
      <xdr:rowOff>28575</xdr:rowOff>
    </xdr:from>
    <xdr:to>
      <xdr:col>2</xdr:col>
      <xdr:colOff>76200</xdr:colOff>
      <xdr:row>4</xdr:row>
      <xdr:rowOff>0</xdr:rowOff>
    </xdr:to>
    <xdr:grpSp>
      <xdr:nvGrpSpPr>
        <xdr:cNvPr id="29" name="Group 28"/>
        <xdr:cNvGrpSpPr/>
      </xdr:nvGrpSpPr>
      <xdr:grpSpPr>
        <a:xfrm>
          <a:off x="28574" y="28575"/>
          <a:ext cx="1266826" cy="733425"/>
          <a:chOff x="28574" y="28575"/>
          <a:chExt cx="1266826" cy="733425"/>
        </a:xfrm>
      </xdr:grpSpPr>
      <xdr:sp macro="" textlink="">
        <xdr:nvSpPr>
          <xdr:cNvPr id="27" name="Rounded Rectangle 26"/>
          <xdr:cNvSpPr/>
        </xdr:nvSpPr>
        <xdr:spPr>
          <a:xfrm>
            <a:off x="28574" y="28575"/>
            <a:ext cx="1266826" cy="733425"/>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28" name="Picture 27"/>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04798" y="66675"/>
            <a:ext cx="647701" cy="647700"/>
          </a:xfrm>
          <a:prstGeom prst="rect">
            <a:avLst/>
          </a:prstGeom>
        </xdr:spPr>
      </xdr:pic>
    </xdr:grpSp>
    <xdr:clientData/>
  </xdr:twoCellAnchor>
  <xdr:twoCellAnchor>
    <xdr:from>
      <xdr:col>2</xdr:col>
      <xdr:colOff>142874</xdr:colOff>
      <xdr:row>0</xdr:row>
      <xdr:rowOff>28575</xdr:rowOff>
    </xdr:from>
    <xdr:to>
      <xdr:col>6</xdr:col>
      <xdr:colOff>428625</xdr:colOff>
      <xdr:row>3</xdr:row>
      <xdr:rowOff>188595</xdr:rowOff>
    </xdr:to>
    <xdr:grpSp>
      <xdr:nvGrpSpPr>
        <xdr:cNvPr id="42" name="Group 41"/>
        <xdr:cNvGrpSpPr/>
      </xdr:nvGrpSpPr>
      <xdr:grpSpPr>
        <a:xfrm>
          <a:off x="1362074" y="28575"/>
          <a:ext cx="2724151" cy="731520"/>
          <a:chOff x="1362074" y="28575"/>
          <a:chExt cx="2724151" cy="731520"/>
        </a:xfrm>
      </xdr:grpSpPr>
      <xdr:sp macro="" textlink="">
        <xdr:nvSpPr>
          <xdr:cNvPr id="31" name="Rounded Rectangle 30"/>
          <xdr:cNvSpPr/>
        </xdr:nvSpPr>
        <xdr:spPr>
          <a:xfrm>
            <a:off x="1362074" y="28575"/>
            <a:ext cx="2724151" cy="73152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2" name="TextBox 31"/>
          <xdr:cNvSpPr txBox="1"/>
        </xdr:nvSpPr>
        <xdr:spPr>
          <a:xfrm>
            <a:off x="1409700" y="57150"/>
            <a:ext cx="2628900" cy="685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200" b="1">
                <a:latin typeface="Aharoni" pitchFamily="2" charset="-79"/>
                <a:cs typeface="Aharoni" pitchFamily="2" charset="-79"/>
              </a:rPr>
              <a:t>MOBILE</a:t>
            </a:r>
            <a:r>
              <a:rPr lang="en-US" sz="2200" b="1" baseline="0">
                <a:latin typeface="Aharoni" pitchFamily="2" charset="-79"/>
                <a:cs typeface="Aharoni" pitchFamily="2" charset="-79"/>
              </a:rPr>
              <a:t> SALES ANALYSIS</a:t>
            </a:r>
            <a:endParaRPr lang="en-US" sz="2200" b="1">
              <a:latin typeface="Aharoni" pitchFamily="2" charset="-79"/>
              <a:cs typeface="Aharoni" pitchFamily="2" charset="-79"/>
            </a:endParaRPr>
          </a:p>
        </xdr:txBody>
      </xdr:sp>
    </xdr:grpSp>
    <xdr:clientData/>
  </xdr:twoCellAnchor>
  <xdr:twoCellAnchor>
    <xdr:from>
      <xdr:col>6</xdr:col>
      <xdr:colOff>523874</xdr:colOff>
      <xdr:row>0</xdr:row>
      <xdr:rowOff>38099</xdr:rowOff>
    </xdr:from>
    <xdr:to>
      <xdr:col>8</xdr:col>
      <xdr:colOff>66675</xdr:colOff>
      <xdr:row>4</xdr:row>
      <xdr:rowOff>7620</xdr:rowOff>
    </xdr:to>
    <xdr:grpSp>
      <xdr:nvGrpSpPr>
        <xdr:cNvPr id="41" name="Group 40"/>
        <xdr:cNvGrpSpPr/>
      </xdr:nvGrpSpPr>
      <xdr:grpSpPr>
        <a:xfrm>
          <a:off x="4181474" y="38099"/>
          <a:ext cx="762001" cy="731521"/>
          <a:chOff x="4343400" y="28574"/>
          <a:chExt cx="1071563" cy="731521"/>
        </a:xfrm>
      </xdr:grpSpPr>
      <xdr:grpSp>
        <xdr:nvGrpSpPr>
          <xdr:cNvPr id="37" name="Group 36"/>
          <xdr:cNvGrpSpPr/>
        </xdr:nvGrpSpPr>
        <xdr:grpSpPr>
          <a:xfrm>
            <a:off x="4343400" y="28574"/>
            <a:ext cx="1071563" cy="731521"/>
            <a:chOff x="4343400" y="28574"/>
            <a:chExt cx="1071563" cy="731521"/>
          </a:xfrm>
        </xdr:grpSpPr>
        <xdr:sp macro="" textlink="">
          <xdr:nvSpPr>
            <xdr:cNvPr id="33" name="Rounded Rectangle 32"/>
            <xdr:cNvSpPr/>
          </xdr:nvSpPr>
          <xdr:spPr>
            <a:xfrm>
              <a:off x="4343400" y="28574"/>
              <a:ext cx="904875" cy="73152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6" name="Isosceles Triangle 35"/>
            <xdr:cNvSpPr/>
          </xdr:nvSpPr>
          <xdr:spPr>
            <a:xfrm rot="5400000">
              <a:off x="4858703" y="203835"/>
              <a:ext cx="731520" cy="381000"/>
            </a:xfrm>
            <a:prstGeom prst="triangl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pic>
        <xdr:nvPicPr>
          <xdr:cNvPr id="34" name="Picture 33"/>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467224" y="114300"/>
            <a:ext cx="666750" cy="552450"/>
          </a:xfrm>
          <a:prstGeom prst="rect">
            <a:avLst/>
          </a:prstGeom>
        </xdr:spPr>
      </xdr:pic>
    </xdr:grpSp>
    <xdr:clientData/>
  </xdr:twoCellAnchor>
  <xdr:twoCellAnchor>
    <xdr:from>
      <xdr:col>8</xdr:col>
      <xdr:colOff>114300</xdr:colOff>
      <xdr:row>0</xdr:row>
      <xdr:rowOff>28574</xdr:rowOff>
    </xdr:from>
    <xdr:to>
      <xdr:col>12</xdr:col>
      <xdr:colOff>161925</xdr:colOff>
      <xdr:row>3</xdr:row>
      <xdr:rowOff>188594</xdr:rowOff>
    </xdr:to>
    <xdr:sp macro="" textlink="">
      <xdr:nvSpPr>
        <xdr:cNvPr id="38" name="Rounded Rectangle 37"/>
        <xdr:cNvSpPr/>
      </xdr:nvSpPr>
      <xdr:spPr>
        <a:xfrm>
          <a:off x="4991100" y="28574"/>
          <a:ext cx="2486025" cy="73152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219075</xdr:colOff>
      <xdr:row>0</xdr:row>
      <xdr:rowOff>28574</xdr:rowOff>
    </xdr:from>
    <xdr:to>
      <xdr:col>16</xdr:col>
      <xdr:colOff>266700</xdr:colOff>
      <xdr:row>3</xdr:row>
      <xdr:rowOff>188594</xdr:rowOff>
    </xdr:to>
    <xdr:sp macro="" textlink="">
      <xdr:nvSpPr>
        <xdr:cNvPr id="39" name="Rounded Rectangle 38"/>
        <xdr:cNvSpPr/>
      </xdr:nvSpPr>
      <xdr:spPr>
        <a:xfrm>
          <a:off x="7534275" y="28574"/>
          <a:ext cx="2486025" cy="73152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323850</xdr:colOff>
      <xdr:row>0</xdr:row>
      <xdr:rowOff>28574</xdr:rowOff>
    </xdr:from>
    <xdr:to>
      <xdr:col>20</xdr:col>
      <xdr:colOff>371475</xdr:colOff>
      <xdr:row>3</xdr:row>
      <xdr:rowOff>188594</xdr:rowOff>
    </xdr:to>
    <xdr:sp macro="" textlink="">
      <xdr:nvSpPr>
        <xdr:cNvPr id="40" name="Rounded Rectangle 39"/>
        <xdr:cNvSpPr/>
      </xdr:nvSpPr>
      <xdr:spPr>
        <a:xfrm>
          <a:off x="10077450" y="28574"/>
          <a:ext cx="2486025" cy="73152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8</xdr:col>
      <xdr:colOff>171449</xdr:colOff>
      <xdr:row>0</xdr:row>
      <xdr:rowOff>47625</xdr:rowOff>
    </xdr:from>
    <xdr:to>
      <xdr:col>12</xdr:col>
      <xdr:colOff>104774</xdr:colOff>
      <xdr:row>3</xdr:row>
      <xdr:rowOff>171450</xdr:rowOff>
    </xdr:to>
    <mc:AlternateContent xmlns:mc="http://schemas.openxmlformats.org/markup-compatibility/2006" xmlns:a14="http://schemas.microsoft.com/office/drawing/2010/main">
      <mc:Choice Requires="a14">
        <xdr:graphicFrame macro="">
          <xdr:nvGraphicFramePr>
            <xdr:cNvPr id="43" name="Mobile Model"/>
            <xdr:cNvGraphicFramePr/>
          </xdr:nvGraphicFramePr>
          <xdr:xfrm>
            <a:off x="0" y="0"/>
            <a:ext cx="0" cy="0"/>
          </xdr:xfrm>
          <a:graphic>
            <a:graphicData uri="http://schemas.microsoft.com/office/drawing/2010/slicer">
              <sle:slicer xmlns:sle="http://schemas.microsoft.com/office/drawing/2010/slicer" name="Mobile Model"/>
            </a:graphicData>
          </a:graphic>
        </xdr:graphicFrame>
      </mc:Choice>
      <mc:Fallback xmlns="">
        <xdr:sp macro="" textlink="">
          <xdr:nvSpPr>
            <xdr:cNvPr id="0" name=""/>
            <xdr:cNvSpPr>
              <a:spLocks noTextEdit="1"/>
            </xdr:cNvSpPr>
          </xdr:nvSpPr>
          <xdr:spPr>
            <a:xfrm>
              <a:off x="5048249" y="47625"/>
              <a:ext cx="2371725" cy="6953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390525</xdr:colOff>
      <xdr:row>0</xdr:row>
      <xdr:rowOff>47625</xdr:rowOff>
    </xdr:from>
    <xdr:to>
      <xdr:col>20</xdr:col>
      <xdr:colOff>320421</xdr:colOff>
      <xdr:row>3</xdr:row>
      <xdr:rowOff>171069</xdr:rowOff>
    </xdr:to>
    <mc:AlternateContent xmlns:mc="http://schemas.openxmlformats.org/markup-compatibility/2006" xmlns:a14="http://schemas.microsoft.com/office/drawing/2010/main">
      <mc:Choice Requires="a14">
        <xdr:graphicFrame macro="">
          <xdr:nvGraphicFramePr>
            <xdr:cNvPr id="44" name="Brand"/>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10144125" y="47625"/>
              <a:ext cx="2368296" cy="694944"/>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276225</xdr:colOff>
      <xdr:row>0</xdr:row>
      <xdr:rowOff>47625</xdr:rowOff>
    </xdr:from>
    <xdr:to>
      <xdr:col>16</xdr:col>
      <xdr:colOff>206121</xdr:colOff>
      <xdr:row>3</xdr:row>
      <xdr:rowOff>171069</xdr:rowOff>
    </xdr:to>
    <mc:AlternateContent xmlns:mc="http://schemas.openxmlformats.org/markup-compatibility/2006" xmlns:a14="http://schemas.microsoft.com/office/drawing/2010/main">
      <mc:Choice Requires="a14">
        <xdr:graphicFrame macro="">
          <xdr:nvGraphicFramePr>
            <xdr:cNvPr id="45" name="Payment Method"/>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7591425" y="47625"/>
              <a:ext cx="2368296" cy="694944"/>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0</xdr:col>
      <xdr:colOff>28575</xdr:colOff>
      <xdr:row>4</xdr:row>
      <xdr:rowOff>28574</xdr:rowOff>
    </xdr:from>
    <xdr:to>
      <xdr:col>2</xdr:col>
      <xdr:colOff>76201</xdr:colOff>
      <xdr:row>29</xdr:row>
      <xdr:rowOff>133350</xdr:rowOff>
    </xdr:to>
    <xdr:sp macro="" textlink="">
      <xdr:nvSpPr>
        <xdr:cNvPr id="50" name="Rounded Rectangle 49"/>
        <xdr:cNvSpPr/>
      </xdr:nvSpPr>
      <xdr:spPr>
        <a:xfrm>
          <a:off x="28575" y="790574"/>
          <a:ext cx="1266826" cy="4867276"/>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47625</xdr:colOff>
      <xdr:row>4</xdr:row>
      <xdr:rowOff>76200</xdr:rowOff>
    </xdr:from>
    <xdr:to>
      <xdr:col>2</xdr:col>
      <xdr:colOff>38100</xdr:colOff>
      <xdr:row>29</xdr:row>
      <xdr:rowOff>47625</xdr:rowOff>
    </xdr:to>
    <mc:AlternateContent xmlns:mc="http://schemas.openxmlformats.org/markup-compatibility/2006" xmlns:a14="http://schemas.microsoft.com/office/drawing/2010/main">
      <mc:Choice Requires="a14">
        <xdr:graphicFrame macro="">
          <xdr:nvGraphicFramePr>
            <xdr:cNvPr id="49" name="Month Name"/>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47625" y="838200"/>
              <a:ext cx="1209675" cy="47339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2</xdr:col>
      <xdr:colOff>142875</xdr:colOff>
      <xdr:row>8</xdr:row>
      <xdr:rowOff>28574</xdr:rowOff>
    </xdr:from>
    <xdr:to>
      <xdr:col>6</xdr:col>
      <xdr:colOff>429387</xdr:colOff>
      <xdr:row>22</xdr:row>
      <xdr:rowOff>114300</xdr:rowOff>
    </xdr:to>
    <xdr:sp macro="" textlink="">
      <xdr:nvSpPr>
        <xdr:cNvPr id="55" name="Rounded Rectangle 54"/>
        <xdr:cNvSpPr/>
      </xdr:nvSpPr>
      <xdr:spPr>
        <a:xfrm>
          <a:off x="1362075" y="1552574"/>
          <a:ext cx="2724912" cy="2752726"/>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140208</xdr:colOff>
      <xdr:row>4</xdr:row>
      <xdr:rowOff>28575</xdr:rowOff>
    </xdr:from>
    <xdr:to>
      <xdr:col>6</xdr:col>
      <xdr:colOff>429387</xdr:colOff>
      <xdr:row>7</xdr:row>
      <xdr:rowOff>188595</xdr:rowOff>
    </xdr:to>
    <xdr:grpSp>
      <xdr:nvGrpSpPr>
        <xdr:cNvPr id="61" name="Group 60"/>
        <xdr:cNvGrpSpPr/>
      </xdr:nvGrpSpPr>
      <xdr:grpSpPr>
        <a:xfrm>
          <a:off x="1359408" y="790575"/>
          <a:ext cx="2727579" cy="731520"/>
          <a:chOff x="1359408" y="790575"/>
          <a:chExt cx="2727579" cy="731520"/>
        </a:xfrm>
      </xdr:grpSpPr>
      <xdr:sp macro="" textlink="">
        <xdr:nvSpPr>
          <xdr:cNvPr id="51" name="Rounded Rectangle 50"/>
          <xdr:cNvSpPr/>
        </xdr:nvSpPr>
        <xdr:spPr>
          <a:xfrm>
            <a:off x="1362075" y="790575"/>
            <a:ext cx="2724912" cy="73152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7" name="Rounded Rectangle 56"/>
          <xdr:cNvSpPr/>
        </xdr:nvSpPr>
        <xdr:spPr>
          <a:xfrm>
            <a:off x="1359408" y="790575"/>
            <a:ext cx="116967" cy="731520"/>
          </a:xfrm>
          <a:prstGeom prst="roundRect">
            <a:avLst/>
          </a:prstGeom>
          <a:solidFill>
            <a:srgbClr val="FFC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6</xdr:col>
      <xdr:colOff>530733</xdr:colOff>
      <xdr:row>4</xdr:row>
      <xdr:rowOff>28575</xdr:rowOff>
    </xdr:from>
    <xdr:to>
      <xdr:col>11</xdr:col>
      <xdr:colOff>206883</xdr:colOff>
      <xdr:row>7</xdr:row>
      <xdr:rowOff>188595</xdr:rowOff>
    </xdr:to>
    <xdr:grpSp>
      <xdr:nvGrpSpPr>
        <xdr:cNvPr id="62" name="Group 61"/>
        <xdr:cNvGrpSpPr/>
      </xdr:nvGrpSpPr>
      <xdr:grpSpPr>
        <a:xfrm>
          <a:off x="4188333" y="790575"/>
          <a:ext cx="2724150" cy="731520"/>
          <a:chOff x="4188333" y="790575"/>
          <a:chExt cx="2724150" cy="731520"/>
        </a:xfrm>
      </xdr:grpSpPr>
      <xdr:sp macro="" textlink="">
        <xdr:nvSpPr>
          <xdr:cNvPr id="52" name="Rounded Rectangle 51"/>
          <xdr:cNvSpPr/>
        </xdr:nvSpPr>
        <xdr:spPr>
          <a:xfrm>
            <a:off x="4188333" y="790575"/>
            <a:ext cx="2724150" cy="73152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8" name="Rounded Rectangle 57"/>
          <xdr:cNvSpPr/>
        </xdr:nvSpPr>
        <xdr:spPr>
          <a:xfrm>
            <a:off x="4188333" y="790575"/>
            <a:ext cx="116967" cy="731520"/>
          </a:xfrm>
          <a:prstGeom prst="roundRect">
            <a:avLst/>
          </a:prstGeom>
          <a:solidFill>
            <a:srgbClr val="FFC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11</xdr:col>
      <xdr:colOff>302133</xdr:colOff>
      <xdr:row>4</xdr:row>
      <xdr:rowOff>28575</xdr:rowOff>
    </xdr:from>
    <xdr:to>
      <xdr:col>15</xdr:col>
      <xdr:colOff>593979</xdr:colOff>
      <xdr:row>7</xdr:row>
      <xdr:rowOff>188595</xdr:rowOff>
    </xdr:to>
    <xdr:grpSp>
      <xdr:nvGrpSpPr>
        <xdr:cNvPr id="63" name="Group 62"/>
        <xdr:cNvGrpSpPr/>
      </xdr:nvGrpSpPr>
      <xdr:grpSpPr>
        <a:xfrm>
          <a:off x="7007733" y="790575"/>
          <a:ext cx="2730246" cy="731520"/>
          <a:chOff x="7007733" y="790575"/>
          <a:chExt cx="2730246" cy="731520"/>
        </a:xfrm>
      </xdr:grpSpPr>
      <xdr:sp macro="" textlink="">
        <xdr:nvSpPr>
          <xdr:cNvPr id="53" name="Rounded Rectangle 52"/>
          <xdr:cNvSpPr/>
        </xdr:nvSpPr>
        <xdr:spPr>
          <a:xfrm>
            <a:off x="7013829" y="790575"/>
            <a:ext cx="2724150" cy="73152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9" name="Rounded Rectangle 58"/>
          <xdr:cNvSpPr/>
        </xdr:nvSpPr>
        <xdr:spPr>
          <a:xfrm>
            <a:off x="7007733" y="790575"/>
            <a:ext cx="116967" cy="731520"/>
          </a:xfrm>
          <a:prstGeom prst="roundRect">
            <a:avLst/>
          </a:prstGeom>
          <a:solidFill>
            <a:srgbClr val="FFC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16</xdr:col>
      <xdr:colOff>83058</xdr:colOff>
      <xdr:row>4</xdr:row>
      <xdr:rowOff>28575</xdr:rowOff>
    </xdr:from>
    <xdr:to>
      <xdr:col>20</xdr:col>
      <xdr:colOff>371475</xdr:colOff>
      <xdr:row>7</xdr:row>
      <xdr:rowOff>188595</xdr:rowOff>
    </xdr:to>
    <xdr:grpSp>
      <xdr:nvGrpSpPr>
        <xdr:cNvPr id="64" name="Group 63"/>
        <xdr:cNvGrpSpPr/>
      </xdr:nvGrpSpPr>
      <xdr:grpSpPr>
        <a:xfrm>
          <a:off x="9836658" y="790575"/>
          <a:ext cx="2726817" cy="731520"/>
          <a:chOff x="9836658" y="790575"/>
          <a:chExt cx="2726817" cy="731520"/>
        </a:xfrm>
      </xdr:grpSpPr>
      <xdr:sp macro="" textlink="">
        <xdr:nvSpPr>
          <xdr:cNvPr id="54" name="Rounded Rectangle 53"/>
          <xdr:cNvSpPr/>
        </xdr:nvSpPr>
        <xdr:spPr>
          <a:xfrm>
            <a:off x="9839325" y="790575"/>
            <a:ext cx="2724150" cy="73152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0" name="Rounded Rectangle 59"/>
          <xdr:cNvSpPr/>
        </xdr:nvSpPr>
        <xdr:spPr>
          <a:xfrm>
            <a:off x="9836658" y="790575"/>
            <a:ext cx="116967" cy="731520"/>
          </a:xfrm>
          <a:prstGeom prst="roundRect">
            <a:avLst/>
          </a:prstGeom>
          <a:solidFill>
            <a:srgbClr val="FFC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5</xdr:col>
      <xdr:colOff>161926</xdr:colOff>
      <xdr:row>4</xdr:row>
      <xdr:rowOff>47624</xdr:rowOff>
    </xdr:from>
    <xdr:to>
      <xdr:col>6</xdr:col>
      <xdr:colOff>326882</xdr:colOff>
      <xdr:row>7</xdr:row>
      <xdr:rowOff>166259</xdr:rowOff>
    </xdr:to>
    <xdr:pic>
      <xdr:nvPicPr>
        <xdr:cNvPr id="65" name="Picture 64"/>
        <xdr:cNvPicPr>
          <a:picLocks noChangeAspect="1"/>
        </xdr:cNvPicPr>
      </xdr:nvPicPr>
      <xdr:blipFill rotWithShape="1">
        <a:blip xmlns:r="http://schemas.openxmlformats.org/officeDocument/2006/relationships" r:embed="rId3">
          <a:clrChange>
            <a:clrFrom>
              <a:srgbClr val="FDFDFD"/>
            </a:clrFrom>
            <a:clrTo>
              <a:srgbClr val="FDFDFD">
                <a:alpha val="0"/>
              </a:srgbClr>
            </a:clrTo>
          </a:clrChange>
          <a:extLst>
            <a:ext uri="{28A0092B-C50C-407E-A947-70E740481C1C}">
              <a14:useLocalDpi xmlns:a14="http://schemas.microsoft.com/office/drawing/2010/main" val="0"/>
            </a:ext>
          </a:extLst>
        </a:blip>
        <a:srcRect t="1" b="6849"/>
        <a:stretch/>
      </xdr:blipFill>
      <xdr:spPr>
        <a:xfrm>
          <a:off x="3209926" y="809624"/>
          <a:ext cx="774556" cy="690135"/>
        </a:xfrm>
        <a:prstGeom prst="rect">
          <a:avLst/>
        </a:prstGeom>
      </xdr:spPr>
    </xdr:pic>
    <xdr:clientData/>
  </xdr:twoCellAnchor>
  <xdr:twoCellAnchor editAs="oneCell">
    <xdr:from>
      <xdr:col>10</xdr:col>
      <xdr:colOff>47626</xdr:colOff>
      <xdr:row>4</xdr:row>
      <xdr:rowOff>47625</xdr:rowOff>
    </xdr:from>
    <xdr:to>
      <xdr:col>11</xdr:col>
      <xdr:colOff>132742</xdr:colOff>
      <xdr:row>7</xdr:row>
      <xdr:rowOff>170841</xdr:rowOff>
    </xdr:to>
    <xdr:pic>
      <xdr:nvPicPr>
        <xdr:cNvPr id="66" name="Picture 65"/>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143626" y="809625"/>
          <a:ext cx="694716" cy="694716"/>
        </a:xfrm>
        <a:prstGeom prst="rect">
          <a:avLst/>
        </a:prstGeom>
      </xdr:spPr>
    </xdr:pic>
    <xdr:clientData/>
  </xdr:twoCellAnchor>
  <xdr:twoCellAnchor editAs="oneCell">
    <xdr:from>
      <xdr:col>14</xdr:col>
      <xdr:colOff>438150</xdr:colOff>
      <xdr:row>4</xdr:row>
      <xdr:rowOff>47625</xdr:rowOff>
    </xdr:from>
    <xdr:to>
      <xdr:col>15</xdr:col>
      <xdr:colOff>523494</xdr:colOff>
      <xdr:row>7</xdr:row>
      <xdr:rowOff>171069</xdr:rowOff>
    </xdr:to>
    <xdr:pic>
      <xdr:nvPicPr>
        <xdr:cNvPr id="67" name="Picture 66"/>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972550" y="809625"/>
          <a:ext cx="694944" cy="694944"/>
        </a:xfrm>
        <a:prstGeom prst="rect">
          <a:avLst/>
        </a:prstGeom>
      </xdr:spPr>
    </xdr:pic>
    <xdr:clientData/>
  </xdr:twoCellAnchor>
  <xdr:twoCellAnchor editAs="oneCell">
    <xdr:from>
      <xdr:col>19</xdr:col>
      <xdr:colOff>219075</xdr:colOff>
      <xdr:row>4</xdr:row>
      <xdr:rowOff>47625</xdr:rowOff>
    </xdr:from>
    <xdr:to>
      <xdr:col>20</xdr:col>
      <xdr:colOff>304419</xdr:colOff>
      <xdr:row>7</xdr:row>
      <xdr:rowOff>171069</xdr:rowOff>
    </xdr:to>
    <xdr:pic>
      <xdr:nvPicPr>
        <xdr:cNvPr id="68" name="Picture 67"/>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801475" y="809625"/>
          <a:ext cx="694944" cy="694944"/>
        </a:xfrm>
        <a:prstGeom prst="rect">
          <a:avLst/>
        </a:prstGeom>
      </xdr:spPr>
    </xdr:pic>
    <xdr:clientData/>
  </xdr:twoCellAnchor>
  <xdr:twoCellAnchor>
    <xdr:from>
      <xdr:col>2</xdr:col>
      <xdr:colOff>361950</xdr:colOff>
      <xdr:row>4</xdr:row>
      <xdr:rowOff>38099</xdr:rowOff>
    </xdr:from>
    <xdr:to>
      <xdr:col>4</xdr:col>
      <xdr:colOff>428625</xdr:colOff>
      <xdr:row>7</xdr:row>
      <xdr:rowOff>171450</xdr:rowOff>
    </xdr:to>
    <xdr:grpSp>
      <xdr:nvGrpSpPr>
        <xdr:cNvPr id="71" name="Group 70"/>
        <xdr:cNvGrpSpPr/>
      </xdr:nvGrpSpPr>
      <xdr:grpSpPr>
        <a:xfrm>
          <a:off x="1581150" y="800099"/>
          <a:ext cx="1285875" cy="704851"/>
          <a:chOff x="6991350" y="2171699"/>
          <a:chExt cx="1285875" cy="704851"/>
        </a:xfrm>
      </xdr:grpSpPr>
      <xdr:sp macro="" textlink="'Mobile Sales Report'!$C$3">
        <xdr:nvSpPr>
          <xdr:cNvPr id="69" name="TextBox 68"/>
          <xdr:cNvSpPr txBox="1"/>
        </xdr:nvSpPr>
        <xdr:spPr>
          <a:xfrm>
            <a:off x="6991350" y="2171699"/>
            <a:ext cx="1285875" cy="28346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A0CC25E6-EAC3-40AF-9742-B508B5DCC3D4}" type="TxLink">
              <a:rPr lang="en-US" sz="1200">
                <a:solidFill>
                  <a:schemeClr val="tx1">
                    <a:lumMod val="50000"/>
                    <a:lumOff val="50000"/>
                  </a:schemeClr>
                </a:solidFill>
              </a:rPr>
              <a:pPr algn="l"/>
              <a:t>Total_Sales</a:t>
            </a:fld>
            <a:endParaRPr lang="en-US" sz="1200">
              <a:solidFill>
                <a:schemeClr val="tx1">
                  <a:lumMod val="50000"/>
                  <a:lumOff val="50000"/>
                </a:schemeClr>
              </a:solidFill>
            </a:endParaRPr>
          </a:p>
        </xdr:txBody>
      </xdr:sp>
      <xdr:sp macro="" textlink="'Mobile Sales Report'!$C$4">
        <xdr:nvSpPr>
          <xdr:cNvPr id="70" name="TextBox 69"/>
          <xdr:cNvSpPr txBox="1"/>
        </xdr:nvSpPr>
        <xdr:spPr>
          <a:xfrm>
            <a:off x="6991350" y="2457450"/>
            <a:ext cx="1285875" cy="419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705811CB-32E1-4850-B08E-D9637A1FD99F}" type="TxLink">
              <a:rPr lang="en-US" sz="2000" b="1"/>
              <a:pPr algn="l"/>
              <a:t>₹ 769 M</a:t>
            </a:fld>
            <a:endParaRPr lang="en-US" sz="2000" b="1"/>
          </a:p>
        </xdr:txBody>
      </xdr:sp>
    </xdr:grpSp>
    <xdr:clientData/>
  </xdr:twoCellAnchor>
  <xdr:twoCellAnchor>
    <xdr:from>
      <xdr:col>7</xdr:col>
      <xdr:colOff>133350</xdr:colOff>
      <xdr:row>4</xdr:row>
      <xdr:rowOff>47624</xdr:rowOff>
    </xdr:from>
    <xdr:to>
      <xdr:col>9</xdr:col>
      <xdr:colOff>200025</xdr:colOff>
      <xdr:row>7</xdr:row>
      <xdr:rowOff>171450</xdr:rowOff>
    </xdr:to>
    <xdr:grpSp>
      <xdr:nvGrpSpPr>
        <xdr:cNvPr id="72" name="Group 71"/>
        <xdr:cNvGrpSpPr/>
      </xdr:nvGrpSpPr>
      <xdr:grpSpPr>
        <a:xfrm>
          <a:off x="4400550" y="809624"/>
          <a:ext cx="1285875" cy="695326"/>
          <a:chOff x="6991350" y="2181224"/>
          <a:chExt cx="1285875" cy="695326"/>
        </a:xfrm>
      </xdr:grpSpPr>
      <xdr:sp macro="" textlink="'Mobile Sales Report'!$C$9">
        <xdr:nvSpPr>
          <xdr:cNvPr id="73" name="TextBox 72"/>
          <xdr:cNvSpPr txBox="1"/>
        </xdr:nvSpPr>
        <xdr:spPr>
          <a:xfrm>
            <a:off x="6991350" y="2181224"/>
            <a:ext cx="1285875" cy="28346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93933599-2A2F-4C02-9598-0AB1F378C347}" type="TxLink">
              <a:rPr lang="en-US" sz="1200">
                <a:solidFill>
                  <a:schemeClr val="tx1">
                    <a:lumMod val="50000"/>
                    <a:lumOff val="50000"/>
                  </a:schemeClr>
                </a:solidFill>
              </a:rPr>
              <a:pPr/>
              <a:t>Total_Quantity</a:t>
            </a:fld>
            <a:endParaRPr lang="en-US" sz="1200">
              <a:solidFill>
                <a:schemeClr val="tx1">
                  <a:lumMod val="50000"/>
                  <a:lumOff val="50000"/>
                </a:schemeClr>
              </a:solidFill>
            </a:endParaRPr>
          </a:p>
        </xdr:txBody>
      </xdr:sp>
      <xdr:sp macro="" textlink="'Mobile Sales Report'!$C$10">
        <xdr:nvSpPr>
          <xdr:cNvPr id="74" name="TextBox 73"/>
          <xdr:cNvSpPr txBox="1"/>
        </xdr:nvSpPr>
        <xdr:spPr>
          <a:xfrm>
            <a:off x="6991350" y="2457450"/>
            <a:ext cx="1285875" cy="419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3FBD0F06-6435-43CC-81CB-341867AD1703}" type="TxLink">
              <a:rPr lang="en-US" sz="2000" b="1"/>
              <a:pPr/>
              <a:t>19 K</a:t>
            </a:fld>
            <a:endParaRPr lang="en-US" sz="2000" b="1"/>
          </a:p>
        </xdr:txBody>
      </xdr:sp>
    </xdr:grpSp>
    <xdr:clientData/>
  </xdr:twoCellAnchor>
  <xdr:twoCellAnchor>
    <xdr:from>
      <xdr:col>11</xdr:col>
      <xdr:colOff>514350</xdr:colOff>
      <xdr:row>4</xdr:row>
      <xdr:rowOff>47624</xdr:rowOff>
    </xdr:from>
    <xdr:to>
      <xdr:col>13</xdr:col>
      <xdr:colOff>581025</xdr:colOff>
      <xdr:row>7</xdr:row>
      <xdr:rowOff>171450</xdr:rowOff>
    </xdr:to>
    <xdr:grpSp>
      <xdr:nvGrpSpPr>
        <xdr:cNvPr id="75" name="Group 74"/>
        <xdr:cNvGrpSpPr/>
      </xdr:nvGrpSpPr>
      <xdr:grpSpPr>
        <a:xfrm>
          <a:off x="7219950" y="809624"/>
          <a:ext cx="1285875" cy="695326"/>
          <a:chOff x="6991350" y="2181224"/>
          <a:chExt cx="1285875" cy="695326"/>
        </a:xfrm>
      </xdr:grpSpPr>
      <xdr:sp macro="" textlink="'Mobile Sales Report'!$C$15">
        <xdr:nvSpPr>
          <xdr:cNvPr id="76" name="TextBox 75"/>
          <xdr:cNvSpPr txBox="1"/>
        </xdr:nvSpPr>
        <xdr:spPr>
          <a:xfrm>
            <a:off x="6991350" y="2181224"/>
            <a:ext cx="1285875" cy="28346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7051FC96-2212-4DB5-B975-8A478E73FAAD}" type="TxLink">
              <a:rPr lang="en-US" sz="1200">
                <a:solidFill>
                  <a:schemeClr val="tx1">
                    <a:lumMod val="50000"/>
                    <a:lumOff val="50000"/>
                  </a:schemeClr>
                </a:solidFill>
              </a:rPr>
              <a:pPr/>
              <a:t>Transactions</a:t>
            </a:fld>
            <a:endParaRPr lang="en-US" sz="1200">
              <a:solidFill>
                <a:schemeClr val="tx1">
                  <a:lumMod val="50000"/>
                  <a:lumOff val="50000"/>
                </a:schemeClr>
              </a:solidFill>
            </a:endParaRPr>
          </a:p>
        </xdr:txBody>
      </xdr:sp>
      <xdr:sp macro="" textlink="'Mobile Sales Report'!$C$16">
        <xdr:nvSpPr>
          <xdr:cNvPr id="77" name="TextBox 76"/>
          <xdr:cNvSpPr txBox="1"/>
        </xdr:nvSpPr>
        <xdr:spPr>
          <a:xfrm>
            <a:off x="6991350" y="2457450"/>
            <a:ext cx="1285875" cy="419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8E8902D3-158D-41C7-BCF0-1D28DA908CAD}" type="TxLink">
              <a:rPr lang="en-US" sz="2000" b="1"/>
              <a:pPr/>
              <a:t>3.8 K</a:t>
            </a:fld>
            <a:endParaRPr lang="en-US" sz="2000" b="1"/>
          </a:p>
        </xdr:txBody>
      </xdr:sp>
    </xdr:grpSp>
    <xdr:clientData/>
  </xdr:twoCellAnchor>
  <xdr:twoCellAnchor>
    <xdr:from>
      <xdr:col>16</xdr:col>
      <xdr:colOff>304800</xdr:colOff>
      <xdr:row>4</xdr:row>
      <xdr:rowOff>47624</xdr:rowOff>
    </xdr:from>
    <xdr:to>
      <xdr:col>18</xdr:col>
      <xdr:colOff>371475</xdr:colOff>
      <xdr:row>7</xdr:row>
      <xdr:rowOff>171450</xdr:rowOff>
    </xdr:to>
    <xdr:grpSp>
      <xdr:nvGrpSpPr>
        <xdr:cNvPr id="78" name="Group 77"/>
        <xdr:cNvGrpSpPr/>
      </xdr:nvGrpSpPr>
      <xdr:grpSpPr>
        <a:xfrm>
          <a:off x="10058400" y="809624"/>
          <a:ext cx="1285875" cy="695326"/>
          <a:chOff x="6991350" y="2181224"/>
          <a:chExt cx="1285875" cy="695326"/>
        </a:xfrm>
      </xdr:grpSpPr>
      <xdr:sp macro="" textlink="'Mobile Sales Report'!$C$21">
        <xdr:nvSpPr>
          <xdr:cNvPr id="79" name="TextBox 78"/>
          <xdr:cNvSpPr txBox="1"/>
        </xdr:nvSpPr>
        <xdr:spPr>
          <a:xfrm>
            <a:off x="6991350" y="2181224"/>
            <a:ext cx="1285875" cy="28346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10CBD193-3A75-4AC5-8A74-E864C1845EC1}" type="TxLink">
              <a:rPr lang="en-US" sz="1200" b="0">
                <a:solidFill>
                  <a:schemeClr val="tx1">
                    <a:lumMod val="50000"/>
                    <a:lumOff val="50000"/>
                  </a:schemeClr>
                </a:solidFill>
              </a:rPr>
              <a:pPr/>
              <a:t>Average_Price</a:t>
            </a:fld>
            <a:endParaRPr lang="en-US" sz="1200" b="0">
              <a:solidFill>
                <a:schemeClr val="tx1">
                  <a:lumMod val="50000"/>
                  <a:lumOff val="50000"/>
                </a:schemeClr>
              </a:solidFill>
            </a:endParaRPr>
          </a:p>
        </xdr:txBody>
      </xdr:sp>
      <xdr:sp macro="" textlink="'Mobile Sales Report'!$C$22">
        <xdr:nvSpPr>
          <xdr:cNvPr id="80" name="TextBox 79"/>
          <xdr:cNvSpPr txBox="1"/>
        </xdr:nvSpPr>
        <xdr:spPr>
          <a:xfrm>
            <a:off x="6991350" y="2457450"/>
            <a:ext cx="1285875" cy="419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90C455AE-781F-4D79-9609-AD97993634E5}" type="TxLink">
              <a:rPr lang="en-US" sz="2000" b="1"/>
              <a:pPr/>
              <a:t>₹ 40.11 K</a:t>
            </a:fld>
            <a:endParaRPr lang="en-US" sz="2000" b="1"/>
          </a:p>
        </xdr:txBody>
      </xdr:sp>
    </xdr:grpSp>
    <xdr:clientData/>
  </xdr:twoCellAnchor>
  <xdr:twoCellAnchor>
    <xdr:from>
      <xdr:col>6</xdr:col>
      <xdr:colOff>533399</xdr:colOff>
      <xdr:row>8</xdr:row>
      <xdr:rowOff>28575</xdr:rowOff>
    </xdr:from>
    <xdr:to>
      <xdr:col>20</xdr:col>
      <xdr:colOff>374903</xdr:colOff>
      <xdr:row>15</xdr:row>
      <xdr:rowOff>95251</xdr:rowOff>
    </xdr:to>
    <xdr:sp macro="" textlink="">
      <xdr:nvSpPr>
        <xdr:cNvPr id="82" name="Rounded Rectangle 81"/>
        <xdr:cNvSpPr/>
      </xdr:nvSpPr>
      <xdr:spPr>
        <a:xfrm>
          <a:off x="4190999" y="1552575"/>
          <a:ext cx="8375904" cy="1400176"/>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0</xdr:colOff>
      <xdr:row>8</xdr:row>
      <xdr:rowOff>47624</xdr:rowOff>
    </xdr:from>
    <xdr:to>
      <xdr:col>20</xdr:col>
      <xdr:colOff>304800</xdr:colOff>
      <xdr:row>15</xdr:row>
      <xdr:rowOff>57150</xdr:rowOff>
    </xdr:to>
    <xdr:graphicFrame macro="">
      <xdr:nvGraphicFramePr>
        <xdr:cNvPr id="81" name="Chart 8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542925</xdr:colOff>
      <xdr:row>15</xdr:row>
      <xdr:rowOff>114300</xdr:rowOff>
    </xdr:from>
    <xdr:to>
      <xdr:col>13</xdr:col>
      <xdr:colOff>436245</xdr:colOff>
      <xdr:row>22</xdr:row>
      <xdr:rowOff>106680</xdr:rowOff>
    </xdr:to>
    <xdr:sp macro="" textlink="">
      <xdr:nvSpPr>
        <xdr:cNvPr id="83" name="Rounded Rectangle 82"/>
        <xdr:cNvSpPr/>
      </xdr:nvSpPr>
      <xdr:spPr>
        <a:xfrm>
          <a:off x="4200525" y="2971800"/>
          <a:ext cx="4160520" cy="132588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476250</xdr:colOff>
      <xdr:row>15</xdr:row>
      <xdr:rowOff>114300</xdr:rowOff>
    </xdr:from>
    <xdr:to>
      <xdr:col>20</xdr:col>
      <xdr:colOff>369570</xdr:colOff>
      <xdr:row>22</xdr:row>
      <xdr:rowOff>106680</xdr:rowOff>
    </xdr:to>
    <xdr:sp macro="" textlink="">
      <xdr:nvSpPr>
        <xdr:cNvPr id="84" name="Rounded Rectangle 83"/>
        <xdr:cNvSpPr/>
      </xdr:nvSpPr>
      <xdr:spPr>
        <a:xfrm>
          <a:off x="8401050" y="2971800"/>
          <a:ext cx="4160520" cy="1325880"/>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561975</xdr:colOff>
      <xdr:row>15</xdr:row>
      <xdr:rowOff>142876</xdr:rowOff>
    </xdr:from>
    <xdr:to>
      <xdr:col>13</xdr:col>
      <xdr:colOff>409575</xdr:colOff>
      <xdr:row>22</xdr:row>
      <xdr:rowOff>76200</xdr:rowOff>
    </xdr:to>
    <xdr:graphicFrame macro="">
      <xdr:nvGraphicFramePr>
        <xdr:cNvPr id="85" name="Chart 8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495300</xdr:colOff>
      <xdr:row>15</xdr:row>
      <xdr:rowOff>142875</xdr:rowOff>
    </xdr:from>
    <xdr:to>
      <xdr:col>20</xdr:col>
      <xdr:colOff>342900</xdr:colOff>
      <xdr:row>22</xdr:row>
      <xdr:rowOff>66674</xdr:rowOff>
    </xdr:to>
    <xdr:graphicFrame macro="">
      <xdr:nvGraphicFramePr>
        <xdr:cNvPr id="86" name="Chart 8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542925</xdr:colOff>
      <xdr:row>22</xdr:row>
      <xdr:rowOff>123825</xdr:rowOff>
    </xdr:from>
    <xdr:to>
      <xdr:col>13</xdr:col>
      <xdr:colOff>436245</xdr:colOff>
      <xdr:row>29</xdr:row>
      <xdr:rowOff>133350</xdr:rowOff>
    </xdr:to>
    <xdr:sp macro="" textlink="">
      <xdr:nvSpPr>
        <xdr:cNvPr id="56" name="Rounded Rectangle 55"/>
        <xdr:cNvSpPr/>
      </xdr:nvSpPr>
      <xdr:spPr>
        <a:xfrm>
          <a:off x="4200525" y="4314825"/>
          <a:ext cx="4160520" cy="1343025"/>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476250</xdr:colOff>
      <xdr:row>22</xdr:row>
      <xdr:rowOff>123625</xdr:rowOff>
    </xdr:from>
    <xdr:to>
      <xdr:col>20</xdr:col>
      <xdr:colOff>369570</xdr:colOff>
      <xdr:row>29</xdr:row>
      <xdr:rowOff>137160</xdr:rowOff>
    </xdr:to>
    <xdr:sp macro="" textlink="">
      <xdr:nvSpPr>
        <xdr:cNvPr id="87" name="Rounded Rectangle 86"/>
        <xdr:cNvSpPr/>
      </xdr:nvSpPr>
      <xdr:spPr>
        <a:xfrm>
          <a:off x="8401050" y="4314625"/>
          <a:ext cx="4160520" cy="1347035"/>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561975</xdr:colOff>
      <xdr:row>22</xdr:row>
      <xdr:rowOff>152399</xdr:rowOff>
    </xdr:from>
    <xdr:to>
      <xdr:col>13</xdr:col>
      <xdr:colOff>409575</xdr:colOff>
      <xdr:row>29</xdr:row>
      <xdr:rowOff>104774</xdr:rowOff>
    </xdr:to>
    <xdr:graphicFrame macro="">
      <xdr:nvGraphicFramePr>
        <xdr:cNvPr id="88" name="Chart 8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495300</xdr:colOff>
      <xdr:row>22</xdr:row>
      <xdr:rowOff>142675</xdr:rowOff>
    </xdr:from>
    <xdr:to>
      <xdr:col>20</xdr:col>
      <xdr:colOff>333375</xdr:colOff>
      <xdr:row>29</xdr:row>
      <xdr:rowOff>104775</xdr:rowOff>
    </xdr:to>
    <xdr:graphicFrame macro="">
      <xdr:nvGraphicFramePr>
        <xdr:cNvPr id="89" name="Chart 8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171450</xdr:colOff>
      <xdr:row>8</xdr:row>
      <xdr:rowOff>57149</xdr:rowOff>
    </xdr:from>
    <xdr:to>
      <xdr:col>6</xdr:col>
      <xdr:colOff>371475</xdr:colOff>
      <xdr:row>22</xdr:row>
      <xdr:rowOff>66675</xdr:rowOff>
    </xdr:to>
    <xdr:graphicFrame macro="">
      <xdr:nvGraphicFramePr>
        <xdr:cNvPr id="90" name="Chart 8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xdr:col>
      <xdr:colOff>142875</xdr:colOff>
      <xdr:row>22</xdr:row>
      <xdr:rowOff>133351</xdr:rowOff>
    </xdr:from>
    <xdr:to>
      <xdr:col>6</xdr:col>
      <xdr:colOff>429387</xdr:colOff>
      <xdr:row>29</xdr:row>
      <xdr:rowOff>142875</xdr:rowOff>
    </xdr:to>
    <xdr:sp macro="" textlink="">
      <xdr:nvSpPr>
        <xdr:cNvPr id="92" name="Rounded Rectangle 91"/>
        <xdr:cNvSpPr/>
      </xdr:nvSpPr>
      <xdr:spPr>
        <a:xfrm>
          <a:off x="1362075" y="4324351"/>
          <a:ext cx="2724912" cy="1343024"/>
        </a:xfrm>
        <a:prstGeom prst="roundRect">
          <a:avLst>
            <a:gd name="adj" fmla="val 4403"/>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2</xdr:col>
          <xdr:colOff>161925</xdr:colOff>
          <xdr:row>22</xdr:row>
          <xdr:rowOff>142874</xdr:rowOff>
        </xdr:from>
        <xdr:to>
          <xdr:col>6</xdr:col>
          <xdr:colOff>421005</xdr:colOff>
          <xdr:row>29</xdr:row>
          <xdr:rowOff>142995</xdr:rowOff>
        </xdr:to>
        <xdr:pic>
          <xdr:nvPicPr>
            <xdr:cNvPr id="96" name="Picture 95"/>
            <xdr:cNvPicPr>
              <a:picLocks noChangeAspect="1" noChangeArrowheads="1"/>
              <a:extLst>
                <a:ext uri="{84589F7E-364E-4C9E-8A38-B11213B215E9}">
                  <a14:cameraTool cellRange="'Mobile Sales Report'!$X$15:$Z$21" spid="_x0000_s1070"/>
                </a:ext>
              </a:extLst>
            </xdr:cNvPicPr>
          </xdr:nvPicPr>
          <xdr:blipFill>
            <a:blip xmlns:r="http://schemas.openxmlformats.org/officeDocument/2006/relationships" r:embed="rId13"/>
            <a:srcRect/>
            <a:stretch>
              <a:fillRect/>
            </a:stretch>
          </xdr:blipFill>
          <xdr:spPr bwMode="auto">
            <a:xfrm>
              <a:off x="1381125" y="4333874"/>
              <a:ext cx="2697480" cy="1333621"/>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6</xdr:col>
      <xdr:colOff>161925</xdr:colOff>
      <xdr:row>33</xdr:row>
      <xdr:rowOff>57150</xdr:rowOff>
    </xdr:from>
    <xdr:to>
      <xdr:col>10</xdr:col>
      <xdr:colOff>419100</xdr:colOff>
      <xdr:row>40</xdr:row>
      <xdr:rowOff>57150</xdr:rowOff>
    </xdr:to>
    <xdr:sp macro="" textlink="">
      <xdr:nvSpPr>
        <xdr:cNvPr id="1031" name="AutoShape 7"/>
        <xdr:cNvSpPr>
          <a:spLocks noChangeAspect="1" noChangeArrowheads="1"/>
        </xdr:cNvSpPr>
      </xdr:nvSpPr>
      <xdr:spPr bwMode="auto">
        <a:xfrm>
          <a:off x="3819525" y="6343650"/>
          <a:ext cx="2695575" cy="1333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yaan Sharma" refreshedDate="45742.800549768515" createdVersion="4" refreshedVersion="4" minRefreshableVersion="3" recordCount="3835">
  <cacheSource type="worksheet">
    <worksheetSource name="Table1"/>
  </cacheSource>
  <cacheFields count="19">
    <cacheField name="Transaction ID" numFmtId="0">
      <sharedItems containsSemiMixedTypes="0" containsString="0" containsNumber="1" containsInteger="1" minValue="1" maxValue="3835"/>
    </cacheField>
    <cacheField name="Date" numFmtId="14">
      <sharedItems containsSemiMixedTypes="0" containsNonDate="0" containsDate="1" containsString="0" minDate="2021-10-09T00:00:00" maxDate="2024-10-09T00:00:00" count="1096">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sharedItems>
      <fieldGroup base="1">
        <rangePr groupBy="years" startDate="2021-10-09T00:00:00" endDate="2024-10-09T00:00:00"/>
        <groupItems count="6">
          <s v="&lt;09-10-21"/>
          <s v="2021"/>
          <s v="2022"/>
          <s v="2023"/>
          <s v="2024"/>
          <s v="&gt;09-10-24"/>
        </groupItems>
      </fieldGroup>
    </cacheField>
    <cacheField name="Day" numFmtId="0">
      <sharedItems containsSemiMixedTypes="0" containsString="0" containsNumber="1" containsInteger="1" minValue="1" maxValue="31"/>
    </cacheField>
    <cacheField name="Month" numFmtId="0">
      <sharedItems containsSemiMixedTypes="0" containsString="0" containsNumber="1" containsInteger="1" minValue="1" maxValue="12"/>
    </cacheField>
    <cacheField name="Year" numFmtId="0">
      <sharedItems containsSemiMixedTypes="0" containsString="0" containsNumber="1" containsInteger="1" minValue="2021" maxValue="2024" count="4">
        <n v="2021"/>
        <n v="2022"/>
        <n v="2023"/>
        <n v="2024"/>
      </sharedItems>
    </cacheField>
    <cacheField name="Quarter" numFmtId="0">
      <sharedItems count="4">
        <s v="Qtr 4"/>
        <s v="Qtr 1"/>
        <s v="Qtr 2"/>
        <s v="Qtr 3"/>
      </sharedItems>
    </cacheField>
    <cacheField name="Month Name" numFmtId="0">
      <sharedItems count="12">
        <s v="October"/>
        <s v="November"/>
        <s v="December"/>
        <s v="January"/>
        <s v="February"/>
        <s v="March"/>
        <s v="April"/>
        <s v="May"/>
        <s v="June"/>
        <s v="July"/>
        <s v="August"/>
        <s v="September"/>
      </sharedItems>
    </cacheField>
    <cacheField name="Day_Name" numFmtId="0">
      <sharedItems count="7">
        <s v="Sat"/>
        <s v="Sun"/>
        <s v="Mon"/>
        <s v="Tue"/>
        <s v="Wed"/>
        <s v="Thu"/>
        <s v="Fri"/>
      </sharedItems>
    </cacheField>
    <cacheField name="Brand" numFmtId="0">
      <sharedItems count="5">
        <s v="Xiaomi"/>
        <s v="Vivo"/>
        <s v="OnePlus"/>
        <s v="Samsung"/>
        <s v="Apple"/>
      </sharedItems>
    </cacheField>
    <cacheField name="Units Sold" numFmtId="0">
      <sharedItems containsSemiMixedTypes="0" containsString="0" containsNumber="1" containsInteger="1" minValue="1" maxValue="9"/>
    </cacheField>
    <cacheField name="Price Per Unit" numFmtId="0">
      <sharedItems containsSemiMixedTypes="0" containsString="0" containsNumber="1" minValue="10011.11" maxValue="69984.479999999996"/>
    </cacheField>
    <cacheField name="Sales" numFmtId="0">
      <sharedItems containsSemiMixedTypes="0" containsString="0" containsNumber="1" minValue="10115.91" maxValue="628391.79"/>
    </cacheField>
    <cacheField name="Customer Name" numFmtId="0">
      <sharedItems/>
    </cacheField>
    <cacheField name="Customer Age" numFmtId="0">
      <sharedItems containsSemiMixedTypes="0" containsString="0" containsNumber="1" containsInteger="1" minValue="18" maxValue="59"/>
    </cacheField>
    <cacheField name="City" numFmtId="0">
      <sharedItems count="19">
        <s v="Ludhiana"/>
        <s v="Delhi"/>
        <s v="Mumbai"/>
        <s v="Gorakhpur"/>
        <s v="Jodhpur"/>
        <s v="Vadodara"/>
        <s v="Madurai"/>
        <s v="Hyderabad"/>
        <s v="Chennai"/>
        <s v="Coimbatore"/>
        <s v="Kolkata"/>
        <s v="Rajkot"/>
        <s v="Kanpur"/>
        <s v="Bhopal"/>
        <s v="Ranchi"/>
        <s v="Lucknow"/>
        <s v="Indore"/>
        <s v="Patna"/>
        <s v="Bangalore"/>
      </sharedItems>
    </cacheField>
    <cacheField name="Payment Method" numFmtId="0">
      <sharedItems count="4">
        <s v="UPI"/>
        <s v="Credit Card"/>
        <s v="Cash"/>
        <s v="Debit Card"/>
      </sharedItems>
    </cacheField>
    <cacheField name="Customer Ratings" numFmtId="1">
      <sharedItems containsSemiMixedTypes="0" containsString="0" containsNumber="1" containsInteger="1" minValue="1" maxValue="5"/>
    </cacheField>
    <cacheField name="Rating Status" numFmtId="1">
      <sharedItems count="3">
        <s v="Good"/>
        <s v="Average"/>
        <s v="Poor"/>
      </sharedItems>
    </cacheField>
    <cacheField name="Mobile Model" numFmtId="0">
      <sharedItems count="15">
        <s v="Redmi Note 10"/>
        <s v="Vivo Y51"/>
        <s v="Vivo S1"/>
        <s v="Mi 11"/>
        <s v="OnePlus 9"/>
        <s v="Galaxy Note 20"/>
        <s v="OnePlus Nord"/>
        <s v="iPhone 12"/>
        <s v="Galaxy A51"/>
        <s v="Vivo V20"/>
        <s v="Redmi 9"/>
        <s v="iPhone SE"/>
        <s v="Galaxy S21"/>
        <s v="OnePlus 8T"/>
        <s v="iPhone 11"/>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3835">
  <r>
    <n v="1"/>
    <x v="0"/>
    <n v="9"/>
    <n v="10"/>
    <x v="0"/>
    <x v="0"/>
    <x v="0"/>
    <x v="0"/>
    <x v="0"/>
    <n v="6"/>
    <n v="10174.700000000001"/>
    <n v="61048.200000000004"/>
    <s v="Lalita Ahuja"/>
    <n v="38"/>
    <x v="0"/>
    <x v="0"/>
    <n v="5"/>
    <x v="0"/>
    <x v="0"/>
  </r>
  <r>
    <n v="2"/>
    <x v="0"/>
    <n v="9"/>
    <n v="10"/>
    <x v="0"/>
    <x v="0"/>
    <x v="0"/>
    <x v="0"/>
    <x v="1"/>
    <n v="6"/>
    <n v="10565.19"/>
    <n v="63391.14"/>
    <s v="Sneha Sharma"/>
    <n v="37"/>
    <x v="1"/>
    <x v="1"/>
    <n v="3"/>
    <x v="1"/>
    <x v="1"/>
  </r>
  <r>
    <n v="3"/>
    <x v="0"/>
    <n v="9"/>
    <n v="10"/>
    <x v="0"/>
    <x v="0"/>
    <x v="0"/>
    <x v="0"/>
    <x v="1"/>
    <n v="8"/>
    <n v="58527.58"/>
    <n v="468220.64"/>
    <s v="Radha Srivastava"/>
    <n v="40"/>
    <x v="2"/>
    <x v="0"/>
    <n v="5"/>
    <x v="0"/>
    <x v="2"/>
  </r>
  <r>
    <n v="4"/>
    <x v="1"/>
    <n v="10"/>
    <n v="10"/>
    <x v="0"/>
    <x v="0"/>
    <x v="0"/>
    <x v="1"/>
    <x v="0"/>
    <n v="5"/>
    <n v="25563.98"/>
    <n v="127819.9"/>
    <s v="Bhavana Arora"/>
    <n v="21"/>
    <x v="2"/>
    <x v="1"/>
    <n v="4"/>
    <x v="0"/>
    <x v="3"/>
  </r>
  <r>
    <n v="5"/>
    <x v="1"/>
    <n v="10"/>
    <n v="10"/>
    <x v="0"/>
    <x v="0"/>
    <x v="0"/>
    <x v="1"/>
    <x v="2"/>
    <n v="3"/>
    <n v="48168.02"/>
    <n v="144504.06"/>
    <s v="Sneha Mehta"/>
    <n v="38"/>
    <x v="3"/>
    <x v="2"/>
    <n v="5"/>
    <x v="0"/>
    <x v="4"/>
  </r>
  <r>
    <n v="6"/>
    <x v="1"/>
    <n v="10"/>
    <n v="10"/>
    <x v="0"/>
    <x v="0"/>
    <x v="0"/>
    <x v="1"/>
    <x v="3"/>
    <n v="3"/>
    <n v="37252.870000000003"/>
    <n v="111758.61000000002"/>
    <s v="Reena Mehta"/>
    <n v="38"/>
    <x v="4"/>
    <x v="0"/>
    <n v="3"/>
    <x v="1"/>
    <x v="5"/>
  </r>
  <r>
    <n v="7"/>
    <x v="1"/>
    <n v="10"/>
    <n v="10"/>
    <x v="0"/>
    <x v="0"/>
    <x v="0"/>
    <x v="1"/>
    <x v="2"/>
    <n v="6"/>
    <n v="61805.8"/>
    <n v="370834.80000000005"/>
    <s v="Pankaj Alva"/>
    <n v="18"/>
    <x v="1"/>
    <x v="2"/>
    <n v="4"/>
    <x v="0"/>
    <x v="6"/>
  </r>
  <r>
    <n v="8"/>
    <x v="2"/>
    <n v="11"/>
    <n v="10"/>
    <x v="0"/>
    <x v="0"/>
    <x v="0"/>
    <x v="2"/>
    <x v="4"/>
    <n v="2"/>
    <n v="65017.67"/>
    <n v="130035.34"/>
    <s v="Mala Rawat"/>
    <n v="32"/>
    <x v="5"/>
    <x v="2"/>
    <n v="3"/>
    <x v="1"/>
    <x v="7"/>
  </r>
  <r>
    <n v="9"/>
    <x v="2"/>
    <n v="11"/>
    <n v="10"/>
    <x v="0"/>
    <x v="0"/>
    <x v="0"/>
    <x v="2"/>
    <x v="1"/>
    <n v="6"/>
    <n v="69808.460000000006"/>
    <n v="418850.76"/>
    <s v="Pankaj Varma"/>
    <n v="34"/>
    <x v="1"/>
    <x v="0"/>
    <n v="5"/>
    <x v="0"/>
    <x v="1"/>
  </r>
  <r>
    <n v="10"/>
    <x v="2"/>
    <n v="11"/>
    <n v="10"/>
    <x v="0"/>
    <x v="0"/>
    <x v="0"/>
    <x v="2"/>
    <x v="3"/>
    <n v="6"/>
    <n v="19221.05"/>
    <n v="115326.29999999999"/>
    <s v="Yogesh Sharma"/>
    <n v="31"/>
    <x v="2"/>
    <x v="3"/>
    <n v="2"/>
    <x v="2"/>
    <x v="8"/>
  </r>
  <r>
    <n v="11"/>
    <x v="3"/>
    <n v="12"/>
    <n v="10"/>
    <x v="0"/>
    <x v="0"/>
    <x v="0"/>
    <x v="3"/>
    <x v="3"/>
    <n v="8"/>
    <n v="61777.84"/>
    <n v="494222.72"/>
    <s v="Radha Sharma"/>
    <n v="36"/>
    <x v="6"/>
    <x v="1"/>
    <n v="5"/>
    <x v="0"/>
    <x v="8"/>
  </r>
  <r>
    <n v="12"/>
    <x v="3"/>
    <n v="12"/>
    <n v="10"/>
    <x v="0"/>
    <x v="0"/>
    <x v="0"/>
    <x v="3"/>
    <x v="4"/>
    <n v="7"/>
    <n v="25961.279999999999"/>
    <n v="181728.96"/>
    <s v="Namita Roy"/>
    <n v="51"/>
    <x v="1"/>
    <x v="0"/>
    <n v="4"/>
    <x v="0"/>
    <x v="7"/>
  </r>
  <r>
    <n v="13"/>
    <x v="3"/>
    <n v="12"/>
    <n v="10"/>
    <x v="0"/>
    <x v="0"/>
    <x v="0"/>
    <x v="3"/>
    <x v="4"/>
    <n v="8"/>
    <n v="45448.95"/>
    <n v="363591.6"/>
    <s v="Ramesh Joshi"/>
    <n v="23"/>
    <x v="2"/>
    <x v="2"/>
    <n v="5"/>
    <x v="0"/>
    <x v="7"/>
  </r>
  <r>
    <n v="14"/>
    <x v="4"/>
    <n v="13"/>
    <n v="10"/>
    <x v="0"/>
    <x v="0"/>
    <x v="0"/>
    <x v="4"/>
    <x v="0"/>
    <n v="9"/>
    <n v="40346.370000000003"/>
    <n v="363117.33"/>
    <s v="Arun Iyer"/>
    <n v="23"/>
    <x v="7"/>
    <x v="1"/>
    <n v="2"/>
    <x v="2"/>
    <x v="0"/>
  </r>
  <r>
    <n v="15"/>
    <x v="4"/>
    <n v="13"/>
    <n v="10"/>
    <x v="0"/>
    <x v="0"/>
    <x v="0"/>
    <x v="4"/>
    <x v="1"/>
    <n v="6"/>
    <n v="11079.29"/>
    <n v="66475.740000000005"/>
    <s v="Manoj Siddiqui"/>
    <n v="22"/>
    <x v="8"/>
    <x v="2"/>
    <n v="5"/>
    <x v="0"/>
    <x v="9"/>
  </r>
  <r>
    <n v="16"/>
    <x v="4"/>
    <n v="13"/>
    <n v="10"/>
    <x v="0"/>
    <x v="0"/>
    <x v="0"/>
    <x v="4"/>
    <x v="1"/>
    <n v="3"/>
    <n v="65966.28"/>
    <n v="197898.84"/>
    <s v="Anjali Gupta"/>
    <n v="24"/>
    <x v="2"/>
    <x v="1"/>
    <n v="2"/>
    <x v="2"/>
    <x v="1"/>
  </r>
  <r>
    <n v="17"/>
    <x v="5"/>
    <n v="14"/>
    <n v="10"/>
    <x v="0"/>
    <x v="0"/>
    <x v="0"/>
    <x v="5"/>
    <x v="2"/>
    <n v="3"/>
    <n v="14699.62"/>
    <n v="44098.86"/>
    <s v="Ramesh Rao"/>
    <n v="50"/>
    <x v="9"/>
    <x v="0"/>
    <n v="4"/>
    <x v="0"/>
    <x v="6"/>
  </r>
  <r>
    <n v="18"/>
    <x v="5"/>
    <n v="14"/>
    <n v="10"/>
    <x v="0"/>
    <x v="0"/>
    <x v="0"/>
    <x v="5"/>
    <x v="0"/>
    <n v="1"/>
    <n v="51293.14"/>
    <n v="51293.14"/>
    <s v="Anand Pillai"/>
    <n v="30"/>
    <x v="1"/>
    <x v="2"/>
    <n v="3"/>
    <x v="1"/>
    <x v="0"/>
  </r>
  <r>
    <n v="19"/>
    <x v="5"/>
    <n v="14"/>
    <n v="10"/>
    <x v="0"/>
    <x v="0"/>
    <x v="0"/>
    <x v="5"/>
    <x v="0"/>
    <n v="5"/>
    <n v="57100.41"/>
    <n v="285502.05000000005"/>
    <s v="Kiran Rawat"/>
    <n v="18"/>
    <x v="2"/>
    <x v="1"/>
    <n v="4"/>
    <x v="0"/>
    <x v="0"/>
  </r>
  <r>
    <n v="20"/>
    <x v="5"/>
    <n v="14"/>
    <n v="10"/>
    <x v="0"/>
    <x v="0"/>
    <x v="0"/>
    <x v="5"/>
    <x v="0"/>
    <n v="4"/>
    <n v="57717.27"/>
    <n v="230869.08"/>
    <s v="Harish Kaur"/>
    <n v="30"/>
    <x v="2"/>
    <x v="1"/>
    <n v="5"/>
    <x v="0"/>
    <x v="0"/>
  </r>
  <r>
    <n v="21"/>
    <x v="6"/>
    <n v="15"/>
    <n v="10"/>
    <x v="0"/>
    <x v="0"/>
    <x v="0"/>
    <x v="6"/>
    <x v="0"/>
    <n v="9"/>
    <n v="18129.669999999998"/>
    <n v="163167.02999999997"/>
    <s v="Manoj Luthra"/>
    <n v="44"/>
    <x v="9"/>
    <x v="0"/>
    <n v="4"/>
    <x v="0"/>
    <x v="3"/>
  </r>
  <r>
    <n v="22"/>
    <x v="6"/>
    <n v="15"/>
    <n v="10"/>
    <x v="0"/>
    <x v="0"/>
    <x v="0"/>
    <x v="6"/>
    <x v="1"/>
    <n v="9"/>
    <n v="36854.199999999997"/>
    <n v="331687.8"/>
    <s v="Jyoti Roy"/>
    <n v="24"/>
    <x v="5"/>
    <x v="1"/>
    <n v="5"/>
    <x v="0"/>
    <x v="2"/>
  </r>
  <r>
    <n v="23"/>
    <x v="6"/>
    <n v="15"/>
    <n v="10"/>
    <x v="0"/>
    <x v="0"/>
    <x v="0"/>
    <x v="6"/>
    <x v="1"/>
    <n v="5"/>
    <n v="59765.73"/>
    <n v="298828.65000000002"/>
    <s v="Rajesh Sheth"/>
    <n v="20"/>
    <x v="10"/>
    <x v="1"/>
    <n v="5"/>
    <x v="0"/>
    <x v="2"/>
  </r>
  <r>
    <n v="24"/>
    <x v="7"/>
    <n v="16"/>
    <n v="10"/>
    <x v="0"/>
    <x v="0"/>
    <x v="0"/>
    <x v="0"/>
    <x v="0"/>
    <n v="4"/>
    <n v="28160.75"/>
    <n v="112643"/>
    <s v="Mala Ghosh"/>
    <n v="42"/>
    <x v="2"/>
    <x v="2"/>
    <n v="5"/>
    <x v="0"/>
    <x v="0"/>
  </r>
  <r>
    <n v="25"/>
    <x v="7"/>
    <n v="16"/>
    <n v="10"/>
    <x v="0"/>
    <x v="0"/>
    <x v="0"/>
    <x v="0"/>
    <x v="2"/>
    <n v="7"/>
    <n v="38064.92"/>
    <n v="266454.44"/>
    <s v="Reena Teja"/>
    <n v="50"/>
    <x v="1"/>
    <x v="0"/>
    <n v="2"/>
    <x v="2"/>
    <x v="6"/>
  </r>
  <r>
    <n v="26"/>
    <x v="7"/>
    <n v="16"/>
    <n v="10"/>
    <x v="0"/>
    <x v="0"/>
    <x v="0"/>
    <x v="0"/>
    <x v="3"/>
    <n v="6"/>
    <n v="26367.63"/>
    <n v="158205.78"/>
    <s v="Bhavana Dutta"/>
    <n v="57"/>
    <x v="1"/>
    <x v="0"/>
    <n v="5"/>
    <x v="0"/>
    <x v="5"/>
  </r>
  <r>
    <n v="27"/>
    <x v="8"/>
    <n v="17"/>
    <n v="10"/>
    <x v="0"/>
    <x v="0"/>
    <x v="0"/>
    <x v="1"/>
    <x v="3"/>
    <n v="4"/>
    <n v="37813.089999999997"/>
    <n v="151252.35999999999"/>
    <s v="Yogesh Ahuja"/>
    <n v="34"/>
    <x v="1"/>
    <x v="2"/>
    <n v="4"/>
    <x v="0"/>
    <x v="8"/>
  </r>
  <r>
    <n v="28"/>
    <x v="8"/>
    <n v="17"/>
    <n v="10"/>
    <x v="0"/>
    <x v="0"/>
    <x v="0"/>
    <x v="1"/>
    <x v="2"/>
    <n v="2"/>
    <n v="63270.28"/>
    <n v="126540.56"/>
    <s v="Isha Desai"/>
    <n v="31"/>
    <x v="5"/>
    <x v="3"/>
    <n v="4"/>
    <x v="0"/>
    <x v="4"/>
  </r>
  <r>
    <n v="29"/>
    <x v="8"/>
    <n v="17"/>
    <n v="10"/>
    <x v="0"/>
    <x v="0"/>
    <x v="0"/>
    <x v="1"/>
    <x v="0"/>
    <n v="1"/>
    <n v="37307.449999999997"/>
    <n v="37307.449999999997"/>
    <s v="Tapan Shah"/>
    <n v="54"/>
    <x v="1"/>
    <x v="2"/>
    <n v="4"/>
    <x v="0"/>
    <x v="10"/>
  </r>
  <r>
    <n v="30"/>
    <x v="9"/>
    <n v="18"/>
    <n v="10"/>
    <x v="0"/>
    <x v="0"/>
    <x v="0"/>
    <x v="2"/>
    <x v="1"/>
    <n v="4"/>
    <n v="43354.720000000001"/>
    <n v="173418.88"/>
    <s v="Vinod Pathak"/>
    <n v="40"/>
    <x v="1"/>
    <x v="2"/>
    <n v="5"/>
    <x v="0"/>
    <x v="1"/>
  </r>
  <r>
    <n v="31"/>
    <x v="9"/>
    <n v="18"/>
    <n v="10"/>
    <x v="0"/>
    <x v="0"/>
    <x v="0"/>
    <x v="2"/>
    <x v="3"/>
    <n v="4"/>
    <n v="34238.58"/>
    <n v="136954.32"/>
    <s v="Bhavana Siddiqui"/>
    <n v="41"/>
    <x v="0"/>
    <x v="3"/>
    <n v="2"/>
    <x v="2"/>
    <x v="5"/>
  </r>
  <r>
    <n v="32"/>
    <x v="9"/>
    <n v="18"/>
    <n v="10"/>
    <x v="0"/>
    <x v="0"/>
    <x v="0"/>
    <x v="2"/>
    <x v="4"/>
    <n v="1"/>
    <n v="37607.03"/>
    <n v="37607.03"/>
    <s v="Meena Mathur"/>
    <n v="46"/>
    <x v="2"/>
    <x v="1"/>
    <n v="5"/>
    <x v="0"/>
    <x v="11"/>
  </r>
  <r>
    <n v="33"/>
    <x v="9"/>
    <n v="18"/>
    <n v="10"/>
    <x v="0"/>
    <x v="0"/>
    <x v="0"/>
    <x v="2"/>
    <x v="4"/>
    <n v="6"/>
    <n v="10910.45"/>
    <n v="65462.700000000004"/>
    <s v="Sumit Pillai"/>
    <n v="55"/>
    <x v="11"/>
    <x v="0"/>
    <n v="3"/>
    <x v="1"/>
    <x v="11"/>
  </r>
  <r>
    <n v="34"/>
    <x v="10"/>
    <n v="19"/>
    <n v="10"/>
    <x v="0"/>
    <x v="0"/>
    <x v="0"/>
    <x v="3"/>
    <x v="2"/>
    <n v="4"/>
    <n v="27024.73"/>
    <n v="108098.92"/>
    <s v="Vinod Dutta"/>
    <n v="44"/>
    <x v="2"/>
    <x v="0"/>
    <n v="5"/>
    <x v="0"/>
    <x v="4"/>
  </r>
  <r>
    <n v="35"/>
    <x v="10"/>
    <n v="19"/>
    <n v="10"/>
    <x v="0"/>
    <x v="0"/>
    <x v="0"/>
    <x v="3"/>
    <x v="0"/>
    <n v="1"/>
    <n v="36194.9"/>
    <n v="36194.9"/>
    <s v="Shruti Bhatnagar"/>
    <n v="55"/>
    <x v="12"/>
    <x v="3"/>
    <n v="4"/>
    <x v="0"/>
    <x v="0"/>
  </r>
  <r>
    <n v="36"/>
    <x v="10"/>
    <n v="19"/>
    <n v="10"/>
    <x v="0"/>
    <x v="0"/>
    <x v="0"/>
    <x v="3"/>
    <x v="3"/>
    <n v="1"/>
    <n v="48027.82"/>
    <n v="48027.82"/>
    <s v="Pankaj Shah"/>
    <n v="57"/>
    <x v="10"/>
    <x v="0"/>
    <n v="3"/>
    <x v="1"/>
    <x v="12"/>
  </r>
  <r>
    <n v="37"/>
    <x v="11"/>
    <n v="20"/>
    <n v="10"/>
    <x v="0"/>
    <x v="0"/>
    <x v="0"/>
    <x v="4"/>
    <x v="0"/>
    <n v="1"/>
    <n v="37003.120000000003"/>
    <n v="37003.120000000003"/>
    <s v="Deepika Verma"/>
    <n v="40"/>
    <x v="9"/>
    <x v="3"/>
    <n v="3"/>
    <x v="1"/>
    <x v="10"/>
  </r>
  <r>
    <n v="38"/>
    <x v="11"/>
    <n v="20"/>
    <n v="10"/>
    <x v="0"/>
    <x v="0"/>
    <x v="0"/>
    <x v="4"/>
    <x v="3"/>
    <n v="8"/>
    <n v="30269.02"/>
    <n v="242152.16"/>
    <s v="Sanjay Joshi"/>
    <n v="48"/>
    <x v="0"/>
    <x v="1"/>
    <n v="5"/>
    <x v="0"/>
    <x v="5"/>
  </r>
  <r>
    <n v="39"/>
    <x v="11"/>
    <n v="20"/>
    <n v="10"/>
    <x v="0"/>
    <x v="0"/>
    <x v="0"/>
    <x v="4"/>
    <x v="2"/>
    <n v="8"/>
    <n v="33285.919999999998"/>
    <n v="266287.35999999999"/>
    <s v="Umesh Goyal"/>
    <n v="53"/>
    <x v="1"/>
    <x v="3"/>
    <n v="5"/>
    <x v="0"/>
    <x v="13"/>
  </r>
  <r>
    <n v="40"/>
    <x v="12"/>
    <n v="21"/>
    <n v="10"/>
    <x v="0"/>
    <x v="0"/>
    <x v="0"/>
    <x v="5"/>
    <x v="2"/>
    <n v="2"/>
    <n v="24537.599999999999"/>
    <n v="49075.199999999997"/>
    <s v="Rajesh Verma"/>
    <n v="34"/>
    <x v="1"/>
    <x v="0"/>
    <n v="5"/>
    <x v="0"/>
    <x v="6"/>
  </r>
  <r>
    <n v="41"/>
    <x v="12"/>
    <n v="21"/>
    <n v="10"/>
    <x v="0"/>
    <x v="0"/>
    <x v="0"/>
    <x v="5"/>
    <x v="4"/>
    <n v="7"/>
    <n v="65469.66"/>
    <n v="458287.62"/>
    <s v="Pooja Rao"/>
    <n v="54"/>
    <x v="1"/>
    <x v="0"/>
    <n v="5"/>
    <x v="0"/>
    <x v="14"/>
  </r>
  <r>
    <n v="42"/>
    <x v="12"/>
    <n v="21"/>
    <n v="10"/>
    <x v="0"/>
    <x v="0"/>
    <x v="0"/>
    <x v="5"/>
    <x v="0"/>
    <n v="8"/>
    <n v="41304.589999999997"/>
    <n v="330436.71999999997"/>
    <s v="Jyoti Mishra"/>
    <n v="20"/>
    <x v="2"/>
    <x v="3"/>
    <n v="2"/>
    <x v="2"/>
    <x v="3"/>
  </r>
  <r>
    <n v="43"/>
    <x v="13"/>
    <n v="22"/>
    <n v="10"/>
    <x v="0"/>
    <x v="0"/>
    <x v="0"/>
    <x v="6"/>
    <x v="4"/>
    <n v="8"/>
    <n v="10804.57"/>
    <n v="86436.56"/>
    <s v="Sachin Desai"/>
    <n v="53"/>
    <x v="0"/>
    <x v="0"/>
    <n v="5"/>
    <x v="0"/>
    <x v="11"/>
  </r>
  <r>
    <n v="44"/>
    <x v="13"/>
    <n v="22"/>
    <n v="10"/>
    <x v="0"/>
    <x v="0"/>
    <x v="0"/>
    <x v="6"/>
    <x v="0"/>
    <n v="7"/>
    <n v="11166.78"/>
    <n v="78167.460000000006"/>
    <s v="Manoj Jain"/>
    <n v="22"/>
    <x v="11"/>
    <x v="3"/>
    <n v="5"/>
    <x v="0"/>
    <x v="3"/>
  </r>
  <r>
    <n v="45"/>
    <x v="13"/>
    <n v="22"/>
    <n v="10"/>
    <x v="0"/>
    <x v="0"/>
    <x v="0"/>
    <x v="6"/>
    <x v="4"/>
    <n v="5"/>
    <n v="68377.7"/>
    <n v="341888.5"/>
    <s v="Deepika Shah"/>
    <n v="32"/>
    <x v="8"/>
    <x v="0"/>
    <n v="5"/>
    <x v="0"/>
    <x v="11"/>
  </r>
  <r>
    <n v="46"/>
    <x v="14"/>
    <n v="23"/>
    <n v="10"/>
    <x v="0"/>
    <x v="0"/>
    <x v="0"/>
    <x v="0"/>
    <x v="1"/>
    <n v="1"/>
    <n v="23287.05"/>
    <n v="23287.05"/>
    <s v="Priyanka Pillai"/>
    <n v="23"/>
    <x v="6"/>
    <x v="2"/>
    <n v="5"/>
    <x v="0"/>
    <x v="9"/>
  </r>
  <r>
    <n v="47"/>
    <x v="14"/>
    <n v="23"/>
    <n v="10"/>
    <x v="0"/>
    <x v="0"/>
    <x v="0"/>
    <x v="0"/>
    <x v="1"/>
    <n v="9"/>
    <n v="58336.5"/>
    <n v="525028.5"/>
    <s v="Pooja Arora"/>
    <n v="27"/>
    <x v="1"/>
    <x v="1"/>
    <n v="5"/>
    <x v="0"/>
    <x v="1"/>
  </r>
  <r>
    <n v="48"/>
    <x v="14"/>
    <n v="23"/>
    <n v="10"/>
    <x v="0"/>
    <x v="0"/>
    <x v="0"/>
    <x v="0"/>
    <x v="1"/>
    <n v="7"/>
    <n v="13496.52"/>
    <n v="94475.64"/>
    <s v="Tanuja Prasad"/>
    <n v="49"/>
    <x v="13"/>
    <x v="0"/>
    <n v="5"/>
    <x v="0"/>
    <x v="2"/>
  </r>
  <r>
    <n v="49"/>
    <x v="14"/>
    <n v="23"/>
    <n v="10"/>
    <x v="0"/>
    <x v="0"/>
    <x v="0"/>
    <x v="0"/>
    <x v="1"/>
    <n v="2"/>
    <n v="65269.760000000002"/>
    <n v="130539.52"/>
    <s v="Monika Thakur"/>
    <n v="40"/>
    <x v="2"/>
    <x v="0"/>
    <n v="5"/>
    <x v="0"/>
    <x v="1"/>
  </r>
  <r>
    <n v="50"/>
    <x v="15"/>
    <n v="24"/>
    <n v="10"/>
    <x v="0"/>
    <x v="0"/>
    <x v="0"/>
    <x v="1"/>
    <x v="3"/>
    <n v="6"/>
    <n v="62465.02"/>
    <n v="374790.12"/>
    <s v="Anand Nair"/>
    <n v="34"/>
    <x v="6"/>
    <x v="0"/>
    <n v="2"/>
    <x v="2"/>
    <x v="5"/>
  </r>
  <r>
    <n v="51"/>
    <x v="15"/>
    <n v="24"/>
    <n v="10"/>
    <x v="0"/>
    <x v="0"/>
    <x v="0"/>
    <x v="1"/>
    <x v="1"/>
    <n v="2"/>
    <n v="44265.59"/>
    <n v="88531.18"/>
    <s v="Vinod Kaur"/>
    <n v="37"/>
    <x v="14"/>
    <x v="3"/>
    <n v="5"/>
    <x v="0"/>
    <x v="9"/>
  </r>
  <r>
    <n v="52"/>
    <x v="15"/>
    <n v="24"/>
    <n v="10"/>
    <x v="0"/>
    <x v="0"/>
    <x v="0"/>
    <x v="1"/>
    <x v="2"/>
    <n v="1"/>
    <n v="10539.92"/>
    <n v="10539.92"/>
    <s v="Yogesh Roy"/>
    <n v="58"/>
    <x v="1"/>
    <x v="0"/>
    <n v="5"/>
    <x v="0"/>
    <x v="6"/>
  </r>
  <r>
    <n v="53"/>
    <x v="16"/>
    <n v="25"/>
    <n v="10"/>
    <x v="0"/>
    <x v="0"/>
    <x v="0"/>
    <x v="2"/>
    <x v="2"/>
    <n v="7"/>
    <n v="25468.65"/>
    <n v="178280.55000000002"/>
    <s v="Krishna Mehta"/>
    <n v="32"/>
    <x v="15"/>
    <x v="3"/>
    <n v="5"/>
    <x v="0"/>
    <x v="4"/>
  </r>
  <r>
    <n v="54"/>
    <x v="16"/>
    <n v="25"/>
    <n v="10"/>
    <x v="0"/>
    <x v="0"/>
    <x v="0"/>
    <x v="2"/>
    <x v="3"/>
    <n v="2"/>
    <n v="34409.360000000001"/>
    <n v="68818.720000000001"/>
    <s v="Mala Malhotra"/>
    <n v="39"/>
    <x v="13"/>
    <x v="0"/>
    <n v="2"/>
    <x v="2"/>
    <x v="5"/>
  </r>
  <r>
    <n v="55"/>
    <x v="16"/>
    <n v="25"/>
    <n v="10"/>
    <x v="0"/>
    <x v="0"/>
    <x v="0"/>
    <x v="2"/>
    <x v="1"/>
    <n v="2"/>
    <n v="37603.85"/>
    <n v="75207.7"/>
    <s v="Sunita Thakur"/>
    <n v="23"/>
    <x v="2"/>
    <x v="2"/>
    <n v="2"/>
    <x v="2"/>
    <x v="1"/>
  </r>
  <r>
    <n v="56"/>
    <x v="16"/>
    <n v="25"/>
    <n v="10"/>
    <x v="0"/>
    <x v="0"/>
    <x v="0"/>
    <x v="2"/>
    <x v="1"/>
    <n v="5"/>
    <n v="27860.73"/>
    <n v="139303.65"/>
    <s v="Kavita Sheth"/>
    <n v="21"/>
    <x v="1"/>
    <x v="2"/>
    <n v="5"/>
    <x v="0"/>
    <x v="1"/>
  </r>
  <r>
    <n v="57"/>
    <x v="17"/>
    <n v="26"/>
    <n v="10"/>
    <x v="0"/>
    <x v="0"/>
    <x v="0"/>
    <x v="3"/>
    <x v="1"/>
    <n v="5"/>
    <n v="11976.87"/>
    <n v="59884.350000000006"/>
    <s v="Anjali Roy"/>
    <n v="40"/>
    <x v="10"/>
    <x v="1"/>
    <n v="5"/>
    <x v="0"/>
    <x v="2"/>
  </r>
  <r>
    <n v="58"/>
    <x v="17"/>
    <n v="26"/>
    <n v="10"/>
    <x v="0"/>
    <x v="0"/>
    <x v="0"/>
    <x v="3"/>
    <x v="4"/>
    <n v="7"/>
    <n v="45407.64"/>
    <n v="317853.48"/>
    <s v="Shruti Dutta"/>
    <n v="36"/>
    <x v="1"/>
    <x v="3"/>
    <n v="4"/>
    <x v="0"/>
    <x v="7"/>
  </r>
  <r>
    <n v="59"/>
    <x v="17"/>
    <n v="26"/>
    <n v="10"/>
    <x v="0"/>
    <x v="0"/>
    <x v="0"/>
    <x v="3"/>
    <x v="0"/>
    <n v="1"/>
    <n v="41449.279999999999"/>
    <n v="41449.279999999999"/>
    <s v="Devendra Jain"/>
    <n v="48"/>
    <x v="12"/>
    <x v="1"/>
    <n v="5"/>
    <x v="0"/>
    <x v="10"/>
  </r>
  <r>
    <n v="60"/>
    <x v="17"/>
    <n v="26"/>
    <n v="10"/>
    <x v="0"/>
    <x v="0"/>
    <x v="0"/>
    <x v="3"/>
    <x v="4"/>
    <n v="8"/>
    <n v="26980.04"/>
    <n v="215840.32"/>
    <s v="Jyoti Bhattacharya"/>
    <n v="20"/>
    <x v="12"/>
    <x v="0"/>
    <n v="2"/>
    <x v="2"/>
    <x v="14"/>
  </r>
  <r>
    <n v="61"/>
    <x v="18"/>
    <n v="27"/>
    <n v="10"/>
    <x v="0"/>
    <x v="0"/>
    <x v="0"/>
    <x v="4"/>
    <x v="0"/>
    <n v="3"/>
    <n v="12278.56"/>
    <n v="36835.68"/>
    <s v="Kavita Srivastava"/>
    <n v="45"/>
    <x v="2"/>
    <x v="0"/>
    <n v="4"/>
    <x v="0"/>
    <x v="0"/>
  </r>
  <r>
    <n v="62"/>
    <x v="18"/>
    <n v="27"/>
    <n v="10"/>
    <x v="0"/>
    <x v="0"/>
    <x v="0"/>
    <x v="4"/>
    <x v="1"/>
    <n v="4"/>
    <n v="69675.649999999994"/>
    <n v="278702.59999999998"/>
    <s v="Radha Mathur"/>
    <n v="20"/>
    <x v="6"/>
    <x v="2"/>
    <n v="5"/>
    <x v="0"/>
    <x v="1"/>
  </r>
  <r>
    <n v="63"/>
    <x v="18"/>
    <n v="27"/>
    <n v="10"/>
    <x v="0"/>
    <x v="0"/>
    <x v="0"/>
    <x v="4"/>
    <x v="1"/>
    <n v="9"/>
    <n v="38919.17"/>
    <n v="350272.52999999997"/>
    <s v="Lata Shah"/>
    <n v="31"/>
    <x v="3"/>
    <x v="1"/>
    <n v="5"/>
    <x v="0"/>
    <x v="9"/>
  </r>
  <r>
    <n v="64"/>
    <x v="18"/>
    <n v="27"/>
    <n v="10"/>
    <x v="0"/>
    <x v="0"/>
    <x v="0"/>
    <x v="4"/>
    <x v="4"/>
    <n v="4"/>
    <n v="55360.25"/>
    <n v="221441"/>
    <s v="Sumit Ghosh"/>
    <n v="35"/>
    <x v="0"/>
    <x v="0"/>
    <n v="4"/>
    <x v="0"/>
    <x v="11"/>
  </r>
  <r>
    <n v="65"/>
    <x v="19"/>
    <n v="28"/>
    <n v="10"/>
    <x v="0"/>
    <x v="0"/>
    <x v="0"/>
    <x v="5"/>
    <x v="4"/>
    <n v="5"/>
    <n v="37138.839999999997"/>
    <n v="185694.19999999998"/>
    <s v="Tanuja Dutta"/>
    <n v="44"/>
    <x v="12"/>
    <x v="0"/>
    <n v="5"/>
    <x v="0"/>
    <x v="11"/>
  </r>
  <r>
    <n v="66"/>
    <x v="19"/>
    <n v="28"/>
    <n v="10"/>
    <x v="0"/>
    <x v="0"/>
    <x v="0"/>
    <x v="5"/>
    <x v="0"/>
    <n v="7"/>
    <n v="12590.22"/>
    <n v="88131.54"/>
    <s v="Ramesh Kumar"/>
    <n v="27"/>
    <x v="0"/>
    <x v="3"/>
    <n v="4"/>
    <x v="0"/>
    <x v="10"/>
  </r>
  <r>
    <n v="67"/>
    <x v="19"/>
    <n v="28"/>
    <n v="10"/>
    <x v="0"/>
    <x v="0"/>
    <x v="0"/>
    <x v="5"/>
    <x v="2"/>
    <n v="4"/>
    <n v="28576.04"/>
    <n v="114304.16"/>
    <s v="Sunil Luthra"/>
    <n v="32"/>
    <x v="16"/>
    <x v="0"/>
    <n v="5"/>
    <x v="0"/>
    <x v="6"/>
  </r>
  <r>
    <n v="68"/>
    <x v="20"/>
    <n v="29"/>
    <n v="10"/>
    <x v="0"/>
    <x v="0"/>
    <x v="0"/>
    <x v="6"/>
    <x v="0"/>
    <n v="1"/>
    <n v="29206.61"/>
    <n v="29206.61"/>
    <s v="Kavita Solanki"/>
    <n v="36"/>
    <x v="12"/>
    <x v="1"/>
    <n v="5"/>
    <x v="0"/>
    <x v="10"/>
  </r>
  <r>
    <n v="69"/>
    <x v="20"/>
    <n v="29"/>
    <n v="10"/>
    <x v="0"/>
    <x v="0"/>
    <x v="0"/>
    <x v="6"/>
    <x v="4"/>
    <n v="9"/>
    <n v="60301.17"/>
    <n v="542710.53"/>
    <s v="Meena Thakur"/>
    <n v="26"/>
    <x v="8"/>
    <x v="2"/>
    <n v="5"/>
    <x v="0"/>
    <x v="7"/>
  </r>
  <r>
    <n v="70"/>
    <x v="20"/>
    <n v="29"/>
    <n v="10"/>
    <x v="0"/>
    <x v="0"/>
    <x v="0"/>
    <x v="6"/>
    <x v="4"/>
    <n v="4"/>
    <n v="49253.8"/>
    <n v="197015.2"/>
    <s v="Pooja Reddy"/>
    <n v="21"/>
    <x v="1"/>
    <x v="2"/>
    <n v="5"/>
    <x v="0"/>
    <x v="7"/>
  </r>
  <r>
    <n v="71"/>
    <x v="20"/>
    <n v="29"/>
    <n v="10"/>
    <x v="0"/>
    <x v="0"/>
    <x v="0"/>
    <x v="6"/>
    <x v="3"/>
    <n v="9"/>
    <n v="26525.79"/>
    <n v="238732.11000000002"/>
    <s v="Ayesha Ghosh"/>
    <n v="32"/>
    <x v="14"/>
    <x v="0"/>
    <n v="3"/>
    <x v="1"/>
    <x v="5"/>
  </r>
  <r>
    <n v="72"/>
    <x v="21"/>
    <n v="30"/>
    <n v="10"/>
    <x v="0"/>
    <x v="0"/>
    <x v="0"/>
    <x v="0"/>
    <x v="4"/>
    <n v="6"/>
    <n v="68064.399999999994"/>
    <n v="408386.39999999997"/>
    <s v="Yogesh Ahuja"/>
    <n v="25"/>
    <x v="17"/>
    <x v="0"/>
    <n v="4"/>
    <x v="0"/>
    <x v="7"/>
  </r>
  <r>
    <n v="73"/>
    <x v="21"/>
    <n v="30"/>
    <n v="10"/>
    <x v="0"/>
    <x v="0"/>
    <x v="0"/>
    <x v="0"/>
    <x v="3"/>
    <n v="1"/>
    <n v="29292.51"/>
    <n v="29292.51"/>
    <s v="Nikhil Bhattacharya"/>
    <n v="18"/>
    <x v="1"/>
    <x v="0"/>
    <n v="5"/>
    <x v="0"/>
    <x v="5"/>
  </r>
  <r>
    <n v="74"/>
    <x v="21"/>
    <n v="30"/>
    <n v="10"/>
    <x v="0"/>
    <x v="0"/>
    <x v="0"/>
    <x v="0"/>
    <x v="2"/>
    <n v="3"/>
    <n v="69894.039999999994"/>
    <n v="209682.12"/>
    <s v="Sunil Das"/>
    <n v="24"/>
    <x v="1"/>
    <x v="3"/>
    <n v="4"/>
    <x v="0"/>
    <x v="6"/>
  </r>
  <r>
    <n v="75"/>
    <x v="22"/>
    <n v="31"/>
    <n v="10"/>
    <x v="0"/>
    <x v="0"/>
    <x v="0"/>
    <x v="1"/>
    <x v="0"/>
    <n v="2"/>
    <n v="69769.820000000007"/>
    <n v="139539.64000000001"/>
    <s v="Shruti Iyer"/>
    <n v="48"/>
    <x v="2"/>
    <x v="0"/>
    <n v="3"/>
    <x v="1"/>
    <x v="0"/>
  </r>
  <r>
    <n v="76"/>
    <x v="22"/>
    <n v="31"/>
    <n v="10"/>
    <x v="0"/>
    <x v="0"/>
    <x v="0"/>
    <x v="1"/>
    <x v="0"/>
    <n v="9"/>
    <n v="21472.63"/>
    <n v="193253.67"/>
    <s v="Sunita Arora"/>
    <n v="35"/>
    <x v="2"/>
    <x v="0"/>
    <n v="5"/>
    <x v="0"/>
    <x v="0"/>
  </r>
  <r>
    <n v="77"/>
    <x v="22"/>
    <n v="31"/>
    <n v="10"/>
    <x v="0"/>
    <x v="0"/>
    <x v="0"/>
    <x v="1"/>
    <x v="3"/>
    <n v="1"/>
    <n v="28764.47"/>
    <n v="28764.47"/>
    <s v="Deepika Deshmukh"/>
    <n v="29"/>
    <x v="2"/>
    <x v="3"/>
    <n v="3"/>
    <x v="1"/>
    <x v="8"/>
  </r>
  <r>
    <n v="78"/>
    <x v="22"/>
    <n v="31"/>
    <n v="10"/>
    <x v="0"/>
    <x v="0"/>
    <x v="0"/>
    <x v="1"/>
    <x v="0"/>
    <n v="9"/>
    <n v="39162.65"/>
    <n v="352463.85000000003"/>
    <s v="Kiran Malhotra"/>
    <n v="47"/>
    <x v="8"/>
    <x v="1"/>
    <n v="2"/>
    <x v="2"/>
    <x v="10"/>
  </r>
  <r>
    <n v="79"/>
    <x v="23"/>
    <n v="1"/>
    <n v="11"/>
    <x v="0"/>
    <x v="0"/>
    <x v="1"/>
    <x v="2"/>
    <x v="4"/>
    <n v="9"/>
    <n v="49846.04"/>
    <n v="448614.36"/>
    <s v="Bina Mishra"/>
    <n v="50"/>
    <x v="15"/>
    <x v="3"/>
    <n v="3"/>
    <x v="1"/>
    <x v="11"/>
  </r>
  <r>
    <n v="80"/>
    <x v="23"/>
    <n v="1"/>
    <n v="11"/>
    <x v="0"/>
    <x v="0"/>
    <x v="1"/>
    <x v="2"/>
    <x v="1"/>
    <n v="8"/>
    <n v="41682.85"/>
    <n v="333462.8"/>
    <s v="Monika Srivastava"/>
    <n v="24"/>
    <x v="8"/>
    <x v="2"/>
    <n v="5"/>
    <x v="0"/>
    <x v="1"/>
  </r>
  <r>
    <n v="81"/>
    <x v="23"/>
    <n v="1"/>
    <n v="11"/>
    <x v="0"/>
    <x v="0"/>
    <x v="1"/>
    <x v="2"/>
    <x v="3"/>
    <n v="8"/>
    <n v="68166.490000000005"/>
    <n v="545331.92000000004"/>
    <s v="Prashant Dutta"/>
    <n v="45"/>
    <x v="3"/>
    <x v="3"/>
    <n v="5"/>
    <x v="0"/>
    <x v="5"/>
  </r>
  <r>
    <n v="82"/>
    <x v="23"/>
    <n v="1"/>
    <n v="11"/>
    <x v="0"/>
    <x v="0"/>
    <x v="1"/>
    <x v="2"/>
    <x v="0"/>
    <n v="1"/>
    <n v="53439.35"/>
    <n v="53439.35"/>
    <s v="Vinod Pathak"/>
    <n v="20"/>
    <x v="13"/>
    <x v="3"/>
    <n v="5"/>
    <x v="0"/>
    <x v="0"/>
  </r>
  <r>
    <n v="83"/>
    <x v="24"/>
    <n v="2"/>
    <n v="11"/>
    <x v="0"/>
    <x v="0"/>
    <x v="1"/>
    <x v="3"/>
    <x v="3"/>
    <n v="8"/>
    <n v="22722.69"/>
    <n v="181781.52"/>
    <s v="Sunil Luthra"/>
    <n v="23"/>
    <x v="1"/>
    <x v="1"/>
    <n v="4"/>
    <x v="0"/>
    <x v="8"/>
  </r>
  <r>
    <n v="84"/>
    <x v="24"/>
    <n v="2"/>
    <n v="11"/>
    <x v="0"/>
    <x v="0"/>
    <x v="1"/>
    <x v="3"/>
    <x v="3"/>
    <n v="3"/>
    <n v="16305.85"/>
    <n v="48917.55"/>
    <s v="Sunil Kapoor"/>
    <n v="48"/>
    <x v="1"/>
    <x v="1"/>
    <n v="2"/>
    <x v="2"/>
    <x v="12"/>
  </r>
  <r>
    <n v="85"/>
    <x v="24"/>
    <n v="2"/>
    <n v="11"/>
    <x v="0"/>
    <x v="0"/>
    <x v="1"/>
    <x v="3"/>
    <x v="1"/>
    <n v="7"/>
    <n v="51304.08"/>
    <n v="359128.56"/>
    <s v="Namita Roy"/>
    <n v="55"/>
    <x v="1"/>
    <x v="0"/>
    <n v="4"/>
    <x v="0"/>
    <x v="2"/>
  </r>
  <r>
    <n v="86"/>
    <x v="24"/>
    <n v="2"/>
    <n v="11"/>
    <x v="0"/>
    <x v="0"/>
    <x v="1"/>
    <x v="3"/>
    <x v="4"/>
    <n v="1"/>
    <n v="19507.150000000001"/>
    <n v="19507.150000000001"/>
    <s v="Sneha Mishra"/>
    <n v="32"/>
    <x v="18"/>
    <x v="3"/>
    <n v="5"/>
    <x v="0"/>
    <x v="11"/>
  </r>
  <r>
    <n v="87"/>
    <x v="25"/>
    <n v="3"/>
    <n v="11"/>
    <x v="0"/>
    <x v="0"/>
    <x v="1"/>
    <x v="4"/>
    <x v="3"/>
    <n v="1"/>
    <n v="57260.61"/>
    <n v="57260.61"/>
    <s v="Sanjay Bhattacharya"/>
    <n v="24"/>
    <x v="17"/>
    <x v="1"/>
    <n v="5"/>
    <x v="0"/>
    <x v="8"/>
  </r>
  <r>
    <n v="88"/>
    <x v="25"/>
    <n v="3"/>
    <n v="11"/>
    <x v="0"/>
    <x v="0"/>
    <x v="1"/>
    <x v="4"/>
    <x v="0"/>
    <n v="5"/>
    <n v="28662.2"/>
    <n v="143311"/>
    <s v="Sneha Rao"/>
    <n v="47"/>
    <x v="1"/>
    <x v="2"/>
    <n v="3"/>
    <x v="1"/>
    <x v="10"/>
  </r>
  <r>
    <n v="89"/>
    <x v="25"/>
    <n v="3"/>
    <n v="11"/>
    <x v="0"/>
    <x v="0"/>
    <x v="1"/>
    <x v="4"/>
    <x v="2"/>
    <n v="5"/>
    <n v="29613.599999999999"/>
    <n v="148068"/>
    <s v="Namita Bhatnagar"/>
    <n v="44"/>
    <x v="1"/>
    <x v="0"/>
    <n v="5"/>
    <x v="0"/>
    <x v="6"/>
  </r>
  <r>
    <n v="90"/>
    <x v="25"/>
    <n v="3"/>
    <n v="11"/>
    <x v="0"/>
    <x v="0"/>
    <x v="1"/>
    <x v="4"/>
    <x v="3"/>
    <n v="8"/>
    <n v="10647.9"/>
    <n v="85183.2"/>
    <s v="Pooja Roy"/>
    <n v="34"/>
    <x v="1"/>
    <x v="3"/>
    <n v="5"/>
    <x v="0"/>
    <x v="5"/>
  </r>
  <r>
    <n v="91"/>
    <x v="26"/>
    <n v="4"/>
    <n v="11"/>
    <x v="0"/>
    <x v="0"/>
    <x v="1"/>
    <x v="5"/>
    <x v="3"/>
    <n v="7"/>
    <n v="52060.68"/>
    <n v="364424.76"/>
    <s v="Devendra Jain"/>
    <n v="35"/>
    <x v="4"/>
    <x v="2"/>
    <n v="5"/>
    <x v="0"/>
    <x v="12"/>
  </r>
  <r>
    <n v="92"/>
    <x v="26"/>
    <n v="4"/>
    <n v="11"/>
    <x v="0"/>
    <x v="0"/>
    <x v="1"/>
    <x v="5"/>
    <x v="1"/>
    <n v="8"/>
    <n v="16796.189999999999"/>
    <n v="134369.51999999999"/>
    <s v="Neeta Sharma"/>
    <n v="39"/>
    <x v="18"/>
    <x v="1"/>
    <n v="5"/>
    <x v="0"/>
    <x v="2"/>
  </r>
  <r>
    <n v="93"/>
    <x v="26"/>
    <n v="4"/>
    <n v="11"/>
    <x v="0"/>
    <x v="0"/>
    <x v="1"/>
    <x v="5"/>
    <x v="4"/>
    <n v="6"/>
    <n v="56372.83"/>
    <n v="338236.98"/>
    <s v="Sumit Sheth"/>
    <n v="43"/>
    <x v="16"/>
    <x v="0"/>
    <n v="3"/>
    <x v="1"/>
    <x v="14"/>
  </r>
  <r>
    <n v="94"/>
    <x v="26"/>
    <n v="4"/>
    <n v="11"/>
    <x v="0"/>
    <x v="0"/>
    <x v="1"/>
    <x v="5"/>
    <x v="2"/>
    <n v="6"/>
    <n v="39512.07"/>
    <n v="237072.41999999998"/>
    <s v="Bina Deshmukh"/>
    <n v="44"/>
    <x v="2"/>
    <x v="2"/>
    <n v="4"/>
    <x v="0"/>
    <x v="13"/>
  </r>
  <r>
    <n v="95"/>
    <x v="27"/>
    <n v="5"/>
    <n v="11"/>
    <x v="0"/>
    <x v="0"/>
    <x v="1"/>
    <x v="6"/>
    <x v="0"/>
    <n v="2"/>
    <n v="57056.79"/>
    <n v="114113.58"/>
    <s v="Ravi Arora"/>
    <n v="57"/>
    <x v="2"/>
    <x v="3"/>
    <n v="2"/>
    <x v="2"/>
    <x v="10"/>
  </r>
  <r>
    <n v="96"/>
    <x v="27"/>
    <n v="5"/>
    <n v="11"/>
    <x v="0"/>
    <x v="0"/>
    <x v="1"/>
    <x v="6"/>
    <x v="2"/>
    <n v="6"/>
    <n v="45035.59"/>
    <n v="270213.53999999998"/>
    <s v="Anjali Pathak"/>
    <n v="41"/>
    <x v="14"/>
    <x v="2"/>
    <n v="4"/>
    <x v="0"/>
    <x v="6"/>
  </r>
  <r>
    <n v="97"/>
    <x v="27"/>
    <n v="5"/>
    <n v="11"/>
    <x v="0"/>
    <x v="0"/>
    <x v="1"/>
    <x v="6"/>
    <x v="0"/>
    <n v="5"/>
    <n v="14946"/>
    <n v="74730"/>
    <s v="Rajesh Menon"/>
    <n v="25"/>
    <x v="6"/>
    <x v="0"/>
    <n v="3"/>
    <x v="1"/>
    <x v="3"/>
  </r>
  <r>
    <n v="98"/>
    <x v="27"/>
    <n v="5"/>
    <n v="11"/>
    <x v="0"/>
    <x v="0"/>
    <x v="1"/>
    <x v="6"/>
    <x v="4"/>
    <n v="3"/>
    <n v="55939.14"/>
    <n v="167817.41999999998"/>
    <s v="Reena Chatterjee"/>
    <n v="38"/>
    <x v="7"/>
    <x v="3"/>
    <n v="5"/>
    <x v="0"/>
    <x v="11"/>
  </r>
  <r>
    <n v="99"/>
    <x v="28"/>
    <n v="6"/>
    <n v="11"/>
    <x v="0"/>
    <x v="0"/>
    <x v="1"/>
    <x v="0"/>
    <x v="0"/>
    <n v="6"/>
    <n v="14187.97"/>
    <n v="85127.819999999992"/>
    <s v="Nikhil Pathak"/>
    <n v="46"/>
    <x v="17"/>
    <x v="3"/>
    <n v="4"/>
    <x v="0"/>
    <x v="3"/>
  </r>
  <r>
    <n v="100"/>
    <x v="28"/>
    <n v="6"/>
    <n v="11"/>
    <x v="0"/>
    <x v="0"/>
    <x v="1"/>
    <x v="0"/>
    <x v="1"/>
    <n v="8"/>
    <n v="38722.1"/>
    <n v="309776.8"/>
    <s v="Krishna Bhattacharya"/>
    <n v="38"/>
    <x v="3"/>
    <x v="2"/>
    <n v="2"/>
    <x v="2"/>
    <x v="2"/>
  </r>
  <r>
    <n v="101"/>
    <x v="28"/>
    <n v="6"/>
    <n v="11"/>
    <x v="0"/>
    <x v="0"/>
    <x v="1"/>
    <x v="0"/>
    <x v="1"/>
    <n v="9"/>
    <n v="20340.95"/>
    <n v="183068.55000000002"/>
    <s v="Ayesha Thakur"/>
    <n v="20"/>
    <x v="16"/>
    <x v="0"/>
    <n v="3"/>
    <x v="1"/>
    <x v="1"/>
  </r>
  <r>
    <n v="102"/>
    <x v="28"/>
    <n v="6"/>
    <n v="11"/>
    <x v="0"/>
    <x v="0"/>
    <x v="1"/>
    <x v="0"/>
    <x v="1"/>
    <n v="1"/>
    <n v="55140.11"/>
    <n v="55140.11"/>
    <s v="Bina Nair"/>
    <n v="48"/>
    <x v="0"/>
    <x v="3"/>
    <n v="5"/>
    <x v="0"/>
    <x v="2"/>
  </r>
  <r>
    <n v="103"/>
    <x v="29"/>
    <n v="7"/>
    <n v="11"/>
    <x v="0"/>
    <x v="0"/>
    <x v="1"/>
    <x v="1"/>
    <x v="1"/>
    <n v="3"/>
    <n v="64695.47"/>
    <n v="194086.41"/>
    <s v="Krishna Malhotra"/>
    <n v="44"/>
    <x v="5"/>
    <x v="0"/>
    <n v="3"/>
    <x v="1"/>
    <x v="1"/>
  </r>
  <r>
    <n v="104"/>
    <x v="29"/>
    <n v="7"/>
    <n v="11"/>
    <x v="0"/>
    <x v="0"/>
    <x v="1"/>
    <x v="1"/>
    <x v="2"/>
    <n v="3"/>
    <n v="43247.57"/>
    <n v="129742.70999999999"/>
    <s v="Mala Das"/>
    <n v="44"/>
    <x v="3"/>
    <x v="1"/>
    <n v="5"/>
    <x v="0"/>
    <x v="4"/>
  </r>
  <r>
    <n v="105"/>
    <x v="29"/>
    <n v="7"/>
    <n v="11"/>
    <x v="0"/>
    <x v="0"/>
    <x v="1"/>
    <x v="1"/>
    <x v="4"/>
    <n v="8"/>
    <n v="41628.839999999997"/>
    <n v="333030.71999999997"/>
    <s v="Anita Bhattacharya"/>
    <n v="26"/>
    <x v="14"/>
    <x v="2"/>
    <n v="2"/>
    <x v="2"/>
    <x v="11"/>
  </r>
  <r>
    <n v="106"/>
    <x v="29"/>
    <n v="7"/>
    <n v="11"/>
    <x v="0"/>
    <x v="0"/>
    <x v="1"/>
    <x v="1"/>
    <x v="0"/>
    <n v="1"/>
    <n v="55837.79"/>
    <n v="55837.79"/>
    <s v="Nikhil Solanki"/>
    <n v="50"/>
    <x v="2"/>
    <x v="0"/>
    <n v="3"/>
    <x v="1"/>
    <x v="10"/>
  </r>
  <r>
    <n v="107"/>
    <x v="30"/>
    <n v="8"/>
    <n v="11"/>
    <x v="0"/>
    <x v="0"/>
    <x v="1"/>
    <x v="2"/>
    <x v="0"/>
    <n v="5"/>
    <n v="10304.73"/>
    <n v="51523.649999999994"/>
    <s v="Shruti Bhatnagar"/>
    <n v="50"/>
    <x v="16"/>
    <x v="1"/>
    <n v="5"/>
    <x v="0"/>
    <x v="3"/>
  </r>
  <r>
    <n v="108"/>
    <x v="30"/>
    <n v="8"/>
    <n v="11"/>
    <x v="0"/>
    <x v="0"/>
    <x v="1"/>
    <x v="2"/>
    <x v="1"/>
    <n v="3"/>
    <n v="65065.52"/>
    <n v="195196.56"/>
    <s v="Kiran Goyal"/>
    <n v="43"/>
    <x v="1"/>
    <x v="1"/>
    <n v="5"/>
    <x v="0"/>
    <x v="2"/>
  </r>
  <r>
    <n v="109"/>
    <x v="30"/>
    <n v="8"/>
    <n v="11"/>
    <x v="0"/>
    <x v="0"/>
    <x v="1"/>
    <x v="2"/>
    <x v="1"/>
    <n v="2"/>
    <n v="21846.93"/>
    <n v="43693.86"/>
    <s v="Kiran Prasad"/>
    <n v="45"/>
    <x v="11"/>
    <x v="0"/>
    <n v="3"/>
    <x v="1"/>
    <x v="9"/>
  </r>
  <r>
    <n v="110"/>
    <x v="31"/>
    <n v="9"/>
    <n v="11"/>
    <x v="0"/>
    <x v="0"/>
    <x v="1"/>
    <x v="3"/>
    <x v="3"/>
    <n v="8"/>
    <n v="69047.13"/>
    <n v="552377.04"/>
    <s v="Sunil Jain"/>
    <n v="48"/>
    <x v="3"/>
    <x v="0"/>
    <n v="5"/>
    <x v="0"/>
    <x v="12"/>
  </r>
  <r>
    <n v="111"/>
    <x v="31"/>
    <n v="9"/>
    <n v="11"/>
    <x v="0"/>
    <x v="0"/>
    <x v="1"/>
    <x v="3"/>
    <x v="4"/>
    <n v="3"/>
    <n v="54175.24"/>
    <n v="162525.72"/>
    <s v="Manoj Rathod"/>
    <n v="18"/>
    <x v="13"/>
    <x v="2"/>
    <n v="3"/>
    <x v="1"/>
    <x v="14"/>
  </r>
  <r>
    <n v="112"/>
    <x v="31"/>
    <n v="9"/>
    <n v="11"/>
    <x v="0"/>
    <x v="0"/>
    <x v="1"/>
    <x v="3"/>
    <x v="2"/>
    <n v="7"/>
    <n v="56455.07"/>
    <n v="395185.49"/>
    <s v="Tapan Gupta"/>
    <n v="37"/>
    <x v="3"/>
    <x v="2"/>
    <n v="5"/>
    <x v="0"/>
    <x v="13"/>
  </r>
  <r>
    <n v="113"/>
    <x v="32"/>
    <n v="10"/>
    <n v="11"/>
    <x v="0"/>
    <x v="0"/>
    <x v="1"/>
    <x v="4"/>
    <x v="0"/>
    <n v="1"/>
    <n v="49372.18"/>
    <n v="49372.18"/>
    <s v="Anjali Pathak"/>
    <n v="29"/>
    <x v="1"/>
    <x v="3"/>
    <n v="3"/>
    <x v="1"/>
    <x v="10"/>
  </r>
  <r>
    <n v="114"/>
    <x v="32"/>
    <n v="10"/>
    <n v="11"/>
    <x v="0"/>
    <x v="0"/>
    <x v="1"/>
    <x v="4"/>
    <x v="3"/>
    <n v="6"/>
    <n v="38299.79"/>
    <n v="229798.74"/>
    <s v="Isha Desai"/>
    <n v="34"/>
    <x v="12"/>
    <x v="2"/>
    <n v="5"/>
    <x v="0"/>
    <x v="5"/>
  </r>
  <r>
    <n v="115"/>
    <x v="32"/>
    <n v="10"/>
    <n v="11"/>
    <x v="0"/>
    <x v="0"/>
    <x v="1"/>
    <x v="4"/>
    <x v="3"/>
    <n v="3"/>
    <n v="44297.66"/>
    <n v="132892.98000000001"/>
    <s v="Vinod Goyal"/>
    <n v="32"/>
    <x v="2"/>
    <x v="0"/>
    <n v="4"/>
    <x v="0"/>
    <x v="12"/>
  </r>
  <r>
    <n v="116"/>
    <x v="32"/>
    <n v="10"/>
    <n v="11"/>
    <x v="0"/>
    <x v="0"/>
    <x v="1"/>
    <x v="4"/>
    <x v="0"/>
    <n v="8"/>
    <n v="12784.17"/>
    <n v="102273.36"/>
    <s v="Krishna Rathod"/>
    <n v="51"/>
    <x v="1"/>
    <x v="3"/>
    <n v="3"/>
    <x v="1"/>
    <x v="0"/>
  </r>
  <r>
    <n v="117"/>
    <x v="33"/>
    <n v="11"/>
    <n v="11"/>
    <x v="0"/>
    <x v="0"/>
    <x v="1"/>
    <x v="5"/>
    <x v="2"/>
    <n v="6"/>
    <n v="47437.57"/>
    <n v="284625.42"/>
    <s v="Jyoti Alva"/>
    <n v="33"/>
    <x v="1"/>
    <x v="1"/>
    <n v="5"/>
    <x v="0"/>
    <x v="6"/>
  </r>
  <r>
    <n v="118"/>
    <x v="33"/>
    <n v="11"/>
    <n v="11"/>
    <x v="0"/>
    <x v="0"/>
    <x v="1"/>
    <x v="5"/>
    <x v="3"/>
    <n v="2"/>
    <n v="47565.89"/>
    <n v="95131.78"/>
    <s v="Pankaj Mehta"/>
    <n v="21"/>
    <x v="1"/>
    <x v="1"/>
    <n v="3"/>
    <x v="1"/>
    <x v="12"/>
  </r>
  <r>
    <n v="119"/>
    <x v="33"/>
    <n v="11"/>
    <n v="11"/>
    <x v="0"/>
    <x v="0"/>
    <x v="1"/>
    <x v="5"/>
    <x v="3"/>
    <n v="6"/>
    <n v="63472.05"/>
    <n v="380832.30000000005"/>
    <s v="Anjali Srivastava"/>
    <n v="25"/>
    <x v="3"/>
    <x v="0"/>
    <n v="5"/>
    <x v="0"/>
    <x v="5"/>
  </r>
  <r>
    <n v="120"/>
    <x v="33"/>
    <n v="11"/>
    <n v="11"/>
    <x v="0"/>
    <x v="0"/>
    <x v="1"/>
    <x v="5"/>
    <x v="4"/>
    <n v="7"/>
    <n v="40339.379999999997"/>
    <n v="282375.65999999997"/>
    <s v="Anita Pathak"/>
    <n v="51"/>
    <x v="8"/>
    <x v="3"/>
    <n v="2"/>
    <x v="2"/>
    <x v="11"/>
  </r>
  <r>
    <n v="121"/>
    <x v="34"/>
    <n v="12"/>
    <n v="11"/>
    <x v="0"/>
    <x v="0"/>
    <x v="1"/>
    <x v="6"/>
    <x v="2"/>
    <n v="5"/>
    <n v="14628.66"/>
    <n v="73143.3"/>
    <s v="Arun Verma"/>
    <n v="42"/>
    <x v="10"/>
    <x v="3"/>
    <n v="3"/>
    <x v="1"/>
    <x v="6"/>
  </r>
  <r>
    <n v="122"/>
    <x v="34"/>
    <n v="12"/>
    <n v="11"/>
    <x v="0"/>
    <x v="0"/>
    <x v="1"/>
    <x v="6"/>
    <x v="3"/>
    <n v="3"/>
    <n v="28371.759999999998"/>
    <n v="85115.28"/>
    <s v="Yogesh Luthra"/>
    <n v="32"/>
    <x v="7"/>
    <x v="2"/>
    <n v="5"/>
    <x v="0"/>
    <x v="8"/>
  </r>
  <r>
    <n v="123"/>
    <x v="34"/>
    <n v="12"/>
    <n v="11"/>
    <x v="0"/>
    <x v="0"/>
    <x v="1"/>
    <x v="6"/>
    <x v="2"/>
    <n v="4"/>
    <n v="49337.760000000002"/>
    <n v="197351.04000000001"/>
    <s v="Sachin Joshi"/>
    <n v="45"/>
    <x v="2"/>
    <x v="1"/>
    <n v="5"/>
    <x v="0"/>
    <x v="13"/>
  </r>
  <r>
    <n v="124"/>
    <x v="34"/>
    <n v="12"/>
    <n v="11"/>
    <x v="0"/>
    <x v="0"/>
    <x v="1"/>
    <x v="6"/>
    <x v="0"/>
    <n v="4"/>
    <n v="24355.53"/>
    <n v="97422.12"/>
    <s v="Sumit Arora"/>
    <n v="26"/>
    <x v="1"/>
    <x v="1"/>
    <n v="2"/>
    <x v="2"/>
    <x v="10"/>
  </r>
  <r>
    <n v="125"/>
    <x v="35"/>
    <n v="13"/>
    <n v="11"/>
    <x v="0"/>
    <x v="0"/>
    <x v="1"/>
    <x v="0"/>
    <x v="1"/>
    <n v="6"/>
    <n v="26831.67"/>
    <n v="160990.01999999999"/>
    <s v="Sunil Rawat"/>
    <n v="19"/>
    <x v="1"/>
    <x v="2"/>
    <n v="3"/>
    <x v="1"/>
    <x v="2"/>
  </r>
  <r>
    <n v="126"/>
    <x v="35"/>
    <n v="13"/>
    <n v="11"/>
    <x v="0"/>
    <x v="0"/>
    <x v="1"/>
    <x v="0"/>
    <x v="3"/>
    <n v="1"/>
    <n v="59228.14"/>
    <n v="59228.14"/>
    <s v="Pankaj Desai"/>
    <n v="34"/>
    <x v="11"/>
    <x v="1"/>
    <n v="4"/>
    <x v="0"/>
    <x v="12"/>
  </r>
  <r>
    <n v="127"/>
    <x v="35"/>
    <n v="13"/>
    <n v="11"/>
    <x v="0"/>
    <x v="0"/>
    <x v="1"/>
    <x v="0"/>
    <x v="4"/>
    <n v="4"/>
    <n v="45059.18"/>
    <n v="180236.72"/>
    <s v="Kiran Solanki"/>
    <n v="27"/>
    <x v="1"/>
    <x v="2"/>
    <n v="5"/>
    <x v="0"/>
    <x v="7"/>
  </r>
  <r>
    <n v="128"/>
    <x v="36"/>
    <n v="14"/>
    <n v="11"/>
    <x v="0"/>
    <x v="0"/>
    <x v="1"/>
    <x v="1"/>
    <x v="0"/>
    <n v="4"/>
    <n v="40511.65"/>
    <n v="162046.6"/>
    <s v="Prashant Luthra"/>
    <n v="26"/>
    <x v="6"/>
    <x v="1"/>
    <n v="5"/>
    <x v="0"/>
    <x v="10"/>
  </r>
  <r>
    <n v="129"/>
    <x v="36"/>
    <n v="14"/>
    <n v="11"/>
    <x v="0"/>
    <x v="0"/>
    <x v="1"/>
    <x v="1"/>
    <x v="2"/>
    <n v="1"/>
    <n v="29107.119999999999"/>
    <n v="29107.119999999999"/>
    <s v="Meena Mathur"/>
    <n v="48"/>
    <x v="11"/>
    <x v="1"/>
    <n v="5"/>
    <x v="0"/>
    <x v="13"/>
  </r>
  <r>
    <n v="130"/>
    <x v="36"/>
    <n v="14"/>
    <n v="11"/>
    <x v="0"/>
    <x v="0"/>
    <x v="1"/>
    <x v="1"/>
    <x v="0"/>
    <n v="9"/>
    <n v="53855.68"/>
    <n v="484701.12"/>
    <s v="Kavita Patel"/>
    <n v="19"/>
    <x v="8"/>
    <x v="1"/>
    <n v="5"/>
    <x v="0"/>
    <x v="3"/>
  </r>
  <r>
    <n v="131"/>
    <x v="36"/>
    <n v="14"/>
    <n v="11"/>
    <x v="0"/>
    <x v="0"/>
    <x v="1"/>
    <x v="1"/>
    <x v="3"/>
    <n v="4"/>
    <n v="27263.11"/>
    <n v="109052.44"/>
    <s v="Sanjay Pathak"/>
    <n v="41"/>
    <x v="4"/>
    <x v="2"/>
    <n v="3"/>
    <x v="1"/>
    <x v="5"/>
  </r>
  <r>
    <n v="132"/>
    <x v="37"/>
    <n v="15"/>
    <n v="11"/>
    <x v="0"/>
    <x v="0"/>
    <x v="1"/>
    <x v="2"/>
    <x v="2"/>
    <n v="7"/>
    <n v="54223.81"/>
    <n v="379566.67"/>
    <s v="Ravi Ghosh"/>
    <n v="36"/>
    <x v="14"/>
    <x v="1"/>
    <n v="5"/>
    <x v="0"/>
    <x v="13"/>
  </r>
  <r>
    <n v="133"/>
    <x v="37"/>
    <n v="15"/>
    <n v="11"/>
    <x v="0"/>
    <x v="0"/>
    <x v="1"/>
    <x v="2"/>
    <x v="1"/>
    <n v="3"/>
    <n v="14206.09"/>
    <n v="42618.270000000004"/>
    <s v="Vinod Joshi"/>
    <n v="34"/>
    <x v="9"/>
    <x v="1"/>
    <n v="3"/>
    <x v="1"/>
    <x v="9"/>
  </r>
  <r>
    <n v="134"/>
    <x v="37"/>
    <n v="15"/>
    <n v="11"/>
    <x v="0"/>
    <x v="0"/>
    <x v="1"/>
    <x v="2"/>
    <x v="0"/>
    <n v="3"/>
    <n v="61872.480000000003"/>
    <n v="185617.44"/>
    <s v="Tanuja Goyal"/>
    <n v="27"/>
    <x v="2"/>
    <x v="3"/>
    <n v="4"/>
    <x v="0"/>
    <x v="3"/>
  </r>
  <r>
    <n v="135"/>
    <x v="38"/>
    <n v="16"/>
    <n v="11"/>
    <x v="0"/>
    <x v="0"/>
    <x v="1"/>
    <x v="3"/>
    <x v="3"/>
    <n v="8"/>
    <n v="39973.99"/>
    <n v="319791.92"/>
    <s v="Pankaj Desai"/>
    <n v="45"/>
    <x v="2"/>
    <x v="1"/>
    <n v="3"/>
    <x v="1"/>
    <x v="5"/>
  </r>
  <r>
    <n v="136"/>
    <x v="38"/>
    <n v="16"/>
    <n v="11"/>
    <x v="0"/>
    <x v="0"/>
    <x v="1"/>
    <x v="3"/>
    <x v="4"/>
    <n v="8"/>
    <n v="36310.480000000003"/>
    <n v="290483.84000000003"/>
    <s v="Isha Desai"/>
    <n v="55"/>
    <x v="1"/>
    <x v="0"/>
    <n v="3"/>
    <x v="1"/>
    <x v="11"/>
  </r>
  <r>
    <n v="137"/>
    <x v="38"/>
    <n v="16"/>
    <n v="11"/>
    <x v="0"/>
    <x v="0"/>
    <x v="1"/>
    <x v="3"/>
    <x v="2"/>
    <n v="1"/>
    <n v="46661.4"/>
    <n v="46661.4"/>
    <s v="Krishna Jain"/>
    <n v="45"/>
    <x v="18"/>
    <x v="1"/>
    <n v="3"/>
    <x v="1"/>
    <x v="13"/>
  </r>
  <r>
    <n v="138"/>
    <x v="39"/>
    <n v="17"/>
    <n v="11"/>
    <x v="0"/>
    <x v="0"/>
    <x v="1"/>
    <x v="4"/>
    <x v="0"/>
    <n v="2"/>
    <n v="47451.519999999997"/>
    <n v="94903.039999999994"/>
    <s v="Tanuja Mathur"/>
    <n v="18"/>
    <x v="1"/>
    <x v="1"/>
    <n v="5"/>
    <x v="0"/>
    <x v="3"/>
  </r>
  <r>
    <n v="139"/>
    <x v="39"/>
    <n v="17"/>
    <n v="11"/>
    <x v="0"/>
    <x v="0"/>
    <x v="1"/>
    <x v="4"/>
    <x v="0"/>
    <n v="8"/>
    <n v="17922.11"/>
    <n v="143376.88"/>
    <s v="Anand Kapoor"/>
    <n v="20"/>
    <x v="2"/>
    <x v="3"/>
    <n v="2"/>
    <x v="2"/>
    <x v="3"/>
  </r>
  <r>
    <n v="140"/>
    <x v="39"/>
    <n v="17"/>
    <n v="11"/>
    <x v="0"/>
    <x v="0"/>
    <x v="1"/>
    <x v="4"/>
    <x v="1"/>
    <n v="1"/>
    <n v="55374.02"/>
    <n v="55374.02"/>
    <s v="Neeta Kulkarni"/>
    <n v="32"/>
    <x v="2"/>
    <x v="3"/>
    <n v="5"/>
    <x v="0"/>
    <x v="1"/>
  </r>
  <r>
    <n v="141"/>
    <x v="40"/>
    <n v="18"/>
    <n v="11"/>
    <x v="0"/>
    <x v="0"/>
    <x v="1"/>
    <x v="5"/>
    <x v="1"/>
    <n v="8"/>
    <n v="26555.7"/>
    <n v="212445.6"/>
    <s v="Sachin Varma"/>
    <n v="27"/>
    <x v="15"/>
    <x v="2"/>
    <n v="5"/>
    <x v="0"/>
    <x v="9"/>
  </r>
  <r>
    <n v="142"/>
    <x v="40"/>
    <n v="18"/>
    <n v="11"/>
    <x v="0"/>
    <x v="0"/>
    <x v="1"/>
    <x v="5"/>
    <x v="4"/>
    <n v="8"/>
    <n v="64297.71"/>
    <n v="514381.68"/>
    <s v="Sumit Verma"/>
    <n v="38"/>
    <x v="17"/>
    <x v="2"/>
    <n v="5"/>
    <x v="0"/>
    <x v="11"/>
  </r>
  <r>
    <n v="143"/>
    <x v="40"/>
    <n v="18"/>
    <n v="11"/>
    <x v="0"/>
    <x v="0"/>
    <x v="1"/>
    <x v="5"/>
    <x v="4"/>
    <n v="2"/>
    <n v="59071.040000000001"/>
    <n v="118142.08"/>
    <s v="Kavita Jain"/>
    <n v="54"/>
    <x v="10"/>
    <x v="0"/>
    <n v="5"/>
    <x v="0"/>
    <x v="7"/>
  </r>
  <r>
    <n v="144"/>
    <x v="41"/>
    <n v="19"/>
    <n v="11"/>
    <x v="0"/>
    <x v="0"/>
    <x v="1"/>
    <x v="6"/>
    <x v="3"/>
    <n v="4"/>
    <n v="30775.96"/>
    <n v="123103.84"/>
    <s v="Reena Bhatnagar"/>
    <n v="32"/>
    <x v="3"/>
    <x v="3"/>
    <n v="5"/>
    <x v="0"/>
    <x v="8"/>
  </r>
  <r>
    <n v="145"/>
    <x v="41"/>
    <n v="19"/>
    <n v="11"/>
    <x v="0"/>
    <x v="0"/>
    <x v="1"/>
    <x v="6"/>
    <x v="3"/>
    <n v="6"/>
    <n v="58464.36"/>
    <n v="350786.16000000003"/>
    <s v="Anjali Ahuja"/>
    <n v="40"/>
    <x v="2"/>
    <x v="2"/>
    <n v="5"/>
    <x v="0"/>
    <x v="8"/>
  </r>
  <r>
    <n v="146"/>
    <x v="41"/>
    <n v="19"/>
    <n v="11"/>
    <x v="0"/>
    <x v="0"/>
    <x v="1"/>
    <x v="6"/>
    <x v="4"/>
    <n v="9"/>
    <n v="31383.43"/>
    <n v="282450.87"/>
    <s v="Prashant Teja"/>
    <n v="31"/>
    <x v="2"/>
    <x v="2"/>
    <n v="5"/>
    <x v="0"/>
    <x v="11"/>
  </r>
  <r>
    <n v="147"/>
    <x v="42"/>
    <n v="20"/>
    <n v="11"/>
    <x v="0"/>
    <x v="0"/>
    <x v="1"/>
    <x v="0"/>
    <x v="4"/>
    <n v="8"/>
    <n v="16056.86"/>
    <n v="128454.88"/>
    <s v="Rajesh Kaur"/>
    <n v="32"/>
    <x v="16"/>
    <x v="2"/>
    <n v="5"/>
    <x v="0"/>
    <x v="11"/>
  </r>
  <r>
    <n v="148"/>
    <x v="42"/>
    <n v="20"/>
    <n v="11"/>
    <x v="0"/>
    <x v="0"/>
    <x v="1"/>
    <x v="0"/>
    <x v="2"/>
    <n v="8"/>
    <n v="67713.289999999994"/>
    <n v="541706.31999999995"/>
    <s v="Anita Prasad"/>
    <n v="27"/>
    <x v="0"/>
    <x v="3"/>
    <n v="3"/>
    <x v="1"/>
    <x v="4"/>
  </r>
  <r>
    <n v="149"/>
    <x v="42"/>
    <n v="20"/>
    <n v="11"/>
    <x v="0"/>
    <x v="0"/>
    <x v="1"/>
    <x v="0"/>
    <x v="1"/>
    <n v="7"/>
    <n v="49156.12"/>
    <n v="344092.84"/>
    <s v="Mala Teja"/>
    <n v="26"/>
    <x v="1"/>
    <x v="3"/>
    <n v="5"/>
    <x v="0"/>
    <x v="2"/>
  </r>
  <r>
    <n v="150"/>
    <x v="42"/>
    <n v="20"/>
    <n v="11"/>
    <x v="0"/>
    <x v="0"/>
    <x v="1"/>
    <x v="0"/>
    <x v="3"/>
    <n v="9"/>
    <n v="37365.97"/>
    <n v="336293.73"/>
    <s v="Tanuja Goyal"/>
    <n v="56"/>
    <x v="1"/>
    <x v="0"/>
    <n v="4"/>
    <x v="0"/>
    <x v="5"/>
  </r>
  <r>
    <n v="151"/>
    <x v="43"/>
    <n v="21"/>
    <n v="11"/>
    <x v="0"/>
    <x v="0"/>
    <x v="1"/>
    <x v="1"/>
    <x v="1"/>
    <n v="2"/>
    <n v="33866.400000000001"/>
    <n v="67732.800000000003"/>
    <s v="Reena Rao"/>
    <n v="22"/>
    <x v="14"/>
    <x v="3"/>
    <n v="5"/>
    <x v="0"/>
    <x v="1"/>
  </r>
  <r>
    <n v="152"/>
    <x v="43"/>
    <n v="21"/>
    <n v="11"/>
    <x v="0"/>
    <x v="0"/>
    <x v="1"/>
    <x v="1"/>
    <x v="1"/>
    <n v="3"/>
    <n v="29482.32"/>
    <n v="88446.959999999992"/>
    <s v="Tanuja Shah"/>
    <n v="42"/>
    <x v="9"/>
    <x v="3"/>
    <n v="5"/>
    <x v="0"/>
    <x v="2"/>
  </r>
  <r>
    <n v="153"/>
    <x v="43"/>
    <n v="21"/>
    <n v="11"/>
    <x v="0"/>
    <x v="0"/>
    <x v="1"/>
    <x v="1"/>
    <x v="4"/>
    <n v="8"/>
    <n v="68886.86"/>
    <n v="551094.88"/>
    <s v="Radha Jain"/>
    <n v="59"/>
    <x v="7"/>
    <x v="3"/>
    <n v="5"/>
    <x v="0"/>
    <x v="14"/>
  </r>
  <r>
    <n v="154"/>
    <x v="43"/>
    <n v="21"/>
    <n v="11"/>
    <x v="0"/>
    <x v="0"/>
    <x v="1"/>
    <x v="1"/>
    <x v="2"/>
    <n v="6"/>
    <n v="18084.84"/>
    <n v="108509.04000000001"/>
    <s v="Monika Ahuja"/>
    <n v="43"/>
    <x v="1"/>
    <x v="0"/>
    <n v="5"/>
    <x v="0"/>
    <x v="13"/>
  </r>
  <r>
    <n v="155"/>
    <x v="44"/>
    <n v="22"/>
    <n v="11"/>
    <x v="0"/>
    <x v="0"/>
    <x v="1"/>
    <x v="2"/>
    <x v="0"/>
    <n v="9"/>
    <n v="28888.3"/>
    <n v="259994.69999999998"/>
    <s v="Kavita Goyal"/>
    <n v="25"/>
    <x v="0"/>
    <x v="1"/>
    <n v="5"/>
    <x v="0"/>
    <x v="10"/>
  </r>
  <r>
    <n v="156"/>
    <x v="44"/>
    <n v="22"/>
    <n v="11"/>
    <x v="0"/>
    <x v="0"/>
    <x v="1"/>
    <x v="2"/>
    <x v="2"/>
    <n v="4"/>
    <n v="39129.86"/>
    <n v="156519.44"/>
    <s v="Priya Roy"/>
    <n v="39"/>
    <x v="9"/>
    <x v="1"/>
    <n v="5"/>
    <x v="0"/>
    <x v="6"/>
  </r>
  <r>
    <n v="157"/>
    <x v="44"/>
    <n v="22"/>
    <n v="11"/>
    <x v="0"/>
    <x v="0"/>
    <x v="1"/>
    <x v="2"/>
    <x v="2"/>
    <n v="8"/>
    <n v="38679.97"/>
    <n v="309439.76"/>
    <s v="Pooja Dutta"/>
    <n v="42"/>
    <x v="1"/>
    <x v="2"/>
    <n v="5"/>
    <x v="0"/>
    <x v="6"/>
  </r>
  <r>
    <n v="158"/>
    <x v="44"/>
    <n v="22"/>
    <n v="11"/>
    <x v="0"/>
    <x v="0"/>
    <x v="1"/>
    <x v="2"/>
    <x v="1"/>
    <n v="3"/>
    <n v="38281.99"/>
    <n v="114845.97"/>
    <s v="Namita Das"/>
    <n v="29"/>
    <x v="3"/>
    <x v="1"/>
    <n v="5"/>
    <x v="0"/>
    <x v="9"/>
  </r>
  <r>
    <n v="159"/>
    <x v="45"/>
    <n v="23"/>
    <n v="11"/>
    <x v="0"/>
    <x v="0"/>
    <x v="1"/>
    <x v="3"/>
    <x v="2"/>
    <n v="3"/>
    <n v="20547.03"/>
    <n v="61641.09"/>
    <s v="Nikhil Bhatnagar"/>
    <n v="26"/>
    <x v="10"/>
    <x v="1"/>
    <n v="3"/>
    <x v="1"/>
    <x v="6"/>
  </r>
  <r>
    <n v="160"/>
    <x v="45"/>
    <n v="23"/>
    <n v="11"/>
    <x v="0"/>
    <x v="0"/>
    <x v="1"/>
    <x v="3"/>
    <x v="3"/>
    <n v="8"/>
    <n v="18695.95"/>
    <n v="149567.6"/>
    <s v="Sanjay Sheth"/>
    <n v="27"/>
    <x v="17"/>
    <x v="0"/>
    <n v="4"/>
    <x v="0"/>
    <x v="8"/>
  </r>
  <r>
    <n v="161"/>
    <x v="45"/>
    <n v="23"/>
    <n v="11"/>
    <x v="0"/>
    <x v="0"/>
    <x v="1"/>
    <x v="3"/>
    <x v="1"/>
    <n v="5"/>
    <n v="25286.06"/>
    <n v="126430.3"/>
    <s v="Radha Rao"/>
    <n v="27"/>
    <x v="6"/>
    <x v="0"/>
    <n v="5"/>
    <x v="0"/>
    <x v="9"/>
  </r>
  <r>
    <n v="162"/>
    <x v="45"/>
    <n v="23"/>
    <n v="11"/>
    <x v="0"/>
    <x v="0"/>
    <x v="1"/>
    <x v="3"/>
    <x v="3"/>
    <n v="3"/>
    <n v="64871.57"/>
    <n v="194614.71"/>
    <s v="Lata Iyer"/>
    <n v="26"/>
    <x v="2"/>
    <x v="1"/>
    <n v="5"/>
    <x v="0"/>
    <x v="5"/>
  </r>
  <r>
    <n v="163"/>
    <x v="46"/>
    <n v="24"/>
    <n v="11"/>
    <x v="0"/>
    <x v="0"/>
    <x v="1"/>
    <x v="4"/>
    <x v="0"/>
    <n v="1"/>
    <n v="16783.18"/>
    <n v="16783.18"/>
    <s v="Ravi Arora"/>
    <n v="43"/>
    <x v="2"/>
    <x v="1"/>
    <n v="3"/>
    <x v="1"/>
    <x v="0"/>
  </r>
  <r>
    <n v="164"/>
    <x v="46"/>
    <n v="24"/>
    <n v="11"/>
    <x v="0"/>
    <x v="0"/>
    <x v="1"/>
    <x v="4"/>
    <x v="1"/>
    <n v="3"/>
    <n v="55445.51"/>
    <n v="166336.53"/>
    <s v="Namita Desai"/>
    <n v="52"/>
    <x v="2"/>
    <x v="1"/>
    <n v="5"/>
    <x v="0"/>
    <x v="1"/>
  </r>
  <r>
    <n v="165"/>
    <x v="46"/>
    <n v="24"/>
    <n v="11"/>
    <x v="0"/>
    <x v="0"/>
    <x v="1"/>
    <x v="4"/>
    <x v="0"/>
    <n v="9"/>
    <n v="55452.9"/>
    <n v="499076.10000000003"/>
    <s v="Pooja Joshi"/>
    <n v="44"/>
    <x v="0"/>
    <x v="2"/>
    <n v="5"/>
    <x v="0"/>
    <x v="0"/>
  </r>
  <r>
    <n v="166"/>
    <x v="46"/>
    <n v="24"/>
    <n v="11"/>
    <x v="0"/>
    <x v="0"/>
    <x v="1"/>
    <x v="4"/>
    <x v="1"/>
    <n v="5"/>
    <n v="58586.22"/>
    <n v="292931.09999999998"/>
    <s v="Reena Deshmukh"/>
    <n v="48"/>
    <x v="1"/>
    <x v="0"/>
    <n v="5"/>
    <x v="0"/>
    <x v="2"/>
  </r>
  <r>
    <n v="167"/>
    <x v="47"/>
    <n v="25"/>
    <n v="11"/>
    <x v="0"/>
    <x v="0"/>
    <x v="1"/>
    <x v="5"/>
    <x v="4"/>
    <n v="2"/>
    <n v="63196.93"/>
    <n v="126393.86"/>
    <s v="Pooja Thakur"/>
    <n v="36"/>
    <x v="1"/>
    <x v="1"/>
    <n v="5"/>
    <x v="0"/>
    <x v="7"/>
  </r>
  <r>
    <n v="168"/>
    <x v="47"/>
    <n v="25"/>
    <n v="11"/>
    <x v="0"/>
    <x v="0"/>
    <x v="1"/>
    <x v="5"/>
    <x v="2"/>
    <n v="7"/>
    <n v="25782.17"/>
    <n v="180475.19"/>
    <s v="Bhavana Kapoor"/>
    <n v="55"/>
    <x v="2"/>
    <x v="3"/>
    <n v="5"/>
    <x v="0"/>
    <x v="6"/>
  </r>
  <r>
    <n v="169"/>
    <x v="47"/>
    <n v="25"/>
    <n v="11"/>
    <x v="0"/>
    <x v="0"/>
    <x v="1"/>
    <x v="5"/>
    <x v="4"/>
    <n v="2"/>
    <n v="23473.57"/>
    <n v="46947.14"/>
    <s v="Namita Desai"/>
    <n v="23"/>
    <x v="15"/>
    <x v="1"/>
    <n v="5"/>
    <x v="0"/>
    <x v="14"/>
  </r>
  <r>
    <n v="170"/>
    <x v="48"/>
    <n v="26"/>
    <n v="11"/>
    <x v="0"/>
    <x v="0"/>
    <x v="1"/>
    <x v="6"/>
    <x v="0"/>
    <n v="4"/>
    <n v="37930.339999999997"/>
    <n v="151721.35999999999"/>
    <s v="Amit Dutta"/>
    <n v="32"/>
    <x v="5"/>
    <x v="3"/>
    <n v="5"/>
    <x v="0"/>
    <x v="10"/>
  </r>
  <r>
    <n v="171"/>
    <x v="48"/>
    <n v="26"/>
    <n v="11"/>
    <x v="0"/>
    <x v="0"/>
    <x v="1"/>
    <x v="6"/>
    <x v="2"/>
    <n v="7"/>
    <n v="25905.35"/>
    <n v="181337.44999999998"/>
    <s v="Sanjay Bhattacharya"/>
    <n v="46"/>
    <x v="1"/>
    <x v="2"/>
    <n v="5"/>
    <x v="0"/>
    <x v="4"/>
  </r>
  <r>
    <n v="172"/>
    <x v="48"/>
    <n v="26"/>
    <n v="11"/>
    <x v="0"/>
    <x v="0"/>
    <x v="1"/>
    <x v="6"/>
    <x v="1"/>
    <n v="4"/>
    <n v="54058.6"/>
    <n v="216234.4"/>
    <s v="Shruti Chaudhary"/>
    <n v="22"/>
    <x v="1"/>
    <x v="3"/>
    <n v="5"/>
    <x v="0"/>
    <x v="9"/>
  </r>
  <r>
    <n v="173"/>
    <x v="48"/>
    <n v="26"/>
    <n v="11"/>
    <x v="0"/>
    <x v="0"/>
    <x v="1"/>
    <x v="6"/>
    <x v="2"/>
    <n v="7"/>
    <n v="48156.37"/>
    <n v="337094.59"/>
    <s v="Sumit Reddy"/>
    <n v="31"/>
    <x v="17"/>
    <x v="0"/>
    <n v="5"/>
    <x v="0"/>
    <x v="13"/>
  </r>
  <r>
    <n v="174"/>
    <x v="49"/>
    <n v="27"/>
    <n v="11"/>
    <x v="0"/>
    <x v="0"/>
    <x v="1"/>
    <x v="0"/>
    <x v="3"/>
    <n v="7"/>
    <n v="62499.26"/>
    <n v="437494.82"/>
    <s v="Bina Goyal"/>
    <n v="19"/>
    <x v="16"/>
    <x v="2"/>
    <n v="5"/>
    <x v="0"/>
    <x v="8"/>
  </r>
  <r>
    <n v="175"/>
    <x v="49"/>
    <n v="27"/>
    <n v="11"/>
    <x v="0"/>
    <x v="0"/>
    <x v="1"/>
    <x v="0"/>
    <x v="2"/>
    <n v="1"/>
    <n v="14964.3"/>
    <n v="14964.3"/>
    <s v="Anita Prasad"/>
    <n v="40"/>
    <x v="8"/>
    <x v="2"/>
    <n v="5"/>
    <x v="0"/>
    <x v="13"/>
  </r>
  <r>
    <n v="176"/>
    <x v="49"/>
    <n v="27"/>
    <n v="11"/>
    <x v="0"/>
    <x v="0"/>
    <x v="1"/>
    <x v="0"/>
    <x v="3"/>
    <n v="6"/>
    <n v="64905"/>
    <n v="389430"/>
    <s v="Reena Dutta"/>
    <n v="36"/>
    <x v="18"/>
    <x v="1"/>
    <n v="5"/>
    <x v="0"/>
    <x v="8"/>
  </r>
  <r>
    <n v="177"/>
    <x v="49"/>
    <n v="27"/>
    <n v="11"/>
    <x v="0"/>
    <x v="0"/>
    <x v="1"/>
    <x v="0"/>
    <x v="2"/>
    <n v="9"/>
    <n v="27600.92"/>
    <n v="248408.27999999997"/>
    <s v="Vivek Srivastava"/>
    <n v="41"/>
    <x v="9"/>
    <x v="2"/>
    <n v="3"/>
    <x v="1"/>
    <x v="6"/>
  </r>
  <r>
    <n v="178"/>
    <x v="50"/>
    <n v="28"/>
    <n v="11"/>
    <x v="0"/>
    <x v="0"/>
    <x v="1"/>
    <x v="1"/>
    <x v="3"/>
    <n v="2"/>
    <n v="39441.660000000003"/>
    <n v="78883.320000000007"/>
    <s v="Kavita Desai"/>
    <n v="37"/>
    <x v="1"/>
    <x v="2"/>
    <n v="5"/>
    <x v="0"/>
    <x v="5"/>
  </r>
  <r>
    <n v="179"/>
    <x v="50"/>
    <n v="28"/>
    <n v="11"/>
    <x v="0"/>
    <x v="0"/>
    <x v="1"/>
    <x v="1"/>
    <x v="0"/>
    <n v="3"/>
    <n v="36316.69"/>
    <n v="108950.07"/>
    <s v="Anjali Thakur"/>
    <n v="44"/>
    <x v="2"/>
    <x v="3"/>
    <n v="5"/>
    <x v="0"/>
    <x v="3"/>
  </r>
  <r>
    <n v="180"/>
    <x v="50"/>
    <n v="28"/>
    <n v="11"/>
    <x v="0"/>
    <x v="0"/>
    <x v="1"/>
    <x v="1"/>
    <x v="4"/>
    <n v="5"/>
    <n v="55618.7"/>
    <n v="278093.5"/>
    <s v="Vijay Sheth"/>
    <n v="41"/>
    <x v="1"/>
    <x v="1"/>
    <n v="4"/>
    <x v="0"/>
    <x v="11"/>
  </r>
  <r>
    <n v="181"/>
    <x v="51"/>
    <n v="29"/>
    <n v="11"/>
    <x v="0"/>
    <x v="0"/>
    <x v="1"/>
    <x v="2"/>
    <x v="1"/>
    <n v="9"/>
    <n v="35220"/>
    <n v="316980"/>
    <s v="Vivek Nair"/>
    <n v="34"/>
    <x v="3"/>
    <x v="0"/>
    <n v="5"/>
    <x v="0"/>
    <x v="1"/>
  </r>
  <r>
    <n v="182"/>
    <x v="51"/>
    <n v="29"/>
    <n v="11"/>
    <x v="0"/>
    <x v="0"/>
    <x v="1"/>
    <x v="2"/>
    <x v="2"/>
    <n v="4"/>
    <n v="66613.19"/>
    <n v="266452.76"/>
    <s v="Sneha Jain"/>
    <n v="42"/>
    <x v="1"/>
    <x v="1"/>
    <n v="4"/>
    <x v="0"/>
    <x v="6"/>
  </r>
  <r>
    <n v="183"/>
    <x v="51"/>
    <n v="29"/>
    <n v="11"/>
    <x v="0"/>
    <x v="0"/>
    <x v="1"/>
    <x v="2"/>
    <x v="4"/>
    <n v="1"/>
    <n v="64152.03"/>
    <n v="64152.03"/>
    <s v="Nikhil Pathak"/>
    <n v="48"/>
    <x v="15"/>
    <x v="0"/>
    <n v="3"/>
    <x v="1"/>
    <x v="14"/>
  </r>
  <r>
    <n v="184"/>
    <x v="51"/>
    <n v="29"/>
    <n v="11"/>
    <x v="0"/>
    <x v="0"/>
    <x v="1"/>
    <x v="2"/>
    <x v="1"/>
    <n v="4"/>
    <n v="62329.67"/>
    <n v="249318.68"/>
    <s v="Manoj Mehta"/>
    <n v="45"/>
    <x v="1"/>
    <x v="3"/>
    <n v="5"/>
    <x v="0"/>
    <x v="1"/>
  </r>
  <r>
    <n v="185"/>
    <x v="52"/>
    <n v="30"/>
    <n v="11"/>
    <x v="0"/>
    <x v="0"/>
    <x v="1"/>
    <x v="3"/>
    <x v="1"/>
    <n v="6"/>
    <n v="14275.5"/>
    <n v="85653"/>
    <s v="Lalita Patel"/>
    <n v="45"/>
    <x v="10"/>
    <x v="2"/>
    <n v="3"/>
    <x v="1"/>
    <x v="1"/>
  </r>
  <r>
    <n v="186"/>
    <x v="52"/>
    <n v="30"/>
    <n v="11"/>
    <x v="0"/>
    <x v="0"/>
    <x v="1"/>
    <x v="3"/>
    <x v="3"/>
    <n v="5"/>
    <n v="61255.48"/>
    <n v="306277.40000000002"/>
    <s v="Nikhil Jain"/>
    <n v="39"/>
    <x v="17"/>
    <x v="2"/>
    <n v="5"/>
    <x v="0"/>
    <x v="12"/>
  </r>
  <r>
    <n v="187"/>
    <x v="52"/>
    <n v="30"/>
    <n v="11"/>
    <x v="0"/>
    <x v="0"/>
    <x v="1"/>
    <x v="3"/>
    <x v="0"/>
    <n v="1"/>
    <n v="56898.13"/>
    <n v="56898.13"/>
    <s v="Lata Chaudhary"/>
    <n v="22"/>
    <x v="1"/>
    <x v="1"/>
    <n v="5"/>
    <x v="0"/>
    <x v="3"/>
  </r>
  <r>
    <n v="188"/>
    <x v="53"/>
    <n v="1"/>
    <n v="12"/>
    <x v="0"/>
    <x v="0"/>
    <x v="2"/>
    <x v="4"/>
    <x v="0"/>
    <n v="4"/>
    <n v="16210.78"/>
    <n v="64843.12"/>
    <s v="Neeta Menon"/>
    <n v="59"/>
    <x v="4"/>
    <x v="1"/>
    <n v="3"/>
    <x v="1"/>
    <x v="0"/>
  </r>
  <r>
    <n v="189"/>
    <x v="53"/>
    <n v="1"/>
    <n v="12"/>
    <x v="0"/>
    <x v="0"/>
    <x v="2"/>
    <x v="4"/>
    <x v="4"/>
    <n v="6"/>
    <n v="16444.86"/>
    <n v="98669.16"/>
    <s v="Sachin Yadav"/>
    <n v="25"/>
    <x v="8"/>
    <x v="1"/>
    <n v="3"/>
    <x v="1"/>
    <x v="11"/>
  </r>
  <r>
    <n v="190"/>
    <x v="53"/>
    <n v="1"/>
    <n v="12"/>
    <x v="0"/>
    <x v="0"/>
    <x v="2"/>
    <x v="4"/>
    <x v="0"/>
    <n v="4"/>
    <n v="16069.83"/>
    <n v="64279.32"/>
    <s v="Sachin Goyal"/>
    <n v="55"/>
    <x v="18"/>
    <x v="2"/>
    <n v="3"/>
    <x v="1"/>
    <x v="10"/>
  </r>
  <r>
    <n v="191"/>
    <x v="53"/>
    <n v="1"/>
    <n v="12"/>
    <x v="0"/>
    <x v="0"/>
    <x v="2"/>
    <x v="4"/>
    <x v="2"/>
    <n v="9"/>
    <n v="10679.96"/>
    <n v="96119.639999999985"/>
    <s v="Shruti Chaudhary"/>
    <n v="45"/>
    <x v="4"/>
    <x v="2"/>
    <n v="5"/>
    <x v="0"/>
    <x v="13"/>
  </r>
  <r>
    <n v="192"/>
    <x v="54"/>
    <n v="2"/>
    <n v="12"/>
    <x v="0"/>
    <x v="0"/>
    <x v="2"/>
    <x v="5"/>
    <x v="0"/>
    <n v="5"/>
    <n v="42918.06"/>
    <n v="214590.3"/>
    <s v="Sneha Prasad"/>
    <n v="29"/>
    <x v="1"/>
    <x v="3"/>
    <n v="5"/>
    <x v="0"/>
    <x v="0"/>
  </r>
  <r>
    <n v="193"/>
    <x v="54"/>
    <n v="2"/>
    <n v="12"/>
    <x v="0"/>
    <x v="0"/>
    <x v="2"/>
    <x v="5"/>
    <x v="4"/>
    <n v="8"/>
    <n v="68403.66"/>
    <n v="547229.28"/>
    <s v="Sunil Varma"/>
    <n v="42"/>
    <x v="8"/>
    <x v="0"/>
    <n v="5"/>
    <x v="0"/>
    <x v="11"/>
  </r>
  <r>
    <n v="194"/>
    <x v="54"/>
    <n v="2"/>
    <n v="12"/>
    <x v="0"/>
    <x v="0"/>
    <x v="2"/>
    <x v="5"/>
    <x v="0"/>
    <n v="9"/>
    <n v="36321.08"/>
    <n v="326889.72000000003"/>
    <s v="Krishna Roy"/>
    <n v="55"/>
    <x v="4"/>
    <x v="1"/>
    <n v="5"/>
    <x v="0"/>
    <x v="0"/>
  </r>
  <r>
    <n v="195"/>
    <x v="55"/>
    <n v="3"/>
    <n v="12"/>
    <x v="0"/>
    <x v="0"/>
    <x v="2"/>
    <x v="6"/>
    <x v="2"/>
    <n v="5"/>
    <n v="42445.45"/>
    <n v="212227.25"/>
    <s v="Vinod Kumar"/>
    <n v="32"/>
    <x v="2"/>
    <x v="2"/>
    <n v="5"/>
    <x v="0"/>
    <x v="4"/>
  </r>
  <r>
    <n v="196"/>
    <x v="55"/>
    <n v="3"/>
    <n v="12"/>
    <x v="0"/>
    <x v="0"/>
    <x v="2"/>
    <x v="6"/>
    <x v="3"/>
    <n v="6"/>
    <n v="68078.19"/>
    <n v="408469.14"/>
    <s v="Sanjay Das"/>
    <n v="58"/>
    <x v="4"/>
    <x v="0"/>
    <n v="5"/>
    <x v="0"/>
    <x v="8"/>
  </r>
  <r>
    <n v="197"/>
    <x v="55"/>
    <n v="3"/>
    <n v="12"/>
    <x v="0"/>
    <x v="0"/>
    <x v="2"/>
    <x v="6"/>
    <x v="4"/>
    <n v="1"/>
    <n v="25310.93"/>
    <n v="25310.93"/>
    <s v="Neeta Menon"/>
    <n v="51"/>
    <x v="1"/>
    <x v="1"/>
    <n v="3"/>
    <x v="1"/>
    <x v="7"/>
  </r>
  <r>
    <n v="198"/>
    <x v="55"/>
    <n v="3"/>
    <n v="12"/>
    <x v="0"/>
    <x v="0"/>
    <x v="2"/>
    <x v="6"/>
    <x v="3"/>
    <n v="7"/>
    <n v="61508.22"/>
    <n v="430557.54000000004"/>
    <s v="Anand Bhattacharya"/>
    <n v="30"/>
    <x v="1"/>
    <x v="1"/>
    <n v="4"/>
    <x v="0"/>
    <x v="12"/>
  </r>
  <r>
    <n v="199"/>
    <x v="56"/>
    <n v="4"/>
    <n v="12"/>
    <x v="0"/>
    <x v="0"/>
    <x v="2"/>
    <x v="0"/>
    <x v="3"/>
    <n v="4"/>
    <n v="42783.43"/>
    <n v="171133.72"/>
    <s v="Tanuja Ahuja"/>
    <n v="25"/>
    <x v="2"/>
    <x v="0"/>
    <n v="5"/>
    <x v="0"/>
    <x v="8"/>
  </r>
  <r>
    <n v="200"/>
    <x v="56"/>
    <n v="4"/>
    <n v="12"/>
    <x v="0"/>
    <x v="0"/>
    <x v="2"/>
    <x v="0"/>
    <x v="3"/>
    <n v="2"/>
    <n v="44168.59"/>
    <n v="88337.18"/>
    <s v="Navin Verma"/>
    <n v="30"/>
    <x v="6"/>
    <x v="0"/>
    <n v="5"/>
    <x v="0"/>
    <x v="5"/>
  </r>
  <r>
    <n v="201"/>
    <x v="56"/>
    <n v="4"/>
    <n v="12"/>
    <x v="0"/>
    <x v="0"/>
    <x v="2"/>
    <x v="0"/>
    <x v="1"/>
    <n v="5"/>
    <n v="30590.43"/>
    <n v="152952.15"/>
    <s v="Bhavana Varma"/>
    <n v="53"/>
    <x v="3"/>
    <x v="0"/>
    <n v="5"/>
    <x v="0"/>
    <x v="1"/>
  </r>
  <r>
    <n v="202"/>
    <x v="56"/>
    <n v="4"/>
    <n v="12"/>
    <x v="0"/>
    <x v="0"/>
    <x v="2"/>
    <x v="0"/>
    <x v="1"/>
    <n v="3"/>
    <n v="43695.06"/>
    <n v="131085.18"/>
    <s v="Neeta Ghosh"/>
    <n v="23"/>
    <x v="15"/>
    <x v="2"/>
    <n v="5"/>
    <x v="0"/>
    <x v="9"/>
  </r>
  <r>
    <n v="203"/>
    <x v="57"/>
    <n v="5"/>
    <n v="12"/>
    <x v="0"/>
    <x v="0"/>
    <x v="2"/>
    <x v="1"/>
    <x v="3"/>
    <n v="6"/>
    <n v="14388.55"/>
    <n v="86331.299999999988"/>
    <s v="Umesh Dutta"/>
    <n v="55"/>
    <x v="7"/>
    <x v="3"/>
    <n v="5"/>
    <x v="0"/>
    <x v="5"/>
  </r>
  <r>
    <n v="204"/>
    <x v="57"/>
    <n v="5"/>
    <n v="12"/>
    <x v="0"/>
    <x v="0"/>
    <x v="2"/>
    <x v="1"/>
    <x v="4"/>
    <n v="8"/>
    <n v="55878.61"/>
    <n v="447028.88"/>
    <s v="Lalita Dutta"/>
    <n v="49"/>
    <x v="13"/>
    <x v="1"/>
    <n v="4"/>
    <x v="0"/>
    <x v="11"/>
  </r>
  <r>
    <n v="205"/>
    <x v="57"/>
    <n v="5"/>
    <n v="12"/>
    <x v="0"/>
    <x v="0"/>
    <x v="2"/>
    <x v="1"/>
    <x v="2"/>
    <n v="7"/>
    <n v="27081.27"/>
    <n v="189568.89"/>
    <s v="Kiran Mathur"/>
    <n v="38"/>
    <x v="1"/>
    <x v="1"/>
    <n v="5"/>
    <x v="0"/>
    <x v="6"/>
  </r>
  <r>
    <n v="206"/>
    <x v="58"/>
    <n v="6"/>
    <n v="12"/>
    <x v="0"/>
    <x v="0"/>
    <x v="2"/>
    <x v="2"/>
    <x v="2"/>
    <n v="3"/>
    <n v="63256.5"/>
    <n v="189769.5"/>
    <s v="Sumit Malhotra"/>
    <n v="24"/>
    <x v="2"/>
    <x v="0"/>
    <n v="5"/>
    <x v="0"/>
    <x v="6"/>
  </r>
  <r>
    <n v="207"/>
    <x v="58"/>
    <n v="6"/>
    <n v="12"/>
    <x v="0"/>
    <x v="0"/>
    <x v="2"/>
    <x v="2"/>
    <x v="0"/>
    <n v="8"/>
    <n v="32071.040000000001"/>
    <n v="256568.32000000001"/>
    <s v="Sneha Jain"/>
    <n v="43"/>
    <x v="11"/>
    <x v="2"/>
    <n v="5"/>
    <x v="0"/>
    <x v="0"/>
  </r>
  <r>
    <n v="208"/>
    <x v="58"/>
    <n v="6"/>
    <n v="12"/>
    <x v="0"/>
    <x v="0"/>
    <x v="2"/>
    <x v="2"/>
    <x v="4"/>
    <n v="2"/>
    <n v="18569.45"/>
    <n v="37138.9"/>
    <s v="Sanjay Pathak"/>
    <n v="32"/>
    <x v="1"/>
    <x v="0"/>
    <n v="4"/>
    <x v="0"/>
    <x v="11"/>
  </r>
  <r>
    <n v="209"/>
    <x v="59"/>
    <n v="7"/>
    <n v="12"/>
    <x v="0"/>
    <x v="0"/>
    <x v="2"/>
    <x v="3"/>
    <x v="1"/>
    <n v="9"/>
    <n v="51752.89"/>
    <n v="465776.01"/>
    <s v="Bhavana Yadav"/>
    <n v="59"/>
    <x v="1"/>
    <x v="2"/>
    <n v="5"/>
    <x v="0"/>
    <x v="9"/>
  </r>
  <r>
    <n v="210"/>
    <x v="59"/>
    <n v="7"/>
    <n v="12"/>
    <x v="0"/>
    <x v="0"/>
    <x v="2"/>
    <x v="3"/>
    <x v="3"/>
    <n v="4"/>
    <n v="19874.689999999999"/>
    <n v="79498.759999999995"/>
    <s v="Sanjay Sheth"/>
    <n v="40"/>
    <x v="14"/>
    <x v="3"/>
    <n v="5"/>
    <x v="0"/>
    <x v="12"/>
  </r>
  <r>
    <n v="211"/>
    <x v="59"/>
    <n v="7"/>
    <n v="12"/>
    <x v="0"/>
    <x v="0"/>
    <x v="2"/>
    <x v="3"/>
    <x v="0"/>
    <n v="1"/>
    <n v="55220.83"/>
    <n v="55220.83"/>
    <s v="Navin Sharma"/>
    <n v="55"/>
    <x v="14"/>
    <x v="1"/>
    <n v="5"/>
    <x v="0"/>
    <x v="10"/>
  </r>
  <r>
    <n v="212"/>
    <x v="60"/>
    <n v="8"/>
    <n v="12"/>
    <x v="0"/>
    <x v="0"/>
    <x v="2"/>
    <x v="4"/>
    <x v="2"/>
    <n v="8"/>
    <n v="68086.73"/>
    <n v="544693.84"/>
    <s v="Priya Teja"/>
    <n v="58"/>
    <x v="1"/>
    <x v="1"/>
    <n v="4"/>
    <x v="0"/>
    <x v="6"/>
  </r>
  <r>
    <n v="213"/>
    <x v="60"/>
    <n v="8"/>
    <n v="12"/>
    <x v="0"/>
    <x v="0"/>
    <x v="2"/>
    <x v="4"/>
    <x v="1"/>
    <n v="7"/>
    <n v="56773.17"/>
    <n v="397412.19"/>
    <s v="Sunita Teja"/>
    <n v="32"/>
    <x v="8"/>
    <x v="2"/>
    <n v="5"/>
    <x v="0"/>
    <x v="9"/>
  </r>
  <r>
    <n v="214"/>
    <x v="60"/>
    <n v="8"/>
    <n v="12"/>
    <x v="0"/>
    <x v="0"/>
    <x v="2"/>
    <x v="4"/>
    <x v="1"/>
    <n v="5"/>
    <n v="11346.95"/>
    <n v="56734.75"/>
    <s v="Priya Varma"/>
    <n v="57"/>
    <x v="13"/>
    <x v="3"/>
    <n v="4"/>
    <x v="0"/>
    <x v="2"/>
  </r>
  <r>
    <n v="215"/>
    <x v="61"/>
    <n v="9"/>
    <n v="12"/>
    <x v="0"/>
    <x v="0"/>
    <x v="2"/>
    <x v="5"/>
    <x v="3"/>
    <n v="5"/>
    <n v="45993.15"/>
    <n v="229965.75"/>
    <s v="Ravi Sharma"/>
    <n v="33"/>
    <x v="2"/>
    <x v="3"/>
    <n v="3"/>
    <x v="1"/>
    <x v="5"/>
  </r>
  <r>
    <n v="216"/>
    <x v="61"/>
    <n v="9"/>
    <n v="12"/>
    <x v="0"/>
    <x v="0"/>
    <x v="2"/>
    <x v="5"/>
    <x v="2"/>
    <n v="7"/>
    <n v="51724.639999999999"/>
    <n v="362072.48"/>
    <s v="Lalita Shah"/>
    <n v="49"/>
    <x v="6"/>
    <x v="1"/>
    <n v="5"/>
    <x v="0"/>
    <x v="4"/>
  </r>
  <r>
    <n v="217"/>
    <x v="61"/>
    <n v="9"/>
    <n v="12"/>
    <x v="0"/>
    <x v="0"/>
    <x v="2"/>
    <x v="5"/>
    <x v="4"/>
    <n v="5"/>
    <n v="59527.5"/>
    <n v="297637.5"/>
    <s v="Radha Jain"/>
    <n v="54"/>
    <x v="18"/>
    <x v="1"/>
    <n v="5"/>
    <x v="0"/>
    <x v="7"/>
  </r>
  <r>
    <n v="218"/>
    <x v="62"/>
    <n v="10"/>
    <n v="12"/>
    <x v="0"/>
    <x v="0"/>
    <x v="2"/>
    <x v="6"/>
    <x v="1"/>
    <n v="8"/>
    <n v="13360.14"/>
    <n v="106881.12"/>
    <s v="Lalita Ahuja"/>
    <n v="35"/>
    <x v="1"/>
    <x v="0"/>
    <n v="5"/>
    <x v="0"/>
    <x v="2"/>
  </r>
  <r>
    <n v="219"/>
    <x v="62"/>
    <n v="10"/>
    <n v="12"/>
    <x v="0"/>
    <x v="0"/>
    <x v="2"/>
    <x v="6"/>
    <x v="3"/>
    <n v="6"/>
    <n v="38806.47"/>
    <n v="232838.82"/>
    <s v="Aditya Deshmukh"/>
    <n v="37"/>
    <x v="4"/>
    <x v="2"/>
    <n v="4"/>
    <x v="0"/>
    <x v="8"/>
  </r>
  <r>
    <n v="220"/>
    <x v="62"/>
    <n v="10"/>
    <n v="12"/>
    <x v="0"/>
    <x v="0"/>
    <x v="2"/>
    <x v="6"/>
    <x v="4"/>
    <n v="5"/>
    <n v="42122.25"/>
    <n v="210611.25"/>
    <s v="Sumit Verma"/>
    <n v="19"/>
    <x v="4"/>
    <x v="1"/>
    <n v="4"/>
    <x v="0"/>
    <x v="7"/>
  </r>
  <r>
    <n v="221"/>
    <x v="63"/>
    <n v="11"/>
    <n v="12"/>
    <x v="0"/>
    <x v="0"/>
    <x v="2"/>
    <x v="0"/>
    <x v="2"/>
    <n v="9"/>
    <n v="20147.490000000002"/>
    <n v="181327.41"/>
    <s v="Kiran Rathod"/>
    <n v="40"/>
    <x v="8"/>
    <x v="3"/>
    <n v="4"/>
    <x v="0"/>
    <x v="4"/>
  </r>
  <r>
    <n v="222"/>
    <x v="63"/>
    <n v="11"/>
    <n v="12"/>
    <x v="0"/>
    <x v="0"/>
    <x v="2"/>
    <x v="0"/>
    <x v="1"/>
    <n v="2"/>
    <n v="29346.99"/>
    <n v="58693.98"/>
    <s v="Krishna Menon"/>
    <n v="47"/>
    <x v="14"/>
    <x v="3"/>
    <n v="5"/>
    <x v="0"/>
    <x v="9"/>
  </r>
  <r>
    <n v="223"/>
    <x v="63"/>
    <n v="11"/>
    <n v="12"/>
    <x v="0"/>
    <x v="0"/>
    <x v="2"/>
    <x v="0"/>
    <x v="4"/>
    <n v="1"/>
    <n v="36413.300000000003"/>
    <n v="36413.300000000003"/>
    <s v="Pankaj Mehta"/>
    <n v="20"/>
    <x v="3"/>
    <x v="1"/>
    <n v="5"/>
    <x v="0"/>
    <x v="11"/>
  </r>
  <r>
    <n v="224"/>
    <x v="64"/>
    <n v="12"/>
    <n v="12"/>
    <x v="0"/>
    <x v="0"/>
    <x v="2"/>
    <x v="1"/>
    <x v="4"/>
    <n v="8"/>
    <n v="59992.58"/>
    <n v="479940.64"/>
    <s v="Sanjay Joshi"/>
    <n v="56"/>
    <x v="0"/>
    <x v="3"/>
    <n v="5"/>
    <x v="0"/>
    <x v="7"/>
  </r>
  <r>
    <n v="225"/>
    <x v="64"/>
    <n v="12"/>
    <n v="12"/>
    <x v="0"/>
    <x v="0"/>
    <x v="2"/>
    <x v="1"/>
    <x v="4"/>
    <n v="3"/>
    <n v="65764.45"/>
    <n v="197293.34999999998"/>
    <s v="Pankaj Shah"/>
    <n v="18"/>
    <x v="1"/>
    <x v="2"/>
    <n v="5"/>
    <x v="0"/>
    <x v="14"/>
  </r>
  <r>
    <n v="226"/>
    <x v="64"/>
    <n v="12"/>
    <n v="12"/>
    <x v="0"/>
    <x v="0"/>
    <x v="2"/>
    <x v="1"/>
    <x v="1"/>
    <n v="7"/>
    <n v="47705.37"/>
    <n v="333937.59000000003"/>
    <s v="Monika Deshmukh"/>
    <n v="58"/>
    <x v="18"/>
    <x v="3"/>
    <n v="4"/>
    <x v="0"/>
    <x v="1"/>
  </r>
  <r>
    <n v="227"/>
    <x v="65"/>
    <n v="13"/>
    <n v="12"/>
    <x v="0"/>
    <x v="0"/>
    <x v="2"/>
    <x v="2"/>
    <x v="1"/>
    <n v="8"/>
    <n v="33696.71"/>
    <n v="269573.68"/>
    <s v="Bhavana Jain"/>
    <n v="39"/>
    <x v="1"/>
    <x v="3"/>
    <n v="3"/>
    <x v="1"/>
    <x v="2"/>
  </r>
  <r>
    <n v="228"/>
    <x v="65"/>
    <n v="13"/>
    <n v="12"/>
    <x v="0"/>
    <x v="0"/>
    <x v="2"/>
    <x v="2"/>
    <x v="0"/>
    <n v="6"/>
    <n v="25241.86"/>
    <n v="151451.16"/>
    <s v="Ramesh Nambiar"/>
    <n v="46"/>
    <x v="1"/>
    <x v="1"/>
    <n v="5"/>
    <x v="0"/>
    <x v="0"/>
  </r>
  <r>
    <n v="229"/>
    <x v="65"/>
    <n v="13"/>
    <n v="12"/>
    <x v="0"/>
    <x v="0"/>
    <x v="2"/>
    <x v="2"/>
    <x v="2"/>
    <n v="9"/>
    <n v="68928.11"/>
    <n v="620352.99"/>
    <s v="Sunil Gupta"/>
    <n v="31"/>
    <x v="1"/>
    <x v="2"/>
    <n v="4"/>
    <x v="0"/>
    <x v="4"/>
  </r>
  <r>
    <n v="230"/>
    <x v="65"/>
    <n v="13"/>
    <n v="12"/>
    <x v="0"/>
    <x v="0"/>
    <x v="2"/>
    <x v="2"/>
    <x v="3"/>
    <n v="7"/>
    <n v="68981.2"/>
    <n v="482868.39999999997"/>
    <s v="Nikhil Rathod"/>
    <n v="45"/>
    <x v="4"/>
    <x v="2"/>
    <n v="5"/>
    <x v="0"/>
    <x v="5"/>
  </r>
  <r>
    <n v="231"/>
    <x v="66"/>
    <n v="14"/>
    <n v="12"/>
    <x v="0"/>
    <x v="0"/>
    <x v="2"/>
    <x v="3"/>
    <x v="4"/>
    <n v="5"/>
    <n v="65498.62"/>
    <n v="327493.10000000003"/>
    <s v="Vijay Shah"/>
    <n v="38"/>
    <x v="16"/>
    <x v="0"/>
    <n v="4"/>
    <x v="0"/>
    <x v="7"/>
  </r>
  <r>
    <n v="232"/>
    <x v="66"/>
    <n v="14"/>
    <n v="12"/>
    <x v="0"/>
    <x v="0"/>
    <x v="2"/>
    <x v="3"/>
    <x v="0"/>
    <n v="8"/>
    <n v="57140.15"/>
    <n v="457121.2"/>
    <s v="Bhavana Jain"/>
    <n v="49"/>
    <x v="1"/>
    <x v="2"/>
    <n v="5"/>
    <x v="0"/>
    <x v="10"/>
  </r>
  <r>
    <n v="233"/>
    <x v="66"/>
    <n v="14"/>
    <n v="12"/>
    <x v="0"/>
    <x v="0"/>
    <x v="2"/>
    <x v="3"/>
    <x v="3"/>
    <n v="2"/>
    <n v="29546.77"/>
    <n v="59093.54"/>
    <s v="Vivek Yadav"/>
    <n v="23"/>
    <x v="1"/>
    <x v="0"/>
    <n v="5"/>
    <x v="0"/>
    <x v="8"/>
  </r>
  <r>
    <n v="234"/>
    <x v="66"/>
    <n v="14"/>
    <n v="12"/>
    <x v="0"/>
    <x v="0"/>
    <x v="2"/>
    <x v="3"/>
    <x v="0"/>
    <n v="7"/>
    <n v="59020.03"/>
    <n v="413140.20999999996"/>
    <s v="Manoj Siddiqui"/>
    <n v="18"/>
    <x v="1"/>
    <x v="1"/>
    <n v="5"/>
    <x v="0"/>
    <x v="10"/>
  </r>
  <r>
    <n v="235"/>
    <x v="67"/>
    <n v="15"/>
    <n v="12"/>
    <x v="0"/>
    <x v="0"/>
    <x v="2"/>
    <x v="4"/>
    <x v="1"/>
    <n v="4"/>
    <n v="34527.58"/>
    <n v="138110.32"/>
    <s v="Isha Menon"/>
    <n v="38"/>
    <x v="14"/>
    <x v="3"/>
    <n v="5"/>
    <x v="0"/>
    <x v="9"/>
  </r>
  <r>
    <n v="236"/>
    <x v="67"/>
    <n v="15"/>
    <n v="12"/>
    <x v="0"/>
    <x v="0"/>
    <x v="2"/>
    <x v="4"/>
    <x v="4"/>
    <n v="9"/>
    <n v="29606.39"/>
    <n v="266457.51"/>
    <s v="Mala Das"/>
    <n v="21"/>
    <x v="2"/>
    <x v="2"/>
    <n v="5"/>
    <x v="0"/>
    <x v="7"/>
  </r>
  <r>
    <n v="237"/>
    <x v="67"/>
    <n v="15"/>
    <n v="12"/>
    <x v="0"/>
    <x v="0"/>
    <x v="2"/>
    <x v="4"/>
    <x v="3"/>
    <n v="1"/>
    <n v="54691.92"/>
    <n v="54691.92"/>
    <s v="Kunal Malhotra"/>
    <n v="20"/>
    <x v="0"/>
    <x v="0"/>
    <n v="5"/>
    <x v="0"/>
    <x v="5"/>
  </r>
  <r>
    <n v="238"/>
    <x v="68"/>
    <n v="16"/>
    <n v="12"/>
    <x v="0"/>
    <x v="0"/>
    <x v="2"/>
    <x v="5"/>
    <x v="3"/>
    <n v="7"/>
    <n v="14779.24"/>
    <n v="103454.68"/>
    <s v="Sunita Thakur"/>
    <n v="47"/>
    <x v="17"/>
    <x v="2"/>
    <n v="5"/>
    <x v="0"/>
    <x v="5"/>
  </r>
  <r>
    <n v="239"/>
    <x v="68"/>
    <n v="16"/>
    <n v="12"/>
    <x v="0"/>
    <x v="0"/>
    <x v="2"/>
    <x v="5"/>
    <x v="3"/>
    <n v="6"/>
    <n v="12913.76"/>
    <n v="77482.559999999998"/>
    <s v="Yogesh Dutta"/>
    <n v="48"/>
    <x v="1"/>
    <x v="1"/>
    <n v="3"/>
    <x v="1"/>
    <x v="8"/>
  </r>
  <r>
    <n v="240"/>
    <x v="68"/>
    <n v="16"/>
    <n v="12"/>
    <x v="0"/>
    <x v="0"/>
    <x v="2"/>
    <x v="5"/>
    <x v="3"/>
    <n v="8"/>
    <n v="36877.22"/>
    <n v="295017.76"/>
    <s v="Isha Thakur"/>
    <n v="51"/>
    <x v="1"/>
    <x v="0"/>
    <n v="5"/>
    <x v="0"/>
    <x v="12"/>
  </r>
  <r>
    <n v="241"/>
    <x v="68"/>
    <n v="16"/>
    <n v="12"/>
    <x v="0"/>
    <x v="0"/>
    <x v="2"/>
    <x v="5"/>
    <x v="3"/>
    <n v="5"/>
    <n v="36738.33"/>
    <n v="183691.65000000002"/>
    <s v="Krishna Rathod"/>
    <n v="36"/>
    <x v="1"/>
    <x v="0"/>
    <n v="5"/>
    <x v="0"/>
    <x v="12"/>
  </r>
  <r>
    <n v="242"/>
    <x v="69"/>
    <n v="17"/>
    <n v="12"/>
    <x v="0"/>
    <x v="0"/>
    <x v="2"/>
    <x v="6"/>
    <x v="0"/>
    <n v="1"/>
    <n v="63738.65"/>
    <n v="63738.65"/>
    <s v="Krishna Rawat"/>
    <n v="37"/>
    <x v="2"/>
    <x v="0"/>
    <n v="5"/>
    <x v="0"/>
    <x v="10"/>
  </r>
  <r>
    <n v="243"/>
    <x v="69"/>
    <n v="17"/>
    <n v="12"/>
    <x v="0"/>
    <x v="0"/>
    <x v="2"/>
    <x v="6"/>
    <x v="4"/>
    <n v="1"/>
    <n v="17569.189999999999"/>
    <n v="17569.189999999999"/>
    <s v="Manoj Thakur"/>
    <n v="40"/>
    <x v="17"/>
    <x v="1"/>
    <n v="4"/>
    <x v="0"/>
    <x v="11"/>
  </r>
  <r>
    <n v="244"/>
    <x v="69"/>
    <n v="17"/>
    <n v="12"/>
    <x v="0"/>
    <x v="0"/>
    <x v="2"/>
    <x v="6"/>
    <x v="1"/>
    <n v="9"/>
    <n v="17397.04"/>
    <n v="156573.36000000002"/>
    <s v="Reena Rao"/>
    <n v="57"/>
    <x v="12"/>
    <x v="0"/>
    <n v="5"/>
    <x v="0"/>
    <x v="1"/>
  </r>
  <r>
    <n v="245"/>
    <x v="69"/>
    <n v="17"/>
    <n v="12"/>
    <x v="0"/>
    <x v="0"/>
    <x v="2"/>
    <x v="6"/>
    <x v="1"/>
    <n v="6"/>
    <n v="18847.16"/>
    <n v="113082.95999999999"/>
    <s v="Anjali Nambiar"/>
    <n v="42"/>
    <x v="12"/>
    <x v="3"/>
    <n v="5"/>
    <x v="0"/>
    <x v="1"/>
  </r>
  <r>
    <n v="246"/>
    <x v="70"/>
    <n v="18"/>
    <n v="12"/>
    <x v="0"/>
    <x v="0"/>
    <x v="2"/>
    <x v="0"/>
    <x v="1"/>
    <n v="5"/>
    <n v="11784.18"/>
    <n v="58920.9"/>
    <s v="Pooja Arora"/>
    <n v="32"/>
    <x v="1"/>
    <x v="1"/>
    <n v="3"/>
    <x v="1"/>
    <x v="2"/>
  </r>
  <r>
    <n v="247"/>
    <x v="70"/>
    <n v="18"/>
    <n v="12"/>
    <x v="0"/>
    <x v="0"/>
    <x v="2"/>
    <x v="0"/>
    <x v="1"/>
    <n v="1"/>
    <n v="14303.9"/>
    <n v="14303.9"/>
    <s v="Jyoti Varma"/>
    <n v="55"/>
    <x v="2"/>
    <x v="3"/>
    <n v="5"/>
    <x v="0"/>
    <x v="9"/>
  </r>
  <r>
    <n v="248"/>
    <x v="70"/>
    <n v="18"/>
    <n v="12"/>
    <x v="0"/>
    <x v="0"/>
    <x v="2"/>
    <x v="0"/>
    <x v="0"/>
    <n v="6"/>
    <n v="49592.19"/>
    <n v="297553.14"/>
    <s v="Tapan Chatterjee"/>
    <n v="40"/>
    <x v="1"/>
    <x v="3"/>
    <n v="4"/>
    <x v="0"/>
    <x v="3"/>
  </r>
  <r>
    <n v="249"/>
    <x v="70"/>
    <n v="18"/>
    <n v="12"/>
    <x v="0"/>
    <x v="0"/>
    <x v="2"/>
    <x v="0"/>
    <x v="2"/>
    <n v="6"/>
    <n v="35895.06"/>
    <n v="215370.36"/>
    <s v="Pooja Arora"/>
    <n v="19"/>
    <x v="18"/>
    <x v="1"/>
    <n v="5"/>
    <x v="0"/>
    <x v="6"/>
  </r>
  <r>
    <n v="250"/>
    <x v="71"/>
    <n v="19"/>
    <n v="12"/>
    <x v="0"/>
    <x v="0"/>
    <x v="2"/>
    <x v="1"/>
    <x v="4"/>
    <n v="3"/>
    <n v="55816.18"/>
    <n v="167448.54"/>
    <s v="Bhavana Prasad"/>
    <n v="32"/>
    <x v="13"/>
    <x v="2"/>
    <n v="5"/>
    <x v="0"/>
    <x v="7"/>
  </r>
  <r>
    <n v="251"/>
    <x v="71"/>
    <n v="19"/>
    <n v="12"/>
    <x v="0"/>
    <x v="0"/>
    <x v="2"/>
    <x v="1"/>
    <x v="3"/>
    <n v="8"/>
    <n v="69555.86"/>
    <n v="556446.88"/>
    <s v="Manoj Dutta"/>
    <n v="52"/>
    <x v="12"/>
    <x v="3"/>
    <n v="5"/>
    <x v="0"/>
    <x v="8"/>
  </r>
  <r>
    <n v="252"/>
    <x v="71"/>
    <n v="19"/>
    <n v="12"/>
    <x v="0"/>
    <x v="0"/>
    <x v="2"/>
    <x v="1"/>
    <x v="2"/>
    <n v="1"/>
    <n v="49542.080000000002"/>
    <n v="49542.080000000002"/>
    <s v="Rajesh Shah"/>
    <n v="27"/>
    <x v="3"/>
    <x v="1"/>
    <n v="5"/>
    <x v="0"/>
    <x v="4"/>
  </r>
  <r>
    <n v="253"/>
    <x v="71"/>
    <n v="19"/>
    <n v="12"/>
    <x v="0"/>
    <x v="0"/>
    <x v="2"/>
    <x v="1"/>
    <x v="1"/>
    <n v="1"/>
    <n v="13027.33"/>
    <n v="13027.33"/>
    <s v="Bina Singh"/>
    <n v="31"/>
    <x v="9"/>
    <x v="3"/>
    <n v="4"/>
    <x v="0"/>
    <x v="1"/>
  </r>
  <r>
    <n v="254"/>
    <x v="72"/>
    <n v="20"/>
    <n v="12"/>
    <x v="0"/>
    <x v="0"/>
    <x v="2"/>
    <x v="2"/>
    <x v="2"/>
    <n v="6"/>
    <n v="16273.77"/>
    <n v="97642.62"/>
    <s v="Priya Teja"/>
    <n v="44"/>
    <x v="1"/>
    <x v="0"/>
    <n v="5"/>
    <x v="0"/>
    <x v="4"/>
  </r>
  <r>
    <n v="255"/>
    <x v="72"/>
    <n v="20"/>
    <n v="12"/>
    <x v="0"/>
    <x v="0"/>
    <x v="2"/>
    <x v="2"/>
    <x v="4"/>
    <n v="1"/>
    <n v="62860.25"/>
    <n v="62860.25"/>
    <s v="Neeta Ahuja"/>
    <n v="31"/>
    <x v="14"/>
    <x v="3"/>
    <n v="5"/>
    <x v="0"/>
    <x v="7"/>
  </r>
  <r>
    <n v="256"/>
    <x v="72"/>
    <n v="20"/>
    <n v="12"/>
    <x v="0"/>
    <x v="0"/>
    <x v="2"/>
    <x v="2"/>
    <x v="3"/>
    <n v="6"/>
    <n v="41649.760000000002"/>
    <n v="249898.56"/>
    <s v="Pankaj Gupta"/>
    <n v="52"/>
    <x v="10"/>
    <x v="3"/>
    <n v="5"/>
    <x v="0"/>
    <x v="8"/>
  </r>
  <r>
    <n v="257"/>
    <x v="73"/>
    <n v="21"/>
    <n v="12"/>
    <x v="0"/>
    <x v="0"/>
    <x v="2"/>
    <x v="3"/>
    <x v="3"/>
    <n v="1"/>
    <n v="59490.23"/>
    <n v="59490.23"/>
    <s v="Bina Mishra"/>
    <n v="50"/>
    <x v="1"/>
    <x v="3"/>
    <n v="5"/>
    <x v="0"/>
    <x v="12"/>
  </r>
  <r>
    <n v="258"/>
    <x v="73"/>
    <n v="21"/>
    <n v="12"/>
    <x v="0"/>
    <x v="0"/>
    <x v="2"/>
    <x v="3"/>
    <x v="4"/>
    <n v="6"/>
    <n v="61396.74"/>
    <n v="368380.44"/>
    <s v="Yogesh Shah"/>
    <n v="18"/>
    <x v="2"/>
    <x v="0"/>
    <n v="5"/>
    <x v="0"/>
    <x v="14"/>
  </r>
  <r>
    <n v="259"/>
    <x v="73"/>
    <n v="21"/>
    <n v="12"/>
    <x v="0"/>
    <x v="0"/>
    <x v="2"/>
    <x v="3"/>
    <x v="4"/>
    <n v="3"/>
    <n v="65660.47"/>
    <n v="196981.41"/>
    <s v="Vijay Varma"/>
    <n v="51"/>
    <x v="12"/>
    <x v="3"/>
    <n v="4"/>
    <x v="0"/>
    <x v="11"/>
  </r>
  <r>
    <n v="260"/>
    <x v="73"/>
    <n v="21"/>
    <n v="12"/>
    <x v="0"/>
    <x v="0"/>
    <x v="2"/>
    <x v="3"/>
    <x v="1"/>
    <n v="8"/>
    <n v="66989.75"/>
    <n v="535918"/>
    <s v="Anita Srivastava"/>
    <n v="36"/>
    <x v="13"/>
    <x v="1"/>
    <n v="5"/>
    <x v="0"/>
    <x v="2"/>
  </r>
  <r>
    <n v="261"/>
    <x v="74"/>
    <n v="22"/>
    <n v="12"/>
    <x v="0"/>
    <x v="0"/>
    <x v="2"/>
    <x v="4"/>
    <x v="3"/>
    <n v="6"/>
    <n v="43289.55"/>
    <n v="259737.30000000002"/>
    <s v="Kavita Teja"/>
    <n v="41"/>
    <x v="1"/>
    <x v="3"/>
    <n v="5"/>
    <x v="0"/>
    <x v="8"/>
  </r>
  <r>
    <n v="262"/>
    <x v="74"/>
    <n v="22"/>
    <n v="12"/>
    <x v="0"/>
    <x v="0"/>
    <x v="2"/>
    <x v="4"/>
    <x v="2"/>
    <n v="1"/>
    <n v="30461.21"/>
    <n v="30461.21"/>
    <s v="Manoj Iyer"/>
    <n v="59"/>
    <x v="2"/>
    <x v="1"/>
    <n v="4"/>
    <x v="0"/>
    <x v="6"/>
  </r>
  <r>
    <n v="263"/>
    <x v="74"/>
    <n v="22"/>
    <n v="12"/>
    <x v="0"/>
    <x v="0"/>
    <x v="2"/>
    <x v="4"/>
    <x v="0"/>
    <n v="5"/>
    <n v="67711.89"/>
    <n v="338559.45"/>
    <s v="Deepika Sharma"/>
    <n v="21"/>
    <x v="2"/>
    <x v="3"/>
    <n v="4"/>
    <x v="0"/>
    <x v="10"/>
  </r>
  <r>
    <n v="264"/>
    <x v="75"/>
    <n v="23"/>
    <n v="12"/>
    <x v="0"/>
    <x v="0"/>
    <x v="2"/>
    <x v="5"/>
    <x v="0"/>
    <n v="8"/>
    <n v="42844.38"/>
    <n v="342755.04"/>
    <s v="Rohan Gupta"/>
    <n v="53"/>
    <x v="1"/>
    <x v="3"/>
    <n v="4"/>
    <x v="0"/>
    <x v="10"/>
  </r>
  <r>
    <n v="265"/>
    <x v="75"/>
    <n v="23"/>
    <n v="12"/>
    <x v="0"/>
    <x v="0"/>
    <x v="2"/>
    <x v="5"/>
    <x v="4"/>
    <n v="3"/>
    <n v="13855.16"/>
    <n v="41565.479999999996"/>
    <s v="Bhavana Siddiqui"/>
    <n v="30"/>
    <x v="16"/>
    <x v="3"/>
    <n v="5"/>
    <x v="0"/>
    <x v="11"/>
  </r>
  <r>
    <n v="266"/>
    <x v="75"/>
    <n v="23"/>
    <n v="12"/>
    <x v="0"/>
    <x v="0"/>
    <x v="2"/>
    <x v="5"/>
    <x v="1"/>
    <n v="6"/>
    <n v="48566.59"/>
    <n v="291399.53999999998"/>
    <s v="Ravi Arora"/>
    <n v="49"/>
    <x v="1"/>
    <x v="2"/>
    <n v="4"/>
    <x v="0"/>
    <x v="1"/>
  </r>
  <r>
    <n v="267"/>
    <x v="75"/>
    <n v="23"/>
    <n v="12"/>
    <x v="0"/>
    <x v="0"/>
    <x v="2"/>
    <x v="5"/>
    <x v="0"/>
    <n v="5"/>
    <n v="45261.09"/>
    <n v="226305.44999999998"/>
    <s v="Sunil Kapoor"/>
    <n v="26"/>
    <x v="10"/>
    <x v="2"/>
    <n v="3"/>
    <x v="1"/>
    <x v="3"/>
  </r>
  <r>
    <n v="268"/>
    <x v="76"/>
    <n v="24"/>
    <n v="12"/>
    <x v="0"/>
    <x v="0"/>
    <x v="2"/>
    <x v="6"/>
    <x v="3"/>
    <n v="6"/>
    <n v="63747.57"/>
    <n v="382485.42"/>
    <s v="Amit Ghosh"/>
    <n v="56"/>
    <x v="0"/>
    <x v="0"/>
    <n v="5"/>
    <x v="0"/>
    <x v="8"/>
  </r>
  <r>
    <n v="269"/>
    <x v="76"/>
    <n v="24"/>
    <n v="12"/>
    <x v="0"/>
    <x v="0"/>
    <x v="2"/>
    <x v="6"/>
    <x v="4"/>
    <n v="1"/>
    <n v="49191.23"/>
    <n v="49191.23"/>
    <s v="Pooja Arora"/>
    <n v="33"/>
    <x v="12"/>
    <x v="1"/>
    <n v="4"/>
    <x v="0"/>
    <x v="7"/>
  </r>
  <r>
    <n v="270"/>
    <x v="76"/>
    <n v="24"/>
    <n v="12"/>
    <x v="0"/>
    <x v="0"/>
    <x v="2"/>
    <x v="6"/>
    <x v="2"/>
    <n v="7"/>
    <n v="30943.15"/>
    <n v="216602.05000000002"/>
    <s v="Manoj Jain"/>
    <n v="20"/>
    <x v="2"/>
    <x v="0"/>
    <n v="2"/>
    <x v="2"/>
    <x v="6"/>
  </r>
  <r>
    <n v="271"/>
    <x v="76"/>
    <n v="24"/>
    <n v="12"/>
    <x v="0"/>
    <x v="0"/>
    <x v="2"/>
    <x v="6"/>
    <x v="4"/>
    <n v="9"/>
    <n v="67973.539999999994"/>
    <n v="611761.86"/>
    <s v="Ramesh Nambiar"/>
    <n v="37"/>
    <x v="9"/>
    <x v="1"/>
    <n v="3"/>
    <x v="1"/>
    <x v="11"/>
  </r>
  <r>
    <n v="272"/>
    <x v="77"/>
    <n v="25"/>
    <n v="12"/>
    <x v="0"/>
    <x v="0"/>
    <x v="2"/>
    <x v="0"/>
    <x v="2"/>
    <n v="2"/>
    <n v="58097.17"/>
    <n v="116194.34"/>
    <s v="Kiran Ghosh"/>
    <n v="27"/>
    <x v="12"/>
    <x v="0"/>
    <n v="2"/>
    <x v="2"/>
    <x v="6"/>
  </r>
  <r>
    <n v="273"/>
    <x v="77"/>
    <n v="25"/>
    <n v="12"/>
    <x v="0"/>
    <x v="0"/>
    <x v="2"/>
    <x v="0"/>
    <x v="4"/>
    <n v="5"/>
    <n v="47825.06"/>
    <n v="239125.3"/>
    <s v="Pooja Arora"/>
    <n v="39"/>
    <x v="2"/>
    <x v="0"/>
    <n v="5"/>
    <x v="0"/>
    <x v="7"/>
  </r>
  <r>
    <n v="274"/>
    <x v="77"/>
    <n v="25"/>
    <n v="12"/>
    <x v="0"/>
    <x v="0"/>
    <x v="2"/>
    <x v="0"/>
    <x v="4"/>
    <n v="4"/>
    <n v="27575.51"/>
    <n v="110302.04"/>
    <s v="Arun Sheth"/>
    <n v="20"/>
    <x v="5"/>
    <x v="3"/>
    <n v="5"/>
    <x v="0"/>
    <x v="14"/>
  </r>
  <r>
    <n v="275"/>
    <x v="77"/>
    <n v="25"/>
    <n v="12"/>
    <x v="0"/>
    <x v="0"/>
    <x v="2"/>
    <x v="0"/>
    <x v="4"/>
    <n v="6"/>
    <n v="32412.42"/>
    <n v="194474.52"/>
    <s v="Pooja Joshi"/>
    <n v="28"/>
    <x v="1"/>
    <x v="3"/>
    <n v="5"/>
    <x v="0"/>
    <x v="7"/>
  </r>
  <r>
    <n v="276"/>
    <x v="78"/>
    <n v="26"/>
    <n v="12"/>
    <x v="0"/>
    <x v="0"/>
    <x v="2"/>
    <x v="1"/>
    <x v="2"/>
    <n v="6"/>
    <n v="50198.2"/>
    <n v="301189.19999999995"/>
    <s v="Aditya Menon"/>
    <n v="42"/>
    <x v="17"/>
    <x v="3"/>
    <n v="5"/>
    <x v="0"/>
    <x v="4"/>
  </r>
  <r>
    <n v="277"/>
    <x v="78"/>
    <n v="26"/>
    <n v="12"/>
    <x v="0"/>
    <x v="0"/>
    <x v="2"/>
    <x v="1"/>
    <x v="2"/>
    <n v="2"/>
    <n v="14318.85"/>
    <n v="28637.7"/>
    <s v="Pooja Solanki"/>
    <n v="59"/>
    <x v="1"/>
    <x v="3"/>
    <n v="5"/>
    <x v="0"/>
    <x v="4"/>
  </r>
  <r>
    <n v="278"/>
    <x v="78"/>
    <n v="26"/>
    <n v="12"/>
    <x v="0"/>
    <x v="0"/>
    <x v="2"/>
    <x v="1"/>
    <x v="4"/>
    <n v="2"/>
    <n v="25400.84"/>
    <n v="50801.68"/>
    <s v="Anita Bhattacharya"/>
    <n v="25"/>
    <x v="1"/>
    <x v="3"/>
    <n v="5"/>
    <x v="0"/>
    <x v="7"/>
  </r>
  <r>
    <n v="279"/>
    <x v="79"/>
    <n v="27"/>
    <n v="12"/>
    <x v="0"/>
    <x v="0"/>
    <x v="2"/>
    <x v="2"/>
    <x v="0"/>
    <n v="4"/>
    <n v="52834.06"/>
    <n v="211336.24"/>
    <s v="Monika Nambiar"/>
    <n v="26"/>
    <x v="1"/>
    <x v="0"/>
    <n v="3"/>
    <x v="1"/>
    <x v="10"/>
  </r>
  <r>
    <n v="280"/>
    <x v="79"/>
    <n v="27"/>
    <n v="12"/>
    <x v="0"/>
    <x v="0"/>
    <x v="2"/>
    <x v="2"/>
    <x v="1"/>
    <n v="1"/>
    <n v="38801.11"/>
    <n v="38801.11"/>
    <s v="Kiran Jain"/>
    <n v="32"/>
    <x v="12"/>
    <x v="1"/>
    <n v="5"/>
    <x v="0"/>
    <x v="1"/>
  </r>
  <r>
    <n v="281"/>
    <x v="79"/>
    <n v="27"/>
    <n v="12"/>
    <x v="0"/>
    <x v="0"/>
    <x v="2"/>
    <x v="2"/>
    <x v="1"/>
    <n v="9"/>
    <n v="34143.61"/>
    <n v="307292.49"/>
    <s v="Umesh Rawat"/>
    <n v="49"/>
    <x v="2"/>
    <x v="2"/>
    <n v="3"/>
    <x v="1"/>
    <x v="9"/>
  </r>
  <r>
    <n v="282"/>
    <x v="79"/>
    <n v="27"/>
    <n v="12"/>
    <x v="0"/>
    <x v="0"/>
    <x v="2"/>
    <x v="2"/>
    <x v="1"/>
    <n v="7"/>
    <n v="19087.46"/>
    <n v="133612.22"/>
    <s v="Tapan Singh"/>
    <n v="20"/>
    <x v="12"/>
    <x v="2"/>
    <n v="4"/>
    <x v="0"/>
    <x v="1"/>
  </r>
  <r>
    <n v="283"/>
    <x v="80"/>
    <n v="28"/>
    <n v="12"/>
    <x v="0"/>
    <x v="0"/>
    <x v="2"/>
    <x v="3"/>
    <x v="2"/>
    <n v="7"/>
    <n v="36510.94"/>
    <n v="255576.58000000002"/>
    <s v="Isha Ghosh"/>
    <n v="21"/>
    <x v="8"/>
    <x v="1"/>
    <n v="3"/>
    <x v="1"/>
    <x v="6"/>
  </r>
  <r>
    <n v="284"/>
    <x v="80"/>
    <n v="28"/>
    <n v="12"/>
    <x v="0"/>
    <x v="0"/>
    <x v="2"/>
    <x v="3"/>
    <x v="2"/>
    <n v="3"/>
    <n v="56241.52"/>
    <n v="168724.56"/>
    <s v="Jyoti Iyer"/>
    <n v="47"/>
    <x v="15"/>
    <x v="2"/>
    <n v="5"/>
    <x v="0"/>
    <x v="6"/>
  </r>
  <r>
    <n v="285"/>
    <x v="80"/>
    <n v="28"/>
    <n v="12"/>
    <x v="0"/>
    <x v="0"/>
    <x v="2"/>
    <x v="3"/>
    <x v="0"/>
    <n v="3"/>
    <n v="25840.77"/>
    <n v="77522.31"/>
    <s v="Monika Sharma"/>
    <n v="30"/>
    <x v="1"/>
    <x v="0"/>
    <n v="5"/>
    <x v="0"/>
    <x v="3"/>
  </r>
  <r>
    <n v="286"/>
    <x v="81"/>
    <n v="29"/>
    <n v="12"/>
    <x v="0"/>
    <x v="0"/>
    <x v="2"/>
    <x v="4"/>
    <x v="1"/>
    <n v="1"/>
    <n v="10323.91"/>
    <n v="10323.91"/>
    <s v="Nikhil Bhatnagar"/>
    <n v="38"/>
    <x v="18"/>
    <x v="1"/>
    <n v="3"/>
    <x v="1"/>
    <x v="2"/>
  </r>
  <r>
    <n v="287"/>
    <x v="81"/>
    <n v="29"/>
    <n v="12"/>
    <x v="0"/>
    <x v="0"/>
    <x v="2"/>
    <x v="4"/>
    <x v="1"/>
    <n v="3"/>
    <n v="50110.29"/>
    <n v="150330.87"/>
    <s v="Devendra Pathak"/>
    <n v="58"/>
    <x v="4"/>
    <x v="1"/>
    <n v="5"/>
    <x v="0"/>
    <x v="1"/>
  </r>
  <r>
    <n v="288"/>
    <x v="81"/>
    <n v="29"/>
    <n v="12"/>
    <x v="0"/>
    <x v="0"/>
    <x v="2"/>
    <x v="4"/>
    <x v="4"/>
    <n v="3"/>
    <n v="68357.600000000006"/>
    <n v="205072.80000000002"/>
    <s v="Manoj Pathak"/>
    <n v="36"/>
    <x v="7"/>
    <x v="2"/>
    <n v="3"/>
    <x v="1"/>
    <x v="7"/>
  </r>
  <r>
    <n v="289"/>
    <x v="81"/>
    <n v="29"/>
    <n v="12"/>
    <x v="0"/>
    <x v="0"/>
    <x v="2"/>
    <x v="4"/>
    <x v="2"/>
    <n v="4"/>
    <n v="46409.59"/>
    <n v="185638.36"/>
    <s v="Anita Varma"/>
    <n v="56"/>
    <x v="12"/>
    <x v="2"/>
    <n v="5"/>
    <x v="0"/>
    <x v="6"/>
  </r>
  <r>
    <n v="290"/>
    <x v="82"/>
    <n v="30"/>
    <n v="12"/>
    <x v="0"/>
    <x v="0"/>
    <x v="2"/>
    <x v="5"/>
    <x v="1"/>
    <n v="4"/>
    <n v="17195.310000000001"/>
    <n v="68781.240000000005"/>
    <s v="Shruti Sharma"/>
    <n v="39"/>
    <x v="1"/>
    <x v="0"/>
    <n v="5"/>
    <x v="0"/>
    <x v="2"/>
  </r>
  <r>
    <n v="291"/>
    <x v="82"/>
    <n v="30"/>
    <n v="12"/>
    <x v="0"/>
    <x v="0"/>
    <x v="2"/>
    <x v="5"/>
    <x v="0"/>
    <n v="3"/>
    <n v="29243.99"/>
    <n v="87731.97"/>
    <s v="Pooja Reddy"/>
    <n v="37"/>
    <x v="2"/>
    <x v="3"/>
    <n v="3"/>
    <x v="1"/>
    <x v="3"/>
  </r>
  <r>
    <n v="292"/>
    <x v="82"/>
    <n v="30"/>
    <n v="12"/>
    <x v="0"/>
    <x v="0"/>
    <x v="2"/>
    <x v="5"/>
    <x v="0"/>
    <n v="8"/>
    <n v="62058.5"/>
    <n v="496468"/>
    <s v="Tapan Ahuja"/>
    <n v="54"/>
    <x v="3"/>
    <x v="1"/>
    <n v="5"/>
    <x v="0"/>
    <x v="10"/>
  </r>
  <r>
    <n v="293"/>
    <x v="83"/>
    <n v="31"/>
    <n v="12"/>
    <x v="0"/>
    <x v="0"/>
    <x v="2"/>
    <x v="6"/>
    <x v="1"/>
    <n v="8"/>
    <n v="23954.080000000002"/>
    <n v="191632.64000000001"/>
    <s v="Sumit Alva"/>
    <n v="48"/>
    <x v="5"/>
    <x v="3"/>
    <n v="5"/>
    <x v="0"/>
    <x v="9"/>
  </r>
  <r>
    <n v="294"/>
    <x v="83"/>
    <n v="31"/>
    <n v="12"/>
    <x v="0"/>
    <x v="0"/>
    <x v="2"/>
    <x v="6"/>
    <x v="2"/>
    <n v="1"/>
    <n v="46461.75"/>
    <n v="46461.75"/>
    <s v="Lata Rawat"/>
    <n v="27"/>
    <x v="18"/>
    <x v="2"/>
    <n v="5"/>
    <x v="0"/>
    <x v="6"/>
  </r>
  <r>
    <n v="295"/>
    <x v="83"/>
    <n v="31"/>
    <n v="12"/>
    <x v="0"/>
    <x v="0"/>
    <x v="2"/>
    <x v="6"/>
    <x v="0"/>
    <n v="7"/>
    <n v="34160.269999999997"/>
    <n v="239121.88999999998"/>
    <s v="Sneha Jain"/>
    <n v="35"/>
    <x v="12"/>
    <x v="1"/>
    <n v="5"/>
    <x v="0"/>
    <x v="10"/>
  </r>
  <r>
    <n v="296"/>
    <x v="83"/>
    <n v="31"/>
    <n v="12"/>
    <x v="0"/>
    <x v="0"/>
    <x v="2"/>
    <x v="6"/>
    <x v="4"/>
    <n v="2"/>
    <n v="22470.62"/>
    <n v="44941.24"/>
    <s v="Gita Sheth"/>
    <n v="56"/>
    <x v="7"/>
    <x v="3"/>
    <n v="3"/>
    <x v="1"/>
    <x v="11"/>
  </r>
  <r>
    <n v="297"/>
    <x v="84"/>
    <n v="1"/>
    <n v="1"/>
    <x v="1"/>
    <x v="1"/>
    <x v="3"/>
    <x v="0"/>
    <x v="0"/>
    <n v="1"/>
    <n v="58804.41"/>
    <n v="58804.41"/>
    <s v="Priya Bhattacharya"/>
    <n v="37"/>
    <x v="14"/>
    <x v="0"/>
    <n v="5"/>
    <x v="0"/>
    <x v="3"/>
  </r>
  <r>
    <n v="298"/>
    <x v="84"/>
    <n v="1"/>
    <n v="1"/>
    <x v="1"/>
    <x v="1"/>
    <x v="3"/>
    <x v="0"/>
    <x v="3"/>
    <n v="3"/>
    <n v="54569.88"/>
    <n v="163709.63999999998"/>
    <s v="Kavita Dutta"/>
    <n v="35"/>
    <x v="1"/>
    <x v="0"/>
    <n v="5"/>
    <x v="0"/>
    <x v="12"/>
  </r>
  <r>
    <n v="299"/>
    <x v="84"/>
    <n v="1"/>
    <n v="1"/>
    <x v="1"/>
    <x v="1"/>
    <x v="3"/>
    <x v="0"/>
    <x v="3"/>
    <n v="4"/>
    <n v="49695.46"/>
    <n v="198781.84"/>
    <s v="Meena Joshi"/>
    <n v="28"/>
    <x v="10"/>
    <x v="0"/>
    <n v="4"/>
    <x v="0"/>
    <x v="12"/>
  </r>
  <r>
    <n v="300"/>
    <x v="85"/>
    <n v="2"/>
    <n v="1"/>
    <x v="1"/>
    <x v="1"/>
    <x v="3"/>
    <x v="1"/>
    <x v="2"/>
    <n v="6"/>
    <n v="24180.2"/>
    <n v="145081.20000000001"/>
    <s v="Vivek Siddiqui"/>
    <n v="39"/>
    <x v="2"/>
    <x v="1"/>
    <n v="5"/>
    <x v="0"/>
    <x v="6"/>
  </r>
  <r>
    <n v="301"/>
    <x v="85"/>
    <n v="2"/>
    <n v="1"/>
    <x v="1"/>
    <x v="1"/>
    <x v="3"/>
    <x v="1"/>
    <x v="1"/>
    <n v="5"/>
    <n v="15871.42"/>
    <n v="79357.100000000006"/>
    <s v="Deepika Desai"/>
    <n v="35"/>
    <x v="2"/>
    <x v="1"/>
    <n v="5"/>
    <x v="0"/>
    <x v="2"/>
  </r>
  <r>
    <n v="302"/>
    <x v="85"/>
    <n v="2"/>
    <n v="1"/>
    <x v="1"/>
    <x v="1"/>
    <x v="3"/>
    <x v="1"/>
    <x v="2"/>
    <n v="4"/>
    <n v="44569.56"/>
    <n v="178278.24"/>
    <s v="Anita Deshmukh"/>
    <n v="51"/>
    <x v="15"/>
    <x v="1"/>
    <n v="5"/>
    <x v="0"/>
    <x v="13"/>
  </r>
  <r>
    <n v="303"/>
    <x v="86"/>
    <n v="3"/>
    <n v="1"/>
    <x v="1"/>
    <x v="1"/>
    <x v="3"/>
    <x v="2"/>
    <x v="2"/>
    <n v="8"/>
    <n v="43220.67"/>
    <n v="345765.36"/>
    <s v="Anita Bhattacharya"/>
    <n v="40"/>
    <x v="17"/>
    <x v="1"/>
    <n v="5"/>
    <x v="0"/>
    <x v="4"/>
  </r>
  <r>
    <n v="304"/>
    <x v="86"/>
    <n v="3"/>
    <n v="1"/>
    <x v="1"/>
    <x v="1"/>
    <x v="3"/>
    <x v="2"/>
    <x v="2"/>
    <n v="4"/>
    <n v="21303.1"/>
    <n v="85212.4"/>
    <s v="Rajesh Kapoor"/>
    <n v="18"/>
    <x v="1"/>
    <x v="1"/>
    <n v="5"/>
    <x v="0"/>
    <x v="6"/>
  </r>
  <r>
    <n v="305"/>
    <x v="86"/>
    <n v="3"/>
    <n v="1"/>
    <x v="1"/>
    <x v="1"/>
    <x v="3"/>
    <x v="2"/>
    <x v="2"/>
    <n v="2"/>
    <n v="13374.8"/>
    <n v="26749.599999999999"/>
    <s v="Aditya Arora"/>
    <n v="27"/>
    <x v="14"/>
    <x v="3"/>
    <n v="5"/>
    <x v="0"/>
    <x v="4"/>
  </r>
  <r>
    <n v="306"/>
    <x v="86"/>
    <n v="3"/>
    <n v="1"/>
    <x v="1"/>
    <x v="1"/>
    <x v="3"/>
    <x v="2"/>
    <x v="4"/>
    <n v="3"/>
    <n v="14842.51"/>
    <n v="44527.53"/>
    <s v="Sunil Luthra"/>
    <n v="18"/>
    <x v="2"/>
    <x v="3"/>
    <n v="5"/>
    <x v="0"/>
    <x v="11"/>
  </r>
  <r>
    <n v="307"/>
    <x v="87"/>
    <n v="4"/>
    <n v="1"/>
    <x v="1"/>
    <x v="1"/>
    <x v="3"/>
    <x v="3"/>
    <x v="4"/>
    <n v="6"/>
    <n v="69566.259999999995"/>
    <n v="417397.55999999994"/>
    <s v="Isha Dutta"/>
    <n v="55"/>
    <x v="1"/>
    <x v="0"/>
    <n v="5"/>
    <x v="0"/>
    <x v="11"/>
  </r>
  <r>
    <n v="308"/>
    <x v="87"/>
    <n v="4"/>
    <n v="1"/>
    <x v="1"/>
    <x v="1"/>
    <x v="3"/>
    <x v="3"/>
    <x v="0"/>
    <n v="8"/>
    <n v="57015.03"/>
    <n v="456120.24"/>
    <s v="Bhavana Mishra"/>
    <n v="56"/>
    <x v="15"/>
    <x v="3"/>
    <n v="5"/>
    <x v="0"/>
    <x v="3"/>
  </r>
  <r>
    <n v="309"/>
    <x v="87"/>
    <n v="4"/>
    <n v="1"/>
    <x v="1"/>
    <x v="1"/>
    <x v="3"/>
    <x v="3"/>
    <x v="3"/>
    <n v="8"/>
    <n v="65319.25"/>
    <n v="522554"/>
    <s v="Vinod Kaur"/>
    <n v="26"/>
    <x v="15"/>
    <x v="3"/>
    <n v="4"/>
    <x v="0"/>
    <x v="12"/>
  </r>
  <r>
    <n v="310"/>
    <x v="88"/>
    <n v="5"/>
    <n v="1"/>
    <x v="1"/>
    <x v="1"/>
    <x v="3"/>
    <x v="4"/>
    <x v="2"/>
    <n v="9"/>
    <n v="21703.279999999999"/>
    <n v="195329.52"/>
    <s v="Anita Sharma"/>
    <n v="48"/>
    <x v="13"/>
    <x v="0"/>
    <n v="3"/>
    <x v="1"/>
    <x v="4"/>
  </r>
  <r>
    <n v="311"/>
    <x v="88"/>
    <n v="5"/>
    <n v="1"/>
    <x v="1"/>
    <x v="1"/>
    <x v="3"/>
    <x v="4"/>
    <x v="0"/>
    <n v="7"/>
    <n v="67634.11"/>
    <n v="473438.77"/>
    <s v="Radha Ghosh"/>
    <n v="24"/>
    <x v="2"/>
    <x v="0"/>
    <n v="5"/>
    <x v="0"/>
    <x v="10"/>
  </r>
  <r>
    <n v="312"/>
    <x v="88"/>
    <n v="5"/>
    <n v="1"/>
    <x v="1"/>
    <x v="1"/>
    <x v="3"/>
    <x v="4"/>
    <x v="3"/>
    <n v="2"/>
    <n v="18559.259999999998"/>
    <n v="37118.519999999997"/>
    <s v="Tanuja Rao"/>
    <n v="34"/>
    <x v="1"/>
    <x v="2"/>
    <n v="5"/>
    <x v="0"/>
    <x v="8"/>
  </r>
  <r>
    <n v="313"/>
    <x v="88"/>
    <n v="5"/>
    <n v="1"/>
    <x v="1"/>
    <x v="1"/>
    <x v="3"/>
    <x v="4"/>
    <x v="1"/>
    <n v="8"/>
    <n v="40544.910000000003"/>
    <n v="324359.28000000003"/>
    <s v="Namita Reddy"/>
    <n v="52"/>
    <x v="4"/>
    <x v="0"/>
    <n v="5"/>
    <x v="0"/>
    <x v="1"/>
  </r>
  <r>
    <n v="314"/>
    <x v="89"/>
    <n v="6"/>
    <n v="1"/>
    <x v="1"/>
    <x v="1"/>
    <x v="3"/>
    <x v="5"/>
    <x v="4"/>
    <n v="7"/>
    <n v="59781.74"/>
    <n v="418472.18"/>
    <s v="Rohan Prasad"/>
    <n v="54"/>
    <x v="0"/>
    <x v="3"/>
    <n v="5"/>
    <x v="0"/>
    <x v="11"/>
  </r>
  <r>
    <n v="315"/>
    <x v="89"/>
    <n v="6"/>
    <n v="1"/>
    <x v="1"/>
    <x v="1"/>
    <x v="3"/>
    <x v="5"/>
    <x v="3"/>
    <n v="8"/>
    <n v="30988.2"/>
    <n v="247905.6"/>
    <s v="Priyanka Jain"/>
    <n v="35"/>
    <x v="16"/>
    <x v="1"/>
    <n v="5"/>
    <x v="0"/>
    <x v="12"/>
  </r>
  <r>
    <n v="316"/>
    <x v="89"/>
    <n v="6"/>
    <n v="1"/>
    <x v="1"/>
    <x v="1"/>
    <x v="3"/>
    <x v="5"/>
    <x v="1"/>
    <n v="3"/>
    <n v="35489.71"/>
    <n v="106469.13"/>
    <s v="Anita Rawat"/>
    <n v="50"/>
    <x v="5"/>
    <x v="0"/>
    <n v="5"/>
    <x v="0"/>
    <x v="1"/>
  </r>
  <r>
    <n v="317"/>
    <x v="89"/>
    <n v="6"/>
    <n v="1"/>
    <x v="1"/>
    <x v="1"/>
    <x v="3"/>
    <x v="5"/>
    <x v="3"/>
    <n v="7"/>
    <n v="17691.11"/>
    <n v="123837.77"/>
    <s v="Vivek Teja"/>
    <n v="21"/>
    <x v="6"/>
    <x v="2"/>
    <n v="4"/>
    <x v="0"/>
    <x v="12"/>
  </r>
  <r>
    <n v="318"/>
    <x v="90"/>
    <n v="7"/>
    <n v="1"/>
    <x v="1"/>
    <x v="1"/>
    <x v="3"/>
    <x v="6"/>
    <x v="4"/>
    <n v="9"/>
    <n v="17375.310000000001"/>
    <n v="156377.79"/>
    <s v="Anand Mehta"/>
    <n v="40"/>
    <x v="13"/>
    <x v="3"/>
    <n v="5"/>
    <x v="0"/>
    <x v="14"/>
  </r>
  <r>
    <n v="319"/>
    <x v="90"/>
    <n v="7"/>
    <n v="1"/>
    <x v="1"/>
    <x v="1"/>
    <x v="3"/>
    <x v="6"/>
    <x v="4"/>
    <n v="3"/>
    <n v="47174.09"/>
    <n v="141522.26999999999"/>
    <s v="Jyoti Mishra"/>
    <n v="28"/>
    <x v="1"/>
    <x v="2"/>
    <n v="3"/>
    <x v="1"/>
    <x v="7"/>
  </r>
  <r>
    <n v="320"/>
    <x v="90"/>
    <n v="7"/>
    <n v="1"/>
    <x v="1"/>
    <x v="1"/>
    <x v="3"/>
    <x v="6"/>
    <x v="0"/>
    <n v="6"/>
    <n v="50531.94"/>
    <n v="303191.64"/>
    <s v="Krishna Jain"/>
    <n v="26"/>
    <x v="10"/>
    <x v="2"/>
    <n v="4"/>
    <x v="0"/>
    <x v="10"/>
  </r>
  <r>
    <n v="321"/>
    <x v="90"/>
    <n v="7"/>
    <n v="1"/>
    <x v="1"/>
    <x v="1"/>
    <x v="3"/>
    <x v="6"/>
    <x v="2"/>
    <n v="2"/>
    <n v="56639.95"/>
    <n v="113279.9"/>
    <s v="Sneha Reddy"/>
    <n v="47"/>
    <x v="0"/>
    <x v="3"/>
    <n v="3"/>
    <x v="1"/>
    <x v="4"/>
  </r>
  <r>
    <n v="322"/>
    <x v="91"/>
    <n v="8"/>
    <n v="1"/>
    <x v="1"/>
    <x v="1"/>
    <x v="3"/>
    <x v="0"/>
    <x v="3"/>
    <n v="2"/>
    <n v="43400.92"/>
    <n v="86801.84"/>
    <s v="Bhavana Srivastava"/>
    <n v="25"/>
    <x v="6"/>
    <x v="2"/>
    <n v="5"/>
    <x v="0"/>
    <x v="12"/>
  </r>
  <r>
    <n v="323"/>
    <x v="91"/>
    <n v="8"/>
    <n v="1"/>
    <x v="1"/>
    <x v="1"/>
    <x v="3"/>
    <x v="0"/>
    <x v="3"/>
    <n v="5"/>
    <n v="48745.56"/>
    <n v="243727.8"/>
    <s v="Ramesh Jain"/>
    <n v="57"/>
    <x v="4"/>
    <x v="3"/>
    <n v="5"/>
    <x v="0"/>
    <x v="5"/>
  </r>
  <r>
    <n v="324"/>
    <x v="91"/>
    <n v="8"/>
    <n v="1"/>
    <x v="1"/>
    <x v="1"/>
    <x v="3"/>
    <x v="0"/>
    <x v="1"/>
    <n v="5"/>
    <n v="10811.04"/>
    <n v="54055.200000000004"/>
    <s v="Yogesh Sharma"/>
    <n v="22"/>
    <x v="13"/>
    <x v="2"/>
    <n v="4"/>
    <x v="0"/>
    <x v="9"/>
  </r>
  <r>
    <n v="325"/>
    <x v="91"/>
    <n v="8"/>
    <n v="1"/>
    <x v="1"/>
    <x v="1"/>
    <x v="3"/>
    <x v="0"/>
    <x v="4"/>
    <n v="7"/>
    <n v="19730.240000000002"/>
    <n v="138111.68000000002"/>
    <s v="Anjali Patel"/>
    <n v="29"/>
    <x v="8"/>
    <x v="1"/>
    <n v="3"/>
    <x v="1"/>
    <x v="11"/>
  </r>
  <r>
    <n v="326"/>
    <x v="92"/>
    <n v="9"/>
    <n v="1"/>
    <x v="1"/>
    <x v="1"/>
    <x v="3"/>
    <x v="1"/>
    <x v="3"/>
    <n v="2"/>
    <n v="69094.89"/>
    <n v="138189.78"/>
    <s v="Prashant Teja"/>
    <n v="18"/>
    <x v="9"/>
    <x v="0"/>
    <n v="5"/>
    <x v="0"/>
    <x v="5"/>
  </r>
  <r>
    <n v="327"/>
    <x v="92"/>
    <n v="9"/>
    <n v="1"/>
    <x v="1"/>
    <x v="1"/>
    <x v="3"/>
    <x v="1"/>
    <x v="4"/>
    <n v="7"/>
    <n v="14559.61"/>
    <n v="101917.27"/>
    <s v="Pooja Goyal"/>
    <n v="32"/>
    <x v="16"/>
    <x v="1"/>
    <n v="5"/>
    <x v="0"/>
    <x v="14"/>
  </r>
  <r>
    <n v="328"/>
    <x v="92"/>
    <n v="9"/>
    <n v="1"/>
    <x v="1"/>
    <x v="1"/>
    <x v="3"/>
    <x v="1"/>
    <x v="3"/>
    <n v="5"/>
    <n v="50727.29"/>
    <n v="253636.45"/>
    <s v="Neeta Malhotra"/>
    <n v="42"/>
    <x v="1"/>
    <x v="1"/>
    <n v="5"/>
    <x v="0"/>
    <x v="12"/>
  </r>
  <r>
    <n v="329"/>
    <x v="92"/>
    <n v="9"/>
    <n v="1"/>
    <x v="1"/>
    <x v="1"/>
    <x v="3"/>
    <x v="1"/>
    <x v="0"/>
    <n v="6"/>
    <n v="20564.96"/>
    <n v="123389.75999999999"/>
    <s v="Krishna Menon"/>
    <n v="35"/>
    <x v="8"/>
    <x v="2"/>
    <n v="5"/>
    <x v="0"/>
    <x v="3"/>
  </r>
  <r>
    <n v="330"/>
    <x v="93"/>
    <n v="10"/>
    <n v="1"/>
    <x v="1"/>
    <x v="1"/>
    <x v="3"/>
    <x v="2"/>
    <x v="2"/>
    <n v="8"/>
    <n v="53003.12"/>
    <n v="424024.96"/>
    <s v="Reena Das"/>
    <n v="55"/>
    <x v="1"/>
    <x v="0"/>
    <n v="5"/>
    <x v="0"/>
    <x v="6"/>
  </r>
  <r>
    <n v="331"/>
    <x v="93"/>
    <n v="10"/>
    <n v="1"/>
    <x v="1"/>
    <x v="1"/>
    <x v="3"/>
    <x v="2"/>
    <x v="3"/>
    <n v="4"/>
    <n v="52359.42"/>
    <n v="209437.68"/>
    <s v="Ramesh Dutta"/>
    <n v="59"/>
    <x v="2"/>
    <x v="0"/>
    <n v="3"/>
    <x v="1"/>
    <x v="12"/>
  </r>
  <r>
    <n v="332"/>
    <x v="93"/>
    <n v="10"/>
    <n v="1"/>
    <x v="1"/>
    <x v="1"/>
    <x v="3"/>
    <x v="2"/>
    <x v="4"/>
    <n v="7"/>
    <n v="24051.94"/>
    <n v="168363.58"/>
    <s v="Harish Goyal"/>
    <n v="43"/>
    <x v="2"/>
    <x v="0"/>
    <n v="3"/>
    <x v="1"/>
    <x v="11"/>
  </r>
  <r>
    <n v="333"/>
    <x v="93"/>
    <n v="10"/>
    <n v="1"/>
    <x v="1"/>
    <x v="1"/>
    <x v="3"/>
    <x v="2"/>
    <x v="0"/>
    <n v="6"/>
    <n v="26178.06"/>
    <n v="157068.36000000002"/>
    <s v="Bina Rawat"/>
    <n v="57"/>
    <x v="2"/>
    <x v="2"/>
    <n v="5"/>
    <x v="0"/>
    <x v="0"/>
  </r>
  <r>
    <n v="334"/>
    <x v="94"/>
    <n v="11"/>
    <n v="1"/>
    <x v="1"/>
    <x v="1"/>
    <x v="3"/>
    <x v="3"/>
    <x v="3"/>
    <n v="2"/>
    <n v="49286.239999999998"/>
    <n v="98572.479999999996"/>
    <s v="Sunil Mathur"/>
    <n v="20"/>
    <x v="1"/>
    <x v="1"/>
    <n v="3"/>
    <x v="1"/>
    <x v="12"/>
  </r>
  <r>
    <n v="335"/>
    <x v="94"/>
    <n v="11"/>
    <n v="1"/>
    <x v="1"/>
    <x v="1"/>
    <x v="3"/>
    <x v="3"/>
    <x v="1"/>
    <n v="8"/>
    <n v="33405.160000000003"/>
    <n v="267241.28000000003"/>
    <s v="Navin Solanki"/>
    <n v="39"/>
    <x v="14"/>
    <x v="3"/>
    <n v="5"/>
    <x v="0"/>
    <x v="1"/>
  </r>
  <r>
    <n v="336"/>
    <x v="94"/>
    <n v="11"/>
    <n v="1"/>
    <x v="1"/>
    <x v="1"/>
    <x v="3"/>
    <x v="3"/>
    <x v="2"/>
    <n v="9"/>
    <n v="21672.880000000001"/>
    <n v="195055.92"/>
    <s v="Kavita Bhattacharya"/>
    <n v="43"/>
    <x v="6"/>
    <x v="3"/>
    <n v="5"/>
    <x v="0"/>
    <x v="13"/>
  </r>
  <r>
    <n v="337"/>
    <x v="94"/>
    <n v="11"/>
    <n v="1"/>
    <x v="1"/>
    <x v="1"/>
    <x v="3"/>
    <x v="3"/>
    <x v="3"/>
    <n v="5"/>
    <n v="53900.78"/>
    <n v="269503.90000000002"/>
    <s v="Priyanka Alva"/>
    <n v="36"/>
    <x v="1"/>
    <x v="3"/>
    <n v="5"/>
    <x v="0"/>
    <x v="5"/>
  </r>
  <r>
    <n v="338"/>
    <x v="95"/>
    <n v="12"/>
    <n v="1"/>
    <x v="1"/>
    <x v="1"/>
    <x v="3"/>
    <x v="4"/>
    <x v="0"/>
    <n v="4"/>
    <n v="19248.849999999999"/>
    <n v="76995.399999999994"/>
    <s v="Anand Bhattacharya"/>
    <n v="56"/>
    <x v="18"/>
    <x v="0"/>
    <n v="5"/>
    <x v="0"/>
    <x v="0"/>
  </r>
  <r>
    <n v="339"/>
    <x v="95"/>
    <n v="12"/>
    <n v="1"/>
    <x v="1"/>
    <x v="1"/>
    <x v="3"/>
    <x v="4"/>
    <x v="1"/>
    <n v="6"/>
    <n v="61338.62"/>
    <n v="368031.72000000003"/>
    <s v="Rohan Rathod"/>
    <n v="53"/>
    <x v="17"/>
    <x v="3"/>
    <n v="5"/>
    <x v="0"/>
    <x v="1"/>
  </r>
  <r>
    <n v="340"/>
    <x v="95"/>
    <n v="12"/>
    <n v="1"/>
    <x v="1"/>
    <x v="1"/>
    <x v="3"/>
    <x v="4"/>
    <x v="0"/>
    <n v="8"/>
    <n v="40880.17"/>
    <n v="327041.36"/>
    <s v="Devendra Arora"/>
    <n v="38"/>
    <x v="1"/>
    <x v="1"/>
    <n v="3"/>
    <x v="1"/>
    <x v="10"/>
  </r>
  <r>
    <n v="341"/>
    <x v="95"/>
    <n v="12"/>
    <n v="1"/>
    <x v="1"/>
    <x v="1"/>
    <x v="3"/>
    <x v="4"/>
    <x v="0"/>
    <n v="3"/>
    <n v="16342.04"/>
    <n v="49026.12"/>
    <s v="Reena Desai"/>
    <n v="58"/>
    <x v="1"/>
    <x v="3"/>
    <n v="3"/>
    <x v="1"/>
    <x v="3"/>
  </r>
  <r>
    <n v="342"/>
    <x v="96"/>
    <n v="13"/>
    <n v="1"/>
    <x v="1"/>
    <x v="1"/>
    <x v="3"/>
    <x v="5"/>
    <x v="1"/>
    <n v="1"/>
    <n v="51644.34"/>
    <n v="51644.34"/>
    <s v="Pankaj Singh"/>
    <n v="43"/>
    <x v="1"/>
    <x v="0"/>
    <n v="5"/>
    <x v="0"/>
    <x v="2"/>
  </r>
  <r>
    <n v="343"/>
    <x v="96"/>
    <n v="13"/>
    <n v="1"/>
    <x v="1"/>
    <x v="1"/>
    <x v="3"/>
    <x v="5"/>
    <x v="0"/>
    <n v="4"/>
    <n v="41149.78"/>
    <n v="164599.12"/>
    <s v="Pooja Joshi"/>
    <n v="30"/>
    <x v="1"/>
    <x v="0"/>
    <n v="5"/>
    <x v="0"/>
    <x v="3"/>
  </r>
  <r>
    <n v="344"/>
    <x v="96"/>
    <n v="13"/>
    <n v="1"/>
    <x v="1"/>
    <x v="1"/>
    <x v="3"/>
    <x v="5"/>
    <x v="1"/>
    <n v="4"/>
    <n v="27883.45"/>
    <n v="111533.8"/>
    <s v="Priyanka Mishra"/>
    <n v="53"/>
    <x v="16"/>
    <x v="3"/>
    <n v="5"/>
    <x v="0"/>
    <x v="9"/>
  </r>
  <r>
    <n v="345"/>
    <x v="96"/>
    <n v="13"/>
    <n v="1"/>
    <x v="1"/>
    <x v="1"/>
    <x v="3"/>
    <x v="5"/>
    <x v="3"/>
    <n v="1"/>
    <n v="35352.36"/>
    <n v="35352.36"/>
    <s v="Bhavana Rawat"/>
    <n v="41"/>
    <x v="1"/>
    <x v="0"/>
    <n v="5"/>
    <x v="0"/>
    <x v="5"/>
  </r>
  <r>
    <n v="346"/>
    <x v="97"/>
    <n v="14"/>
    <n v="1"/>
    <x v="1"/>
    <x v="1"/>
    <x v="3"/>
    <x v="6"/>
    <x v="1"/>
    <n v="9"/>
    <n v="27900.26"/>
    <n v="251102.34"/>
    <s v="Pooja Luthra"/>
    <n v="58"/>
    <x v="1"/>
    <x v="3"/>
    <n v="4"/>
    <x v="0"/>
    <x v="2"/>
  </r>
  <r>
    <n v="347"/>
    <x v="97"/>
    <n v="14"/>
    <n v="1"/>
    <x v="1"/>
    <x v="1"/>
    <x v="3"/>
    <x v="6"/>
    <x v="1"/>
    <n v="3"/>
    <n v="25781.55"/>
    <n v="77344.649999999994"/>
    <s v="Manoj Ahuja"/>
    <n v="43"/>
    <x v="4"/>
    <x v="0"/>
    <n v="4"/>
    <x v="0"/>
    <x v="2"/>
  </r>
  <r>
    <n v="348"/>
    <x v="97"/>
    <n v="14"/>
    <n v="1"/>
    <x v="1"/>
    <x v="1"/>
    <x v="3"/>
    <x v="6"/>
    <x v="2"/>
    <n v="5"/>
    <n v="19816.509999999998"/>
    <n v="99082.549999999988"/>
    <s v="Lata Rawat"/>
    <n v="38"/>
    <x v="18"/>
    <x v="2"/>
    <n v="3"/>
    <x v="1"/>
    <x v="13"/>
  </r>
  <r>
    <n v="349"/>
    <x v="97"/>
    <n v="14"/>
    <n v="1"/>
    <x v="1"/>
    <x v="1"/>
    <x v="3"/>
    <x v="6"/>
    <x v="1"/>
    <n v="6"/>
    <n v="31766.03"/>
    <n v="190596.18"/>
    <s v="Priyanka Sharma"/>
    <n v="35"/>
    <x v="1"/>
    <x v="2"/>
    <n v="4"/>
    <x v="0"/>
    <x v="2"/>
  </r>
  <r>
    <n v="350"/>
    <x v="98"/>
    <n v="15"/>
    <n v="1"/>
    <x v="1"/>
    <x v="1"/>
    <x v="3"/>
    <x v="0"/>
    <x v="1"/>
    <n v="8"/>
    <n v="25059.23"/>
    <n v="200473.84"/>
    <s v="Navin Malhotra"/>
    <n v="32"/>
    <x v="14"/>
    <x v="1"/>
    <n v="4"/>
    <x v="0"/>
    <x v="9"/>
  </r>
  <r>
    <n v="351"/>
    <x v="98"/>
    <n v="15"/>
    <n v="1"/>
    <x v="1"/>
    <x v="1"/>
    <x v="3"/>
    <x v="0"/>
    <x v="3"/>
    <n v="6"/>
    <n v="51006.07"/>
    <n v="306036.42"/>
    <s v="Kavita Iyer"/>
    <n v="32"/>
    <x v="6"/>
    <x v="2"/>
    <n v="5"/>
    <x v="0"/>
    <x v="5"/>
  </r>
  <r>
    <n v="352"/>
    <x v="98"/>
    <n v="15"/>
    <n v="1"/>
    <x v="1"/>
    <x v="1"/>
    <x v="3"/>
    <x v="0"/>
    <x v="2"/>
    <n v="3"/>
    <n v="51032.6"/>
    <n v="153097.79999999999"/>
    <s v="Anand Patel"/>
    <n v="23"/>
    <x v="3"/>
    <x v="3"/>
    <n v="5"/>
    <x v="0"/>
    <x v="6"/>
  </r>
  <r>
    <n v="353"/>
    <x v="98"/>
    <n v="15"/>
    <n v="1"/>
    <x v="1"/>
    <x v="1"/>
    <x v="3"/>
    <x v="0"/>
    <x v="4"/>
    <n v="6"/>
    <n v="40110.410000000003"/>
    <n v="240662.46000000002"/>
    <s v="Vijay Prasad"/>
    <n v="48"/>
    <x v="0"/>
    <x v="0"/>
    <n v="5"/>
    <x v="0"/>
    <x v="14"/>
  </r>
  <r>
    <n v="354"/>
    <x v="99"/>
    <n v="16"/>
    <n v="1"/>
    <x v="1"/>
    <x v="1"/>
    <x v="3"/>
    <x v="1"/>
    <x v="3"/>
    <n v="1"/>
    <n v="56676.67"/>
    <n v="56676.67"/>
    <s v="Umesh Ghosh"/>
    <n v="45"/>
    <x v="11"/>
    <x v="1"/>
    <n v="5"/>
    <x v="0"/>
    <x v="5"/>
  </r>
  <r>
    <n v="355"/>
    <x v="99"/>
    <n v="16"/>
    <n v="1"/>
    <x v="1"/>
    <x v="1"/>
    <x v="3"/>
    <x v="1"/>
    <x v="3"/>
    <n v="4"/>
    <n v="60480.38"/>
    <n v="241921.52"/>
    <s v="Manoj Rao"/>
    <n v="25"/>
    <x v="3"/>
    <x v="3"/>
    <n v="5"/>
    <x v="0"/>
    <x v="5"/>
  </r>
  <r>
    <n v="356"/>
    <x v="99"/>
    <n v="16"/>
    <n v="1"/>
    <x v="1"/>
    <x v="1"/>
    <x v="3"/>
    <x v="1"/>
    <x v="4"/>
    <n v="6"/>
    <n v="44785.99"/>
    <n v="268715.94"/>
    <s v="Vivek Jain"/>
    <n v="46"/>
    <x v="2"/>
    <x v="3"/>
    <n v="5"/>
    <x v="0"/>
    <x v="14"/>
  </r>
  <r>
    <n v="357"/>
    <x v="100"/>
    <n v="17"/>
    <n v="1"/>
    <x v="1"/>
    <x v="1"/>
    <x v="3"/>
    <x v="2"/>
    <x v="1"/>
    <n v="7"/>
    <n v="47136.11"/>
    <n v="329952.77"/>
    <s v="Aditya Patel"/>
    <n v="38"/>
    <x v="11"/>
    <x v="1"/>
    <n v="5"/>
    <x v="0"/>
    <x v="1"/>
  </r>
  <r>
    <n v="358"/>
    <x v="100"/>
    <n v="17"/>
    <n v="1"/>
    <x v="1"/>
    <x v="1"/>
    <x v="3"/>
    <x v="2"/>
    <x v="0"/>
    <n v="3"/>
    <n v="26973.15"/>
    <n v="80919.450000000012"/>
    <s v="Harish Goyal"/>
    <n v="34"/>
    <x v="2"/>
    <x v="1"/>
    <n v="4"/>
    <x v="0"/>
    <x v="0"/>
  </r>
  <r>
    <n v="359"/>
    <x v="100"/>
    <n v="17"/>
    <n v="1"/>
    <x v="1"/>
    <x v="1"/>
    <x v="3"/>
    <x v="2"/>
    <x v="2"/>
    <n v="9"/>
    <n v="63692.15"/>
    <n v="573229.35"/>
    <s v="Sumit Siddiqui"/>
    <n v="41"/>
    <x v="2"/>
    <x v="3"/>
    <n v="5"/>
    <x v="0"/>
    <x v="13"/>
  </r>
  <r>
    <n v="360"/>
    <x v="101"/>
    <n v="18"/>
    <n v="1"/>
    <x v="1"/>
    <x v="1"/>
    <x v="3"/>
    <x v="3"/>
    <x v="0"/>
    <n v="7"/>
    <n v="11452.36"/>
    <n v="80166.52"/>
    <s v="Bhavana Desai"/>
    <n v="53"/>
    <x v="1"/>
    <x v="0"/>
    <n v="5"/>
    <x v="0"/>
    <x v="0"/>
  </r>
  <r>
    <n v="361"/>
    <x v="101"/>
    <n v="18"/>
    <n v="1"/>
    <x v="1"/>
    <x v="1"/>
    <x v="3"/>
    <x v="3"/>
    <x v="4"/>
    <n v="1"/>
    <n v="30916.15"/>
    <n v="30916.15"/>
    <s v="Ravi Sheth"/>
    <n v="48"/>
    <x v="15"/>
    <x v="3"/>
    <n v="4"/>
    <x v="0"/>
    <x v="14"/>
  </r>
  <r>
    <n v="362"/>
    <x v="101"/>
    <n v="18"/>
    <n v="1"/>
    <x v="1"/>
    <x v="1"/>
    <x v="3"/>
    <x v="3"/>
    <x v="3"/>
    <n v="2"/>
    <n v="53308.03"/>
    <n v="106616.06"/>
    <s v="Ravi Patel"/>
    <n v="51"/>
    <x v="12"/>
    <x v="0"/>
    <n v="3"/>
    <x v="1"/>
    <x v="8"/>
  </r>
  <r>
    <n v="363"/>
    <x v="101"/>
    <n v="18"/>
    <n v="1"/>
    <x v="1"/>
    <x v="1"/>
    <x v="3"/>
    <x v="3"/>
    <x v="3"/>
    <n v="1"/>
    <n v="14805.37"/>
    <n v="14805.37"/>
    <s v="Tapan Mishra"/>
    <n v="19"/>
    <x v="1"/>
    <x v="1"/>
    <n v="5"/>
    <x v="0"/>
    <x v="5"/>
  </r>
  <r>
    <n v="364"/>
    <x v="102"/>
    <n v="19"/>
    <n v="1"/>
    <x v="1"/>
    <x v="1"/>
    <x v="3"/>
    <x v="4"/>
    <x v="2"/>
    <n v="9"/>
    <n v="20990.17"/>
    <n v="188911.52999999997"/>
    <s v="Mala Verma"/>
    <n v="59"/>
    <x v="18"/>
    <x v="3"/>
    <n v="5"/>
    <x v="0"/>
    <x v="13"/>
  </r>
  <r>
    <n v="365"/>
    <x v="102"/>
    <n v="19"/>
    <n v="1"/>
    <x v="1"/>
    <x v="1"/>
    <x v="3"/>
    <x v="4"/>
    <x v="3"/>
    <n v="9"/>
    <n v="45357.14"/>
    <n v="408214.26"/>
    <s v="Gita Roy"/>
    <n v="20"/>
    <x v="13"/>
    <x v="2"/>
    <n v="3"/>
    <x v="1"/>
    <x v="8"/>
  </r>
  <r>
    <n v="366"/>
    <x v="102"/>
    <n v="19"/>
    <n v="1"/>
    <x v="1"/>
    <x v="1"/>
    <x v="3"/>
    <x v="4"/>
    <x v="3"/>
    <n v="7"/>
    <n v="43599.62"/>
    <n v="305197.34000000003"/>
    <s v="Vivek Rawat"/>
    <n v="47"/>
    <x v="2"/>
    <x v="3"/>
    <n v="4"/>
    <x v="0"/>
    <x v="12"/>
  </r>
  <r>
    <n v="367"/>
    <x v="102"/>
    <n v="19"/>
    <n v="1"/>
    <x v="1"/>
    <x v="1"/>
    <x v="3"/>
    <x v="4"/>
    <x v="2"/>
    <n v="3"/>
    <n v="54335.7"/>
    <n v="163007.09999999998"/>
    <s v="Anita Menon"/>
    <n v="25"/>
    <x v="14"/>
    <x v="0"/>
    <n v="5"/>
    <x v="0"/>
    <x v="4"/>
  </r>
  <r>
    <n v="368"/>
    <x v="103"/>
    <n v="20"/>
    <n v="1"/>
    <x v="1"/>
    <x v="1"/>
    <x v="3"/>
    <x v="5"/>
    <x v="2"/>
    <n v="5"/>
    <n v="58756.76"/>
    <n v="293783.8"/>
    <s v="Tapan Deshmukh"/>
    <n v="24"/>
    <x v="1"/>
    <x v="3"/>
    <n v="4"/>
    <x v="0"/>
    <x v="4"/>
  </r>
  <r>
    <n v="369"/>
    <x v="103"/>
    <n v="20"/>
    <n v="1"/>
    <x v="1"/>
    <x v="1"/>
    <x v="3"/>
    <x v="5"/>
    <x v="4"/>
    <n v="4"/>
    <n v="17714.77"/>
    <n v="70859.08"/>
    <s v="Shruti Thakur"/>
    <n v="29"/>
    <x v="11"/>
    <x v="0"/>
    <n v="4"/>
    <x v="0"/>
    <x v="7"/>
  </r>
  <r>
    <n v="370"/>
    <x v="103"/>
    <n v="20"/>
    <n v="1"/>
    <x v="1"/>
    <x v="1"/>
    <x v="3"/>
    <x v="5"/>
    <x v="3"/>
    <n v="7"/>
    <n v="11102.86"/>
    <n v="77720.02"/>
    <s v="Reena Teja"/>
    <n v="36"/>
    <x v="1"/>
    <x v="2"/>
    <n v="4"/>
    <x v="0"/>
    <x v="8"/>
  </r>
  <r>
    <n v="371"/>
    <x v="103"/>
    <n v="20"/>
    <n v="1"/>
    <x v="1"/>
    <x v="1"/>
    <x v="3"/>
    <x v="5"/>
    <x v="3"/>
    <n v="9"/>
    <n v="51378.31"/>
    <n v="462404.79"/>
    <s v="Isha Dutta"/>
    <n v="43"/>
    <x v="8"/>
    <x v="1"/>
    <n v="5"/>
    <x v="0"/>
    <x v="12"/>
  </r>
  <r>
    <n v="372"/>
    <x v="104"/>
    <n v="21"/>
    <n v="1"/>
    <x v="1"/>
    <x v="1"/>
    <x v="3"/>
    <x v="6"/>
    <x v="4"/>
    <n v="2"/>
    <n v="28083.51"/>
    <n v="56167.02"/>
    <s v="Manoj Pathak"/>
    <n v="45"/>
    <x v="5"/>
    <x v="2"/>
    <n v="3"/>
    <x v="1"/>
    <x v="7"/>
  </r>
  <r>
    <n v="373"/>
    <x v="104"/>
    <n v="21"/>
    <n v="1"/>
    <x v="1"/>
    <x v="1"/>
    <x v="3"/>
    <x v="6"/>
    <x v="1"/>
    <n v="8"/>
    <n v="47559.03"/>
    <n v="380472.24"/>
    <s v="Tapan Bhattacharya"/>
    <n v="32"/>
    <x v="7"/>
    <x v="0"/>
    <n v="3"/>
    <x v="1"/>
    <x v="9"/>
  </r>
  <r>
    <n v="374"/>
    <x v="104"/>
    <n v="21"/>
    <n v="1"/>
    <x v="1"/>
    <x v="1"/>
    <x v="3"/>
    <x v="6"/>
    <x v="1"/>
    <n v="9"/>
    <n v="19032.68"/>
    <n v="171294.12"/>
    <s v="Anjali Srivastava"/>
    <n v="31"/>
    <x v="8"/>
    <x v="1"/>
    <n v="5"/>
    <x v="0"/>
    <x v="9"/>
  </r>
  <r>
    <n v="375"/>
    <x v="104"/>
    <n v="21"/>
    <n v="1"/>
    <x v="1"/>
    <x v="1"/>
    <x v="3"/>
    <x v="6"/>
    <x v="1"/>
    <n v="9"/>
    <n v="38142.400000000001"/>
    <n v="343281.60000000003"/>
    <s v="Anand Reddy"/>
    <n v="31"/>
    <x v="3"/>
    <x v="1"/>
    <n v="5"/>
    <x v="0"/>
    <x v="9"/>
  </r>
  <r>
    <n v="376"/>
    <x v="105"/>
    <n v="22"/>
    <n v="1"/>
    <x v="1"/>
    <x v="1"/>
    <x v="3"/>
    <x v="0"/>
    <x v="4"/>
    <n v="7"/>
    <n v="40265.480000000003"/>
    <n v="281858.36000000004"/>
    <s v="Bhavana Jain"/>
    <n v="20"/>
    <x v="3"/>
    <x v="3"/>
    <n v="4"/>
    <x v="0"/>
    <x v="14"/>
  </r>
  <r>
    <n v="377"/>
    <x v="105"/>
    <n v="22"/>
    <n v="1"/>
    <x v="1"/>
    <x v="1"/>
    <x v="3"/>
    <x v="0"/>
    <x v="3"/>
    <n v="9"/>
    <n v="45104.67"/>
    <n v="405942.02999999997"/>
    <s v="Tapan Rawat"/>
    <n v="46"/>
    <x v="1"/>
    <x v="2"/>
    <n v="5"/>
    <x v="0"/>
    <x v="5"/>
  </r>
  <r>
    <n v="378"/>
    <x v="105"/>
    <n v="22"/>
    <n v="1"/>
    <x v="1"/>
    <x v="1"/>
    <x v="3"/>
    <x v="0"/>
    <x v="4"/>
    <n v="9"/>
    <n v="40790.199999999997"/>
    <n v="367111.8"/>
    <s v="Namita Sheth"/>
    <n v="23"/>
    <x v="18"/>
    <x v="0"/>
    <n v="3"/>
    <x v="1"/>
    <x v="7"/>
  </r>
  <r>
    <n v="379"/>
    <x v="105"/>
    <n v="22"/>
    <n v="1"/>
    <x v="1"/>
    <x v="1"/>
    <x v="3"/>
    <x v="0"/>
    <x v="4"/>
    <n v="3"/>
    <n v="39741.449999999997"/>
    <n v="119224.34999999999"/>
    <s v="Arun Luthra"/>
    <n v="40"/>
    <x v="1"/>
    <x v="0"/>
    <n v="3"/>
    <x v="1"/>
    <x v="11"/>
  </r>
  <r>
    <n v="380"/>
    <x v="106"/>
    <n v="23"/>
    <n v="1"/>
    <x v="1"/>
    <x v="1"/>
    <x v="3"/>
    <x v="1"/>
    <x v="1"/>
    <n v="4"/>
    <n v="29964.05"/>
    <n v="119856.2"/>
    <s v="Mala Roy"/>
    <n v="45"/>
    <x v="4"/>
    <x v="1"/>
    <n v="4"/>
    <x v="0"/>
    <x v="2"/>
  </r>
  <r>
    <n v="381"/>
    <x v="106"/>
    <n v="23"/>
    <n v="1"/>
    <x v="1"/>
    <x v="1"/>
    <x v="3"/>
    <x v="1"/>
    <x v="0"/>
    <n v="2"/>
    <n v="14270.81"/>
    <n v="28541.62"/>
    <s v="Devendra Varma"/>
    <n v="31"/>
    <x v="2"/>
    <x v="3"/>
    <n v="5"/>
    <x v="0"/>
    <x v="3"/>
  </r>
  <r>
    <n v="382"/>
    <x v="106"/>
    <n v="23"/>
    <n v="1"/>
    <x v="1"/>
    <x v="1"/>
    <x v="3"/>
    <x v="1"/>
    <x v="3"/>
    <n v="3"/>
    <n v="15371.21"/>
    <n v="46113.63"/>
    <s v="Ravi Dutta"/>
    <n v="31"/>
    <x v="1"/>
    <x v="0"/>
    <n v="4"/>
    <x v="0"/>
    <x v="8"/>
  </r>
  <r>
    <n v="383"/>
    <x v="106"/>
    <n v="23"/>
    <n v="1"/>
    <x v="1"/>
    <x v="1"/>
    <x v="3"/>
    <x v="1"/>
    <x v="1"/>
    <n v="5"/>
    <n v="36026.699999999997"/>
    <n v="180133.5"/>
    <s v="Ramesh Das"/>
    <n v="37"/>
    <x v="5"/>
    <x v="3"/>
    <n v="4"/>
    <x v="0"/>
    <x v="1"/>
  </r>
  <r>
    <n v="384"/>
    <x v="107"/>
    <n v="24"/>
    <n v="1"/>
    <x v="1"/>
    <x v="1"/>
    <x v="3"/>
    <x v="2"/>
    <x v="0"/>
    <n v="5"/>
    <n v="31347.59"/>
    <n v="156737.95000000001"/>
    <s v="Priya Roy"/>
    <n v="30"/>
    <x v="7"/>
    <x v="1"/>
    <n v="5"/>
    <x v="0"/>
    <x v="0"/>
  </r>
  <r>
    <n v="385"/>
    <x v="107"/>
    <n v="24"/>
    <n v="1"/>
    <x v="1"/>
    <x v="1"/>
    <x v="3"/>
    <x v="2"/>
    <x v="0"/>
    <n v="6"/>
    <n v="40968.089999999997"/>
    <n v="245808.53999999998"/>
    <s v="Sumit Siddiqui"/>
    <n v="44"/>
    <x v="1"/>
    <x v="1"/>
    <n v="5"/>
    <x v="0"/>
    <x v="0"/>
  </r>
  <r>
    <n v="386"/>
    <x v="107"/>
    <n v="24"/>
    <n v="1"/>
    <x v="1"/>
    <x v="1"/>
    <x v="3"/>
    <x v="2"/>
    <x v="2"/>
    <n v="7"/>
    <n v="28290.29"/>
    <n v="198032.03"/>
    <s v="Bina Siddiqui"/>
    <n v="52"/>
    <x v="10"/>
    <x v="1"/>
    <n v="5"/>
    <x v="0"/>
    <x v="6"/>
  </r>
  <r>
    <n v="387"/>
    <x v="107"/>
    <n v="24"/>
    <n v="1"/>
    <x v="1"/>
    <x v="1"/>
    <x v="3"/>
    <x v="2"/>
    <x v="3"/>
    <n v="7"/>
    <n v="51274.61"/>
    <n v="358922.27"/>
    <s v="Kiran Rathod"/>
    <n v="19"/>
    <x v="4"/>
    <x v="3"/>
    <n v="5"/>
    <x v="0"/>
    <x v="8"/>
  </r>
  <r>
    <n v="388"/>
    <x v="108"/>
    <n v="25"/>
    <n v="1"/>
    <x v="1"/>
    <x v="1"/>
    <x v="3"/>
    <x v="3"/>
    <x v="0"/>
    <n v="1"/>
    <n v="61837.29"/>
    <n v="61837.29"/>
    <s v="Kunal Chaudhary"/>
    <n v="58"/>
    <x v="15"/>
    <x v="0"/>
    <n v="4"/>
    <x v="0"/>
    <x v="10"/>
  </r>
  <r>
    <n v="389"/>
    <x v="108"/>
    <n v="25"/>
    <n v="1"/>
    <x v="1"/>
    <x v="1"/>
    <x v="3"/>
    <x v="3"/>
    <x v="1"/>
    <n v="2"/>
    <n v="27931.79"/>
    <n v="55863.58"/>
    <s v="Vinod Malhotra"/>
    <n v="57"/>
    <x v="10"/>
    <x v="2"/>
    <n v="4"/>
    <x v="0"/>
    <x v="9"/>
  </r>
  <r>
    <n v="390"/>
    <x v="108"/>
    <n v="25"/>
    <n v="1"/>
    <x v="1"/>
    <x v="1"/>
    <x v="3"/>
    <x v="3"/>
    <x v="2"/>
    <n v="9"/>
    <n v="21579.040000000001"/>
    <n v="194211.36000000002"/>
    <s v="Sneha Arora"/>
    <n v="41"/>
    <x v="0"/>
    <x v="3"/>
    <n v="4"/>
    <x v="0"/>
    <x v="4"/>
  </r>
  <r>
    <n v="391"/>
    <x v="108"/>
    <n v="25"/>
    <n v="1"/>
    <x v="1"/>
    <x v="1"/>
    <x v="3"/>
    <x v="3"/>
    <x v="3"/>
    <n v="2"/>
    <n v="16970.830000000002"/>
    <n v="33941.660000000003"/>
    <s v="Devendra Pathak"/>
    <n v="46"/>
    <x v="2"/>
    <x v="1"/>
    <n v="4"/>
    <x v="0"/>
    <x v="8"/>
  </r>
  <r>
    <n v="392"/>
    <x v="109"/>
    <n v="26"/>
    <n v="1"/>
    <x v="1"/>
    <x v="1"/>
    <x v="3"/>
    <x v="4"/>
    <x v="4"/>
    <n v="6"/>
    <n v="46975.24"/>
    <n v="281851.44"/>
    <s v="Radha Alva"/>
    <n v="20"/>
    <x v="7"/>
    <x v="2"/>
    <n v="4"/>
    <x v="0"/>
    <x v="11"/>
  </r>
  <r>
    <n v="393"/>
    <x v="109"/>
    <n v="26"/>
    <n v="1"/>
    <x v="1"/>
    <x v="1"/>
    <x v="3"/>
    <x v="4"/>
    <x v="1"/>
    <n v="1"/>
    <n v="36631.360000000001"/>
    <n v="36631.360000000001"/>
    <s v="Krishna Nambiar"/>
    <n v="21"/>
    <x v="3"/>
    <x v="2"/>
    <n v="5"/>
    <x v="0"/>
    <x v="2"/>
  </r>
  <r>
    <n v="394"/>
    <x v="109"/>
    <n v="26"/>
    <n v="1"/>
    <x v="1"/>
    <x v="1"/>
    <x v="3"/>
    <x v="4"/>
    <x v="0"/>
    <n v="3"/>
    <n v="21280.94"/>
    <n v="63842.819999999992"/>
    <s v="Vijay Jain"/>
    <n v="19"/>
    <x v="3"/>
    <x v="2"/>
    <n v="4"/>
    <x v="0"/>
    <x v="10"/>
  </r>
  <r>
    <n v="395"/>
    <x v="110"/>
    <n v="27"/>
    <n v="1"/>
    <x v="1"/>
    <x v="1"/>
    <x v="3"/>
    <x v="5"/>
    <x v="0"/>
    <n v="2"/>
    <n v="49188.2"/>
    <n v="98376.4"/>
    <s v="Reena Deshmukh"/>
    <n v="37"/>
    <x v="2"/>
    <x v="2"/>
    <n v="3"/>
    <x v="1"/>
    <x v="3"/>
  </r>
  <r>
    <n v="396"/>
    <x v="110"/>
    <n v="27"/>
    <n v="1"/>
    <x v="1"/>
    <x v="1"/>
    <x v="3"/>
    <x v="5"/>
    <x v="1"/>
    <n v="3"/>
    <n v="18908.990000000002"/>
    <n v="56726.97"/>
    <s v="Yogesh Alva"/>
    <n v="32"/>
    <x v="5"/>
    <x v="2"/>
    <n v="3"/>
    <x v="1"/>
    <x v="2"/>
  </r>
  <r>
    <n v="397"/>
    <x v="110"/>
    <n v="27"/>
    <n v="1"/>
    <x v="1"/>
    <x v="1"/>
    <x v="3"/>
    <x v="5"/>
    <x v="0"/>
    <n v="5"/>
    <n v="43258.04"/>
    <n v="216290.2"/>
    <s v="Sanjay Mehta"/>
    <n v="49"/>
    <x v="11"/>
    <x v="1"/>
    <n v="5"/>
    <x v="0"/>
    <x v="10"/>
  </r>
  <r>
    <n v="398"/>
    <x v="110"/>
    <n v="27"/>
    <n v="1"/>
    <x v="1"/>
    <x v="1"/>
    <x v="3"/>
    <x v="5"/>
    <x v="2"/>
    <n v="6"/>
    <n v="41628.9"/>
    <n v="249773.40000000002"/>
    <s v="Neeta Yadav"/>
    <n v="59"/>
    <x v="9"/>
    <x v="0"/>
    <n v="5"/>
    <x v="0"/>
    <x v="13"/>
  </r>
  <r>
    <n v="399"/>
    <x v="111"/>
    <n v="28"/>
    <n v="1"/>
    <x v="1"/>
    <x v="1"/>
    <x v="3"/>
    <x v="6"/>
    <x v="3"/>
    <n v="9"/>
    <n v="54053.67"/>
    <n v="486483.02999999997"/>
    <s v="Gita Rathod"/>
    <n v="18"/>
    <x v="1"/>
    <x v="2"/>
    <n v="3"/>
    <x v="1"/>
    <x v="5"/>
  </r>
  <r>
    <n v="400"/>
    <x v="111"/>
    <n v="28"/>
    <n v="1"/>
    <x v="1"/>
    <x v="1"/>
    <x v="3"/>
    <x v="6"/>
    <x v="2"/>
    <n v="4"/>
    <n v="13306.58"/>
    <n v="53226.32"/>
    <s v="Vinod Chatterjee"/>
    <n v="55"/>
    <x v="2"/>
    <x v="0"/>
    <n v="5"/>
    <x v="0"/>
    <x v="13"/>
  </r>
  <r>
    <n v="401"/>
    <x v="111"/>
    <n v="28"/>
    <n v="1"/>
    <x v="1"/>
    <x v="1"/>
    <x v="3"/>
    <x v="6"/>
    <x v="0"/>
    <n v="7"/>
    <n v="63272.38"/>
    <n v="442906.66"/>
    <s v="Harish Mishra"/>
    <n v="52"/>
    <x v="5"/>
    <x v="0"/>
    <n v="5"/>
    <x v="0"/>
    <x v="3"/>
  </r>
  <r>
    <n v="402"/>
    <x v="112"/>
    <n v="29"/>
    <n v="1"/>
    <x v="1"/>
    <x v="1"/>
    <x v="3"/>
    <x v="0"/>
    <x v="4"/>
    <n v="6"/>
    <n v="52179.5"/>
    <n v="313077"/>
    <s v="Sneha Patel"/>
    <n v="24"/>
    <x v="7"/>
    <x v="3"/>
    <n v="5"/>
    <x v="0"/>
    <x v="11"/>
  </r>
  <r>
    <n v="403"/>
    <x v="112"/>
    <n v="29"/>
    <n v="1"/>
    <x v="1"/>
    <x v="1"/>
    <x v="3"/>
    <x v="0"/>
    <x v="3"/>
    <n v="2"/>
    <n v="22967.56"/>
    <n v="45935.12"/>
    <s v="Shruti Iyer"/>
    <n v="30"/>
    <x v="1"/>
    <x v="1"/>
    <n v="4"/>
    <x v="0"/>
    <x v="12"/>
  </r>
  <r>
    <n v="404"/>
    <x v="112"/>
    <n v="29"/>
    <n v="1"/>
    <x v="1"/>
    <x v="1"/>
    <x v="3"/>
    <x v="0"/>
    <x v="3"/>
    <n v="8"/>
    <n v="21004.32"/>
    <n v="168034.56"/>
    <s v="Vivek Mehta"/>
    <n v="18"/>
    <x v="10"/>
    <x v="2"/>
    <n v="4"/>
    <x v="0"/>
    <x v="12"/>
  </r>
  <r>
    <n v="405"/>
    <x v="112"/>
    <n v="29"/>
    <n v="1"/>
    <x v="1"/>
    <x v="1"/>
    <x v="3"/>
    <x v="0"/>
    <x v="1"/>
    <n v="7"/>
    <n v="35899.61"/>
    <n v="251297.27000000002"/>
    <s v="Ravi Bhattacharya"/>
    <n v="31"/>
    <x v="11"/>
    <x v="0"/>
    <n v="5"/>
    <x v="0"/>
    <x v="9"/>
  </r>
  <r>
    <n v="406"/>
    <x v="113"/>
    <n v="30"/>
    <n v="1"/>
    <x v="1"/>
    <x v="1"/>
    <x v="3"/>
    <x v="1"/>
    <x v="1"/>
    <n v="7"/>
    <n v="59053.919999999998"/>
    <n v="413377.44"/>
    <s v="Anand Siddiqui"/>
    <n v="46"/>
    <x v="2"/>
    <x v="3"/>
    <n v="5"/>
    <x v="0"/>
    <x v="9"/>
  </r>
  <r>
    <n v="407"/>
    <x v="113"/>
    <n v="30"/>
    <n v="1"/>
    <x v="1"/>
    <x v="1"/>
    <x v="3"/>
    <x v="1"/>
    <x v="4"/>
    <n v="8"/>
    <n v="60577"/>
    <n v="484616"/>
    <s v="Jyoti Kumar"/>
    <n v="20"/>
    <x v="18"/>
    <x v="0"/>
    <n v="3"/>
    <x v="1"/>
    <x v="7"/>
  </r>
  <r>
    <n v="408"/>
    <x v="113"/>
    <n v="30"/>
    <n v="1"/>
    <x v="1"/>
    <x v="1"/>
    <x v="3"/>
    <x v="1"/>
    <x v="3"/>
    <n v="1"/>
    <n v="41227.370000000003"/>
    <n v="41227.370000000003"/>
    <s v="Krishna Sharma"/>
    <n v="41"/>
    <x v="0"/>
    <x v="2"/>
    <n v="5"/>
    <x v="0"/>
    <x v="12"/>
  </r>
  <r>
    <n v="409"/>
    <x v="113"/>
    <n v="30"/>
    <n v="1"/>
    <x v="1"/>
    <x v="1"/>
    <x v="3"/>
    <x v="1"/>
    <x v="4"/>
    <n v="1"/>
    <n v="61648.65"/>
    <n v="61648.65"/>
    <s v="Aditya Roy"/>
    <n v="18"/>
    <x v="11"/>
    <x v="1"/>
    <n v="5"/>
    <x v="0"/>
    <x v="14"/>
  </r>
  <r>
    <n v="410"/>
    <x v="114"/>
    <n v="31"/>
    <n v="1"/>
    <x v="1"/>
    <x v="1"/>
    <x v="3"/>
    <x v="2"/>
    <x v="1"/>
    <n v="8"/>
    <n v="10326.620000000001"/>
    <n v="82612.960000000006"/>
    <s v="Anita Arora"/>
    <n v="27"/>
    <x v="14"/>
    <x v="1"/>
    <n v="5"/>
    <x v="0"/>
    <x v="1"/>
  </r>
  <r>
    <n v="411"/>
    <x v="114"/>
    <n v="31"/>
    <n v="1"/>
    <x v="1"/>
    <x v="1"/>
    <x v="3"/>
    <x v="2"/>
    <x v="1"/>
    <n v="4"/>
    <n v="12110.48"/>
    <n v="48441.919999999998"/>
    <s v="Tanuja Rao"/>
    <n v="30"/>
    <x v="2"/>
    <x v="2"/>
    <n v="3"/>
    <x v="1"/>
    <x v="9"/>
  </r>
  <r>
    <n v="412"/>
    <x v="114"/>
    <n v="31"/>
    <n v="1"/>
    <x v="1"/>
    <x v="1"/>
    <x v="3"/>
    <x v="2"/>
    <x v="3"/>
    <n v="5"/>
    <n v="64709.3"/>
    <n v="323546.5"/>
    <s v="Kavita Bhattacharya"/>
    <n v="53"/>
    <x v="12"/>
    <x v="0"/>
    <n v="5"/>
    <x v="0"/>
    <x v="8"/>
  </r>
  <r>
    <n v="413"/>
    <x v="115"/>
    <n v="1"/>
    <n v="2"/>
    <x v="1"/>
    <x v="1"/>
    <x v="4"/>
    <x v="3"/>
    <x v="2"/>
    <n v="8"/>
    <n v="56519.92"/>
    <n v="452159.36"/>
    <s v="Harish Teja"/>
    <n v="26"/>
    <x v="8"/>
    <x v="3"/>
    <n v="5"/>
    <x v="0"/>
    <x v="6"/>
  </r>
  <r>
    <n v="414"/>
    <x v="115"/>
    <n v="1"/>
    <n v="2"/>
    <x v="1"/>
    <x v="1"/>
    <x v="4"/>
    <x v="3"/>
    <x v="0"/>
    <n v="5"/>
    <n v="37042.36"/>
    <n v="185211.8"/>
    <s v="Anjali Patel"/>
    <n v="31"/>
    <x v="2"/>
    <x v="1"/>
    <n v="3"/>
    <x v="1"/>
    <x v="0"/>
  </r>
  <r>
    <n v="415"/>
    <x v="115"/>
    <n v="1"/>
    <n v="2"/>
    <x v="1"/>
    <x v="1"/>
    <x v="4"/>
    <x v="3"/>
    <x v="1"/>
    <n v="4"/>
    <n v="55216.61"/>
    <n v="220866.44"/>
    <s v="Gita Teja"/>
    <n v="53"/>
    <x v="1"/>
    <x v="1"/>
    <n v="5"/>
    <x v="0"/>
    <x v="2"/>
  </r>
  <r>
    <n v="416"/>
    <x v="115"/>
    <n v="1"/>
    <n v="2"/>
    <x v="1"/>
    <x v="1"/>
    <x v="4"/>
    <x v="3"/>
    <x v="1"/>
    <n v="6"/>
    <n v="67338.37"/>
    <n v="404030.22"/>
    <s v="Anita Varma"/>
    <n v="27"/>
    <x v="2"/>
    <x v="0"/>
    <n v="5"/>
    <x v="0"/>
    <x v="1"/>
  </r>
  <r>
    <n v="417"/>
    <x v="116"/>
    <n v="2"/>
    <n v="2"/>
    <x v="1"/>
    <x v="1"/>
    <x v="4"/>
    <x v="4"/>
    <x v="2"/>
    <n v="5"/>
    <n v="56325.37"/>
    <n v="281626.85000000003"/>
    <s v="Aditya Menon"/>
    <n v="57"/>
    <x v="15"/>
    <x v="0"/>
    <n v="2"/>
    <x v="2"/>
    <x v="13"/>
  </r>
  <r>
    <n v="418"/>
    <x v="116"/>
    <n v="2"/>
    <n v="2"/>
    <x v="1"/>
    <x v="1"/>
    <x v="4"/>
    <x v="4"/>
    <x v="2"/>
    <n v="7"/>
    <n v="60542.28"/>
    <n v="423795.95999999996"/>
    <s v="Amit Srivastava"/>
    <n v="40"/>
    <x v="0"/>
    <x v="0"/>
    <n v="4"/>
    <x v="0"/>
    <x v="6"/>
  </r>
  <r>
    <n v="419"/>
    <x v="116"/>
    <n v="2"/>
    <n v="2"/>
    <x v="1"/>
    <x v="1"/>
    <x v="4"/>
    <x v="4"/>
    <x v="4"/>
    <n v="7"/>
    <n v="55636.39"/>
    <n v="389454.73"/>
    <s v="Ayesha Menon"/>
    <n v="52"/>
    <x v="5"/>
    <x v="3"/>
    <n v="3"/>
    <x v="1"/>
    <x v="7"/>
  </r>
  <r>
    <n v="420"/>
    <x v="117"/>
    <n v="3"/>
    <n v="2"/>
    <x v="1"/>
    <x v="1"/>
    <x v="4"/>
    <x v="5"/>
    <x v="4"/>
    <n v="4"/>
    <n v="20092.669999999998"/>
    <n v="80370.679999999993"/>
    <s v="Vivek Sheth"/>
    <n v="24"/>
    <x v="5"/>
    <x v="0"/>
    <n v="5"/>
    <x v="0"/>
    <x v="14"/>
  </r>
  <r>
    <n v="421"/>
    <x v="117"/>
    <n v="3"/>
    <n v="2"/>
    <x v="1"/>
    <x v="1"/>
    <x v="4"/>
    <x v="5"/>
    <x v="0"/>
    <n v="5"/>
    <n v="60014.45"/>
    <n v="300072.25"/>
    <s v="Tapan Mathur"/>
    <n v="59"/>
    <x v="2"/>
    <x v="3"/>
    <n v="5"/>
    <x v="0"/>
    <x v="10"/>
  </r>
  <r>
    <n v="422"/>
    <x v="117"/>
    <n v="3"/>
    <n v="2"/>
    <x v="1"/>
    <x v="1"/>
    <x v="4"/>
    <x v="5"/>
    <x v="0"/>
    <n v="3"/>
    <n v="21706.53"/>
    <n v="65119.59"/>
    <s v="Sneha Desai"/>
    <n v="52"/>
    <x v="7"/>
    <x v="2"/>
    <n v="5"/>
    <x v="0"/>
    <x v="10"/>
  </r>
  <r>
    <n v="423"/>
    <x v="117"/>
    <n v="3"/>
    <n v="2"/>
    <x v="1"/>
    <x v="1"/>
    <x v="4"/>
    <x v="5"/>
    <x v="3"/>
    <n v="4"/>
    <n v="63556.68"/>
    <n v="254226.72"/>
    <s v="Amit Prasad"/>
    <n v="19"/>
    <x v="13"/>
    <x v="3"/>
    <n v="5"/>
    <x v="0"/>
    <x v="5"/>
  </r>
  <r>
    <n v="424"/>
    <x v="118"/>
    <n v="4"/>
    <n v="2"/>
    <x v="1"/>
    <x v="1"/>
    <x v="4"/>
    <x v="6"/>
    <x v="4"/>
    <n v="4"/>
    <n v="37518.99"/>
    <n v="150075.96"/>
    <s v="Sumit Sharma"/>
    <n v="32"/>
    <x v="1"/>
    <x v="0"/>
    <n v="4"/>
    <x v="0"/>
    <x v="14"/>
  </r>
  <r>
    <n v="425"/>
    <x v="118"/>
    <n v="4"/>
    <n v="2"/>
    <x v="1"/>
    <x v="1"/>
    <x v="4"/>
    <x v="6"/>
    <x v="1"/>
    <n v="3"/>
    <n v="50618.61"/>
    <n v="151855.83000000002"/>
    <s v="Anand Joshi"/>
    <n v="26"/>
    <x v="15"/>
    <x v="3"/>
    <n v="5"/>
    <x v="0"/>
    <x v="9"/>
  </r>
  <r>
    <n v="426"/>
    <x v="118"/>
    <n v="4"/>
    <n v="2"/>
    <x v="1"/>
    <x v="1"/>
    <x v="4"/>
    <x v="6"/>
    <x v="4"/>
    <n v="5"/>
    <n v="39834.449999999997"/>
    <n v="199172.25"/>
    <s v="Namita Srivastava"/>
    <n v="34"/>
    <x v="1"/>
    <x v="3"/>
    <n v="4"/>
    <x v="0"/>
    <x v="11"/>
  </r>
  <r>
    <n v="427"/>
    <x v="118"/>
    <n v="4"/>
    <n v="2"/>
    <x v="1"/>
    <x v="1"/>
    <x v="4"/>
    <x v="6"/>
    <x v="1"/>
    <n v="5"/>
    <n v="15639.46"/>
    <n v="78197.299999999988"/>
    <s v="Vivek Alva"/>
    <n v="56"/>
    <x v="9"/>
    <x v="3"/>
    <n v="2"/>
    <x v="2"/>
    <x v="9"/>
  </r>
  <r>
    <n v="428"/>
    <x v="119"/>
    <n v="5"/>
    <n v="2"/>
    <x v="1"/>
    <x v="1"/>
    <x v="4"/>
    <x v="0"/>
    <x v="2"/>
    <n v="7"/>
    <n v="27443.34"/>
    <n v="192103.38"/>
    <s v="Navin Mathur"/>
    <n v="35"/>
    <x v="11"/>
    <x v="1"/>
    <n v="2"/>
    <x v="2"/>
    <x v="13"/>
  </r>
  <r>
    <n v="429"/>
    <x v="119"/>
    <n v="5"/>
    <n v="2"/>
    <x v="1"/>
    <x v="1"/>
    <x v="4"/>
    <x v="0"/>
    <x v="4"/>
    <n v="4"/>
    <n v="69023.91"/>
    <n v="276095.64"/>
    <s v="Devendra Mathur"/>
    <n v="32"/>
    <x v="1"/>
    <x v="0"/>
    <n v="5"/>
    <x v="0"/>
    <x v="11"/>
  </r>
  <r>
    <n v="430"/>
    <x v="119"/>
    <n v="5"/>
    <n v="2"/>
    <x v="1"/>
    <x v="1"/>
    <x v="4"/>
    <x v="0"/>
    <x v="2"/>
    <n v="4"/>
    <n v="67642.89"/>
    <n v="270571.56"/>
    <s v="Isha Nair"/>
    <n v="35"/>
    <x v="1"/>
    <x v="3"/>
    <n v="4"/>
    <x v="0"/>
    <x v="13"/>
  </r>
  <r>
    <n v="431"/>
    <x v="120"/>
    <n v="6"/>
    <n v="2"/>
    <x v="1"/>
    <x v="1"/>
    <x v="4"/>
    <x v="1"/>
    <x v="0"/>
    <n v="9"/>
    <n v="29229.21"/>
    <n v="263062.89"/>
    <s v="Pankaj Jain"/>
    <n v="41"/>
    <x v="12"/>
    <x v="0"/>
    <n v="3"/>
    <x v="1"/>
    <x v="3"/>
  </r>
  <r>
    <n v="432"/>
    <x v="120"/>
    <n v="6"/>
    <n v="2"/>
    <x v="1"/>
    <x v="1"/>
    <x v="4"/>
    <x v="1"/>
    <x v="0"/>
    <n v="6"/>
    <n v="69777.81"/>
    <n v="418666.86"/>
    <s v="Sachin Desai"/>
    <n v="40"/>
    <x v="11"/>
    <x v="2"/>
    <n v="5"/>
    <x v="0"/>
    <x v="3"/>
  </r>
  <r>
    <n v="433"/>
    <x v="120"/>
    <n v="6"/>
    <n v="2"/>
    <x v="1"/>
    <x v="1"/>
    <x v="4"/>
    <x v="1"/>
    <x v="3"/>
    <n v="4"/>
    <n v="60733.07"/>
    <n v="242932.28"/>
    <s v="Kiran Malhotra"/>
    <n v="29"/>
    <x v="1"/>
    <x v="3"/>
    <n v="5"/>
    <x v="0"/>
    <x v="12"/>
  </r>
  <r>
    <n v="434"/>
    <x v="120"/>
    <n v="6"/>
    <n v="2"/>
    <x v="1"/>
    <x v="1"/>
    <x v="4"/>
    <x v="1"/>
    <x v="4"/>
    <n v="2"/>
    <n v="46657.57"/>
    <n v="93315.14"/>
    <s v="Kiran Alva"/>
    <n v="40"/>
    <x v="1"/>
    <x v="3"/>
    <n v="2"/>
    <x v="2"/>
    <x v="14"/>
  </r>
  <r>
    <n v="435"/>
    <x v="121"/>
    <n v="7"/>
    <n v="2"/>
    <x v="1"/>
    <x v="1"/>
    <x v="4"/>
    <x v="2"/>
    <x v="2"/>
    <n v="6"/>
    <n v="12407.48"/>
    <n v="74444.88"/>
    <s v="Arun Deshmukh"/>
    <n v="38"/>
    <x v="4"/>
    <x v="2"/>
    <n v="2"/>
    <x v="2"/>
    <x v="4"/>
  </r>
  <r>
    <n v="436"/>
    <x v="121"/>
    <n v="7"/>
    <n v="2"/>
    <x v="1"/>
    <x v="1"/>
    <x v="4"/>
    <x v="2"/>
    <x v="1"/>
    <n v="2"/>
    <n v="64086.81"/>
    <n v="128173.62"/>
    <s v="Harish Teja"/>
    <n v="43"/>
    <x v="12"/>
    <x v="0"/>
    <n v="3"/>
    <x v="1"/>
    <x v="1"/>
  </r>
  <r>
    <n v="437"/>
    <x v="121"/>
    <n v="7"/>
    <n v="2"/>
    <x v="1"/>
    <x v="1"/>
    <x v="4"/>
    <x v="2"/>
    <x v="0"/>
    <n v="5"/>
    <n v="43445.760000000002"/>
    <n v="217228.80000000002"/>
    <s v="Vijay Rawat"/>
    <n v="25"/>
    <x v="12"/>
    <x v="2"/>
    <n v="5"/>
    <x v="0"/>
    <x v="3"/>
  </r>
  <r>
    <n v="438"/>
    <x v="122"/>
    <n v="8"/>
    <n v="2"/>
    <x v="1"/>
    <x v="1"/>
    <x v="4"/>
    <x v="3"/>
    <x v="0"/>
    <n v="6"/>
    <n v="62108.57"/>
    <n v="372651.42"/>
    <s v="Arun Dutta"/>
    <n v="47"/>
    <x v="2"/>
    <x v="2"/>
    <n v="4"/>
    <x v="0"/>
    <x v="10"/>
  </r>
  <r>
    <n v="439"/>
    <x v="122"/>
    <n v="8"/>
    <n v="2"/>
    <x v="1"/>
    <x v="1"/>
    <x v="4"/>
    <x v="3"/>
    <x v="1"/>
    <n v="4"/>
    <n v="60065.75"/>
    <n v="240263"/>
    <s v="Harish Solanki"/>
    <n v="51"/>
    <x v="2"/>
    <x v="2"/>
    <n v="2"/>
    <x v="2"/>
    <x v="1"/>
  </r>
  <r>
    <n v="440"/>
    <x v="122"/>
    <n v="8"/>
    <n v="2"/>
    <x v="1"/>
    <x v="1"/>
    <x v="4"/>
    <x v="3"/>
    <x v="2"/>
    <n v="3"/>
    <n v="59980.37"/>
    <n v="179941.11000000002"/>
    <s v="Sunita Roy"/>
    <n v="19"/>
    <x v="1"/>
    <x v="2"/>
    <n v="5"/>
    <x v="0"/>
    <x v="6"/>
  </r>
  <r>
    <n v="441"/>
    <x v="122"/>
    <n v="8"/>
    <n v="2"/>
    <x v="1"/>
    <x v="1"/>
    <x v="4"/>
    <x v="3"/>
    <x v="2"/>
    <n v="7"/>
    <n v="51890.43"/>
    <n v="363233.01"/>
    <s v="Vinod Nambiar"/>
    <n v="22"/>
    <x v="15"/>
    <x v="0"/>
    <n v="3"/>
    <x v="1"/>
    <x v="6"/>
  </r>
  <r>
    <n v="442"/>
    <x v="123"/>
    <n v="9"/>
    <n v="2"/>
    <x v="1"/>
    <x v="1"/>
    <x v="4"/>
    <x v="4"/>
    <x v="4"/>
    <n v="2"/>
    <n v="27484.91"/>
    <n v="54969.82"/>
    <s v="Meena Kulkarni"/>
    <n v="48"/>
    <x v="2"/>
    <x v="3"/>
    <n v="3"/>
    <x v="1"/>
    <x v="7"/>
  </r>
  <r>
    <n v="443"/>
    <x v="123"/>
    <n v="9"/>
    <n v="2"/>
    <x v="1"/>
    <x v="1"/>
    <x v="4"/>
    <x v="4"/>
    <x v="4"/>
    <n v="6"/>
    <n v="30169.62"/>
    <n v="181017.72"/>
    <s v="Arun Sheth"/>
    <n v="50"/>
    <x v="12"/>
    <x v="2"/>
    <n v="3"/>
    <x v="1"/>
    <x v="11"/>
  </r>
  <r>
    <n v="444"/>
    <x v="123"/>
    <n v="9"/>
    <n v="2"/>
    <x v="1"/>
    <x v="1"/>
    <x v="4"/>
    <x v="4"/>
    <x v="3"/>
    <n v="4"/>
    <n v="28508.15"/>
    <n v="114032.6"/>
    <s v="Bhavana Mehta"/>
    <n v="21"/>
    <x v="2"/>
    <x v="2"/>
    <n v="5"/>
    <x v="0"/>
    <x v="8"/>
  </r>
  <r>
    <n v="445"/>
    <x v="124"/>
    <n v="10"/>
    <n v="2"/>
    <x v="1"/>
    <x v="1"/>
    <x v="4"/>
    <x v="5"/>
    <x v="0"/>
    <n v="6"/>
    <n v="11202.76"/>
    <n v="67216.56"/>
    <s v="Bhavana Varma"/>
    <n v="23"/>
    <x v="6"/>
    <x v="1"/>
    <n v="3"/>
    <x v="1"/>
    <x v="3"/>
  </r>
  <r>
    <n v="446"/>
    <x v="124"/>
    <n v="10"/>
    <n v="2"/>
    <x v="1"/>
    <x v="1"/>
    <x v="4"/>
    <x v="5"/>
    <x v="4"/>
    <n v="4"/>
    <n v="44954.13"/>
    <n v="179816.52"/>
    <s v="Lata Shah"/>
    <n v="40"/>
    <x v="1"/>
    <x v="0"/>
    <n v="4"/>
    <x v="0"/>
    <x v="14"/>
  </r>
  <r>
    <n v="447"/>
    <x v="124"/>
    <n v="10"/>
    <n v="2"/>
    <x v="1"/>
    <x v="1"/>
    <x v="4"/>
    <x v="5"/>
    <x v="2"/>
    <n v="4"/>
    <n v="51930.02"/>
    <n v="207720.08"/>
    <s v="Vivek Teja"/>
    <n v="36"/>
    <x v="0"/>
    <x v="2"/>
    <n v="4"/>
    <x v="0"/>
    <x v="4"/>
  </r>
  <r>
    <n v="448"/>
    <x v="125"/>
    <n v="11"/>
    <n v="2"/>
    <x v="1"/>
    <x v="1"/>
    <x v="4"/>
    <x v="6"/>
    <x v="1"/>
    <n v="4"/>
    <n v="61231.96"/>
    <n v="244927.84"/>
    <s v="Prashant Rathod"/>
    <n v="25"/>
    <x v="2"/>
    <x v="1"/>
    <n v="5"/>
    <x v="0"/>
    <x v="2"/>
  </r>
  <r>
    <n v="449"/>
    <x v="125"/>
    <n v="11"/>
    <n v="2"/>
    <x v="1"/>
    <x v="1"/>
    <x v="4"/>
    <x v="6"/>
    <x v="2"/>
    <n v="9"/>
    <n v="18409.93"/>
    <n v="165689.37"/>
    <s v="Priyanka Menon"/>
    <n v="56"/>
    <x v="16"/>
    <x v="2"/>
    <n v="5"/>
    <x v="0"/>
    <x v="6"/>
  </r>
  <r>
    <n v="450"/>
    <x v="125"/>
    <n v="11"/>
    <n v="2"/>
    <x v="1"/>
    <x v="1"/>
    <x v="4"/>
    <x v="6"/>
    <x v="0"/>
    <n v="7"/>
    <n v="42650.99"/>
    <n v="298556.93"/>
    <s v="Anjali Sharma"/>
    <n v="30"/>
    <x v="2"/>
    <x v="0"/>
    <n v="4"/>
    <x v="0"/>
    <x v="0"/>
  </r>
  <r>
    <n v="451"/>
    <x v="125"/>
    <n v="11"/>
    <n v="2"/>
    <x v="1"/>
    <x v="1"/>
    <x v="4"/>
    <x v="6"/>
    <x v="2"/>
    <n v="3"/>
    <n v="10480.49"/>
    <n v="31441.47"/>
    <s v="Arun Kapoor"/>
    <n v="18"/>
    <x v="14"/>
    <x v="1"/>
    <n v="5"/>
    <x v="0"/>
    <x v="13"/>
  </r>
  <r>
    <n v="452"/>
    <x v="126"/>
    <n v="12"/>
    <n v="2"/>
    <x v="1"/>
    <x v="1"/>
    <x v="4"/>
    <x v="0"/>
    <x v="3"/>
    <n v="3"/>
    <n v="15705.62"/>
    <n v="47116.86"/>
    <s v="Arun Goyal"/>
    <n v="23"/>
    <x v="3"/>
    <x v="1"/>
    <n v="5"/>
    <x v="0"/>
    <x v="8"/>
  </r>
  <r>
    <n v="453"/>
    <x v="126"/>
    <n v="12"/>
    <n v="2"/>
    <x v="1"/>
    <x v="1"/>
    <x v="4"/>
    <x v="0"/>
    <x v="0"/>
    <n v="6"/>
    <n v="13252.7"/>
    <n v="79516.200000000012"/>
    <s v="Arun Pillai"/>
    <n v="24"/>
    <x v="1"/>
    <x v="0"/>
    <n v="3"/>
    <x v="1"/>
    <x v="0"/>
  </r>
  <r>
    <n v="454"/>
    <x v="126"/>
    <n v="12"/>
    <n v="2"/>
    <x v="1"/>
    <x v="1"/>
    <x v="4"/>
    <x v="0"/>
    <x v="1"/>
    <n v="6"/>
    <n v="53528.68"/>
    <n v="321172.08"/>
    <s v="Vinod Goyal"/>
    <n v="44"/>
    <x v="5"/>
    <x v="1"/>
    <n v="4"/>
    <x v="0"/>
    <x v="1"/>
  </r>
  <r>
    <n v="455"/>
    <x v="126"/>
    <n v="12"/>
    <n v="2"/>
    <x v="1"/>
    <x v="1"/>
    <x v="4"/>
    <x v="0"/>
    <x v="3"/>
    <n v="4"/>
    <n v="14863.57"/>
    <n v="59454.28"/>
    <s v="Monika Deshmukh"/>
    <n v="32"/>
    <x v="1"/>
    <x v="1"/>
    <n v="2"/>
    <x v="2"/>
    <x v="12"/>
  </r>
  <r>
    <n v="456"/>
    <x v="127"/>
    <n v="13"/>
    <n v="2"/>
    <x v="1"/>
    <x v="1"/>
    <x v="4"/>
    <x v="1"/>
    <x v="0"/>
    <n v="9"/>
    <n v="52987.18"/>
    <n v="476884.62"/>
    <s v="Vijay Varma"/>
    <n v="51"/>
    <x v="1"/>
    <x v="2"/>
    <n v="5"/>
    <x v="0"/>
    <x v="0"/>
  </r>
  <r>
    <n v="457"/>
    <x v="127"/>
    <n v="13"/>
    <n v="2"/>
    <x v="1"/>
    <x v="1"/>
    <x v="4"/>
    <x v="1"/>
    <x v="1"/>
    <n v="4"/>
    <n v="24977.48"/>
    <n v="99909.92"/>
    <s v="Bhavana Mathur"/>
    <n v="40"/>
    <x v="2"/>
    <x v="1"/>
    <n v="5"/>
    <x v="0"/>
    <x v="2"/>
  </r>
  <r>
    <n v="458"/>
    <x v="127"/>
    <n v="13"/>
    <n v="2"/>
    <x v="1"/>
    <x v="1"/>
    <x v="4"/>
    <x v="1"/>
    <x v="3"/>
    <n v="9"/>
    <n v="62662.78"/>
    <n v="563965.02"/>
    <s v="Priya Singh"/>
    <n v="41"/>
    <x v="2"/>
    <x v="3"/>
    <n v="4"/>
    <x v="0"/>
    <x v="5"/>
  </r>
  <r>
    <n v="459"/>
    <x v="128"/>
    <n v="14"/>
    <n v="2"/>
    <x v="1"/>
    <x v="1"/>
    <x v="4"/>
    <x v="2"/>
    <x v="3"/>
    <n v="4"/>
    <n v="58789"/>
    <n v="235156"/>
    <s v="Tapan Deshmukh"/>
    <n v="32"/>
    <x v="11"/>
    <x v="0"/>
    <n v="2"/>
    <x v="2"/>
    <x v="8"/>
  </r>
  <r>
    <n v="460"/>
    <x v="128"/>
    <n v="14"/>
    <n v="2"/>
    <x v="1"/>
    <x v="1"/>
    <x v="4"/>
    <x v="2"/>
    <x v="0"/>
    <n v="2"/>
    <n v="67469.81"/>
    <n v="134939.62"/>
    <s v="Meena Patel"/>
    <n v="52"/>
    <x v="18"/>
    <x v="2"/>
    <n v="5"/>
    <x v="0"/>
    <x v="10"/>
  </r>
  <r>
    <n v="461"/>
    <x v="128"/>
    <n v="14"/>
    <n v="2"/>
    <x v="1"/>
    <x v="1"/>
    <x v="4"/>
    <x v="2"/>
    <x v="4"/>
    <n v="2"/>
    <n v="63025.72"/>
    <n v="126051.44"/>
    <s v="Namita Sheth"/>
    <n v="21"/>
    <x v="1"/>
    <x v="1"/>
    <n v="5"/>
    <x v="0"/>
    <x v="14"/>
  </r>
  <r>
    <n v="462"/>
    <x v="128"/>
    <n v="14"/>
    <n v="2"/>
    <x v="1"/>
    <x v="1"/>
    <x v="4"/>
    <x v="2"/>
    <x v="3"/>
    <n v="5"/>
    <n v="65999.77"/>
    <n v="329998.85000000003"/>
    <s v="Anita Varma"/>
    <n v="54"/>
    <x v="2"/>
    <x v="3"/>
    <n v="2"/>
    <x v="2"/>
    <x v="5"/>
  </r>
  <r>
    <n v="463"/>
    <x v="129"/>
    <n v="15"/>
    <n v="2"/>
    <x v="1"/>
    <x v="1"/>
    <x v="4"/>
    <x v="3"/>
    <x v="3"/>
    <n v="4"/>
    <n v="61524.54"/>
    <n v="246098.16"/>
    <s v="Vinod Goyal"/>
    <n v="34"/>
    <x v="2"/>
    <x v="2"/>
    <n v="3"/>
    <x v="1"/>
    <x v="5"/>
  </r>
  <r>
    <n v="464"/>
    <x v="129"/>
    <n v="15"/>
    <n v="2"/>
    <x v="1"/>
    <x v="1"/>
    <x v="4"/>
    <x v="3"/>
    <x v="1"/>
    <n v="7"/>
    <n v="51602.91"/>
    <n v="361220.37"/>
    <s v="Kunal Shah"/>
    <n v="48"/>
    <x v="8"/>
    <x v="0"/>
    <n v="5"/>
    <x v="0"/>
    <x v="2"/>
  </r>
  <r>
    <n v="465"/>
    <x v="129"/>
    <n v="15"/>
    <n v="2"/>
    <x v="1"/>
    <x v="1"/>
    <x v="4"/>
    <x v="3"/>
    <x v="2"/>
    <n v="5"/>
    <n v="20215.55"/>
    <n v="101077.75"/>
    <s v="Mala Teja"/>
    <n v="55"/>
    <x v="1"/>
    <x v="1"/>
    <n v="2"/>
    <x v="2"/>
    <x v="13"/>
  </r>
  <r>
    <n v="466"/>
    <x v="129"/>
    <n v="15"/>
    <n v="2"/>
    <x v="1"/>
    <x v="1"/>
    <x v="4"/>
    <x v="3"/>
    <x v="0"/>
    <n v="6"/>
    <n v="26302.45"/>
    <n v="157814.70000000001"/>
    <s v="Sumit Mishra"/>
    <n v="27"/>
    <x v="4"/>
    <x v="0"/>
    <n v="4"/>
    <x v="0"/>
    <x v="3"/>
  </r>
  <r>
    <n v="467"/>
    <x v="130"/>
    <n v="16"/>
    <n v="2"/>
    <x v="1"/>
    <x v="1"/>
    <x v="4"/>
    <x v="4"/>
    <x v="0"/>
    <n v="4"/>
    <n v="22763.62"/>
    <n v="91054.48"/>
    <s v="Kavita Gupta"/>
    <n v="44"/>
    <x v="1"/>
    <x v="0"/>
    <n v="5"/>
    <x v="0"/>
    <x v="3"/>
  </r>
  <r>
    <n v="468"/>
    <x v="130"/>
    <n v="16"/>
    <n v="2"/>
    <x v="1"/>
    <x v="1"/>
    <x v="4"/>
    <x v="4"/>
    <x v="4"/>
    <n v="2"/>
    <n v="46215.15"/>
    <n v="92430.3"/>
    <s v="Tapan Joshi"/>
    <n v="59"/>
    <x v="10"/>
    <x v="1"/>
    <n v="5"/>
    <x v="0"/>
    <x v="7"/>
  </r>
  <r>
    <n v="469"/>
    <x v="130"/>
    <n v="16"/>
    <n v="2"/>
    <x v="1"/>
    <x v="1"/>
    <x v="4"/>
    <x v="4"/>
    <x v="4"/>
    <n v="9"/>
    <n v="40217.199999999997"/>
    <n v="361954.8"/>
    <s v="Nikhil Menon"/>
    <n v="23"/>
    <x v="1"/>
    <x v="1"/>
    <n v="4"/>
    <x v="0"/>
    <x v="14"/>
  </r>
  <r>
    <n v="470"/>
    <x v="130"/>
    <n v="16"/>
    <n v="2"/>
    <x v="1"/>
    <x v="1"/>
    <x v="4"/>
    <x v="4"/>
    <x v="0"/>
    <n v="7"/>
    <n v="62024.800000000003"/>
    <n v="434173.60000000003"/>
    <s v="Vinod Prasad"/>
    <n v="23"/>
    <x v="11"/>
    <x v="2"/>
    <n v="2"/>
    <x v="2"/>
    <x v="10"/>
  </r>
  <r>
    <n v="471"/>
    <x v="131"/>
    <n v="17"/>
    <n v="2"/>
    <x v="1"/>
    <x v="1"/>
    <x v="4"/>
    <x v="5"/>
    <x v="4"/>
    <n v="4"/>
    <n v="67160.37"/>
    <n v="268641.48"/>
    <s v="Tapan Bhattacharya"/>
    <n v="32"/>
    <x v="15"/>
    <x v="0"/>
    <n v="3"/>
    <x v="1"/>
    <x v="7"/>
  </r>
  <r>
    <n v="472"/>
    <x v="131"/>
    <n v="17"/>
    <n v="2"/>
    <x v="1"/>
    <x v="1"/>
    <x v="4"/>
    <x v="5"/>
    <x v="1"/>
    <n v="3"/>
    <n v="34291.589999999997"/>
    <n v="102874.76999999999"/>
    <s v="Jyoti Iyer"/>
    <n v="21"/>
    <x v="16"/>
    <x v="1"/>
    <n v="5"/>
    <x v="0"/>
    <x v="2"/>
  </r>
  <r>
    <n v="473"/>
    <x v="131"/>
    <n v="17"/>
    <n v="2"/>
    <x v="1"/>
    <x v="1"/>
    <x v="4"/>
    <x v="5"/>
    <x v="0"/>
    <n v="3"/>
    <n v="40381.03"/>
    <n v="121143.09"/>
    <s v="Shruti Chaudhary"/>
    <n v="57"/>
    <x v="1"/>
    <x v="0"/>
    <n v="5"/>
    <x v="0"/>
    <x v="0"/>
  </r>
  <r>
    <n v="474"/>
    <x v="132"/>
    <n v="18"/>
    <n v="2"/>
    <x v="1"/>
    <x v="1"/>
    <x v="4"/>
    <x v="6"/>
    <x v="4"/>
    <n v="9"/>
    <n v="68290.98"/>
    <n v="614618.81999999995"/>
    <s v="Jyoti Pillai"/>
    <n v="24"/>
    <x v="14"/>
    <x v="1"/>
    <n v="5"/>
    <x v="0"/>
    <x v="14"/>
  </r>
  <r>
    <n v="475"/>
    <x v="132"/>
    <n v="18"/>
    <n v="2"/>
    <x v="1"/>
    <x v="1"/>
    <x v="4"/>
    <x v="6"/>
    <x v="0"/>
    <n v="5"/>
    <n v="26574.34"/>
    <n v="132871.70000000001"/>
    <s v="Manoj Shah"/>
    <n v="43"/>
    <x v="7"/>
    <x v="0"/>
    <n v="4"/>
    <x v="0"/>
    <x v="0"/>
  </r>
  <r>
    <n v="476"/>
    <x v="132"/>
    <n v="18"/>
    <n v="2"/>
    <x v="1"/>
    <x v="1"/>
    <x v="4"/>
    <x v="6"/>
    <x v="2"/>
    <n v="3"/>
    <n v="57543.45"/>
    <n v="172630.34999999998"/>
    <s v="Vijay Prasad"/>
    <n v="48"/>
    <x v="2"/>
    <x v="2"/>
    <n v="2"/>
    <x v="2"/>
    <x v="6"/>
  </r>
  <r>
    <n v="477"/>
    <x v="133"/>
    <n v="19"/>
    <n v="2"/>
    <x v="1"/>
    <x v="1"/>
    <x v="4"/>
    <x v="0"/>
    <x v="3"/>
    <n v="5"/>
    <n v="23514.39"/>
    <n v="117571.95"/>
    <s v="Reena Sharma"/>
    <n v="19"/>
    <x v="1"/>
    <x v="0"/>
    <n v="2"/>
    <x v="2"/>
    <x v="12"/>
  </r>
  <r>
    <n v="478"/>
    <x v="133"/>
    <n v="19"/>
    <n v="2"/>
    <x v="1"/>
    <x v="1"/>
    <x v="4"/>
    <x v="0"/>
    <x v="0"/>
    <n v="2"/>
    <n v="50887.61"/>
    <n v="101775.22"/>
    <s v="Sumit Rathod"/>
    <n v="45"/>
    <x v="15"/>
    <x v="1"/>
    <n v="4"/>
    <x v="0"/>
    <x v="3"/>
  </r>
  <r>
    <n v="479"/>
    <x v="133"/>
    <n v="19"/>
    <n v="2"/>
    <x v="1"/>
    <x v="1"/>
    <x v="4"/>
    <x v="0"/>
    <x v="3"/>
    <n v="4"/>
    <n v="25216.94"/>
    <n v="100867.76"/>
    <s v="Krishna Malhotra"/>
    <n v="59"/>
    <x v="1"/>
    <x v="3"/>
    <n v="5"/>
    <x v="0"/>
    <x v="5"/>
  </r>
  <r>
    <n v="480"/>
    <x v="134"/>
    <n v="20"/>
    <n v="2"/>
    <x v="1"/>
    <x v="1"/>
    <x v="4"/>
    <x v="1"/>
    <x v="4"/>
    <n v="2"/>
    <n v="63024"/>
    <n v="126048"/>
    <s v="Namita Patel"/>
    <n v="30"/>
    <x v="13"/>
    <x v="2"/>
    <n v="4"/>
    <x v="0"/>
    <x v="11"/>
  </r>
  <r>
    <n v="481"/>
    <x v="134"/>
    <n v="20"/>
    <n v="2"/>
    <x v="1"/>
    <x v="1"/>
    <x v="4"/>
    <x v="1"/>
    <x v="3"/>
    <n v="2"/>
    <n v="43688.68"/>
    <n v="87377.36"/>
    <s v="Devendra Rao"/>
    <n v="35"/>
    <x v="5"/>
    <x v="2"/>
    <n v="2"/>
    <x v="2"/>
    <x v="12"/>
  </r>
  <r>
    <n v="482"/>
    <x v="134"/>
    <n v="20"/>
    <n v="2"/>
    <x v="1"/>
    <x v="1"/>
    <x v="4"/>
    <x v="1"/>
    <x v="0"/>
    <n v="8"/>
    <n v="21156.02"/>
    <n v="169248.16"/>
    <s v="Ravi Malhotra"/>
    <n v="47"/>
    <x v="2"/>
    <x v="3"/>
    <n v="4"/>
    <x v="0"/>
    <x v="10"/>
  </r>
  <r>
    <n v="483"/>
    <x v="135"/>
    <n v="21"/>
    <n v="2"/>
    <x v="1"/>
    <x v="1"/>
    <x v="4"/>
    <x v="2"/>
    <x v="2"/>
    <n v="1"/>
    <n v="23462.15"/>
    <n v="23462.15"/>
    <s v="Ramesh Gupta"/>
    <n v="28"/>
    <x v="2"/>
    <x v="1"/>
    <n v="5"/>
    <x v="0"/>
    <x v="6"/>
  </r>
  <r>
    <n v="484"/>
    <x v="135"/>
    <n v="21"/>
    <n v="2"/>
    <x v="1"/>
    <x v="1"/>
    <x v="4"/>
    <x v="2"/>
    <x v="4"/>
    <n v="7"/>
    <n v="39630.949999999997"/>
    <n v="277416.64999999997"/>
    <s v="Shruti Pathak"/>
    <n v="30"/>
    <x v="1"/>
    <x v="2"/>
    <n v="5"/>
    <x v="0"/>
    <x v="11"/>
  </r>
  <r>
    <n v="485"/>
    <x v="135"/>
    <n v="21"/>
    <n v="2"/>
    <x v="1"/>
    <x v="1"/>
    <x v="4"/>
    <x v="2"/>
    <x v="0"/>
    <n v="5"/>
    <n v="67696.12"/>
    <n v="338480.6"/>
    <s v="Ramesh Solanki"/>
    <n v="41"/>
    <x v="1"/>
    <x v="3"/>
    <n v="5"/>
    <x v="0"/>
    <x v="3"/>
  </r>
  <r>
    <n v="486"/>
    <x v="136"/>
    <n v="22"/>
    <n v="2"/>
    <x v="1"/>
    <x v="1"/>
    <x v="4"/>
    <x v="3"/>
    <x v="4"/>
    <n v="8"/>
    <n v="56178.53"/>
    <n v="449428.24"/>
    <s v="Shruti Pathak"/>
    <n v="46"/>
    <x v="2"/>
    <x v="3"/>
    <n v="3"/>
    <x v="1"/>
    <x v="7"/>
  </r>
  <r>
    <n v="487"/>
    <x v="136"/>
    <n v="22"/>
    <n v="2"/>
    <x v="1"/>
    <x v="1"/>
    <x v="4"/>
    <x v="3"/>
    <x v="1"/>
    <n v="1"/>
    <n v="39298.58"/>
    <n v="39298.58"/>
    <s v="Ramesh Dutta"/>
    <n v="22"/>
    <x v="16"/>
    <x v="0"/>
    <n v="3"/>
    <x v="1"/>
    <x v="1"/>
  </r>
  <r>
    <n v="488"/>
    <x v="136"/>
    <n v="22"/>
    <n v="2"/>
    <x v="1"/>
    <x v="1"/>
    <x v="4"/>
    <x v="3"/>
    <x v="3"/>
    <n v="7"/>
    <n v="30263.15"/>
    <n v="211842.05000000002"/>
    <s v="Umesh Ghosh"/>
    <n v="52"/>
    <x v="1"/>
    <x v="0"/>
    <n v="4"/>
    <x v="0"/>
    <x v="5"/>
  </r>
  <r>
    <n v="489"/>
    <x v="137"/>
    <n v="23"/>
    <n v="2"/>
    <x v="1"/>
    <x v="1"/>
    <x v="4"/>
    <x v="4"/>
    <x v="1"/>
    <n v="5"/>
    <n v="42956.11"/>
    <n v="214780.55"/>
    <s v="Gita Iyer"/>
    <n v="36"/>
    <x v="14"/>
    <x v="1"/>
    <n v="5"/>
    <x v="0"/>
    <x v="1"/>
  </r>
  <r>
    <n v="490"/>
    <x v="137"/>
    <n v="23"/>
    <n v="2"/>
    <x v="1"/>
    <x v="1"/>
    <x v="4"/>
    <x v="4"/>
    <x v="0"/>
    <n v="4"/>
    <n v="54901.65"/>
    <n v="219606.6"/>
    <s v="Reena Desai"/>
    <n v="30"/>
    <x v="16"/>
    <x v="3"/>
    <n v="5"/>
    <x v="0"/>
    <x v="0"/>
  </r>
  <r>
    <n v="491"/>
    <x v="137"/>
    <n v="23"/>
    <n v="2"/>
    <x v="1"/>
    <x v="1"/>
    <x v="4"/>
    <x v="4"/>
    <x v="2"/>
    <n v="7"/>
    <n v="57035.72"/>
    <n v="399250.04000000004"/>
    <s v="Sanjay Das"/>
    <n v="22"/>
    <x v="6"/>
    <x v="0"/>
    <n v="2"/>
    <x v="2"/>
    <x v="13"/>
  </r>
  <r>
    <n v="492"/>
    <x v="138"/>
    <n v="24"/>
    <n v="2"/>
    <x v="1"/>
    <x v="1"/>
    <x v="4"/>
    <x v="5"/>
    <x v="4"/>
    <n v="2"/>
    <n v="29476.53"/>
    <n v="58953.06"/>
    <s v="Sanjay Patel"/>
    <n v="31"/>
    <x v="3"/>
    <x v="1"/>
    <n v="5"/>
    <x v="0"/>
    <x v="14"/>
  </r>
  <r>
    <n v="493"/>
    <x v="138"/>
    <n v="24"/>
    <n v="2"/>
    <x v="1"/>
    <x v="1"/>
    <x v="4"/>
    <x v="5"/>
    <x v="3"/>
    <n v="1"/>
    <n v="53269.56"/>
    <n v="53269.56"/>
    <s v="Anita Desai"/>
    <n v="55"/>
    <x v="1"/>
    <x v="2"/>
    <n v="5"/>
    <x v="0"/>
    <x v="5"/>
  </r>
  <r>
    <n v="494"/>
    <x v="138"/>
    <n v="24"/>
    <n v="2"/>
    <x v="1"/>
    <x v="1"/>
    <x v="4"/>
    <x v="5"/>
    <x v="4"/>
    <n v="1"/>
    <n v="49467.33"/>
    <n v="49467.33"/>
    <s v="Anand Chatterjee"/>
    <n v="39"/>
    <x v="6"/>
    <x v="0"/>
    <n v="4"/>
    <x v="0"/>
    <x v="7"/>
  </r>
  <r>
    <n v="495"/>
    <x v="139"/>
    <n v="25"/>
    <n v="2"/>
    <x v="1"/>
    <x v="1"/>
    <x v="4"/>
    <x v="6"/>
    <x v="0"/>
    <n v="1"/>
    <n v="67546.740000000005"/>
    <n v="67546.740000000005"/>
    <s v="Bina Solanki"/>
    <n v="26"/>
    <x v="6"/>
    <x v="1"/>
    <n v="2"/>
    <x v="2"/>
    <x v="0"/>
  </r>
  <r>
    <n v="496"/>
    <x v="139"/>
    <n v="25"/>
    <n v="2"/>
    <x v="1"/>
    <x v="1"/>
    <x v="4"/>
    <x v="6"/>
    <x v="4"/>
    <n v="5"/>
    <n v="65865.42"/>
    <n v="329327.09999999998"/>
    <s v="Sunita Mehta"/>
    <n v="57"/>
    <x v="0"/>
    <x v="0"/>
    <n v="2"/>
    <x v="2"/>
    <x v="11"/>
  </r>
  <r>
    <n v="497"/>
    <x v="139"/>
    <n v="25"/>
    <n v="2"/>
    <x v="1"/>
    <x v="1"/>
    <x v="4"/>
    <x v="6"/>
    <x v="3"/>
    <n v="7"/>
    <n v="57362.76"/>
    <n v="401539.32"/>
    <s v="Pankaj Arora"/>
    <n v="43"/>
    <x v="4"/>
    <x v="2"/>
    <n v="4"/>
    <x v="0"/>
    <x v="5"/>
  </r>
  <r>
    <n v="498"/>
    <x v="140"/>
    <n v="26"/>
    <n v="2"/>
    <x v="1"/>
    <x v="1"/>
    <x v="4"/>
    <x v="0"/>
    <x v="0"/>
    <n v="2"/>
    <n v="53403.68"/>
    <n v="106807.36"/>
    <s v="Monika Srivastava"/>
    <n v="22"/>
    <x v="7"/>
    <x v="2"/>
    <n v="4"/>
    <x v="0"/>
    <x v="3"/>
  </r>
  <r>
    <n v="499"/>
    <x v="140"/>
    <n v="26"/>
    <n v="2"/>
    <x v="1"/>
    <x v="1"/>
    <x v="4"/>
    <x v="0"/>
    <x v="4"/>
    <n v="8"/>
    <n v="26442.5"/>
    <n v="211540"/>
    <s v="Rajesh Ghosh"/>
    <n v="46"/>
    <x v="2"/>
    <x v="0"/>
    <n v="5"/>
    <x v="0"/>
    <x v="7"/>
  </r>
  <r>
    <n v="500"/>
    <x v="140"/>
    <n v="26"/>
    <n v="2"/>
    <x v="1"/>
    <x v="1"/>
    <x v="4"/>
    <x v="0"/>
    <x v="2"/>
    <n v="4"/>
    <n v="60757.919999999998"/>
    <n v="243031.67999999999"/>
    <s v="Priya Sharma"/>
    <n v="39"/>
    <x v="18"/>
    <x v="2"/>
    <n v="5"/>
    <x v="0"/>
    <x v="4"/>
  </r>
  <r>
    <n v="501"/>
    <x v="140"/>
    <n v="26"/>
    <n v="2"/>
    <x v="1"/>
    <x v="1"/>
    <x v="4"/>
    <x v="0"/>
    <x v="0"/>
    <n v="3"/>
    <n v="35650.339999999997"/>
    <n v="106951.01999999999"/>
    <s v="Kavita Kaur"/>
    <n v="20"/>
    <x v="14"/>
    <x v="1"/>
    <n v="2"/>
    <x v="2"/>
    <x v="3"/>
  </r>
  <r>
    <n v="502"/>
    <x v="141"/>
    <n v="27"/>
    <n v="2"/>
    <x v="1"/>
    <x v="1"/>
    <x v="4"/>
    <x v="1"/>
    <x v="0"/>
    <n v="8"/>
    <n v="26334.43"/>
    <n v="210675.44"/>
    <s v="Vivek Deshmukh"/>
    <n v="45"/>
    <x v="1"/>
    <x v="0"/>
    <n v="2"/>
    <x v="2"/>
    <x v="10"/>
  </r>
  <r>
    <n v="503"/>
    <x v="141"/>
    <n v="27"/>
    <n v="2"/>
    <x v="1"/>
    <x v="1"/>
    <x v="4"/>
    <x v="1"/>
    <x v="2"/>
    <n v="2"/>
    <n v="33049.65"/>
    <n v="66099.3"/>
    <s v="Pooja Patel"/>
    <n v="55"/>
    <x v="1"/>
    <x v="0"/>
    <n v="5"/>
    <x v="0"/>
    <x v="6"/>
  </r>
  <r>
    <n v="504"/>
    <x v="141"/>
    <n v="27"/>
    <n v="2"/>
    <x v="1"/>
    <x v="1"/>
    <x v="4"/>
    <x v="1"/>
    <x v="1"/>
    <n v="3"/>
    <n v="60156.13"/>
    <n v="180468.38999999998"/>
    <s v="Meena Joshi"/>
    <n v="31"/>
    <x v="1"/>
    <x v="2"/>
    <n v="2"/>
    <x v="2"/>
    <x v="1"/>
  </r>
  <r>
    <n v="505"/>
    <x v="142"/>
    <n v="28"/>
    <n v="2"/>
    <x v="1"/>
    <x v="1"/>
    <x v="4"/>
    <x v="2"/>
    <x v="3"/>
    <n v="3"/>
    <n v="18917.990000000002"/>
    <n v="56753.97"/>
    <s v="Namita Gupta"/>
    <n v="31"/>
    <x v="14"/>
    <x v="1"/>
    <n v="4"/>
    <x v="0"/>
    <x v="8"/>
  </r>
  <r>
    <n v="506"/>
    <x v="142"/>
    <n v="28"/>
    <n v="2"/>
    <x v="1"/>
    <x v="1"/>
    <x v="4"/>
    <x v="2"/>
    <x v="1"/>
    <n v="1"/>
    <n v="37369.519999999997"/>
    <n v="37369.519999999997"/>
    <s v="Harish Malhotra"/>
    <n v="28"/>
    <x v="4"/>
    <x v="0"/>
    <n v="4"/>
    <x v="0"/>
    <x v="2"/>
  </r>
  <r>
    <n v="507"/>
    <x v="142"/>
    <n v="28"/>
    <n v="2"/>
    <x v="1"/>
    <x v="1"/>
    <x v="4"/>
    <x v="2"/>
    <x v="4"/>
    <n v="6"/>
    <n v="39541.46"/>
    <n v="237248.76"/>
    <s v="Pankaj Patel"/>
    <n v="26"/>
    <x v="16"/>
    <x v="0"/>
    <n v="5"/>
    <x v="0"/>
    <x v="14"/>
  </r>
  <r>
    <n v="508"/>
    <x v="142"/>
    <n v="28"/>
    <n v="2"/>
    <x v="1"/>
    <x v="1"/>
    <x v="4"/>
    <x v="2"/>
    <x v="2"/>
    <n v="2"/>
    <n v="12197.78"/>
    <n v="24395.56"/>
    <s v="Aditya Iyer"/>
    <n v="55"/>
    <x v="0"/>
    <x v="2"/>
    <n v="3"/>
    <x v="1"/>
    <x v="6"/>
  </r>
  <r>
    <n v="509"/>
    <x v="143"/>
    <n v="1"/>
    <n v="3"/>
    <x v="1"/>
    <x v="1"/>
    <x v="5"/>
    <x v="3"/>
    <x v="1"/>
    <n v="1"/>
    <n v="21744.76"/>
    <n v="21744.76"/>
    <s v="Ramesh Joshi"/>
    <n v="23"/>
    <x v="1"/>
    <x v="2"/>
    <n v="3"/>
    <x v="1"/>
    <x v="9"/>
  </r>
  <r>
    <n v="510"/>
    <x v="143"/>
    <n v="1"/>
    <n v="3"/>
    <x v="1"/>
    <x v="1"/>
    <x v="5"/>
    <x v="3"/>
    <x v="0"/>
    <n v="2"/>
    <n v="59604.55"/>
    <n v="119209.1"/>
    <s v="Sachin Rao"/>
    <n v="18"/>
    <x v="1"/>
    <x v="1"/>
    <n v="4"/>
    <x v="0"/>
    <x v="3"/>
  </r>
  <r>
    <n v="511"/>
    <x v="143"/>
    <n v="1"/>
    <n v="3"/>
    <x v="1"/>
    <x v="1"/>
    <x v="5"/>
    <x v="3"/>
    <x v="4"/>
    <n v="6"/>
    <n v="59846.04"/>
    <n v="359076.24"/>
    <s v="Pankaj Jain"/>
    <n v="42"/>
    <x v="1"/>
    <x v="1"/>
    <n v="3"/>
    <x v="1"/>
    <x v="7"/>
  </r>
  <r>
    <n v="512"/>
    <x v="143"/>
    <n v="1"/>
    <n v="3"/>
    <x v="1"/>
    <x v="1"/>
    <x v="5"/>
    <x v="3"/>
    <x v="4"/>
    <n v="4"/>
    <n v="27544.91"/>
    <n v="110179.64"/>
    <s v="Monika Singh"/>
    <n v="33"/>
    <x v="1"/>
    <x v="2"/>
    <n v="3"/>
    <x v="1"/>
    <x v="14"/>
  </r>
  <r>
    <n v="513"/>
    <x v="144"/>
    <n v="2"/>
    <n v="3"/>
    <x v="1"/>
    <x v="1"/>
    <x v="5"/>
    <x v="4"/>
    <x v="1"/>
    <n v="6"/>
    <n v="62493.83"/>
    <n v="374962.98"/>
    <s v="Deepika Kulkarni"/>
    <n v="32"/>
    <x v="2"/>
    <x v="1"/>
    <n v="5"/>
    <x v="0"/>
    <x v="9"/>
  </r>
  <r>
    <n v="514"/>
    <x v="144"/>
    <n v="2"/>
    <n v="3"/>
    <x v="1"/>
    <x v="1"/>
    <x v="5"/>
    <x v="4"/>
    <x v="1"/>
    <n v="9"/>
    <n v="56306.98"/>
    <n v="506762.82"/>
    <s v="Vinod Kumar"/>
    <n v="51"/>
    <x v="3"/>
    <x v="3"/>
    <n v="2"/>
    <x v="2"/>
    <x v="2"/>
  </r>
  <r>
    <n v="515"/>
    <x v="144"/>
    <n v="2"/>
    <n v="3"/>
    <x v="1"/>
    <x v="1"/>
    <x v="5"/>
    <x v="4"/>
    <x v="2"/>
    <n v="8"/>
    <n v="35074.449999999997"/>
    <n v="280595.59999999998"/>
    <s v="Neeta Kumar"/>
    <n v="34"/>
    <x v="1"/>
    <x v="3"/>
    <n v="2"/>
    <x v="2"/>
    <x v="4"/>
  </r>
  <r>
    <n v="516"/>
    <x v="144"/>
    <n v="2"/>
    <n v="3"/>
    <x v="1"/>
    <x v="1"/>
    <x v="5"/>
    <x v="4"/>
    <x v="3"/>
    <n v="1"/>
    <n v="54904.38"/>
    <n v="54904.38"/>
    <s v="Vinod Kulkarni"/>
    <n v="20"/>
    <x v="15"/>
    <x v="2"/>
    <n v="3"/>
    <x v="1"/>
    <x v="12"/>
  </r>
  <r>
    <n v="517"/>
    <x v="145"/>
    <n v="3"/>
    <n v="3"/>
    <x v="1"/>
    <x v="1"/>
    <x v="5"/>
    <x v="5"/>
    <x v="1"/>
    <n v="8"/>
    <n v="67680.08"/>
    <n v="541440.64"/>
    <s v="Vinod Nair"/>
    <n v="20"/>
    <x v="1"/>
    <x v="0"/>
    <n v="5"/>
    <x v="0"/>
    <x v="9"/>
  </r>
  <r>
    <n v="518"/>
    <x v="145"/>
    <n v="3"/>
    <n v="3"/>
    <x v="1"/>
    <x v="1"/>
    <x v="5"/>
    <x v="5"/>
    <x v="1"/>
    <n v="9"/>
    <n v="37538.18"/>
    <n v="337843.62"/>
    <s v="Vinod Solanki"/>
    <n v="54"/>
    <x v="1"/>
    <x v="2"/>
    <n v="5"/>
    <x v="0"/>
    <x v="9"/>
  </r>
  <r>
    <n v="519"/>
    <x v="145"/>
    <n v="3"/>
    <n v="3"/>
    <x v="1"/>
    <x v="1"/>
    <x v="5"/>
    <x v="5"/>
    <x v="0"/>
    <n v="6"/>
    <n v="24305.63"/>
    <n v="145833.78"/>
    <s v="Sachin Sheth"/>
    <n v="34"/>
    <x v="1"/>
    <x v="2"/>
    <n v="3"/>
    <x v="1"/>
    <x v="0"/>
  </r>
  <r>
    <n v="520"/>
    <x v="146"/>
    <n v="4"/>
    <n v="3"/>
    <x v="1"/>
    <x v="1"/>
    <x v="5"/>
    <x v="6"/>
    <x v="4"/>
    <n v="5"/>
    <n v="66508.990000000005"/>
    <n v="332544.95"/>
    <s v="Prashant Srivastava"/>
    <n v="55"/>
    <x v="0"/>
    <x v="2"/>
    <n v="5"/>
    <x v="0"/>
    <x v="14"/>
  </r>
  <r>
    <n v="521"/>
    <x v="146"/>
    <n v="4"/>
    <n v="3"/>
    <x v="1"/>
    <x v="1"/>
    <x v="5"/>
    <x v="6"/>
    <x v="3"/>
    <n v="6"/>
    <n v="46224.66"/>
    <n v="277347.96000000002"/>
    <s v="Neeta Nair"/>
    <n v="18"/>
    <x v="5"/>
    <x v="0"/>
    <n v="5"/>
    <x v="0"/>
    <x v="12"/>
  </r>
  <r>
    <n v="522"/>
    <x v="146"/>
    <n v="4"/>
    <n v="3"/>
    <x v="1"/>
    <x v="1"/>
    <x v="5"/>
    <x v="6"/>
    <x v="0"/>
    <n v="6"/>
    <n v="16315.91"/>
    <n v="97895.459999999992"/>
    <s v="Lalita Kaur"/>
    <n v="24"/>
    <x v="5"/>
    <x v="3"/>
    <n v="5"/>
    <x v="0"/>
    <x v="0"/>
  </r>
  <r>
    <n v="523"/>
    <x v="147"/>
    <n v="5"/>
    <n v="3"/>
    <x v="1"/>
    <x v="1"/>
    <x v="5"/>
    <x v="0"/>
    <x v="2"/>
    <n v="9"/>
    <n v="44360.97"/>
    <n v="399248.73"/>
    <s v="Isha Menon"/>
    <n v="43"/>
    <x v="1"/>
    <x v="1"/>
    <n v="2"/>
    <x v="2"/>
    <x v="13"/>
  </r>
  <r>
    <n v="524"/>
    <x v="147"/>
    <n v="5"/>
    <n v="3"/>
    <x v="1"/>
    <x v="1"/>
    <x v="5"/>
    <x v="0"/>
    <x v="2"/>
    <n v="4"/>
    <n v="40034.85"/>
    <n v="160139.4"/>
    <s v="Neeta Pillai"/>
    <n v="56"/>
    <x v="11"/>
    <x v="3"/>
    <n v="4"/>
    <x v="0"/>
    <x v="13"/>
  </r>
  <r>
    <n v="525"/>
    <x v="147"/>
    <n v="5"/>
    <n v="3"/>
    <x v="1"/>
    <x v="1"/>
    <x v="5"/>
    <x v="0"/>
    <x v="1"/>
    <n v="2"/>
    <n v="61335.33"/>
    <n v="122670.66"/>
    <s v="Vivek Siddiqui"/>
    <n v="36"/>
    <x v="16"/>
    <x v="1"/>
    <n v="5"/>
    <x v="0"/>
    <x v="2"/>
  </r>
  <r>
    <n v="526"/>
    <x v="148"/>
    <n v="6"/>
    <n v="3"/>
    <x v="1"/>
    <x v="1"/>
    <x v="5"/>
    <x v="1"/>
    <x v="1"/>
    <n v="9"/>
    <n v="41841.71"/>
    <n v="376575.39"/>
    <s v="Anand Mishra"/>
    <n v="47"/>
    <x v="1"/>
    <x v="1"/>
    <n v="4"/>
    <x v="0"/>
    <x v="9"/>
  </r>
  <r>
    <n v="527"/>
    <x v="148"/>
    <n v="6"/>
    <n v="3"/>
    <x v="1"/>
    <x v="1"/>
    <x v="5"/>
    <x v="1"/>
    <x v="2"/>
    <n v="2"/>
    <n v="25313.95"/>
    <n v="50627.9"/>
    <s v="Namita Sheth"/>
    <n v="31"/>
    <x v="14"/>
    <x v="2"/>
    <n v="4"/>
    <x v="0"/>
    <x v="4"/>
  </r>
  <r>
    <n v="528"/>
    <x v="148"/>
    <n v="6"/>
    <n v="3"/>
    <x v="1"/>
    <x v="1"/>
    <x v="5"/>
    <x v="1"/>
    <x v="1"/>
    <n v="9"/>
    <n v="50538.64"/>
    <n v="454847.76"/>
    <s v="Rohan Menon"/>
    <n v="30"/>
    <x v="2"/>
    <x v="2"/>
    <n v="5"/>
    <x v="0"/>
    <x v="2"/>
  </r>
  <r>
    <n v="529"/>
    <x v="149"/>
    <n v="7"/>
    <n v="3"/>
    <x v="1"/>
    <x v="1"/>
    <x v="5"/>
    <x v="2"/>
    <x v="3"/>
    <n v="2"/>
    <n v="42554.53"/>
    <n v="85109.06"/>
    <s v="Vivek Patel"/>
    <n v="37"/>
    <x v="2"/>
    <x v="1"/>
    <n v="2"/>
    <x v="2"/>
    <x v="12"/>
  </r>
  <r>
    <n v="530"/>
    <x v="149"/>
    <n v="7"/>
    <n v="3"/>
    <x v="1"/>
    <x v="1"/>
    <x v="5"/>
    <x v="2"/>
    <x v="1"/>
    <n v="8"/>
    <n v="23982.68"/>
    <n v="191861.44"/>
    <s v="Bhavana Varma"/>
    <n v="43"/>
    <x v="10"/>
    <x v="0"/>
    <n v="5"/>
    <x v="0"/>
    <x v="2"/>
  </r>
  <r>
    <n v="531"/>
    <x v="149"/>
    <n v="7"/>
    <n v="3"/>
    <x v="1"/>
    <x v="1"/>
    <x v="5"/>
    <x v="2"/>
    <x v="4"/>
    <n v="9"/>
    <n v="44417.67"/>
    <n v="399759.02999999997"/>
    <s v="Vinod Dutta"/>
    <n v="44"/>
    <x v="1"/>
    <x v="0"/>
    <n v="5"/>
    <x v="0"/>
    <x v="14"/>
  </r>
  <r>
    <n v="532"/>
    <x v="149"/>
    <n v="7"/>
    <n v="3"/>
    <x v="1"/>
    <x v="1"/>
    <x v="5"/>
    <x v="2"/>
    <x v="1"/>
    <n v="9"/>
    <n v="59292.13"/>
    <n v="533629.16999999993"/>
    <s v="Rohan Menon"/>
    <n v="42"/>
    <x v="16"/>
    <x v="0"/>
    <n v="2"/>
    <x v="2"/>
    <x v="9"/>
  </r>
  <r>
    <n v="533"/>
    <x v="150"/>
    <n v="8"/>
    <n v="3"/>
    <x v="1"/>
    <x v="1"/>
    <x v="5"/>
    <x v="3"/>
    <x v="0"/>
    <n v="9"/>
    <n v="11714.26"/>
    <n v="105428.34"/>
    <s v="Deepika Sharma"/>
    <n v="26"/>
    <x v="2"/>
    <x v="0"/>
    <n v="3"/>
    <x v="1"/>
    <x v="0"/>
  </r>
  <r>
    <n v="534"/>
    <x v="150"/>
    <n v="8"/>
    <n v="3"/>
    <x v="1"/>
    <x v="1"/>
    <x v="5"/>
    <x v="3"/>
    <x v="3"/>
    <n v="2"/>
    <n v="47851.06"/>
    <n v="95702.12"/>
    <s v="Rajesh Yadav"/>
    <n v="58"/>
    <x v="12"/>
    <x v="2"/>
    <n v="2"/>
    <x v="2"/>
    <x v="5"/>
  </r>
  <r>
    <n v="535"/>
    <x v="150"/>
    <n v="8"/>
    <n v="3"/>
    <x v="1"/>
    <x v="1"/>
    <x v="5"/>
    <x v="3"/>
    <x v="0"/>
    <n v="4"/>
    <n v="30975.11"/>
    <n v="123900.44"/>
    <s v="Arun Ghosh"/>
    <n v="29"/>
    <x v="15"/>
    <x v="3"/>
    <n v="5"/>
    <x v="0"/>
    <x v="0"/>
  </r>
  <r>
    <n v="536"/>
    <x v="151"/>
    <n v="9"/>
    <n v="3"/>
    <x v="1"/>
    <x v="1"/>
    <x v="5"/>
    <x v="4"/>
    <x v="0"/>
    <n v="7"/>
    <n v="27560.29"/>
    <n v="192922.03"/>
    <s v="Anita Patel"/>
    <n v="27"/>
    <x v="1"/>
    <x v="3"/>
    <n v="5"/>
    <x v="0"/>
    <x v="3"/>
  </r>
  <r>
    <n v="537"/>
    <x v="151"/>
    <n v="9"/>
    <n v="3"/>
    <x v="1"/>
    <x v="1"/>
    <x v="5"/>
    <x v="4"/>
    <x v="4"/>
    <n v="2"/>
    <n v="33555.269999999997"/>
    <n v="67110.539999999994"/>
    <s v="Kunal Patel"/>
    <n v="23"/>
    <x v="10"/>
    <x v="1"/>
    <n v="4"/>
    <x v="0"/>
    <x v="14"/>
  </r>
  <r>
    <n v="538"/>
    <x v="151"/>
    <n v="9"/>
    <n v="3"/>
    <x v="1"/>
    <x v="1"/>
    <x v="5"/>
    <x v="4"/>
    <x v="3"/>
    <n v="1"/>
    <n v="30521.360000000001"/>
    <n v="30521.360000000001"/>
    <s v="Ravi Kulkarni"/>
    <n v="51"/>
    <x v="13"/>
    <x v="0"/>
    <n v="3"/>
    <x v="1"/>
    <x v="8"/>
  </r>
  <r>
    <n v="539"/>
    <x v="152"/>
    <n v="10"/>
    <n v="3"/>
    <x v="1"/>
    <x v="1"/>
    <x v="5"/>
    <x v="5"/>
    <x v="3"/>
    <n v="3"/>
    <n v="59934.35"/>
    <n v="179803.05"/>
    <s v="Neeta Mishra"/>
    <n v="58"/>
    <x v="14"/>
    <x v="2"/>
    <n v="2"/>
    <x v="2"/>
    <x v="5"/>
  </r>
  <r>
    <n v="540"/>
    <x v="152"/>
    <n v="10"/>
    <n v="3"/>
    <x v="1"/>
    <x v="1"/>
    <x v="5"/>
    <x v="5"/>
    <x v="3"/>
    <n v="4"/>
    <n v="26487.87"/>
    <n v="105951.48"/>
    <s v="Kiran Solanki"/>
    <n v="36"/>
    <x v="9"/>
    <x v="2"/>
    <n v="3"/>
    <x v="1"/>
    <x v="8"/>
  </r>
  <r>
    <n v="541"/>
    <x v="152"/>
    <n v="10"/>
    <n v="3"/>
    <x v="1"/>
    <x v="1"/>
    <x v="5"/>
    <x v="5"/>
    <x v="3"/>
    <n v="8"/>
    <n v="53989.18"/>
    <n v="431913.44"/>
    <s v="Radha Sharma"/>
    <n v="23"/>
    <x v="1"/>
    <x v="2"/>
    <n v="4"/>
    <x v="0"/>
    <x v="5"/>
  </r>
  <r>
    <n v="542"/>
    <x v="153"/>
    <n v="11"/>
    <n v="3"/>
    <x v="1"/>
    <x v="1"/>
    <x v="5"/>
    <x v="6"/>
    <x v="3"/>
    <n v="6"/>
    <n v="15643.59"/>
    <n v="93861.540000000008"/>
    <s v="Nikhil Chaudhary"/>
    <n v="19"/>
    <x v="4"/>
    <x v="1"/>
    <n v="3"/>
    <x v="1"/>
    <x v="8"/>
  </r>
  <r>
    <n v="543"/>
    <x v="153"/>
    <n v="11"/>
    <n v="3"/>
    <x v="1"/>
    <x v="1"/>
    <x v="5"/>
    <x v="6"/>
    <x v="4"/>
    <n v="2"/>
    <n v="67083.78"/>
    <n v="134167.56"/>
    <s v="Harish Mishra"/>
    <n v="32"/>
    <x v="6"/>
    <x v="2"/>
    <n v="3"/>
    <x v="1"/>
    <x v="11"/>
  </r>
  <r>
    <n v="544"/>
    <x v="153"/>
    <n v="11"/>
    <n v="3"/>
    <x v="1"/>
    <x v="1"/>
    <x v="5"/>
    <x v="6"/>
    <x v="1"/>
    <n v="9"/>
    <n v="47339"/>
    <n v="426051"/>
    <s v="Sanjay Menon"/>
    <n v="34"/>
    <x v="10"/>
    <x v="1"/>
    <n v="2"/>
    <x v="2"/>
    <x v="2"/>
  </r>
  <r>
    <n v="545"/>
    <x v="154"/>
    <n v="12"/>
    <n v="3"/>
    <x v="1"/>
    <x v="1"/>
    <x v="5"/>
    <x v="0"/>
    <x v="0"/>
    <n v="2"/>
    <n v="52403.11"/>
    <n v="104806.22"/>
    <s v="Sunil Rao"/>
    <n v="33"/>
    <x v="10"/>
    <x v="1"/>
    <n v="3"/>
    <x v="1"/>
    <x v="10"/>
  </r>
  <r>
    <n v="546"/>
    <x v="154"/>
    <n v="12"/>
    <n v="3"/>
    <x v="1"/>
    <x v="1"/>
    <x v="5"/>
    <x v="0"/>
    <x v="3"/>
    <n v="5"/>
    <n v="27882.36"/>
    <n v="139411.79999999999"/>
    <s v="Kiran Solanki"/>
    <n v="45"/>
    <x v="1"/>
    <x v="1"/>
    <n v="4"/>
    <x v="0"/>
    <x v="12"/>
  </r>
  <r>
    <n v="547"/>
    <x v="154"/>
    <n v="12"/>
    <n v="3"/>
    <x v="1"/>
    <x v="1"/>
    <x v="5"/>
    <x v="0"/>
    <x v="1"/>
    <n v="4"/>
    <n v="34725.79"/>
    <n v="138903.16"/>
    <s v="Deepika Das"/>
    <n v="38"/>
    <x v="17"/>
    <x v="1"/>
    <n v="5"/>
    <x v="0"/>
    <x v="1"/>
  </r>
  <r>
    <n v="548"/>
    <x v="155"/>
    <n v="13"/>
    <n v="3"/>
    <x v="1"/>
    <x v="1"/>
    <x v="5"/>
    <x v="1"/>
    <x v="1"/>
    <n v="7"/>
    <n v="23426.7"/>
    <n v="163986.9"/>
    <s v="Kiran Singh"/>
    <n v="25"/>
    <x v="2"/>
    <x v="2"/>
    <n v="5"/>
    <x v="0"/>
    <x v="1"/>
  </r>
  <r>
    <n v="549"/>
    <x v="155"/>
    <n v="13"/>
    <n v="3"/>
    <x v="1"/>
    <x v="1"/>
    <x v="5"/>
    <x v="1"/>
    <x v="0"/>
    <n v="8"/>
    <n v="65952.17"/>
    <n v="527617.36"/>
    <s v="Ramesh Kumar"/>
    <n v="27"/>
    <x v="5"/>
    <x v="2"/>
    <n v="5"/>
    <x v="0"/>
    <x v="3"/>
  </r>
  <r>
    <n v="550"/>
    <x v="155"/>
    <n v="13"/>
    <n v="3"/>
    <x v="1"/>
    <x v="1"/>
    <x v="5"/>
    <x v="1"/>
    <x v="4"/>
    <n v="5"/>
    <n v="39286.269999999997"/>
    <n v="196431.34999999998"/>
    <s v="Bhavana Mehta"/>
    <n v="27"/>
    <x v="11"/>
    <x v="3"/>
    <n v="5"/>
    <x v="0"/>
    <x v="14"/>
  </r>
  <r>
    <n v="551"/>
    <x v="155"/>
    <n v="13"/>
    <n v="3"/>
    <x v="1"/>
    <x v="1"/>
    <x v="5"/>
    <x v="1"/>
    <x v="2"/>
    <n v="5"/>
    <n v="47826.89"/>
    <n v="239134.45"/>
    <s v="Rohan Pathak"/>
    <n v="27"/>
    <x v="17"/>
    <x v="2"/>
    <n v="2"/>
    <x v="2"/>
    <x v="6"/>
  </r>
  <r>
    <n v="552"/>
    <x v="156"/>
    <n v="14"/>
    <n v="3"/>
    <x v="1"/>
    <x v="1"/>
    <x v="5"/>
    <x v="2"/>
    <x v="2"/>
    <n v="2"/>
    <n v="54056.32"/>
    <n v="108112.64"/>
    <s v="Yogesh Patel"/>
    <n v="26"/>
    <x v="16"/>
    <x v="0"/>
    <n v="5"/>
    <x v="0"/>
    <x v="4"/>
  </r>
  <r>
    <n v="553"/>
    <x v="156"/>
    <n v="14"/>
    <n v="3"/>
    <x v="1"/>
    <x v="1"/>
    <x v="5"/>
    <x v="2"/>
    <x v="1"/>
    <n v="8"/>
    <n v="32266.37"/>
    <n v="258130.96"/>
    <s v="Bhavana Bhatnagar"/>
    <n v="45"/>
    <x v="6"/>
    <x v="0"/>
    <n v="5"/>
    <x v="0"/>
    <x v="1"/>
  </r>
  <r>
    <n v="554"/>
    <x v="156"/>
    <n v="14"/>
    <n v="3"/>
    <x v="1"/>
    <x v="1"/>
    <x v="5"/>
    <x v="2"/>
    <x v="0"/>
    <n v="2"/>
    <n v="53206.1"/>
    <n v="106412.2"/>
    <s v="Meena Verma"/>
    <n v="41"/>
    <x v="12"/>
    <x v="1"/>
    <n v="5"/>
    <x v="0"/>
    <x v="3"/>
  </r>
  <r>
    <n v="555"/>
    <x v="157"/>
    <n v="15"/>
    <n v="3"/>
    <x v="1"/>
    <x v="1"/>
    <x v="5"/>
    <x v="3"/>
    <x v="2"/>
    <n v="6"/>
    <n v="50559.55"/>
    <n v="303357.30000000005"/>
    <s v="Priyanka Chatterjee"/>
    <n v="36"/>
    <x v="2"/>
    <x v="1"/>
    <n v="5"/>
    <x v="0"/>
    <x v="13"/>
  </r>
  <r>
    <n v="556"/>
    <x v="157"/>
    <n v="15"/>
    <n v="3"/>
    <x v="1"/>
    <x v="1"/>
    <x v="5"/>
    <x v="3"/>
    <x v="1"/>
    <n v="8"/>
    <n v="52339.56"/>
    <n v="418716.48"/>
    <s v="Shruti Thakur"/>
    <n v="50"/>
    <x v="2"/>
    <x v="1"/>
    <n v="2"/>
    <x v="2"/>
    <x v="2"/>
  </r>
  <r>
    <n v="557"/>
    <x v="157"/>
    <n v="15"/>
    <n v="3"/>
    <x v="1"/>
    <x v="1"/>
    <x v="5"/>
    <x v="3"/>
    <x v="4"/>
    <n v="6"/>
    <n v="39353.79"/>
    <n v="236122.74"/>
    <s v="Vijay Malhotra"/>
    <n v="21"/>
    <x v="15"/>
    <x v="3"/>
    <n v="5"/>
    <x v="0"/>
    <x v="14"/>
  </r>
  <r>
    <n v="558"/>
    <x v="157"/>
    <n v="15"/>
    <n v="3"/>
    <x v="1"/>
    <x v="1"/>
    <x v="5"/>
    <x v="3"/>
    <x v="2"/>
    <n v="4"/>
    <n v="32976.239999999998"/>
    <n v="131904.95999999999"/>
    <s v="Jyoti Alva"/>
    <n v="20"/>
    <x v="2"/>
    <x v="1"/>
    <n v="2"/>
    <x v="2"/>
    <x v="13"/>
  </r>
  <r>
    <n v="559"/>
    <x v="158"/>
    <n v="16"/>
    <n v="3"/>
    <x v="1"/>
    <x v="1"/>
    <x v="5"/>
    <x v="4"/>
    <x v="1"/>
    <n v="4"/>
    <n v="23324.93"/>
    <n v="93299.72"/>
    <s v="Monika Chatterjee"/>
    <n v="59"/>
    <x v="9"/>
    <x v="3"/>
    <n v="2"/>
    <x v="2"/>
    <x v="9"/>
  </r>
  <r>
    <n v="560"/>
    <x v="158"/>
    <n v="16"/>
    <n v="3"/>
    <x v="1"/>
    <x v="1"/>
    <x v="5"/>
    <x v="4"/>
    <x v="1"/>
    <n v="6"/>
    <n v="59477.58"/>
    <n v="356865.48"/>
    <s v="Ayesha Sheth"/>
    <n v="29"/>
    <x v="12"/>
    <x v="1"/>
    <n v="4"/>
    <x v="0"/>
    <x v="2"/>
  </r>
  <r>
    <n v="561"/>
    <x v="158"/>
    <n v="16"/>
    <n v="3"/>
    <x v="1"/>
    <x v="1"/>
    <x v="5"/>
    <x v="4"/>
    <x v="3"/>
    <n v="4"/>
    <n v="46501"/>
    <n v="186004"/>
    <s v="Vivek Rawat"/>
    <n v="35"/>
    <x v="10"/>
    <x v="0"/>
    <n v="5"/>
    <x v="0"/>
    <x v="12"/>
  </r>
  <r>
    <n v="562"/>
    <x v="159"/>
    <n v="17"/>
    <n v="3"/>
    <x v="1"/>
    <x v="1"/>
    <x v="5"/>
    <x v="5"/>
    <x v="4"/>
    <n v="8"/>
    <n v="36661.129999999997"/>
    <n v="293289.03999999998"/>
    <s v="Sneha Mishra"/>
    <n v="40"/>
    <x v="11"/>
    <x v="1"/>
    <n v="5"/>
    <x v="0"/>
    <x v="14"/>
  </r>
  <r>
    <n v="563"/>
    <x v="159"/>
    <n v="17"/>
    <n v="3"/>
    <x v="1"/>
    <x v="1"/>
    <x v="5"/>
    <x v="5"/>
    <x v="3"/>
    <n v="9"/>
    <n v="66639.75"/>
    <n v="599757.75"/>
    <s v="Bhavana Bhatnagar"/>
    <n v="37"/>
    <x v="9"/>
    <x v="2"/>
    <n v="3"/>
    <x v="1"/>
    <x v="8"/>
  </r>
  <r>
    <n v="564"/>
    <x v="159"/>
    <n v="17"/>
    <n v="3"/>
    <x v="1"/>
    <x v="1"/>
    <x v="5"/>
    <x v="5"/>
    <x v="0"/>
    <n v="1"/>
    <n v="12870.33"/>
    <n v="12870.33"/>
    <s v="Pankaj Patel"/>
    <n v="23"/>
    <x v="6"/>
    <x v="1"/>
    <n v="5"/>
    <x v="0"/>
    <x v="3"/>
  </r>
  <r>
    <n v="565"/>
    <x v="159"/>
    <n v="17"/>
    <n v="3"/>
    <x v="1"/>
    <x v="1"/>
    <x v="5"/>
    <x v="5"/>
    <x v="3"/>
    <n v="4"/>
    <n v="61010.32"/>
    <n v="244041.28"/>
    <s v="Shruti Dutta"/>
    <n v="51"/>
    <x v="1"/>
    <x v="2"/>
    <n v="4"/>
    <x v="0"/>
    <x v="5"/>
  </r>
  <r>
    <n v="566"/>
    <x v="160"/>
    <n v="18"/>
    <n v="3"/>
    <x v="1"/>
    <x v="1"/>
    <x v="5"/>
    <x v="6"/>
    <x v="3"/>
    <n v="4"/>
    <n v="69854.960000000006"/>
    <n v="279419.84000000003"/>
    <s v="Mala Siddiqui"/>
    <n v="59"/>
    <x v="14"/>
    <x v="2"/>
    <n v="5"/>
    <x v="0"/>
    <x v="8"/>
  </r>
  <r>
    <n v="567"/>
    <x v="160"/>
    <n v="18"/>
    <n v="3"/>
    <x v="1"/>
    <x v="1"/>
    <x v="5"/>
    <x v="6"/>
    <x v="2"/>
    <n v="2"/>
    <n v="63216.53"/>
    <n v="126433.06"/>
    <s v="Nikhil Reddy"/>
    <n v="19"/>
    <x v="3"/>
    <x v="2"/>
    <n v="3"/>
    <x v="1"/>
    <x v="4"/>
  </r>
  <r>
    <n v="568"/>
    <x v="160"/>
    <n v="18"/>
    <n v="3"/>
    <x v="1"/>
    <x v="1"/>
    <x v="5"/>
    <x v="6"/>
    <x v="1"/>
    <n v="6"/>
    <n v="58626.2"/>
    <n v="351757.19999999995"/>
    <s v="Mala Siddiqui"/>
    <n v="47"/>
    <x v="16"/>
    <x v="2"/>
    <n v="4"/>
    <x v="0"/>
    <x v="2"/>
  </r>
  <r>
    <n v="569"/>
    <x v="161"/>
    <n v="19"/>
    <n v="3"/>
    <x v="1"/>
    <x v="1"/>
    <x v="5"/>
    <x v="0"/>
    <x v="4"/>
    <n v="3"/>
    <n v="32458.36"/>
    <n v="97375.08"/>
    <s v="Kiran Malhotra"/>
    <n v="26"/>
    <x v="1"/>
    <x v="3"/>
    <n v="2"/>
    <x v="2"/>
    <x v="11"/>
  </r>
  <r>
    <n v="570"/>
    <x v="161"/>
    <n v="19"/>
    <n v="3"/>
    <x v="1"/>
    <x v="1"/>
    <x v="5"/>
    <x v="0"/>
    <x v="3"/>
    <n v="7"/>
    <n v="23878.85"/>
    <n v="167151.94999999998"/>
    <s v="Pankaj Kapoor"/>
    <n v="44"/>
    <x v="1"/>
    <x v="3"/>
    <n v="5"/>
    <x v="0"/>
    <x v="12"/>
  </r>
  <r>
    <n v="571"/>
    <x v="161"/>
    <n v="19"/>
    <n v="3"/>
    <x v="1"/>
    <x v="1"/>
    <x v="5"/>
    <x v="0"/>
    <x v="4"/>
    <n v="5"/>
    <n v="54091.03"/>
    <n v="270455.15000000002"/>
    <s v="Vivek Ghosh"/>
    <n v="59"/>
    <x v="1"/>
    <x v="1"/>
    <n v="5"/>
    <x v="0"/>
    <x v="11"/>
  </r>
  <r>
    <n v="572"/>
    <x v="162"/>
    <n v="20"/>
    <n v="3"/>
    <x v="1"/>
    <x v="1"/>
    <x v="5"/>
    <x v="1"/>
    <x v="3"/>
    <n v="4"/>
    <n v="28274.52"/>
    <n v="113098.08"/>
    <s v="Gita Teja"/>
    <n v="51"/>
    <x v="2"/>
    <x v="1"/>
    <n v="4"/>
    <x v="0"/>
    <x v="12"/>
  </r>
  <r>
    <n v="573"/>
    <x v="162"/>
    <n v="20"/>
    <n v="3"/>
    <x v="1"/>
    <x v="1"/>
    <x v="5"/>
    <x v="1"/>
    <x v="0"/>
    <n v="5"/>
    <n v="20562.38"/>
    <n v="102811.90000000001"/>
    <s v="Mala Goyal"/>
    <n v="57"/>
    <x v="14"/>
    <x v="3"/>
    <n v="3"/>
    <x v="1"/>
    <x v="0"/>
  </r>
  <r>
    <n v="574"/>
    <x v="162"/>
    <n v="20"/>
    <n v="3"/>
    <x v="1"/>
    <x v="1"/>
    <x v="5"/>
    <x v="1"/>
    <x v="3"/>
    <n v="8"/>
    <n v="57191.55"/>
    <n v="457532.4"/>
    <s v="Priya Mehta"/>
    <n v="41"/>
    <x v="17"/>
    <x v="1"/>
    <n v="5"/>
    <x v="0"/>
    <x v="8"/>
  </r>
  <r>
    <n v="575"/>
    <x v="162"/>
    <n v="20"/>
    <n v="3"/>
    <x v="1"/>
    <x v="1"/>
    <x v="5"/>
    <x v="1"/>
    <x v="2"/>
    <n v="3"/>
    <n v="28752.62"/>
    <n v="86257.86"/>
    <s v="Kavita Dutta"/>
    <n v="34"/>
    <x v="1"/>
    <x v="1"/>
    <n v="2"/>
    <x v="2"/>
    <x v="6"/>
  </r>
  <r>
    <n v="576"/>
    <x v="163"/>
    <n v="21"/>
    <n v="3"/>
    <x v="1"/>
    <x v="1"/>
    <x v="5"/>
    <x v="2"/>
    <x v="1"/>
    <n v="7"/>
    <n v="64866.5"/>
    <n v="454065.5"/>
    <s v="Rohan Singh"/>
    <n v="46"/>
    <x v="4"/>
    <x v="3"/>
    <n v="5"/>
    <x v="0"/>
    <x v="9"/>
  </r>
  <r>
    <n v="577"/>
    <x v="163"/>
    <n v="21"/>
    <n v="3"/>
    <x v="1"/>
    <x v="1"/>
    <x v="5"/>
    <x v="2"/>
    <x v="0"/>
    <n v="6"/>
    <n v="60437.96"/>
    <n v="362627.76"/>
    <s v="Sneha Yadav"/>
    <n v="53"/>
    <x v="2"/>
    <x v="3"/>
    <n v="3"/>
    <x v="1"/>
    <x v="0"/>
  </r>
  <r>
    <n v="578"/>
    <x v="163"/>
    <n v="21"/>
    <n v="3"/>
    <x v="1"/>
    <x v="1"/>
    <x v="5"/>
    <x v="2"/>
    <x v="3"/>
    <n v="1"/>
    <n v="60858.42"/>
    <n v="60858.42"/>
    <s v="Yogesh Reddy"/>
    <n v="29"/>
    <x v="14"/>
    <x v="1"/>
    <n v="2"/>
    <x v="2"/>
    <x v="12"/>
  </r>
  <r>
    <n v="579"/>
    <x v="163"/>
    <n v="21"/>
    <n v="3"/>
    <x v="1"/>
    <x v="1"/>
    <x v="5"/>
    <x v="2"/>
    <x v="4"/>
    <n v="7"/>
    <n v="56294.18"/>
    <n v="394059.26"/>
    <s v="Sneha Mehta"/>
    <n v="48"/>
    <x v="4"/>
    <x v="3"/>
    <n v="3"/>
    <x v="1"/>
    <x v="7"/>
  </r>
  <r>
    <n v="580"/>
    <x v="164"/>
    <n v="22"/>
    <n v="3"/>
    <x v="1"/>
    <x v="1"/>
    <x v="5"/>
    <x v="3"/>
    <x v="0"/>
    <n v="7"/>
    <n v="62852.89"/>
    <n v="439970.23"/>
    <s v="Kavita Siddiqui"/>
    <n v="26"/>
    <x v="14"/>
    <x v="0"/>
    <n v="5"/>
    <x v="0"/>
    <x v="0"/>
  </r>
  <r>
    <n v="581"/>
    <x v="164"/>
    <n v="22"/>
    <n v="3"/>
    <x v="1"/>
    <x v="1"/>
    <x v="5"/>
    <x v="3"/>
    <x v="0"/>
    <n v="1"/>
    <n v="58344.81"/>
    <n v="58344.81"/>
    <s v="Rajesh Siddiqui"/>
    <n v="36"/>
    <x v="1"/>
    <x v="2"/>
    <n v="3"/>
    <x v="1"/>
    <x v="10"/>
  </r>
  <r>
    <n v="582"/>
    <x v="164"/>
    <n v="22"/>
    <n v="3"/>
    <x v="1"/>
    <x v="1"/>
    <x v="5"/>
    <x v="3"/>
    <x v="3"/>
    <n v="9"/>
    <n v="46150.68"/>
    <n v="415356.12"/>
    <s v="Nikhil Solanki"/>
    <n v="34"/>
    <x v="0"/>
    <x v="2"/>
    <n v="5"/>
    <x v="0"/>
    <x v="5"/>
  </r>
  <r>
    <n v="583"/>
    <x v="164"/>
    <n v="22"/>
    <n v="3"/>
    <x v="1"/>
    <x v="1"/>
    <x v="5"/>
    <x v="3"/>
    <x v="0"/>
    <n v="6"/>
    <n v="27749.360000000001"/>
    <n v="166496.16"/>
    <s v="Jyoti Mehta"/>
    <n v="19"/>
    <x v="8"/>
    <x v="0"/>
    <n v="5"/>
    <x v="0"/>
    <x v="10"/>
  </r>
  <r>
    <n v="584"/>
    <x v="165"/>
    <n v="23"/>
    <n v="3"/>
    <x v="1"/>
    <x v="1"/>
    <x v="5"/>
    <x v="4"/>
    <x v="4"/>
    <n v="2"/>
    <n v="63292.55"/>
    <n v="126585.1"/>
    <s v="Bhavana Srivastava"/>
    <n v="57"/>
    <x v="2"/>
    <x v="0"/>
    <n v="5"/>
    <x v="0"/>
    <x v="14"/>
  </r>
  <r>
    <n v="585"/>
    <x v="165"/>
    <n v="23"/>
    <n v="3"/>
    <x v="1"/>
    <x v="1"/>
    <x v="5"/>
    <x v="4"/>
    <x v="0"/>
    <n v="5"/>
    <n v="60436.22"/>
    <n v="302181.09999999998"/>
    <s v="Lata Kaur"/>
    <n v="22"/>
    <x v="1"/>
    <x v="1"/>
    <n v="4"/>
    <x v="0"/>
    <x v="0"/>
  </r>
  <r>
    <n v="586"/>
    <x v="165"/>
    <n v="23"/>
    <n v="3"/>
    <x v="1"/>
    <x v="1"/>
    <x v="5"/>
    <x v="4"/>
    <x v="4"/>
    <n v="4"/>
    <n v="38372.76"/>
    <n v="153491.04"/>
    <s v="Ramesh Dutta"/>
    <n v="56"/>
    <x v="1"/>
    <x v="1"/>
    <n v="5"/>
    <x v="0"/>
    <x v="11"/>
  </r>
  <r>
    <n v="587"/>
    <x v="166"/>
    <n v="24"/>
    <n v="3"/>
    <x v="1"/>
    <x v="1"/>
    <x v="5"/>
    <x v="5"/>
    <x v="3"/>
    <n v="7"/>
    <n v="12344.72"/>
    <n v="86413.04"/>
    <s v="Amit Sheth"/>
    <n v="33"/>
    <x v="2"/>
    <x v="2"/>
    <n v="5"/>
    <x v="0"/>
    <x v="5"/>
  </r>
  <r>
    <n v="588"/>
    <x v="166"/>
    <n v="24"/>
    <n v="3"/>
    <x v="1"/>
    <x v="1"/>
    <x v="5"/>
    <x v="5"/>
    <x v="1"/>
    <n v="8"/>
    <n v="48312.62"/>
    <n v="386500.96"/>
    <s v="Kavita Bhatnagar"/>
    <n v="34"/>
    <x v="5"/>
    <x v="1"/>
    <n v="5"/>
    <x v="0"/>
    <x v="9"/>
  </r>
  <r>
    <n v="589"/>
    <x v="166"/>
    <n v="24"/>
    <n v="3"/>
    <x v="1"/>
    <x v="1"/>
    <x v="5"/>
    <x v="5"/>
    <x v="0"/>
    <n v="1"/>
    <n v="13035.81"/>
    <n v="13035.81"/>
    <s v="Bina Goyal"/>
    <n v="44"/>
    <x v="3"/>
    <x v="2"/>
    <n v="3"/>
    <x v="1"/>
    <x v="10"/>
  </r>
  <r>
    <n v="590"/>
    <x v="166"/>
    <n v="24"/>
    <n v="3"/>
    <x v="1"/>
    <x v="1"/>
    <x v="5"/>
    <x v="5"/>
    <x v="1"/>
    <n v="5"/>
    <n v="65576.800000000003"/>
    <n v="327884"/>
    <s v="Manoj Mehta"/>
    <n v="24"/>
    <x v="4"/>
    <x v="1"/>
    <n v="3"/>
    <x v="1"/>
    <x v="1"/>
  </r>
  <r>
    <n v="591"/>
    <x v="167"/>
    <n v="25"/>
    <n v="3"/>
    <x v="1"/>
    <x v="1"/>
    <x v="5"/>
    <x v="6"/>
    <x v="4"/>
    <n v="3"/>
    <n v="67697.88"/>
    <n v="203093.64"/>
    <s v="Neeta Arora"/>
    <n v="25"/>
    <x v="2"/>
    <x v="1"/>
    <n v="5"/>
    <x v="0"/>
    <x v="11"/>
  </r>
  <r>
    <n v="592"/>
    <x v="167"/>
    <n v="25"/>
    <n v="3"/>
    <x v="1"/>
    <x v="1"/>
    <x v="5"/>
    <x v="6"/>
    <x v="0"/>
    <n v="1"/>
    <n v="21369.41"/>
    <n v="21369.41"/>
    <s v="Priya Varma"/>
    <n v="25"/>
    <x v="2"/>
    <x v="2"/>
    <n v="3"/>
    <x v="1"/>
    <x v="3"/>
  </r>
  <r>
    <n v="593"/>
    <x v="167"/>
    <n v="25"/>
    <n v="3"/>
    <x v="1"/>
    <x v="1"/>
    <x v="5"/>
    <x v="6"/>
    <x v="2"/>
    <n v="3"/>
    <n v="50583.360000000001"/>
    <n v="151750.08000000002"/>
    <s v="Jyoti Sheth"/>
    <n v="40"/>
    <x v="2"/>
    <x v="0"/>
    <n v="5"/>
    <x v="0"/>
    <x v="6"/>
  </r>
  <r>
    <n v="594"/>
    <x v="168"/>
    <n v="26"/>
    <n v="3"/>
    <x v="1"/>
    <x v="1"/>
    <x v="5"/>
    <x v="0"/>
    <x v="1"/>
    <n v="6"/>
    <n v="15536.14"/>
    <n v="93216.84"/>
    <s v="Shruti Iyer"/>
    <n v="49"/>
    <x v="4"/>
    <x v="0"/>
    <n v="5"/>
    <x v="0"/>
    <x v="2"/>
  </r>
  <r>
    <n v="595"/>
    <x v="168"/>
    <n v="26"/>
    <n v="3"/>
    <x v="1"/>
    <x v="1"/>
    <x v="5"/>
    <x v="0"/>
    <x v="0"/>
    <n v="7"/>
    <n v="53771.02"/>
    <n v="376397.13999999996"/>
    <s v="Amit Rathod"/>
    <n v="35"/>
    <x v="18"/>
    <x v="1"/>
    <n v="3"/>
    <x v="1"/>
    <x v="3"/>
  </r>
  <r>
    <n v="596"/>
    <x v="168"/>
    <n v="26"/>
    <n v="3"/>
    <x v="1"/>
    <x v="1"/>
    <x v="5"/>
    <x v="0"/>
    <x v="1"/>
    <n v="8"/>
    <n v="30837.26"/>
    <n v="246698.08"/>
    <s v="Vinod Joshi"/>
    <n v="55"/>
    <x v="7"/>
    <x v="0"/>
    <n v="3"/>
    <x v="1"/>
    <x v="2"/>
  </r>
  <r>
    <n v="597"/>
    <x v="169"/>
    <n v="27"/>
    <n v="3"/>
    <x v="1"/>
    <x v="1"/>
    <x v="5"/>
    <x v="1"/>
    <x v="0"/>
    <n v="4"/>
    <n v="50863.01"/>
    <n v="203452.04"/>
    <s v="Anjali Chatterjee"/>
    <n v="29"/>
    <x v="2"/>
    <x v="1"/>
    <n v="5"/>
    <x v="0"/>
    <x v="10"/>
  </r>
  <r>
    <n v="598"/>
    <x v="169"/>
    <n v="27"/>
    <n v="3"/>
    <x v="1"/>
    <x v="1"/>
    <x v="5"/>
    <x v="1"/>
    <x v="3"/>
    <n v="3"/>
    <n v="32372.59"/>
    <n v="97117.77"/>
    <s v="Devendra Mathur"/>
    <n v="32"/>
    <x v="13"/>
    <x v="3"/>
    <n v="5"/>
    <x v="0"/>
    <x v="12"/>
  </r>
  <r>
    <n v="599"/>
    <x v="169"/>
    <n v="27"/>
    <n v="3"/>
    <x v="1"/>
    <x v="1"/>
    <x v="5"/>
    <x v="1"/>
    <x v="1"/>
    <n v="5"/>
    <n v="18734.05"/>
    <n v="93670.25"/>
    <s v="Deepika Sharma"/>
    <n v="45"/>
    <x v="1"/>
    <x v="3"/>
    <n v="5"/>
    <x v="0"/>
    <x v="1"/>
  </r>
  <r>
    <n v="600"/>
    <x v="169"/>
    <n v="27"/>
    <n v="3"/>
    <x v="1"/>
    <x v="1"/>
    <x v="5"/>
    <x v="1"/>
    <x v="2"/>
    <n v="9"/>
    <n v="34366.6"/>
    <n v="309299.39999999997"/>
    <s v="Mala Roy"/>
    <n v="55"/>
    <x v="1"/>
    <x v="3"/>
    <n v="3"/>
    <x v="1"/>
    <x v="6"/>
  </r>
  <r>
    <n v="601"/>
    <x v="170"/>
    <n v="28"/>
    <n v="3"/>
    <x v="1"/>
    <x v="1"/>
    <x v="5"/>
    <x v="2"/>
    <x v="2"/>
    <n v="6"/>
    <n v="16760.41"/>
    <n v="100562.45999999999"/>
    <s v="Harish Teja"/>
    <n v="48"/>
    <x v="2"/>
    <x v="0"/>
    <n v="4"/>
    <x v="0"/>
    <x v="13"/>
  </r>
  <r>
    <n v="602"/>
    <x v="170"/>
    <n v="28"/>
    <n v="3"/>
    <x v="1"/>
    <x v="1"/>
    <x v="5"/>
    <x v="2"/>
    <x v="4"/>
    <n v="9"/>
    <n v="44613"/>
    <n v="401517"/>
    <s v="Lata Shah"/>
    <n v="26"/>
    <x v="18"/>
    <x v="0"/>
    <n v="5"/>
    <x v="0"/>
    <x v="11"/>
  </r>
  <r>
    <n v="603"/>
    <x v="170"/>
    <n v="28"/>
    <n v="3"/>
    <x v="1"/>
    <x v="1"/>
    <x v="5"/>
    <x v="2"/>
    <x v="0"/>
    <n v="6"/>
    <n v="12457.09"/>
    <n v="74742.540000000008"/>
    <s v="Deepika Deshmukh"/>
    <n v="25"/>
    <x v="13"/>
    <x v="2"/>
    <n v="4"/>
    <x v="0"/>
    <x v="3"/>
  </r>
  <r>
    <n v="604"/>
    <x v="170"/>
    <n v="28"/>
    <n v="3"/>
    <x v="1"/>
    <x v="1"/>
    <x v="5"/>
    <x v="2"/>
    <x v="1"/>
    <n v="2"/>
    <n v="41639.18"/>
    <n v="83278.36"/>
    <s v="Shruti Iyer"/>
    <n v="36"/>
    <x v="16"/>
    <x v="0"/>
    <n v="5"/>
    <x v="0"/>
    <x v="1"/>
  </r>
  <r>
    <n v="605"/>
    <x v="171"/>
    <n v="29"/>
    <n v="3"/>
    <x v="1"/>
    <x v="1"/>
    <x v="5"/>
    <x v="3"/>
    <x v="4"/>
    <n v="5"/>
    <n v="63182.12"/>
    <n v="315910.60000000003"/>
    <s v="Harish Kapoor"/>
    <n v="25"/>
    <x v="17"/>
    <x v="1"/>
    <n v="5"/>
    <x v="0"/>
    <x v="7"/>
  </r>
  <r>
    <n v="606"/>
    <x v="171"/>
    <n v="29"/>
    <n v="3"/>
    <x v="1"/>
    <x v="1"/>
    <x v="5"/>
    <x v="3"/>
    <x v="1"/>
    <n v="9"/>
    <n v="60272.4"/>
    <n v="542451.6"/>
    <s v="Rajesh Roy"/>
    <n v="51"/>
    <x v="2"/>
    <x v="2"/>
    <n v="4"/>
    <x v="0"/>
    <x v="9"/>
  </r>
  <r>
    <n v="607"/>
    <x v="171"/>
    <n v="29"/>
    <n v="3"/>
    <x v="1"/>
    <x v="1"/>
    <x v="5"/>
    <x v="3"/>
    <x v="0"/>
    <n v="8"/>
    <n v="62966.9"/>
    <n v="503735.2"/>
    <s v="Sachin Iyer"/>
    <n v="21"/>
    <x v="2"/>
    <x v="0"/>
    <n v="5"/>
    <x v="0"/>
    <x v="3"/>
  </r>
  <r>
    <n v="608"/>
    <x v="172"/>
    <n v="30"/>
    <n v="3"/>
    <x v="1"/>
    <x v="1"/>
    <x v="5"/>
    <x v="4"/>
    <x v="2"/>
    <n v="7"/>
    <n v="65322.93"/>
    <n v="457260.51"/>
    <s v="Rajesh Arora"/>
    <n v="48"/>
    <x v="8"/>
    <x v="2"/>
    <n v="4"/>
    <x v="0"/>
    <x v="6"/>
  </r>
  <r>
    <n v="609"/>
    <x v="172"/>
    <n v="30"/>
    <n v="3"/>
    <x v="1"/>
    <x v="1"/>
    <x v="5"/>
    <x v="4"/>
    <x v="3"/>
    <n v="1"/>
    <n v="16271.67"/>
    <n v="16271.67"/>
    <s v="Sneha Teja"/>
    <n v="55"/>
    <x v="9"/>
    <x v="0"/>
    <n v="5"/>
    <x v="0"/>
    <x v="5"/>
  </r>
  <r>
    <n v="610"/>
    <x v="172"/>
    <n v="30"/>
    <n v="3"/>
    <x v="1"/>
    <x v="1"/>
    <x v="5"/>
    <x v="4"/>
    <x v="2"/>
    <n v="4"/>
    <n v="17724.830000000002"/>
    <n v="70899.320000000007"/>
    <s v="Sachin Rawat"/>
    <n v="20"/>
    <x v="10"/>
    <x v="1"/>
    <n v="5"/>
    <x v="0"/>
    <x v="6"/>
  </r>
  <r>
    <n v="611"/>
    <x v="173"/>
    <n v="31"/>
    <n v="3"/>
    <x v="1"/>
    <x v="1"/>
    <x v="5"/>
    <x v="5"/>
    <x v="4"/>
    <n v="7"/>
    <n v="43420.41"/>
    <n v="303942.87"/>
    <s v="Lata Nambiar"/>
    <n v="52"/>
    <x v="13"/>
    <x v="3"/>
    <n v="5"/>
    <x v="0"/>
    <x v="14"/>
  </r>
  <r>
    <n v="612"/>
    <x v="173"/>
    <n v="31"/>
    <n v="3"/>
    <x v="1"/>
    <x v="1"/>
    <x v="5"/>
    <x v="5"/>
    <x v="3"/>
    <n v="7"/>
    <n v="63638.36"/>
    <n v="445468.52"/>
    <s v="Sachin Kaur"/>
    <n v="36"/>
    <x v="1"/>
    <x v="3"/>
    <n v="4"/>
    <x v="0"/>
    <x v="12"/>
  </r>
  <r>
    <n v="613"/>
    <x v="173"/>
    <n v="31"/>
    <n v="3"/>
    <x v="1"/>
    <x v="1"/>
    <x v="5"/>
    <x v="5"/>
    <x v="4"/>
    <n v="6"/>
    <n v="68460.97"/>
    <n v="410765.82"/>
    <s v="Rohan Prasad"/>
    <n v="46"/>
    <x v="18"/>
    <x v="1"/>
    <n v="4"/>
    <x v="0"/>
    <x v="7"/>
  </r>
  <r>
    <n v="614"/>
    <x v="173"/>
    <n v="31"/>
    <n v="3"/>
    <x v="1"/>
    <x v="1"/>
    <x v="5"/>
    <x v="5"/>
    <x v="0"/>
    <n v="8"/>
    <n v="12775.72"/>
    <n v="102205.75999999999"/>
    <s v="Vinod Nambiar"/>
    <n v="27"/>
    <x v="10"/>
    <x v="2"/>
    <n v="4"/>
    <x v="0"/>
    <x v="10"/>
  </r>
  <r>
    <n v="615"/>
    <x v="174"/>
    <n v="1"/>
    <n v="4"/>
    <x v="1"/>
    <x v="2"/>
    <x v="6"/>
    <x v="6"/>
    <x v="3"/>
    <n v="6"/>
    <n v="31346.45"/>
    <n v="188078.7"/>
    <s v="Meena Prasad"/>
    <n v="29"/>
    <x v="13"/>
    <x v="3"/>
    <n v="5"/>
    <x v="0"/>
    <x v="5"/>
  </r>
  <r>
    <n v="616"/>
    <x v="174"/>
    <n v="1"/>
    <n v="4"/>
    <x v="1"/>
    <x v="2"/>
    <x v="6"/>
    <x v="6"/>
    <x v="4"/>
    <n v="3"/>
    <n v="22773.66"/>
    <n v="68320.98"/>
    <s v="Vinod Arora"/>
    <n v="47"/>
    <x v="2"/>
    <x v="0"/>
    <n v="4"/>
    <x v="0"/>
    <x v="11"/>
  </r>
  <r>
    <n v="617"/>
    <x v="174"/>
    <n v="1"/>
    <n v="4"/>
    <x v="1"/>
    <x v="2"/>
    <x v="6"/>
    <x v="6"/>
    <x v="0"/>
    <n v="4"/>
    <n v="55357.95"/>
    <n v="221431.8"/>
    <s v="Navin Joshi"/>
    <n v="47"/>
    <x v="14"/>
    <x v="0"/>
    <n v="5"/>
    <x v="0"/>
    <x v="0"/>
  </r>
  <r>
    <n v="618"/>
    <x v="174"/>
    <n v="1"/>
    <n v="4"/>
    <x v="1"/>
    <x v="2"/>
    <x v="6"/>
    <x v="6"/>
    <x v="2"/>
    <n v="3"/>
    <n v="48411.63"/>
    <n v="145234.88999999998"/>
    <s v="Sneha Yadav"/>
    <n v="35"/>
    <x v="16"/>
    <x v="2"/>
    <n v="4"/>
    <x v="0"/>
    <x v="13"/>
  </r>
  <r>
    <n v="619"/>
    <x v="175"/>
    <n v="2"/>
    <n v="4"/>
    <x v="1"/>
    <x v="2"/>
    <x v="6"/>
    <x v="0"/>
    <x v="0"/>
    <n v="1"/>
    <n v="17193.28"/>
    <n v="17193.28"/>
    <s v="Neeta Deshmukh"/>
    <n v="41"/>
    <x v="7"/>
    <x v="2"/>
    <n v="5"/>
    <x v="0"/>
    <x v="0"/>
  </r>
  <r>
    <n v="620"/>
    <x v="175"/>
    <n v="2"/>
    <n v="4"/>
    <x v="1"/>
    <x v="2"/>
    <x v="6"/>
    <x v="0"/>
    <x v="1"/>
    <n v="5"/>
    <n v="39011.32"/>
    <n v="195056.6"/>
    <s v="Mala Kulkarni"/>
    <n v="49"/>
    <x v="0"/>
    <x v="1"/>
    <n v="5"/>
    <x v="0"/>
    <x v="9"/>
  </r>
  <r>
    <n v="621"/>
    <x v="175"/>
    <n v="2"/>
    <n v="4"/>
    <x v="1"/>
    <x v="2"/>
    <x v="6"/>
    <x v="0"/>
    <x v="0"/>
    <n v="1"/>
    <n v="51126.43"/>
    <n v="51126.43"/>
    <s v="Sanjay Jain"/>
    <n v="26"/>
    <x v="1"/>
    <x v="3"/>
    <n v="5"/>
    <x v="0"/>
    <x v="3"/>
  </r>
  <r>
    <n v="622"/>
    <x v="175"/>
    <n v="2"/>
    <n v="4"/>
    <x v="1"/>
    <x v="2"/>
    <x v="6"/>
    <x v="0"/>
    <x v="0"/>
    <n v="1"/>
    <n v="56740.32"/>
    <n v="56740.32"/>
    <s v="Rajesh Chatterjee"/>
    <n v="41"/>
    <x v="1"/>
    <x v="2"/>
    <n v="5"/>
    <x v="0"/>
    <x v="10"/>
  </r>
  <r>
    <n v="623"/>
    <x v="176"/>
    <n v="3"/>
    <n v="4"/>
    <x v="1"/>
    <x v="2"/>
    <x v="6"/>
    <x v="1"/>
    <x v="1"/>
    <n v="2"/>
    <n v="11203.16"/>
    <n v="22406.32"/>
    <s v="Namita Deshmukh"/>
    <n v="43"/>
    <x v="1"/>
    <x v="3"/>
    <n v="5"/>
    <x v="0"/>
    <x v="1"/>
  </r>
  <r>
    <n v="624"/>
    <x v="176"/>
    <n v="3"/>
    <n v="4"/>
    <x v="1"/>
    <x v="2"/>
    <x v="6"/>
    <x v="1"/>
    <x v="4"/>
    <n v="4"/>
    <n v="63428.17"/>
    <n v="253712.68"/>
    <s v="Ayesha Luthra"/>
    <n v="20"/>
    <x v="16"/>
    <x v="3"/>
    <n v="5"/>
    <x v="0"/>
    <x v="7"/>
  </r>
  <r>
    <n v="625"/>
    <x v="176"/>
    <n v="3"/>
    <n v="4"/>
    <x v="1"/>
    <x v="2"/>
    <x v="6"/>
    <x v="1"/>
    <x v="4"/>
    <n v="6"/>
    <n v="44156.88"/>
    <n v="264941.27999999997"/>
    <s v="Krishna Rawat"/>
    <n v="40"/>
    <x v="2"/>
    <x v="0"/>
    <n v="5"/>
    <x v="0"/>
    <x v="7"/>
  </r>
  <r>
    <n v="626"/>
    <x v="177"/>
    <n v="4"/>
    <n v="4"/>
    <x v="1"/>
    <x v="2"/>
    <x v="6"/>
    <x v="2"/>
    <x v="0"/>
    <n v="8"/>
    <n v="58714.55"/>
    <n v="469716.4"/>
    <s v="Gita Dutta"/>
    <n v="28"/>
    <x v="1"/>
    <x v="2"/>
    <n v="4"/>
    <x v="0"/>
    <x v="0"/>
  </r>
  <r>
    <n v="627"/>
    <x v="177"/>
    <n v="4"/>
    <n v="4"/>
    <x v="1"/>
    <x v="2"/>
    <x v="6"/>
    <x v="2"/>
    <x v="1"/>
    <n v="3"/>
    <n v="58476.28"/>
    <n v="175428.84"/>
    <s v="Devendra Singh"/>
    <n v="27"/>
    <x v="11"/>
    <x v="1"/>
    <n v="3"/>
    <x v="1"/>
    <x v="9"/>
  </r>
  <r>
    <n v="628"/>
    <x v="177"/>
    <n v="4"/>
    <n v="4"/>
    <x v="1"/>
    <x v="2"/>
    <x v="6"/>
    <x v="2"/>
    <x v="1"/>
    <n v="1"/>
    <n v="21391.16"/>
    <n v="21391.16"/>
    <s v="Rajesh Ghosh"/>
    <n v="53"/>
    <x v="14"/>
    <x v="2"/>
    <n v="5"/>
    <x v="0"/>
    <x v="2"/>
  </r>
  <r>
    <n v="629"/>
    <x v="178"/>
    <n v="5"/>
    <n v="4"/>
    <x v="1"/>
    <x v="2"/>
    <x v="6"/>
    <x v="3"/>
    <x v="2"/>
    <n v="3"/>
    <n v="16610.330000000002"/>
    <n v="49830.990000000005"/>
    <s v="Vivek Bhatnagar"/>
    <n v="30"/>
    <x v="2"/>
    <x v="3"/>
    <n v="5"/>
    <x v="0"/>
    <x v="13"/>
  </r>
  <r>
    <n v="630"/>
    <x v="178"/>
    <n v="5"/>
    <n v="4"/>
    <x v="1"/>
    <x v="2"/>
    <x v="6"/>
    <x v="3"/>
    <x v="4"/>
    <n v="3"/>
    <n v="53277.24"/>
    <n v="159831.72"/>
    <s v="Krishna Chatterjee"/>
    <n v="46"/>
    <x v="9"/>
    <x v="0"/>
    <n v="5"/>
    <x v="0"/>
    <x v="14"/>
  </r>
  <r>
    <n v="631"/>
    <x v="178"/>
    <n v="5"/>
    <n v="4"/>
    <x v="1"/>
    <x v="2"/>
    <x v="6"/>
    <x v="3"/>
    <x v="3"/>
    <n v="5"/>
    <n v="19385.62"/>
    <n v="96928.099999999991"/>
    <s v="Shruti Menon"/>
    <n v="55"/>
    <x v="5"/>
    <x v="2"/>
    <n v="5"/>
    <x v="0"/>
    <x v="8"/>
  </r>
  <r>
    <n v="632"/>
    <x v="179"/>
    <n v="6"/>
    <n v="4"/>
    <x v="1"/>
    <x v="2"/>
    <x v="6"/>
    <x v="4"/>
    <x v="4"/>
    <n v="4"/>
    <n v="60996.25"/>
    <n v="243985"/>
    <s v="Pooja Dutta"/>
    <n v="30"/>
    <x v="1"/>
    <x v="2"/>
    <n v="5"/>
    <x v="0"/>
    <x v="11"/>
  </r>
  <r>
    <n v="633"/>
    <x v="179"/>
    <n v="6"/>
    <n v="4"/>
    <x v="1"/>
    <x v="2"/>
    <x v="6"/>
    <x v="4"/>
    <x v="4"/>
    <n v="4"/>
    <n v="53571.37"/>
    <n v="214285.48"/>
    <s v="Isha Dutta"/>
    <n v="43"/>
    <x v="7"/>
    <x v="2"/>
    <n v="5"/>
    <x v="0"/>
    <x v="7"/>
  </r>
  <r>
    <n v="634"/>
    <x v="179"/>
    <n v="6"/>
    <n v="4"/>
    <x v="1"/>
    <x v="2"/>
    <x v="6"/>
    <x v="4"/>
    <x v="2"/>
    <n v="9"/>
    <n v="60509.52"/>
    <n v="544585.67999999993"/>
    <s v="Rajesh Pathak"/>
    <n v="37"/>
    <x v="1"/>
    <x v="1"/>
    <n v="5"/>
    <x v="0"/>
    <x v="13"/>
  </r>
  <r>
    <n v="635"/>
    <x v="180"/>
    <n v="7"/>
    <n v="4"/>
    <x v="1"/>
    <x v="2"/>
    <x v="6"/>
    <x v="5"/>
    <x v="3"/>
    <n v="7"/>
    <n v="27940.76"/>
    <n v="195585.31999999998"/>
    <s v="Kavita Jain"/>
    <n v="22"/>
    <x v="17"/>
    <x v="1"/>
    <n v="3"/>
    <x v="1"/>
    <x v="5"/>
  </r>
  <r>
    <n v="636"/>
    <x v="180"/>
    <n v="7"/>
    <n v="4"/>
    <x v="1"/>
    <x v="2"/>
    <x v="6"/>
    <x v="5"/>
    <x v="2"/>
    <n v="4"/>
    <n v="28995.88"/>
    <n v="115983.52"/>
    <s v="Umesh Teja"/>
    <n v="37"/>
    <x v="16"/>
    <x v="1"/>
    <n v="5"/>
    <x v="0"/>
    <x v="13"/>
  </r>
  <r>
    <n v="637"/>
    <x v="180"/>
    <n v="7"/>
    <n v="4"/>
    <x v="1"/>
    <x v="2"/>
    <x v="6"/>
    <x v="5"/>
    <x v="3"/>
    <n v="3"/>
    <n v="50273.29"/>
    <n v="150819.87"/>
    <s v="Anand Siddiqui"/>
    <n v="31"/>
    <x v="1"/>
    <x v="1"/>
    <n v="4"/>
    <x v="0"/>
    <x v="8"/>
  </r>
  <r>
    <n v="638"/>
    <x v="181"/>
    <n v="8"/>
    <n v="4"/>
    <x v="1"/>
    <x v="2"/>
    <x v="6"/>
    <x v="6"/>
    <x v="0"/>
    <n v="6"/>
    <n v="11886.76"/>
    <n v="71320.56"/>
    <s v="Kavita Goyal"/>
    <n v="31"/>
    <x v="2"/>
    <x v="0"/>
    <n v="5"/>
    <x v="0"/>
    <x v="0"/>
  </r>
  <r>
    <n v="639"/>
    <x v="181"/>
    <n v="8"/>
    <n v="4"/>
    <x v="1"/>
    <x v="2"/>
    <x v="6"/>
    <x v="6"/>
    <x v="3"/>
    <n v="3"/>
    <n v="53589.8"/>
    <n v="160769.40000000002"/>
    <s v="Ramesh Mishra"/>
    <n v="25"/>
    <x v="1"/>
    <x v="0"/>
    <n v="3"/>
    <x v="1"/>
    <x v="12"/>
  </r>
  <r>
    <n v="640"/>
    <x v="181"/>
    <n v="8"/>
    <n v="4"/>
    <x v="1"/>
    <x v="2"/>
    <x v="6"/>
    <x v="6"/>
    <x v="2"/>
    <n v="6"/>
    <n v="60146.98"/>
    <n v="360881.88"/>
    <s v="Kiran Ghosh"/>
    <n v="30"/>
    <x v="4"/>
    <x v="1"/>
    <n v="5"/>
    <x v="0"/>
    <x v="13"/>
  </r>
  <r>
    <n v="641"/>
    <x v="182"/>
    <n v="9"/>
    <n v="4"/>
    <x v="1"/>
    <x v="2"/>
    <x v="6"/>
    <x v="0"/>
    <x v="4"/>
    <n v="9"/>
    <n v="34909.82"/>
    <n v="314188.38"/>
    <s v="Navin Malhotra"/>
    <n v="41"/>
    <x v="1"/>
    <x v="3"/>
    <n v="4"/>
    <x v="0"/>
    <x v="7"/>
  </r>
  <r>
    <n v="642"/>
    <x v="182"/>
    <n v="9"/>
    <n v="4"/>
    <x v="1"/>
    <x v="2"/>
    <x v="6"/>
    <x v="0"/>
    <x v="3"/>
    <n v="6"/>
    <n v="55892.73"/>
    <n v="335356.38"/>
    <s v="Lalita Thakur"/>
    <n v="32"/>
    <x v="2"/>
    <x v="1"/>
    <n v="4"/>
    <x v="0"/>
    <x v="8"/>
  </r>
  <r>
    <n v="643"/>
    <x v="182"/>
    <n v="9"/>
    <n v="4"/>
    <x v="1"/>
    <x v="2"/>
    <x v="6"/>
    <x v="0"/>
    <x v="3"/>
    <n v="4"/>
    <n v="20476.66"/>
    <n v="81906.64"/>
    <s v="Harish Kaur"/>
    <n v="18"/>
    <x v="1"/>
    <x v="1"/>
    <n v="4"/>
    <x v="0"/>
    <x v="8"/>
  </r>
  <r>
    <n v="644"/>
    <x v="182"/>
    <n v="9"/>
    <n v="4"/>
    <x v="1"/>
    <x v="2"/>
    <x v="6"/>
    <x v="0"/>
    <x v="1"/>
    <n v="5"/>
    <n v="29335.62"/>
    <n v="146678.1"/>
    <s v="Anjali Patel"/>
    <n v="39"/>
    <x v="2"/>
    <x v="3"/>
    <n v="5"/>
    <x v="0"/>
    <x v="1"/>
  </r>
  <r>
    <n v="645"/>
    <x v="183"/>
    <n v="10"/>
    <n v="4"/>
    <x v="1"/>
    <x v="2"/>
    <x v="6"/>
    <x v="1"/>
    <x v="4"/>
    <n v="6"/>
    <n v="68458.3"/>
    <n v="410749.80000000005"/>
    <s v="Kavita Mehta"/>
    <n v="51"/>
    <x v="11"/>
    <x v="2"/>
    <n v="5"/>
    <x v="0"/>
    <x v="7"/>
  </r>
  <r>
    <n v="646"/>
    <x v="183"/>
    <n v="10"/>
    <n v="4"/>
    <x v="1"/>
    <x v="2"/>
    <x v="6"/>
    <x v="1"/>
    <x v="0"/>
    <n v="3"/>
    <n v="69179.69"/>
    <n v="207539.07"/>
    <s v="Anjali Sharma"/>
    <n v="57"/>
    <x v="1"/>
    <x v="3"/>
    <n v="3"/>
    <x v="1"/>
    <x v="10"/>
  </r>
  <r>
    <n v="647"/>
    <x v="183"/>
    <n v="10"/>
    <n v="4"/>
    <x v="1"/>
    <x v="2"/>
    <x v="6"/>
    <x v="1"/>
    <x v="2"/>
    <n v="8"/>
    <n v="40756.300000000003"/>
    <n v="326050.40000000002"/>
    <s v="Pooja Pillai"/>
    <n v="20"/>
    <x v="10"/>
    <x v="3"/>
    <n v="4"/>
    <x v="0"/>
    <x v="6"/>
  </r>
  <r>
    <n v="648"/>
    <x v="184"/>
    <n v="11"/>
    <n v="4"/>
    <x v="1"/>
    <x v="2"/>
    <x v="6"/>
    <x v="2"/>
    <x v="0"/>
    <n v="4"/>
    <n v="66056.19"/>
    <n v="264224.76"/>
    <s v="Priyanka Ghosh"/>
    <n v="43"/>
    <x v="4"/>
    <x v="0"/>
    <n v="5"/>
    <x v="0"/>
    <x v="10"/>
  </r>
  <r>
    <n v="649"/>
    <x v="184"/>
    <n v="11"/>
    <n v="4"/>
    <x v="1"/>
    <x v="2"/>
    <x v="6"/>
    <x v="2"/>
    <x v="4"/>
    <n v="8"/>
    <n v="41363.839999999997"/>
    <n v="330910.71999999997"/>
    <s v="Manoj Jain"/>
    <n v="31"/>
    <x v="1"/>
    <x v="2"/>
    <n v="5"/>
    <x v="0"/>
    <x v="11"/>
  </r>
  <r>
    <n v="650"/>
    <x v="184"/>
    <n v="11"/>
    <n v="4"/>
    <x v="1"/>
    <x v="2"/>
    <x v="6"/>
    <x v="2"/>
    <x v="3"/>
    <n v="3"/>
    <n v="27495.29"/>
    <n v="82485.87"/>
    <s v="Harish Mehta"/>
    <n v="58"/>
    <x v="6"/>
    <x v="3"/>
    <n v="5"/>
    <x v="0"/>
    <x v="12"/>
  </r>
  <r>
    <n v="651"/>
    <x v="185"/>
    <n v="12"/>
    <n v="4"/>
    <x v="1"/>
    <x v="2"/>
    <x v="6"/>
    <x v="3"/>
    <x v="3"/>
    <n v="7"/>
    <n v="26013.96"/>
    <n v="182097.72"/>
    <s v="Priyanka Pathak"/>
    <n v="25"/>
    <x v="6"/>
    <x v="1"/>
    <n v="5"/>
    <x v="0"/>
    <x v="8"/>
  </r>
  <r>
    <n v="652"/>
    <x v="185"/>
    <n v="12"/>
    <n v="4"/>
    <x v="1"/>
    <x v="2"/>
    <x v="6"/>
    <x v="3"/>
    <x v="4"/>
    <n v="9"/>
    <n v="65770.34"/>
    <n v="591933.05999999994"/>
    <s v="Arun Dutta"/>
    <n v="33"/>
    <x v="2"/>
    <x v="3"/>
    <n v="3"/>
    <x v="1"/>
    <x v="11"/>
  </r>
  <r>
    <n v="653"/>
    <x v="185"/>
    <n v="12"/>
    <n v="4"/>
    <x v="1"/>
    <x v="2"/>
    <x v="6"/>
    <x v="3"/>
    <x v="3"/>
    <n v="4"/>
    <n v="20346.78"/>
    <n v="81387.12"/>
    <s v="Amit Ghosh"/>
    <n v="59"/>
    <x v="7"/>
    <x v="0"/>
    <n v="5"/>
    <x v="0"/>
    <x v="12"/>
  </r>
  <r>
    <n v="654"/>
    <x v="186"/>
    <n v="13"/>
    <n v="4"/>
    <x v="1"/>
    <x v="2"/>
    <x v="6"/>
    <x v="4"/>
    <x v="3"/>
    <n v="8"/>
    <n v="44777.95"/>
    <n v="358223.6"/>
    <s v="Anita Shah"/>
    <n v="38"/>
    <x v="9"/>
    <x v="3"/>
    <n v="4"/>
    <x v="0"/>
    <x v="5"/>
  </r>
  <r>
    <n v="655"/>
    <x v="186"/>
    <n v="13"/>
    <n v="4"/>
    <x v="1"/>
    <x v="2"/>
    <x v="6"/>
    <x v="4"/>
    <x v="3"/>
    <n v="3"/>
    <n v="43331.5"/>
    <n v="129994.5"/>
    <s v="Tanuja Mathur"/>
    <n v="27"/>
    <x v="7"/>
    <x v="1"/>
    <n v="5"/>
    <x v="0"/>
    <x v="5"/>
  </r>
  <r>
    <n v="656"/>
    <x v="186"/>
    <n v="13"/>
    <n v="4"/>
    <x v="1"/>
    <x v="2"/>
    <x v="6"/>
    <x v="4"/>
    <x v="2"/>
    <n v="7"/>
    <n v="54377.3"/>
    <n v="380641.10000000003"/>
    <s v="Bhavana Sheth"/>
    <n v="42"/>
    <x v="18"/>
    <x v="2"/>
    <n v="3"/>
    <x v="1"/>
    <x v="6"/>
  </r>
  <r>
    <n v="657"/>
    <x v="186"/>
    <n v="13"/>
    <n v="4"/>
    <x v="1"/>
    <x v="2"/>
    <x v="6"/>
    <x v="4"/>
    <x v="2"/>
    <n v="3"/>
    <n v="39954.57"/>
    <n v="119863.70999999999"/>
    <s v="Sachin Arora"/>
    <n v="55"/>
    <x v="1"/>
    <x v="0"/>
    <n v="5"/>
    <x v="0"/>
    <x v="13"/>
  </r>
  <r>
    <n v="658"/>
    <x v="187"/>
    <n v="14"/>
    <n v="4"/>
    <x v="1"/>
    <x v="2"/>
    <x v="6"/>
    <x v="5"/>
    <x v="1"/>
    <n v="7"/>
    <n v="26337.14"/>
    <n v="184359.97999999998"/>
    <s v="Rajesh Chatterjee"/>
    <n v="39"/>
    <x v="2"/>
    <x v="2"/>
    <n v="3"/>
    <x v="1"/>
    <x v="9"/>
  </r>
  <r>
    <n v="659"/>
    <x v="187"/>
    <n v="14"/>
    <n v="4"/>
    <x v="1"/>
    <x v="2"/>
    <x v="6"/>
    <x v="5"/>
    <x v="0"/>
    <n v="6"/>
    <n v="20163.79"/>
    <n v="120982.74"/>
    <s v="Rajesh Prasad"/>
    <n v="21"/>
    <x v="2"/>
    <x v="0"/>
    <n v="5"/>
    <x v="0"/>
    <x v="10"/>
  </r>
  <r>
    <n v="660"/>
    <x v="187"/>
    <n v="14"/>
    <n v="4"/>
    <x v="1"/>
    <x v="2"/>
    <x v="6"/>
    <x v="5"/>
    <x v="4"/>
    <n v="2"/>
    <n v="47249.13"/>
    <n v="94498.26"/>
    <s v="Vijay Das"/>
    <n v="21"/>
    <x v="18"/>
    <x v="1"/>
    <n v="5"/>
    <x v="0"/>
    <x v="7"/>
  </r>
  <r>
    <n v="661"/>
    <x v="188"/>
    <n v="15"/>
    <n v="4"/>
    <x v="1"/>
    <x v="2"/>
    <x v="6"/>
    <x v="6"/>
    <x v="4"/>
    <n v="3"/>
    <n v="53139.45"/>
    <n v="159418.34999999998"/>
    <s v="Sunita Verma"/>
    <n v="47"/>
    <x v="5"/>
    <x v="0"/>
    <n v="5"/>
    <x v="0"/>
    <x v="14"/>
  </r>
  <r>
    <n v="662"/>
    <x v="188"/>
    <n v="15"/>
    <n v="4"/>
    <x v="1"/>
    <x v="2"/>
    <x v="6"/>
    <x v="6"/>
    <x v="4"/>
    <n v="6"/>
    <n v="44171.28"/>
    <n v="265027.68"/>
    <s v="Sunita Sharma"/>
    <n v="19"/>
    <x v="11"/>
    <x v="2"/>
    <n v="5"/>
    <x v="0"/>
    <x v="14"/>
  </r>
  <r>
    <n v="663"/>
    <x v="188"/>
    <n v="15"/>
    <n v="4"/>
    <x v="1"/>
    <x v="2"/>
    <x v="6"/>
    <x v="6"/>
    <x v="1"/>
    <n v="4"/>
    <n v="54301.08"/>
    <n v="217204.32"/>
    <s v="Radha Rao"/>
    <n v="46"/>
    <x v="1"/>
    <x v="2"/>
    <n v="4"/>
    <x v="0"/>
    <x v="2"/>
  </r>
  <r>
    <n v="664"/>
    <x v="189"/>
    <n v="16"/>
    <n v="4"/>
    <x v="1"/>
    <x v="2"/>
    <x v="6"/>
    <x v="0"/>
    <x v="2"/>
    <n v="6"/>
    <n v="18491.27"/>
    <n v="110947.62"/>
    <s v="Amit Teja"/>
    <n v="53"/>
    <x v="1"/>
    <x v="3"/>
    <n v="5"/>
    <x v="0"/>
    <x v="13"/>
  </r>
  <r>
    <n v="665"/>
    <x v="189"/>
    <n v="16"/>
    <n v="4"/>
    <x v="1"/>
    <x v="2"/>
    <x v="6"/>
    <x v="0"/>
    <x v="1"/>
    <n v="1"/>
    <n v="62948.21"/>
    <n v="62948.21"/>
    <s v="Monika Dutta"/>
    <n v="38"/>
    <x v="2"/>
    <x v="2"/>
    <n v="5"/>
    <x v="0"/>
    <x v="2"/>
  </r>
  <r>
    <n v="666"/>
    <x v="189"/>
    <n v="16"/>
    <n v="4"/>
    <x v="1"/>
    <x v="2"/>
    <x v="6"/>
    <x v="0"/>
    <x v="4"/>
    <n v="1"/>
    <n v="44943.73"/>
    <n v="44943.73"/>
    <s v="Namita Kapoor"/>
    <n v="38"/>
    <x v="7"/>
    <x v="3"/>
    <n v="3"/>
    <x v="1"/>
    <x v="11"/>
  </r>
  <r>
    <n v="667"/>
    <x v="189"/>
    <n v="16"/>
    <n v="4"/>
    <x v="1"/>
    <x v="2"/>
    <x v="6"/>
    <x v="0"/>
    <x v="0"/>
    <n v="3"/>
    <n v="17610.64"/>
    <n v="52831.92"/>
    <s v="Sunita Ahuja"/>
    <n v="38"/>
    <x v="7"/>
    <x v="2"/>
    <n v="5"/>
    <x v="0"/>
    <x v="0"/>
  </r>
  <r>
    <n v="668"/>
    <x v="190"/>
    <n v="17"/>
    <n v="4"/>
    <x v="1"/>
    <x v="2"/>
    <x v="6"/>
    <x v="1"/>
    <x v="3"/>
    <n v="8"/>
    <n v="37715.51"/>
    <n v="301724.08"/>
    <s v="Reena Desai"/>
    <n v="21"/>
    <x v="1"/>
    <x v="3"/>
    <n v="3"/>
    <x v="1"/>
    <x v="5"/>
  </r>
  <r>
    <n v="669"/>
    <x v="190"/>
    <n v="17"/>
    <n v="4"/>
    <x v="1"/>
    <x v="2"/>
    <x v="6"/>
    <x v="1"/>
    <x v="2"/>
    <n v="8"/>
    <n v="60687.5"/>
    <n v="485500"/>
    <s v="Bhavana Mehta"/>
    <n v="18"/>
    <x v="13"/>
    <x v="1"/>
    <n v="5"/>
    <x v="0"/>
    <x v="13"/>
  </r>
  <r>
    <n v="670"/>
    <x v="190"/>
    <n v="17"/>
    <n v="4"/>
    <x v="1"/>
    <x v="2"/>
    <x v="6"/>
    <x v="1"/>
    <x v="2"/>
    <n v="4"/>
    <n v="63853.73"/>
    <n v="255414.92"/>
    <s v="Bina Teja"/>
    <n v="43"/>
    <x v="2"/>
    <x v="3"/>
    <n v="3"/>
    <x v="1"/>
    <x v="6"/>
  </r>
  <r>
    <n v="671"/>
    <x v="191"/>
    <n v="18"/>
    <n v="4"/>
    <x v="1"/>
    <x v="2"/>
    <x v="6"/>
    <x v="2"/>
    <x v="1"/>
    <n v="6"/>
    <n v="25878.97"/>
    <n v="155273.82"/>
    <s v="Ravi Kumar"/>
    <n v="19"/>
    <x v="5"/>
    <x v="2"/>
    <n v="5"/>
    <x v="0"/>
    <x v="2"/>
  </r>
  <r>
    <n v="672"/>
    <x v="191"/>
    <n v="18"/>
    <n v="4"/>
    <x v="1"/>
    <x v="2"/>
    <x v="6"/>
    <x v="2"/>
    <x v="2"/>
    <n v="8"/>
    <n v="52675.95"/>
    <n v="421407.6"/>
    <s v="Sunil Singh"/>
    <n v="26"/>
    <x v="1"/>
    <x v="1"/>
    <n v="5"/>
    <x v="0"/>
    <x v="6"/>
  </r>
  <r>
    <n v="673"/>
    <x v="191"/>
    <n v="18"/>
    <n v="4"/>
    <x v="1"/>
    <x v="2"/>
    <x v="6"/>
    <x v="2"/>
    <x v="4"/>
    <n v="7"/>
    <n v="15999.11"/>
    <n v="111993.77"/>
    <s v="Meena Pillai"/>
    <n v="35"/>
    <x v="3"/>
    <x v="0"/>
    <n v="3"/>
    <x v="1"/>
    <x v="11"/>
  </r>
  <r>
    <n v="674"/>
    <x v="192"/>
    <n v="19"/>
    <n v="4"/>
    <x v="1"/>
    <x v="2"/>
    <x v="6"/>
    <x v="3"/>
    <x v="4"/>
    <n v="7"/>
    <n v="12012.75"/>
    <n v="84089.25"/>
    <s v="Ayesha Siddiqui"/>
    <n v="59"/>
    <x v="2"/>
    <x v="2"/>
    <n v="4"/>
    <x v="0"/>
    <x v="7"/>
  </r>
  <r>
    <n v="675"/>
    <x v="192"/>
    <n v="19"/>
    <n v="4"/>
    <x v="1"/>
    <x v="2"/>
    <x v="6"/>
    <x v="3"/>
    <x v="1"/>
    <n v="4"/>
    <n v="43623.94"/>
    <n v="174495.76"/>
    <s v="Bina Singh"/>
    <n v="58"/>
    <x v="1"/>
    <x v="3"/>
    <n v="5"/>
    <x v="0"/>
    <x v="1"/>
  </r>
  <r>
    <n v="676"/>
    <x v="192"/>
    <n v="19"/>
    <n v="4"/>
    <x v="1"/>
    <x v="2"/>
    <x v="6"/>
    <x v="3"/>
    <x v="4"/>
    <n v="9"/>
    <n v="51689.65"/>
    <n v="465206.85000000003"/>
    <s v="Lata Patel"/>
    <n v="28"/>
    <x v="1"/>
    <x v="0"/>
    <n v="5"/>
    <x v="0"/>
    <x v="7"/>
  </r>
  <r>
    <n v="677"/>
    <x v="193"/>
    <n v="20"/>
    <n v="4"/>
    <x v="1"/>
    <x v="2"/>
    <x v="6"/>
    <x v="4"/>
    <x v="0"/>
    <n v="6"/>
    <n v="57747.199999999997"/>
    <n v="346483.19999999995"/>
    <s v="Lalita Shah"/>
    <n v="42"/>
    <x v="10"/>
    <x v="3"/>
    <n v="4"/>
    <x v="0"/>
    <x v="3"/>
  </r>
  <r>
    <n v="678"/>
    <x v="193"/>
    <n v="20"/>
    <n v="4"/>
    <x v="1"/>
    <x v="2"/>
    <x v="6"/>
    <x v="4"/>
    <x v="1"/>
    <n v="3"/>
    <n v="30412.97"/>
    <n v="91238.91"/>
    <s v="Pooja Dutta"/>
    <n v="43"/>
    <x v="1"/>
    <x v="0"/>
    <n v="5"/>
    <x v="0"/>
    <x v="9"/>
  </r>
  <r>
    <n v="679"/>
    <x v="193"/>
    <n v="20"/>
    <n v="4"/>
    <x v="1"/>
    <x v="2"/>
    <x v="6"/>
    <x v="4"/>
    <x v="0"/>
    <n v="5"/>
    <n v="10391.52"/>
    <n v="51957.600000000006"/>
    <s v="Priya Mehta"/>
    <n v="53"/>
    <x v="3"/>
    <x v="1"/>
    <n v="4"/>
    <x v="0"/>
    <x v="10"/>
  </r>
  <r>
    <n v="680"/>
    <x v="194"/>
    <n v="21"/>
    <n v="4"/>
    <x v="1"/>
    <x v="2"/>
    <x v="6"/>
    <x v="5"/>
    <x v="3"/>
    <n v="5"/>
    <n v="38771.15"/>
    <n v="193855.75"/>
    <s v="Yogesh Mishra"/>
    <n v="59"/>
    <x v="3"/>
    <x v="2"/>
    <n v="5"/>
    <x v="0"/>
    <x v="12"/>
  </r>
  <r>
    <n v="681"/>
    <x v="194"/>
    <n v="21"/>
    <n v="4"/>
    <x v="1"/>
    <x v="2"/>
    <x v="6"/>
    <x v="5"/>
    <x v="0"/>
    <n v="5"/>
    <n v="10951.21"/>
    <n v="54756.049999999996"/>
    <s v="Mala Goyal"/>
    <n v="52"/>
    <x v="1"/>
    <x v="1"/>
    <n v="5"/>
    <x v="0"/>
    <x v="0"/>
  </r>
  <r>
    <n v="682"/>
    <x v="194"/>
    <n v="21"/>
    <n v="4"/>
    <x v="1"/>
    <x v="2"/>
    <x v="6"/>
    <x v="5"/>
    <x v="3"/>
    <n v="8"/>
    <n v="15519.07"/>
    <n v="124152.56"/>
    <s v="Vinod Chatterjee"/>
    <n v="55"/>
    <x v="1"/>
    <x v="2"/>
    <n v="5"/>
    <x v="0"/>
    <x v="8"/>
  </r>
  <r>
    <n v="683"/>
    <x v="195"/>
    <n v="22"/>
    <n v="4"/>
    <x v="1"/>
    <x v="2"/>
    <x v="6"/>
    <x v="6"/>
    <x v="3"/>
    <n v="9"/>
    <n v="29601.34"/>
    <n v="266412.06"/>
    <s v="Sunita Luthra"/>
    <n v="20"/>
    <x v="9"/>
    <x v="0"/>
    <n v="5"/>
    <x v="0"/>
    <x v="8"/>
  </r>
  <r>
    <n v="684"/>
    <x v="195"/>
    <n v="22"/>
    <n v="4"/>
    <x v="1"/>
    <x v="2"/>
    <x v="6"/>
    <x v="6"/>
    <x v="0"/>
    <n v="9"/>
    <n v="36230.32"/>
    <n v="326072.88"/>
    <s v="Anand Joshi"/>
    <n v="58"/>
    <x v="14"/>
    <x v="1"/>
    <n v="5"/>
    <x v="0"/>
    <x v="3"/>
  </r>
  <r>
    <n v="685"/>
    <x v="195"/>
    <n v="22"/>
    <n v="4"/>
    <x v="1"/>
    <x v="2"/>
    <x v="6"/>
    <x v="6"/>
    <x v="1"/>
    <n v="6"/>
    <n v="26768.17"/>
    <n v="160609.01999999999"/>
    <s v="Lata Chaudhary"/>
    <n v="52"/>
    <x v="9"/>
    <x v="2"/>
    <n v="4"/>
    <x v="0"/>
    <x v="1"/>
  </r>
  <r>
    <n v="686"/>
    <x v="195"/>
    <n v="22"/>
    <n v="4"/>
    <x v="1"/>
    <x v="2"/>
    <x v="6"/>
    <x v="6"/>
    <x v="4"/>
    <n v="6"/>
    <n v="44911.92"/>
    <n v="269471.52"/>
    <s v="Harish Mehta"/>
    <n v="57"/>
    <x v="7"/>
    <x v="0"/>
    <n v="5"/>
    <x v="0"/>
    <x v="7"/>
  </r>
  <r>
    <n v="687"/>
    <x v="196"/>
    <n v="23"/>
    <n v="4"/>
    <x v="1"/>
    <x v="2"/>
    <x v="6"/>
    <x v="0"/>
    <x v="4"/>
    <n v="9"/>
    <n v="13320.99"/>
    <n v="119888.91"/>
    <s v="Neeta Menon"/>
    <n v="39"/>
    <x v="2"/>
    <x v="1"/>
    <n v="5"/>
    <x v="0"/>
    <x v="7"/>
  </r>
  <r>
    <n v="688"/>
    <x v="196"/>
    <n v="23"/>
    <n v="4"/>
    <x v="1"/>
    <x v="2"/>
    <x v="6"/>
    <x v="0"/>
    <x v="3"/>
    <n v="4"/>
    <n v="18674.78"/>
    <n v="74699.12"/>
    <s v="Pankaj Shah"/>
    <n v="25"/>
    <x v="18"/>
    <x v="1"/>
    <n v="3"/>
    <x v="1"/>
    <x v="12"/>
  </r>
  <r>
    <n v="689"/>
    <x v="196"/>
    <n v="23"/>
    <n v="4"/>
    <x v="1"/>
    <x v="2"/>
    <x v="6"/>
    <x v="0"/>
    <x v="3"/>
    <n v="6"/>
    <n v="51715.5"/>
    <n v="310293"/>
    <s v="Prashant Deshmukh"/>
    <n v="32"/>
    <x v="1"/>
    <x v="1"/>
    <n v="5"/>
    <x v="0"/>
    <x v="8"/>
  </r>
  <r>
    <n v="690"/>
    <x v="196"/>
    <n v="23"/>
    <n v="4"/>
    <x v="1"/>
    <x v="2"/>
    <x v="6"/>
    <x v="0"/>
    <x v="1"/>
    <n v="4"/>
    <n v="18528.45"/>
    <n v="74113.8"/>
    <s v="Sunita Verma"/>
    <n v="24"/>
    <x v="1"/>
    <x v="1"/>
    <n v="5"/>
    <x v="0"/>
    <x v="1"/>
  </r>
  <r>
    <n v="691"/>
    <x v="197"/>
    <n v="24"/>
    <n v="4"/>
    <x v="1"/>
    <x v="2"/>
    <x v="6"/>
    <x v="1"/>
    <x v="2"/>
    <n v="1"/>
    <n v="48386.51"/>
    <n v="48386.51"/>
    <s v="Gita Teja"/>
    <n v="36"/>
    <x v="7"/>
    <x v="3"/>
    <n v="5"/>
    <x v="0"/>
    <x v="4"/>
  </r>
  <r>
    <n v="692"/>
    <x v="197"/>
    <n v="24"/>
    <n v="4"/>
    <x v="1"/>
    <x v="2"/>
    <x v="6"/>
    <x v="1"/>
    <x v="0"/>
    <n v="7"/>
    <n v="13281.08"/>
    <n v="92967.56"/>
    <s v="Sachin Goyal"/>
    <n v="57"/>
    <x v="13"/>
    <x v="0"/>
    <n v="3"/>
    <x v="1"/>
    <x v="3"/>
  </r>
  <r>
    <n v="693"/>
    <x v="197"/>
    <n v="24"/>
    <n v="4"/>
    <x v="1"/>
    <x v="2"/>
    <x v="6"/>
    <x v="1"/>
    <x v="3"/>
    <n v="6"/>
    <n v="34442.94"/>
    <n v="206657.64"/>
    <s v="Bina Goyal"/>
    <n v="59"/>
    <x v="0"/>
    <x v="3"/>
    <n v="5"/>
    <x v="0"/>
    <x v="5"/>
  </r>
  <r>
    <n v="694"/>
    <x v="197"/>
    <n v="24"/>
    <n v="4"/>
    <x v="1"/>
    <x v="2"/>
    <x v="6"/>
    <x v="1"/>
    <x v="4"/>
    <n v="9"/>
    <n v="20644.57"/>
    <n v="185801.13"/>
    <s v="Sneha Arora"/>
    <n v="34"/>
    <x v="1"/>
    <x v="0"/>
    <n v="5"/>
    <x v="0"/>
    <x v="11"/>
  </r>
  <r>
    <n v="695"/>
    <x v="198"/>
    <n v="25"/>
    <n v="4"/>
    <x v="1"/>
    <x v="2"/>
    <x v="6"/>
    <x v="2"/>
    <x v="1"/>
    <n v="7"/>
    <n v="16578.18"/>
    <n v="116047.26000000001"/>
    <s v="Ravi Reddy"/>
    <n v="18"/>
    <x v="14"/>
    <x v="0"/>
    <n v="5"/>
    <x v="0"/>
    <x v="2"/>
  </r>
  <r>
    <n v="696"/>
    <x v="198"/>
    <n v="25"/>
    <n v="4"/>
    <x v="1"/>
    <x v="2"/>
    <x v="6"/>
    <x v="2"/>
    <x v="0"/>
    <n v="7"/>
    <n v="44021.97"/>
    <n v="308153.79000000004"/>
    <s v="Navin Pathak"/>
    <n v="46"/>
    <x v="9"/>
    <x v="0"/>
    <n v="4"/>
    <x v="0"/>
    <x v="0"/>
  </r>
  <r>
    <n v="697"/>
    <x v="198"/>
    <n v="25"/>
    <n v="4"/>
    <x v="1"/>
    <x v="2"/>
    <x v="6"/>
    <x v="2"/>
    <x v="1"/>
    <n v="2"/>
    <n v="65700.149999999994"/>
    <n v="131400.29999999999"/>
    <s v="Nikhil Jain"/>
    <n v="30"/>
    <x v="2"/>
    <x v="2"/>
    <n v="3"/>
    <x v="1"/>
    <x v="9"/>
  </r>
  <r>
    <n v="698"/>
    <x v="199"/>
    <n v="26"/>
    <n v="4"/>
    <x v="1"/>
    <x v="2"/>
    <x v="6"/>
    <x v="3"/>
    <x v="0"/>
    <n v="9"/>
    <n v="13287.22"/>
    <n v="119584.98"/>
    <s v="Amit Ghosh"/>
    <n v="46"/>
    <x v="11"/>
    <x v="0"/>
    <n v="5"/>
    <x v="0"/>
    <x v="0"/>
  </r>
  <r>
    <n v="699"/>
    <x v="199"/>
    <n v="26"/>
    <n v="4"/>
    <x v="1"/>
    <x v="2"/>
    <x v="6"/>
    <x v="3"/>
    <x v="0"/>
    <n v="9"/>
    <n v="35293.25"/>
    <n v="317639.25"/>
    <s v="Lalita Rathod"/>
    <n v="58"/>
    <x v="2"/>
    <x v="1"/>
    <n v="5"/>
    <x v="0"/>
    <x v="0"/>
  </r>
  <r>
    <n v="700"/>
    <x v="199"/>
    <n v="26"/>
    <n v="4"/>
    <x v="1"/>
    <x v="2"/>
    <x v="6"/>
    <x v="3"/>
    <x v="3"/>
    <n v="6"/>
    <n v="52452.13"/>
    <n v="314712.77999999997"/>
    <s v="Isha Kaur"/>
    <n v="59"/>
    <x v="14"/>
    <x v="3"/>
    <n v="5"/>
    <x v="0"/>
    <x v="12"/>
  </r>
  <r>
    <n v="701"/>
    <x v="200"/>
    <n v="27"/>
    <n v="4"/>
    <x v="1"/>
    <x v="2"/>
    <x v="6"/>
    <x v="4"/>
    <x v="1"/>
    <n v="3"/>
    <n v="37761.269999999997"/>
    <n v="113283.81"/>
    <s v="Vivek Mishra"/>
    <n v="23"/>
    <x v="1"/>
    <x v="1"/>
    <n v="5"/>
    <x v="0"/>
    <x v="1"/>
  </r>
  <r>
    <n v="702"/>
    <x v="200"/>
    <n v="27"/>
    <n v="4"/>
    <x v="1"/>
    <x v="2"/>
    <x v="6"/>
    <x v="4"/>
    <x v="1"/>
    <n v="1"/>
    <n v="58389.760000000002"/>
    <n v="58389.760000000002"/>
    <s v="Kavita Desai"/>
    <n v="22"/>
    <x v="12"/>
    <x v="1"/>
    <n v="5"/>
    <x v="0"/>
    <x v="1"/>
  </r>
  <r>
    <n v="703"/>
    <x v="200"/>
    <n v="27"/>
    <n v="4"/>
    <x v="1"/>
    <x v="2"/>
    <x v="6"/>
    <x v="4"/>
    <x v="4"/>
    <n v="4"/>
    <n v="20778.72"/>
    <n v="83114.880000000005"/>
    <s v="Anjali Pathak"/>
    <n v="51"/>
    <x v="7"/>
    <x v="3"/>
    <n v="4"/>
    <x v="0"/>
    <x v="11"/>
  </r>
  <r>
    <n v="704"/>
    <x v="201"/>
    <n v="28"/>
    <n v="4"/>
    <x v="1"/>
    <x v="2"/>
    <x v="6"/>
    <x v="5"/>
    <x v="4"/>
    <n v="3"/>
    <n v="67575.649999999994"/>
    <n v="202726.94999999998"/>
    <s v="Monika Rathod"/>
    <n v="28"/>
    <x v="2"/>
    <x v="1"/>
    <n v="5"/>
    <x v="0"/>
    <x v="11"/>
  </r>
  <r>
    <n v="705"/>
    <x v="201"/>
    <n v="28"/>
    <n v="4"/>
    <x v="1"/>
    <x v="2"/>
    <x v="6"/>
    <x v="5"/>
    <x v="3"/>
    <n v="1"/>
    <n v="33109.760000000002"/>
    <n v="33109.760000000002"/>
    <s v="Anita Kulkarni"/>
    <n v="26"/>
    <x v="1"/>
    <x v="2"/>
    <n v="5"/>
    <x v="0"/>
    <x v="5"/>
  </r>
  <r>
    <n v="706"/>
    <x v="201"/>
    <n v="28"/>
    <n v="4"/>
    <x v="1"/>
    <x v="2"/>
    <x v="6"/>
    <x v="5"/>
    <x v="3"/>
    <n v="3"/>
    <n v="30494.18"/>
    <n v="91482.540000000008"/>
    <s v="Namita Patel"/>
    <n v="55"/>
    <x v="2"/>
    <x v="1"/>
    <n v="5"/>
    <x v="0"/>
    <x v="8"/>
  </r>
  <r>
    <n v="707"/>
    <x v="201"/>
    <n v="28"/>
    <n v="4"/>
    <x v="1"/>
    <x v="2"/>
    <x v="6"/>
    <x v="5"/>
    <x v="2"/>
    <n v="4"/>
    <n v="62476.35"/>
    <n v="249905.4"/>
    <s v="Priyanka Goyal"/>
    <n v="57"/>
    <x v="1"/>
    <x v="1"/>
    <n v="5"/>
    <x v="0"/>
    <x v="6"/>
  </r>
  <r>
    <n v="708"/>
    <x v="202"/>
    <n v="29"/>
    <n v="4"/>
    <x v="1"/>
    <x v="2"/>
    <x v="6"/>
    <x v="6"/>
    <x v="4"/>
    <n v="8"/>
    <n v="43832.02"/>
    <n v="350656.16"/>
    <s v="Bina Siddiqui"/>
    <n v="58"/>
    <x v="1"/>
    <x v="3"/>
    <n v="5"/>
    <x v="0"/>
    <x v="7"/>
  </r>
  <r>
    <n v="709"/>
    <x v="202"/>
    <n v="29"/>
    <n v="4"/>
    <x v="1"/>
    <x v="2"/>
    <x v="6"/>
    <x v="6"/>
    <x v="0"/>
    <n v="9"/>
    <n v="40986.660000000003"/>
    <n v="368879.94000000006"/>
    <s v="Meena Verma"/>
    <n v="26"/>
    <x v="4"/>
    <x v="1"/>
    <n v="5"/>
    <x v="0"/>
    <x v="10"/>
  </r>
  <r>
    <n v="710"/>
    <x v="202"/>
    <n v="29"/>
    <n v="4"/>
    <x v="1"/>
    <x v="2"/>
    <x v="6"/>
    <x v="6"/>
    <x v="1"/>
    <n v="3"/>
    <n v="53618.68"/>
    <n v="160856.04"/>
    <s v="Aditya Rao"/>
    <n v="25"/>
    <x v="16"/>
    <x v="3"/>
    <n v="5"/>
    <x v="0"/>
    <x v="2"/>
  </r>
  <r>
    <n v="711"/>
    <x v="203"/>
    <n v="30"/>
    <n v="4"/>
    <x v="1"/>
    <x v="2"/>
    <x v="6"/>
    <x v="0"/>
    <x v="3"/>
    <n v="6"/>
    <n v="44790.05"/>
    <n v="268740.30000000005"/>
    <s v="Rohan Goyal"/>
    <n v="57"/>
    <x v="2"/>
    <x v="0"/>
    <n v="3"/>
    <x v="1"/>
    <x v="8"/>
  </r>
  <r>
    <n v="712"/>
    <x v="203"/>
    <n v="30"/>
    <n v="4"/>
    <x v="1"/>
    <x v="2"/>
    <x v="6"/>
    <x v="0"/>
    <x v="1"/>
    <n v="5"/>
    <n v="19750.939999999999"/>
    <n v="98754.7"/>
    <s v="Amit Chatterjee"/>
    <n v="20"/>
    <x v="10"/>
    <x v="0"/>
    <n v="5"/>
    <x v="0"/>
    <x v="1"/>
  </r>
  <r>
    <n v="713"/>
    <x v="203"/>
    <n v="30"/>
    <n v="4"/>
    <x v="1"/>
    <x v="2"/>
    <x v="6"/>
    <x v="0"/>
    <x v="1"/>
    <n v="6"/>
    <n v="50451.86"/>
    <n v="302711.16000000003"/>
    <s v="Devendra Singh"/>
    <n v="30"/>
    <x v="8"/>
    <x v="2"/>
    <n v="5"/>
    <x v="0"/>
    <x v="1"/>
  </r>
  <r>
    <n v="714"/>
    <x v="204"/>
    <n v="1"/>
    <n v="5"/>
    <x v="1"/>
    <x v="2"/>
    <x v="7"/>
    <x v="1"/>
    <x v="2"/>
    <n v="4"/>
    <n v="18008.13"/>
    <n v="72032.52"/>
    <s v="Bhavana Malhotra"/>
    <n v="36"/>
    <x v="4"/>
    <x v="3"/>
    <n v="5"/>
    <x v="0"/>
    <x v="4"/>
  </r>
  <r>
    <n v="715"/>
    <x v="204"/>
    <n v="1"/>
    <n v="5"/>
    <x v="1"/>
    <x v="2"/>
    <x v="7"/>
    <x v="1"/>
    <x v="4"/>
    <n v="6"/>
    <n v="58351.46"/>
    <n v="350108.76"/>
    <s v="Lata Shah"/>
    <n v="51"/>
    <x v="13"/>
    <x v="3"/>
    <n v="4"/>
    <x v="0"/>
    <x v="11"/>
  </r>
  <r>
    <n v="716"/>
    <x v="204"/>
    <n v="1"/>
    <n v="5"/>
    <x v="1"/>
    <x v="2"/>
    <x v="7"/>
    <x v="1"/>
    <x v="3"/>
    <n v="7"/>
    <n v="69384.2"/>
    <n v="485689.39999999997"/>
    <s v="Vijay Malhotra"/>
    <n v="49"/>
    <x v="2"/>
    <x v="3"/>
    <n v="5"/>
    <x v="0"/>
    <x v="5"/>
  </r>
  <r>
    <n v="717"/>
    <x v="204"/>
    <n v="1"/>
    <n v="5"/>
    <x v="1"/>
    <x v="2"/>
    <x v="7"/>
    <x v="1"/>
    <x v="1"/>
    <n v="9"/>
    <n v="32643.26"/>
    <n v="293789.33999999997"/>
    <s v="Tapan Luthra"/>
    <n v="33"/>
    <x v="1"/>
    <x v="2"/>
    <n v="5"/>
    <x v="0"/>
    <x v="9"/>
  </r>
  <r>
    <n v="718"/>
    <x v="205"/>
    <n v="2"/>
    <n v="5"/>
    <x v="1"/>
    <x v="2"/>
    <x v="7"/>
    <x v="2"/>
    <x v="3"/>
    <n v="7"/>
    <n v="36685.35"/>
    <n v="256797.44999999998"/>
    <s v="Vivek Alva"/>
    <n v="53"/>
    <x v="1"/>
    <x v="2"/>
    <n v="4"/>
    <x v="0"/>
    <x v="8"/>
  </r>
  <r>
    <n v="719"/>
    <x v="205"/>
    <n v="2"/>
    <n v="5"/>
    <x v="1"/>
    <x v="2"/>
    <x v="7"/>
    <x v="2"/>
    <x v="0"/>
    <n v="6"/>
    <n v="12786.02"/>
    <n v="76716.12"/>
    <s v="Manoj Luthra"/>
    <n v="35"/>
    <x v="10"/>
    <x v="1"/>
    <n v="5"/>
    <x v="0"/>
    <x v="0"/>
  </r>
  <r>
    <n v="720"/>
    <x v="205"/>
    <n v="2"/>
    <n v="5"/>
    <x v="1"/>
    <x v="2"/>
    <x v="7"/>
    <x v="2"/>
    <x v="2"/>
    <n v="1"/>
    <n v="10823.99"/>
    <n v="10823.99"/>
    <s v="Sachin Jain"/>
    <n v="31"/>
    <x v="13"/>
    <x v="3"/>
    <n v="5"/>
    <x v="0"/>
    <x v="4"/>
  </r>
  <r>
    <n v="721"/>
    <x v="206"/>
    <n v="3"/>
    <n v="5"/>
    <x v="1"/>
    <x v="2"/>
    <x v="7"/>
    <x v="3"/>
    <x v="0"/>
    <n v="2"/>
    <n v="65285.16"/>
    <n v="130570.32"/>
    <s v="Sumit Joshi"/>
    <n v="47"/>
    <x v="10"/>
    <x v="2"/>
    <n v="5"/>
    <x v="0"/>
    <x v="10"/>
  </r>
  <r>
    <n v="722"/>
    <x v="206"/>
    <n v="3"/>
    <n v="5"/>
    <x v="1"/>
    <x v="2"/>
    <x v="7"/>
    <x v="3"/>
    <x v="3"/>
    <n v="1"/>
    <n v="17717.439999999999"/>
    <n v="17717.439999999999"/>
    <s v="Bhavana Varma"/>
    <n v="19"/>
    <x v="1"/>
    <x v="0"/>
    <n v="4"/>
    <x v="0"/>
    <x v="5"/>
  </r>
  <r>
    <n v="723"/>
    <x v="206"/>
    <n v="3"/>
    <n v="5"/>
    <x v="1"/>
    <x v="2"/>
    <x v="7"/>
    <x v="3"/>
    <x v="3"/>
    <n v="9"/>
    <n v="36746.720000000001"/>
    <n v="330720.48"/>
    <s v="Jyoti Alva"/>
    <n v="30"/>
    <x v="16"/>
    <x v="0"/>
    <n v="5"/>
    <x v="0"/>
    <x v="8"/>
  </r>
  <r>
    <n v="724"/>
    <x v="206"/>
    <n v="3"/>
    <n v="5"/>
    <x v="1"/>
    <x v="2"/>
    <x v="7"/>
    <x v="3"/>
    <x v="4"/>
    <n v="9"/>
    <n v="58921.279999999999"/>
    <n v="530291.52"/>
    <s v="Amit Ghosh"/>
    <n v="44"/>
    <x v="6"/>
    <x v="3"/>
    <n v="5"/>
    <x v="0"/>
    <x v="11"/>
  </r>
  <r>
    <n v="725"/>
    <x v="207"/>
    <n v="4"/>
    <n v="5"/>
    <x v="1"/>
    <x v="2"/>
    <x v="7"/>
    <x v="4"/>
    <x v="1"/>
    <n v="7"/>
    <n v="63359.13"/>
    <n v="443513.91"/>
    <s v="Arun Sheth"/>
    <n v="34"/>
    <x v="3"/>
    <x v="0"/>
    <n v="5"/>
    <x v="0"/>
    <x v="2"/>
  </r>
  <r>
    <n v="726"/>
    <x v="207"/>
    <n v="4"/>
    <n v="5"/>
    <x v="1"/>
    <x v="2"/>
    <x v="7"/>
    <x v="4"/>
    <x v="1"/>
    <n v="2"/>
    <n v="41163.86"/>
    <n v="82327.72"/>
    <s v="Meena Malhotra"/>
    <n v="48"/>
    <x v="1"/>
    <x v="1"/>
    <n v="4"/>
    <x v="0"/>
    <x v="1"/>
  </r>
  <r>
    <n v="727"/>
    <x v="207"/>
    <n v="4"/>
    <n v="5"/>
    <x v="1"/>
    <x v="2"/>
    <x v="7"/>
    <x v="4"/>
    <x v="0"/>
    <n v="6"/>
    <n v="43901.95"/>
    <n v="263411.69999999995"/>
    <s v="Pankaj Shah"/>
    <n v="32"/>
    <x v="8"/>
    <x v="1"/>
    <n v="4"/>
    <x v="0"/>
    <x v="10"/>
  </r>
  <r>
    <n v="728"/>
    <x v="207"/>
    <n v="4"/>
    <n v="5"/>
    <x v="1"/>
    <x v="2"/>
    <x v="7"/>
    <x v="4"/>
    <x v="2"/>
    <n v="4"/>
    <n v="50181.04"/>
    <n v="200724.16"/>
    <s v="Ravi Varma"/>
    <n v="37"/>
    <x v="7"/>
    <x v="3"/>
    <n v="5"/>
    <x v="0"/>
    <x v="13"/>
  </r>
  <r>
    <n v="729"/>
    <x v="208"/>
    <n v="5"/>
    <n v="5"/>
    <x v="1"/>
    <x v="2"/>
    <x v="7"/>
    <x v="5"/>
    <x v="1"/>
    <n v="1"/>
    <n v="67682.95"/>
    <n v="67682.95"/>
    <s v="Tanuja Reddy"/>
    <n v="22"/>
    <x v="1"/>
    <x v="2"/>
    <n v="4"/>
    <x v="0"/>
    <x v="9"/>
  </r>
  <r>
    <n v="730"/>
    <x v="208"/>
    <n v="5"/>
    <n v="5"/>
    <x v="1"/>
    <x v="2"/>
    <x v="7"/>
    <x v="5"/>
    <x v="4"/>
    <n v="1"/>
    <n v="46160.2"/>
    <n v="46160.2"/>
    <s v="Sunita Mehta"/>
    <n v="24"/>
    <x v="1"/>
    <x v="2"/>
    <n v="5"/>
    <x v="0"/>
    <x v="14"/>
  </r>
  <r>
    <n v="731"/>
    <x v="208"/>
    <n v="5"/>
    <n v="5"/>
    <x v="1"/>
    <x v="2"/>
    <x v="7"/>
    <x v="5"/>
    <x v="0"/>
    <n v="5"/>
    <n v="43568.52"/>
    <n v="217842.59999999998"/>
    <s v="Lalita Patel"/>
    <n v="35"/>
    <x v="7"/>
    <x v="2"/>
    <n v="4"/>
    <x v="0"/>
    <x v="0"/>
  </r>
  <r>
    <n v="732"/>
    <x v="208"/>
    <n v="5"/>
    <n v="5"/>
    <x v="1"/>
    <x v="2"/>
    <x v="7"/>
    <x v="5"/>
    <x v="0"/>
    <n v="2"/>
    <n v="10872.05"/>
    <n v="21744.1"/>
    <s v="Anjali Thakur"/>
    <n v="28"/>
    <x v="1"/>
    <x v="2"/>
    <n v="3"/>
    <x v="1"/>
    <x v="0"/>
  </r>
  <r>
    <n v="733"/>
    <x v="209"/>
    <n v="6"/>
    <n v="5"/>
    <x v="1"/>
    <x v="2"/>
    <x v="7"/>
    <x v="6"/>
    <x v="4"/>
    <n v="4"/>
    <n v="14856.98"/>
    <n v="59427.92"/>
    <s v="Yogesh Malhotra"/>
    <n v="49"/>
    <x v="1"/>
    <x v="3"/>
    <n v="5"/>
    <x v="0"/>
    <x v="11"/>
  </r>
  <r>
    <n v="734"/>
    <x v="209"/>
    <n v="6"/>
    <n v="5"/>
    <x v="1"/>
    <x v="2"/>
    <x v="7"/>
    <x v="6"/>
    <x v="2"/>
    <n v="1"/>
    <n v="44630.3"/>
    <n v="44630.3"/>
    <s v="Deepika Malhotra"/>
    <n v="44"/>
    <x v="13"/>
    <x v="1"/>
    <n v="5"/>
    <x v="0"/>
    <x v="13"/>
  </r>
  <r>
    <n v="735"/>
    <x v="209"/>
    <n v="6"/>
    <n v="5"/>
    <x v="1"/>
    <x v="2"/>
    <x v="7"/>
    <x v="6"/>
    <x v="4"/>
    <n v="4"/>
    <n v="66174.42"/>
    <n v="264697.68"/>
    <s v="Sunil Varma"/>
    <n v="43"/>
    <x v="1"/>
    <x v="3"/>
    <n v="5"/>
    <x v="0"/>
    <x v="7"/>
  </r>
  <r>
    <n v="736"/>
    <x v="210"/>
    <n v="7"/>
    <n v="5"/>
    <x v="1"/>
    <x v="2"/>
    <x v="7"/>
    <x v="0"/>
    <x v="2"/>
    <n v="6"/>
    <n v="62001.48"/>
    <n v="372008.88"/>
    <s v="Jyoti Iyer"/>
    <n v="54"/>
    <x v="2"/>
    <x v="3"/>
    <n v="5"/>
    <x v="0"/>
    <x v="4"/>
  </r>
  <r>
    <n v="737"/>
    <x v="210"/>
    <n v="7"/>
    <n v="5"/>
    <x v="1"/>
    <x v="2"/>
    <x v="7"/>
    <x v="0"/>
    <x v="4"/>
    <n v="4"/>
    <n v="68954.740000000005"/>
    <n v="275818.96000000002"/>
    <s v="Sneha Patel"/>
    <n v="45"/>
    <x v="1"/>
    <x v="0"/>
    <n v="3"/>
    <x v="1"/>
    <x v="14"/>
  </r>
  <r>
    <n v="738"/>
    <x v="210"/>
    <n v="7"/>
    <n v="5"/>
    <x v="1"/>
    <x v="2"/>
    <x v="7"/>
    <x v="0"/>
    <x v="4"/>
    <n v="1"/>
    <n v="41670.04"/>
    <n v="41670.04"/>
    <s v="Yogesh Roy"/>
    <n v="19"/>
    <x v="3"/>
    <x v="1"/>
    <n v="5"/>
    <x v="0"/>
    <x v="14"/>
  </r>
  <r>
    <n v="739"/>
    <x v="211"/>
    <n v="8"/>
    <n v="5"/>
    <x v="1"/>
    <x v="2"/>
    <x v="7"/>
    <x v="1"/>
    <x v="3"/>
    <n v="7"/>
    <n v="57275.86"/>
    <n v="400931.02"/>
    <s v="Kavita Siddiqui"/>
    <n v="37"/>
    <x v="1"/>
    <x v="2"/>
    <n v="5"/>
    <x v="0"/>
    <x v="12"/>
  </r>
  <r>
    <n v="740"/>
    <x v="211"/>
    <n v="8"/>
    <n v="5"/>
    <x v="1"/>
    <x v="2"/>
    <x v="7"/>
    <x v="1"/>
    <x v="0"/>
    <n v="2"/>
    <n v="60424.02"/>
    <n v="120848.04"/>
    <s v="Pooja Arora"/>
    <n v="21"/>
    <x v="1"/>
    <x v="1"/>
    <n v="5"/>
    <x v="0"/>
    <x v="0"/>
  </r>
  <r>
    <n v="741"/>
    <x v="211"/>
    <n v="8"/>
    <n v="5"/>
    <x v="1"/>
    <x v="2"/>
    <x v="7"/>
    <x v="1"/>
    <x v="4"/>
    <n v="9"/>
    <n v="48881.9"/>
    <n v="439937.10000000003"/>
    <s v="Arun Ghosh"/>
    <n v="30"/>
    <x v="14"/>
    <x v="0"/>
    <n v="5"/>
    <x v="0"/>
    <x v="14"/>
  </r>
  <r>
    <n v="742"/>
    <x v="212"/>
    <n v="9"/>
    <n v="5"/>
    <x v="1"/>
    <x v="2"/>
    <x v="7"/>
    <x v="2"/>
    <x v="4"/>
    <n v="3"/>
    <n v="30324.99"/>
    <n v="90974.97"/>
    <s v="Aditya Luthra"/>
    <n v="41"/>
    <x v="18"/>
    <x v="3"/>
    <n v="5"/>
    <x v="0"/>
    <x v="14"/>
  </r>
  <r>
    <n v="743"/>
    <x v="212"/>
    <n v="9"/>
    <n v="5"/>
    <x v="1"/>
    <x v="2"/>
    <x v="7"/>
    <x v="2"/>
    <x v="1"/>
    <n v="8"/>
    <n v="38198.71"/>
    <n v="305589.68"/>
    <s v="Navin Chaudhary"/>
    <n v="55"/>
    <x v="18"/>
    <x v="1"/>
    <n v="4"/>
    <x v="0"/>
    <x v="9"/>
  </r>
  <r>
    <n v="744"/>
    <x v="212"/>
    <n v="9"/>
    <n v="5"/>
    <x v="1"/>
    <x v="2"/>
    <x v="7"/>
    <x v="2"/>
    <x v="0"/>
    <n v="8"/>
    <n v="61475.02"/>
    <n v="491800.16"/>
    <s v="Kunal Deshmukh"/>
    <n v="57"/>
    <x v="1"/>
    <x v="0"/>
    <n v="5"/>
    <x v="0"/>
    <x v="10"/>
  </r>
  <r>
    <n v="745"/>
    <x v="213"/>
    <n v="10"/>
    <n v="5"/>
    <x v="1"/>
    <x v="2"/>
    <x v="7"/>
    <x v="3"/>
    <x v="1"/>
    <n v="3"/>
    <n v="27912.880000000001"/>
    <n v="83738.64"/>
    <s v="Pankaj Srivastava"/>
    <n v="46"/>
    <x v="2"/>
    <x v="3"/>
    <n v="5"/>
    <x v="0"/>
    <x v="1"/>
  </r>
  <r>
    <n v="746"/>
    <x v="213"/>
    <n v="10"/>
    <n v="5"/>
    <x v="1"/>
    <x v="2"/>
    <x v="7"/>
    <x v="3"/>
    <x v="0"/>
    <n v="4"/>
    <n v="65424.59"/>
    <n v="261698.36"/>
    <s v="Krishna Pillai"/>
    <n v="53"/>
    <x v="1"/>
    <x v="2"/>
    <n v="3"/>
    <x v="1"/>
    <x v="0"/>
  </r>
  <r>
    <n v="747"/>
    <x v="213"/>
    <n v="10"/>
    <n v="5"/>
    <x v="1"/>
    <x v="2"/>
    <x v="7"/>
    <x v="3"/>
    <x v="1"/>
    <n v="2"/>
    <n v="23788.38"/>
    <n v="47576.76"/>
    <s v="Mala Mathur"/>
    <n v="19"/>
    <x v="1"/>
    <x v="1"/>
    <n v="5"/>
    <x v="0"/>
    <x v="9"/>
  </r>
  <r>
    <n v="748"/>
    <x v="214"/>
    <n v="11"/>
    <n v="5"/>
    <x v="1"/>
    <x v="2"/>
    <x v="7"/>
    <x v="4"/>
    <x v="4"/>
    <n v="4"/>
    <n v="54970.98"/>
    <n v="219883.92"/>
    <s v="Navin Kapoor"/>
    <n v="58"/>
    <x v="1"/>
    <x v="2"/>
    <n v="4"/>
    <x v="0"/>
    <x v="11"/>
  </r>
  <r>
    <n v="749"/>
    <x v="214"/>
    <n v="11"/>
    <n v="5"/>
    <x v="1"/>
    <x v="2"/>
    <x v="7"/>
    <x v="4"/>
    <x v="4"/>
    <n v="9"/>
    <n v="47833.55"/>
    <n v="430501.95"/>
    <s v="Neeta Ghosh"/>
    <n v="35"/>
    <x v="2"/>
    <x v="2"/>
    <n v="4"/>
    <x v="0"/>
    <x v="14"/>
  </r>
  <r>
    <n v="750"/>
    <x v="214"/>
    <n v="11"/>
    <n v="5"/>
    <x v="1"/>
    <x v="2"/>
    <x v="7"/>
    <x v="4"/>
    <x v="3"/>
    <n v="2"/>
    <n v="54975.97"/>
    <n v="109951.94"/>
    <s v="Manoj Kulkarni"/>
    <n v="25"/>
    <x v="1"/>
    <x v="0"/>
    <n v="5"/>
    <x v="0"/>
    <x v="12"/>
  </r>
  <r>
    <n v="751"/>
    <x v="215"/>
    <n v="12"/>
    <n v="5"/>
    <x v="1"/>
    <x v="2"/>
    <x v="7"/>
    <x v="5"/>
    <x v="1"/>
    <n v="3"/>
    <n v="36240.85"/>
    <n v="108722.54999999999"/>
    <s v="Ravi Ghosh"/>
    <n v="32"/>
    <x v="2"/>
    <x v="0"/>
    <n v="5"/>
    <x v="0"/>
    <x v="2"/>
  </r>
  <r>
    <n v="752"/>
    <x v="215"/>
    <n v="12"/>
    <n v="5"/>
    <x v="1"/>
    <x v="2"/>
    <x v="7"/>
    <x v="5"/>
    <x v="2"/>
    <n v="4"/>
    <n v="65958.460000000006"/>
    <n v="263833.84000000003"/>
    <s v="Kiran Siddiqui"/>
    <n v="58"/>
    <x v="12"/>
    <x v="3"/>
    <n v="5"/>
    <x v="0"/>
    <x v="13"/>
  </r>
  <r>
    <n v="753"/>
    <x v="215"/>
    <n v="12"/>
    <n v="5"/>
    <x v="1"/>
    <x v="2"/>
    <x v="7"/>
    <x v="5"/>
    <x v="3"/>
    <n v="5"/>
    <n v="47948.33"/>
    <n v="239741.65000000002"/>
    <s v="Mala Verma"/>
    <n v="34"/>
    <x v="5"/>
    <x v="2"/>
    <n v="4"/>
    <x v="0"/>
    <x v="8"/>
  </r>
  <r>
    <n v="754"/>
    <x v="216"/>
    <n v="13"/>
    <n v="5"/>
    <x v="1"/>
    <x v="2"/>
    <x v="7"/>
    <x v="6"/>
    <x v="1"/>
    <n v="1"/>
    <n v="27297.75"/>
    <n v="27297.75"/>
    <s v="Jyoti Ahuja"/>
    <n v="40"/>
    <x v="1"/>
    <x v="0"/>
    <n v="4"/>
    <x v="0"/>
    <x v="9"/>
  </r>
  <r>
    <n v="755"/>
    <x v="216"/>
    <n v="13"/>
    <n v="5"/>
    <x v="1"/>
    <x v="2"/>
    <x v="7"/>
    <x v="6"/>
    <x v="1"/>
    <n v="7"/>
    <n v="48307.3"/>
    <n v="338151.10000000003"/>
    <s v="Umesh Kaur"/>
    <n v="19"/>
    <x v="2"/>
    <x v="0"/>
    <n v="3"/>
    <x v="1"/>
    <x v="2"/>
  </r>
  <r>
    <n v="756"/>
    <x v="216"/>
    <n v="13"/>
    <n v="5"/>
    <x v="1"/>
    <x v="2"/>
    <x v="7"/>
    <x v="6"/>
    <x v="3"/>
    <n v="7"/>
    <n v="27208.94"/>
    <n v="190462.58"/>
    <s v="Nikhil Varma"/>
    <n v="23"/>
    <x v="13"/>
    <x v="2"/>
    <n v="3"/>
    <x v="1"/>
    <x v="12"/>
  </r>
  <r>
    <n v="757"/>
    <x v="216"/>
    <n v="13"/>
    <n v="5"/>
    <x v="1"/>
    <x v="2"/>
    <x v="7"/>
    <x v="6"/>
    <x v="4"/>
    <n v="9"/>
    <n v="27617.94"/>
    <n v="248561.46"/>
    <s v="Namita Mehta"/>
    <n v="46"/>
    <x v="11"/>
    <x v="3"/>
    <n v="4"/>
    <x v="0"/>
    <x v="7"/>
  </r>
  <r>
    <n v="758"/>
    <x v="217"/>
    <n v="14"/>
    <n v="5"/>
    <x v="1"/>
    <x v="2"/>
    <x v="7"/>
    <x v="0"/>
    <x v="1"/>
    <n v="4"/>
    <n v="33975.910000000003"/>
    <n v="135903.64000000001"/>
    <s v="Isha Dutta"/>
    <n v="44"/>
    <x v="6"/>
    <x v="2"/>
    <n v="3"/>
    <x v="1"/>
    <x v="2"/>
  </r>
  <r>
    <n v="759"/>
    <x v="217"/>
    <n v="14"/>
    <n v="5"/>
    <x v="1"/>
    <x v="2"/>
    <x v="7"/>
    <x v="0"/>
    <x v="4"/>
    <n v="6"/>
    <n v="61145.83"/>
    <n v="366874.98"/>
    <s v="Vinod Arora"/>
    <n v="54"/>
    <x v="5"/>
    <x v="3"/>
    <n v="3"/>
    <x v="1"/>
    <x v="11"/>
  </r>
  <r>
    <n v="760"/>
    <x v="217"/>
    <n v="14"/>
    <n v="5"/>
    <x v="1"/>
    <x v="2"/>
    <x v="7"/>
    <x v="0"/>
    <x v="3"/>
    <n v="2"/>
    <n v="40017.870000000003"/>
    <n v="80035.740000000005"/>
    <s v="Meena Mathur"/>
    <n v="51"/>
    <x v="2"/>
    <x v="3"/>
    <n v="3"/>
    <x v="1"/>
    <x v="12"/>
  </r>
  <r>
    <n v="761"/>
    <x v="218"/>
    <n v="15"/>
    <n v="5"/>
    <x v="1"/>
    <x v="2"/>
    <x v="7"/>
    <x v="1"/>
    <x v="4"/>
    <n v="4"/>
    <n v="50734.05"/>
    <n v="202936.2"/>
    <s v="Sunil Kumar"/>
    <n v="35"/>
    <x v="6"/>
    <x v="0"/>
    <n v="4"/>
    <x v="0"/>
    <x v="11"/>
  </r>
  <r>
    <n v="762"/>
    <x v="218"/>
    <n v="15"/>
    <n v="5"/>
    <x v="1"/>
    <x v="2"/>
    <x v="7"/>
    <x v="1"/>
    <x v="0"/>
    <n v="2"/>
    <n v="33518.06"/>
    <n v="67036.12"/>
    <s v="Rohan Singh"/>
    <n v="59"/>
    <x v="1"/>
    <x v="2"/>
    <n v="5"/>
    <x v="0"/>
    <x v="3"/>
  </r>
  <r>
    <n v="763"/>
    <x v="218"/>
    <n v="15"/>
    <n v="5"/>
    <x v="1"/>
    <x v="2"/>
    <x v="7"/>
    <x v="1"/>
    <x v="2"/>
    <n v="5"/>
    <n v="25816.33"/>
    <n v="129081.65000000001"/>
    <s v="Anand Kapoor"/>
    <n v="27"/>
    <x v="5"/>
    <x v="2"/>
    <n v="5"/>
    <x v="0"/>
    <x v="13"/>
  </r>
  <r>
    <n v="764"/>
    <x v="218"/>
    <n v="15"/>
    <n v="5"/>
    <x v="1"/>
    <x v="2"/>
    <x v="7"/>
    <x v="1"/>
    <x v="1"/>
    <n v="7"/>
    <n v="67278.41"/>
    <n v="470948.87"/>
    <s v="Mala Ghosh"/>
    <n v="55"/>
    <x v="11"/>
    <x v="0"/>
    <n v="5"/>
    <x v="0"/>
    <x v="2"/>
  </r>
  <r>
    <n v="765"/>
    <x v="219"/>
    <n v="16"/>
    <n v="5"/>
    <x v="1"/>
    <x v="2"/>
    <x v="7"/>
    <x v="2"/>
    <x v="2"/>
    <n v="1"/>
    <n v="46214.87"/>
    <n v="46214.87"/>
    <s v="Priya Kaur"/>
    <n v="34"/>
    <x v="2"/>
    <x v="1"/>
    <n v="3"/>
    <x v="1"/>
    <x v="6"/>
  </r>
  <r>
    <n v="766"/>
    <x v="219"/>
    <n v="16"/>
    <n v="5"/>
    <x v="1"/>
    <x v="2"/>
    <x v="7"/>
    <x v="2"/>
    <x v="4"/>
    <n v="7"/>
    <n v="66037.08"/>
    <n v="462259.56"/>
    <s v="Meena Joshi"/>
    <n v="30"/>
    <x v="2"/>
    <x v="1"/>
    <n v="5"/>
    <x v="0"/>
    <x v="14"/>
  </r>
  <r>
    <n v="767"/>
    <x v="219"/>
    <n v="16"/>
    <n v="5"/>
    <x v="1"/>
    <x v="2"/>
    <x v="7"/>
    <x v="2"/>
    <x v="1"/>
    <n v="6"/>
    <n v="22204.78"/>
    <n v="133228.68"/>
    <s v="Sachin Joshi"/>
    <n v="59"/>
    <x v="6"/>
    <x v="2"/>
    <n v="5"/>
    <x v="0"/>
    <x v="9"/>
  </r>
  <r>
    <n v="768"/>
    <x v="220"/>
    <n v="17"/>
    <n v="5"/>
    <x v="1"/>
    <x v="2"/>
    <x v="7"/>
    <x v="3"/>
    <x v="4"/>
    <n v="6"/>
    <n v="18813.650000000001"/>
    <n v="112881.90000000001"/>
    <s v="Arun Dutta"/>
    <n v="44"/>
    <x v="18"/>
    <x v="0"/>
    <n v="5"/>
    <x v="0"/>
    <x v="7"/>
  </r>
  <r>
    <n v="769"/>
    <x v="220"/>
    <n v="17"/>
    <n v="5"/>
    <x v="1"/>
    <x v="2"/>
    <x v="7"/>
    <x v="3"/>
    <x v="0"/>
    <n v="8"/>
    <n v="61349.37"/>
    <n v="490794.96"/>
    <s v="Sunita Nair"/>
    <n v="19"/>
    <x v="6"/>
    <x v="3"/>
    <n v="3"/>
    <x v="1"/>
    <x v="3"/>
  </r>
  <r>
    <n v="770"/>
    <x v="220"/>
    <n v="17"/>
    <n v="5"/>
    <x v="1"/>
    <x v="2"/>
    <x v="7"/>
    <x v="3"/>
    <x v="3"/>
    <n v="8"/>
    <n v="50855.03"/>
    <n v="406840.24"/>
    <s v="Rajesh Kaur"/>
    <n v="51"/>
    <x v="17"/>
    <x v="3"/>
    <n v="5"/>
    <x v="0"/>
    <x v="12"/>
  </r>
  <r>
    <n v="771"/>
    <x v="221"/>
    <n v="18"/>
    <n v="5"/>
    <x v="1"/>
    <x v="2"/>
    <x v="7"/>
    <x v="4"/>
    <x v="1"/>
    <n v="6"/>
    <n v="21194.71"/>
    <n v="127168.26"/>
    <s v="Anand Kaur"/>
    <n v="48"/>
    <x v="9"/>
    <x v="2"/>
    <n v="5"/>
    <x v="0"/>
    <x v="2"/>
  </r>
  <r>
    <n v="772"/>
    <x v="221"/>
    <n v="18"/>
    <n v="5"/>
    <x v="1"/>
    <x v="2"/>
    <x v="7"/>
    <x v="4"/>
    <x v="0"/>
    <n v="3"/>
    <n v="26161.58"/>
    <n v="78484.740000000005"/>
    <s v="Kunal Yadav"/>
    <n v="40"/>
    <x v="2"/>
    <x v="0"/>
    <n v="5"/>
    <x v="0"/>
    <x v="10"/>
  </r>
  <r>
    <n v="773"/>
    <x v="221"/>
    <n v="18"/>
    <n v="5"/>
    <x v="1"/>
    <x v="2"/>
    <x v="7"/>
    <x v="4"/>
    <x v="0"/>
    <n v="5"/>
    <n v="58039.839999999997"/>
    <n v="290199.19999999995"/>
    <s v="Rohan Sheth"/>
    <n v="24"/>
    <x v="1"/>
    <x v="2"/>
    <n v="5"/>
    <x v="0"/>
    <x v="3"/>
  </r>
  <r>
    <n v="774"/>
    <x v="222"/>
    <n v="19"/>
    <n v="5"/>
    <x v="1"/>
    <x v="2"/>
    <x v="7"/>
    <x v="5"/>
    <x v="1"/>
    <n v="2"/>
    <n v="37232.120000000003"/>
    <n v="74464.240000000005"/>
    <s v="Vivek Bhattacharya"/>
    <n v="55"/>
    <x v="12"/>
    <x v="2"/>
    <n v="5"/>
    <x v="0"/>
    <x v="1"/>
  </r>
  <r>
    <n v="775"/>
    <x v="222"/>
    <n v="19"/>
    <n v="5"/>
    <x v="1"/>
    <x v="2"/>
    <x v="7"/>
    <x v="5"/>
    <x v="4"/>
    <n v="5"/>
    <n v="50232.43"/>
    <n v="251162.15"/>
    <s v="Ravi Gupta"/>
    <n v="50"/>
    <x v="1"/>
    <x v="0"/>
    <n v="3"/>
    <x v="1"/>
    <x v="14"/>
  </r>
  <r>
    <n v="776"/>
    <x v="222"/>
    <n v="19"/>
    <n v="5"/>
    <x v="1"/>
    <x v="2"/>
    <x v="7"/>
    <x v="5"/>
    <x v="0"/>
    <n v="9"/>
    <n v="29101.119999999999"/>
    <n v="261910.08"/>
    <s v="Ravi Bhattacharya"/>
    <n v="29"/>
    <x v="1"/>
    <x v="2"/>
    <n v="5"/>
    <x v="0"/>
    <x v="3"/>
  </r>
  <r>
    <n v="777"/>
    <x v="222"/>
    <n v="19"/>
    <n v="5"/>
    <x v="1"/>
    <x v="2"/>
    <x v="7"/>
    <x v="5"/>
    <x v="2"/>
    <n v="1"/>
    <n v="32873.800000000003"/>
    <n v="32873.800000000003"/>
    <s v="Deepika Shah"/>
    <n v="29"/>
    <x v="10"/>
    <x v="3"/>
    <n v="4"/>
    <x v="0"/>
    <x v="4"/>
  </r>
  <r>
    <n v="778"/>
    <x v="223"/>
    <n v="20"/>
    <n v="5"/>
    <x v="1"/>
    <x v="2"/>
    <x v="7"/>
    <x v="6"/>
    <x v="0"/>
    <n v="5"/>
    <n v="69442.75"/>
    <n v="347213.75"/>
    <s v="Shruti Shah"/>
    <n v="36"/>
    <x v="2"/>
    <x v="1"/>
    <n v="3"/>
    <x v="1"/>
    <x v="0"/>
  </r>
  <r>
    <n v="779"/>
    <x v="223"/>
    <n v="20"/>
    <n v="5"/>
    <x v="1"/>
    <x v="2"/>
    <x v="7"/>
    <x v="6"/>
    <x v="4"/>
    <n v="6"/>
    <n v="24857.03"/>
    <n v="149142.18"/>
    <s v="Namita Mehta"/>
    <n v="26"/>
    <x v="1"/>
    <x v="3"/>
    <n v="4"/>
    <x v="0"/>
    <x v="7"/>
  </r>
  <r>
    <n v="780"/>
    <x v="223"/>
    <n v="20"/>
    <n v="5"/>
    <x v="1"/>
    <x v="2"/>
    <x v="7"/>
    <x v="6"/>
    <x v="4"/>
    <n v="7"/>
    <n v="40387.379999999997"/>
    <n v="282711.65999999997"/>
    <s v="Radha Pathak"/>
    <n v="27"/>
    <x v="11"/>
    <x v="1"/>
    <n v="5"/>
    <x v="0"/>
    <x v="11"/>
  </r>
  <r>
    <n v="781"/>
    <x v="223"/>
    <n v="20"/>
    <n v="5"/>
    <x v="1"/>
    <x v="2"/>
    <x v="7"/>
    <x v="6"/>
    <x v="2"/>
    <n v="9"/>
    <n v="60664.14"/>
    <n v="545977.26"/>
    <s v="Arun Chaudhary"/>
    <n v="34"/>
    <x v="1"/>
    <x v="0"/>
    <n v="5"/>
    <x v="0"/>
    <x v="6"/>
  </r>
  <r>
    <n v="782"/>
    <x v="224"/>
    <n v="21"/>
    <n v="5"/>
    <x v="1"/>
    <x v="2"/>
    <x v="7"/>
    <x v="0"/>
    <x v="0"/>
    <n v="6"/>
    <n v="24353.39"/>
    <n v="146120.34"/>
    <s v="Arun Goyal"/>
    <n v="57"/>
    <x v="1"/>
    <x v="2"/>
    <n v="3"/>
    <x v="1"/>
    <x v="3"/>
  </r>
  <r>
    <n v="783"/>
    <x v="224"/>
    <n v="21"/>
    <n v="5"/>
    <x v="1"/>
    <x v="2"/>
    <x v="7"/>
    <x v="0"/>
    <x v="4"/>
    <n v="5"/>
    <n v="34912.83"/>
    <n v="174564.15000000002"/>
    <s v="Umesh Srivastava"/>
    <n v="56"/>
    <x v="16"/>
    <x v="1"/>
    <n v="3"/>
    <x v="1"/>
    <x v="14"/>
  </r>
  <r>
    <n v="784"/>
    <x v="224"/>
    <n v="21"/>
    <n v="5"/>
    <x v="1"/>
    <x v="2"/>
    <x v="7"/>
    <x v="0"/>
    <x v="1"/>
    <n v="7"/>
    <n v="46905.48"/>
    <n v="328338.36000000004"/>
    <s v="Deepika Patel"/>
    <n v="58"/>
    <x v="8"/>
    <x v="0"/>
    <n v="5"/>
    <x v="0"/>
    <x v="9"/>
  </r>
  <r>
    <n v="785"/>
    <x v="224"/>
    <n v="21"/>
    <n v="5"/>
    <x v="1"/>
    <x v="2"/>
    <x v="7"/>
    <x v="0"/>
    <x v="3"/>
    <n v="1"/>
    <n v="38871.29"/>
    <n v="38871.29"/>
    <s v="Amit Prasad"/>
    <n v="27"/>
    <x v="2"/>
    <x v="0"/>
    <n v="2"/>
    <x v="2"/>
    <x v="12"/>
  </r>
  <r>
    <n v="786"/>
    <x v="225"/>
    <n v="22"/>
    <n v="5"/>
    <x v="1"/>
    <x v="2"/>
    <x v="7"/>
    <x v="1"/>
    <x v="3"/>
    <n v="5"/>
    <n v="37570.14"/>
    <n v="187850.7"/>
    <s v="Yogesh Sharma"/>
    <n v="29"/>
    <x v="1"/>
    <x v="0"/>
    <n v="5"/>
    <x v="0"/>
    <x v="12"/>
  </r>
  <r>
    <n v="787"/>
    <x v="225"/>
    <n v="22"/>
    <n v="5"/>
    <x v="1"/>
    <x v="2"/>
    <x v="7"/>
    <x v="1"/>
    <x v="3"/>
    <n v="2"/>
    <n v="31750.58"/>
    <n v="63501.16"/>
    <s v="Monika Deshmukh"/>
    <n v="32"/>
    <x v="1"/>
    <x v="3"/>
    <n v="5"/>
    <x v="0"/>
    <x v="5"/>
  </r>
  <r>
    <n v="788"/>
    <x v="225"/>
    <n v="22"/>
    <n v="5"/>
    <x v="1"/>
    <x v="2"/>
    <x v="7"/>
    <x v="1"/>
    <x v="0"/>
    <n v="4"/>
    <n v="45198.78"/>
    <n v="180795.12"/>
    <s v="Tanuja Dutta"/>
    <n v="48"/>
    <x v="11"/>
    <x v="3"/>
    <n v="3"/>
    <x v="1"/>
    <x v="0"/>
  </r>
  <r>
    <n v="789"/>
    <x v="225"/>
    <n v="22"/>
    <n v="5"/>
    <x v="1"/>
    <x v="2"/>
    <x v="7"/>
    <x v="1"/>
    <x v="2"/>
    <n v="7"/>
    <n v="47462.36"/>
    <n v="332236.52"/>
    <s v="Sunil Patel"/>
    <n v="32"/>
    <x v="16"/>
    <x v="1"/>
    <n v="2"/>
    <x v="2"/>
    <x v="13"/>
  </r>
  <r>
    <n v="790"/>
    <x v="226"/>
    <n v="23"/>
    <n v="5"/>
    <x v="1"/>
    <x v="2"/>
    <x v="7"/>
    <x v="2"/>
    <x v="4"/>
    <n v="5"/>
    <n v="49197.37"/>
    <n v="245986.85"/>
    <s v="Amit Sheth"/>
    <n v="45"/>
    <x v="2"/>
    <x v="1"/>
    <n v="3"/>
    <x v="1"/>
    <x v="14"/>
  </r>
  <r>
    <n v="791"/>
    <x v="226"/>
    <n v="23"/>
    <n v="5"/>
    <x v="1"/>
    <x v="2"/>
    <x v="7"/>
    <x v="2"/>
    <x v="1"/>
    <n v="6"/>
    <n v="14222.09"/>
    <n v="85332.540000000008"/>
    <s v="Vivek Luthra"/>
    <n v="21"/>
    <x v="2"/>
    <x v="3"/>
    <n v="4"/>
    <x v="0"/>
    <x v="2"/>
  </r>
  <r>
    <n v="792"/>
    <x v="226"/>
    <n v="23"/>
    <n v="5"/>
    <x v="1"/>
    <x v="2"/>
    <x v="7"/>
    <x v="2"/>
    <x v="1"/>
    <n v="2"/>
    <n v="47862.05"/>
    <n v="95724.1"/>
    <s v="Radha Alva"/>
    <n v="53"/>
    <x v="3"/>
    <x v="1"/>
    <n v="3"/>
    <x v="1"/>
    <x v="2"/>
  </r>
  <r>
    <n v="793"/>
    <x v="227"/>
    <n v="24"/>
    <n v="5"/>
    <x v="1"/>
    <x v="2"/>
    <x v="7"/>
    <x v="3"/>
    <x v="0"/>
    <n v="3"/>
    <n v="67194.23"/>
    <n v="201582.69"/>
    <s v="Radha Alva"/>
    <n v="18"/>
    <x v="9"/>
    <x v="1"/>
    <n v="5"/>
    <x v="0"/>
    <x v="3"/>
  </r>
  <r>
    <n v="794"/>
    <x v="227"/>
    <n v="24"/>
    <n v="5"/>
    <x v="1"/>
    <x v="2"/>
    <x v="7"/>
    <x v="3"/>
    <x v="3"/>
    <n v="7"/>
    <n v="42459.17"/>
    <n v="297214.19"/>
    <s v="Tapan Rawat"/>
    <n v="51"/>
    <x v="2"/>
    <x v="2"/>
    <n v="5"/>
    <x v="0"/>
    <x v="12"/>
  </r>
  <r>
    <n v="795"/>
    <x v="227"/>
    <n v="24"/>
    <n v="5"/>
    <x v="1"/>
    <x v="2"/>
    <x v="7"/>
    <x v="3"/>
    <x v="0"/>
    <n v="2"/>
    <n v="52916.02"/>
    <n v="105832.04"/>
    <s v="Sumit Roy"/>
    <n v="34"/>
    <x v="0"/>
    <x v="1"/>
    <n v="3"/>
    <x v="1"/>
    <x v="3"/>
  </r>
  <r>
    <n v="796"/>
    <x v="227"/>
    <n v="24"/>
    <n v="5"/>
    <x v="1"/>
    <x v="2"/>
    <x v="7"/>
    <x v="3"/>
    <x v="2"/>
    <n v="6"/>
    <n v="43403.94"/>
    <n v="260423.64"/>
    <s v="Sachin Shah"/>
    <n v="56"/>
    <x v="1"/>
    <x v="0"/>
    <n v="4"/>
    <x v="0"/>
    <x v="13"/>
  </r>
  <r>
    <n v="797"/>
    <x v="228"/>
    <n v="25"/>
    <n v="5"/>
    <x v="1"/>
    <x v="2"/>
    <x v="7"/>
    <x v="4"/>
    <x v="2"/>
    <n v="5"/>
    <n v="61284.44"/>
    <n v="306422.2"/>
    <s v="Sunil Jain"/>
    <n v="55"/>
    <x v="2"/>
    <x v="2"/>
    <n v="4"/>
    <x v="0"/>
    <x v="13"/>
  </r>
  <r>
    <n v="798"/>
    <x v="228"/>
    <n v="25"/>
    <n v="5"/>
    <x v="1"/>
    <x v="2"/>
    <x v="7"/>
    <x v="4"/>
    <x v="4"/>
    <n v="1"/>
    <n v="65774.990000000005"/>
    <n v="65774.990000000005"/>
    <s v="Bina Mishra"/>
    <n v="50"/>
    <x v="0"/>
    <x v="1"/>
    <n v="5"/>
    <x v="0"/>
    <x v="14"/>
  </r>
  <r>
    <n v="799"/>
    <x v="228"/>
    <n v="25"/>
    <n v="5"/>
    <x v="1"/>
    <x v="2"/>
    <x v="7"/>
    <x v="4"/>
    <x v="4"/>
    <n v="4"/>
    <n v="21053.19"/>
    <n v="84212.76"/>
    <s v="Arun Yadav"/>
    <n v="38"/>
    <x v="16"/>
    <x v="2"/>
    <n v="4"/>
    <x v="0"/>
    <x v="11"/>
  </r>
  <r>
    <n v="800"/>
    <x v="229"/>
    <n v="26"/>
    <n v="5"/>
    <x v="1"/>
    <x v="2"/>
    <x v="7"/>
    <x v="5"/>
    <x v="2"/>
    <n v="2"/>
    <n v="36211.599999999999"/>
    <n v="72423.199999999997"/>
    <s v="Jyoti Bhattacharya"/>
    <n v="43"/>
    <x v="1"/>
    <x v="0"/>
    <n v="5"/>
    <x v="0"/>
    <x v="6"/>
  </r>
  <r>
    <n v="801"/>
    <x v="229"/>
    <n v="26"/>
    <n v="5"/>
    <x v="1"/>
    <x v="2"/>
    <x v="7"/>
    <x v="5"/>
    <x v="2"/>
    <n v="4"/>
    <n v="33542.93"/>
    <n v="134171.72"/>
    <s v="Sunita Teja"/>
    <n v="53"/>
    <x v="7"/>
    <x v="1"/>
    <n v="5"/>
    <x v="0"/>
    <x v="13"/>
  </r>
  <r>
    <n v="802"/>
    <x v="229"/>
    <n v="26"/>
    <n v="5"/>
    <x v="1"/>
    <x v="2"/>
    <x v="7"/>
    <x v="5"/>
    <x v="2"/>
    <n v="1"/>
    <n v="34312.910000000003"/>
    <n v="34312.910000000003"/>
    <s v="Kiran Siddiqui"/>
    <n v="22"/>
    <x v="12"/>
    <x v="2"/>
    <n v="5"/>
    <x v="0"/>
    <x v="6"/>
  </r>
  <r>
    <n v="803"/>
    <x v="230"/>
    <n v="27"/>
    <n v="5"/>
    <x v="1"/>
    <x v="2"/>
    <x v="7"/>
    <x v="6"/>
    <x v="0"/>
    <n v="2"/>
    <n v="17531.45"/>
    <n v="35062.9"/>
    <s v="Meena Yadav"/>
    <n v="50"/>
    <x v="18"/>
    <x v="1"/>
    <n v="2"/>
    <x v="2"/>
    <x v="10"/>
  </r>
  <r>
    <n v="804"/>
    <x v="230"/>
    <n v="27"/>
    <n v="5"/>
    <x v="1"/>
    <x v="2"/>
    <x v="7"/>
    <x v="6"/>
    <x v="2"/>
    <n v="8"/>
    <n v="58816.94"/>
    <n v="470535.52"/>
    <s v="Mala Malhotra"/>
    <n v="18"/>
    <x v="1"/>
    <x v="2"/>
    <n v="4"/>
    <x v="0"/>
    <x v="4"/>
  </r>
  <r>
    <n v="805"/>
    <x v="230"/>
    <n v="27"/>
    <n v="5"/>
    <x v="1"/>
    <x v="2"/>
    <x v="7"/>
    <x v="6"/>
    <x v="1"/>
    <n v="6"/>
    <n v="12145.97"/>
    <n v="72875.819999999992"/>
    <s v="Anita Srivastava"/>
    <n v="23"/>
    <x v="1"/>
    <x v="2"/>
    <n v="4"/>
    <x v="0"/>
    <x v="2"/>
  </r>
  <r>
    <n v="806"/>
    <x v="230"/>
    <n v="27"/>
    <n v="5"/>
    <x v="1"/>
    <x v="2"/>
    <x v="7"/>
    <x v="6"/>
    <x v="3"/>
    <n v="2"/>
    <n v="41693.599999999999"/>
    <n v="83387.199999999997"/>
    <s v="Sachin Varma"/>
    <n v="54"/>
    <x v="13"/>
    <x v="0"/>
    <n v="3"/>
    <x v="1"/>
    <x v="8"/>
  </r>
  <r>
    <n v="807"/>
    <x v="231"/>
    <n v="28"/>
    <n v="5"/>
    <x v="1"/>
    <x v="2"/>
    <x v="7"/>
    <x v="0"/>
    <x v="2"/>
    <n v="6"/>
    <n v="49712.7"/>
    <n v="298276.19999999995"/>
    <s v="Pankaj Shah"/>
    <n v="19"/>
    <x v="9"/>
    <x v="0"/>
    <n v="2"/>
    <x v="2"/>
    <x v="13"/>
  </r>
  <r>
    <n v="808"/>
    <x v="231"/>
    <n v="28"/>
    <n v="5"/>
    <x v="1"/>
    <x v="2"/>
    <x v="7"/>
    <x v="0"/>
    <x v="3"/>
    <n v="9"/>
    <n v="22448.17"/>
    <n v="202033.52999999997"/>
    <s v="Prashant Shah"/>
    <n v="22"/>
    <x v="10"/>
    <x v="1"/>
    <n v="3"/>
    <x v="1"/>
    <x v="8"/>
  </r>
  <r>
    <n v="809"/>
    <x v="231"/>
    <n v="28"/>
    <n v="5"/>
    <x v="1"/>
    <x v="2"/>
    <x v="7"/>
    <x v="0"/>
    <x v="0"/>
    <n v="7"/>
    <n v="64351.01"/>
    <n v="450457.07"/>
    <s v="Navin Gupta"/>
    <n v="43"/>
    <x v="2"/>
    <x v="3"/>
    <n v="5"/>
    <x v="0"/>
    <x v="10"/>
  </r>
  <r>
    <n v="810"/>
    <x v="231"/>
    <n v="28"/>
    <n v="5"/>
    <x v="1"/>
    <x v="2"/>
    <x v="7"/>
    <x v="0"/>
    <x v="3"/>
    <n v="9"/>
    <n v="60312.95"/>
    <n v="542816.54999999993"/>
    <s v="Pankaj Alva"/>
    <n v="58"/>
    <x v="16"/>
    <x v="1"/>
    <n v="5"/>
    <x v="0"/>
    <x v="8"/>
  </r>
  <r>
    <n v="811"/>
    <x v="232"/>
    <n v="29"/>
    <n v="5"/>
    <x v="1"/>
    <x v="2"/>
    <x v="7"/>
    <x v="1"/>
    <x v="0"/>
    <n v="5"/>
    <n v="38265.019999999997"/>
    <n v="191325.09999999998"/>
    <s v="Amit Joshi"/>
    <n v="30"/>
    <x v="1"/>
    <x v="2"/>
    <n v="4"/>
    <x v="0"/>
    <x v="3"/>
  </r>
  <r>
    <n v="812"/>
    <x v="232"/>
    <n v="29"/>
    <n v="5"/>
    <x v="1"/>
    <x v="2"/>
    <x v="7"/>
    <x v="1"/>
    <x v="1"/>
    <n v="7"/>
    <n v="34668.94"/>
    <n v="242682.58000000002"/>
    <s v="Prashant Chatterjee"/>
    <n v="29"/>
    <x v="2"/>
    <x v="0"/>
    <n v="5"/>
    <x v="0"/>
    <x v="1"/>
  </r>
  <r>
    <n v="813"/>
    <x v="232"/>
    <n v="29"/>
    <n v="5"/>
    <x v="1"/>
    <x v="2"/>
    <x v="7"/>
    <x v="1"/>
    <x v="0"/>
    <n v="7"/>
    <n v="24194.080000000002"/>
    <n v="169358.56"/>
    <s v="Jyoti Gupta"/>
    <n v="22"/>
    <x v="15"/>
    <x v="0"/>
    <n v="5"/>
    <x v="0"/>
    <x v="10"/>
  </r>
  <r>
    <n v="814"/>
    <x v="232"/>
    <n v="29"/>
    <n v="5"/>
    <x v="1"/>
    <x v="2"/>
    <x v="7"/>
    <x v="1"/>
    <x v="0"/>
    <n v="3"/>
    <n v="53799.59"/>
    <n v="161398.76999999999"/>
    <s v="Meena Malhotra"/>
    <n v="19"/>
    <x v="9"/>
    <x v="2"/>
    <n v="5"/>
    <x v="0"/>
    <x v="3"/>
  </r>
  <r>
    <n v="815"/>
    <x v="233"/>
    <n v="30"/>
    <n v="5"/>
    <x v="1"/>
    <x v="2"/>
    <x v="7"/>
    <x v="2"/>
    <x v="4"/>
    <n v="7"/>
    <n v="17904.63"/>
    <n v="125332.41"/>
    <s v="Priya Roy"/>
    <n v="21"/>
    <x v="1"/>
    <x v="3"/>
    <n v="2"/>
    <x v="2"/>
    <x v="14"/>
  </r>
  <r>
    <n v="816"/>
    <x v="233"/>
    <n v="30"/>
    <n v="5"/>
    <x v="1"/>
    <x v="2"/>
    <x v="7"/>
    <x v="2"/>
    <x v="2"/>
    <n v="1"/>
    <n v="50814.27"/>
    <n v="50814.27"/>
    <s v="Shruti Verma"/>
    <n v="44"/>
    <x v="7"/>
    <x v="0"/>
    <n v="3"/>
    <x v="1"/>
    <x v="4"/>
  </r>
  <r>
    <n v="817"/>
    <x v="233"/>
    <n v="30"/>
    <n v="5"/>
    <x v="1"/>
    <x v="2"/>
    <x v="7"/>
    <x v="2"/>
    <x v="2"/>
    <n v="9"/>
    <n v="60547.42"/>
    <n v="544926.78"/>
    <s v="Priya Singh"/>
    <n v="27"/>
    <x v="4"/>
    <x v="3"/>
    <n v="4"/>
    <x v="0"/>
    <x v="6"/>
  </r>
  <r>
    <n v="818"/>
    <x v="233"/>
    <n v="30"/>
    <n v="5"/>
    <x v="1"/>
    <x v="2"/>
    <x v="7"/>
    <x v="2"/>
    <x v="1"/>
    <n v="6"/>
    <n v="23708.29"/>
    <n v="142249.74"/>
    <s v="Amit Goyal"/>
    <n v="30"/>
    <x v="1"/>
    <x v="0"/>
    <n v="4"/>
    <x v="0"/>
    <x v="9"/>
  </r>
  <r>
    <n v="819"/>
    <x v="234"/>
    <n v="31"/>
    <n v="5"/>
    <x v="1"/>
    <x v="2"/>
    <x v="7"/>
    <x v="3"/>
    <x v="1"/>
    <n v="5"/>
    <n v="61985.64"/>
    <n v="309928.2"/>
    <s v="Aditya Nair"/>
    <n v="19"/>
    <x v="16"/>
    <x v="2"/>
    <n v="5"/>
    <x v="0"/>
    <x v="2"/>
  </r>
  <r>
    <n v="820"/>
    <x v="234"/>
    <n v="31"/>
    <n v="5"/>
    <x v="1"/>
    <x v="2"/>
    <x v="7"/>
    <x v="3"/>
    <x v="2"/>
    <n v="7"/>
    <n v="11999.39"/>
    <n v="83995.73"/>
    <s v="Aditya Jain"/>
    <n v="43"/>
    <x v="2"/>
    <x v="1"/>
    <n v="2"/>
    <x v="2"/>
    <x v="6"/>
  </r>
  <r>
    <n v="821"/>
    <x v="234"/>
    <n v="31"/>
    <n v="5"/>
    <x v="1"/>
    <x v="2"/>
    <x v="7"/>
    <x v="3"/>
    <x v="4"/>
    <n v="5"/>
    <n v="64767.24"/>
    <n v="323836.2"/>
    <s v="Aditya Rao"/>
    <n v="32"/>
    <x v="2"/>
    <x v="1"/>
    <n v="5"/>
    <x v="0"/>
    <x v="7"/>
  </r>
  <r>
    <n v="822"/>
    <x v="234"/>
    <n v="31"/>
    <n v="5"/>
    <x v="1"/>
    <x v="2"/>
    <x v="7"/>
    <x v="3"/>
    <x v="2"/>
    <n v="5"/>
    <n v="17101.73"/>
    <n v="85508.65"/>
    <s v="Anita Menon"/>
    <n v="27"/>
    <x v="10"/>
    <x v="3"/>
    <n v="2"/>
    <x v="2"/>
    <x v="4"/>
  </r>
  <r>
    <n v="823"/>
    <x v="235"/>
    <n v="1"/>
    <n v="6"/>
    <x v="1"/>
    <x v="2"/>
    <x v="8"/>
    <x v="4"/>
    <x v="4"/>
    <n v="7"/>
    <n v="48745.55"/>
    <n v="341218.85000000003"/>
    <s v="Pooja Joshi"/>
    <n v="39"/>
    <x v="11"/>
    <x v="1"/>
    <n v="4"/>
    <x v="0"/>
    <x v="11"/>
  </r>
  <r>
    <n v="824"/>
    <x v="235"/>
    <n v="1"/>
    <n v="6"/>
    <x v="1"/>
    <x v="2"/>
    <x v="8"/>
    <x v="4"/>
    <x v="1"/>
    <n v="7"/>
    <n v="25004.95"/>
    <n v="175034.65"/>
    <s v="Krishna Goyal"/>
    <n v="57"/>
    <x v="1"/>
    <x v="2"/>
    <n v="3"/>
    <x v="1"/>
    <x v="9"/>
  </r>
  <r>
    <n v="825"/>
    <x v="235"/>
    <n v="1"/>
    <n v="6"/>
    <x v="1"/>
    <x v="2"/>
    <x v="8"/>
    <x v="4"/>
    <x v="3"/>
    <n v="3"/>
    <n v="60193.14"/>
    <n v="180579.41999999998"/>
    <s v="Sumit Teja"/>
    <n v="42"/>
    <x v="1"/>
    <x v="1"/>
    <n v="5"/>
    <x v="0"/>
    <x v="12"/>
  </r>
  <r>
    <n v="826"/>
    <x v="235"/>
    <n v="1"/>
    <n v="6"/>
    <x v="1"/>
    <x v="2"/>
    <x v="8"/>
    <x v="4"/>
    <x v="1"/>
    <n v="3"/>
    <n v="40738.019999999997"/>
    <n v="122214.06"/>
    <s v="Kiran Mathur"/>
    <n v="32"/>
    <x v="1"/>
    <x v="3"/>
    <n v="5"/>
    <x v="0"/>
    <x v="1"/>
  </r>
  <r>
    <n v="827"/>
    <x v="236"/>
    <n v="2"/>
    <n v="6"/>
    <x v="1"/>
    <x v="2"/>
    <x v="8"/>
    <x v="5"/>
    <x v="1"/>
    <n v="3"/>
    <n v="18114.47"/>
    <n v="54343.41"/>
    <s v="Bina Solanki"/>
    <n v="30"/>
    <x v="12"/>
    <x v="2"/>
    <n v="5"/>
    <x v="0"/>
    <x v="2"/>
  </r>
  <r>
    <n v="828"/>
    <x v="236"/>
    <n v="2"/>
    <n v="6"/>
    <x v="1"/>
    <x v="2"/>
    <x v="8"/>
    <x v="5"/>
    <x v="0"/>
    <n v="6"/>
    <n v="44259.49"/>
    <n v="265556.94"/>
    <s v="Sneha Yadav"/>
    <n v="25"/>
    <x v="15"/>
    <x v="2"/>
    <n v="5"/>
    <x v="0"/>
    <x v="3"/>
  </r>
  <r>
    <n v="829"/>
    <x v="236"/>
    <n v="2"/>
    <n v="6"/>
    <x v="1"/>
    <x v="2"/>
    <x v="8"/>
    <x v="5"/>
    <x v="0"/>
    <n v="6"/>
    <n v="34472.959999999999"/>
    <n v="206837.76000000001"/>
    <s v="Pooja Kaur"/>
    <n v="38"/>
    <x v="1"/>
    <x v="0"/>
    <n v="3"/>
    <x v="1"/>
    <x v="10"/>
  </r>
  <r>
    <n v="830"/>
    <x v="236"/>
    <n v="2"/>
    <n v="6"/>
    <x v="1"/>
    <x v="2"/>
    <x v="8"/>
    <x v="5"/>
    <x v="0"/>
    <n v="3"/>
    <n v="49686.87"/>
    <n v="149060.61000000002"/>
    <s v="Namita Ghosh"/>
    <n v="38"/>
    <x v="2"/>
    <x v="0"/>
    <n v="4"/>
    <x v="0"/>
    <x v="3"/>
  </r>
  <r>
    <n v="831"/>
    <x v="237"/>
    <n v="3"/>
    <n v="6"/>
    <x v="1"/>
    <x v="2"/>
    <x v="8"/>
    <x v="6"/>
    <x v="0"/>
    <n v="3"/>
    <n v="62914.2"/>
    <n v="188742.59999999998"/>
    <s v="Sunita Mathur"/>
    <n v="39"/>
    <x v="11"/>
    <x v="1"/>
    <n v="4"/>
    <x v="0"/>
    <x v="10"/>
  </r>
  <r>
    <n v="832"/>
    <x v="237"/>
    <n v="3"/>
    <n v="6"/>
    <x v="1"/>
    <x v="2"/>
    <x v="8"/>
    <x v="6"/>
    <x v="4"/>
    <n v="8"/>
    <n v="34563.35"/>
    <n v="276506.8"/>
    <s v="Vivek Srivastava"/>
    <n v="50"/>
    <x v="1"/>
    <x v="3"/>
    <n v="2"/>
    <x v="2"/>
    <x v="14"/>
  </r>
  <r>
    <n v="833"/>
    <x v="237"/>
    <n v="3"/>
    <n v="6"/>
    <x v="1"/>
    <x v="2"/>
    <x v="8"/>
    <x v="6"/>
    <x v="2"/>
    <n v="8"/>
    <n v="27392.84"/>
    <n v="219142.72"/>
    <s v="Radha Sheth"/>
    <n v="44"/>
    <x v="1"/>
    <x v="2"/>
    <n v="2"/>
    <x v="2"/>
    <x v="6"/>
  </r>
  <r>
    <n v="834"/>
    <x v="237"/>
    <n v="3"/>
    <n v="6"/>
    <x v="1"/>
    <x v="2"/>
    <x v="8"/>
    <x v="6"/>
    <x v="3"/>
    <n v="7"/>
    <n v="10870.91"/>
    <n v="76096.37"/>
    <s v="Nikhil Menon"/>
    <n v="57"/>
    <x v="0"/>
    <x v="1"/>
    <n v="4"/>
    <x v="0"/>
    <x v="5"/>
  </r>
  <r>
    <n v="835"/>
    <x v="238"/>
    <n v="4"/>
    <n v="6"/>
    <x v="1"/>
    <x v="2"/>
    <x v="8"/>
    <x v="0"/>
    <x v="1"/>
    <n v="4"/>
    <n v="44490.34"/>
    <n v="177961.36"/>
    <s v="Aditya Kulkarni"/>
    <n v="39"/>
    <x v="10"/>
    <x v="1"/>
    <n v="5"/>
    <x v="0"/>
    <x v="9"/>
  </r>
  <r>
    <n v="836"/>
    <x v="238"/>
    <n v="4"/>
    <n v="6"/>
    <x v="1"/>
    <x v="2"/>
    <x v="8"/>
    <x v="0"/>
    <x v="4"/>
    <n v="4"/>
    <n v="34136.49"/>
    <n v="136545.96"/>
    <s v="Krishna Rathod"/>
    <n v="47"/>
    <x v="1"/>
    <x v="0"/>
    <n v="3"/>
    <x v="1"/>
    <x v="11"/>
  </r>
  <r>
    <n v="837"/>
    <x v="238"/>
    <n v="4"/>
    <n v="6"/>
    <x v="1"/>
    <x v="2"/>
    <x v="8"/>
    <x v="0"/>
    <x v="3"/>
    <n v="3"/>
    <n v="32478.95"/>
    <n v="97436.85"/>
    <s v="Reena Arora"/>
    <n v="26"/>
    <x v="17"/>
    <x v="1"/>
    <n v="4"/>
    <x v="0"/>
    <x v="12"/>
  </r>
  <r>
    <n v="838"/>
    <x v="239"/>
    <n v="5"/>
    <n v="6"/>
    <x v="1"/>
    <x v="2"/>
    <x v="8"/>
    <x v="1"/>
    <x v="4"/>
    <n v="5"/>
    <n v="20976.12"/>
    <n v="104880.59999999999"/>
    <s v="Anita Pathak"/>
    <n v="52"/>
    <x v="2"/>
    <x v="1"/>
    <n v="3"/>
    <x v="1"/>
    <x v="14"/>
  </r>
  <r>
    <n v="839"/>
    <x v="239"/>
    <n v="5"/>
    <n v="6"/>
    <x v="1"/>
    <x v="2"/>
    <x v="8"/>
    <x v="1"/>
    <x v="4"/>
    <n v="3"/>
    <n v="35803.32"/>
    <n v="107409.95999999999"/>
    <s v="Yogesh Rao"/>
    <n v="35"/>
    <x v="9"/>
    <x v="0"/>
    <n v="5"/>
    <x v="0"/>
    <x v="11"/>
  </r>
  <r>
    <n v="840"/>
    <x v="239"/>
    <n v="5"/>
    <n v="6"/>
    <x v="1"/>
    <x v="2"/>
    <x v="8"/>
    <x v="1"/>
    <x v="1"/>
    <n v="8"/>
    <n v="69066.52"/>
    <n v="552532.16"/>
    <s v="Umesh Teja"/>
    <n v="59"/>
    <x v="16"/>
    <x v="1"/>
    <n v="5"/>
    <x v="0"/>
    <x v="1"/>
  </r>
  <r>
    <n v="841"/>
    <x v="239"/>
    <n v="5"/>
    <n v="6"/>
    <x v="1"/>
    <x v="2"/>
    <x v="8"/>
    <x v="1"/>
    <x v="2"/>
    <n v="7"/>
    <n v="27865.25"/>
    <n v="195056.75"/>
    <s v="Vivek Yadav"/>
    <n v="22"/>
    <x v="7"/>
    <x v="1"/>
    <n v="5"/>
    <x v="0"/>
    <x v="13"/>
  </r>
  <r>
    <n v="842"/>
    <x v="240"/>
    <n v="6"/>
    <n v="6"/>
    <x v="1"/>
    <x v="2"/>
    <x v="8"/>
    <x v="2"/>
    <x v="0"/>
    <n v="3"/>
    <n v="45982.26"/>
    <n v="137946.78"/>
    <s v="Sunil Siddiqui"/>
    <n v="44"/>
    <x v="1"/>
    <x v="2"/>
    <n v="4"/>
    <x v="0"/>
    <x v="0"/>
  </r>
  <r>
    <n v="843"/>
    <x v="240"/>
    <n v="6"/>
    <n v="6"/>
    <x v="1"/>
    <x v="2"/>
    <x v="8"/>
    <x v="2"/>
    <x v="2"/>
    <n v="9"/>
    <n v="56589.21"/>
    <n v="509302.89"/>
    <s v="Vivek Srivastava"/>
    <n v="23"/>
    <x v="17"/>
    <x v="1"/>
    <n v="2"/>
    <x v="2"/>
    <x v="6"/>
  </r>
  <r>
    <n v="844"/>
    <x v="240"/>
    <n v="6"/>
    <n v="6"/>
    <x v="1"/>
    <x v="2"/>
    <x v="8"/>
    <x v="2"/>
    <x v="1"/>
    <n v="5"/>
    <n v="54949.47"/>
    <n v="274747.34999999998"/>
    <s v="Navin Pathak"/>
    <n v="49"/>
    <x v="14"/>
    <x v="0"/>
    <n v="4"/>
    <x v="0"/>
    <x v="1"/>
  </r>
  <r>
    <n v="845"/>
    <x v="240"/>
    <n v="6"/>
    <n v="6"/>
    <x v="1"/>
    <x v="2"/>
    <x v="8"/>
    <x v="2"/>
    <x v="1"/>
    <n v="9"/>
    <n v="29726.46"/>
    <n v="267538.14"/>
    <s v="Tanuja Goyal"/>
    <n v="25"/>
    <x v="1"/>
    <x v="0"/>
    <n v="5"/>
    <x v="0"/>
    <x v="9"/>
  </r>
  <r>
    <n v="846"/>
    <x v="241"/>
    <n v="7"/>
    <n v="6"/>
    <x v="1"/>
    <x v="2"/>
    <x v="8"/>
    <x v="3"/>
    <x v="1"/>
    <n v="7"/>
    <n v="46651.61"/>
    <n v="326561.27"/>
    <s v="Tanuja Bhatnagar"/>
    <n v="56"/>
    <x v="1"/>
    <x v="2"/>
    <n v="3"/>
    <x v="1"/>
    <x v="9"/>
  </r>
  <r>
    <n v="847"/>
    <x v="241"/>
    <n v="7"/>
    <n v="6"/>
    <x v="1"/>
    <x v="2"/>
    <x v="8"/>
    <x v="3"/>
    <x v="3"/>
    <n v="7"/>
    <n v="62275.88"/>
    <n v="435931.16"/>
    <s v="Monika Srivastava"/>
    <n v="38"/>
    <x v="11"/>
    <x v="0"/>
    <n v="4"/>
    <x v="0"/>
    <x v="12"/>
  </r>
  <r>
    <n v="848"/>
    <x v="241"/>
    <n v="7"/>
    <n v="6"/>
    <x v="1"/>
    <x v="2"/>
    <x v="8"/>
    <x v="3"/>
    <x v="2"/>
    <n v="6"/>
    <n v="10926.85"/>
    <n v="65561.100000000006"/>
    <s v="Priyanka Goyal"/>
    <n v="35"/>
    <x v="12"/>
    <x v="0"/>
    <n v="2"/>
    <x v="2"/>
    <x v="4"/>
  </r>
  <r>
    <n v="849"/>
    <x v="242"/>
    <n v="8"/>
    <n v="6"/>
    <x v="1"/>
    <x v="2"/>
    <x v="8"/>
    <x v="4"/>
    <x v="2"/>
    <n v="2"/>
    <n v="36144.06"/>
    <n v="72288.12"/>
    <s v="Harish Prasad"/>
    <n v="31"/>
    <x v="2"/>
    <x v="0"/>
    <n v="5"/>
    <x v="0"/>
    <x v="13"/>
  </r>
  <r>
    <n v="850"/>
    <x v="242"/>
    <n v="8"/>
    <n v="6"/>
    <x v="1"/>
    <x v="2"/>
    <x v="8"/>
    <x v="4"/>
    <x v="4"/>
    <n v="9"/>
    <n v="23456.41"/>
    <n v="211107.69"/>
    <s v="Vinod Ahuja"/>
    <n v="32"/>
    <x v="17"/>
    <x v="1"/>
    <n v="4"/>
    <x v="0"/>
    <x v="14"/>
  </r>
  <r>
    <n v="851"/>
    <x v="242"/>
    <n v="8"/>
    <n v="6"/>
    <x v="1"/>
    <x v="2"/>
    <x v="8"/>
    <x v="4"/>
    <x v="4"/>
    <n v="6"/>
    <n v="33317.94"/>
    <n v="199907.64"/>
    <s v="Tapan Gupta"/>
    <n v="59"/>
    <x v="0"/>
    <x v="2"/>
    <n v="5"/>
    <x v="0"/>
    <x v="14"/>
  </r>
  <r>
    <n v="852"/>
    <x v="242"/>
    <n v="8"/>
    <n v="6"/>
    <x v="1"/>
    <x v="2"/>
    <x v="8"/>
    <x v="4"/>
    <x v="4"/>
    <n v="8"/>
    <n v="34959.379999999997"/>
    <n v="279675.03999999998"/>
    <s v="Tapan Joshi"/>
    <n v="43"/>
    <x v="15"/>
    <x v="3"/>
    <n v="5"/>
    <x v="0"/>
    <x v="11"/>
  </r>
  <r>
    <n v="853"/>
    <x v="243"/>
    <n v="9"/>
    <n v="6"/>
    <x v="1"/>
    <x v="2"/>
    <x v="8"/>
    <x v="5"/>
    <x v="1"/>
    <n v="1"/>
    <n v="54800.26"/>
    <n v="54800.26"/>
    <s v="Krishna Menon"/>
    <n v="49"/>
    <x v="1"/>
    <x v="2"/>
    <n v="5"/>
    <x v="0"/>
    <x v="2"/>
  </r>
  <r>
    <n v="854"/>
    <x v="243"/>
    <n v="9"/>
    <n v="6"/>
    <x v="1"/>
    <x v="2"/>
    <x v="8"/>
    <x v="5"/>
    <x v="2"/>
    <n v="5"/>
    <n v="15629.31"/>
    <n v="78146.55"/>
    <s v="Pankaj Sheth"/>
    <n v="56"/>
    <x v="2"/>
    <x v="2"/>
    <n v="3"/>
    <x v="1"/>
    <x v="4"/>
  </r>
  <r>
    <n v="855"/>
    <x v="243"/>
    <n v="9"/>
    <n v="6"/>
    <x v="1"/>
    <x v="2"/>
    <x v="8"/>
    <x v="5"/>
    <x v="1"/>
    <n v="1"/>
    <n v="40755.03"/>
    <n v="40755.03"/>
    <s v="Anand Srivastava"/>
    <n v="45"/>
    <x v="2"/>
    <x v="2"/>
    <n v="5"/>
    <x v="0"/>
    <x v="1"/>
  </r>
  <r>
    <n v="856"/>
    <x v="244"/>
    <n v="10"/>
    <n v="6"/>
    <x v="1"/>
    <x v="2"/>
    <x v="8"/>
    <x v="6"/>
    <x v="3"/>
    <n v="8"/>
    <n v="43851.69"/>
    <n v="350813.52"/>
    <s v="Rohan Dutta"/>
    <n v="56"/>
    <x v="1"/>
    <x v="3"/>
    <n v="5"/>
    <x v="0"/>
    <x v="12"/>
  </r>
  <r>
    <n v="857"/>
    <x v="244"/>
    <n v="10"/>
    <n v="6"/>
    <x v="1"/>
    <x v="2"/>
    <x v="8"/>
    <x v="6"/>
    <x v="4"/>
    <n v="8"/>
    <n v="39649.46"/>
    <n v="317195.68"/>
    <s v="Pooja Kaur"/>
    <n v="49"/>
    <x v="1"/>
    <x v="3"/>
    <n v="2"/>
    <x v="2"/>
    <x v="14"/>
  </r>
  <r>
    <n v="858"/>
    <x v="244"/>
    <n v="10"/>
    <n v="6"/>
    <x v="1"/>
    <x v="2"/>
    <x v="8"/>
    <x v="6"/>
    <x v="1"/>
    <n v="1"/>
    <n v="53912.4"/>
    <n v="53912.4"/>
    <s v="Yogesh Kulkarni"/>
    <n v="30"/>
    <x v="12"/>
    <x v="0"/>
    <n v="2"/>
    <x v="2"/>
    <x v="2"/>
  </r>
  <r>
    <n v="859"/>
    <x v="245"/>
    <n v="11"/>
    <n v="6"/>
    <x v="1"/>
    <x v="2"/>
    <x v="8"/>
    <x v="0"/>
    <x v="1"/>
    <n v="9"/>
    <n v="33027.480000000003"/>
    <n v="297247.32"/>
    <s v="Sachin Joshi"/>
    <n v="32"/>
    <x v="14"/>
    <x v="1"/>
    <n v="5"/>
    <x v="0"/>
    <x v="9"/>
  </r>
  <r>
    <n v="860"/>
    <x v="245"/>
    <n v="11"/>
    <n v="6"/>
    <x v="1"/>
    <x v="2"/>
    <x v="8"/>
    <x v="0"/>
    <x v="3"/>
    <n v="2"/>
    <n v="66698.02"/>
    <n v="133396.04"/>
    <s v="Devendra Rao"/>
    <n v="35"/>
    <x v="16"/>
    <x v="0"/>
    <n v="2"/>
    <x v="2"/>
    <x v="5"/>
  </r>
  <r>
    <n v="861"/>
    <x v="245"/>
    <n v="11"/>
    <n v="6"/>
    <x v="1"/>
    <x v="2"/>
    <x v="8"/>
    <x v="0"/>
    <x v="0"/>
    <n v="9"/>
    <n v="38908.21"/>
    <n v="350173.89"/>
    <s v="Manoj Pathak"/>
    <n v="56"/>
    <x v="14"/>
    <x v="0"/>
    <n v="5"/>
    <x v="0"/>
    <x v="3"/>
  </r>
  <r>
    <n v="862"/>
    <x v="245"/>
    <n v="11"/>
    <n v="6"/>
    <x v="1"/>
    <x v="2"/>
    <x v="8"/>
    <x v="0"/>
    <x v="2"/>
    <n v="1"/>
    <n v="44272.83"/>
    <n v="44272.83"/>
    <s v="Kunal Deshmukh"/>
    <n v="23"/>
    <x v="3"/>
    <x v="3"/>
    <n v="4"/>
    <x v="0"/>
    <x v="13"/>
  </r>
  <r>
    <n v="863"/>
    <x v="246"/>
    <n v="12"/>
    <n v="6"/>
    <x v="1"/>
    <x v="2"/>
    <x v="8"/>
    <x v="1"/>
    <x v="0"/>
    <n v="9"/>
    <n v="59531.85"/>
    <n v="535786.65"/>
    <s v="Ayesha Ghosh"/>
    <n v="28"/>
    <x v="14"/>
    <x v="0"/>
    <n v="5"/>
    <x v="0"/>
    <x v="0"/>
  </r>
  <r>
    <n v="864"/>
    <x v="246"/>
    <n v="12"/>
    <n v="6"/>
    <x v="1"/>
    <x v="2"/>
    <x v="8"/>
    <x v="1"/>
    <x v="4"/>
    <n v="4"/>
    <n v="26514.17"/>
    <n v="106056.68"/>
    <s v="Rohan Mishra"/>
    <n v="49"/>
    <x v="2"/>
    <x v="0"/>
    <n v="4"/>
    <x v="0"/>
    <x v="11"/>
  </r>
  <r>
    <n v="865"/>
    <x v="246"/>
    <n v="12"/>
    <n v="6"/>
    <x v="1"/>
    <x v="2"/>
    <x v="8"/>
    <x v="1"/>
    <x v="1"/>
    <n v="9"/>
    <n v="14512.12"/>
    <n v="130609.08"/>
    <s v="Sumit Alva"/>
    <n v="57"/>
    <x v="0"/>
    <x v="3"/>
    <n v="2"/>
    <x v="2"/>
    <x v="1"/>
  </r>
  <r>
    <n v="866"/>
    <x v="247"/>
    <n v="13"/>
    <n v="6"/>
    <x v="1"/>
    <x v="2"/>
    <x v="8"/>
    <x v="2"/>
    <x v="3"/>
    <n v="7"/>
    <n v="52467.040000000001"/>
    <n v="367269.28"/>
    <s v="Anita Mehta"/>
    <n v="37"/>
    <x v="2"/>
    <x v="2"/>
    <n v="3"/>
    <x v="1"/>
    <x v="12"/>
  </r>
  <r>
    <n v="867"/>
    <x v="247"/>
    <n v="13"/>
    <n v="6"/>
    <x v="1"/>
    <x v="2"/>
    <x v="8"/>
    <x v="2"/>
    <x v="3"/>
    <n v="6"/>
    <n v="38980.71"/>
    <n v="233884.26"/>
    <s v="Umesh Menon"/>
    <n v="50"/>
    <x v="10"/>
    <x v="2"/>
    <n v="3"/>
    <x v="1"/>
    <x v="5"/>
  </r>
  <r>
    <n v="868"/>
    <x v="247"/>
    <n v="13"/>
    <n v="6"/>
    <x v="1"/>
    <x v="2"/>
    <x v="8"/>
    <x v="2"/>
    <x v="2"/>
    <n v="5"/>
    <n v="63790.26"/>
    <n v="318951.3"/>
    <s v="Deepika Gupta"/>
    <n v="57"/>
    <x v="16"/>
    <x v="3"/>
    <n v="5"/>
    <x v="0"/>
    <x v="4"/>
  </r>
  <r>
    <n v="869"/>
    <x v="248"/>
    <n v="14"/>
    <n v="6"/>
    <x v="1"/>
    <x v="2"/>
    <x v="8"/>
    <x v="3"/>
    <x v="0"/>
    <n v="9"/>
    <n v="68960.800000000003"/>
    <n v="620647.20000000007"/>
    <s v="Tanuja Dutta"/>
    <n v="25"/>
    <x v="10"/>
    <x v="1"/>
    <n v="5"/>
    <x v="0"/>
    <x v="10"/>
  </r>
  <r>
    <n v="870"/>
    <x v="248"/>
    <n v="14"/>
    <n v="6"/>
    <x v="1"/>
    <x v="2"/>
    <x v="8"/>
    <x v="3"/>
    <x v="2"/>
    <n v="2"/>
    <n v="33946.559999999998"/>
    <n v="67893.119999999995"/>
    <s v="Sachin Rawat"/>
    <n v="52"/>
    <x v="5"/>
    <x v="0"/>
    <n v="2"/>
    <x v="2"/>
    <x v="13"/>
  </r>
  <r>
    <n v="871"/>
    <x v="248"/>
    <n v="14"/>
    <n v="6"/>
    <x v="1"/>
    <x v="2"/>
    <x v="8"/>
    <x v="3"/>
    <x v="1"/>
    <n v="2"/>
    <n v="34926.339999999997"/>
    <n v="69852.679999999993"/>
    <s v="Ayesha Kaur"/>
    <n v="22"/>
    <x v="4"/>
    <x v="2"/>
    <n v="3"/>
    <x v="1"/>
    <x v="9"/>
  </r>
  <r>
    <n v="872"/>
    <x v="249"/>
    <n v="15"/>
    <n v="6"/>
    <x v="1"/>
    <x v="2"/>
    <x v="8"/>
    <x v="4"/>
    <x v="2"/>
    <n v="9"/>
    <n v="34477.760000000002"/>
    <n v="310299.84000000003"/>
    <s v="Anjali Ahuja"/>
    <n v="52"/>
    <x v="9"/>
    <x v="3"/>
    <n v="3"/>
    <x v="1"/>
    <x v="13"/>
  </r>
  <r>
    <n v="873"/>
    <x v="249"/>
    <n v="15"/>
    <n v="6"/>
    <x v="1"/>
    <x v="2"/>
    <x v="8"/>
    <x v="4"/>
    <x v="3"/>
    <n v="3"/>
    <n v="29473.25"/>
    <n v="88419.75"/>
    <s v="Isha Nair"/>
    <n v="31"/>
    <x v="4"/>
    <x v="1"/>
    <n v="5"/>
    <x v="0"/>
    <x v="12"/>
  </r>
  <r>
    <n v="874"/>
    <x v="249"/>
    <n v="15"/>
    <n v="6"/>
    <x v="1"/>
    <x v="2"/>
    <x v="8"/>
    <x v="4"/>
    <x v="3"/>
    <n v="8"/>
    <n v="56901.23"/>
    <n v="455209.84"/>
    <s v="Bhavana Kapoor"/>
    <n v="38"/>
    <x v="15"/>
    <x v="0"/>
    <n v="3"/>
    <x v="1"/>
    <x v="8"/>
  </r>
  <r>
    <n v="875"/>
    <x v="250"/>
    <n v="16"/>
    <n v="6"/>
    <x v="1"/>
    <x v="2"/>
    <x v="8"/>
    <x v="5"/>
    <x v="4"/>
    <n v="9"/>
    <n v="55539.75"/>
    <n v="499857.75"/>
    <s v="Prashant Dutta"/>
    <n v="41"/>
    <x v="13"/>
    <x v="3"/>
    <n v="5"/>
    <x v="0"/>
    <x v="11"/>
  </r>
  <r>
    <n v="876"/>
    <x v="250"/>
    <n v="16"/>
    <n v="6"/>
    <x v="1"/>
    <x v="2"/>
    <x v="8"/>
    <x v="5"/>
    <x v="4"/>
    <n v="8"/>
    <n v="38718.69"/>
    <n v="309749.52"/>
    <s v="Anand Kaur"/>
    <n v="34"/>
    <x v="11"/>
    <x v="3"/>
    <n v="5"/>
    <x v="0"/>
    <x v="7"/>
  </r>
  <r>
    <n v="877"/>
    <x v="250"/>
    <n v="16"/>
    <n v="6"/>
    <x v="1"/>
    <x v="2"/>
    <x v="8"/>
    <x v="5"/>
    <x v="1"/>
    <n v="4"/>
    <n v="12679.67"/>
    <n v="50718.68"/>
    <s v="Deepika Verma"/>
    <n v="35"/>
    <x v="12"/>
    <x v="3"/>
    <n v="3"/>
    <x v="1"/>
    <x v="2"/>
  </r>
  <r>
    <n v="878"/>
    <x v="250"/>
    <n v="16"/>
    <n v="6"/>
    <x v="1"/>
    <x v="2"/>
    <x v="8"/>
    <x v="5"/>
    <x v="0"/>
    <n v="1"/>
    <n v="28573.56"/>
    <n v="28573.56"/>
    <s v="Kiran Rathod"/>
    <n v="51"/>
    <x v="6"/>
    <x v="0"/>
    <n v="4"/>
    <x v="0"/>
    <x v="3"/>
  </r>
  <r>
    <n v="879"/>
    <x v="251"/>
    <n v="17"/>
    <n v="6"/>
    <x v="1"/>
    <x v="2"/>
    <x v="8"/>
    <x v="6"/>
    <x v="2"/>
    <n v="4"/>
    <n v="27538.18"/>
    <n v="110152.72"/>
    <s v="Meena Das"/>
    <n v="29"/>
    <x v="2"/>
    <x v="2"/>
    <n v="2"/>
    <x v="2"/>
    <x v="6"/>
  </r>
  <r>
    <n v="880"/>
    <x v="251"/>
    <n v="17"/>
    <n v="6"/>
    <x v="1"/>
    <x v="2"/>
    <x v="8"/>
    <x v="6"/>
    <x v="1"/>
    <n v="9"/>
    <n v="58665.23"/>
    <n v="527987.07000000007"/>
    <s v="Pankaj Srivastava"/>
    <n v="33"/>
    <x v="1"/>
    <x v="0"/>
    <n v="5"/>
    <x v="0"/>
    <x v="1"/>
  </r>
  <r>
    <n v="881"/>
    <x v="251"/>
    <n v="17"/>
    <n v="6"/>
    <x v="1"/>
    <x v="2"/>
    <x v="8"/>
    <x v="6"/>
    <x v="4"/>
    <n v="2"/>
    <n v="15254.53"/>
    <n v="30509.06"/>
    <s v="Sneha Rao"/>
    <n v="21"/>
    <x v="14"/>
    <x v="0"/>
    <n v="3"/>
    <x v="1"/>
    <x v="11"/>
  </r>
  <r>
    <n v="882"/>
    <x v="252"/>
    <n v="18"/>
    <n v="6"/>
    <x v="1"/>
    <x v="2"/>
    <x v="8"/>
    <x v="0"/>
    <x v="2"/>
    <n v="3"/>
    <n v="58340.52"/>
    <n v="175021.56"/>
    <s v="Nikhil Patel"/>
    <n v="42"/>
    <x v="4"/>
    <x v="2"/>
    <n v="3"/>
    <x v="1"/>
    <x v="6"/>
  </r>
  <r>
    <n v="883"/>
    <x v="252"/>
    <n v="18"/>
    <n v="6"/>
    <x v="1"/>
    <x v="2"/>
    <x v="8"/>
    <x v="0"/>
    <x v="4"/>
    <n v="8"/>
    <n v="50151.02"/>
    <n v="401208.16"/>
    <s v="Lalita Siddiqui"/>
    <n v="51"/>
    <x v="1"/>
    <x v="3"/>
    <n v="5"/>
    <x v="0"/>
    <x v="14"/>
  </r>
  <r>
    <n v="884"/>
    <x v="252"/>
    <n v="18"/>
    <n v="6"/>
    <x v="1"/>
    <x v="2"/>
    <x v="8"/>
    <x v="0"/>
    <x v="2"/>
    <n v="6"/>
    <n v="53946.49"/>
    <n v="323678.94"/>
    <s v="Radha Kulkarni"/>
    <n v="45"/>
    <x v="1"/>
    <x v="1"/>
    <n v="4"/>
    <x v="0"/>
    <x v="6"/>
  </r>
  <r>
    <n v="885"/>
    <x v="252"/>
    <n v="18"/>
    <n v="6"/>
    <x v="1"/>
    <x v="2"/>
    <x v="8"/>
    <x v="0"/>
    <x v="0"/>
    <n v="8"/>
    <n v="35932.79"/>
    <n v="287462.32"/>
    <s v="Meena Kumar"/>
    <n v="28"/>
    <x v="5"/>
    <x v="1"/>
    <n v="3"/>
    <x v="1"/>
    <x v="3"/>
  </r>
  <r>
    <n v="886"/>
    <x v="253"/>
    <n v="19"/>
    <n v="6"/>
    <x v="1"/>
    <x v="2"/>
    <x v="8"/>
    <x v="1"/>
    <x v="1"/>
    <n v="7"/>
    <n v="50783.55"/>
    <n v="355484.85000000003"/>
    <s v="Vinod Chatterjee"/>
    <n v="30"/>
    <x v="10"/>
    <x v="2"/>
    <n v="5"/>
    <x v="0"/>
    <x v="1"/>
  </r>
  <r>
    <n v="887"/>
    <x v="253"/>
    <n v="19"/>
    <n v="6"/>
    <x v="1"/>
    <x v="2"/>
    <x v="8"/>
    <x v="1"/>
    <x v="2"/>
    <n v="5"/>
    <n v="46541.74"/>
    <n v="232708.69999999998"/>
    <s v="Priyanka Nambiar"/>
    <n v="48"/>
    <x v="11"/>
    <x v="2"/>
    <n v="2"/>
    <x v="2"/>
    <x v="6"/>
  </r>
  <r>
    <n v="888"/>
    <x v="253"/>
    <n v="19"/>
    <n v="6"/>
    <x v="1"/>
    <x v="2"/>
    <x v="8"/>
    <x v="1"/>
    <x v="3"/>
    <n v="9"/>
    <n v="56138.81"/>
    <n v="505249.29"/>
    <s v="Reena Teja"/>
    <n v="42"/>
    <x v="1"/>
    <x v="3"/>
    <n v="5"/>
    <x v="0"/>
    <x v="8"/>
  </r>
  <r>
    <n v="889"/>
    <x v="254"/>
    <n v="20"/>
    <n v="6"/>
    <x v="1"/>
    <x v="2"/>
    <x v="8"/>
    <x v="2"/>
    <x v="3"/>
    <n v="4"/>
    <n v="36806.19"/>
    <n v="147224.76"/>
    <s v="Manoj Jain"/>
    <n v="56"/>
    <x v="9"/>
    <x v="1"/>
    <n v="3"/>
    <x v="1"/>
    <x v="5"/>
  </r>
  <r>
    <n v="890"/>
    <x v="254"/>
    <n v="20"/>
    <n v="6"/>
    <x v="1"/>
    <x v="2"/>
    <x v="8"/>
    <x v="2"/>
    <x v="2"/>
    <n v="6"/>
    <n v="38369.54"/>
    <n v="230217.24"/>
    <s v="Ramesh Mishra"/>
    <n v="27"/>
    <x v="1"/>
    <x v="1"/>
    <n v="2"/>
    <x v="2"/>
    <x v="4"/>
  </r>
  <r>
    <n v="891"/>
    <x v="254"/>
    <n v="20"/>
    <n v="6"/>
    <x v="1"/>
    <x v="2"/>
    <x v="8"/>
    <x v="2"/>
    <x v="2"/>
    <n v="2"/>
    <n v="48614.57"/>
    <n v="97229.14"/>
    <s v="Anita Srivastava"/>
    <n v="41"/>
    <x v="10"/>
    <x v="3"/>
    <n v="5"/>
    <x v="0"/>
    <x v="6"/>
  </r>
  <r>
    <n v="892"/>
    <x v="255"/>
    <n v="21"/>
    <n v="6"/>
    <x v="1"/>
    <x v="2"/>
    <x v="8"/>
    <x v="3"/>
    <x v="2"/>
    <n v="2"/>
    <n v="16484.650000000001"/>
    <n v="32969.300000000003"/>
    <s v="Namita Sheth"/>
    <n v="18"/>
    <x v="10"/>
    <x v="2"/>
    <n v="5"/>
    <x v="0"/>
    <x v="6"/>
  </r>
  <r>
    <n v="893"/>
    <x v="255"/>
    <n v="21"/>
    <n v="6"/>
    <x v="1"/>
    <x v="2"/>
    <x v="8"/>
    <x v="3"/>
    <x v="3"/>
    <n v="2"/>
    <n v="36174.67"/>
    <n v="72349.34"/>
    <s v="Mala Chatterjee"/>
    <n v="42"/>
    <x v="3"/>
    <x v="2"/>
    <n v="5"/>
    <x v="0"/>
    <x v="12"/>
  </r>
  <r>
    <n v="894"/>
    <x v="255"/>
    <n v="21"/>
    <n v="6"/>
    <x v="1"/>
    <x v="2"/>
    <x v="8"/>
    <x v="3"/>
    <x v="3"/>
    <n v="7"/>
    <n v="68317.05"/>
    <n v="478219.35000000003"/>
    <s v="Sumit Joshi"/>
    <n v="45"/>
    <x v="3"/>
    <x v="3"/>
    <n v="4"/>
    <x v="0"/>
    <x v="12"/>
  </r>
  <r>
    <n v="895"/>
    <x v="256"/>
    <n v="22"/>
    <n v="6"/>
    <x v="1"/>
    <x v="2"/>
    <x v="8"/>
    <x v="4"/>
    <x v="2"/>
    <n v="2"/>
    <n v="12253.14"/>
    <n v="24506.28"/>
    <s v="Vivek Bhatnagar"/>
    <n v="53"/>
    <x v="1"/>
    <x v="2"/>
    <n v="5"/>
    <x v="0"/>
    <x v="6"/>
  </r>
  <r>
    <n v="896"/>
    <x v="256"/>
    <n v="22"/>
    <n v="6"/>
    <x v="1"/>
    <x v="2"/>
    <x v="8"/>
    <x v="4"/>
    <x v="4"/>
    <n v="2"/>
    <n v="28960.28"/>
    <n v="57920.56"/>
    <s v="Radha Kulkarni"/>
    <n v="35"/>
    <x v="14"/>
    <x v="0"/>
    <n v="5"/>
    <x v="0"/>
    <x v="11"/>
  </r>
  <r>
    <n v="897"/>
    <x v="256"/>
    <n v="22"/>
    <n v="6"/>
    <x v="1"/>
    <x v="2"/>
    <x v="8"/>
    <x v="4"/>
    <x v="4"/>
    <n v="9"/>
    <n v="28846.59"/>
    <n v="259619.31"/>
    <s v="Tapan Deshmukh"/>
    <n v="23"/>
    <x v="1"/>
    <x v="2"/>
    <n v="4"/>
    <x v="0"/>
    <x v="11"/>
  </r>
  <r>
    <n v="898"/>
    <x v="257"/>
    <n v="23"/>
    <n v="6"/>
    <x v="1"/>
    <x v="2"/>
    <x v="8"/>
    <x v="5"/>
    <x v="0"/>
    <n v="7"/>
    <n v="48007.85"/>
    <n v="336054.95"/>
    <s v="Sachin Rao"/>
    <n v="19"/>
    <x v="1"/>
    <x v="0"/>
    <n v="5"/>
    <x v="0"/>
    <x v="0"/>
  </r>
  <r>
    <n v="899"/>
    <x v="257"/>
    <n v="23"/>
    <n v="6"/>
    <x v="1"/>
    <x v="2"/>
    <x v="8"/>
    <x v="5"/>
    <x v="1"/>
    <n v="3"/>
    <n v="16348.02"/>
    <n v="49044.06"/>
    <s v="Gita Teja"/>
    <n v="20"/>
    <x v="1"/>
    <x v="1"/>
    <n v="5"/>
    <x v="0"/>
    <x v="2"/>
  </r>
  <r>
    <n v="900"/>
    <x v="257"/>
    <n v="23"/>
    <n v="6"/>
    <x v="1"/>
    <x v="2"/>
    <x v="8"/>
    <x v="5"/>
    <x v="4"/>
    <n v="3"/>
    <n v="47712.639999999999"/>
    <n v="143137.91999999998"/>
    <s v="Priya Patel"/>
    <n v="25"/>
    <x v="1"/>
    <x v="1"/>
    <n v="4"/>
    <x v="0"/>
    <x v="7"/>
  </r>
  <r>
    <n v="901"/>
    <x v="257"/>
    <n v="23"/>
    <n v="6"/>
    <x v="1"/>
    <x v="2"/>
    <x v="8"/>
    <x v="5"/>
    <x v="3"/>
    <n v="7"/>
    <n v="15702.41"/>
    <n v="109916.87"/>
    <s v="Anand Thakur"/>
    <n v="48"/>
    <x v="15"/>
    <x v="2"/>
    <n v="5"/>
    <x v="0"/>
    <x v="12"/>
  </r>
  <r>
    <n v="902"/>
    <x v="258"/>
    <n v="24"/>
    <n v="6"/>
    <x v="1"/>
    <x v="2"/>
    <x v="8"/>
    <x v="6"/>
    <x v="4"/>
    <n v="5"/>
    <n v="15697.22"/>
    <n v="78486.099999999991"/>
    <s v="Sneha Thakur"/>
    <n v="36"/>
    <x v="17"/>
    <x v="3"/>
    <n v="2"/>
    <x v="2"/>
    <x v="14"/>
  </r>
  <r>
    <n v="903"/>
    <x v="258"/>
    <n v="24"/>
    <n v="6"/>
    <x v="1"/>
    <x v="2"/>
    <x v="8"/>
    <x v="6"/>
    <x v="0"/>
    <n v="6"/>
    <n v="53691"/>
    <n v="322146"/>
    <s v="Arun Deshmukh"/>
    <n v="23"/>
    <x v="2"/>
    <x v="2"/>
    <n v="3"/>
    <x v="1"/>
    <x v="0"/>
  </r>
  <r>
    <n v="904"/>
    <x v="258"/>
    <n v="24"/>
    <n v="6"/>
    <x v="1"/>
    <x v="2"/>
    <x v="8"/>
    <x v="6"/>
    <x v="0"/>
    <n v="8"/>
    <n v="29448.11"/>
    <n v="235584.88"/>
    <s v="Isha Nair"/>
    <n v="31"/>
    <x v="11"/>
    <x v="3"/>
    <n v="5"/>
    <x v="0"/>
    <x v="3"/>
  </r>
  <r>
    <n v="905"/>
    <x v="258"/>
    <n v="24"/>
    <n v="6"/>
    <x v="1"/>
    <x v="2"/>
    <x v="8"/>
    <x v="6"/>
    <x v="1"/>
    <n v="9"/>
    <n v="68645.38"/>
    <n v="617808.42000000004"/>
    <s v="Bina Joshi"/>
    <n v="20"/>
    <x v="3"/>
    <x v="1"/>
    <n v="5"/>
    <x v="0"/>
    <x v="9"/>
  </r>
  <r>
    <n v="906"/>
    <x v="259"/>
    <n v="25"/>
    <n v="6"/>
    <x v="1"/>
    <x v="2"/>
    <x v="8"/>
    <x v="0"/>
    <x v="4"/>
    <n v="1"/>
    <n v="12241.18"/>
    <n v="12241.18"/>
    <s v="Arun Dutta"/>
    <n v="18"/>
    <x v="15"/>
    <x v="1"/>
    <n v="3"/>
    <x v="1"/>
    <x v="7"/>
  </r>
  <r>
    <n v="907"/>
    <x v="259"/>
    <n v="25"/>
    <n v="6"/>
    <x v="1"/>
    <x v="2"/>
    <x v="8"/>
    <x v="0"/>
    <x v="3"/>
    <n v="3"/>
    <n v="36706.400000000001"/>
    <n v="110119.20000000001"/>
    <s v="Aditya Luthra"/>
    <n v="47"/>
    <x v="16"/>
    <x v="1"/>
    <n v="5"/>
    <x v="0"/>
    <x v="5"/>
  </r>
  <r>
    <n v="908"/>
    <x v="259"/>
    <n v="25"/>
    <n v="6"/>
    <x v="1"/>
    <x v="2"/>
    <x v="8"/>
    <x v="0"/>
    <x v="3"/>
    <n v="7"/>
    <n v="16788.16"/>
    <n v="117517.12"/>
    <s v="Kiran Rawat"/>
    <n v="36"/>
    <x v="2"/>
    <x v="3"/>
    <n v="3"/>
    <x v="1"/>
    <x v="5"/>
  </r>
  <r>
    <n v="909"/>
    <x v="260"/>
    <n v="26"/>
    <n v="6"/>
    <x v="1"/>
    <x v="2"/>
    <x v="8"/>
    <x v="1"/>
    <x v="2"/>
    <n v="6"/>
    <n v="31082.74"/>
    <n v="186496.44"/>
    <s v="Ramesh Chatterjee"/>
    <n v="36"/>
    <x v="1"/>
    <x v="3"/>
    <n v="4"/>
    <x v="0"/>
    <x v="13"/>
  </r>
  <r>
    <n v="910"/>
    <x v="260"/>
    <n v="26"/>
    <n v="6"/>
    <x v="1"/>
    <x v="2"/>
    <x v="8"/>
    <x v="1"/>
    <x v="3"/>
    <n v="7"/>
    <n v="69893.350000000006"/>
    <n v="489253.45000000007"/>
    <s v="Meena Mathur"/>
    <n v="26"/>
    <x v="13"/>
    <x v="1"/>
    <n v="5"/>
    <x v="0"/>
    <x v="5"/>
  </r>
  <r>
    <n v="911"/>
    <x v="260"/>
    <n v="26"/>
    <n v="6"/>
    <x v="1"/>
    <x v="2"/>
    <x v="8"/>
    <x v="1"/>
    <x v="1"/>
    <n v="8"/>
    <n v="63330.55"/>
    <n v="506644.4"/>
    <s v="Krishna Mehta"/>
    <n v="24"/>
    <x v="1"/>
    <x v="2"/>
    <n v="5"/>
    <x v="0"/>
    <x v="1"/>
  </r>
  <r>
    <n v="912"/>
    <x v="261"/>
    <n v="27"/>
    <n v="6"/>
    <x v="1"/>
    <x v="2"/>
    <x v="8"/>
    <x v="2"/>
    <x v="1"/>
    <n v="6"/>
    <n v="12899.46"/>
    <n v="77396.759999999995"/>
    <s v="Pankaj Desai"/>
    <n v="54"/>
    <x v="9"/>
    <x v="3"/>
    <n v="2"/>
    <x v="2"/>
    <x v="1"/>
  </r>
  <r>
    <n v="913"/>
    <x v="261"/>
    <n v="27"/>
    <n v="6"/>
    <x v="1"/>
    <x v="2"/>
    <x v="8"/>
    <x v="2"/>
    <x v="3"/>
    <n v="3"/>
    <n v="43795.35"/>
    <n v="131386.04999999999"/>
    <s v="Navin Joshi"/>
    <n v="58"/>
    <x v="7"/>
    <x v="0"/>
    <n v="2"/>
    <x v="2"/>
    <x v="5"/>
  </r>
  <r>
    <n v="914"/>
    <x v="261"/>
    <n v="27"/>
    <n v="6"/>
    <x v="1"/>
    <x v="2"/>
    <x v="8"/>
    <x v="2"/>
    <x v="3"/>
    <n v="2"/>
    <n v="48869.34"/>
    <n v="97738.68"/>
    <s v="Ravi Teja"/>
    <n v="24"/>
    <x v="15"/>
    <x v="1"/>
    <n v="3"/>
    <x v="1"/>
    <x v="12"/>
  </r>
  <r>
    <n v="915"/>
    <x v="261"/>
    <n v="27"/>
    <n v="6"/>
    <x v="1"/>
    <x v="2"/>
    <x v="8"/>
    <x v="2"/>
    <x v="2"/>
    <n v="7"/>
    <n v="22572.080000000002"/>
    <n v="158004.56"/>
    <s v="Neeta Mishra"/>
    <n v="26"/>
    <x v="7"/>
    <x v="3"/>
    <n v="4"/>
    <x v="0"/>
    <x v="4"/>
  </r>
  <r>
    <n v="916"/>
    <x v="262"/>
    <n v="28"/>
    <n v="6"/>
    <x v="1"/>
    <x v="2"/>
    <x v="8"/>
    <x v="3"/>
    <x v="3"/>
    <n v="1"/>
    <n v="18706.330000000002"/>
    <n v="18706.330000000002"/>
    <s v="Vijay Siddiqui"/>
    <n v="21"/>
    <x v="4"/>
    <x v="1"/>
    <n v="3"/>
    <x v="1"/>
    <x v="5"/>
  </r>
  <r>
    <n v="917"/>
    <x v="262"/>
    <n v="28"/>
    <n v="6"/>
    <x v="1"/>
    <x v="2"/>
    <x v="8"/>
    <x v="3"/>
    <x v="2"/>
    <n v="3"/>
    <n v="64262.87"/>
    <n v="192788.61000000002"/>
    <s v="Sumit Malhotra"/>
    <n v="42"/>
    <x v="2"/>
    <x v="0"/>
    <n v="5"/>
    <x v="0"/>
    <x v="6"/>
  </r>
  <r>
    <n v="918"/>
    <x v="262"/>
    <n v="28"/>
    <n v="6"/>
    <x v="1"/>
    <x v="2"/>
    <x v="8"/>
    <x v="3"/>
    <x v="2"/>
    <n v="4"/>
    <n v="68128.990000000005"/>
    <n v="272515.96000000002"/>
    <s v="Vivek Alva"/>
    <n v="29"/>
    <x v="18"/>
    <x v="2"/>
    <n v="5"/>
    <x v="0"/>
    <x v="13"/>
  </r>
  <r>
    <n v="919"/>
    <x v="263"/>
    <n v="29"/>
    <n v="6"/>
    <x v="1"/>
    <x v="2"/>
    <x v="8"/>
    <x v="4"/>
    <x v="3"/>
    <n v="1"/>
    <n v="69513.570000000007"/>
    <n v="69513.570000000007"/>
    <s v="Pooja Deshmukh"/>
    <n v="23"/>
    <x v="1"/>
    <x v="0"/>
    <n v="3"/>
    <x v="1"/>
    <x v="8"/>
  </r>
  <r>
    <n v="920"/>
    <x v="263"/>
    <n v="29"/>
    <n v="6"/>
    <x v="1"/>
    <x v="2"/>
    <x v="8"/>
    <x v="4"/>
    <x v="0"/>
    <n v="5"/>
    <n v="57385.71"/>
    <n v="286928.55"/>
    <s v="Arun Gupta"/>
    <n v="35"/>
    <x v="6"/>
    <x v="2"/>
    <n v="3"/>
    <x v="1"/>
    <x v="0"/>
  </r>
  <r>
    <n v="921"/>
    <x v="263"/>
    <n v="29"/>
    <n v="6"/>
    <x v="1"/>
    <x v="2"/>
    <x v="8"/>
    <x v="4"/>
    <x v="0"/>
    <n v="3"/>
    <n v="49810.12"/>
    <n v="149430.36000000002"/>
    <s v="Sachin Sheth"/>
    <n v="57"/>
    <x v="16"/>
    <x v="2"/>
    <n v="5"/>
    <x v="0"/>
    <x v="0"/>
  </r>
  <r>
    <n v="922"/>
    <x v="264"/>
    <n v="30"/>
    <n v="6"/>
    <x v="1"/>
    <x v="2"/>
    <x v="8"/>
    <x v="5"/>
    <x v="2"/>
    <n v="2"/>
    <n v="30743.82"/>
    <n v="61487.64"/>
    <s v="Manoj Jain"/>
    <n v="38"/>
    <x v="1"/>
    <x v="3"/>
    <n v="5"/>
    <x v="0"/>
    <x v="6"/>
  </r>
  <r>
    <n v="923"/>
    <x v="264"/>
    <n v="30"/>
    <n v="6"/>
    <x v="1"/>
    <x v="2"/>
    <x v="8"/>
    <x v="5"/>
    <x v="3"/>
    <n v="3"/>
    <n v="20283.900000000001"/>
    <n v="60851.700000000004"/>
    <s v="Meena Roy"/>
    <n v="32"/>
    <x v="15"/>
    <x v="2"/>
    <n v="2"/>
    <x v="2"/>
    <x v="12"/>
  </r>
  <r>
    <n v="924"/>
    <x v="264"/>
    <n v="30"/>
    <n v="6"/>
    <x v="1"/>
    <x v="2"/>
    <x v="8"/>
    <x v="5"/>
    <x v="0"/>
    <n v="8"/>
    <n v="14738.84"/>
    <n v="117910.72"/>
    <s v="Vinod Arora"/>
    <n v="20"/>
    <x v="1"/>
    <x v="2"/>
    <n v="2"/>
    <x v="2"/>
    <x v="3"/>
  </r>
  <r>
    <n v="925"/>
    <x v="265"/>
    <n v="1"/>
    <n v="7"/>
    <x v="1"/>
    <x v="3"/>
    <x v="9"/>
    <x v="6"/>
    <x v="3"/>
    <n v="6"/>
    <n v="51597.85"/>
    <n v="309587.09999999998"/>
    <s v="Vinod Verma"/>
    <n v="19"/>
    <x v="10"/>
    <x v="2"/>
    <n v="5"/>
    <x v="0"/>
    <x v="8"/>
  </r>
  <r>
    <n v="926"/>
    <x v="265"/>
    <n v="1"/>
    <n v="7"/>
    <x v="1"/>
    <x v="3"/>
    <x v="9"/>
    <x v="6"/>
    <x v="3"/>
    <n v="7"/>
    <n v="57083.4"/>
    <n v="399583.8"/>
    <s v="Sunita Nair"/>
    <n v="58"/>
    <x v="2"/>
    <x v="1"/>
    <n v="3"/>
    <x v="1"/>
    <x v="8"/>
  </r>
  <r>
    <n v="927"/>
    <x v="265"/>
    <n v="1"/>
    <n v="7"/>
    <x v="1"/>
    <x v="3"/>
    <x v="9"/>
    <x v="6"/>
    <x v="3"/>
    <n v="6"/>
    <n v="59587.22"/>
    <n v="357523.32"/>
    <s v="Bina Nair"/>
    <n v="57"/>
    <x v="18"/>
    <x v="3"/>
    <n v="5"/>
    <x v="0"/>
    <x v="12"/>
  </r>
  <r>
    <n v="928"/>
    <x v="265"/>
    <n v="1"/>
    <n v="7"/>
    <x v="1"/>
    <x v="3"/>
    <x v="9"/>
    <x v="6"/>
    <x v="4"/>
    <n v="6"/>
    <n v="64825.9"/>
    <n v="388955.4"/>
    <s v="Pankaj Prasad"/>
    <n v="21"/>
    <x v="8"/>
    <x v="3"/>
    <n v="3"/>
    <x v="1"/>
    <x v="11"/>
  </r>
  <r>
    <n v="929"/>
    <x v="266"/>
    <n v="2"/>
    <n v="7"/>
    <x v="1"/>
    <x v="3"/>
    <x v="9"/>
    <x v="0"/>
    <x v="3"/>
    <n v="3"/>
    <n v="62795.77"/>
    <n v="188387.31"/>
    <s v="Jyoti Varma"/>
    <n v="49"/>
    <x v="1"/>
    <x v="2"/>
    <n v="5"/>
    <x v="0"/>
    <x v="8"/>
  </r>
  <r>
    <n v="930"/>
    <x v="266"/>
    <n v="2"/>
    <n v="7"/>
    <x v="1"/>
    <x v="3"/>
    <x v="9"/>
    <x v="0"/>
    <x v="4"/>
    <n v="8"/>
    <n v="69984.479999999996"/>
    <n v="559875.83999999997"/>
    <s v="Kunal Yadav"/>
    <n v="19"/>
    <x v="2"/>
    <x v="1"/>
    <n v="5"/>
    <x v="0"/>
    <x v="11"/>
  </r>
  <r>
    <n v="931"/>
    <x v="266"/>
    <n v="2"/>
    <n v="7"/>
    <x v="1"/>
    <x v="3"/>
    <x v="9"/>
    <x v="0"/>
    <x v="2"/>
    <n v="7"/>
    <n v="24643.84"/>
    <n v="172506.88"/>
    <s v="Pankaj Prasad"/>
    <n v="46"/>
    <x v="14"/>
    <x v="2"/>
    <n v="5"/>
    <x v="0"/>
    <x v="4"/>
  </r>
  <r>
    <n v="932"/>
    <x v="266"/>
    <n v="2"/>
    <n v="7"/>
    <x v="1"/>
    <x v="3"/>
    <x v="9"/>
    <x v="0"/>
    <x v="0"/>
    <n v="7"/>
    <n v="55798.46"/>
    <n v="390589.22"/>
    <s v="Neeta Nair"/>
    <n v="19"/>
    <x v="14"/>
    <x v="3"/>
    <n v="2"/>
    <x v="2"/>
    <x v="10"/>
  </r>
  <r>
    <n v="933"/>
    <x v="267"/>
    <n v="3"/>
    <n v="7"/>
    <x v="1"/>
    <x v="3"/>
    <x v="9"/>
    <x v="1"/>
    <x v="0"/>
    <n v="6"/>
    <n v="45187.57"/>
    <n v="271125.42"/>
    <s v="Navin Patel"/>
    <n v="51"/>
    <x v="2"/>
    <x v="3"/>
    <n v="5"/>
    <x v="0"/>
    <x v="10"/>
  </r>
  <r>
    <n v="934"/>
    <x v="267"/>
    <n v="3"/>
    <n v="7"/>
    <x v="1"/>
    <x v="3"/>
    <x v="9"/>
    <x v="1"/>
    <x v="0"/>
    <n v="5"/>
    <n v="25674.71"/>
    <n v="128373.54999999999"/>
    <s v="Sumit Malhotra"/>
    <n v="44"/>
    <x v="2"/>
    <x v="3"/>
    <n v="4"/>
    <x v="0"/>
    <x v="3"/>
  </r>
  <r>
    <n v="935"/>
    <x v="267"/>
    <n v="3"/>
    <n v="7"/>
    <x v="1"/>
    <x v="3"/>
    <x v="9"/>
    <x v="1"/>
    <x v="0"/>
    <n v="8"/>
    <n v="68914.320000000007"/>
    <n v="551314.56000000006"/>
    <s v="Navin Kapoor"/>
    <n v="56"/>
    <x v="1"/>
    <x v="3"/>
    <n v="5"/>
    <x v="0"/>
    <x v="3"/>
  </r>
  <r>
    <n v="936"/>
    <x v="267"/>
    <n v="3"/>
    <n v="7"/>
    <x v="1"/>
    <x v="3"/>
    <x v="9"/>
    <x v="1"/>
    <x v="0"/>
    <n v="5"/>
    <n v="63873.89"/>
    <n v="319369.45"/>
    <s v="Namita Teja"/>
    <n v="55"/>
    <x v="8"/>
    <x v="1"/>
    <n v="5"/>
    <x v="0"/>
    <x v="10"/>
  </r>
  <r>
    <n v="937"/>
    <x v="268"/>
    <n v="4"/>
    <n v="7"/>
    <x v="1"/>
    <x v="3"/>
    <x v="9"/>
    <x v="2"/>
    <x v="0"/>
    <n v="9"/>
    <n v="17710.939999999999"/>
    <n v="159398.46"/>
    <s v="Monika Chatterjee"/>
    <n v="35"/>
    <x v="0"/>
    <x v="0"/>
    <n v="4"/>
    <x v="0"/>
    <x v="0"/>
  </r>
  <r>
    <n v="938"/>
    <x v="268"/>
    <n v="4"/>
    <n v="7"/>
    <x v="1"/>
    <x v="3"/>
    <x v="9"/>
    <x v="2"/>
    <x v="0"/>
    <n v="9"/>
    <n v="11569.5"/>
    <n v="104125.5"/>
    <s v="Monika Mehta"/>
    <n v="53"/>
    <x v="3"/>
    <x v="0"/>
    <n v="4"/>
    <x v="0"/>
    <x v="10"/>
  </r>
  <r>
    <n v="939"/>
    <x v="268"/>
    <n v="4"/>
    <n v="7"/>
    <x v="1"/>
    <x v="3"/>
    <x v="9"/>
    <x v="2"/>
    <x v="2"/>
    <n v="1"/>
    <n v="51299.85"/>
    <n v="51299.85"/>
    <s v="Ayesha Kaur"/>
    <n v="36"/>
    <x v="14"/>
    <x v="1"/>
    <n v="5"/>
    <x v="0"/>
    <x v="4"/>
  </r>
  <r>
    <n v="940"/>
    <x v="269"/>
    <n v="5"/>
    <n v="7"/>
    <x v="1"/>
    <x v="3"/>
    <x v="9"/>
    <x v="3"/>
    <x v="3"/>
    <n v="6"/>
    <n v="46247.839999999997"/>
    <n v="277487.03999999998"/>
    <s v="Vijay Malhotra"/>
    <n v="44"/>
    <x v="1"/>
    <x v="2"/>
    <n v="3"/>
    <x v="1"/>
    <x v="5"/>
  </r>
  <r>
    <n v="941"/>
    <x v="269"/>
    <n v="5"/>
    <n v="7"/>
    <x v="1"/>
    <x v="3"/>
    <x v="9"/>
    <x v="3"/>
    <x v="1"/>
    <n v="7"/>
    <n v="66148.94"/>
    <n v="463042.58"/>
    <s v="Sachin Shah"/>
    <n v="37"/>
    <x v="15"/>
    <x v="3"/>
    <n v="4"/>
    <x v="0"/>
    <x v="1"/>
  </r>
  <r>
    <n v="942"/>
    <x v="269"/>
    <n v="5"/>
    <n v="7"/>
    <x v="1"/>
    <x v="3"/>
    <x v="9"/>
    <x v="3"/>
    <x v="4"/>
    <n v="3"/>
    <n v="24040.32"/>
    <n v="72120.959999999992"/>
    <s v="Ayesha Ahuja"/>
    <n v="38"/>
    <x v="1"/>
    <x v="3"/>
    <n v="5"/>
    <x v="0"/>
    <x v="11"/>
  </r>
  <r>
    <n v="943"/>
    <x v="270"/>
    <n v="6"/>
    <n v="7"/>
    <x v="1"/>
    <x v="3"/>
    <x v="9"/>
    <x v="4"/>
    <x v="1"/>
    <n v="7"/>
    <n v="15063.28"/>
    <n v="105442.96"/>
    <s v="Ravi Reddy"/>
    <n v="40"/>
    <x v="1"/>
    <x v="3"/>
    <n v="4"/>
    <x v="0"/>
    <x v="9"/>
  </r>
  <r>
    <n v="944"/>
    <x v="270"/>
    <n v="6"/>
    <n v="7"/>
    <x v="1"/>
    <x v="3"/>
    <x v="9"/>
    <x v="4"/>
    <x v="1"/>
    <n v="7"/>
    <n v="25552.92"/>
    <n v="178870.44"/>
    <s v="Pankaj Kapoor"/>
    <n v="47"/>
    <x v="1"/>
    <x v="1"/>
    <n v="5"/>
    <x v="0"/>
    <x v="9"/>
  </r>
  <r>
    <n v="945"/>
    <x v="270"/>
    <n v="6"/>
    <n v="7"/>
    <x v="1"/>
    <x v="3"/>
    <x v="9"/>
    <x v="4"/>
    <x v="3"/>
    <n v="2"/>
    <n v="11135.66"/>
    <n v="22271.32"/>
    <s v="Lalita Kaur"/>
    <n v="42"/>
    <x v="11"/>
    <x v="1"/>
    <n v="5"/>
    <x v="0"/>
    <x v="12"/>
  </r>
  <r>
    <n v="946"/>
    <x v="270"/>
    <n v="6"/>
    <n v="7"/>
    <x v="1"/>
    <x v="3"/>
    <x v="9"/>
    <x v="4"/>
    <x v="3"/>
    <n v="7"/>
    <n v="12153.57"/>
    <n v="85074.989999999991"/>
    <s v="Pankaj Alva"/>
    <n v="48"/>
    <x v="18"/>
    <x v="3"/>
    <n v="5"/>
    <x v="0"/>
    <x v="8"/>
  </r>
  <r>
    <n v="947"/>
    <x v="271"/>
    <n v="7"/>
    <n v="7"/>
    <x v="1"/>
    <x v="3"/>
    <x v="9"/>
    <x v="5"/>
    <x v="3"/>
    <n v="1"/>
    <n v="64891.47"/>
    <n v="64891.47"/>
    <s v="Ayesha Bhattacharya"/>
    <n v="44"/>
    <x v="11"/>
    <x v="3"/>
    <n v="5"/>
    <x v="0"/>
    <x v="12"/>
  </r>
  <r>
    <n v="948"/>
    <x v="271"/>
    <n v="7"/>
    <n v="7"/>
    <x v="1"/>
    <x v="3"/>
    <x v="9"/>
    <x v="5"/>
    <x v="0"/>
    <n v="5"/>
    <n v="31120.99"/>
    <n v="155604.95000000001"/>
    <s v="Harish Kumar"/>
    <n v="51"/>
    <x v="15"/>
    <x v="2"/>
    <n v="5"/>
    <x v="0"/>
    <x v="3"/>
  </r>
  <r>
    <n v="949"/>
    <x v="271"/>
    <n v="7"/>
    <n v="7"/>
    <x v="1"/>
    <x v="3"/>
    <x v="9"/>
    <x v="5"/>
    <x v="2"/>
    <n v="9"/>
    <n v="34648.54"/>
    <n v="311836.86"/>
    <s v="Yogesh Desai"/>
    <n v="25"/>
    <x v="1"/>
    <x v="0"/>
    <n v="3"/>
    <x v="1"/>
    <x v="4"/>
  </r>
  <r>
    <n v="950"/>
    <x v="271"/>
    <n v="7"/>
    <n v="7"/>
    <x v="1"/>
    <x v="3"/>
    <x v="9"/>
    <x v="5"/>
    <x v="0"/>
    <n v="7"/>
    <n v="11102.3"/>
    <n v="77716.099999999991"/>
    <s v="Shruti Dutta"/>
    <n v="36"/>
    <x v="2"/>
    <x v="1"/>
    <n v="5"/>
    <x v="0"/>
    <x v="0"/>
  </r>
  <r>
    <n v="951"/>
    <x v="272"/>
    <n v="8"/>
    <n v="7"/>
    <x v="1"/>
    <x v="3"/>
    <x v="9"/>
    <x v="6"/>
    <x v="2"/>
    <n v="7"/>
    <n v="26231.31"/>
    <n v="183619.17"/>
    <s v="Neeta Malhotra"/>
    <n v="58"/>
    <x v="1"/>
    <x v="0"/>
    <n v="5"/>
    <x v="0"/>
    <x v="6"/>
  </r>
  <r>
    <n v="952"/>
    <x v="272"/>
    <n v="8"/>
    <n v="7"/>
    <x v="1"/>
    <x v="3"/>
    <x v="9"/>
    <x v="6"/>
    <x v="2"/>
    <n v="2"/>
    <n v="58283.56"/>
    <n v="116567.12"/>
    <s v="Tanuja Solanki"/>
    <n v="43"/>
    <x v="14"/>
    <x v="3"/>
    <n v="5"/>
    <x v="0"/>
    <x v="6"/>
  </r>
  <r>
    <n v="953"/>
    <x v="272"/>
    <n v="8"/>
    <n v="7"/>
    <x v="1"/>
    <x v="3"/>
    <x v="9"/>
    <x v="6"/>
    <x v="1"/>
    <n v="8"/>
    <n v="46929.46"/>
    <n v="375435.68"/>
    <s v="Namita Kumar"/>
    <n v="45"/>
    <x v="1"/>
    <x v="0"/>
    <n v="4"/>
    <x v="0"/>
    <x v="2"/>
  </r>
  <r>
    <n v="954"/>
    <x v="272"/>
    <n v="8"/>
    <n v="7"/>
    <x v="1"/>
    <x v="3"/>
    <x v="9"/>
    <x v="6"/>
    <x v="1"/>
    <n v="3"/>
    <n v="55226.84"/>
    <n v="165680.51999999999"/>
    <s v="Sumit Chatterjee"/>
    <n v="21"/>
    <x v="5"/>
    <x v="0"/>
    <n v="5"/>
    <x v="0"/>
    <x v="2"/>
  </r>
  <r>
    <n v="955"/>
    <x v="273"/>
    <n v="9"/>
    <n v="7"/>
    <x v="1"/>
    <x v="3"/>
    <x v="9"/>
    <x v="0"/>
    <x v="2"/>
    <n v="8"/>
    <n v="36832.82"/>
    <n v="294662.56"/>
    <s v="Ravi Jain"/>
    <n v="48"/>
    <x v="2"/>
    <x v="1"/>
    <n v="3"/>
    <x v="1"/>
    <x v="6"/>
  </r>
  <r>
    <n v="956"/>
    <x v="273"/>
    <n v="9"/>
    <n v="7"/>
    <x v="1"/>
    <x v="3"/>
    <x v="9"/>
    <x v="0"/>
    <x v="2"/>
    <n v="3"/>
    <n v="28583.75"/>
    <n v="85751.25"/>
    <s v="Rohan Pathak"/>
    <n v="33"/>
    <x v="6"/>
    <x v="1"/>
    <n v="2"/>
    <x v="2"/>
    <x v="4"/>
  </r>
  <r>
    <n v="957"/>
    <x v="273"/>
    <n v="9"/>
    <n v="7"/>
    <x v="1"/>
    <x v="3"/>
    <x v="9"/>
    <x v="0"/>
    <x v="0"/>
    <n v="7"/>
    <n v="38968.61"/>
    <n v="272780.27"/>
    <s v="Rohan Rathod"/>
    <n v="27"/>
    <x v="17"/>
    <x v="2"/>
    <n v="4"/>
    <x v="0"/>
    <x v="0"/>
  </r>
  <r>
    <n v="958"/>
    <x v="273"/>
    <n v="9"/>
    <n v="7"/>
    <x v="1"/>
    <x v="3"/>
    <x v="9"/>
    <x v="0"/>
    <x v="0"/>
    <n v="2"/>
    <n v="29384.26"/>
    <n v="58768.52"/>
    <s v="Namita Goyal"/>
    <n v="55"/>
    <x v="5"/>
    <x v="3"/>
    <n v="3"/>
    <x v="1"/>
    <x v="10"/>
  </r>
  <r>
    <n v="959"/>
    <x v="274"/>
    <n v="10"/>
    <n v="7"/>
    <x v="1"/>
    <x v="3"/>
    <x v="9"/>
    <x v="1"/>
    <x v="1"/>
    <n v="4"/>
    <n v="60338.27"/>
    <n v="241353.08"/>
    <s v="Tanuja Bhatnagar"/>
    <n v="27"/>
    <x v="15"/>
    <x v="2"/>
    <n v="5"/>
    <x v="0"/>
    <x v="2"/>
  </r>
  <r>
    <n v="960"/>
    <x v="274"/>
    <n v="10"/>
    <n v="7"/>
    <x v="1"/>
    <x v="3"/>
    <x v="9"/>
    <x v="1"/>
    <x v="3"/>
    <n v="6"/>
    <n v="27860.42"/>
    <n v="167162.51999999999"/>
    <s v="Rajesh Kapoor"/>
    <n v="26"/>
    <x v="2"/>
    <x v="1"/>
    <n v="3"/>
    <x v="1"/>
    <x v="12"/>
  </r>
  <r>
    <n v="961"/>
    <x v="274"/>
    <n v="10"/>
    <n v="7"/>
    <x v="1"/>
    <x v="3"/>
    <x v="9"/>
    <x v="1"/>
    <x v="2"/>
    <n v="9"/>
    <n v="49585.82"/>
    <n v="446272.38"/>
    <s v="Lalita Desai"/>
    <n v="56"/>
    <x v="8"/>
    <x v="2"/>
    <n v="2"/>
    <x v="2"/>
    <x v="6"/>
  </r>
  <r>
    <n v="962"/>
    <x v="275"/>
    <n v="11"/>
    <n v="7"/>
    <x v="1"/>
    <x v="3"/>
    <x v="9"/>
    <x v="2"/>
    <x v="0"/>
    <n v="5"/>
    <n v="18218.93"/>
    <n v="91094.65"/>
    <s v="Ramesh Verma"/>
    <n v="53"/>
    <x v="17"/>
    <x v="0"/>
    <n v="3"/>
    <x v="1"/>
    <x v="3"/>
  </r>
  <r>
    <n v="963"/>
    <x v="275"/>
    <n v="11"/>
    <n v="7"/>
    <x v="1"/>
    <x v="3"/>
    <x v="9"/>
    <x v="2"/>
    <x v="1"/>
    <n v="9"/>
    <n v="51211.99"/>
    <n v="460907.91"/>
    <s v="Sanjay Roy"/>
    <n v="53"/>
    <x v="3"/>
    <x v="0"/>
    <n v="2"/>
    <x v="2"/>
    <x v="9"/>
  </r>
  <r>
    <n v="964"/>
    <x v="275"/>
    <n v="11"/>
    <n v="7"/>
    <x v="1"/>
    <x v="3"/>
    <x v="9"/>
    <x v="2"/>
    <x v="0"/>
    <n v="5"/>
    <n v="64797.98"/>
    <n v="323989.90000000002"/>
    <s v="Krishna Mehta"/>
    <n v="36"/>
    <x v="14"/>
    <x v="1"/>
    <n v="2"/>
    <x v="2"/>
    <x v="3"/>
  </r>
  <r>
    <n v="965"/>
    <x v="275"/>
    <n v="11"/>
    <n v="7"/>
    <x v="1"/>
    <x v="3"/>
    <x v="9"/>
    <x v="2"/>
    <x v="2"/>
    <n v="8"/>
    <n v="46514.99"/>
    <n v="372119.92"/>
    <s v="Vinod Chatterjee"/>
    <n v="36"/>
    <x v="6"/>
    <x v="0"/>
    <n v="2"/>
    <x v="2"/>
    <x v="4"/>
  </r>
  <r>
    <n v="966"/>
    <x v="276"/>
    <n v="12"/>
    <n v="7"/>
    <x v="1"/>
    <x v="3"/>
    <x v="9"/>
    <x v="3"/>
    <x v="2"/>
    <n v="1"/>
    <n v="43591.32"/>
    <n v="43591.32"/>
    <s v="Kiran Jain"/>
    <n v="29"/>
    <x v="11"/>
    <x v="3"/>
    <n v="3"/>
    <x v="1"/>
    <x v="4"/>
  </r>
  <r>
    <n v="967"/>
    <x v="276"/>
    <n v="12"/>
    <n v="7"/>
    <x v="1"/>
    <x v="3"/>
    <x v="9"/>
    <x v="3"/>
    <x v="4"/>
    <n v="7"/>
    <n v="67667.100000000006"/>
    <n v="473669.70000000007"/>
    <s v="Anita Sharma"/>
    <n v="30"/>
    <x v="6"/>
    <x v="1"/>
    <n v="5"/>
    <x v="0"/>
    <x v="7"/>
  </r>
  <r>
    <n v="968"/>
    <x v="276"/>
    <n v="12"/>
    <n v="7"/>
    <x v="1"/>
    <x v="3"/>
    <x v="9"/>
    <x v="3"/>
    <x v="3"/>
    <n v="4"/>
    <n v="47643.79"/>
    <n v="190575.16"/>
    <s v="Radha Ghosh"/>
    <n v="42"/>
    <x v="2"/>
    <x v="3"/>
    <n v="5"/>
    <x v="0"/>
    <x v="12"/>
  </r>
  <r>
    <n v="969"/>
    <x v="277"/>
    <n v="13"/>
    <n v="7"/>
    <x v="1"/>
    <x v="3"/>
    <x v="9"/>
    <x v="4"/>
    <x v="4"/>
    <n v="5"/>
    <n v="25573.03"/>
    <n v="127865.15"/>
    <s v="Namita Kumar"/>
    <n v="53"/>
    <x v="14"/>
    <x v="1"/>
    <n v="5"/>
    <x v="0"/>
    <x v="7"/>
  </r>
  <r>
    <n v="970"/>
    <x v="277"/>
    <n v="13"/>
    <n v="7"/>
    <x v="1"/>
    <x v="3"/>
    <x v="9"/>
    <x v="4"/>
    <x v="1"/>
    <n v="6"/>
    <n v="27543.46"/>
    <n v="165260.76"/>
    <s v="Navin Pathak"/>
    <n v="42"/>
    <x v="1"/>
    <x v="1"/>
    <n v="3"/>
    <x v="1"/>
    <x v="9"/>
  </r>
  <r>
    <n v="971"/>
    <x v="277"/>
    <n v="13"/>
    <n v="7"/>
    <x v="1"/>
    <x v="3"/>
    <x v="9"/>
    <x v="4"/>
    <x v="0"/>
    <n v="5"/>
    <n v="52318.400000000001"/>
    <n v="261592"/>
    <s v="Ramesh Yadav"/>
    <n v="45"/>
    <x v="2"/>
    <x v="0"/>
    <n v="5"/>
    <x v="0"/>
    <x v="0"/>
  </r>
  <r>
    <n v="972"/>
    <x v="277"/>
    <n v="13"/>
    <n v="7"/>
    <x v="1"/>
    <x v="3"/>
    <x v="9"/>
    <x v="4"/>
    <x v="1"/>
    <n v="1"/>
    <n v="54126.2"/>
    <n v="54126.2"/>
    <s v="Devendra Thakur"/>
    <n v="59"/>
    <x v="0"/>
    <x v="1"/>
    <n v="5"/>
    <x v="0"/>
    <x v="2"/>
  </r>
  <r>
    <n v="973"/>
    <x v="278"/>
    <n v="14"/>
    <n v="7"/>
    <x v="1"/>
    <x v="3"/>
    <x v="9"/>
    <x v="5"/>
    <x v="2"/>
    <n v="9"/>
    <n v="28209.77"/>
    <n v="253887.93"/>
    <s v="Bhavana Sheth"/>
    <n v="56"/>
    <x v="1"/>
    <x v="1"/>
    <n v="2"/>
    <x v="2"/>
    <x v="6"/>
  </r>
  <r>
    <n v="974"/>
    <x v="278"/>
    <n v="14"/>
    <n v="7"/>
    <x v="1"/>
    <x v="3"/>
    <x v="9"/>
    <x v="5"/>
    <x v="4"/>
    <n v="2"/>
    <n v="30720.639999999999"/>
    <n v="61441.279999999999"/>
    <s v="Yogesh Reddy"/>
    <n v="47"/>
    <x v="7"/>
    <x v="2"/>
    <n v="3"/>
    <x v="1"/>
    <x v="11"/>
  </r>
  <r>
    <n v="975"/>
    <x v="278"/>
    <n v="14"/>
    <n v="7"/>
    <x v="1"/>
    <x v="3"/>
    <x v="9"/>
    <x v="5"/>
    <x v="4"/>
    <n v="9"/>
    <n v="69463.39"/>
    <n v="625170.51"/>
    <s v="Kavita Iyer"/>
    <n v="22"/>
    <x v="1"/>
    <x v="0"/>
    <n v="3"/>
    <x v="1"/>
    <x v="14"/>
  </r>
  <r>
    <n v="976"/>
    <x v="279"/>
    <n v="15"/>
    <n v="7"/>
    <x v="1"/>
    <x v="3"/>
    <x v="9"/>
    <x v="6"/>
    <x v="4"/>
    <n v="2"/>
    <n v="16117.15"/>
    <n v="32234.3"/>
    <s v="Sunil Rawat"/>
    <n v="34"/>
    <x v="17"/>
    <x v="3"/>
    <n v="4"/>
    <x v="0"/>
    <x v="7"/>
  </r>
  <r>
    <n v="977"/>
    <x v="279"/>
    <n v="15"/>
    <n v="7"/>
    <x v="1"/>
    <x v="3"/>
    <x v="9"/>
    <x v="6"/>
    <x v="1"/>
    <n v="9"/>
    <n v="34278.699999999997"/>
    <n v="308508.3"/>
    <s v="Arun Rawat"/>
    <n v="35"/>
    <x v="17"/>
    <x v="1"/>
    <n v="4"/>
    <x v="0"/>
    <x v="2"/>
  </r>
  <r>
    <n v="978"/>
    <x v="279"/>
    <n v="15"/>
    <n v="7"/>
    <x v="1"/>
    <x v="3"/>
    <x v="9"/>
    <x v="6"/>
    <x v="2"/>
    <n v="6"/>
    <n v="13746.85"/>
    <n v="82481.100000000006"/>
    <s v="Tanuja Ahuja"/>
    <n v="38"/>
    <x v="3"/>
    <x v="3"/>
    <n v="4"/>
    <x v="0"/>
    <x v="6"/>
  </r>
  <r>
    <n v="979"/>
    <x v="279"/>
    <n v="15"/>
    <n v="7"/>
    <x v="1"/>
    <x v="3"/>
    <x v="9"/>
    <x v="6"/>
    <x v="0"/>
    <n v="9"/>
    <n v="59264.7"/>
    <n v="533382.29999999993"/>
    <s v="Anand Mehta"/>
    <n v="39"/>
    <x v="12"/>
    <x v="2"/>
    <n v="5"/>
    <x v="0"/>
    <x v="10"/>
  </r>
  <r>
    <n v="980"/>
    <x v="280"/>
    <n v="16"/>
    <n v="7"/>
    <x v="1"/>
    <x v="3"/>
    <x v="9"/>
    <x v="0"/>
    <x v="0"/>
    <n v="6"/>
    <n v="15540.75"/>
    <n v="93244.5"/>
    <s v="Bhavana Mishra"/>
    <n v="56"/>
    <x v="5"/>
    <x v="1"/>
    <n v="3"/>
    <x v="1"/>
    <x v="0"/>
  </r>
  <r>
    <n v="981"/>
    <x v="280"/>
    <n v="16"/>
    <n v="7"/>
    <x v="1"/>
    <x v="3"/>
    <x v="9"/>
    <x v="0"/>
    <x v="1"/>
    <n v="6"/>
    <n v="50440.44"/>
    <n v="302642.64"/>
    <s v="Harish Pillai"/>
    <n v="23"/>
    <x v="1"/>
    <x v="3"/>
    <n v="4"/>
    <x v="0"/>
    <x v="9"/>
  </r>
  <r>
    <n v="982"/>
    <x v="280"/>
    <n v="16"/>
    <n v="7"/>
    <x v="1"/>
    <x v="3"/>
    <x v="9"/>
    <x v="0"/>
    <x v="4"/>
    <n v="2"/>
    <n v="13389.01"/>
    <n v="26778.02"/>
    <s v="Radha Sheth"/>
    <n v="33"/>
    <x v="5"/>
    <x v="0"/>
    <n v="3"/>
    <x v="1"/>
    <x v="14"/>
  </r>
  <r>
    <n v="983"/>
    <x v="280"/>
    <n v="16"/>
    <n v="7"/>
    <x v="1"/>
    <x v="3"/>
    <x v="9"/>
    <x v="0"/>
    <x v="3"/>
    <n v="8"/>
    <n v="50371.3"/>
    <n v="402970.4"/>
    <s v="Rajesh Arora"/>
    <n v="19"/>
    <x v="2"/>
    <x v="2"/>
    <n v="5"/>
    <x v="0"/>
    <x v="5"/>
  </r>
  <r>
    <n v="984"/>
    <x v="281"/>
    <n v="17"/>
    <n v="7"/>
    <x v="1"/>
    <x v="3"/>
    <x v="9"/>
    <x v="1"/>
    <x v="1"/>
    <n v="3"/>
    <n v="60582.22"/>
    <n v="181746.66"/>
    <s v="Meena Kumar"/>
    <n v="18"/>
    <x v="2"/>
    <x v="2"/>
    <n v="4"/>
    <x v="0"/>
    <x v="9"/>
  </r>
  <r>
    <n v="985"/>
    <x v="281"/>
    <n v="17"/>
    <n v="7"/>
    <x v="1"/>
    <x v="3"/>
    <x v="9"/>
    <x v="1"/>
    <x v="1"/>
    <n v="7"/>
    <n v="33929.29"/>
    <n v="237505.03"/>
    <s v="Vivek Teja"/>
    <n v="47"/>
    <x v="1"/>
    <x v="3"/>
    <n v="3"/>
    <x v="1"/>
    <x v="1"/>
  </r>
  <r>
    <n v="986"/>
    <x v="281"/>
    <n v="17"/>
    <n v="7"/>
    <x v="1"/>
    <x v="3"/>
    <x v="9"/>
    <x v="1"/>
    <x v="2"/>
    <n v="5"/>
    <n v="41327.589999999997"/>
    <n v="206637.94999999998"/>
    <s v="Devendra Yadav"/>
    <n v="54"/>
    <x v="15"/>
    <x v="1"/>
    <n v="5"/>
    <x v="0"/>
    <x v="6"/>
  </r>
  <r>
    <n v="987"/>
    <x v="281"/>
    <n v="17"/>
    <n v="7"/>
    <x v="1"/>
    <x v="3"/>
    <x v="9"/>
    <x v="1"/>
    <x v="0"/>
    <n v="3"/>
    <n v="34092.5"/>
    <n v="102277.5"/>
    <s v="Bhavana Rathod"/>
    <n v="40"/>
    <x v="1"/>
    <x v="1"/>
    <n v="5"/>
    <x v="0"/>
    <x v="3"/>
  </r>
  <r>
    <n v="988"/>
    <x v="282"/>
    <n v="18"/>
    <n v="7"/>
    <x v="1"/>
    <x v="3"/>
    <x v="9"/>
    <x v="2"/>
    <x v="1"/>
    <n v="1"/>
    <n v="28029.33"/>
    <n v="28029.33"/>
    <s v="Lata Goyal"/>
    <n v="18"/>
    <x v="11"/>
    <x v="0"/>
    <n v="5"/>
    <x v="0"/>
    <x v="2"/>
  </r>
  <r>
    <n v="989"/>
    <x v="282"/>
    <n v="18"/>
    <n v="7"/>
    <x v="1"/>
    <x v="3"/>
    <x v="9"/>
    <x v="2"/>
    <x v="1"/>
    <n v="8"/>
    <n v="58195.8"/>
    <n v="465566.4"/>
    <s v="Isha Luthra"/>
    <n v="36"/>
    <x v="16"/>
    <x v="0"/>
    <n v="4"/>
    <x v="0"/>
    <x v="1"/>
  </r>
  <r>
    <n v="990"/>
    <x v="282"/>
    <n v="18"/>
    <n v="7"/>
    <x v="1"/>
    <x v="3"/>
    <x v="9"/>
    <x v="2"/>
    <x v="4"/>
    <n v="3"/>
    <n v="26320.15"/>
    <n v="78960.450000000012"/>
    <s v="Neeta Pillai"/>
    <n v="20"/>
    <x v="4"/>
    <x v="1"/>
    <n v="5"/>
    <x v="0"/>
    <x v="11"/>
  </r>
  <r>
    <n v="991"/>
    <x v="282"/>
    <n v="18"/>
    <n v="7"/>
    <x v="1"/>
    <x v="3"/>
    <x v="9"/>
    <x v="2"/>
    <x v="4"/>
    <n v="2"/>
    <n v="53376.61"/>
    <n v="106753.22"/>
    <s v="Lalita Sheth"/>
    <n v="19"/>
    <x v="8"/>
    <x v="2"/>
    <n v="5"/>
    <x v="0"/>
    <x v="14"/>
  </r>
  <r>
    <n v="992"/>
    <x v="283"/>
    <n v="19"/>
    <n v="7"/>
    <x v="1"/>
    <x v="3"/>
    <x v="9"/>
    <x v="3"/>
    <x v="3"/>
    <n v="1"/>
    <n v="22371.82"/>
    <n v="22371.82"/>
    <s v="Prashant Verma"/>
    <n v="54"/>
    <x v="1"/>
    <x v="0"/>
    <n v="5"/>
    <x v="0"/>
    <x v="5"/>
  </r>
  <r>
    <n v="993"/>
    <x v="283"/>
    <n v="19"/>
    <n v="7"/>
    <x v="1"/>
    <x v="3"/>
    <x v="9"/>
    <x v="3"/>
    <x v="2"/>
    <n v="4"/>
    <n v="24991.23"/>
    <n v="99964.92"/>
    <s v="Prashant Sharma"/>
    <n v="34"/>
    <x v="2"/>
    <x v="0"/>
    <n v="3"/>
    <x v="1"/>
    <x v="4"/>
  </r>
  <r>
    <n v="994"/>
    <x v="283"/>
    <n v="19"/>
    <n v="7"/>
    <x v="1"/>
    <x v="3"/>
    <x v="9"/>
    <x v="3"/>
    <x v="3"/>
    <n v="8"/>
    <n v="30187.67"/>
    <n v="241501.36"/>
    <s v="Nikhil Arora"/>
    <n v="45"/>
    <x v="2"/>
    <x v="2"/>
    <n v="5"/>
    <x v="0"/>
    <x v="12"/>
  </r>
  <r>
    <n v="995"/>
    <x v="284"/>
    <n v="20"/>
    <n v="7"/>
    <x v="1"/>
    <x v="3"/>
    <x v="9"/>
    <x v="4"/>
    <x v="4"/>
    <n v="3"/>
    <n v="45349.38"/>
    <n v="136048.13999999998"/>
    <s v="Prashant Arora"/>
    <n v="35"/>
    <x v="4"/>
    <x v="1"/>
    <n v="4"/>
    <x v="0"/>
    <x v="11"/>
  </r>
  <r>
    <n v="996"/>
    <x v="284"/>
    <n v="20"/>
    <n v="7"/>
    <x v="1"/>
    <x v="3"/>
    <x v="9"/>
    <x v="4"/>
    <x v="0"/>
    <n v="1"/>
    <n v="37265.339999999997"/>
    <n v="37265.339999999997"/>
    <s v="Kiran Pathak"/>
    <n v="50"/>
    <x v="2"/>
    <x v="3"/>
    <n v="3"/>
    <x v="1"/>
    <x v="0"/>
  </r>
  <r>
    <n v="997"/>
    <x v="284"/>
    <n v="20"/>
    <n v="7"/>
    <x v="1"/>
    <x v="3"/>
    <x v="9"/>
    <x v="4"/>
    <x v="4"/>
    <n v="4"/>
    <n v="54708.69"/>
    <n v="218834.76"/>
    <s v="Ravi Jain"/>
    <n v="32"/>
    <x v="11"/>
    <x v="0"/>
    <n v="3"/>
    <x v="1"/>
    <x v="11"/>
  </r>
  <r>
    <n v="998"/>
    <x v="284"/>
    <n v="20"/>
    <n v="7"/>
    <x v="1"/>
    <x v="3"/>
    <x v="9"/>
    <x v="4"/>
    <x v="2"/>
    <n v="9"/>
    <n v="22814.04"/>
    <n v="205326.36000000002"/>
    <s v="Yogesh Luthra"/>
    <n v="39"/>
    <x v="2"/>
    <x v="2"/>
    <n v="5"/>
    <x v="0"/>
    <x v="4"/>
  </r>
  <r>
    <n v="999"/>
    <x v="285"/>
    <n v="21"/>
    <n v="7"/>
    <x v="1"/>
    <x v="3"/>
    <x v="9"/>
    <x v="5"/>
    <x v="4"/>
    <n v="1"/>
    <n v="10640.34"/>
    <n v="10640.34"/>
    <s v="Arun Iyer"/>
    <n v="58"/>
    <x v="17"/>
    <x v="0"/>
    <n v="3"/>
    <x v="1"/>
    <x v="7"/>
  </r>
  <r>
    <n v="1000"/>
    <x v="285"/>
    <n v="21"/>
    <n v="7"/>
    <x v="1"/>
    <x v="3"/>
    <x v="9"/>
    <x v="5"/>
    <x v="2"/>
    <n v="2"/>
    <n v="56593.45"/>
    <n v="113186.9"/>
    <s v="Anand Kapoor"/>
    <n v="44"/>
    <x v="2"/>
    <x v="2"/>
    <n v="3"/>
    <x v="1"/>
    <x v="6"/>
  </r>
  <r>
    <n v="1001"/>
    <x v="285"/>
    <n v="21"/>
    <n v="7"/>
    <x v="1"/>
    <x v="3"/>
    <x v="9"/>
    <x v="5"/>
    <x v="2"/>
    <n v="9"/>
    <n v="59298.96"/>
    <n v="533690.64"/>
    <s v="Lata Alva"/>
    <n v="54"/>
    <x v="16"/>
    <x v="0"/>
    <n v="5"/>
    <x v="0"/>
    <x v="13"/>
  </r>
  <r>
    <n v="1002"/>
    <x v="286"/>
    <n v="22"/>
    <n v="7"/>
    <x v="1"/>
    <x v="3"/>
    <x v="9"/>
    <x v="6"/>
    <x v="2"/>
    <n v="2"/>
    <n v="13568.81"/>
    <n v="27137.62"/>
    <s v="Arun Siddiqui"/>
    <n v="49"/>
    <x v="2"/>
    <x v="1"/>
    <n v="4"/>
    <x v="0"/>
    <x v="6"/>
  </r>
  <r>
    <n v="1003"/>
    <x v="286"/>
    <n v="22"/>
    <n v="7"/>
    <x v="1"/>
    <x v="3"/>
    <x v="9"/>
    <x v="6"/>
    <x v="2"/>
    <n v="3"/>
    <n v="46654.45"/>
    <n v="139963.34999999998"/>
    <s v="Bhavana Mehta"/>
    <n v="36"/>
    <x v="18"/>
    <x v="2"/>
    <n v="5"/>
    <x v="0"/>
    <x v="6"/>
  </r>
  <r>
    <n v="1004"/>
    <x v="286"/>
    <n v="22"/>
    <n v="7"/>
    <x v="1"/>
    <x v="3"/>
    <x v="9"/>
    <x v="6"/>
    <x v="2"/>
    <n v="7"/>
    <n v="32692.41"/>
    <n v="228846.87"/>
    <s v="Krishna Patel"/>
    <n v="45"/>
    <x v="1"/>
    <x v="3"/>
    <n v="5"/>
    <x v="0"/>
    <x v="6"/>
  </r>
  <r>
    <n v="1005"/>
    <x v="287"/>
    <n v="23"/>
    <n v="7"/>
    <x v="1"/>
    <x v="3"/>
    <x v="9"/>
    <x v="0"/>
    <x v="0"/>
    <n v="3"/>
    <n v="57633.74"/>
    <n v="172901.22"/>
    <s v="Ramesh Shah"/>
    <n v="45"/>
    <x v="5"/>
    <x v="3"/>
    <n v="5"/>
    <x v="0"/>
    <x v="0"/>
  </r>
  <r>
    <n v="1006"/>
    <x v="287"/>
    <n v="23"/>
    <n v="7"/>
    <x v="1"/>
    <x v="3"/>
    <x v="9"/>
    <x v="0"/>
    <x v="3"/>
    <n v="9"/>
    <n v="62464.87"/>
    <n v="562183.83000000007"/>
    <s v="Yogesh Malhotra"/>
    <n v="27"/>
    <x v="7"/>
    <x v="0"/>
    <n v="5"/>
    <x v="0"/>
    <x v="12"/>
  </r>
  <r>
    <n v="1007"/>
    <x v="287"/>
    <n v="23"/>
    <n v="7"/>
    <x v="1"/>
    <x v="3"/>
    <x v="9"/>
    <x v="0"/>
    <x v="1"/>
    <n v="6"/>
    <n v="61060.23"/>
    <n v="366361.38"/>
    <s v="Priyanka Dutta"/>
    <n v="37"/>
    <x v="4"/>
    <x v="3"/>
    <n v="5"/>
    <x v="0"/>
    <x v="9"/>
  </r>
  <r>
    <n v="1008"/>
    <x v="288"/>
    <n v="24"/>
    <n v="7"/>
    <x v="1"/>
    <x v="3"/>
    <x v="9"/>
    <x v="1"/>
    <x v="3"/>
    <n v="3"/>
    <n v="56632.25"/>
    <n v="169896.75"/>
    <s v="Manoj Dutta"/>
    <n v="42"/>
    <x v="14"/>
    <x v="0"/>
    <n v="5"/>
    <x v="0"/>
    <x v="8"/>
  </r>
  <r>
    <n v="1009"/>
    <x v="288"/>
    <n v="24"/>
    <n v="7"/>
    <x v="1"/>
    <x v="3"/>
    <x v="9"/>
    <x v="1"/>
    <x v="2"/>
    <n v="9"/>
    <n v="26143.13"/>
    <n v="235288.17"/>
    <s v="Vijay Rawat"/>
    <n v="38"/>
    <x v="13"/>
    <x v="2"/>
    <n v="5"/>
    <x v="0"/>
    <x v="13"/>
  </r>
  <r>
    <n v="1010"/>
    <x v="288"/>
    <n v="24"/>
    <n v="7"/>
    <x v="1"/>
    <x v="3"/>
    <x v="9"/>
    <x v="1"/>
    <x v="0"/>
    <n v="1"/>
    <n v="58713.38"/>
    <n v="58713.38"/>
    <s v="Umesh Menon"/>
    <n v="31"/>
    <x v="1"/>
    <x v="2"/>
    <n v="4"/>
    <x v="0"/>
    <x v="3"/>
  </r>
  <r>
    <n v="1011"/>
    <x v="289"/>
    <n v="25"/>
    <n v="7"/>
    <x v="1"/>
    <x v="3"/>
    <x v="9"/>
    <x v="2"/>
    <x v="4"/>
    <n v="3"/>
    <n v="42008.71"/>
    <n v="126026.13"/>
    <s v="Vinod Prasad"/>
    <n v="39"/>
    <x v="13"/>
    <x v="3"/>
    <n v="5"/>
    <x v="0"/>
    <x v="11"/>
  </r>
  <r>
    <n v="1012"/>
    <x v="289"/>
    <n v="25"/>
    <n v="7"/>
    <x v="1"/>
    <x v="3"/>
    <x v="9"/>
    <x v="2"/>
    <x v="0"/>
    <n v="1"/>
    <n v="13165.4"/>
    <n v="13165.4"/>
    <s v="Harish Prasad"/>
    <n v="43"/>
    <x v="12"/>
    <x v="3"/>
    <n v="5"/>
    <x v="0"/>
    <x v="10"/>
  </r>
  <r>
    <n v="1013"/>
    <x v="289"/>
    <n v="25"/>
    <n v="7"/>
    <x v="1"/>
    <x v="3"/>
    <x v="9"/>
    <x v="2"/>
    <x v="2"/>
    <n v="2"/>
    <n v="37416.33"/>
    <n v="74832.66"/>
    <s v="Bina Siddiqui"/>
    <n v="28"/>
    <x v="1"/>
    <x v="1"/>
    <n v="5"/>
    <x v="0"/>
    <x v="13"/>
  </r>
  <r>
    <n v="1014"/>
    <x v="289"/>
    <n v="25"/>
    <n v="7"/>
    <x v="1"/>
    <x v="3"/>
    <x v="9"/>
    <x v="2"/>
    <x v="0"/>
    <n v="8"/>
    <n v="66529.48"/>
    <n v="532235.84"/>
    <s v="Prashant Chatterjee"/>
    <n v="24"/>
    <x v="14"/>
    <x v="2"/>
    <n v="5"/>
    <x v="0"/>
    <x v="0"/>
  </r>
  <r>
    <n v="1015"/>
    <x v="290"/>
    <n v="26"/>
    <n v="7"/>
    <x v="1"/>
    <x v="3"/>
    <x v="9"/>
    <x v="3"/>
    <x v="0"/>
    <n v="7"/>
    <n v="63271.56"/>
    <n v="442900.92"/>
    <s v="Amit Rathod"/>
    <n v="34"/>
    <x v="18"/>
    <x v="3"/>
    <n v="5"/>
    <x v="0"/>
    <x v="10"/>
  </r>
  <r>
    <n v="1016"/>
    <x v="290"/>
    <n v="26"/>
    <n v="7"/>
    <x v="1"/>
    <x v="3"/>
    <x v="9"/>
    <x v="3"/>
    <x v="2"/>
    <n v="2"/>
    <n v="16135.86"/>
    <n v="32271.72"/>
    <s v="Arun Shah"/>
    <n v="35"/>
    <x v="2"/>
    <x v="3"/>
    <n v="5"/>
    <x v="0"/>
    <x v="13"/>
  </r>
  <r>
    <n v="1017"/>
    <x v="290"/>
    <n v="26"/>
    <n v="7"/>
    <x v="1"/>
    <x v="3"/>
    <x v="9"/>
    <x v="3"/>
    <x v="0"/>
    <n v="2"/>
    <n v="54647.6"/>
    <n v="109295.2"/>
    <s v="Umesh Kulkarni"/>
    <n v="24"/>
    <x v="11"/>
    <x v="3"/>
    <n v="3"/>
    <x v="1"/>
    <x v="3"/>
  </r>
  <r>
    <n v="1018"/>
    <x v="291"/>
    <n v="27"/>
    <n v="7"/>
    <x v="1"/>
    <x v="3"/>
    <x v="9"/>
    <x v="4"/>
    <x v="1"/>
    <n v="9"/>
    <n v="58347.57"/>
    <n v="525128.13"/>
    <s v="Bhavana Prasad"/>
    <n v="37"/>
    <x v="15"/>
    <x v="0"/>
    <n v="3"/>
    <x v="1"/>
    <x v="1"/>
  </r>
  <r>
    <n v="1019"/>
    <x v="291"/>
    <n v="27"/>
    <n v="7"/>
    <x v="1"/>
    <x v="3"/>
    <x v="9"/>
    <x v="4"/>
    <x v="1"/>
    <n v="6"/>
    <n v="26283.29"/>
    <n v="157699.74"/>
    <s v="Nikhil Rathod"/>
    <n v="55"/>
    <x v="0"/>
    <x v="1"/>
    <n v="3"/>
    <x v="1"/>
    <x v="9"/>
  </r>
  <r>
    <n v="1020"/>
    <x v="291"/>
    <n v="27"/>
    <n v="7"/>
    <x v="1"/>
    <x v="3"/>
    <x v="9"/>
    <x v="4"/>
    <x v="0"/>
    <n v="5"/>
    <n v="38296.51"/>
    <n v="191482.55000000002"/>
    <s v="Anjali Srivastava"/>
    <n v="28"/>
    <x v="2"/>
    <x v="2"/>
    <n v="3"/>
    <x v="1"/>
    <x v="3"/>
  </r>
  <r>
    <n v="1021"/>
    <x v="292"/>
    <n v="28"/>
    <n v="7"/>
    <x v="1"/>
    <x v="3"/>
    <x v="9"/>
    <x v="5"/>
    <x v="4"/>
    <n v="6"/>
    <n v="52659.28"/>
    <n v="315955.68"/>
    <s v="Anita Kulkarni"/>
    <n v="33"/>
    <x v="14"/>
    <x v="3"/>
    <n v="5"/>
    <x v="0"/>
    <x v="14"/>
  </r>
  <r>
    <n v="1022"/>
    <x v="292"/>
    <n v="28"/>
    <n v="7"/>
    <x v="1"/>
    <x v="3"/>
    <x v="9"/>
    <x v="5"/>
    <x v="2"/>
    <n v="9"/>
    <n v="36342.49"/>
    <n v="327082.40999999997"/>
    <s v="Sumit Rathod"/>
    <n v="44"/>
    <x v="3"/>
    <x v="3"/>
    <n v="3"/>
    <x v="1"/>
    <x v="13"/>
  </r>
  <r>
    <n v="1023"/>
    <x v="292"/>
    <n v="28"/>
    <n v="7"/>
    <x v="1"/>
    <x v="3"/>
    <x v="9"/>
    <x v="5"/>
    <x v="1"/>
    <n v="7"/>
    <n v="16767.82"/>
    <n v="117374.73999999999"/>
    <s v="Monika Rawat"/>
    <n v="28"/>
    <x v="1"/>
    <x v="3"/>
    <n v="5"/>
    <x v="0"/>
    <x v="2"/>
  </r>
  <r>
    <n v="1024"/>
    <x v="293"/>
    <n v="29"/>
    <n v="7"/>
    <x v="1"/>
    <x v="3"/>
    <x v="9"/>
    <x v="6"/>
    <x v="4"/>
    <n v="9"/>
    <n v="52352.95"/>
    <n v="471176.55"/>
    <s v="Sumit Ghosh"/>
    <n v="33"/>
    <x v="15"/>
    <x v="0"/>
    <n v="4"/>
    <x v="0"/>
    <x v="11"/>
  </r>
  <r>
    <n v="1025"/>
    <x v="293"/>
    <n v="29"/>
    <n v="7"/>
    <x v="1"/>
    <x v="3"/>
    <x v="9"/>
    <x v="6"/>
    <x v="0"/>
    <n v="4"/>
    <n v="64698.32"/>
    <n v="258793.28"/>
    <s v="Anita Menon"/>
    <n v="40"/>
    <x v="15"/>
    <x v="2"/>
    <n v="3"/>
    <x v="1"/>
    <x v="10"/>
  </r>
  <r>
    <n v="1026"/>
    <x v="293"/>
    <n v="29"/>
    <n v="7"/>
    <x v="1"/>
    <x v="3"/>
    <x v="9"/>
    <x v="6"/>
    <x v="4"/>
    <n v="2"/>
    <n v="49149.08"/>
    <n v="98298.16"/>
    <s v="Bhavana Yadav"/>
    <n v="29"/>
    <x v="2"/>
    <x v="3"/>
    <n v="5"/>
    <x v="0"/>
    <x v="14"/>
  </r>
  <r>
    <n v="1027"/>
    <x v="293"/>
    <n v="29"/>
    <n v="7"/>
    <x v="1"/>
    <x v="3"/>
    <x v="9"/>
    <x v="6"/>
    <x v="3"/>
    <n v="8"/>
    <n v="56428.04"/>
    <n v="451424.32"/>
    <s v="Umesh Kaur"/>
    <n v="57"/>
    <x v="1"/>
    <x v="3"/>
    <n v="4"/>
    <x v="0"/>
    <x v="5"/>
  </r>
  <r>
    <n v="1028"/>
    <x v="294"/>
    <n v="30"/>
    <n v="7"/>
    <x v="1"/>
    <x v="3"/>
    <x v="9"/>
    <x v="0"/>
    <x v="1"/>
    <n v="4"/>
    <n v="31501.75"/>
    <n v="126007"/>
    <s v="Krishna Iyer"/>
    <n v="20"/>
    <x v="17"/>
    <x v="0"/>
    <n v="5"/>
    <x v="0"/>
    <x v="9"/>
  </r>
  <r>
    <n v="1029"/>
    <x v="294"/>
    <n v="30"/>
    <n v="7"/>
    <x v="1"/>
    <x v="3"/>
    <x v="9"/>
    <x v="0"/>
    <x v="0"/>
    <n v="9"/>
    <n v="20991.89"/>
    <n v="188927.01"/>
    <s v="Lalita Rao"/>
    <n v="19"/>
    <x v="12"/>
    <x v="0"/>
    <n v="4"/>
    <x v="0"/>
    <x v="3"/>
  </r>
  <r>
    <n v="1030"/>
    <x v="294"/>
    <n v="30"/>
    <n v="7"/>
    <x v="1"/>
    <x v="3"/>
    <x v="9"/>
    <x v="0"/>
    <x v="2"/>
    <n v="4"/>
    <n v="48566.42"/>
    <n v="194265.68"/>
    <s v="Kavita Kumar"/>
    <n v="55"/>
    <x v="1"/>
    <x v="1"/>
    <n v="4"/>
    <x v="0"/>
    <x v="4"/>
  </r>
  <r>
    <n v="1031"/>
    <x v="294"/>
    <n v="30"/>
    <n v="7"/>
    <x v="1"/>
    <x v="3"/>
    <x v="9"/>
    <x v="0"/>
    <x v="0"/>
    <n v="8"/>
    <n v="29666.27"/>
    <n v="237330.16"/>
    <s v="Neeta Singh"/>
    <n v="41"/>
    <x v="11"/>
    <x v="1"/>
    <n v="5"/>
    <x v="0"/>
    <x v="3"/>
  </r>
  <r>
    <n v="1032"/>
    <x v="295"/>
    <n v="31"/>
    <n v="7"/>
    <x v="1"/>
    <x v="3"/>
    <x v="9"/>
    <x v="1"/>
    <x v="2"/>
    <n v="9"/>
    <n v="61604.41"/>
    <n v="554439.69000000006"/>
    <s v="Namita Siddiqui"/>
    <n v="46"/>
    <x v="15"/>
    <x v="2"/>
    <n v="3"/>
    <x v="1"/>
    <x v="4"/>
  </r>
  <r>
    <n v="1033"/>
    <x v="295"/>
    <n v="31"/>
    <n v="7"/>
    <x v="1"/>
    <x v="3"/>
    <x v="9"/>
    <x v="1"/>
    <x v="0"/>
    <n v="9"/>
    <n v="17357.68"/>
    <n v="156219.12"/>
    <s v="Anand Bhattacharya"/>
    <n v="51"/>
    <x v="12"/>
    <x v="1"/>
    <n v="5"/>
    <x v="0"/>
    <x v="10"/>
  </r>
  <r>
    <n v="1034"/>
    <x v="295"/>
    <n v="31"/>
    <n v="7"/>
    <x v="1"/>
    <x v="3"/>
    <x v="9"/>
    <x v="1"/>
    <x v="4"/>
    <n v="4"/>
    <n v="36007.82"/>
    <n v="144031.28"/>
    <s v="Kavita Bhatnagar"/>
    <n v="37"/>
    <x v="1"/>
    <x v="2"/>
    <n v="5"/>
    <x v="0"/>
    <x v="14"/>
  </r>
  <r>
    <n v="1035"/>
    <x v="295"/>
    <n v="31"/>
    <n v="7"/>
    <x v="1"/>
    <x v="3"/>
    <x v="9"/>
    <x v="1"/>
    <x v="4"/>
    <n v="1"/>
    <n v="33803.660000000003"/>
    <n v="33803.660000000003"/>
    <s v="Arun Prasad"/>
    <n v="35"/>
    <x v="17"/>
    <x v="1"/>
    <n v="5"/>
    <x v="0"/>
    <x v="7"/>
  </r>
  <r>
    <n v="1036"/>
    <x v="296"/>
    <n v="1"/>
    <n v="8"/>
    <x v="1"/>
    <x v="3"/>
    <x v="10"/>
    <x v="2"/>
    <x v="4"/>
    <n v="3"/>
    <n v="66283.23"/>
    <n v="198849.69"/>
    <s v="Kiran Rathod"/>
    <n v="31"/>
    <x v="1"/>
    <x v="3"/>
    <n v="5"/>
    <x v="0"/>
    <x v="11"/>
  </r>
  <r>
    <n v="1037"/>
    <x v="296"/>
    <n v="1"/>
    <n v="8"/>
    <x v="1"/>
    <x v="3"/>
    <x v="10"/>
    <x v="2"/>
    <x v="3"/>
    <n v="9"/>
    <n v="19188.09"/>
    <n v="172692.81"/>
    <s v="Bina Teja"/>
    <n v="35"/>
    <x v="4"/>
    <x v="1"/>
    <n v="5"/>
    <x v="0"/>
    <x v="8"/>
  </r>
  <r>
    <n v="1038"/>
    <x v="296"/>
    <n v="1"/>
    <n v="8"/>
    <x v="1"/>
    <x v="3"/>
    <x v="10"/>
    <x v="2"/>
    <x v="2"/>
    <n v="4"/>
    <n v="10590.81"/>
    <n v="42363.24"/>
    <s v="Devendra Mathur"/>
    <n v="19"/>
    <x v="10"/>
    <x v="3"/>
    <n v="4"/>
    <x v="0"/>
    <x v="13"/>
  </r>
  <r>
    <n v="1039"/>
    <x v="296"/>
    <n v="1"/>
    <n v="8"/>
    <x v="1"/>
    <x v="3"/>
    <x v="10"/>
    <x v="2"/>
    <x v="4"/>
    <n v="5"/>
    <n v="24285.11"/>
    <n v="121425.55"/>
    <s v="Lalita Alva"/>
    <n v="18"/>
    <x v="14"/>
    <x v="2"/>
    <n v="3"/>
    <x v="1"/>
    <x v="7"/>
  </r>
  <r>
    <n v="1040"/>
    <x v="297"/>
    <n v="2"/>
    <n v="8"/>
    <x v="1"/>
    <x v="3"/>
    <x v="10"/>
    <x v="3"/>
    <x v="3"/>
    <n v="7"/>
    <n v="59216.61"/>
    <n v="414516.27"/>
    <s v="Tanuja Reddy"/>
    <n v="37"/>
    <x v="1"/>
    <x v="1"/>
    <n v="3"/>
    <x v="1"/>
    <x v="12"/>
  </r>
  <r>
    <n v="1041"/>
    <x v="297"/>
    <n v="2"/>
    <n v="8"/>
    <x v="1"/>
    <x v="3"/>
    <x v="10"/>
    <x v="3"/>
    <x v="2"/>
    <n v="5"/>
    <n v="22559.31"/>
    <n v="112796.55"/>
    <s v="Prashant Sharma"/>
    <n v="51"/>
    <x v="1"/>
    <x v="1"/>
    <n v="5"/>
    <x v="0"/>
    <x v="4"/>
  </r>
  <r>
    <n v="1042"/>
    <x v="297"/>
    <n v="2"/>
    <n v="8"/>
    <x v="1"/>
    <x v="3"/>
    <x v="10"/>
    <x v="3"/>
    <x v="0"/>
    <n v="4"/>
    <n v="24452.68"/>
    <n v="97810.72"/>
    <s v="Rajesh Prasad"/>
    <n v="58"/>
    <x v="2"/>
    <x v="1"/>
    <n v="5"/>
    <x v="0"/>
    <x v="10"/>
  </r>
  <r>
    <n v="1043"/>
    <x v="298"/>
    <n v="3"/>
    <n v="8"/>
    <x v="1"/>
    <x v="3"/>
    <x v="10"/>
    <x v="4"/>
    <x v="3"/>
    <n v="2"/>
    <n v="17793.93"/>
    <n v="35587.86"/>
    <s v="Jyoti Rawat"/>
    <n v="58"/>
    <x v="1"/>
    <x v="3"/>
    <n v="5"/>
    <x v="0"/>
    <x v="12"/>
  </r>
  <r>
    <n v="1044"/>
    <x v="298"/>
    <n v="3"/>
    <n v="8"/>
    <x v="1"/>
    <x v="3"/>
    <x v="10"/>
    <x v="4"/>
    <x v="1"/>
    <n v="2"/>
    <n v="52926.17"/>
    <n v="105852.34"/>
    <s v="Sachin Varma"/>
    <n v="28"/>
    <x v="18"/>
    <x v="3"/>
    <n v="5"/>
    <x v="0"/>
    <x v="2"/>
  </r>
  <r>
    <n v="1045"/>
    <x v="298"/>
    <n v="3"/>
    <n v="8"/>
    <x v="1"/>
    <x v="3"/>
    <x v="10"/>
    <x v="4"/>
    <x v="3"/>
    <n v="4"/>
    <n v="14150.45"/>
    <n v="56601.8"/>
    <s v="Pankaj Mehta"/>
    <n v="44"/>
    <x v="1"/>
    <x v="1"/>
    <n v="5"/>
    <x v="0"/>
    <x v="12"/>
  </r>
  <r>
    <n v="1046"/>
    <x v="299"/>
    <n v="4"/>
    <n v="8"/>
    <x v="1"/>
    <x v="3"/>
    <x v="10"/>
    <x v="5"/>
    <x v="3"/>
    <n v="9"/>
    <n v="29872.5"/>
    <n v="268852.5"/>
    <s v="Meena Dutta"/>
    <n v="40"/>
    <x v="16"/>
    <x v="2"/>
    <n v="5"/>
    <x v="0"/>
    <x v="8"/>
  </r>
  <r>
    <n v="1047"/>
    <x v="299"/>
    <n v="4"/>
    <n v="8"/>
    <x v="1"/>
    <x v="3"/>
    <x v="10"/>
    <x v="5"/>
    <x v="2"/>
    <n v="8"/>
    <n v="26949.919999999998"/>
    <n v="215599.35999999999"/>
    <s v="Monika Nambiar"/>
    <n v="55"/>
    <x v="6"/>
    <x v="3"/>
    <n v="5"/>
    <x v="0"/>
    <x v="13"/>
  </r>
  <r>
    <n v="1048"/>
    <x v="299"/>
    <n v="4"/>
    <n v="8"/>
    <x v="1"/>
    <x v="3"/>
    <x v="10"/>
    <x v="5"/>
    <x v="0"/>
    <n v="3"/>
    <n v="43309.58"/>
    <n v="129928.74"/>
    <s v="Tapan Rathod"/>
    <n v="20"/>
    <x v="2"/>
    <x v="0"/>
    <n v="5"/>
    <x v="0"/>
    <x v="10"/>
  </r>
  <r>
    <n v="1049"/>
    <x v="299"/>
    <n v="4"/>
    <n v="8"/>
    <x v="1"/>
    <x v="3"/>
    <x v="10"/>
    <x v="5"/>
    <x v="1"/>
    <n v="9"/>
    <n v="53824.98"/>
    <n v="484424.82"/>
    <s v="Sunil Kumar"/>
    <n v="29"/>
    <x v="2"/>
    <x v="2"/>
    <n v="5"/>
    <x v="0"/>
    <x v="9"/>
  </r>
  <r>
    <n v="1050"/>
    <x v="300"/>
    <n v="5"/>
    <n v="8"/>
    <x v="1"/>
    <x v="3"/>
    <x v="10"/>
    <x v="6"/>
    <x v="4"/>
    <n v="5"/>
    <n v="41972.59"/>
    <n v="209862.94999999998"/>
    <s v="Namita Siddiqui"/>
    <n v="47"/>
    <x v="8"/>
    <x v="2"/>
    <n v="5"/>
    <x v="0"/>
    <x v="11"/>
  </r>
  <r>
    <n v="1051"/>
    <x v="300"/>
    <n v="5"/>
    <n v="8"/>
    <x v="1"/>
    <x v="3"/>
    <x v="10"/>
    <x v="6"/>
    <x v="4"/>
    <n v="3"/>
    <n v="65861.56"/>
    <n v="197584.68"/>
    <s v="Prashant Jain"/>
    <n v="48"/>
    <x v="4"/>
    <x v="2"/>
    <n v="5"/>
    <x v="0"/>
    <x v="7"/>
  </r>
  <r>
    <n v="1052"/>
    <x v="300"/>
    <n v="5"/>
    <n v="8"/>
    <x v="1"/>
    <x v="3"/>
    <x v="10"/>
    <x v="6"/>
    <x v="3"/>
    <n v="5"/>
    <n v="67086.559999999998"/>
    <n v="335432.8"/>
    <s v="Kunal Yadav"/>
    <n v="40"/>
    <x v="2"/>
    <x v="3"/>
    <n v="5"/>
    <x v="0"/>
    <x v="5"/>
  </r>
  <r>
    <n v="1053"/>
    <x v="301"/>
    <n v="6"/>
    <n v="8"/>
    <x v="1"/>
    <x v="3"/>
    <x v="10"/>
    <x v="0"/>
    <x v="2"/>
    <n v="4"/>
    <n v="31687.919999999998"/>
    <n v="126751.67999999999"/>
    <s v="Umesh Ghosh"/>
    <n v="18"/>
    <x v="11"/>
    <x v="1"/>
    <n v="4"/>
    <x v="0"/>
    <x v="6"/>
  </r>
  <r>
    <n v="1054"/>
    <x v="301"/>
    <n v="6"/>
    <n v="8"/>
    <x v="1"/>
    <x v="3"/>
    <x v="10"/>
    <x v="0"/>
    <x v="2"/>
    <n v="8"/>
    <n v="56660.82"/>
    <n v="453286.56"/>
    <s v="Lata Mehta"/>
    <n v="58"/>
    <x v="14"/>
    <x v="1"/>
    <n v="5"/>
    <x v="0"/>
    <x v="13"/>
  </r>
  <r>
    <n v="1055"/>
    <x v="301"/>
    <n v="6"/>
    <n v="8"/>
    <x v="1"/>
    <x v="3"/>
    <x v="10"/>
    <x v="0"/>
    <x v="4"/>
    <n v="5"/>
    <n v="54328.08"/>
    <n v="271640.40000000002"/>
    <s v="Ravi Arora"/>
    <n v="37"/>
    <x v="2"/>
    <x v="0"/>
    <n v="5"/>
    <x v="0"/>
    <x v="11"/>
  </r>
  <r>
    <n v="1056"/>
    <x v="302"/>
    <n v="7"/>
    <n v="8"/>
    <x v="1"/>
    <x v="3"/>
    <x v="10"/>
    <x v="1"/>
    <x v="1"/>
    <n v="8"/>
    <n v="63577.88"/>
    <n v="508623.04"/>
    <s v="Kavita Nair"/>
    <n v="23"/>
    <x v="16"/>
    <x v="1"/>
    <n v="5"/>
    <x v="0"/>
    <x v="2"/>
  </r>
  <r>
    <n v="1057"/>
    <x v="302"/>
    <n v="7"/>
    <n v="8"/>
    <x v="1"/>
    <x v="3"/>
    <x v="10"/>
    <x v="1"/>
    <x v="0"/>
    <n v="9"/>
    <n v="36876.620000000003"/>
    <n v="331889.58"/>
    <s v="Kavita Teja"/>
    <n v="28"/>
    <x v="8"/>
    <x v="0"/>
    <n v="5"/>
    <x v="0"/>
    <x v="3"/>
  </r>
  <r>
    <n v="1058"/>
    <x v="302"/>
    <n v="7"/>
    <n v="8"/>
    <x v="1"/>
    <x v="3"/>
    <x v="10"/>
    <x v="1"/>
    <x v="1"/>
    <n v="4"/>
    <n v="41828.39"/>
    <n v="167313.56"/>
    <s v="Sunita Sheth"/>
    <n v="52"/>
    <x v="10"/>
    <x v="0"/>
    <n v="5"/>
    <x v="0"/>
    <x v="1"/>
  </r>
  <r>
    <n v="1059"/>
    <x v="303"/>
    <n v="8"/>
    <n v="8"/>
    <x v="1"/>
    <x v="3"/>
    <x v="10"/>
    <x v="2"/>
    <x v="0"/>
    <n v="7"/>
    <n v="34946.46"/>
    <n v="244625.22"/>
    <s v="Isha Ahuja"/>
    <n v="21"/>
    <x v="17"/>
    <x v="1"/>
    <n v="3"/>
    <x v="1"/>
    <x v="10"/>
  </r>
  <r>
    <n v="1060"/>
    <x v="303"/>
    <n v="8"/>
    <n v="8"/>
    <x v="1"/>
    <x v="3"/>
    <x v="10"/>
    <x v="2"/>
    <x v="4"/>
    <n v="2"/>
    <n v="61022.62"/>
    <n v="122045.24"/>
    <s v="Ravi Teja"/>
    <n v="46"/>
    <x v="1"/>
    <x v="0"/>
    <n v="5"/>
    <x v="0"/>
    <x v="11"/>
  </r>
  <r>
    <n v="1061"/>
    <x v="303"/>
    <n v="8"/>
    <n v="8"/>
    <x v="1"/>
    <x v="3"/>
    <x v="10"/>
    <x v="2"/>
    <x v="0"/>
    <n v="6"/>
    <n v="23782.14"/>
    <n v="142692.84"/>
    <s v="Ramesh Srivastava"/>
    <n v="27"/>
    <x v="7"/>
    <x v="2"/>
    <n v="5"/>
    <x v="0"/>
    <x v="10"/>
  </r>
  <r>
    <n v="1062"/>
    <x v="303"/>
    <n v="8"/>
    <n v="8"/>
    <x v="1"/>
    <x v="3"/>
    <x v="10"/>
    <x v="2"/>
    <x v="2"/>
    <n v="8"/>
    <n v="24382.54"/>
    <n v="195060.32"/>
    <s v="Sneha Rao"/>
    <n v="46"/>
    <x v="0"/>
    <x v="2"/>
    <n v="3"/>
    <x v="1"/>
    <x v="13"/>
  </r>
  <r>
    <n v="1063"/>
    <x v="304"/>
    <n v="9"/>
    <n v="8"/>
    <x v="1"/>
    <x v="3"/>
    <x v="10"/>
    <x v="3"/>
    <x v="3"/>
    <n v="7"/>
    <n v="32356.31"/>
    <n v="226494.17"/>
    <s v="Vivek Bhatnagar"/>
    <n v="55"/>
    <x v="17"/>
    <x v="2"/>
    <n v="5"/>
    <x v="0"/>
    <x v="12"/>
  </r>
  <r>
    <n v="1064"/>
    <x v="304"/>
    <n v="9"/>
    <n v="8"/>
    <x v="1"/>
    <x v="3"/>
    <x v="10"/>
    <x v="3"/>
    <x v="3"/>
    <n v="7"/>
    <n v="23820.57"/>
    <n v="166743.99"/>
    <s v="Navin Sharma"/>
    <n v="18"/>
    <x v="2"/>
    <x v="3"/>
    <n v="5"/>
    <x v="0"/>
    <x v="5"/>
  </r>
  <r>
    <n v="1065"/>
    <x v="304"/>
    <n v="9"/>
    <n v="8"/>
    <x v="1"/>
    <x v="3"/>
    <x v="10"/>
    <x v="3"/>
    <x v="4"/>
    <n v="8"/>
    <n v="43660.41"/>
    <n v="349283.28"/>
    <s v="Priya Siddiqui"/>
    <n v="57"/>
    <x v="18"/>
    <x v="0"/>
    <n v="4"/>
    <x v="0"/>
    <x v="11"/>
  </r>
  <r>
    <n v="1066"/>
    <x v="304"/>
    <n v="9"/>
    <n v="8"/>
    <x v="1"/>
    <x v="3"/>
    <x v="10"/>
    <x v="3"/>
    <x v="2"/>
    <n v="7"/>
    <n v="18069.41"/>
    <n v="126485.87"/>
    <s v="Shruti Kulkarni"/>
    <n v="25"/>
    <x v="6"/>
    <x v="0"/>
    <n v="4"/>
    <x v="0"/>
    <x v="6"/>
  </r>
  <r>
    <n v="1067"/>
    <x v="305"/>
    <n v="10"/>
    <n v="8"/>
    <x v="1"/>
    <x v="3"/>
    <x v="10"/>
    <x v="4"/>
    <x v="1"/>
    <n v="5"/>
    <n v="29211.17"/>
    <n v="146055.84999999998"/>
    <s v="Nikhil Bhattacharya"/>
    <n v="55"/>
    <x v="17"/>
    <x v="2"/>
    <n v="4"/>
    <x v="0"/>
    <x v="1"/>
  </r>
  <r>
    <n v="1068"/>
    <x v="305"/>
    <n v="10"/>
    <n v="8"/>
    <x v="1"/>
    <x v="3"/>
    <x v="10"/>
    <x v="4"/>
    <x v="2"/>
    <n v="7"/>
    <n v="64806.68"/>
    <n v="453646.76"/>
    <s v="Navin Solanki"/>
    <n v="34"/>
    <x v="2"/>
    <x v="3"/>
    <n v="5"/>
    <x v="0"/>
    <x v="6"/>
  </r>
  <r>
    <n v="1069"/>
    <x v="305"/>
    <n v="10"/>
    <n v="8"/>
    <x v="1"/>
    <x v="3"/>
    <x v="10"/>
    <x v="4"/>
    <x v="3"/>
    <n v="3"/>
    <n v="34553.53"/>
    <n v="103660.59"/>
    <s v="Reena Bhattacharya"/>
    <n v="36"/>
    <x v="1"/>
    <x v="1"/>
    <n v="5"/>
    <x v="0"/>
    <x v="8"/>
  </r>
  <r>
    <n v="1070"/>
    <x v="306"/>
    <n v="11"/>
    <n v="8"/>
    <x v="1"/>
    <x v="3"/>
    <x v="10"/>
    <x v="5"/>
    <x v="3"/>
    <n v="5"/>
    <n v="54894.02"/>
    <n v="274470.09999999998"/>
    <s v="Radha Gupta"/>
    <n v="50"/>
    <x v="9"/>
    <x v="2"/>
    <n v="3"/>
    <x v="1"/>
    <x v="8"/>
  </r>
  <r>
    <n v="1071"/>
    <x v="306"/>
    <n v="11"/>
    <n v="8"/>
    <x v="1"/>
    <x v="3"/>
    <x v="10"/>
    <x v="5"/>
    <x v="2"/>
    <n v="7"/>
    <n v="16807.73"/>
    <n v="117654.11"/>
    <s v="Monika Bhatnagar"/>
    <n v="32"/>
    <x v="14"/>
    <x v="3"/>
    <n v="5"/>
    <x v="0"/>
    <x v="6"/>
  </r>
  <r>
    <n v="1072"/>
    <x v="306"/>
    <n v="11"/>
    <n v="8"/>
    <x v="1"/>
    <x v="3"/>
    <x v="10"/>
    <x v="5"/>
    <x v="2"/>
    <n v="9"/>
    <n v="24853.87"/>
    <n v="223684.83"/>
    <s v="Tapan Varma"/>
    <n v="48"/>
    <x v="1"/>
    <x v="1"/>
    <n v="5"/>
    <x v="0"/>
    <x v="6"/>
  </r>
  <r>
    <n v="1073"/>
    <x v="306"/>
    <n v="11"/>
    <n v="8"/>
    <x v="1"/>
    <x v="3"/>
    <x v="10"/>
    <x v="5"/>
    <x v="3"/>
    <n v="2"/>
    <n v="58440.74"/>
    <n v="116881.48"/>
    <s v="Ayesha Solanki"/>
    <n v="38"/>
    <x v="2"/>
    <x v="3"/>
    <n v="3"/>
    <x v="1"/>
    <x v="12"/>
  </r>
  <r>
    <n v="1074"/>
    <x v="307"/>
    <n v="12"/>
    <n v="8"/>
    <x v="1"/>
    <x v="3"/>
    <x v="10"/>
    <x v="6"/>
    <x v="1"/>
    <n v="4"/>
    <n v="55779.58"/>
    <n v="223118.32"/>
    <s v="Lalita Alva"/>
    <n v="20"/>
    <x v="5"/>
    <x v="1"/>
    <n v="3"/>
    <x v="1"/>
    <x v="1"/>
  </r>
  <r>
    <n v="1075"/>
    <x v="307"/>
    <n v="12"/>
    <n v="8"/>
    <x v="1"/>
    <x v="3"/>
    <x v="10"/>
    <x v="6"/>
    <x v="4"/>
    <n v="7"/>
    <n v="33169.360000000001"/>
    <n v="232185.52000000002"/>
    <s v="Vivek Menon"/>
    <n v="19"/>
    <x v="1"/>
    <x v="0"/>
    <n v="5"/>
    <x v="0"/>
    <x v="14"/>
  </r>
  <r>
    <n v="1076"/>
    <x v="307"/>
    <n v="12"/>
    <n v="8"/>
    <x v="1"/>
    <x v="3"/>
    <x v="10"/>
    <x v="6"/>
    <x v="4"/>
    <n v="1"/>
    <n v="67263.81"/>
    <n v="67263.81"/>
    <s v="Priyanka Jain"/>
    <n v="52"/>
    <x v="1"/>
    <x v="0"/>
    <n v="5"/>
    <x v="0"/>
    <x v="14"/>
  </r>
  <r>
    <n v="1077"/>
    <x v="307"/>
    <n v="12"/>
    <n v="8"/>
    <x v="1"/>
    <x v="3"/>
    <x v="10"/>
    <x v="6"/>
    <x v="2"/>
    <n v="2"/>
    <n v="64638.58"/>
    <n v="129277.16"/>
    <s v="Sneha Sharma"/>
    <n v="58"/>
    <x v="14"/>
    <x v="3"/>
    <n v="5"/>
    <x v="0"/>
    <x v="4"/>
  </r>
  <r>
    <n v="1078"/>
    <x v="308"/>
    <n v="13"/>
    <n v="8"/>
    <x v="1"/>
    <x v="3"/>
    <x v="10"/>
    <x v="0"/>
    <x v="4"/>
    <n v="9"/>
    <n v="67738.039999999994"/>
    <n v="609642.36"/>
    <s v="Mala Pathak"/>
    <n v="33"/>
    <x v="5"/>
    <x v="3"/>
    <n v="5"/>
    <x v="0"/>
    <x v="7"/>
  </r>
  <r>
    <n v="1079"/>
    <x v="308"/>
    <n v="13"/>
    <n v="8"/>
    <x v="1"/>
    <x v="3"/>
    <x v="10"/>
    <x v="0"/>
    <x v="3"/>
    <n v="7"/>
    <n v="35674.879999999997"/>
    <n v="249724.15999999997"/>
    <s v="Navin Kapoor"/>
    <n v="38"/>
    <x v="1"/>
    <x v="1"/>
    <n v="4"/>
    <x v="0"/>
    <x v="5"/>
  </r>
  <r>
    <n v="1080"/>
    <x v="308"/>
    <n v="13"/>
    <n v="8"/>
    <x v="1"/>
    <x v="3"/>
    <x v="10"/>
    <x v="0"/>
    <x v="3"/>
    <n v="7"/>
    <n v="21848.42"/>
    <n v="152938.94"/>
    <s v="Tapan Ahuja"/>
    <n v="29"/>
    <x v="1"/>
    <x v="3"/>
    <n v="5"/>
    <x v="0"/>
    <x v="5"/>
  </r>
  <r>
    <n v="1081"/>
    <x v="308"/>
    <n v="13"/>
    <n v="8"/>
    <x v="1"/>
    <x v="3"/>
    <x v="10"/>
    <x v="0"/>
    <x v="2"/>
    <n v="6"/>
    <n v="47599.519999999997"/>
    <n v="285597.12"/>
    <s v="Ramesh Solanki"/>
    <n v="45"/>
    <x v="1"/>
    <x v="3"/>
    <n v="3"/>
    <x v="1"/>
    <x v="13"/>
  </r>
  <r>
    <n v="1082"/>
    <x v="309"/>
    <n v="14"/>
    <n v="8"/>
    <x v="1"/>
    <x v="3"/>
    <x v="10"/>
    <x v="1"/>
    <x v="2"/>
    <n v="3"/>
    <n v="51086.39"/>
    <n v="153259.16999999998"/>
    <s v="Yogesh Patel"/>
    <n v="29"/>
    <x v="7"/>
    <x v="1"/>
    <n v="3"/>
    <x v="1"/>
    <x v="6"/>
  </r>
  <r>
    <n v="1083"/>
    <x v="309"/>
    <n v="14"/>
    <n v="8"/>
    <x v="1"/>
    <x v="3"/>
    <x v="10"/>
    <x v="1"/>
    <x v="2"/>
    <n v="3"/>
    <n v="17526.509999999998"/>
    <n v="52579.53"/>
    <s v="Nikhil Ahuja"/>
    <n v="50"/>
    <x v="1"/>
    <x v="1"/>
    <n v="4"/>
    <x v="0"/>
    <x v="4"/>
  </r>
  <r>
    <n v="1084"/>
    <x v="309"/>
    <n v="14"/>
    <n v="8"/>
    <x v="1"/>
    <x v="3"/>
    <x v="10"/>
    <x v="1"/>
    <x v="1"/>
    <n v="2"/>
    <n v="57188.98"/>
    <n v="114377.96"/>
    <s v="Vivek Prasad"/>
    <n v="37"/>
    <x v="17"/>
    <x v="0"/>
    <n v="3"/>
    <x v="1"/>
    <x v="9"/>
  </r>
  <r>
    <n v="1085"/>
    <x v="309"/>
    <n v="14"/>
    <n v="8"/>
    <x v="1"/>
    <x v="3"/>
    <x v="10"/>
    <x v="1"/>
    <x v="4"/>
    <n v="6"/>
    <n v="11083.61"/>
    <n v="66501.66"/>
    <s v="Navin Mathur"/>
    <n v="57"/>
    <x v="18"/>
    <x v="2"/>
    <n v="4"/>
    <x v="0"/>
    <x v="11"/>
  </r>
  <r>
    <n v="1086"/>
    <x v="310"/>
    <n v="15"/>
    <n v="8"/>
    <x v="1"/>
    <x v="3"/>
    <x v="10"/>
    <x v="2"/>
    <x v="2"/>
    <n v="4"/>
    <n v="38963.699999999997"/>
    <n v="155854.79999999999"/>
    <s v="Sunita Teja"/>
    <n v="38"/>
    <x v="1"/>
    <x v="3"/>
    <n v="5"/>
    <x v="0"/>
    <x v="4"/>
  </r>
  <r>
    <n v="1087"/>
    <x v="310"/>
    <n v="15"/>
    <n v="8"/>
    <x v="1"/>
    <x v="3"/>
    <x v="10"/>
    <x v="2"/>
    <x v="0"/>
    <n v="5"/>
    <n v="29860.98"/>
    <n v="149304.9"/>
    <s v="Bhavana Mishra"/>
    <n v="56"/>
    <x v="1"/>
    <x v="1"/>
    <n v="4"/>
    <x v="0"/>
    <x v="3"/>
  </r>
  <r>
    <n v="1088"/>
    <x v="310"/>
    <n v="15"/>
    <n v="8"/>
    <x v="1"/>
    <x v="3"/>
    <x v="10"/>
    <x v="2"/>
    <x v="0"/>
    <n v="3"/>
    <n v="54418.18"/>
    <n v="163254.54"/>
    <s v="Aditya Menon"/>
    <n v="58"/>
    <x v="11"/>
    <x v="0"/>
    <n v="5"/>
    <x v="0"/>
    <x v="0"/>
  </r>
  <r>
    <n v="1089"/>
    <x v="310"/>
    <n v="15"/>
    <n v="8"/>
    <x v="1"/>
    <x v="3"/>
    <x v="10"/>
    <x v="2"/>
    <x v="3"/>
    <n v="6"/>
    <n v="28765.64"/>
    <n v="172593.84"/>
    <s v="Anita Sharma"/>
    <n v="59"/>
    <x v="5"/>
    <x v="2"/>
    <n v="4"/>
    <x v="0"/>
    <x v="8"/>
  </r>
  <r>
    <n v="1090"/>
    <x v="311"/>
    <n v="16"/>
    <n v="8"/>
    <x v="1"/>
    <x v="3"/>
    <x v="10"/>
    <x v="3"/>
    <x v="4"/>
    <n v="3"/>
    <n v="59608.43"/>
    <n v="178825.29"/>
    <s v="Manoj Mehta"/>
    <n v="53"/>
    <x v="11"/>
    <x v="3"/>
    <n v="5"/>
    <x v="0"/>
    <x v="14"/>
  </r>
  <r>
    <n v="1091"/>
    <x v="311"/>
    <n v="16"/>
    <n v="8"/>
    <x v="1"/>
    <x v="3"/>
    <x v="10"/>
    <x v="3"/>
    <x v="2"/>
    <n v="8"/>
    <n v="45697.21"/>
    <n v="365577.68"/>
    <s v="Deepika Shah"/>
    <n v="39"/>
    <x v="18"/>
    <x v="0"/>
    <n v="4"/>
    <x v="0"/>
    <x v="4"/>
  </r>
  <r>
    <n v="1092"/>
    <x v="311"/>
    <n v="16"/>
    <n v="8"/>
    <x v="1"/>
    <x v="3"/>
    <x v="10"/>
    <x v="3"/>
    <x v="0"/>
    <n v="9"/>
    <n v="57633.599999999999"/>
    <n v="518702.39999999997"/>
    <s v="Amit Das"/>
    <n v="43"/>
    <x v="1"/>
    <x v="2"/>
    <n v="5"/>
    <x v="0"/>
    <x v="3"/>
  </r>
  <r>
    <n v="1093"/>
    <x v="312"/>
    <n v="17"/>
    <n v="8"/>
    <x v="1"/>
    <x v="3"/>
    <x v="10"/>
    <x v="4"/>
    <x v="4"/>
    <n v="4"/>
    <n v="69360.44"/>
    <n v="277441.76"/>
    <s v="Pooja Menon"/>
    <n v="24"/>
    <x v="1"/>
    <x v="3"/>
    <n v="5"/>
    <x v="0"/>
    <x v="7"/>
  </r>
  <r>
    <n v="1094"/>
    <x v="312"/>
    <n v="17"/>
    <n v="8"/>
    <x v="1"/>
    <x v="3"/>
    <x v="10"/>
    <x v="4"/>
    <x v="3"/>
    <n v="9"/>
    <n v="50749.5"/>
    <n v="456745.5"/>
    <s v="Yogesh Kaur"/>
    <n v="24"/>
    <x v="15"/>
    <x v="0"/>
    <n v="5"/>
    <x v="0"/>
    <x v="5"/>
  </r>
  <r>
    <n v="1095"/>
    <x v="312"/>
    <n v="17"/>
    <n v="8"/>
    <x v="1"/>
    <x v="3"/>
    <x v="10"/>
    <x v="4"/>
    <x v="1"/>
    <n v="7"/>
    <n v="69097.02"/>
    <n v="483679.14"/>
    <s v="Anjali Varma"/>
    <n v="25"/>
    <x v="1"/>
    <x v="3"/>
    <n v="5"/>
    <x v="0"/>
    <x v="2"/>
  </r>
  <r>
    <n v="1096"/>
    <x v="312"/>
    <n v="17"/>
    <n v="8"/>
    <x v="1"/>
    <x v="3"/>
    <x v="10"/>
    <x v="4"/>
    <x v="4"/>
    <n v="3"/>
    <n v="11730.18"/>
    <n v="35190.54"/>
    <s v="Sanjay Patel"/>
    <n v="43"/>
    <x v="1"/>
    <x v="2"/>
    <n v="5"/>
    <x v="0"/>
    <x v="11"/>
  </r>
  <r>
    <n v="1097"/>
    <x v="313"/>
    <n v="18"/>
    <n v="8"/>
    <x v="1"/>
    <x v="3"/>
    <x v="10"/>
    <x v="5"/>
    <x v="4"/>
    <n v="7"/>
    <n v="30288.400000000001"/>
    <n v="212018.80000000002"/>
    <s v="Anjali Varma"/>
    <n v="41"/>
    <x v="1"/>
    <x v="1"/>
    <n v="5"/>
    <x v="0"/>
    <x v="7"/>
  </r>
  <r>
    <n v="1098"/>
    <x v="313"/>
    <n v="18"/>
    <n v="8"/>
    <x v="1"/>
    <x v="3"/>
    <x v="10"/>
    <x v="5"/>
    <x v="1"/>
    <n v="1"/>
    <n v="16471.2"/>
    <n v="16471.2"/>
    <s v="Vinod Dutta"/>
    <n v="41"/>
    <x v="2"/>
    <x v="0"/>
    <n v="4"/>
    <x v="0"/>
    <x v="9"/>
  </r>
  <r>
    <n v="1099"/>
    <x v="313"/>
    <n v="18"/>
    <n v="8"/>
    <x v="1"/>
    <x v="3"/>
    <x v="10"/>
    <x v="5"/>
    <x v="4"/>
    <n v="3"/>
    <n v="25738.3"/>
    <n v="77214.899999999994"/>
    <s v="Meena Desai"/>
    <n v="57"/>
    <x v="1"/>
    <x v="2"/>
    <n v="5"/>
    <x v="0"/>
    <x v="14"/>
  </r>
  <r>
    <n v="1100"/>
    <x v="314"/>
    <n v="19"/>
    <n v="8"/>
    <x v="1"/>
    <x v="3"/>
    <x v="10"/>
    <x v="6"/>
    <x v="3"/>
    <n v="6"/>
    <n v="60333.27"/>
    <n v="361999.62"/>
    <s v="Umesh Rawat"/>
    <n v="29"/>
    <x v="1"/>
    <x v="3"/>
    <n v="5"/>
    <x v="0"/>
    <x v="8"/>
  </r>
  <r>
    <n v="1101"/>
    <x v="314"/>
    <n v="19"/>
    <n v="8"/>
    <x v="1"/>
    <x v="3"/>
    <x v="10"/>
    <x v="6"/>
    <x v="3"/>
    <n v="4"/>
    <n v="11939.4"/>
    <n v="47757.599999999999"/>
    <s v="Pankaj Arora"/>
    <n v="25"/>
    <x v="3"/>
    <x v="2"/>
    <n v="5"/>
    <x v="0"/>
    <x v="5"/>
  </r>
  <r>
    <n v="1102"/>
    <x v="314"/>
    <n v="19"/>
    <n v="8"/>
    <x v="1"/>
    <x v="3"/>
    <x v="10"/>
    <x v="6"/>
    <x v="1"/>
    <n v="7"/>
    <n v="41210.980000000003"/>
    <n v="288476.86000000004"/>
    <s v="Sumit Reddy"/>
    <n v="26"/>
    <x v="2"/>
    <x v="2"/>
    <n v="5"/>
    <x v="0"/>
    <x v="2"/>
  </r>
  <r>
    <n v="1103"/>
    <x v="315"/>
    <n v="20"/>
    <n v="8"/>
    <x v="1"/>
    <x v="3"/>
    <x v="10"/>
    <x v="0"/>
    <x v="2"/>
    <n v="3"/>
    <n v="44027.72"/>
    <n v="132083.16"/>
    <s v="Nikhil Kapoor"/>
    <n v="20"/>
    <x v="17"/>
    <x v="1"/>
    <n v="5"/>
    <x v="0"/>
    <x v="13"/>
  </r>
  <r>
    <n v="1104"/>
    <x v="315"/>
    <n v="20"/>
    <n v="8"/>
    <x v="1"/>
    <x v="3"/>
    <x v="10"/>
    <x v="0"/>
    <x v="0"/>
    <n v="1"/>
    <n v="43669.07"/>
    <n v="43669.07"/>
    <s v="Amit Prasad"/>
    <n v="38"/>
    <x v="1"/>
    <x v="0"/>
    <n v="5"/>
    <x v="0"/>
    <x v="3"/>
  </r>
  <r>
    <n v="1105"/>
    <x v="315"/>
    <n v="20"/>
    <n v="8"/>
    <x v="1"/>
    <x v="3"/>
    <x v="10"/>
    <x v="0"/>
    <x v="2"/>
    <n v="9"/>
    <n v="38517.82"/>
    <n v="346660.38"/>
    <s v="Ayesha Patel"/>
    <n v="48"/>
    <x v="8"/>
    <x v="2"/>
    <n v="5"/>
    <x v="0"/>
    <x v="13"/>
  </r>
  <r>
    <n v="1106"/>
    <x v="315"/>
    <n v="20"/>
    <n v="8"/>
    <x v="1"/>
    <x v="3"/>
    <x v="10"/>
    <x v="0"/>
    <x v="4"/>
    <n v="6"/>
    <n v="57436.18"/>
    <n v="344617.08"/>
    <s v="Rajesh Ghosh"/>
    <n v="41"/>
    <x v="12"/>
    <x v="1"/>
    <n v="3"/>
    <x v="1"/>
    <x v="7"/>
  </r>
  <r>
    <n v="1107"/>
    <x v="316"/>
    <n v="21"/>
    <n v="8"/>
    <x v="1"/>
    <x v="3"/>
    <x v="10"/>
    <x v="1"/>
    <x v="0"/>
    <n v="8"/>
    <n v="18012.59"/>
    <n v="144100.72"/>
    <s v="Gita Bhattacharya"/>
    <n v="21"/>
    <x v="1"/>
    <x v="1"/>
    <n v="5"/>
    <x v="0"/>
    <x v="10"/>
  </r>
  <r>
    <n v="1108"/>
    <x v="316"/>
    <n v="21"/>
    <n v="8"/>
    <x v="1"/>
    <x v="3"/>
    <x v="10"/>
    <x v="1"/>
    <x v="1"/>
    <n v="3"/>
    <n v="28634.62"/>
    <n v="85903.86"/>
    <s v="Sanjay Das"/>
    <n v="37"/>
    <x v="1"/>
    <x v="1"/>
    <n v="1"/>
    <x v="2"/>
    <x v="9"/>
  </r>
  <r>
    <n v="1109"/>
    <x v="316"/>
    <n v="21"/>
    <n v="8"/>
    <x v="1"/>
    <x v="3"/>
    <x v="10"/>
    <x v="1"/>
    <x v="1"/>
    <n v="8"/>
    <n v="46943.56"/>
    <n v="375548.48"/>
    <s v="Deepika Reddy"/>
    <n v="33"/>
    <x v="3"/>
    <x v="3"/>
    <n v="4"/>
    <x v="0"/>
    <x v="9"/>
  </r>
  <r>
    <n v="1110"/>
    <x v="317"/>
    <n v="22"/>
    <n v="8"/>
    <x v="1"/>
    <x v="3"/>
    <x v="10"/>
    <x v="2"/>
    <x v="0"/>
    <n v="2"/>
    <n v="51457.08"/>
    <n v="102914.16"/>
    <s v="Krishna Nambiar"/>
    <n v="27"/>
    <x v="0"/>
    <x v="1"/>
    <n v="4"/>
    <x v="0"/>
    <x v="3"/>
  </r>
  <r>
    <n v="1111"/>
    <x v="317"/>
    <n v="22"/>
    <n v="8"/>
    <x v="1"/>
    <x v="3"/>
    <x v="10"/>
    <x v="2"/>
    <x v="3"/>
    <n v="4"/>
    <n v="34248.910000000003"/>
    <n v="136995.64000000001"/>
    <s v="Mala Mathur"/>
    <n v="43"/>
    <x v="1"/>
    <x v="1"/>
    <n v="3"/>
    <x v="1"/>
    <x v="8"/>
  </r>
  <r>
    <n v="1112"/>
    <x v="317"/>
    <n v="22"/>
    <n v="8"/>
    <x v="1"/>
    <x v="3"/>
    <x v="10"/>
    <x v="2"/>
    <x v="0"/>
    <n v="3"/>
    <n v="62522.28"/>
    <n v="187566.84"/>
    <s v="Krishna Menon"/>
    <n v="46"/>
    <x v="1"/>
    <x v="1"/>
    <n v="1"/>
    <x v="2"/>
    <x v="0"/>
  </r>
  <r>
    <n v="1113"/>
    <x v="318"/>
    <n v="23"/>
    <n v="8"/>
    <x v="1"/>
    <x v="3"/>
    <x v="10"/>
    <x v="3"/>
    <x v="4"/>
    <n v="1"/>
    <n v="34929.599999999999"/>
    <n v="34929.599999999999"/>
    <s v="Rajesh Menon"/>
    <n v="22"/>
    <x v="4"/>
    <x v="1"/>
    <n v="5"/>
    <x v="0"/>
    <x v="14"/>
  </r>
  <r>
    <n v="1114"/>
    <x v="318"/>
    <n v="23"/>
    <n v="8"/>
    <x v="1"/>
    <x v="3"/>
    <x v="10"/>
    <x v="3"/>
    <x v="3"/>
    <n v="7"/>
    <n v="34166.57"/>
    <n v="239165.99"/>
    <s v="Devendra Srivastava"/>
    <n v="28"/>
    <x v="13"/>
    <x v="0"/>
    <n v="5"/>
    <x v="0"/>
    <x v="8"/>
  </r>
  <r>
    <n v="1115"/>
    <x v="318"/>
    <n v="23"/>
    <n v="8"/>
    <x v="1"/>
    <x v="3"/>
    <x v="10"/>
    <x v="3"/>
    <x v="1"/>
    <n v="2"/>
    <n v="12172.44"/>
    <n v="24344.880000000001"/>
    <s v="Sanjay Pathak"/>
    <n v="46"/>
    <x v="1"/>
    <x v="0"/>
    <n v="5"/>
    <x v="0"/>
    <x v="2"/>
  </r>
  <r>
    <n v="1116"/>
    <x v="319"/>
    <n v="24"/>
    <n v="8"/>
    <x v="1"/>
    <x v="3"/>
    <x v="10"/>
    <x v="4"/>
    <x v="0"/>
    <n v="4"/>
    <n v="43068.480000000003"/>
    <n v="172273.92000000001"/>
    <s v="Sunita Verma"/>
    <n v="32"/>
    <x v="17"/>
    <x v="1"/>
    <n v="3"/>
    <x v="1"/>
    <x v="0"/>
  </r>
  <r>
    <n v="1117"/>
    <x v="319"/>
    <n v="24"/>
    <n v="8"/>
    <x v="1"/>
    <x v="3"/>
    <x v="10"/>
    <x v="4"/>
    <x v="2"/>
    <n v="9"/>
    <n v="52520.85"/>
    <n v="472687.64999999997"/>
    <s v="Sachin Joshi"/>
    <n v="23"/>
    <x v="2"/>
    <x v="2"/>
    <n v="3"/>
    <x v="1"/>
    <x v="13"/>
  </r>
  <r>
    <n v="1118"/>
    <x v="319"/>
    <n v="24"/>
    <n v="8"/>
    <x v="1"/>
    <x v="3"/>
    <x v="10"/>
    <x v="4"/>
    <x v="2"/>
    <n v="6"/>
    <n v="16866.29"/>
    <n v="101197.74"/>
    <s v="Krishna Alva"/>
    <n v="32"/>
    <x v="4"/>
    <x v="3"/>
    <n v="3"/>
    <x v="1"/>
    <x v="4"/>
  </r>
  <r>
    <n v="1119"/>
    <x v="319"/>
    <n v="24"/>
    <n v="8"/>
    <x v="1"/>
    <x v="3"/>
    <x v="10"/>
    <x v="4"/>
    <x v="4"/>
    <n v="8"/>
    <n v="28325.97"/>
    <n v="226607.76"/>
    <s v="Amit Rao"/>
    <n v="37"/>
    <x v="10"/>
    <x v="2"/>
    <n v="3"/>
    <x v="1"/>
    <x v="11"/>
  </r>
  <r>
    <n v="1120"/>
    <x v="320"/>
    <n v="25"/>
    <n v="8"/>
    <x v="1"/>
    <x v="3"/>
    <x v="10"/>
    <x v="5"/>
    <x v="2"/>
    <n v="2"/>
    <n v="56875.42"/>
    <n v="113750.84"/>
    <s v="Lalita Sheth"/>
    <n v="51"/>
    <x v="1"/>
    <x v="2"/>
    <n v="3"/>
    <x v="1"/>
    <x v="4"/>
  </r>
  <r>
    <n v="1121"/>
    <x v="320"/>
    <n v="25"/>
    <n v="8"/>
    <x v="1"/>
    <x v="3"/>
    <x v="10"/>
    <x v="5"/>
    <x v="0"/>
    <n v="7"/>
    <n v="31955.17"/>
    <n v="223686.19"/>
    <s v="Anita Prasad"/>
    <n v="19"/>
    <x v="1"/>
    <x v="1"/>
    <n v="3"/>
    <x v="1"/>
    <x v="3"/>
  </r>
  <r>
    <n v="1122"/>
    <x v="320"/>
    <n v="25"/>
    <n v="8"/>
    <x v="1"/>
    <x v="3"/>
    <x v="10"/>
    <x v="5"/>
    <x v="0"/>
    <n v="6"/>
    <n v="24496.15"/>
    <n v="146976.90000000002"/>
    <s v="Vivek Alva"/>
    <n v="33"/>
    <x v="6"/>
    <x v="2"/>
    <n v="5"/>
    <x v="0"/>
    <x v="10"/>
  </r>
  <r>
    <n v="1123"/>
    <x v="320"/>
    <n v="25"/>
    <n v="8"/>
    <x v="1"/>
    <x v="3"/>
    <x v="10"/>
    <x v="5"/>
    <x v="2"/>
    <n v="9"/>
    <n v="50332.04"/>
    <n v="452988.36"/>
    <s v="Kiran Bhattacharya"/>
    <n v="36"/>
    <x v="16"/>
    <x v="0"/>
    <n v="5"/>
    <x v="0"/>
    <x v="13"/>
  </r>
  <r>
    <n v="1124"/>
    <x v="321"/>
    <n v="26"/>
    <n v="8"/>
    <x v="1"/>
    <x v="3"/>
    <x v="10"/>
    <x v="6"/>
    <x v="0"/>
    <n v="7"/>
    <n v="21805.53"/>
    <n v="152638.71"/>
    <s v="Vinod Pathak"/>
    <n v="51"/>
    <x v="10"/>
    <x v="0"/>
    <n v="5"/>
    <x v="0"/>
    <x v="3"/>
  </r>
  <r>
    <n v="1125"/>
    <x v="321"/>
    <n v="26"/>
    <n v="8"/>
    <x v="1"/>
    <x v="3"/>
    <x v="10"/>
    <x v="6"/>
    <x v="4"/>
    <n v="1"/>
    <n v="63739.18"/>
    <n v="63739.18"/>
    <s v="Nikhil Rathod"/>
    <n v="31"/>
    <x v="1"/>
    <x v="3"/>
    <n v="5"/>
    <x v="0"/>
    <x v="11"/>
  </r>
  <r>
    <n v="1126"/>
    <x v="321"/>
    <n v="26"/>
    <n v="8"/>
    <x v="1"/>
    <x v="3"/>
    <x v="10"/>
    <x v="6"/>
    <x v="3"/>
    <n v="8"/>
    <n v="16335.9"/>
    <n v="130687.2"/>
    <s v="Lata Dutta"/>
    <n v="41"/>
    <x v="2"/>
    <x v="0"/>
    <n v="3"/>
    <x v="1"/>
    <x v="5"/>
  </r>
  <r>
    <n v="1127"/>
    <x v="322"/>
    <n v="27"/>
    <n v="8"/>
    <x v="1"/>
    <x v="3"/>
    <x v="10"/>
    <x v="0"/>
    <x v="4"/>
    <n v="3"/>
    <n v="52392.99"/>
    <n v="157178.97"/>
    <s v="Kunal Patel"/>
    <n v="45"/>
    <x v="1"/>
    <x v="0"/>
    <n v="5"/>
    <x v="0"/>
    <x v="14"/>
  </r>
  <r>
    <n v="1128"/>
    <x v="322"/>
    <n v="27"/>
    <n v="8"/>
    <x v="1"/>
    <x v="3"/>
    <x v="10"/>
    <x v="0"/>
    <x v="4"/>
    <n v="2"/>
    <n v="39972.92"/>
    <n v="79945.84"/>
    <s v="Deepika Alva"/>
    <n v="49"/>
    <x v="2"/>
    <x v="1"/>
    <n v="3"/>
    <x v="1"/>
    <x v="14"/>
  </r>
  <r>
    <n v="1129"/>
    <x v="322"/>
    <n v="27"/>
    <n v="8"/>
    <x v="1"/>
    <x v="3"/>
    <x v="10"/>
    <x v="0"/>
    <x v="0"/>
    <n v="3"/>
    <n v="62195.77"/>
    <n v="186587.31"/>
    <s v="Radha Jain"/>
    <n v="54"/>
    <x v="2"/>
    <x v="0"/>
    <n v="5"/>
    <x v="0"/>
    <x v="10"/>
  </r>
  <r>
    <n v="1130"/>
    <x v="322"/>
    <n v="27"/>
    <n v="8"/>
    <x v="1"/>
    <x v="3"/>
    <x v="10"/>
    <x v="0"/>
    <x v="3"/>
    <n v="6"/>
    <n v="17571.71"/>
    <n v="105430.26"/>
    <s v="Kiran Pathak"/>
    <n v="27"/>
    <x v="7"/>
    <x v="2"/>
    <n v="4"/>
    <x v="0"/>
    <x v="5"/>
  </r>
  <r>
    <n v="1131"/>
    <x v="323"/>
    <n v="28"/>
    <n v="8"/>
    <x v="1"/>
    <x v="3"/>
    <x v="10"/>
    <x v="1"/>
    <x v="0"/>
    <n v="3"/>
    <n v="50673.7"/>
    <n v="152021.09999999998"/>
    <s v="Krishna Goyal"/>
    <n v="26"/>
    <x v="15"/>
    <x v="2"/>
    <n v="5"/>
    <x v="0"/>
    <x v="0"/>
  </r>
  <r>
    <n v="1132"/>
    <x v="323"/>
    <n v="28"/>
    <n v="8"/>
    <x v="1"/>
    <x v="3"/>
    <x v="10"/>
    <x v="1"/>
    <x v="1"/>
    <n v="5"/>
    <n v="44323.28"/>
    <n v="221616.4"/>
    <s v="Tapan Ahuja"/>
    <n v="41"/>
    <x v="1"/>
    <x v="0"/>
    <n v="1"/>
    <x v="2"/>
    <x v="9"/>
  </r>
  <r>
    <n v="1133"/>
    <x v="323"/>
    <n v="28"/>
    <n v="8"/>
    <x v="1"/>
    <x v="3"/>
    <x v="10"/>
    <x v="1"/>
    <x v="0"/>
    <n v="6"/>
    <n v="38805.410000000003"/>
    <n v="232832.46000000002"/>
    <s v="Priya Patel"/>
    <n v="53"/>
    <x v="7"/>
    <x v="3"/>
    <n v="5"/>
    <x v="0"/>
    <x v="3"/>
  </r>
  <r>
    <n v="1134"/>
    <x v="323"/>
    <n v="28"/>
    <n v="8"/>
    <x v="1"/>
    <x v="3"/>
    <x v="10"/>
    <x v="1"/>
    <x v="0"/>
    <n v="8"/>
    <n v="39484.44"/>
    <n v="315875.52"/>
    <s v="Anita Ghosh"/>
    <n v="46"/>
    <x v="0"/>
    <x v="3"/>
    <n v="1"/>
    <x v="2"/>
    <x v="0"/>
  </r>
  <r>
    <n v="1135"/>
    <x v="324"/>
    <n v="29"/>
    <n v="8"/>
    <x v="1"/>
    <x v="3"/>
    <x v="10"/>
    <x v="2"/>
    <x v="0"/>
    <n v="7"/>
    <n v="53318.62"/>
    <n v="373230.34"/>
    <s v="Deepika Menon"/>
    <n v="46"/>
    <x v="2"/>
    <x v="3"/>
    <n v="5"/>
    <x v="0"/>
    <x v="0"/>
  </r>
  <r>
    <n v="1136"/>
    <x v="324"/>
    <n v="29"/>
    <n v="8"/>
    <x v="1"/>
    <x v="3"/>
    <x v="10"/>
    <x v="2"/>
    <x v="3"/>
    <n v="8"/>
    <n v="66264.5"/>
    <n v="530116"/>
    <s v="Vinod Kaur"/>
    <n v="40"/>
    <x v="2"/>
    <x v="0"/>
    <n v="5"/>
    <x v="0"/>
    <x v="8"/>
  </r>
  <r>
    <n v="1137"/>
    <x v="324"/>
    <n v="29"/>
    <n v="8"/>
    <x v="1"/>
    <x v="3"/>
    <x v="10"/>
    <x v="2"/>
    <x v="0"/>
    <n v="3"/>
    <n v="15475.1"/>
    <n v="46425.3"/>
    <s v="Krishna Bhattacharya"/>
    <n v="44"/>
    <x v="17"/>
    <x v="3"/>
    <n v="4"/>
    <x v="0"/>
    <x v="3"/>
  </r>
  <r>
    <n v="1138"/>
    <x v="324"/>
    <n v="29"/>
    <n v="8"/>
    <x v="1"/>
    <x v="3"/>
    <x v="10"/>
    <x v="2"/>
    <x v="3"/>
    <n v="4"/>
    <n v="11170.16"/>
    <n v="44680.639999999999"/>
    <s v="Arun Mathur"/>
    <n v="48"/>
    <x v="17"/>
    <x v="0"/>
    <n v="5"/>
    <x v="0"/>
    <x v="8"/>
  </r>
  <r>
    <n v="1139"/>
    <x v="325"/>
    <n v="30"/>
    <n v="8"/>
    <x v="1"/>
    <x v="3"/>
    <x v="10"/>
    <x v="3"/>
    <x v="2"/>
    <n v="6"/>
    <n v="58342.29"/>
    <n v="350053.74"/>
    <s v="Deepika Solanki"/>
    <n v="24"/>
    <x v="2"/>
    <x v="2"/>
    <n v="5"/>
    <x v="0"/>
    <x v="13"/>
  </r>
  <r>
    <n v="1140"/>
    <x v="325"/>
    <n v="30"/>
    <n v="8"/>
    <x v="1"/>
    <x v="3"/>
    <x v="10"/>
    <x v="3"/>
    <x v="1"/>
    <n v="7"/>
    <n v="16490.16"/>
    <n v="115431.12"/>
    <s v="Rajesh Prasad"/>
    <n v="21"/>
    <x v="1"/>
    <x v="3"/>
    <n v="5"/>
    <x v="0"/>
    <x v="9"/>
  </r>
  <r>
    <n v="1141"/>
    <x v="325"/>
    <n v="30"/>
    <n v="8"/>
    <x v="1"/>
    <x v="3"/>
    <x v="10"/>
    <x v="3"/>
    <x v="3"/>
    <n v="9"/>
    <n v="69201.81"/>
    <n v="622816.29"/>
    <s v="Priya Singh"/>
    <n v="31"/>
    <x v="1"/>
    <x v="3"/>
    <n v="3"/>
    <x v="1"/>
    <x v="8"/>
  </r>
  <r>
    <n v="1142"/>
    <x v="325"/>
    <n v="30"/>
    <n v="8"/>
    <x v="1"/>
    <x v="3"/>
    <x v="10"/>
    <x v="3"/>
    <x v="2"/>
    <n v="1"/>
    <n v="47160.89"/>
    <n v="47160.89"/>
    <s v="Vinod Dutta"/>
    <n v="59"/>
    <x v="6"/>
    <x v="3"/>
    <n v="5"/>
    <x v="0"/>
    <x v="6"/>
  </r>
  <r>
    <n v="1143"/>
    <x v="326"/>
    <n v="31"/>
    <n v="8"/>
    <x v="1"/>
    <x v="3"/>
    <x v="10"/>
    <x v="4"/>
    <x v="3"/>
    <n v="8"/>
    <n v="49051.98"/>
    <n v="392415.84"/>
    <s v="Meena Verma"/>
    <n v="59"/>
    <x v="1"/>
    <x v="2"/>
    <n v="5"/>
    <x v="0"/>
    <x v="12"/>
  </r>
  <r>
    <n v="1144"/>
    <x v="326"/>
    <n v="31"/>
    <n v="8"/>
    <x v="1"/>
    <x v="3"/>
    <x v="10"/>
    <x v="4"/>
    <x v="3"/>
    <n v="8"/>
    <n v="21933.5"/>
    <n v="175468"/>
    <s v="Rohan Goyal"/>
    <n v="27"/>
    <x v="15"/>
    <x v="0"/>
    <n v="4"/>
    <x v="0"/>
    <x v="12"/>
  </r>
  <r>
    <n v="1145"/>
    <x v="326"/>
    <n v="31"/>
    <n v="8"/>
    <x v="1"/>
    <x v="3"/>
    <x v="10"/>
    <x v="4"/>
    <x v="1"/>
    <n v="6"/>
    <n v="24418.74"/>
    <n v="146512.44"/>
    <s v="Priya Siddiqui"/>
    <n v="51"/>
    <x v="2"/>
    <x v="2"/>
    <n v="1"/>
    <x v="2"/>
    <x v="1"/>
  </r>
  <r>
    <n v="1146"/>
    <x v="327"/>
    <n v="1"/>
    <n v="9"/>
    <x v="1"/>
    <x v="3"/>
    <x v="11"/>
    <x v="5"/>
    <x v="4"/>
    <n v="4"/>
    <n v="49561.02"/>
    <n v="198244.08"/>
    <s v="Meena Menon"/>
    <n v="43"/>
    <x v="2"/>
    <x v="2"/>
    <n v="1"/>
    <x v="2"/>
    <x v="14"/>
  </r>
  <r>
    <n v="1147"/>
    <x v="327"/>
    <n v="1"/>
    <n v="9"/>
    <x v="1"/>
    <x v="3"/>
    <x v="11"/>
    <x v="5"/>
    <x v="4"/>
    <n v="3"/>
    <n v="64583.61"/>
    <n v="193750.83000000002"/>
    <s v="Aditya Joshi"/>
    <n v="40"/>
    <x v="1"/>
    <x v="1"/>
    <n v="4"/>
    <x v="0"/>
    <x v="7"/>
  </r>
  <r>
    <n v="1148"/>
    <x v="327"/>
    <n v="1"/>
    <n v="9"/>
    <x v="1"/>
    <x v="3"/>
    <x v="11"/>
    <x v="5"/>
    <x v="3"/>
    <n v="3"/>
    <n v="68943.429999999993"/>
    <n v="206830.28999999998"/>
    <s v="Rohan Jain"/>
    <n v="26"/>
    <x v="2"/>
    <x v="3"/>
    <n v="5"/>
    <x v="0"/>
    <x v="12"/>
  </r>
  <r>
    <n v="1149"/>
    <x v="328"/>
    <n v="2"/>
    <n v="9"/>
    <x v="1"/>
    <x v="3"/>
    <x v="11"/>
    <x v="6"/>
    <x v="0"/>
    <n v="6"/>
    <n v="21881.86"/>
    <n v="131291.16"/>
    <s v="Ravi Teja"/>
    <n v="54"/>
    <x v="1"/>
    <x v="0"/>
    <n v="5"/>
    <x v="0"/>
    <x v="10"/>
  </r>
  <r>
    <n v="1150"/>
    <x v="328"/>
    <n v="2"/>
    <n v="9"/>
    <x v="1"/>
    <x v="3"/>
    <x v="11"/>
    <x v="6"/>
    <x v="2"/>
    <n v="8"/>
    <n v="18047.18"/>
    <n v="144377.44"/>
    <s v="Lata Chatterjee"/>
    <n v="25"/>
    <x v="15"/>
    <x v="0"/>
    <n v="5"/>
    <x v="0"/>
    <x v="6"/>
  </r>
  <r>
    <n v="1151"/>
    <x v="328"/>
    <n v="2"/>
    <n v="9"/>
    <x v="1"/>
    <x v="3"/>
    <x v="11"/>
    <x v="6"/>
    <x v="0"/>
    <n v="7"/>
    <n v="13384.08"/>
    <n v="93688.56"/>
    <s v="Bhavana Ghosh"/>
    <n v="31"/>
    <x v="6"/>
    <x v="1"/>
    <n v="4"/>
    <x v="0"/>
    <x v="3"/>
  </r>
  <r>
    <n v="1152"/>
    <x v="328"/>
    <n v="2"/>
    <n v="9"/>
    <x v="1"/>
    <x v="3"/>
    <x v="11"/>
    <x v="6"/>
    <x v="0"/>
    <n v="1"/>
    <n v="62097.82"/>
    <n v="62097.82"/>
    <s v="Sunita Singh"/>
    <n v="24"/>
    <x v="14"/>
    <x v="1"/>
    <n v="5"/>
    <x v="0"/>
    <x v="10"/>
  </r>
  <r>
    <n v="1153"/>
    <x v="329"/>
    <n v="3"/>
    <n v="9"/>
    <x v="1"/>
    <x v="3"/>
    <x v="11"/>
    <x v="0"/>
    <x v="3"/>
    <n v="6"/>
    <n v="27682.89"/>
    <n v="166097.34"/>
    <s v="Deepika Gupta"/>
    <n v="24"/>
    <x v="10"/>
    <x v="2"/>
    <n v="1"/>
    <x v="2"/>
    <x v="12"/>
  </r>
  <r>
    <n v="1154"/>
    <x v="329"/>
    <n v="3"/>
    <n v="9"/>
    <x v="1"/>
    <x v="3"/>
    <x v="11"/>
    <x v="0"/>
    <x v="3"/>
    <n v="7"/>
    <n v="10108.719999999999"/>
    <n v="70761.039999999994"/>
    <s v="Amit Prasad"/>
    <n v="26"/>
    <x v="1"/>
    <x v="1"/>
    <n v="3"/>
    <x v="1"/>
    <x v="12"/>
  </r>
  <r>
    <n v="1155"/>
    <x v="329"/>
    <n v="3"/>
    <n v="9"/>
    <x v="1"/>
    <x v="3"/>
    <x v="11"/>
    <x v="0"/>
    <x v="3"/>
    <n v="7"/>
    <n v="23429.09"/>
    <n v="164003.63"/>
    <s v="Prashant Gupta"/>
    <n v="20"/>
    <x v="2"/>
    <x v="0"/>
    <n v="5"/>
    <x v="0"/>
    <x v="12"/>
  </r>
  <r>
    <n v="1156"/>
    <x v="329"/>
    <n v="3"/>
    <n v="9"/>
    <x v="1"/>
    <x v="3"/>
    <x v="11"/>
    <x v="0"/>
    <x v="3"/>
    <n v="9"/>
    <n v="30426.46"/>
    <n v="273838.14"/>
    <s v="Anjali Thakur"/>
    <n v="31"/>
    <x v="5"/>
    <x v="0"/>
    <n v="3"/>
    <x v="1"/>
    <x v="12"/>
  </r>
  <r>
    <n v="1157"/>
    <x v="330"/>
    <n v="4"/>
    <n v="9"/>
    <x v="1"/>
    <x v="3"/>
    <x v="11"/>
    <x v="1"/>
    <x v="4"/>
    <n v="5"/>
    <n v="69459.17"/>
    <n v="347295.85"/>
    <s v="Manoj Iyer"/>
    <n v="34"/>
    <x v="4"/>
    <x v="0"/>
    <n v="5"/>
    <x v="0"/>
    <x v="14"/>
  </r>
  <r>
    <n v="1158"/>
    <x v="330"/>
    <n v="4"/>
    <n v="9"/>
    <x v="1"/>
    <x v="3"/>
    <x v="11"/>
    <x v="1"/>
    <x v="3"/>
    <n v="1"/>
    <n v="41412.5"/>
    <n v="41412.5"/>
    <s v="Prashant Nair"/>
    <n v="39"/>
    <x v="1"/>
    <x v="2"/>
    <n v="4"/>
    <x v="0"/>
    <x v="12"/>
  </r>
  <r>
    <n v="1159"/>
    <x v="330"/>
    <n v="4"/>
    <n v="9"/>
    <x v="1"/>
    <x v="3"/>
    <x v="11"/>
    <x v="1"/>
    <x v="4"/>
    <n v="2"/>
    <n v="22282.84"/>
    <n v="44565.68"/>
    <s v="Prashant Nair"/>
    <n v="43"/>
    <x v="14"/>
    <x v="3"/>
    <n v="3"/>
    <x v="1"/>
    <x v="7"/>
  </r>
  <r>
    <n v="1160"/>
    <x v="331"/>
    <n v="5"/>
    <n v="9"/>
    <x v="1"/>
    <x v="3"/>
    <x v="11"/>
    <x v="2"/>
    <x v="4"/>
    <n v="4"/>
    <n v="30089.1"/>
    <n v="120356.4"/>
    <s v="Kavita Iyer"/>
    <n v="45"/>
    <x v="0"/>
    <x v="3"/>
    <n v="5"/>
    <x v="0"/>
    <x v="7"/>
  </r>
  <r>
    <n v="1161"/>
    <x v="331"/>
    <n v="5"/>
    <n v="9"/>
    <x v="1"/>
    <x v="3"/>
    <x v="11"/>
    <x v="2"/>
    <x v="3"/>
    <n v="5"/>
    <n v="29818.46"/>
    <n v="149092.29999999999"/>
    <s v="Namita Pathak"/>
    <n v="31"/>
    <x v="2"/>
    <x v="2"/>
    <n v="4"/>
    <x v="0"/>
    <x v="12"/>
  </r>
  <r>
    <n v="1162"/>
    <x v="331"/>
    <n v="5"/>
    <n v="9"/>
    <x v="1"/>
    <x v="3"/>
    <x v="11"/>
    <x v="2"/>
    <x v="1"/>
    <n v="9"/>
    <n v="11183.54"/>
    <n v="100651.86000000002"/>
    <s v="Nikhil Chaudhary"/>
    <n v="26"/>
    <x v="1"/>
    <x v="0"/>
    <n v="1"/>
    <x v="2"/>
    <x v="1"/>
  </r>
  <r>
    <n v="1163"/>
    <x v="332"/>
    <n v="6"/>
    <n v="9"/>
    <x v="1"/>
    <x v="3"/>
    <x v="11"/>
    <x v="3"/>
    <x v="2"/>
    <n v="1"/>
    <n v="18110.98"/>
    <n v="18110.98"/>
    <s v="Rajesh Kulkarni"/>
    <n v="43"/>
    <x v="1"/>
    <x v="0"/>
    <n v="5"/>
    <x v="0"/>
    <x v="13"/>
  </r>
  <r>
    <n v="1164"/>
    <x v="332"/>
    <n v="6"/>
    <n v="9"/>
    <x v="1"/>
    <x v="3"/>
    <x v="11"/>
    <x v="3"/>
    <x v="0"/>
    <n v="3"/>
    <n v="51711.79"/>
    <n v="155135.37"/>
    <s v="Namita Patel"/>
    <n v="19"/>
    <x v="2"/>
    <x v="2"/>
    <n v="4"/>
    <x v="0"/>
    <x v="10"/>
  </r>
  <r>
    <n v="1165"/>
    <x v="332"/>
    <n v="6"/>
    <n v="9"/>
    <x v="1"/>
    <x v="3"/>
    <x v="11"/>
    <x v="3"/>
    <x v="4"/>
    <n v="5"/>
    <n v="17215.060000000001"/>
    <n v="86075.3"/>
    <s v="Krishna Joshi"/>
    <n v="28"/>
    <x v="4"/>
    <x v="2"/>
    <n v="4"/>
    <x v="0"/>
    <x v="14"/>
  </r>
  <r>
    <n v="1166"/>
    <x v="332"/>
    <n v="6"/>
    <n v="9"/>
    <x v="1"/>
    <x v="3"/>
    <x v="11"/>
    <x v="3"/>
    <x v="2"/>
    <n v="3"/>
    <n v="23844.06"/>
    <n v="71532.180000000008"/>
    <s v="Isha Singh"/>
    <n v="34"/>
    <x v="2"/>
    <x v="1"/>
    <n v="1"/>
    <x v="2"/>
    <x v="13"/>
  </r>
  <r>
    <n v="1167"/>
    <x v="333"/>
    <n v="7"/>
    <n v="9"/>
    <x v="1"/>
    <x v="3"/>
    <x v="11"/>
    <x v="4"/>
    <x v="1"/>
    <n v="4"/>
    <n v="31044.240000000002"/>
    <n v="124176.96000000001"/>
    <s v="Rohan Sheth"/>
    <n v="51"/>
    <x v="7"/>
    <x v="2"/>
    <n v="3"/>
    <x v="1"/>
    <x v="1"/>
  </r>
  <r>
    <n v="1168"/>
    <x v="333"/>
    <n v="7"/>
    <n v="9"/>
    <x v="1"/>
    <x v="3"/>
    <x v="11"/>
    <x v="4"/>
    <x v="0"/>
    <n v="3"/>
    <n v="55464.1"/>
    <n v="166392.29999999999"/>
    <s v="Radha Kaur"/>
    <n v="36"/>
    <x v="17"/>
    <x v="3"/>
    <n v="5"/>
    <x v="0"/>
    <x v="10"/>
  </r>
  <r>
    <n v="1169"/>
    <x v="333"/>
    <n v="7"/>
    <n v="9"/>
    <x v="1"/>
    <x v="3"/>
    <x v="11"/>
    <x v="4"/>
    <x v="0"/>
    <n v="4"/>
    <n v="44944.06"/>
    <n v="179776.24"/>
    <s v="Meena Prasad"/>
    <n v="56"/>
    <x v="2"/>
    <x v="2"/>
    <n v="3"/>
    <x v="1"/>
    <x v="0"/>
  </r>
  <r>
    <n v="1170"/>
    <x v="334"/>
    <n v="8"/>
    <n v="9"/>
    <x v="1"/>
    <x v="3"/>
    <x v="11"/>
    <x v="5"/>
    <x v="4"/>
    <n v="1"/>
    <n v="51340"/>
    <n v="51340"/>
    <s v="Pooja Joshi"/>
    <n v="35"/>
    <x v="2"/>
    <x v="0"/>
    <n v="4"/>
    <x v="0"/>
    <x v="11"/>
  </r>
  <r>
    <n v="1171"/>
    <x v="334"/>
    <n v="8"/>
    <n v="9"/>
    <x v="1"/>
    <x v="3"/>
    <x v="11"/>
    <x v="5"/>
    <x v="3"/>
    <n v="8"/>
    <n v="44020.74"/>
    <n v="352165.92"/>
    <s v="Pankaj Singh"/>
    <n v="30"/>
    <x v="3"/>
    <x v="0"/>
    <n v="5"/>
    <x v="0"/>
    <x v="12"/>
  </r>
  <r>
    <n v="1172"/>
    <x v="334"/>
    <n v="8"/>
    <n v="9"/>
    <x v="1"/>
    <x v="3"/>
    <x v="11"/>
    <x v="5"/>
    <x v="1"/>
    <n v="4"/>
    <n v="51015.55"/>
    <n v="204062.2"/>
    <s v="Anand Pillai"/>
    <n v="22"/>
    <x v="13"/>
    <x v="0"/>
    <n v="5"/>
    <x v="0"/>
    <x v="1"/>
  </r>
  <r>
    <n v="1173"/>
    <x v="334"/>
    <n v="8"/>
    <n v="9"/>
    <x v="1"/>
    <x v="3"/>
    <x v="11"/>
    <x v="5"/>
    <x v="4"/>
    <n v="7"/>
    <n v="10170.530000000001"/>
    <n v="71193.710000000006"/>
    <s v="Vijay Siddiqui"/>
    <n v="40"/>
    <x v="1"/>
    <x v="3"/>
    <n v="5"/>
    <x v="0"/>
    <x v="7"/>
  </r>
  <r>
    <n v="1174"/>
    <x v="335"/>
    <n v="9"/>
    <n v="9"/>
    <x v="1"/>
    <x v="3"/>
    <x v="11"/>
    <x v="6"/>
    <x v="1"/>
    <n v="2"/>
    <n v="65853.89"/>
    <n v="131707.78"/>
    <s v="Rajesh Ahuja"/>
    <n v="41"/>
    <x v="3"/>
    <x v="3"/>
    <n v="5"/>
    <x v="0"/>
    <x v="2"/>
  </r>
  <r>
    <n v="1175"/>
    <x v="335"/>
    <n v="9"/>
    <n v="9"/>
    <x v="1"/>
    <x v="3"/>
    <x v="11"/>
    <x v="6"/>
    <x v="3"/>
    <n v="2"/>
    <n v="16655.21"/>
    <n v="33310.42"/>
    <s v="Anjali Thakur"/>
    <n v="46"/>
    <x v="13"/>
    <x v="1"/>
    <n v="4"/>
    <x v="0"/>
    <x v="12"/>
  </r>
  <r>
    <n v="1176"/>
    <x v="335"/>
    <n v="9"/>
    <n v="9"/>
    <x v="1"/>
    <x v="3"/>
    <x v="11"/>
    <x v="6"/>
    <x v="3"/>
    <n v="6"/>
    <n v="34374.949999999997"/>
    <n v="206249.69999999998"/>
    <s v="Sunil Rawat"/>
    <n v="25"/>
    <x v="2"/>
    <x v="2"/>
    <n v="1"/>
    <x v="2"/>
    <x v="12"/>
  </r>
  <r>
    <n v="1177"/>
    <x v="335"/>
    <n v="9"/>
    <n v="9"/>
    <x v="1"/>
    <x v="3"/>
    <x v="11"/>
    <x v="6"/>
    <x v="4"/>
    <n v="2"/>
    <n v="56262.3"/>
    <n v="112524.6"/>
    <s v="Kavita Rawat"/>
    <n v="43"/>
    <x v="4"/>
    <x v="1"/>
    <n v="3"/>
    <x v="1"/>
    <x v="14"/>
  </r>
  <r>
    <n v="1178"/>
    <x v="336"/>
    <n v="10"/>
    <n v="9"/>
    <x v="1"/>
    <x v="3"/>
    <x v="11"/>
    <x v="0"/>
    <x v="3"/>
    <n v="6"/>
    <n v="36113.839999999997"/>
    <n v="216683.03999999998"/>
    <s v="Kiran Gupta"/>
    <n v="32"/>
    <x v="1"/>
    <x v="2"/>
    <n v="3"/>
    <x v="1"/>
    <x v="12"/>
  </r>
  <r>
    <n v="1179"/>
    <x v="336"/>
    <n v="10"/>
    <n v="9"/>
    <x v="1"/>
    <x v="3"/>
    <x v="11"/>
    <x v="0"/>
    <x v="2"/>
    <n v="2"/>
    <n v="66810.55"/>
    <n v="133621.1"/>
    <s v="Lata Verma"/>
    <n v="18"/>
    <x v="1"/>
    <x v="2"/>
    <n v="1"/>
    <x v="2"/>
    <x v="4"/>
  </r>
  <r>
    <n v="1180"/>
    <x v="336"/>
    <n v="10"/>
    <n v="9"/>
    <x v="1"/>
    <x v="3"/>
    <x v="11"/>
    <x v="0"/>
    <x v="0"/>
    <n v="4"/>
    <n v="38055.339999999997"/>
    <n v="152221.35999999999"/>
    <s v="Meena Patel"/>
    <n v="45"/>
    <x v="1"/>
    <x v="3"/>
    <n v="1"/>
    <x v="2"/>
    <x v="3"/>
  </r>
  <r>
    <n v="1181"/>
    <x v="337"/>
    <n v="11"/>
    <n v="9"/>
    <x v="1"/>
    <x v="3"/>
    <x v="11"/>
    <x v="1"/>
    <x v="4"/>
    <n v="7"/>
    <n v="62496.36"/>
    <n v="437474.52"/>
    <s v="Rohan Thakur"/>
    <n v="31"/>
    <x v="1"/>
    <x v="0"/>
    <n v="5"/>
    <x v="0"/>
    <x v="11"/>
  </r>
  <r>
    <n v="1182"/>
    <x v="337"/>
    <n v="11"/>
    <n v="9"/>
    <x v="1"/>
    <x v="3"/>
    <x v="11"/>
    <x v="1"/>
    <x v="1"/>
    <n v="8"/>
    <n v="58649.69"/>
    <n v="469197.52"/>
    <s v="Mala Ghosh"/>
    <n v="59"/>
    <x v="14"/>
    <x v="2"/>
    <n v="1"/>
    <x v="2"/>
    <x v="1"/>
  </r>
  <r>
    <n v="1183"/>
    <x v="337"/>
    <n v="11"/>
    <n v="9"/>
    <x v="1"/>
    <x v="3"/>
    <x v="11"/>
    <x v="1"/>
    <x v="2"/>
    <n v="3"/>
    <n v="68859.179999999993"/>
    <n v="206577.53999999998"/>
    <s v="Lalita Siddiqui"/>
    <n v="51"/>
    <x v="1"/>
    <x v="3"/>
    <n v="5"/>
    <x v="0"/>
    <x v="4"/>
  </r>
  <r>
    <n v="1184"/>
    <x v="338"/>
    <n v="12"/>
    <n v="9"/>
    <x v="1"/>
    <x v="3"/>
    <x v="11"/>
    <x v="2"/>
    <x v="4"/>
    <n v="9"/>
    <n v="65592.87"/>
    <n v="590335.82999999996"/>
    <s v="Sachin Iyer"/>
    <n v="48"/>
    <x v="8"/>
    <x v="1"/>
    <n v="5"/>
    <x v="0"/>
    <x v="14"/>
  </r>
  <r>
    <n v="1185"/>
    <x v="338"/>
    <n v="12"/>
    <n v="9"/>
    <x v="1"/>
    <x v="3"/>
    <x v="11"/>
    <x v="2"/>
    <x v="3"/>
    <n v="2"/>
    <n v="63887.43"/>
    <n v="127774.86"/>
    <s v="Sunita Singh"/>
    <n v="23"/>
    <x v="6"/>
    <x v="0"/>
    <n v="4"/>
    <x v="0"/>
    <x v="5"/>
  </r>
  <r>
    <n v="1186"/>
    <x v="338"/>
    <n v="12"/>
    <n v="9"/>
    <x v="1"/>
    <x v="3"/>
    <x v="11"/>
    <x v="2"/>
    <x v="3"/>
    <n v="8"/>
    <n v="53896.26"/>
    <n v="431170.08"/>
    <s v="Kiran Ghosh"/>
    <n v="22"/>
    <x v="1"/>
    <x v="1"/>
    <n v="5"/>
    <x v="0"/>
    <x v="12"/>
  </r>
  <r>
    <n v="1187"/>
    <x v="338"/>
    <n v="12"/>
    <n v="9"/>
    <x v="1"/>
    <x v="3"/>
    <x v="11"/>
    <x v="2"/>
    <x v="3"/>
    <n v="8"/>
    <n v="32019.89"/>
    <n v="256159.12"/>
    <s v="Shruti Shah"/>
    <n v="48"/>
    <x v="1"/>
    <x v="1"/>
    <n v="5"/>
    <x v="0"/>
    <x v="8"/>
  </r>
  <r>
    <n v="1188"/>
    <x v="339"/>
    <n v="13"/>
    <n v="9"/>
    <x v="1"/>
    <x v="3"/>
    <x v="11"/>
    <x v="3"/>
    <x v="3"/>
    <n v="4"/>
    <n v="16367.53"/>
    <n v="65470.12"/>
    <s v="Amit Goyal"/>
    <n v="54"/>
    <x v="0"/>
    <x v="3"/>
    <n v="3"/>
    <x v="1"/>
    <x v="5"/>
  </r>
  <r>
    <n v="1189"/>
    <x v="339"/>
    <n v="13"/>
    <n v="9"/>
    <x v="1"/>
    <x v="3"/>
    <x v="11"/>
    <x v="3"/>
    <x v="1"/>
    <n v="1"/>
    <n v="51318.7"/>
    <n v="51318.7"/>
    <s v="Pooja Goyal"/>
    <n v="32"/>
    <x v="1"/>
    <x v="0"/>
    <n v="1"/>
    <x v="2"/>
    <x v="2"/>
  </r>
  <r>
    <n v="1190"/>
    <x v="339"/>
    <n v="13"/>
    <n v="9"/>
    <x v="1"/>
    <x v="3"/>
    <x v="11"/>
    <x v="3"/>
    <x v="2"/>
    <n v="1"/>
    <n v="68719.240000000005"/>
    <n v="68719.240000000005"/>
    <s v="Sunil Jain"/>
    <n v="32"/>
    <x v="13"/>
    <x v="2"/>
    <n v="5"/>
    <x v="0"/>
    <x v="13"/>
  </r>
  <r>
    <n v="1191"/>
    <x v="339"/>
    <n v="13"/>
    <n v="9"/>
    <x v="1"/>
    <x v="3"/>
    <x v="11"/>
    <x v="3"/>
    <x v="0"/>
    <n v="2"/>
    <n v="53596.27"/>
    <n v="107192.54"/>
    <s v="Pankaj Bhattacharya"/>
    <n v="22"/>
    <x v="17"/>
    <x v="1"/>
    <n v="1"/>
    <x v="2"/>
    <x v="0"/>
  </r>
  <r>
    <n v="1192"/>
    <x v="340"/>
    <n v="14"/>
    <n v="9"/>
    <x v="1"/>
    <x v="3"/>
    <x v="11"/>
    <x v="4"/>
    <x v="1"/>
    <n v="9"/>
    <n v="65723.759999999995"/>
    <n v="591513.84"/>
    <s v="Bhavana Bhatnagar"/>
    <n v="45"/>
    <x v="1"/>
    <x v="2"/>
    <n v="3"/>
    <x v="1"/>
    <x v="9"/>
  </r>
  <r>
    <n v="1193"/>
    <x v="340"/>
    <n v="14"/>
    <n v="9"/>
    <x v="1"/>
    <x v="3"/>
    <x v="11"/>
    <x v="4"/>
    <x v="1"/>
    <n v="2"/>
    <n v="58258.28"/>
    <n v="116516.56"/>
    <s v="Navin Gupta"/>
    <n v="50"/>
    <x v="0"/>
    <x v="0"/>
    <n v="1"/>
    <x v="2"/>
    <x v="1"/>
  </r>
  <r>
    <n v="1194"/>
    <x v="340"/>
    <n v="14"/>
    <n v="9"/>
    <x v="1"/>
    <x v="3"/>
    <x v="11"/>
    <x v="4"/>
    <x v="0"/>
    <n v="2"/>
    <n v="19786.88"/>
    <n v="39573.760000000002"/>
    <s v="Krishna Mehta"/>
    <n v="28"/>
    <x v="1"/>
    <x v="3"/>
    <n v="5"/>
    <x v="0"/>
    <x v="3"/>
  </r>
  <r>
    <n v="1195"/>
    <x v="341"/>
    <n v="15"/>
    <n v="9"/>
    <x v="1"/>
    <x v="3"/>
    <x v="11"/>
    <x v="5"/>
    <x v="0"/>
    <n v="6"/>
    <n v="24952.23"/>
    <n v="149713.38"/>
    <s v="Sunita Sheth"/>
    <n v="23"/>
    <x v="3"/>
    <x v="3"/>
    <n v="1"/>
    <x v="2"/>
    <x v="3"/>
  </r>
  <r>
    <n v="1196"/>
    <x v="341"/>
    <n v="15"/>
    <n v="9"/>
    <x v="1"/>
    <x v="3"/>
    <x v="11"/>
    <x v="5"/>
    <x v="3"/>
    <n v="7"/>
    <n v="30511.94"/>
    <n v="213583.58"/>
    <s v="Lalita Nambiar"/>
    <n v="40"/>
    <x v="18"/>
    <x v="3"/>
    <n v="3"/>
    <x v="1"/>
    <x v="12"/>
  </r>
  <r>
    <n v="1197"/>
    <x v="341"/>
    <n v="15"/>
    <n v="9"/>
    <x v="1"/>
    <x v="3"/>
    <x v="11"/>
    <x v="5"/>
    <x v="1"/>
    <n v="7"/>
    <n v="20095.63"/>
    <n v="140669.41"/>
    <s v="Sunil Dutta"/>
    <n v="57"/>
    <x v="1"/>
    <x v="2"/>
    <n v="5"/>
    <x v="0"/>
    <x v="1"/>
  </r>
  <r>
    <n v="1198"/>
    <x v="341"/>
    <n v="15"/>
    <n v="9"/>
    <x v="1"/>
    <x v="3"/>
    <x v="11"/>
    <x v="5"/>
    <x v="4"/>
    <n v="9"/>
    <n v="44899.08"/>
    <n v="404091.72000000003"/>
    <s v="Manoj Nambiar"/>
    <n v="19"/>
    <x v="16"/>
    <x v="2"/>
    <n v="1"/>
    <x v="2"/>
    <x v="7"/>
  </r>
  <r>
    <n v="1199"/>
    <x v="342"/>
    <n v="16"/>
    <n v="9"/>
    <x v="1"/>
    <x v="3"/>
    <x v="11"/>
    <x v="6"/>
    <x v="0"/>
    <n v="6"/>
    <n v="68527.03"/>
    <n v="411162.18"/>
    <s v="Radha Gupta"/>
    <n v="32"/>
    <x v="7"/>
    <x v="0"/>
    <n v="3"/>
    <x v="1"/>
    <x v="3"/>
  </r>
  <r>
    <n v="1200"/>
    <x v="342"/>
    <n v="16"/>
    <n v="9"/>
    <x v="1"/>
    <x v="3"/>
    <x v="11"/>
    <x v="6"/>
    <x v="0"/>
    <n v="8"/>
    <n v="55687.53"/>
    <n v="445500.24"/>
    <s v="Priya Bhattacharya"/>
    <n v="40"/>
    <x v="18"/>
    <x v="2"/>
    <n v="3"/>
    <x v="1"/>
    <x v="0"/>
  </r>
  <r>
    <n v="1201"/>
    <x v="342"/>
    <n v="16"/>
    <n v="9"/>
    <x v="1"/>
    <x v="3"/>
    <x v="11"/>
    <x v="6"/>
    <x v="2"/>
    <n v="6"/>
    <n v="35403.199999999997"/>
    <n v="212419.19999999998"/>
    <s v="Reena Arora"/>
    <n v="39"/>
    <x v="12"/>
    <x v="3"/>
    <n v="5"/>
    <x v="0"/>
    <x v="13"/>
  </r>
  <r>
    <n v="1202"/>
    <x v="343"/>
    <n v="17"/>
    <n v="9"/>
    <x v="1"/>
    <x v="3"/>
    <x v="11"/>
    <x v="0"/>
    <x v="4"/>
    <n v="2"/>
    <n v="10270.27"/>
    <n v="20540.54"/>
    <s v="Deepika Iyer"/>
    <n v="26"/>
    <x v="2"/>
    <x v="1"/>
    <n v="5"/>
    <x v="0"/>
    <x v="11"/>
  </r>
  <r>
    <n v="1203"/>
    <x v="343"/>
    <n v="17"/>
    <n v="9"/>
    <x v="1"/>
    <x v="3"/>
    <x v="11"/>
    <x v="0"/>
    <x v="4"/>
    <n v="1"/>
    <n v="28796.560000000001"/>
    <n v="28796.560000000001"/>
    <s v="Vinod Nair"/>
    <n v="57"/>
    <x v="1"/>
    <x v="1"/>
    <n v="5"/>
    <x v="0"/>
    <x v="11"/>
  </r>
  <r>
    <n v="1204"/>
    <x v="343"/>
    <n v="17"/>
    <n v="9"/>
    <x v="1"/>
    <x v="3"/>
    <x v="11"/>
    <x v="0"/>
    <x v="0"/>
    <n v="5"/>
    <n v="41605.56"/>
    <n v="208027.8"/>
    <s v="Rajesh Ghosh"/>
    <n v="47"/>
    <x v="2"/>
    <x v="1"/>
    <n v="1"/>
    <x v="2"/>
    <x v="0"/>
  </r>
  <r>
    <n v="1205"/>
    <x v="343"/>
    <n v="17"/>
    <n v="9"/>
    <x v="1"/>
    <x v="3"/>
    <x v="11"/>
    <x v="0"/>
    <x v="3"/>
    <n v="9"/>
    <n v="29455.05"/>
    <n v="265095.45"/>
    <s v="Arun Gupta"/>
    <n v="33"/>
    <x v="13"/>
    <x v="3"/>
    <n v="5"/>
    <x v="0"/>
    <x v="5"/>
  </r>
  <r>
    <n v="1206"/>
    <x v="344"/>
    <n v="18"/>
    <n v="9"/>
    <x v="1"/>
    <x v="3"/>
    <x v="11"/>
    <x v="1"/>
    <x v="2"/>
    <n v="8"/>
    <n v="16662.099999999999"/>
    <n v="133296.79999999999"/>
    <s v="Mala Thakur"/>
    <n v="47"/>
    <x v="1"/>
    <x v="2"/>
    <n v="5"/>
    <x v="0"/>
    <x v="6"/>
  </r>
  <r>
    <n v="1207"/>
    <x v="344"/>
    <n v="18"/>
    <n v="9"/>
    <x v="1"/>
    <x v="3"/>
    <x v="11"/>
    <x v="1"/>
    <x v="4"/>
    <n v="4"/>
    <n v="36565.9"/>
    <n v="146263.6"/>
    <s v="Nikhil Solanki"/>
    <n v="26"/>
    <x v="1"/>
    <x v="1"/>
    <n v="3"/>
    <x v="1"/>
    <x v="14"/>
  </r>
  <r>
    <n v="1208"/>
    <x v="344"/>
    <n v="18"/>
    <n v="9"/>
    <x v="1"/>
    <x v="3"/>
    <x v="11"/>
    <x v="1"/>
    <x v="0"/>
    <n v="5"/>
    <n v="25195.17"/>
    <n v="125975.84999999999"/>
    <s v="Priyanka Menon"/>
    <n v="18"/>
    <x v="14"/>
    <x v="2"/>
    <n v="5"/>
    <x v="0"/>
    <x v="3"/>
  </r>
  <r>
    <n v="1209"/>
    <x v="345"/>
    <n v="19"/>
    <n v="9"/>
    <x v="1"/>
    <x v="3"/>
    <x v="11"/>
    <x v="2"/>
    <x v="4"/>
    <n v="5"/>
    <n v="64553.94"/>
    <n v="322769.7"/>
    <s v="Ayesha Sheth"/>
    <n v="55"/>
    <x v="17"/>
    <x v="2"/>
    <n v="5"/>
    <x v="0"/>
    <x v="14"/>
  </r>
  <r>
    <n v="1210"/>
    <x v="345"/>
    <n v="19"/>
    <n v="9"/>
    <x v="1"/>
    <x v="3"/>
    <x v="11"/>
    <x v="2"/>
    <x v="2"/>
    <n v="6"/>
    <n v="16105.27"/>
    <n v="96631.62"/>
    <s v="Meena Roy"/>
    <n v="25"/>
    <x v="2"/>
    <x v="3"/>
    <n v="4"/>
    <x v="0"/>
    <x v="6"/>
  </r>
  <r>
    <n v="1211"/>
    <x v="345"/>
    <n v="19"/>
    <n v="9"/>
    <x v="1"/>
    <x v="3"/>
    <x v="11"/>
    <x v="2"/>
    <x v="2"/>
    <n v="3"/>
    <n v="12949.16"/>
    <n v="38847.479999999996"/>
    <s v="Nikhil Solanki"/>
    <n v="35"/>
    <x v="9"/>
    <x v="2"/>
    <n v="3"/>
    <x v="1"/>
    <x v="4"/>
  </r>
  <r>
    <n v="1212"/>
    <x v="346"/>
    <n v="20"/>
    <n v="9"/>
    <x v="1"/>
    <x v="3"/>
    <x v="11"/>
    <x v="3"/>
    <x v="1"/>
    <n v="5"/>
    <n v="10318.85"/>
    <n v="51594.25"/>
    <s v="Ayesha Sheth"/>
    <n v="44"/>
    <x v="1"/>
    <x v="2"/>
    <n v="5"/>
    <x v="0"/>
    <x v="2"/>
  </r>
  <r>
    <n v="1213"/>
    <x v="346"/>
    <n v="20"/>
    <n v="9"/>
    <x v="1"/>
    <x v="3"/>
    <x v="11"/>
    <x v="3"/>
    <x v="0"/>
    <n v="2"/>
    <n v="29684.18"/>
    <n v="59368.36"/>
    <s v="Ayesha Siddiqui"/>
    <n v="35"/>
    <x v="16"/>
    <x v="3"/>
    <n v="3"/>
    <x v="1"/>
    <x v="0"/>
  </r>
  <r>
    <n v="1214"/>
    <x v="346"/>
    <n v="20"/>
    <n v="9"/>
    <x v="1"/>
    <x v="3"/>
    <x v="11"/>
    <x v="3"/>
    <x v="2"/>
    <n v="1"/>
    <n v="49623.21"/>
    <n v="49623.21"/>
    <s v="Vivek Siddiqui"/>
    <n v="49"/>
    <x v="12"/>
    <x v="0"/>
    <n v="1"/>
    <x v="2"/>
    <x v="6"/>
  </r>
  <r>
    <n v="1215"/>
    <x v="347"/>
    <n v="21"/>
    <n v="9"/>
    <x v="1"/>
    <x v="3"/>
    <x v="11"/>
    <x v="4"/>
    <x v="1"/>
    <n v="1"/>
    <n v="53824.83"/>
    <n v="53824.83"/>
    <s v="Prashant Verma"/>
    <n v="49"/>
    <x v="1"/>
    <x v="1"/>
    <n v="3"/>
    <x v="1"/>
    <x v="1"/>
  </r>
  <r>
    <n v="1216"/>
    <x v="347"/>
    <n v="21"/>
    <n v="9"/>
    <x v="1"/>
    <x v="3"/>
    <x v="11"/>
    <x v="4"/>
    <x v="1"/>
    <n v="7"/>
    <n v="37195.699999999997"/>
    <n v="260369.89999999997"/>
    <s v="Gita Mehta"/>
    <n v="53"/>
    <x v="12"/>
    <x v="1"/>
    <n v="5"/>
    <x v="0"/>
    <x v="1"/>
  </r>
  <r>
    <n v="1217"/>
    <x v="347"/>
    <n v="21"/>
    <n v="9"/>
    <x v="1"/>
    <x v="3"/>
    <x v="11"/>
    <x v="4"/>
    <x v="4"/>
    <n v="2"/>
    <n v="51059.72"/>
    <n v="102119.44"/>
    <s v="Rajesh Chatterjee"/>
    <n v="53"/>
    <x v="18"/>
    <x v="2"/>
    <n v="1"/>
    <x v="2"/>
    <x v="14"/>
  </r>
  <r>
    <n v="1218"/>
    <x v="347"/>
    <n v="21"/>
    <n v="9"/>
    <x v="1"/>
    <x v="3"/>
    <x v="11"/>
    <x v="4"/>
    <x v="4"/>
    <n v="4"/>
    <n v="31594.84"/>
    <n v="126379.36"/>
    <s v="Pankaj Pathak"/>
    <n v="38"/>
    <x v="3"/>
    <x v="0"/>
    <n v="1"/>
    <x v="2"/>
    <x v="11"/>
  </r>
  <r>
    <n v="1219"/>
    <x v="348"/>
    <n v="22"/>
    <n v="9"/>
    <x v="1"/>
    <x v="3"/>
    <x v="11"/>
    <x v="5"/>
    <x v="1"/>
    <n v="5"/>
    <n v="50068.37"/>
    <n v="250341.85"/>
    <s v="Sunil Gupta"/>
    <n v="49"/>
    <x v="7"/>
    <x v="3"/>
    <n v="1"/>
    <x v="2"/>
    <x v="2"/>
  </r>
  <r>
    <n v="1220"/>
    <x v="348"/>
    <n v="22"/>
    <n v="9"/>
    <x v="1"/>
    <x v="3"/>
    <x v="11"/>
    <x v="5"/>
    <x v="4"/>
    <n v="7"/>
    <n v="12435.76"/>
    <n v="87050.32"/>
    <s v="Manoj Kaur"/>
    <n v="48"/>
    <x v="15"/>
    <x v="2"/>
    <n v="4"/>
    <x v="0"/>
    <x v="7"/>
  </r>
  <r>
    <n v="1221"/>
    <x v="348"/>
    <n v="22"/>
    <n v="9"/>
    <x v="1"/>
    <x v="3"/>
    <x v="11"/>
    <x v="5"/>
    <x v="2"/>
    <n v="2"/>
    <n v="33445.18"/>
    <n v="66890.36"/>
    <s v="Tapan Mathur"/>
    <n v="54"/>
    <x v="5"/>
    <x v="3"/>
    <n v="4"/>
    <x v="0"/>
    <x v="6"/>
  </r>
  <r>
    <n v="1222"/>
    <x v="348"/>
    <n v="22"/>
    <n v="9"/>
    <x v="1"/>
    <x v="3"/>
    <x v="11"/>
    <x v="5"/>
    <x v="3"/>
    <n v="6"/>
    <n v="57450.98"/>
    <n v="344705.88"/>
    <s v="Manoj Sharma"/>
    <n v="33"/>
    <x v="3"/>
    <x v="1"/>
    <n v="1"/>
    <x v="2"/>
    <x v="12"/>
  </r>
  <r>
    <n v="1223"/>
    <x v="349"/>
    <n v="23"/>
    <n v="9"/>
    <x v="1"/>
    <x v="3"/>
    <x v="11"/>
    <x v="6"/>
    <x v="2"/>
    <n v="1"/>
    <n v="58180.36"/>
    <n v="58180.36"/>
    <s v="Prashant Chatterjee"/>
    <n v="31"/>
    <x v="15"/>
    <x v="3"/>
    <n v="5"/>
    <x v="0"/>
    <x v="6"/>
  </r>
  <r>
    <n v="1224"/>
    <x v="349"/>
    <n v="23"/>
    <n v="9"/>
    <x v="1"/>
    <x v="3"/>
    <x v="11"/>
    <x v="6"/>
    <x v="1"/>
    <n v="7"/>
    <n v="52968.93"/>
    <n v="370782.51"/>
    <s v="Jyoti Varma"/>
    <n v="41"/>
    <x v="9"/>
    <x v="1"/>
    <n v="1"/>
    <x v="2"/>
    <x v="1"/>
  </r>
  <r>
    <n v="1225"/>
    <x v="349"/>
    <n v="23"/>
    <n v="9"/>
    <x v="1"/>
    <x v="3"/>
    <x v="11"/>
    <x v="6"/>
    <x v="1"/>
    <n v="9"/>
    <n v="22254.32"/>
    <n v="200288.88"/>
    <s v="Lalita Rathod"/>
    <n v="42"/>
    <x v="7"/>
    <x v="3"/>
    <n v="1"/>
    <x v="2"/>
    <x v="2"/>
  </r>
  <r>
    <n v="1226"/>
    <x v="350"/>
    <n v="24"/>
    <n v="9"/>
    <x v="1"/>
    <x v="3"/>
    <x v="11"/>
    <x v="0"/>
    <x v="2"/>
    <n v="5"/>
    <n v="24832.31"/>
    <n v="124161.55"/>
    <s v="Vivek Teja"/>
    <n v="52"/>
    <x v="13"/>
    <x v="3"/>
    <n v="3"/>
    <x v="1"/>
    <x v="13"/>
  </r>
  <r>
    <n v="1227"/>
    <x v="350"/>
    <n v="24"/>
    <n v="9"/>
    <x v="1"/>
    <x v="3"/>
    <x v="11"/>
    <x v="0"/>
    <x v="4"/>
    <n v="5"/>
    <n v="69765.320000000007"/>
    <n v="348826.60000000003"/>
    <s v="Sumit Malhotra"/>
    <n v="34"/>
    <x v="6"/>
    <x v="0"/>
    <n v="3"/>
    <x v="1"/>
    <x v="11"/>
  </r>
  <r>
    <n v="1228"/>
    <x v="350"/>
    <n v="24"/>
    <n v="9"/>
    <x v="1"/>
    <x v="3"/>
    <x v="11"/>
    <x v="0"/>
    <x v="4"/>
    <n v="4"/>
    <n v="16202.68"/>
    <n v="64810.720000000001"/>
    <s v="Anjali Chaudhary"/>
    <n v="59"/>
    <x v="7"/>
    <x v="3"/>
    <n v="3"/>
    <x v="1"/>
    <x v="7"/>
  </r>
  <r>
    <n v="1229"/>
    <x v="350"/>
    <n v="24"/>
    <n v="9"/>
    <x v="1"/>
    <x v="3"/>
    <x v="11"/>
    <x v="0"/>
    <x v="1"/>
    <n v="3"/>
    <n v="20839.759999999998"/>
    <n v="62519.28"/>
    <s v="Lata Chaudhary"/>
    <n v="21"/>
    <x v="15"/>
    <x v="2"/>
    <n v="5"/>
    <x v="0"/>
    <x v="2"/>
  </r>
  <r>
    <n v="1230"/>
    <x v="351"/>
    <n v="25"/>
    <n v="9"/>
    <x v="1"/>
    <x v="3"/>
    <x v="11"/>
    <x v="1"/>
    <x v="0"/>
    <n v="9"/>
    <n v="17801.580000000002"/>
    <n v="160214.22000000003"/>
    <s v="Ayesha Luthra"/>
    <n v="28"/>
    <x v="16"/>
    <x v="0"/>
    <n v="3"/>
    <x v="1"/>
    <x v="3"/>
  </r>
  <r>
    <n v="1231"/>
    <x v="351"/>
    <n v="25"/>
    <n v="9"/>
    <x v="1"/>
    <x v="3"/>
    <x v="11"/>
    <x v="1"/>
    <x v="4"/>
    <n v="5"/>
    <n v="29659.3"/>
    <n v="148296.5"/>
    <s v="Vinod Prasad"/>
    <n v="32"/>
    <x v="1"/>
    <x v="2"/>
    <n v="3"/>
    <x v="1"/>
    <x v="11"/>
  </r>
  <r>
    <n v="1232"/>
    <x v="351"/>
    <n v="25"/>
    <n v="9"/>
    <x v="1"/>
    <x v="3"/>
    <x v="11"/>
    <x v="1"/>
    <x v="2"/>
    <n v="8"/>
    <n v="22610.55"/>
    <n v="180884.4"/>
    <s v="Umesh Dutta"/>
    <n v="47"/>
    <x v="1"/>
    <x v="3"/>
    <n v="5"/>
    <x v="0"/>
    <x v="4"/>
  </r>
  <r>
    <n v="1233"/>
    <x v="352"/>
    <n v="26"/>
    <n v="9"/>
    <x v="1"/>
    <x v="3"/>
    <x v="11"/>
    <x v="2"/>
    <x v="4"/>
    <n v="9"/>
    <n v="39861.279999999999"/>
    <n v="358751.52"/>
    <s v="Radha Alva"/>
    <n v="41"/>
    <x v="16"/>
    <x v="3"/>
    <n v="4"/>
    <x v="0"/>
    <x v="7"/>
  </r>
  <r>
    <n v="1234"/>
    <x v="352"/>
    <n v="26"/>
    <n v="9"/>
    <x v="1"/>
    <x v="3"/>
    <x v="11"/>
    <x v="2"/>
    <x v="2"/>
    <n v="5"/>
    <n v="38561.24"/>
    <n v="192806.19999999998"/>
    <s v="Lata Reddy"/>
    <n v="19"/>
    <x v="10"/>
    <x v="0"/>
    <n v="4"/>
    <x v="0"/>
    <x v="4"/>
  </r>
  <r>
    <n v="1235"/>
    <x v="352"/>
    <n v="26"/>
    <n v="9"/>
    <x v="1"/>
    <x v="3"/>
    <x v="11"/>
    <x v="2"/>
    <x v="1"/>
    <n v="9"/>
    <n v="64090.34"/>
    <n v="576813.05999999994"/>
    <s v="Vivek Mathur"/>
    <n v="51"/>
    <x v="2"/>
    <x v="1"/>
    <n v="4"/>
    <x v="0"/>
    <x v="9"/>
  </r>
  <r>
    <n v="1236"/>
    <x v="353"/>
    <n v="27"/>
    <n v="9"/>
    <x v="1"/>
    <x v="3"/>
    <x v="11"/>
    <x v="3"/>
    <x v="4"/>
    <n v="2"/>
    <n v="12084.4"/>
    <n v="24168.799999999999"/>
    <s v="Bhavana Prasad"/>
    <n v="40"/>
    <x v="1"/>
    <x v="0"/>
    <n v="5"/>
    <x v="0"/>
    <x v="11"/>
  </r>
  <r>
    <n v="1237"/>
    <x v="353"/>
    <n v="27"/>
    <n v="9"/>
    <x v="1"/>
    <x v="3"/>
    <x v="11"/>
    <x v="3"/>
    <x v="2"/>
    <n v="9"/>
    <n v="29192.77"/>
    <n v="262734.93"/>
    <s v="Umesh Varma"/>
    <n v="48"/>
    <x v="7"/>
    <x v="1"/>
    <n v="1"/>
    <x v="2"/>
    <x v="4"/>
  </r>
  <r>
    <n v="1238"/>
    <x v="353"/>
    <n v="27"/>
    <n v="9"/>
    <x v="1"/>
    <x v="3"/>
    <x v="11"/>
    <x v="3"/>
    <x v="1"/>
    <n v="4"/>
    <n v="45799.47"/>
    <n v="183197.88"/>
    <s v="Krishna Rathod"/>
    <n v="54"/>
    <x v="1"/>
    <x v="1"/>
    <n v="3"/>
    <x v="1"/>
    <x v="2"/>
  </r>
  <r>
    <n v="1239"/>
    <x v="353"/>
    <n v="27"/>
    <n v="9"/>
    <x v="1"/>
    <x v="3"/>
    <x v="11"/>
    <x v="3"/>
    <x v="0"/>
    <n v="6"/>
    <n v="46288.11"/>
    <n v="277728.66000000003"/>
    <s v="Ravi Varma"/>
    <n v="30"/>
    <x v="12"/>
    <x v="3"/>
    <n v="5"/>
    <x v="0"/>
    <x v="10"/>
  </r>
  <r>
    <n v="1240"/>
    <x v="354"/>
    <n v="28"/>
    <n v="9"/>
    <x v="1"/>
    <x v="3"/>
    <x v="11"/>
    <x v="4"/>
    <x v="2"/>
    <n v="6"/>
    <n v="38807.57"/>
    <n v="232845.41999999998"/>
    <s v="Prashant Das"/>
    <n v="50"/>
    <x v="1"/>
    <x v="2"/>
    <n v="5"/>
    <x v="0"/>
    <x v="6"/>
  </r>
  <r>
    <n v="1241"/>
    <x v="354"/>
    <n v="28"/>
    <n v="9"/>
    <x v="1"/>
    <x v="3"/>
    <x v="11"/>
    <x v="4"/>
    <x v="0"/>
    <n v="6"/>
    <n v="58939.93"/>
    <n v="353639.58"/>
    <s v="Yogesh Rao"/>
    <n v="24"/>
    <x v="1"/>
    <x v="0"/>
    <n v="4"/>
    <x v="0"/>
    <x v="0"/>
  </r>
  <r>
    <n v="1242"/>
    <x v="354"/>
    <n v="28"/>
    <n v="9"/>
    <x v="1"/>
    <x v="3"/>
    <x v="11"/>
    <x v="4"/>
    <x v="0"/>
    <n v="2"/>
    <n v="13763.33"/>
    <n v="27526.66"/>
    <s v="Mala Thakur"/>
    <n v="49"/>
    <x v="6"/>
    <x v="0"/>
    <n v="5"/>
    <x v="0"/>
    <x v="0"/>
  </r>
  <r>
    <n v="1243"/>
    <x v="354"/>
    <n v="28"/>
    <n v="9"/>
    <x v="1"/>
    <x v="3"/>
    <x v="11"/>
    <x v="4"/>
    <x v="3"/>
    <n v="7"/>
    <n v="58929.27"/>
    <n v="412504.88999999996"/>
    <s v="Tapan Chatterjee"/>
    <n v="24"/>
    <x v="1"/>
    <x v="3"/>
    <n v="5"/>
    <x v="0"/>
    <x v="8"/>
  </r>
  <r>
    <n v="1244"/>
    <x v="355"/>
    <n v="29"/>
    <n v="9"/>
    <x v="1"/>
    <x v="3"/>
    <x v="11"/>
    <x v="5"/>
    <x v="4"/>
    <n v="6"/>
    <n v="39685.25"/>
    <n v="238111.5"/>
    <s v="Sachin Rao"/>
    <n v="59"/>
    <x v="7"/>
    <x v="3"/>
    <n v="5"/>
    <x v="0"/>
    <x v="11"/>
  </r>
  <r>
    <n v="1245"/>
    <x v="355"/>
    <n v="29"/>
    <n v="9"/>
    <x v="1"/>
    <x v="3"/>
    <x v="11"/>
    <x v="5"/>
    <x v="2"/>
    <n v="1"/>
    <n v="18025.64"/>
    <n v="18025.64"/>
    <s v="Sunita Mehta"/>
    <n v="55"/>
    <x v="1"/>
    <x v="0"/>
    <n v="4"/>
    <x v="0"/>
    <x v="6"/>
  </r>
  <r>
    <n v="1246"/>
    <x v="355"/>
    <n v="29"/>
    <n v="9"/>
    <x v="1"/>
    <x v="3"/>
    <x v="11"/>
    <x v="5"/>
    <x v="0"/>
    <n v="2"/>
    <n v="63142.11"/>
    <n v="126284.22"/>
    <s v="Arun Kumar"/>
    <n v="30"/>
    <x v="10"/>
    <x v="0"/>
    <n v="1"/>
    <x v="2"/>
    <x v="3"/>
  </r>
  <r>
    <n v="1247"/>
    <x v="356"/>
    <n v="30"/>
    <n v="9"/>
    <x v="1"/>
    <x v="3"/>
    <x v="11"/>
    <x v="6"/>
    <x v="3"/>
    <n v="7"/>
    <n v="48953.73"/>
    <n v="342676.11000000004"/>
    <s v="Aditya Iyer"/>
    <n v="41"/>
    <x v="13"/>
    <x v="2"/>
    <n v="4"/>
    <x v="0"/>
    <x v="5"/>
  </r>
  <r>
    <n v="1248"/>
    <x v="356"/>
    <n v="30"/>
    <n v="9"/>
    <x v="1"/>
    <x v="3"/>
    <x v="11"/>
    <x v="6"/>
    <x v="1"/>
    <n v="1"/>
    <n v="19812.740000000002"/>
    <n v="19812.740000000002"/>
    <s v="Anita Arora"/>
    <n v="45"/>
    <x v="0"/>
    <x v="3"/>
    <n v="4"/>
    <x v="0"/>
    <x v="9"/>
  </r>
  <r>
    <n v="1249"/>
    <x v="356"/>
    <n v="30"/>
    <n v="9"/>
    <x v="1"/>
    <x v="3"/>
    <x v="11"/>
    <x v="6"/>
    <x v="2"/>
    <n v="1"/>
    <n v="12018.98"/>
    <n v="12018.98"/>
    <s v="Pankaj Teja"/>
    <n v="49"/>
    <x v="2"/>
    <x v="2"/>
    <n v="4"/>
    <x v="0"/>
    <x v="13"/>
  </r>
  <r>
    <n v="1250"/>
    <x v="356"/>
    <n v="30"/>
    <n v="9"/>
    <x v="1"/>
    <x v="3"/>
    <x v="11"/>
    <x v="6"/>
    <x v="0"/>
    <n v="1"/>
    <n v="18466.580000000002"/>
    <n v="18466.580000000002"/>
    <s v="Kavita Ahuja"/>
    <n v="35"/>
    <x v="1"/>
    <x v="3"/>
    <n v="5"/>
    <x v="0"/>
    <x v="10"/>
  </r>
  <r>
    <n v="1251"/>
    <x v="357"/>
    <n v="1"/>
    <n v="10"/>
    <x v="1"/>
    <x v="0"/>
    <x v="0"/>
    <x v="0"/>
    <x v="4"/>
    <n v="8"/>
    <n v="46527.88"/>
    <n v="372223.04"/>
    <s v="Sneha Arora"/>
    <n v="51"/>
    <x v="7"/>
    <x v="3"/>
    <n v="5"/>
    <x v="0"/>
    <x v="11"/>
  </r>
  <r>
    <n v="1252"/>
    <x v="357"/>
    <n v="1"/>
    <n v="10"/>
    <x v="1"/>
    <x v="0"/>
    <x v="0"/>
    <x v="0"/>
    <x v="3"/>
    <n v="4"/>
    <n v="20757.77"/>
    <n v="83031.08"/>
    <s v="Yogesh Patel"/>
    <n v="51"/>
    <x v="1"/>
    <x v="2"/>
    <n v="4"/>
    <x v="0"/>
    <x v="12"/>
  </r>
  <r>
    <n v="1253"/>
    <x v="357"/>
    <n v="1"/>
    <n v="10"/>
    <x v="1"/>
    <x v="0"/>
    <x v="0"/>
    <x v="0"/>
    <x v="0"/>
    <n v="4"/>
    <n v="23545.78"/>
    <n v="94183.12"/>
    <s v="Radha Ghosh"/>
    <n v="55"/>
    <x v="1"/>
    <x v="1"/>
    <n v="5"/>
    <x v="0"/>
    <x v="0"/>
  </r>
  <r>
    <n v="1254"/>
    <x v="357"/>
    <n v="1"/>
    <n v="10"/>
    <x v="1"/>
    <x v="0"/>
    <x v="0"/>
    <x v="0"/>
    <x v="4"/>
    <n v="2"/>
    <n v="11508.38"/>
    <n v="23016.76"/>
    <s v="Lalita Bhatnagar"/>
    <n v="18"/>
    <x v="7"/>
    <x v="1"/>
    <n v="5"/>
    <x v="0"/>
    <x v="14"/>
  </r>
  <r>
    <n v="1255"/>
    <x v="358"/>
    <n v="2"/>
    <n v="10"/>
    <x v="1"/>
    <x v="0"/>
    <x v="0"/>
    <x v="1"/>
    <x v="0"/>
    <n v="1"/>
    <n v="53375.839999999997"/>
    <n v="53375.839999999997"/>
    <s v="Pankaj Teja"/>
    <n v="59"/>
    <x v="7"/>
    <x v="1"/>
    <n v="1"/>
    <x v="2"/>
    <x v="10"/>
  </r>
  <r>
    <n v="1256"/>
    <x v="358"/>
    <n v="2"/>
    <n v="10"/>
    <x v="1"/>
    <x v="0"/>
    <x v="0"/>
    <x v="1"/>
    <x v="2"/>
    <n v="9"/>
    <n v="58621.86"/>
    <n v="527596.74"/>
    <s v="Umesh Rawat"/>
    <n v="48"/>
    <x v="1"/>
    <x v="3"/>
    <n v="4"/>
    <x v="0"/>
    <x v="4"/>
  </r>
  <r>
    <n v="1257"/>
    <x v="358"/>
    <n v="2"/>
    <n v="10"/>
    <x v="1"/>
    <x v="0"/>
    <x v="0"/>
    <x v="1"/>
    <x v="2"/>
    <n v="7"/>
    <n v="57810.89"/>
    <n v="404676.23"/>
    <s v="Prashant Arora"/>
    <n v="18"/>
    <x v="18"/>
    <x v="2"/>
    <n v="3"/>
    <x v="1"/>
    <x v="4"/>
  </r>
  <r>
    <n v="1258"/>
    <x v="359"/>
    <n v="3"/>
    <n v="10"/>
    <x v="1"/>
    <x v="0"/>
    <x v="0"/>
    <x v="2"/>
    <x v="2"/>
    <n v="4"/>
    <n v="17654.09"/>
    <n v="70616.36"/>
    <s v="Prashant Rathod"/>
    <n v="33"/>
    <x v="15"/>
    <x v="1"/>
    <n v="5"/>
    <x v="0"/>
    <x v="13"/>
  </r>
  <r>
    <n v="1259"/>
    <x v="359"/>
    <n v="3"/>
    <n v="10"/>
    <x v="1"/>
    <x v="0"/>
    <x v="0"/>
    <x v="2"/>
    <x v="3"/>
    <n v="6"/>
    <n v="64198.07"/>
    <n v="385188.42"/>
    <s v="Sumit Sharma"/>
    <n v="56"/>
    <x v="15"/>
    <x v="0"/>
    <n v="1"/>
    <x v="2"/>
    <x v="12"/>
  </r>
  <r>
    <n v="1260"/>
    <x v="359"/>
    <n v="3"/>
    <n v="10"/>
    <x v="1"/>
    <x v="0"/>
    <x v="0"/>
    <x v="2"/>
    <x v="2"/>
    <n v="2"/>
    <n v="50336.73"/>
    <n v="100673.46"/>
    <s v="Tanuja Dutta"/>
    <n v="32"/>
    <x v="3"/>
    <x v="1"/>
    <n v="1"/>
    <x v="2"/>
    <x v="13"/>
  </r>
  <r>
    <n v="1261"/>
    <x v="360"/>
    <n v="4"/>
    <n v="10"/>
    <x v="1"/>
    <x v="0"/>
    <x v="0"/>
    <x v="3"/>
    <x v="4"/>
    <n v="7"/>
    <n v="63851.72"/>
    <n v="446962.04000000004"/>
    <s v="Sanjay Ghosh"/>
    <n v="50"/>
    <x v="1"/>
    <x v="2"/>
    <n v="1"/>
    <x v="2"/>
    <x v="11"/>
  </r>
  <r>
    <n v="1262"/>
    <x v="360"/>
    <n v="4"/>
    <n v="10"/>
    <x v="1"/>
    <x v="0"/>
    <x v="0"/>
    <x v="3"/>
    <x v="0"/>
    <n v="2"/>
    <n v="36829.629999999997"/>
    <n v="73659.259999999995"/>
    <s v="Meena Yadav"/>
    <n v="40"/>
    <x v="2"/>
    <x v="3"/>
    <n v="5"/>
    <x v="0"/>
    <x v="3"/>
  </r>
  <r>
    <n v="1263"/>
    <x v="360"/>
    <n v="4"/>
    <n v="10"/>
    <x v="1"/>
    <x v="0"/>
    <x v="0"/>
    <x v="3"/>
    <x v="1"/>
    <n v="8"/>
    <n v="36217.29"/>
    <n v="289738.32"/>
    <s v="Radha Nair"/>
    <n v="58"/>
    <x v="0"/>
    <x v="2"/>
    <n v="5"/>
    <x v="0"/>
    <x v="9"/>
  </r>
  <r>
    <n v="1264"/>
    <x v="360"/>
    <n v="4"/>
    <n v="10"/>
    <x v="1"/>
    <x v="0"/>
    <x v="0"/>
    <x v="3"/>
    <x v="4"/>
    <n v="8"/>
    <n v="57072.19"/>
    <n v="456577.52"/>
    <s v="Radha Mathur"/>
    <n v="51"/>
    <x v="14"/>
    <x v="3"/>
    <n v="3"/>
    <x v="1"/>
    <x v="14"/>
  </r>
  <r>
    <n v="1265"/>
    <x v="361"/>
    <n v="5"/>
    <n v="10"/>
    <x v="1"/>
    <x v="0"/>
    <x v="0"/>
    <x v="4"/>
    <x v="4"/>
    <n v="1"/>
    <n v="15597.87"/>
    <n v="15597.87"/>
    <s v="Lalita Bhatnagar"/>
    <n v="34"/>
    <x v="12"/>
    <x v="2"/>
    <n v="5"/>
    <x v="0"/>
    <x v="14"/>
  </r>
  <r>
    <n v="1266"/>
    <x v="361"/>
    <n v="5"/>
    <n v="10"/>
    <x v="1"/>
    <x v="0"/>
    <x v="0"/>
    <x v="4"/>
    <x v="2"/>
    <n v="8"/>
    <n v="41252.44"/>
    <n v="330019.52"/>
    <s v="Anita Dutta"/>
    <n v="42"/>
    <x v="7"/>
    <x v="2"/>
    <n v="4"/>
    <x v="0"/>
    <x v="6"/>
  </r>
  <r>
    <n v="1267"/>
    <x v="361"/>
    <n v="5"/>
    <n v="10"/>
    <x v="1"/>
    <x v="0"/>
    <x v="0"/>
    <x v="4"/>
    <x v="3"/>
    <n v="2"/>
    <n v="60183.05"/>
    <n v="120366.1"/>
    <s v="Pankaj Prasad"/>
    <n v="59"/>
    <x v="2"/>
    <x v="0"/>
    <n v="3"/>
    <x v="1"/>
    <x v="5"/>
  </r>
  <r>
    <n v="1268"/>
    <x v="362"/>
    <n v="6"/>
    <n v="10"/>
    <x v="1"/>
    <x v="0"/>
    <x v="0"/>
    <x v="5"/>
    <x v="0"/>
    <n v="6"/>
    <n v="59811.55"/>
    <n v="358869.30000000005"/>
    <s v="Anita Mishra"/>
    <n v="23"/>
    <x v="6"/>
    <x v="1"/>
    <n v="5"/>
    <x v="0"/>
    <x v="0"/>
  </r>
  <r>
    <n v="1269"/>
    <x v="362"/>
    <n v="6"/>
    <n v="10"/>
    <x v="1"/>
    <x v="0"/>
    <x v="0"/>
    <x v="5"/>
    <x v="3"/>
    <n v="1"/>
    <n v="67367.97"/>
    <n v="67367.97"/>
    <s v="Sunil Rao"/>
    <n v="48"/>
    <x v="9"/>
    <x v="1"/>
    <n v="4"/>
    <x v="0"/>
    <x v="12"/>
  </r>
  <r>
    <n v="1270"/>
    <x v="362"/>
    <n v="6"/>
    <n v="10"/>
    <x v="1"/>
    <x v="0"/>
    <x v="0"/>
    <x v="5"/>
    <x v="0"/>
    <n v="5"/>
    <n v="51896.36"/>
    <n v="259481.8"/>
    <s v="Vivek Rawat"/>
    <n v="22"/>
    <x v="13"/>
    <x v="2"/>
    <n v="3"/>
    <x v="1"/>
    <x v="10"/>
  </r>
  <r>
    <n v="1271"/>
    <x v="363"/>
    <n v="7"/>
    <n v="10"/>
    <x v="1"/>
    <x v="0"/>
    <x v="0"/>
    <x v="6"/>
    <x v="0"/>
    <n v="7"/>
    <n v="22466.240000000002"/>
    <n v="157263.68000000002"/>
    <s v="Isha Ahuja"/>
    <n v="57"/>
    <x v="7"/>
    <x v="1"/>
    <n v="5"/>
    <x v="0"/>
    <x v="10"/>
  </r>
  <r>
    <n v="1272"/>
    <x v="363"/>
    <n v="7"/>
    <n v="10"/>
    <x v="1"/>
    <x v="0"/>
    <x v="0"/>
    <x v="6"/>
    <x v="3"/>
    <n v="1"/>
    <n v="11216.82"/>
    <n v="11216.82"/>
    <s v="Priya Reddy"/>
    <n v="57"/>
    <x v="2"/>
    <x v="0"/>
    <n v="4"/>
    <x v="0"/>
    <x v="8"/>
  </r>
  <r>
    <n v="1273"/>
    <x v="363"/>
    <n v="7"/>
    <n v="10"/>
    <x v="1"/>
    <x v="0"/>
    <x v="0"/>
    <x v="6"/>
    <x v="4"/>
    <n v="2"/>
    <n v="38764.949999999997"/>
    <n v="77529.899999999994"/>
    <s v="Sumit Nambiar"/>
    <n v="47"/>
    <x v="1"/>
    <x v="2"/>
    <n v="5"/>
    <x v="0"/>
    <x v="7"/>
  </r>
  <r>
    <n v="1274"/>
    <x v="363"/>
    <n v="7"/>
    <n v="10"/>
    <x v="1"/>
    <x v="0"/>
    <x v="0"/>
    <x v="6"/>
    <x v="0"/>
    <n v="7"/>
    <n v="40822.230000000003"/>
    <n v="285755.61000000004"/>
    <s v="Manoj Kulkarni"/>
    <n v="22"/>
    <x v="2"/>
    <x v="1"/>
    <n v="3"/>
    <x v="1"/>
    <x v="3"/>
  </r>
  <r>
    <n v="1275"/>
    <x v="364"/>
    <n v="8"/>
    <n v="10"/>
    <x v="1"/>
    <x v="0"/>
    <x v="0"/>
    <x v="0"/>
    <x v="3"/>
    <n v="6"/>
    <n v="24415.759999999998"/>
    <n v="146494.56"/>
    <s v="Yogesh Roy"/>
    <n v="29"/>
    <x v="13"/>
    <x v="1"/>
    <n v="4"/>
    <x v="0"/>
    <x v="12"/>
  </r>
  <r>
    <n v="1276"/>
    <x v="364"/>
    <n v="8"/>
    <n v="10"/>
    <x v="1"/>
    <x v="0"/>
    <x v="0"/>
    <x v="0"/>
    <x v="0"/>
    <n v="3"/>
    <n v="17481.849999999999"/>
    <n v="52445.549999999996"/>
    <s v="Harish Sharma"/>
    <n v="24"/>
    <x v="10"/>
    <x v="3"/>
    <n v="4"/>
    <x v="0"/>
    <x v="0"/>
  </r>
  <r>
    <n v="1277"/>
    <x v="364"/>
    <n v="8"/>
    <n v="10"/>
    <x v="1"/>
    <x v="0"/>
    <x v="0"/>
    <x v="0"/>
    <x v="1"/>
    <n v="2"/>
    <n v="45172.49"/>
    <n v="90344.98"/>
    <s v="Sumit Dutta"/>
    <n v="30"/>
    <x v="2"/>
    <x v="1"/>
    <n v="5"/>
    <x v="0"/>
    <x v="2"/>
  </r>
  <r>
    <n v="1278"/>
    <x v="365"/>
    <n v="9"/>
    <n v="10"/>
    <x v="1"/>
    <x v="0"/>
    <x v="0"/>
    <x v="1"/>
    <x v="4"/>
    <n v="4"/>
    <n v="55855.34"/>
    <n v="223421.36"/>
    <s v="Pooja Sharma"/>
    <n v="21"/>
    <x v="1"/>
    <x v="1"/>
    <n v="4"/>
    <x v="0"/>
    <x v="11"/>
  </r>
  <r>
    <n v="1279"/>
    <x v="365"/>
    <n v="9"/>
    <n v="10"/>
    <x v="1"/>
    <x v="0"/>
    <x v="0"/>
    <x v="1"/>
    <x v="2"/>
    <n v="3"/>
    <n v="69589.25"/>
    <n v="208767.75"/>
    <s v="Isha Nair"/>
    <n v="59"/>
    <x v="1"/>
    <x v="3"/>
    <n v="3"/>
    <x v="1"/>
    <x v="13"/>
  </r>
  <r>
    <n v="1280"/>
    <x v="365"/>
    <n v="9"/>
    <n v="10"/>
    <x v="1"/>
    <x v="0"/>
    <x v="0"/>
    <x v="1"/>
    <x v="0"/>
    <n v="7"/>
    <n v="55498.16"/>
    <n v="388487.12"/>
    <s v="Ayesha Bhattacharya"/>
    <n v="20"/>
    <x v="15"/>
    <x v="2"/>
    <n v="1"/>
    <x v="2"/>
    <x v="3"/>
  </r>
  <r>
    <n v="1281"/>
    <x v="366"/>
    <n v="10"/>
    <n v="10"/>
    <x v="1"/>
    <x v="0"/>
    <x v="0"/>
    <x v="2"/>
    <x v="1"/>
    <n v="8"/>
    <n v="57617.94"/>
    <n v="460943.52"/>
    <s v="Umesh Bhattacharya"/>
    <n v="29"/>
    <x v="14"/>
    <x v="2"/>
    <n v="3"/>
    <x v="1"/>
    <x v="1"/>
  </r>
  <r>
    <n v="1282"/>
    <x v="366"/>
    <n v="10"/>
    <n v="10"/>
    <x v="1"/>
    <x v="0"/>
    <x v="0"/>
    <x v="2"/>
    <x v="2"/>
    <n v="2"/>
    <n v="46987.65"/>
    <n v="93975.3"/>
    <s v="Lata Mathur"/>
    <n v="18"/>
    <x v="1"/>
    <x v="0"/>
    <n v="3"/>
    <x v="1"/>
    <x v="13"/>
  </r>
  <r>
    <n v="1283"/>
    <x v="366"/>
    <n v="10"/>
    <n v="10"/>
    <x v="1"/>
    <x v="0"/>
    <x v="0"/>
    <x v="2"/>
    <x v="2"/>
    <n v="7"/>
    <n v="69155.360000000001"/>
    <n v="484087.52"/>
    <s v="Anita Mehta"/>
    <n v="44"/>
    <x v="1"/>
    <x v="3"/>
    <n v="5"/>
    <x v="0"/>
    <x v="4"/>
  </r>
  <r>
    <n v="1284"/>
    <x v="366"/>
    <n v="10"/>
    <n v="10"/>
    <x v="1"/>
    <x v="0"/>
    <x v="0"/>
    <x v="2"/>
    <x v="0"/>
    <n v="8"/>
    <n v="48397.38"/>
    <n v="387179.04"/>
    <s v="Sanjay Joshi"/>
    <n v="30"/>
    <x v="18"/>
    <x v="2"/>
    <n v="5"/>
    <x v="0"/>
    <x v="3"/>
  </r>
  <r>
    <n v="1285"/>
    <x v="367"/>
    <n v="11"/>
    <n v="10"/>
    <x v="1"/>
    <x v="0"/>
    <x v="0"/>
    <x v="3"/>
    <x v="3"/>
    <n v="6"/>
    <n v="61615.199999999997"/>
    <n v="369691.19999999995"/>
    <s v="Isha Kaur"/>
    <n v="34"/>
    <x v="5"/>
    <x v="1"/>
    <n v="4"/>
    <x v="0"/>
    <x v="12"/>
  </r>
  <r>
    <n v="1286"/>
    <x v="367"/>
    <n v="11"/>
    <n v="10"/>
    <x v="1"/>
    <x v="0"/>
    <x v="0"/>
    <x v="3"/>
    <x v="0"/>
    <n v="6"/>
    <n v="66747.08"/>
    <n v="400482.48"/>
    <s v="Meena Dutta"/>
    <n v="25"/>
    <x v="5"/>
    <x v="1"/>
    <n v="5"/>
    <x v="0"/>
    <x v="0"/>
  </r>
  <r>
    <n v="1287"/>
    <x v="367"/>
    <n v="11"/>
    <n v="10"/>
    <x v="1"/>
    <x v="0"/>
    <x v="0"/>
    <x v="3"/>
    <x v="1"/>
    <n v="1"/>
    <n v="65791.509999999995"/>
    <n v="65791.509999999995"/>
    <s v="Neeta Menon"/>
    <n v="49"/>
    <x v="1"/>
    <x v="1"/>
    <n v="4"/>
    <x v="0"/>
    <x v="1"/>
  </r>
  <r>
    <n v="1288"/>
    <x v="367"/>
    <n v="11"/>
    <n v="10"/>
    <x v="1"/>
    <x v="0"/>
    <x v="0"/>
    <x v="3"/>
    <x v="2"/>
    <n v="4"/>
    <n v="32884.92"/>
    <n v="131539.68"/>
    <s v="Bina Mathur"/>
    <n v="37"/>
    <x v="2"/>
    <x v="0"/>
    <n v="1"/>
    <x v="2"/>
    <x v="13"/>
  </r>
  <r>
    <n v="1289"/>
    <x v="368"/>
    <n v="12"/>
    <n v="10"/>
    <x v="1"/>
    <x v="0"/>
    <x v="0"/>
    <x v="4"/>
    <x v="0"/>
    <n v="1"/>
    <n v="14719.72"/>
    <n v="14719.72"/>
    <s v="Neeta Mishra"/>
    <n v="34"/>
    <x v="4"/>
    <x v="2"/>
    <n v="5"/>
    <x v="0"/>
    <x v="0"/>
  </r>
  <r>
    <n v="1290"/>
    <x v="368"/>
    <n v="12"/>
    <n v="10"/>
    <x v="1"/>
    <x v="0"/>
    <x v="0"/>
    <x v="4"/>
    <x v="3"/>
    <n v="4"/>
    <n v="20312.419999999998"/>
    <n v="81249.679999999993"/>
    <s v="Sunil Chaudhary"/>
    <n v="51"/>
    <x v="1"/>
    <x v="3"/>
    <n v="5"/>
    <x v="0"/>
    <x v="8"/>
  </r>
  <r>
    <n v="1291"/>
    <x v="368"/>
    <n v="12"/>
    <n v="10"/>
    <x v="1"/>
    <x v="0"/>
    <x v="0"/>
    <x v="4"/>
    <x v="0"/>
    <n v="2"/>
    <n v="13553.4"/>
    <n v="27106.799999999999"/>
    <s v="Sneha Prasad"/>
    <n v="52"/>
    <x v="2"/>
    <x v="2"/>
    <n v="5"/>
    <x v="0"/>
    <x v="3"/>
  </r>
  <r>
    <n v="1292"/>
    <x v="369"/>
    <n v="13"/>
    <n v="10"/>
    <x v="1"/>
    <x v="0"/>
    <x v="0"/>
    <x v="5"/>
    <x v="4"/>
    <n v="5"/>
    <n v="16323.82"/>
    <n v="81619.100000000006"/>
    <s v="Isha Arora"/>
    <n v="52"/>
    <x v="10"/>
    <x v="3"/>
    <n v="1"/>
    <x v="2"/>
    <x v="11"/>
  </r>
  <r>
    <n v="1293"/>
    <x v="369"/>
    <n v="13"/>
    <n v="10"/>
    <x v="1"/>
    <x v="0"/>
    <x v="0"/>
    <x v="5"/>
    <x v="3"/>
    <n v="9"/>
    <n v="21079.07"/>
    <n v="189711.63"/>
    <s v="Priyanka Pathak"/>
    <n v="55"/>
    <x v="2"/>
    <x v="3"/>
    <n v="5"/>
    <x v="0"/>
    <x v="12"/>
  </r>
  <r>
    <n v="1294"/>
    <x v="369"/>
    <n v="13"/>
    <n v="10"/>
    <x v="1"/>
    <x v="0"/>
    <x v="0"/>
    <x v="5"/>
    <x v="1"/>
    <n v="3"/>
    <n v="30465.66"/>
    <n v="91396.98"/>
    <s v="Deepika Verma"/>
    <n v="59"/>
    <x v="2"/>
    <x v="2"/>
    <n v="1"/>
    <x v="2"/>
    <x v="2"/>
  </r>
  <r>
    <n v="1295"/>
    <x v="370"/>
    <n v="14"/>
    <n v="10"/>
    <x v="1"/>
    <x v="0"/>
    <x v="0"/>
    <x v="6"/>
    <x v="2"/>
    <n v="8"/>
    <n v="42612.38"/>
    <n v="340899.04"/>
    <s v="Bhavana Luthra"/>
    <n v="41"/>
    <x v="17"/>
    <x v="1"/>
    <n v="4"/>
    <x v="0"/>
    <x v="4"/>
  </r>
  <r>
    <n v="1296"/>
    <x v="370"/>
    <n v="14"/>
    <n v="10"/>
    <x v="1"/>
    <x v="0"/>
    <x v="0"/>
    <x v="6"/>
    <x v="0"/>
    <n v="3"/>
    <n v="52700.92"/>
    <n v="158102.76"/>
    <s v="Sunita Luthra"/>
    <n v="35"/>
    <x v="2"/>
    <x v="1"/>
    <n v="5"/>
    <x v="0"/>
    <x v="10"/>
  </r>
  <r>
    <n v="1297"/>
    <x v="370"/>
    <n v="14"/>
    <n v="10"/>
    <x v="1"/>
    <x v="0"/>
    <x v="0"/>
    <x v="6"/>
    <x v="3"/>
    <n v="6"/>
    <n v="22655.64"/>
    <n v="135933.84"/>
    <s v="Aditya Joshi"/>
    <n v="56"/>
    <x v="1"/>
    <x v="3"/>
    <n v="5"/>
    <x v="0"/>
    <x v="8"/>
  </r>
  <r>
    <n v="1298"/>
    <x v="370"/>
    <n v="14"/>
    <n v="10"/>
    <x v="1"/>
    <x v="0"/>
    <x v="0"/>
    <x v="6"/>
    <x v="4"/>
    <n v="4"/>
    <n v="50351.34"/>
    <n v="201405.36"/>
    <s v="Kiran Nair"/>
    <n v="50"/>
    <x v="0"/>
    <x v="1"/>
    <n v="4"/>
    <x v="0"/>
    <x v="11"/>
  </r>
  <r>
    <n v="1299"/>
    <x v="371"/>
    <n v="15"/>
    <n v="10"/>
    <x v="1"/>
    <x v="0"/>
    <x v="0"/>
    <x v="0"/>
    <x v="3"/>
    <n v="8"/>
    <n v="52255.54"/>
    <n v="418044.32"/>
    <s v="Meena Das"/>
    <n v="40"/>
    <x v="14"/>
    <x v="0"/>
    <n v="5"/>
    <x v="0"/>
    <x v="12"/>
  </r>
  <r>
    <n v="1300"/>
    <x v="371"/>
    <n v="15"/>
    <n v="10"/>
    <x v="1"/>
    <x v="0"/>
    <x v="0"/>
    <x v="0"/>
    <x v="4"/>
    <n v="6"/>
    <n v="43517.34"/>
    <n v="261104.03999999998"/>
    <s v="Pankaj Nambiar"/>
    <n v="42"/>
    <x v="5"/>
    <x v="0"/>
    <n v="3"/>
    <x v="1"/>
    <x v="7"/>
  </r>
  <r>
    <n v="1301"/>
    <x v="371"/>
    <n v="15"/>
    <n v="10"/>
    <x v="1"/>
    <x v="0"/>
    <x v="0"/>
    <x v="0"/>
    <x v="1"/>
    <n v="8"/>
    <n v="64217.07"/>
    <n v="513736.56"/>
    <s v="Sumit Siddiqui"/>
    <n v="54"/>
    <x v="1"/>
    <x v="3"/>
    <n v="1"/>
    <x v="2"/>
    <x v="9"/>
  </r>
  <r>
    <n v="1302"/>
    <x v="371"/>
    <n v="15"/>
    <n v="10"/>
    <x v="1"/>
    <x v="0"/>
    <x v="0"/>
    <x v="0"/>
    <x v="2"/>
    <n v="1"/>
    <n v="16659.689999999999"/>
    <n v="16659.689999999999"/>
    <s v="Ayesha Solanki"/>
    <n v="44"/>
    <x v="16"/>
    <x v="1"/>
    <n v="5"/>
    <x v="0"/>
    <x v="13"/>
  </r>
  <r>
    <n v="1303"/>
    <x v="372"/>
    <n v="16"/>
    <n v="10"/>
    <x v="1"/>
    <x v="0"/>
    <x v="0"/>
    <x v="1"/>
    <x v="1"/>
    <n v="6"/>
    <n v="20627.29"/>
    <n v="123763.74"/>
    <s v="Sneha Malhotra"/>
    <n v="18"/>
    <x v="7"/>
    <x v="3"/>
    <n v="3"/>
    <x v="1"/>
    <x v="9"/>
  </r>
  <r>
    <n v="1304"/>
    <x v="372"/>
    <n v="16"/>
    <n v="10"/>
    <x v="1"/>
    <x v="0"/>
    <x v="0"/>
    <x v="1"/>
    <x v="0"/>
    <n v="1"/>
    <n v="35719.89"/>
    <n v="35719.89"/>
    <s v="Lalita Rao"/>
    <n v="38"/>
    <x v="12"/>
    <x v="0"/>
    <n v="5"/>
    <x v="0"/>
    <x v="3"/>
  </r>
  <r>
    <n v="1305"/>
    <x v="372"/>
    <n v="16"/>
    <n v="10"/>
    <x v="1"/>
    <x v="0"/>
    <x v="0"/>
    <x v="1"/>
    <x v="3"/>
    <n v="1"/>
    <n v="17602.759999999998"/>
    <n v="17602.759999999998"/>
    <s v="Kiran Siddiqui"/>
    <n v="27"/>
    <x v="2"/>
    <x v="0"/>
    <n v="3"/>
    <x v="1"/>
    <x v="12"/>
  </r>
  <r>
    <n v="1306"/>
    <x v="372"/>
    <n v="16"/>
    <n v="10"/>
    <x v="1"/>
    <x v="0"/>
    <x v="0"/>
    <x v="1"/>
    <x v="4"/>
    <n v="8"/>
    <n v="43977.77"/>
    <n v="351822.16"/>
    <s v="Neeta Singh"/>
    <n v="48"/>
    <x v="11"/>
    <x v="0"/>
    <n v="3"/>
    <x v="1"/>
    <x v="14"/>
  </r>
  <r>
    <n v="1307"/>
    <x v="373"/>
    <n v="17"/>
    <n v="10"/>
    <x v="1"/>
    <x v="0"/>
    <x v="0"/>
    <x v="2"/>
    <x v="4"/>
    <n v="7"/>
    <n v="33904.03"/>
    <n v="237328.21"/>
    <s v="Vivek Siddiqui"/>
    <n v="42"/>
    <x v="2"/>
    <x v="2"/>
    <n v="3"/>
    <x v="1"/>
    <x v="11"/>
  </r>
  <r>
    <n v="1308"/>
    <x v="373"/>
    <n v="17"/>
    <n v="10"/>
    <x v="1"/>
    <x v="0"/>
    <x v="0"/>
    <x v="2"/>
    <x v="3"/>
    <n v="3"/>
    <n v="27075.75"/>
    <n v="81227.25"/>
    <s v="Vinod Nambiar"/>
    <n v="37"/>
    <x v="13"/>
    <x v="0"/>
    <n v="1"/>
    <x v="2"/>
    <x v="8"/>
  </r>
  <r>
    <n v="1309"/>
    <x v="373"/>
    <n v="17"/>
    <n v="10"/>
    <x v="1"/>
    <x v="0"/>
    <x v="0"/>
    <x v="2"/>
    <x v="3"/>
    <n v="6"/>
    <n v="20199.39"/>
    <n v="121196.34"/>
    <s v="Vinod Nambiar"/>
    <n v="19"/>
    <x v="9"/>
    <x v="1"/>
    <n v="5"/>
    <x v="0"/>
    <x v="12"/>
  </r>
  <r>
    <n v="1310"/>
    <x v="373"/>
    <n v="17"/>
    <n v="10"/>
    <x v="1"/>
    <x v="0"/>
    <x v="0"/>
    <x v="2"/>
    <x v="0"/>
    <n v="9"/>
    <n v="30120.29"/>
    <n v="271082.61"/>
    <s v="Krishna Menon"/>
    <n v="32"/>
    <x v="2"/>
    <x v="2"/>
    <n v="4"/>
    <x v="0"/>
    <x v="3"/>
  </r>
  <r>
    <n v="1311"/>
    <x v="374"/>
    <n v="18"/>
    <n v="10"/>
    <x v="1"/>
    <x v="0"/>
    <x v="0"/>
    <x v="3"/>
    <x v="1"/>
    <n v="7"/>
    <n v="46477.56"/>
    <n v="325342.92"/>
    <s v="Shruti Sharma"/>
    <n v="45"/>
    <x v="12"/>
    <x v="0"/>
    <n v="4"/>
    <x v="0"/>
    <x v="2"/>
  </r>
  <r>
    <n v="1312"/>
    <x v="374"/>
    <n v="18"/>
    <n v="10"/>
    <x v="1"/>
    <x v="0"/>
    <x v="0"/>
    <x v="3"/>
    <x v="4"/>
    <n v="3"/>
    <n v="44547.11"/>
    <n v="133641.33000000002"/>
    <s v="Nikhil Varma"/>
    <n v="30"/>
    <x v="18"/>
    <x v="1"/>
    <n v="5"/>
    <x v="0"/>
    <x v="11"/>
  </r>
  <r>
    <n v="1313"/>
    <x v="374"/>
    <n v="18"/>
    <n v="10"/>
    <x v="1"/>
    <x v="0"/>
    <x v="0"/>
    <x v="3"/>
    <x v="0"/>
    <n v="6"/>
    <n v="19817.439999999999"/>
    <n v="118904.63999999998"/>
    <s v="Nikhil Kapoor"/>
    <n v="31"/>
    <x v="2"/>
    <x v="0"/>
    <n v="1"/>
    <x v="2"/>
    <x v="3"/>
  </r>
  <r>
    <n v="1314"/>
    <x v="375"/>
    <n v="19"/>
    <n v="10"/>
    <x v="1"/>
    <x v="0"/>
    <x v="0"/>
    <x v="4"/>
    <x v="1"/>
    <n v="4"/>
    <n v="17495.189999999999"/>
    <n v="69980.759999999995"/>
    <s v="Arun Luthra"/>
    <n v="19"/>
    <x v="7"/>
    <x v="1"/>
    <n v="1"/>
    <x v="2"/>
    <x v="9"/>
  </r>
  <r>
    <n v="1315"/>
    <x v="375"/>
    <n v="19"/>
    <n v="10"/>
    <x v="1"/>
    <x v="0"/>
    <x v="0"/>
    <x v="4"/>
    <x v="0"/>
    <n v="3"/>
    <n v="11600.61"/>
    <n v="34801.83"/>
    <s v="Manoj Kulkarni"/>
    <n v="51"/>
    <x v="1"/>
    <x v="1"/>
    <n v="1"/>
    <x v="2"/>
    <x v="10"/>
  </r>
  <r>
    <n v="1316"/>
    <x v="375"/>
    <n v="19"/>
    <n v="10"/>
    <x v="1"/>
    <x v="0"/>
    <x v="0"/>
    <x v="4"/>
    <x v="4"/>
    <n v="9"/>
    <n v="10745.54"/>
    <n v="96709.860000000015"/>
    <s v="Ayesha Luthra"/>
    <n v="52"/>
    <x v="12"/>
    <x v="0"/>
    <n v="3"/>
    <x v="1"/>
    <x v="7"/>
  </r>
  <r>
    <n v="1317"/>
    <x v="375"/>
    <n v="19"/>
    <n v="10"/>
    <x v="1"/>
    <x v="0"/>
    <x v="0"/>
    <x v="4"/>
    <x v="3"/>
    <n v="2"/>
    <n v="62788.63"/>
    <n v="125577.26"/>
    <s v="Ayesha Ghosh"/>
    <n v="54"/>
    <x v="6"/>
    <x v="0"/>
    <n v="1"/>
    <x v="2"/>
    <x v="12"/>
  </r>
  <r>
    <n v="1318"/>
    <x v="376"/>
    <n v="20"/>
    <n v="10"/>
    <x v="1"/>
    <x v="0"/>
    <x v="0"/>
    <x v="5"/>
    <x v="3"/>
    <n v="1"/>
    <n v="12705.33"/>
    <n v="12705.33"/>
    <s v="Namita Nambiar"/>
    <n v="42"/>
    <x v="10"/>
    <x v="2"/>
    <n v="4"/>
    <x v="0"/>
    <x v="5"/>
  </r>
  <r>
    <n v="1319"/>
    <x v="376"/>
    <n v="20"/>
    <n v="10"/>
    <x v="1"/>
    <x v="0"/>
    <x v="0"/>
    <x v="5"/>
    <x v="1"/>
    <n v="2"/>
    <n v="53873.27"/>
    <n v="107746.54"/>
    <s v="Nikhil Deshmukh"/>
    <n v="32"/>
    <x v="7"/>
    <x v="0"/>
    <n v="1"/>
    <x v="2"/>
    <x v="1"/>
  </r>
  <r>
    <n v="1320"/>
    <x v="376"/>
    <n v="20"/>
    <n v="10"/>
    <x v="1"/>
    <x v="0"/>
    <x v="0"/>
    <x v="5"/>
    <x v="2"/>
    <n v="7"/>
    <n v="62319.11"/>
    <n v="436233.77"/>
    <s v="Neeta Solanki"/>
    <n v="29"/>
    <x v="2"/>
    <x v="1"/>
    <n v="3"/>
    <x v="1"/>
    <x v="6"/>
  </r>
  <r>
    <n v="1321"/>
    <x v="376"/>
    <n v="20"/>
    <n v="10"/>
    <x v="1"/>
    <x v="0"/>
    <x v="0"/>
    <x v="5"/>
    <x v="1"/>
    <n v="1"/>
    <n v="15883.47"/>
    <n v="15883.47"/>
    <s v="Kiran Goyal"/>
    <n v="26"/>
    <x v="1"/>
    <x v="3"/>
    <n v="5"/>
    <x v="0"/>
    <x v="1"/>
  </r>
  <r>
    <n v="1322"/>
    <x v="377"/>
    <n v="21"/>
    <n v="10"/>
    <x v="1"/>
    <x v="0"/>
    <x v="0"/>
    <x v="6"/>
    <x v="2"/>
    <n v="6"/>
    <n v="36178.089999999997"/>
    <n v="217068.53999999998"/>
    <s v="Anita Kumar"/>
    <n v="48"/>
    <x v="1"/>
    <x v="2"/>
    <n v="1"/>
    <x v="2"/>
    <x v="6"/>
  </r>
  <r>
    <n v="1323"/>
    <x v="377"/>
    <n v="21"/>
    <n v="10"/>
    <x v="1"/>
    <x v="0"/>
    <x v="0"/>
    <x v="6"/>
    <x v="0"/>
    <n v="7"/>
    <n v="67738.179999999993"/>
    <n v="474167.25999999995"/>
    <s v="Deepika Prasad"/>
    <n v="31"/>
    <x v="2"/>
    <x v="1"/>
    <n v="5"/>
    <x v="0"/>
    <x v="10"/>
  </r>
  <r>
    <n v="1324"/>
    <x v="377"/>
    <n v="21"/>
    <n v="10"/>
    <x v="1"/>
    <x v="0"/>
    <x v="0"/>
    <x v="6"/>
    <x v="0"/>
    <n v="9"/>
    <n v="60048.32"/>
    <n v="540434.88"/>
    <s v="Monika Thakur"/>
    <n v="46"/>
    <x v="1"/>
    <x v="1"/>
    <n v="5"/>
    <x v="0"/>
    <x v="10"/>
  </r>
  <r>
    <n v="1325"/>
    <x v="378"/>
    <n v="22"/>
    <n v="10"/>
    <x v="1"/>
    <x v="0"/>
    <x v="0"/>
    <x v="0"/>
    <x v="4"/>
    <n v="8"/>
    <n v="39382.239999999998"/>
    <n v="315057.91999999998"/>
    <s v="Aditya Joshi"/>
    <n v="55"/>
    <x v="2"/>
    <x v="3"/>
    <n v="3"/>
    <x v="1"/>
    <x v="7"/>
  </r>
  <r>
    <n v="1326"/>
    <x v="378"/>
    <n v="22"/>
    <n v="10"/>
    <x v="1"/>
    <x v="0"/>
    <x v="0"/>
    <x v="0"/>
    <x v="2"/>
    <n v="6"/>
    <n v="55754.27"/>
    <n v="334525.62"/>
    <s v="Reena Teja"/>
    <n v="59"/>
    <x v="8"/>
    <x v="0"/>
    <n v="1"/>
    <x v="2"/>
    <x v="4"/>
  </r>
  <r>
    <n v="1327"/>
    <x v="378"/>
    <n v="22"/>
    <n v="10"/>
    <x v="1"/>
    <x v="0"/>
    <x v="0"/>
    <x v="0"/>
    <x v="4"/>
    <n v="3"/>
    <n v="60002.66"/>
    <n v="180007.98"/>
    <s v="Ayesha Thakur"/>
    <n v="25"/>
    <x v="2"/>
    <x v="1"/>
    <n v="5"/>
    <x v="0"/>
    <x v="14"/>
  </r>
  <r>
    <n v="1328"/>
    <x v="378"/>
    <n v="22"/>
    <n v="10"/>
    <x v="1"/>
    <x v="0"/>
    <x v="0"/>
    <x v="0"/>
    <x v="3"/>
    <n v="8"/>
    <n v="30881.62"/>
    <n v="247052.96"/>
    <s v="Anita Arora"/>
    <n v="20"/>
    <x v="12"/>
    <x v="3"/>
    <n v="5"/>
    <x v="0"/>
    <x v="5"/>
  </r>
  <r>
    <n v="1329"/>
    <x v="379"/>
    <n v="23"/>
    <n v="10"/>
    <x v="1"/>
    <x v="0"/>
    <x v="0"/>
    <x v="1"/>
    <x v="2"/>
    <n v="7"/>
    <n v="63529.18"/>
    <n v="444704.26"/>
    <s v="Reena Patel"/>
    <n v="19"/>
    <x v="1"/>
    <x v="3"/>
    <n v="5"/>
    <x v="0"/>
    <x v="6"/>
  </r>
  <r>
    <n v="1330"/>
    <x v="379"/>
    <n v="23"/>
    <n v="10"/>
    <x v="1"/>
    <x v="0"/>
    <x v="0"/>
    <x v="1"/>
    <x v="1"/>
    <n v="3"/>
    <n v="38228.400000000001"/>
    <n v="114685.20000000001"/>
    <s v="Krishna Iyer"/>
    <n v="33"/>
    <x v="2"/>
    <x v="0"/>
    <n v="4"/>
    <x v="0"/>
    <x v="2"/>
  </r>
  <r>
    <n v="1331"/>
    <x v="379"/>
    <n v="23"/>
    <n v="10"/>
    <x v="1"/>
    <x v="0"/>
    <x v="0"/>
    <x v="1"/>
    <x v="3"/>
    <n v="9"/>
    <n v="41668.44"/>
    <n v="375015.96"/>
    <s v="Ramesh Gupta"/>
    <n v="36"/>
    <x v="15"/>
    <x v="3"/>
    <n v="4"/>
    <x v="0"/>
    <x v="12"/>
  </r>
  <r>
    <n v="1332"/>
    <x v="380"/>
    <n v="24"/>
    <n v="10"/>
    <x v="1"/>
    <x v="0"/>
    <x v="0"/>
    <x v="2"/>
    <x v="3"/>
    <n v="2"/>
    <n v="69982.460000000006"/>
    <n v="139964.92000000001"/>
    <s v="Anand Kaur"/>
    <n v="47"/>
    <x v="2"/>
    <x v="3"/>
    <n v="4"/>
    <x v="0"/>
    <x v="12"/>
  </r>
  <r>
    <n v="1333"/>
    <x v="380"/>
    <n v="24"/>
    <n v="10"/>
    <x v="1"/>
    <x v="0"/>
    <x v="0"/>
    <x v="2"/>
    <x v="1"/>
    <n v="3"/>
    <n v="60598.18"/>
    <n v="181794.54"/>
    <s v="Deepika Kulkarni"/>
    <n v="58"/>
    <x v="4"/>
    <x v="3"/>
    <n v="4"/>
    <x v="0"/>
    <x v="2"/>
  </r>
  <r>
    <n v="1334"/>
    <x v="380"/>
    <n v="24"/>
    <n v="10"/>
    <x v="1"/>
    <x v="0"/>
    <x v="0"/>
    <x v="2"/>
    <x v="3"/>
    <n v="2"/>
    <n v="31706.2"/>
    <n v="63412.4"/>
    <s v="Amit Teja"/>
    <n v="33"/>
    <x v="1"/>
    <x v="3"/>
    <n v="3"/>
    <x v="1"/>
    <x v="8"/>
  </r>
  <r>
    <n v="1335"/>
    <x v="380"/>
    <n v="24"/>
    <n v="10"/>
    <x v="1"/>
    <x v="0"/>
    <x v="0"/>
    <x v="2"/>
    <x v="2"/>
    <n v="1"/>
    <n v="10620.74"/>
    <n v="10620.74"/>
    <s v="Sneha Malhotra"/>
    <n v="48"/>
    <x v="2"/>
    <x v="3"/>
    <n v="1"/>
    <x v="2"/>
    <x v="13"/>
  </r>
  <r>
    <n v="1336"/>
    <x v="381"/>
    <n v="25"/>
    <n v="10"/>
    <x v="1"/>
    <x v="0"/>
    <x v="0"/>
    <x v="3"/>
    <x v="4"/>
    <n v="4"/>
    <n v="47570.44"/>
    <n v="190281.76"/>
    <s v="Pankaj Varma"/>
    <n v="45"/>
    <x v="9"/>
    <x v="3"/>
    <n v="1"/>
    <x v="2"/>
    <x v="11"/>
  </r>
  <r>
    <n v="1337"/>
    <x v="381"/>
    <n v="25"/>
    <n v="10"/>
    <x v="1"/>
    <x v="0"/>
    <x v="0"/>
    <x v="3"/>
    <x v="3"/>
    <n v="5"/>
    <n v="52234.81"/>
    <n v="261174.05"/>
    <s v="Sneha Sharma"/>
    <n v="21"/>
    <x v="1"/>
    <x v="1"/>
    <n v="3"/>
    <x v="1"/>
    <x v="8"/>
  </r>
  <r>
    <n v="1338"/>
    <x v="381"/>
    <n v="25"/>
    <n v="10"/>
    <x v="1"/>
    <x v="0"/>
    <x v="0"/>
    <x v="3"/>
    <x v="2"/>
    <n v="6"/>
    <n v="49048.160000000003"/>
    <n v="294288.96000000002"/>
    <s v="Prashant Das"/>
    <n v="27"/>
    <x v="17"/>
    <x v="2"/>
    <n v="5"/>
    <x v="0"/>
    <x v="6"/>
  </r>
  <r>
    <n v="1339"/>
    <x v="381"/>
    <n v="25"/>
    <n v="10"/>
    <x v="1"/>
    <x v="0"/>
    <x v="0"/>
    <x v="3"/>
    <x v="0"/>
    <n v="5"/>
    <n v="68071.740000000005"/>
    <n v="340358.7"/>
    <s v="Ravi Varma"/>
    <n v="35"/>
    <x v="1"/>
    <x v="0"/>
    <n v="1"/>
    <x v="2"/>
    <x v="0"/>
  </r>
  <r>
    <n v="1340"/>
    <x v="382"/>
    <n v="26"/>
    <n v="10"/>
    <x v="1"/>
    <x v="0"/>
    <x v="0"/>
    <x v="4"/>
    <x v="2"/>
    <n v="1"/>
    <n v="61778.26"/>
    <n v="61778.26"/>
    <s v="Radha Kapoor"/>
    <n v="49"/>
    <x v="1"/>
    <x v="2"/>
    <n v="5"/>
    <x v="0"/>
    <x v="4"/>
  </r>
  <r>
    <n v="1341"/>
    <x v="382"/>
    <n v="26"/>
    <n v="10"/>
    <x v="1"/>
    <x v="0"/>
    <x v="0"/>
    <x v="4"/>
    <x v="4"/>
    <n v="3"/>
    <n v="36929.9"/>
    <n v="110789.70000000001"/>
    <s v="Namita Das"/>
    <n v="47"/>
    <x v="1"/>
    <x v="0"/>
    <n v="1"/>
    <x v="2"/>
    <x v="14"/>
  </r>
  <r>
    <n v="1342"/>
    <x v="382"/>
    <n v="26"/>
    <n v="10"/>
    <x v="1"/>
    <x v="0"/>
    <x v="0"/>
    <x v="4"/>
    <x v="2"/>
    <n v="1"/>
    <n v="13771.45"/>
    <n v="13771.45"/>
    <s v="Ramesh Solanki"/>
    <n v="53"/>
    <x v="15"/>
    <x v="2"/>
    <n v="3"/>
    <x v="1"/>
    <x v="13"/>
  </r>
  <r>
    <n v="1343"/>
    <x v="382"/>
    <n v="26"/>
    <n v="10"/>
    <x v="1"/>
    <x v="0"/>
    <x v="0"/>
    <x v="4"/>
    <x v="1"/>
    <n v="5"/>
    <n v="38563.53"/>
    <n v="192817.65"/>
    <s v="Deepika Verma"/>
    <n v="26"/>
    <x v="1"/>
    <x v="0"/>
    <n v="5"/>
    <x v="0"/>
    <x v="1"/>
  </r>
  <r>
    <n v="1344"/>
    <x v="383"/>
    <n v="27"/>
    <n v="10"/>
    <x v="1"/>
    <x v="0"/>
    <x v="0"/>
    <x v="5"/>
    <x v="4"/>
    <n v="5"/>
    <n v="51354.64"/>
    <n v="256773.2"/>
    <s v="Priya Mathur"/>
    <n v="53"/>
    <x v="4"/>
    <x v="3"/>
    <n v="1"/>
    <x v="2"/>
    <x v="11"/>
  </r>
  <r>
    <n v="1345"/>
    <x v="383"/>
    <n v="27"/>
    <n v="10"/>
    <x v="1"/>
    <x v="0"/>
    <x v="0"/>
    <x v="5"/>
    <x v="0"/>
    <n v="6"/>
    <n v="46462.59"/>
    <n v="278775.53999999998"/>
    <s v="Lata Mehta"/>
    <n v="46"/>
    <x v="13"/>
    <x v="2"/>
    <n v="3"/>
    <x v="1"/>
    <x v="10"/>
  </r>
  <r>
    <n v="1346"/>
    <x v="383"/>
    <n v="27"/>
    <n v="10"/>
    <x v="1"/>
    <x v="0"/>
    <x v="0"/>
    <x v="5"/>
    <x v="1"/>
    <n v="8"/>
    <n v="42288.22"/>
    <n v="338305.76"/>
    <s v="Prashant Gupta"/>
    <n v="33"/>
    <x v="15"/>
    <x v="2"/>
    <n v="5"/>
    <x v="0"/>
    <x v="9"/>
  </r>
  <r>
    <n v="1347"/>
    <x v="384"/>
    <n v="28"/>
    <n v="10"/>
    <x v="1"/>
    <x v="0"/>
    <x v="0"/>
    <x v="6"/>
    <x v="2"/>
    <n v="1"/>
    <n v="38129.14"/>
    <n v="38129.14"/>
    <s v="Ramesh Kumar"/>
    <n v="45"/>
    <x v="2"/>
    <x v="0"/>
    <n v="4"/>
    <x v="0"/>
    <x v="6"/>
  </r>
  <r>
    <n v="1348"/>
    <x v="384"/>
    <n v="28"/>
    <n v="10"/>
    <x v="1"/>
    <x v="0"/>
    <x v="0"/>
    <x v="6"/>
    <x v="4"/>
    <n v="4"/>
    <n v="27625.71"/>
    <n v="110502.84"/>
    <s v="Neeta Desai"/>
    <n v="38"/>
    <x v="1"/>
    <x v="0"/>
    <n v="5"/>
    <x v="0"/>
    <x v="11"/>
  </r>
  <r>
    <n v="1349"/>
    <x v="384"/>
    <n v="28"/>
    <n v="10"/>
    <x v="1"/>
    <x v="0"/>
    <x v="0"/>
    <x v="6"/>
    <x v="0"/>
    <n v="1"/>
    <n v="26640.81"/>
    <n v="26640.81"/>
    <s v="Navin Verma"/>
    <n v="19"/>
    <x v="2"/>
    <x v="1"/>
    <n v="5"/>
    <x v="0"/>
    <x v="0"/>
  </r>
  <r>
    <n v="1350"/>
    <x v="385"/>
    <n v="29"/>
    <n v="10"/>
    <x v="1"/>
    <x v="0"/>
    <x v="0"/>
    <x v="0"/>
    <x v="1"/>
    <n v="9"/>
    <n v="40013.89"/>
    <n v="360125.01"/>
    <s v="Ayesha Roy"/>
    <n v="52"/>
    <x v="7"/>
    <x v="3"/>
    <n v="5"/>
    <x v="0"/>
    <x v="1"/>
  </r>
  <r>
    <n v="1351"/>
    <x v="385"/>
    <n v="29"/>
    <n v="10"/>
    <x v="1"/>
    <x v="0"/>
    <x v="0"/>
    <x v="0"/>
    <x v="0"/>
    <n v="7"/>
    <n v="19636.189999999999"/>
    <n v="137453.32999999999"/>
    <s v="Lalita Luthra"/>
    <n v="45"/>
    <x v="4"/>
    <x v="3"/>
    <n v="1"/>
    <x v="2"/>
    <x v="10"/>
  </r>
  <r>
    <n v="1352"/>
    <x v="385"/>
    <n v="29"/>
    <n v="10"/>
    <x v="1"/>
    <x v="0"/>
    <x v="0"/>
    <x v="0"/>
    <x v="2"/>
    <n v="7"/>
    <n v="30441.13"/>
    <n v="213087.91"/>
    <s v="Jyoti Sheth"/>
    <n v="53"/>
    <x v="2"/>
    <x v="1"/>
    <n v="4"/>
    <x v="0"/>
    <x v="4"/>
  </r>
  <r>
    <n v="1353"/>
    <x v="385"/>
    <n v="29"/>
    <n v="10"/>
    <x v="1"/>
    <x v="0"/>
    <x v="0"/>
    <x v="0"/>
    <x v="0"/>
    <n v="5"/>
    <n v="29438.76"/>
    <n v="147193.79999999999"/>
    <s v="Vinod Solanki"/>
    <n v="48"/>
    <x v="12"/>
    <x v="0"/>
    <n v="3"/>
    <x v="1"/>
    <x v="0"/>
  </r>
  <r>
    <n v="1354"/>
    <x v="386"/>
    <n v="30"/>
    <n v="10"/>
    <x v="1"/>
    <x v="0"/>
    <x v="0"/>
    <x v="1"/>
    <x v="3"/>
    <n v="7"/>
    <n v="45227.97"/>
    <n v="316595.79000000004"/>
    <s v="Sneha Prasad"/>
    <n v="50"/>
    <x v="2"/>
    <x v="3"/>
    <n v="4"/>
    <x v="0"/>
    <x v="5"/>
  </r>
  <r>
    <n v="1355"/>
    <x v="386"/>
    <n v="30"/>
    <n v="10"/>
    <x v="1"/>
    <x v="0"/>
    <x v="0"/>
    <x v="1"/>
    <x v="1"/>
    <n v="2"/>
    <n v="14000.94"/>
    <n v="28001.88"/>
    <s v="Rajesh Sheth"/>
    <n v="40"/>
    <x v="17"/>
    <x v="0"/>
    <n v="1"/>
    <x v="2"/>
    <x v="9"/>
  </r>
  <r>
    <n v="1356"/>
    <x v="386"/>
    <n v="30"/>
    <n v="10"/>
    <x v="1"/>
    <x v="0"/>
    <x v="0"/>
    <x v="1"/>
    <x v="0"/>
    <n v="4"/>
    <n v="59780.12"/>
    <n v="239120.48"/>
    <s v="Lata Patel"/>
    <n v="58"/>
    <x v="1"/>
    <x v="3"/>
    <n v="5"/>
    <x v="0"/>
    <x v="3"/>
  </r>
  <r>
    <n v="1357"/>
    <x v="387"/>
    <n v="31"/>
    <n v="10"/>
    <x v="1"/>
    <x v="0"/>
    <x v="0"/>
    <x v="2"/>
    <x v="2"/>
    <n v="7"/>
    <n v="43742.7"/>
    <n v="306198.89999999997"/>
    <s v="Nikhil Kapoor"/>
    <n v="34"/>
    <x v="12"/>
    <x v="2"/>
    <n v="1"/>
    <x v="2"/>
    <x v="13"/>
  </r>
  <r>
    <n v="1358"/>
    <x v="387"/>
    <n v="31"/>
    <n v="10"/>
    <x v="1"/>
    <x v="0"/>
    <x v="0"/>
    <x v="2"/>
    <x v="2"/>
    <n v="3"/>
    <n v="50249.599999999999"/>
    <n v="150748.79999999999"/>
    <s v="Anita Joshi"/>
    <n v="18"/>
    <x v="7"/>
    <x v="2"/>
    <n v="3"/>
    <x v="1"/>
    <x v="13"/>
  </r>
  <r>
    <n v="1359"/>
    <x v="387"/>
    <n v="31"/>
    <n v="10"/>
    <x v="1"/>
    <x v="0"/>
    <x v="0"/>
    <x v="2"/>
    <x v="0"/>
    <n v="2"/>
    <n v="52185.63"/>
    <n v="104371.26"/>
    <s v="Vinod Ahuja"/>
    <n v="59"/>
    <x v="2"/>
    <x v="3"/>
    <n v="4"/>
    <x v="0"/>
    <x v="3"/>
  </r>
  <r>
    <n v="1360"/>
    <x v="388"/>
    <n v="1"/>
    <n v="11"/>
    <x v="1"/>
    <x v="0"/>
    <x v="1"/>
    <x v="3"/>
    <x v="2"/>
    <n v="2"/>
    <n v="27489.05"/>
    <n v="54978.1"/>
    <s v="Anita Pillai"/>
    <n v="40"/>
    <x v="2"/>
    <x v="3"/>
    <n v="5"/>
    <x v="0"/>
    <x v="13"/>
  </r>
  <r>
    <n v="1361"/>
    <x v="388"/>
    <n v="1"/>
    <n v="11"/>
    <x v="1"/>
    <x v="0"/>
    <x v="1"/>
    <x v="3"/>
    <x v="4"/>
    <n v="1"/>
    <n v="38222.29"/>
    <n v="38222.29"/>
    <s v="Kiran Chaudhary"/>
    <n v="44"/>
    <x v="2"/>
    <x v="3"/>
    <n v="1"/>
    <x v="2"/>
    <x v="7"/>
  </r>
  <r>
    <n v="1362"/>
    <x v="388"/>
    <n v="1"/>
    <n v="11"/>
    <x v="1"/>
    <x v="0"/>
    <x v="1"/>
    <x v="3"/>
    <x v="4"/>
    <n v="5"/>
    <n v="67374.759999999995"/>
    <n v="336873.8"/>
    <s v="Deepika Patel"/>
    <n v="42"/>
    <x v="2"/>
    <x v="1"/>
    <n v="5"/>
    <x v="0"/>
    <x v="11"/>
  </r>
  <r>
    <n v="1363"/>
    <x v="389"/>
    <n v="2"/>
    <n v="11"/>
    <x v="1"/>
    <x v="0"/>
    <x v="1"/>
    <x v="4"/>
    <x v="4"/>
    <n v="6"/>
    <n v="56002.31"/>
    <n v="336013.86"/>
    <s v="Umesh Nair"/>
    <n v="49"/>
    <x v="10"/>
    <x v="3"/>
    <n v="5"/>
    <x v="0"/>
    <x v="14"/>
  </r>
  <r>
    <n v="1364"/>
    <x v="389"/>
    <n v="2"/>
    <n v="11"/>
    <x v="1"/>
    <x v="0"/>
    <x v="1"/>
    <x v="4"/>
    <x v="3"/>
    <n v="6"/>
    <n v="68173.41"/>
    <n v="409040.46"/>
    <s v="Radha Bhatnagar"/>
    <n v="36"/>
    <x v="15"/>
    <x v="1"/>
    <n v="4"/>
    <x v="0"/>
    <x v="5"/>
  </r>
  <r>
    <n v="1365"/>
    <x v="389"/>
    <n v="2"/>
    <n v="11"/>
    <x v="1"/>
    <x v="0"/>
    <x v="1"/>
    <x v="4"/>
    <x v="0"/>
    <n v="9"/>
    <n v="54775.26"/>
    <n v="492977.34"/>
    <s v="Monika Mehta"/>
    <n v="41"/>
    <x v="16"/>
    <x v="1"/>
    <n v="5"/>
    <x v="0"/>
    <x v="10"/>
  </r>
  <r>
    <n v="1366"/>
    <x v="390"/>
    <n v="3"/>
    <n v="11"/>
    <x v="1"/>
    <x v="0"/>
    <x v="1"/>
    <x v="5"/>
    <x v="3"/>
    <n v="4"/>
    <n v="20536.009999999998"/>
    <n v="82144.039999999994"/>
    <s v="Pooja Kaur"/>
    <n v="20"/>
    <x v="2"/>
    <x v="2"/>
    <n v="3"/>
    <x v="1"/>
    <x v="8"/>
  </r>
  <r>
    <n v="1367"/>
    <x v="390"/>
    <n v="3"/>
    <n v="11"/>
    <x v="1"/>
    <x v="0"/>
    <x v="1"/>
    <x v="5"/>
    <x v="2"/>
    <n v="1"/>
    <n v="13872.15"/>
    <n v="13872.15"/>
    <s v="Sneha Ghosh"/>
    <n v="29"/>
    <x v="11"/>
    <x v="3"/>
    <n v="5"/>
    <x v="0"/>
    <x v="13"/>
  </r>
  <r>
    <n v="1368"/>
    <x v="390"/>
    <n v="3"/>
    <n v="11"/>
    <x v="1"/>
    <x v="0"/>
    <x v="1"/>
    <x v="5"/>
    <x v="3"/>
    <n v="6"/>
    <n v="44659.69"/>
    <n v="267958.14"/>
    <s v="Navin Malhotra"/>
    <n v="52"/>
    <x v="5"/>
    <x v="2"/>
    <n v="4"/>
    <x v="0"/>
    <x v="8"/>
  </r>
  <r>
    <n v="1369"/>
    <x v="391"/>
    <n v="4"/>
    <n v="11"/>
    <x v="1"/>
    <x v="0"/>
    <x v="1"/>
    <x v="6"/>
    <x v="2"/>
    <n v="5"/>
    <n v="31468.799999999999"/>
    <n v="157344"/>
    <s v="Kavita Siddiqui"/>
    <n v="32"/>
    <x v="4"/>
    <x v="2"/>
    <n v="5"/>
    <x v="0"/>
    <x v="13"/>
  </r>
  <r>
    <n v="1370"/>
    <x v="391"/>
    <n v="4"/>
    <n v="11"/>
    <x v="1"/>
    <x v="0"/>
    <x v="1"/>
    <x v="6"/>
    <x v="2"/>
    <n v="6"/>
    <n v="26527.47"/>
    <n v="159164.82"/>
    <s v="Ayesha Thakur"/>
    <n v="34"/>
    <x v="4"/>
    <x v="1"/>
    <n v="4"/>
    <x v="0"/>
    <x v="4"/>
  </r>
  <r>
    <n v="1371"/>
    <x v="391"/>
    <n v="4"/>
    <n v="11"/>
    <x v="1"/>
    <x v="0"/>
    <x v="1"/>
    <x v="6"/>
    <x v="1"/>
    <n v="3"/>
    <n v="58432.66"/>
    <n v="175297.98"/>
    <s v="Tapan Rawat"/>
    <n v="49"/>
    <x v="1"/>
    <x v="0"/>
    <n v="5"/>
    <x v="0"/>
    <x v="2"/>
  </r>
  <r>
    <n v="1372"/>
    <x v="392"/>
    <n v="5"/>
    <n v="11"/>
    <x v="1"/>
    <x v="0"/>
    <x v="1"/>
    <x v="0"/>
    <x v="4"/>
    <n v="2"/>
    <n v="32019.599999999999"/>
    <n v="64039.199999999997"/>
    <s v="Monika Mathur"/>
    <n v="24"/>
    <x v="8"/>
    <x v="1"/>
    <n v="1"/>
    <x v="2"/>
    <x v="11"/>
  </r>
  <r>
    <n v="1373"/>
    <x v="392"/>
    <n v="5"/>
    <n v="11"/>
    <x v="1"/>
    <x v="0"/>
    <x v="1"/>
    <x v="0"/>
    <x v="2"/>
    <n v="6"/>
    <n v="29020.06"/>
    <n v="174120.36000000002"/>
    <s v="Priyanka Jain"/>
    <n v="36"/>
    <x v="0"/>
    <x v="2"/>
    <n v="5"/>
    <x v="0"/>
    <x v="4"/>
  </r>
  <r>
    <n v="1374"/>
    <x v="392"/>
    <n v="5"/>
    <n v="11"/>
    <x v="1"/>
    <x v="0"/>
    <x v="1"/>
    <x v="0"/>
    <x v="1"/>
    <n v="1"/>
    <n v="60999.26"/>
    <n v="60999.26"/>
    <s v="Mala Rawat"/>
    <n v="24"/>
    <x v="1"/>
    <x v="1"/>
    <n v="4"/>
    <x v="0"/>
    <x v="2"/>
  </r>
  <r>
    <n v="1375"/>
    <x v="392"/>
    <n v="5"/>
    <n v="11"/>
    <x v="1"/>
    <x v="0"/>
    <x v="1"/>
    <x v="0"/>
    <x v="4"/>
    <n v="7"/>
    <n v="60777.24"/>
    <n v="425440.68"/>
    <s v="Sunil Menon"/>
    <n v="22"/>
    <x v="7"/>
    <x v="1"/>
    <n v="4"/>
    <x v="0"/>
    <x v="7"/>
  </r>
  <r>
    <n v="1376"/>
    <x v="393"/>
    <n v="6"/>
    <n v="11"/>
    <x v="1"/>
    <x v="0"/>
    <x v="1"/>
    <x v="1"/>
    <x v="2"/>
    <n v="7"/>
    <n v="31382"/>
    <n v="219674"/>
    <s v="Lata Rawat"/>
    <n v="57"/>
    <x v="1"/>
    <x v="1"/>
    <n v="5"/>
    <x v="0"/>
    <x v="13"/>
  </r>
  <r>
    <n v="1377"/>
    <x v="393"/>
    <n v="6"/>
    <n v="11"/>
    <x v="1"/>
    <x v="0"/>
    <x v="1"/>
    <x v="1"/>
    <x v="2"/>
    <n v="7"/>
    <n v="59949.919999999998"/>
    <n v="419649.44"/>
    <s v="Prashant Arora"/>
    <n v="38"/>
    <x v="9"/>
    <x v="3"/>
    <n v="3"/>
    <x v="1"/>
    <x v="6"/>
  </r>
  <r>
    <n v="1378"/>
    <x v="393"/>
    <n v="6"/>
    <n v="11"/>
    <x v="1"/>
    <x v="0"/>
    <x v="1"/>
    <x v="1"/>
    <x v="3"/>
    <n v="1"/>
    <n v="61046.71"/>
    <n v="61046.71"/>
    <s v="Kavita Dutta"/>
    <n v="24"/>
    <x v="2"/>
    <x v="1"/>
    <n v="4"/>
    <x v="0"/>
    <x v="8"/>
  </r>
  <r>
    <n v="1379"/>
    <x v="393"/>
    <n v="6"/>
    <n v="11"/>
    <x v="1"/>
    <x v="0"/>
    <x v="1"/>
    <x v="1"/>
    <x v="3"/>
    <n v="4"/>
    <n v="35435.83"/>
    <n v="141743.32"/>
    <s v="Sneha Mehta"/>
    <n v="54"/>
    <x v="14"/>
    <x v="2"/>
    <n v="1"/>
    <x v="2"/>
    <x v="12"/>
  </r>
  <r>
    <n v="1380"/>
    <x v="394"/>
    <n v="7"/>
    <n v="11"/>
    <x v="1"/>
    <x v="0"/>
    <x v="1"/>
    <x v="2"/>
    <x v="4"/>
    <n v="7"/>
    <n v="13988.39"/>
    <n v="97918.73"/>
    <s v="Radha Ghosh"/>
    <n v="40"/>
    <x v="3"/>
    <x v="1"/>
    <n v="5"/>
    <x v="0"/>
    <x v="14"/>
  </r>
  <r>
    <n v="1381"/>
    <x v="394"/>
    <n v="7"/>
    <n v="11"/>
    <x v="1"/>
    <x v="0"/>
    <x v="1"/>
    <x v="2"/>
    <x v="2"/>
    <n v="9"/>
    <n v="10095.08"/>
    <n v="90855.72"/>
    <s v="Radha Solanki"/>
    <n v="28"/>
    <x v="4"/>
    <x v="3"/>
    <n v="1"/>
    <x v="2"/>
    <x v="13"/>
  </r>
  <r>
    <n v="1382"/>
    <x v="394"/>
    <n v="7"/>
    <n v="11"/>
    <x v="1"/>
    <x v="0"/>
    <x v="1"/>
    <x v="2"/>
    <x v="0"/>
    <n v="5"/>
    <n v="41397.550000000003"/>
    <n v="206987.75"/>
    <s v="Nikhil Menon"/>
    <n v="27"/>
    <x v="2"/>
    <x v="2"/>
    <n v="4"/>
    <x v="0"/>
    <x v="0"/>
  </r>
  <r>
    <n v="1383"/>
    <x v="395"/>
    <n v="8"/>
    <n v="11"/>
    <x v="1"/>
    <x v="0"/>
    <x v="1"/>
    <x v="3"/>
    <x v="3"/>
    <n v="2"/>
    <n v="30644.53"/>
    <n v="61289.06"/>
    <s v="Sumit Dutta"/>
    <n v="38"/>
    <x v="15"/>
    <x v="1"/>
    <n v="3"/>
    <x v="1"/>
    <x v="8"/>
  </r>
  <r>
    <n v="1384"/>
    <x v="395"/>
    <n v="8"/>
    <n v="11"/>
    <x v="1"/>
    <x v="0"/>
    <x v="1"/>
    <x v="3"/>
    <x v="4"/>
    <n v="7"/>
    <n v="69827.91"/>
    <n v="488795.37"/>
    <s v="Priya Varma"/>
    <n v="58"/>
    <x v="6"/>
    <x v="2"/>
    <n v="4"/>
    <x v="0"/>
    <x v="11"/>
  </r>
  <r>
    <n v="1385"/>
    <x v="395"/>
    <n v="8"/>
    <n v="11"/>
    <x v="1"/>
    <x v="0"/>
    <x v="1"/>
    <x v="3"/>
    <x v="2"/>
    <n v="1"/>
    <n v="56344.66"/>
    <n v="56344.66"/>
    <s v="Manoj Mehta"/>
    <n v="50"/>
    <x v="18"/>
    <x v="3"/>
    <n v="3"/>
    <x v="1"/>
    <x v="4"/>
  </r>
  <r>
    <n v="1386"/>
    <x v="395"/>
    <n v="8"/>
    <n v="11"/>
    <x v="1"/>
    <x v="0"/>
    <x v="1"/>
    <x v="3"/>
    <x v="2"/>
    <n v="7"/>
    <n v="55676.53"/>
    <n v="389735.70999999996"/>
    <s v="Sumit Alva"/>
    <n v="37"/>
    <x v="16"/>
    <x v="0"/>
    <n v="5"/>
    <x v="0"/>
    <x v="4"/>
  </r>
  <r>
    <n v="1387"/>
    <x v="396"/>
    <n v="9"/>
    <n v="11"/>
    <x v="1"/>
    <x v="0"/>
    <x v="1"/>
    <x v="4"/>
    <x v="0"/>
    <n v="6"/>
    <n v="67314.570000000007"/>
    <n v="403887.42000000004"/>
    <s v="Anand Yadav"/>
    <n v="50"/>
    <x v="12"/>
    <x v="3"/>
    <n v="5"/>
    <x v="0"/>
    <x v="0"/>
  </r>
  <r>
    <n v="1388"/>
    <x v="396"/>
    <n v="9"/>
    <n v="11"/>
    <x v="1"/>
    <x v="0"/>
    <x v="1"/>
    <x v="4"/>
    <x v="4"/>
    <n v="7"/>
    <n v="63263.46"/>
    <n v="442844.22"/>
    <s v="Rajesh Siddiqui"/>
    <n v="57"/>
    <x v="1"/>
    <x v="3"/>
    <n v="1"/>
    <x v="2"/>
    <x v="11"/>
  </r>
  <r>
    <n v="1389"/>
    <x v="396"/>
    <n v="9"/>
    <n v="11"/>
    <x v="1"/>
    <x v="0"/>
    <x v="1"/>
    <x v="4"/>
    <x v="2"/>
    <n v="3"/>
    <n v="29091.25"/>
    <n v="87273.75"/>
    <s v="Ravi Sharma"/>
    <n v="52"/>
    <x v="8"/>
    <x v="2"/>
    <n v="3"/>
    <x v="1"/>
    <x v="4"/>
  </r>
  <r>
    <n v="1390"/>
    <x v="396"/>
    <n v="9"/>
    <n v="11"/>
    <x v="1"/>
    <x v="0"/>
    <x v="1"/>
    <x v="4"/>
    <x v="3"/>
    <n v="3"/>
    <n v="19959.23"/>
    <n v="59877.69"/>
    <s v="Tapan Siddiqui"/>
    <n v="51"/>
    <x v="1"/>
    <x v="2"/>
    <n v="1"/>
    <x v="2"/>
    <x v="5"/>
  </r>
  <r>
    <n v="1391"/>
    <x v="397"/>
    <n v="10"/>
    <n v="11"/>
    <x v="1"/>
    <x v="0"/>
    <x v="1"/>
    <x v="5"/>
    <x v="0"/>
    <n v="7"/>
    <n v="54753.54"/>
    <n v="383274.78"/>
    <s v="Umesh Teja"/>
    <n v="53"/>
    <x v="1"/>
    <x v="0"/>
    <n v="5"/>
    <x v="0"/>
    <x v="0"/>
  </r>
  <r>
    <n v="1392"/>
    <x v="397"/>
    <n v="10"/>
    <n v="11"/>
    <x v="1"/>
    <x v="0"/>
    <x v="1"/>
    <x v="5"/>
    <x v="4"/>
    <n v="2"/>
    <n v="32696.43"/>
    <n v="65392.86"/>
    <s v="Tapan Siddiqui"/>
    <n v="44"/>
    <x v="1"/>
    <x v="0"/>
    <n v="4"/>
    <x v="0"/>
    <x v="14"/>
  </r>
  <r>
    <n v="1393"/>
    <x v="397"/>
    <n v="10"/>
    <n v="11"/>
    <x v="1"/>
    <x v="0"/>
    <x v="1"/>
    <x v="5"/>
    <x v="0"/>
    <n v="1"/>
    <n v="38390.36"/>
    <n v="38390.36"/>
    <s v="Prashant Gupta"/>
    <n v="36"/>
    <x v="2"/>
    <x v="0"/>
    <n v="3"/>
    <x v="1"/>
    <x v="3"/>
  </r>
  <r>
    <n v="1394"/>
    <x v="397"/>
    <n v="10"/>
    <n v="11"/>
    <x v="1"/>
    <x v="0"/>
    <x v="1"/>
    <x v="5"/>
    <x v="3"/>
    <n v="9"/>
    <n v="47823.86"/>
    <n v="430414.74"/>
    <s v="Ravi Patel"/>
    <n v="22"/>
    <x v="1"/>
    <x v="3"/>
    <n v="5"/>
    <x v="0"/>
    <x v="12"/>
  </r>
  <r>
    <n v="1395"/>
    <x v="398"/>
    <n v="11"/>
    <n v="11"/>
    <x v="1"/>
    <x v="0"/>
    <x v="1"/>
    <x v="6"/>
    <x v="4"/>
    <n v="9"/>
    <n v="64472.36"/>
    <n v="580251.24"/>
    <s v="Rajesh Nambiar"/>
    <n v="46"/>
    <x v="1"/>
    <x v="3"/>
    <n v="3"/>
    <x v="1"/>
    <x v="14"/>
  </r>
  <r>
    <n v="1396"/>
    <x v="398"/>
    <n v="11"/>
    <n v="11"/>
    <x v="1"/>
    <x v="0"/>
    <x v="1"/>
    <x v="6"/>
    <x v="0"/>
    <n v="7"/>
    <n v="35145.269999999997"/>
    <n v="246016.88999999998"/>
    <s v="Sneha Patel"/>
    <n v="27"/>
    <x v="17"/>
    <x v="0"/>
    <n v="4"/>
    <x v="0"/>
    <x v="10"/>
  </r>
  <r>
    <n v="1397"/>
    <x v="398"/>
    <n v="11"/>
    <n v="11"/>
    <x v="1"/>
    <x v="0"/>
    <x v="1"/>
    <x v="6"/>
    <x v="1"/>
    <n v="7"/>
    <n v="56999.01"/>
    <n v="398993.07"/>
    <s v="Ravi Siddiqui"/>
    <n v="57"/>
    <x v="6"/>
    <x v="0"/>
    <n v="4"/>
    <x v="0"/>
    <x v="9"/>
  </r>
  <r>
    <n v="1398"/>
    <x v="398"/>
    <n v="11"/>
    <n v="11"/>
    <x v="1"/>
    <x v="0"/>
    <x v="1"/>
    <x v="6"/>
    <x v="3"/>
    <n v="3"/>
    <n v="26100.39"/>
    <n v="78301.17"/>
    <s v="Krishna Pillai"/>
    <n v="30"/>
    <x v="1"/>
    <x v="0"/>
    <n v="5"/>
    <x v="0"/>
    <x v="8"/>
  </r>
  <r>
    <n v="1399"/>
    <x v="399"/>
    <n v="12"/>
    <n v="11"/>
    <x v="1"/>
    <x v="0"/>
    <x v="1"/>
    <x v="0"/>
    <x v="3"/>
    <n v="2"/>
    <n v="51878.31"/>
    <n v="103756.62"/>
    <s v="Navin Malhotra"/>
    <n v="46"/>
    <x v="11"/>
    <x v="1"/>
    <n v="5"/>
    <x v="0"/>
    <x v="8"/>
  </r>
  <r>
    <n v="1400"/>
    <x v="399"/>
    <n v="12"/>
    <n v="11"/>
    <x v="1"/>
    <x v="0"/>
    <x v="1"/>
    <x v="0"/>
    <x v="3"/>
    <n v="7"/>
    <n v="10094.77"/>
    <n v="70663.39"/>
    <s v="Neeta Solanki"/>
    <n v="22"/>
    <x v="0"/>
    <x v="1"/>
    <n v="5"/>
    <x v="0"/>
    <x v="5"/>
  </r>
  <r>
    <n v="1401"/>
    <x v="399"/>
    <n v="12"/>
    <n v="11"/>
    <x v="1"/>
    <x v="0"/>
    <x v="1"/>
    <x v="0"/>
    <x v="1"/>
    <n v="9"/>
    <n v="62290.43"/>
    <n v="560613.87"/>
    <s v="Meena Dutta"/>
    <n v="29"/>
    <x v="8"/>
    <x v="0"/>
    <n v="1"/>
    <x v="2"/>
    <x v="2"/>
  </r>
  <r>
    <n v="1402"/>
    <x v="400"/>
    <n v="13"/>
    <n v="11"/>
    <x v="1"/>
    <x v="0"/>
    <x v="1"/>
    <x v="1"/>
    <x v="1"/>
    <n v="1"/>
    <n v="11822.77"/>
    <n v="11822.77"/>
    <s v="Pankaj Alva"/>
    <n v="30"/>
    <x v="17"/>
    <x v="3"/>
    <n v="3"/>
    <x v="1"/>
    <x v="2"/>
  </r>
  <r>
    <n v="1403"/>
    <x v="400"/>
    <n v="13"/>
    <n v="11"/>
    <x v="1"/>
    <x v="0"/>
    <x v="1"/>
    <x v="1"/>
    <x v="2"/>
    <n v="4"/>
    <n v="52765.23"/>
    <n v="211060.92"/>
    <s v="Ravi Arora"/>
    <n v="39"/>
    <x v="16"/>
    <x v="2"/>
    <n v="5"/>
    <x v="0"/>
    <x v="4"/>
  </r>
  <r>
    <n v="1404"/>
    <x v="400"/>
    <n v="13"/>
    <n v="11"/>
    <x v="1"/>
    <x v="0"/>
    <x v="1"/>
    <x v="1"/>
    <x v="0"/>
    <n v="6"/>
    <n v="12775.49"/>
    <n v="76652.94"/>
    <s v="Anjali Desai"/>
    <n v="57"/>
    <x v="14"/>
    <x v="3"/>
    <n v="1"/>
    <x v="2"/>
    <x v="0"/>
  </r>
  <r>
    <n v="1405"/>
    <x v="400"/>
    <n v="13"/>
    <n v="11"/>
    <x v="1"/>
    <x v="0"/>
    <x v="1"/>
    <x v="1"/>
    <x v="2"/>
    <n v="7"/>
    <n v="25974.74"/>
    <n v="181823.18000000002"/>
    <s v="Vijay Solanki"/>
    <n v="32"/>
    <x v="11"/>
    <x v="2"/>
    <n v="5"/>
    <x v="0"/>
    <x v="6"/>
  </r>
  <r>
    <n v="1406"/>
    <x v="401"/>
    <n v="14"/>
    <n v="11"/>
    <x v="1"/>
    <x v="0"/>
    <x v="1"/>
    <x v="2"/>
    <x v="0"/>
    <n v="7"/>
    <n v="39832.14"/>
    <n v="278824.98"/>
    <s v="Rajesh Nambiar"/>
    <n v="30"/>
    <x v="1"/>
    <x v="0"/>
    <n v="5"/>
    <x v="0"/>
    <x v="3"/>
  </r>
  <r>
    <n v="1407"/>
    <x v="401"/>
    <n v="14"/>
    <n v="11"/>
    <x v="1"/>
    <x v="0"/>
    <x v="1"/>
    <x v="2"/>
    <x v="1"/>
    <n v="2"/>
    <n v="35196.32"/>
    <n v="70392.639999999999"/>
    <s v="Namita Malhotra"/>
    <n v="18"/>
    <x v="10"/>
    <x v="1"/>
    <n v="5"/>
    <x v="0"/>
    <x v="1"/>
  </r>
  <r>
    <n v="1408"/>
    <x v="401"/>
    <n v="14"/>
    <n v="11"/>
    <x v="1"/>
    <x v="0"/>
    <x v="1"/>
    <x v="2"/>
    <x v="1"/>
    <n v="4"/>
    <n v="21510.17"/>
    <n v="86040.68"/>
    <s v="Kavita Dutta"/>
    <n v="55"/>
    <x v="16"/>
    <x v="1"/>
    <n v="4"/>
    <x v="0"/>
    <x v="9"/>
  </r>
  <r>
    <n v="1409"/>
    <x v="401"/>
    <n v="14"/>
    <n v="11"/>
    <x v="1"/>
    <x v="0"/>
    <x v="1"/>
    <x v="2"/>
    <x v="2"/>
    <n v="5"/>
    <n v="30028.89"/>
    <n v="150144.45000000001"/>
    <s v="Vijay Das"/>
    <n v="18"/>
    <x v="1"/>
    <x v="2"/>
    <n v="3"/>
    <x v="1"/>
    <x v="4"/>
  </r>
  <r>
    <n v="1410"/>
    <x v="402"/>
    <n v="15"/>
    <n v="11"/>
    <x v="1"/>
    <x v="0"/>
    <x v="1"/>
    <x v="3"/>
    <x v="4"/>
    <n v="1"/>
    <n v="53662.38"/>
    <n v="53662.38"/>
    <s v="Ravi Siddiqui"/>
    <n v="28"/>
    <x v="12"/>
    <x v="0"/>
    <n v="3"/>
    <x v="1"/>
    <x v="7"/>
  </r>
  <r>
    <n v="1411"/>
    <x v="402"/>
    <n v="15"/>
    <n v="11"/>
    <x v="1"/>
    <x v="0"/>
    <x v="1"/>
    <x v="3"/>
    <x v="2"/>
    <n v="1"/>
    <n v="50155.43"/>
    <n v="50155.43"/>
    <s v="Priyanka Patel"/>
    <n v="57"/>
    <x v="11"/>
    <x v="1"/>
    <n v="3"/>
    <x v="1"/>
    <x v="13"/>
  </r>
  <r>
    <n v="1412"/>
    <x v="402"/>
    <n v="15"/>
    <n v="11"/>
    <x v="1"/>
    <x v="0"/>
    <x v="1"/>
    <x v="3"/>
    <x v="0"/>
    <n v="3"/>
    <n v="14308.88"/>
    <n v="42926.64"/>
    <s v="Sunil Iyer"/>
    <n v="39"/>
    <x v="2"/>
    <x v="0"/>
    <n v="5"/>
    <x v="0"/>
    <x v="0"/>
  </r>
  <r>
    <n v="1413"/>
    <x v="403"/>
    <n v="16"/>
    <n v="11"/>
    <x v="1"/>
    <x v="0"/>
    <x v="1"/>
    <x v="4"/>
    <x v="2"/>
    <n v="3"/>
    <n v="54838.95"/>
    <n v="164516.84999999998"/>
    <s v="Sneha Prasad"/>
    <n v="52"/>
    <x v="1"/>
    <x v="0"/>
    <n v="5"/>
    <x v="0"/>
    <x v="6"/>
  </r>
  <r>
    <n v="1414"/>
    <x v="403"/>
    <n v="16"/>
    <n v="11"/>
    <x v="1"/>
    <x v="0"/>
    <x v="1"/>
    <x v="4"/>
    <x v="3"/>
    <n v="8"/>
    <n v="13182.75"/>
    <n v="105462"/>
    <s v="Arun Gupta"/>
    <n v="23"/>
    <x v="1"/>
    <x v="2"/>
    <n v="3"/>
    <x v="1"/>
    <x v="5"/>
  </r>
  <r>
    <n v="1415"/>
    <x v="403"/>
    <n v="16"/>
    <n v="11"/>
    <x v="1"/>
    <x v="0"/>
    <x v="1"/>
    <x v="4"/>
    <x v="0"/>
    <n v="9"/>
    <n v="42575.58"/>
    <n v="383180.22000000003"/>
    <s v="Priyanka Sharma"/>
    <n v="45"/>
    <x v="1"/>
    <x v="0"/>
    <n v="4"/>
    <x v="0"/>
    <x v="10"/>
  </r>
  <r>
    <n v="1416"/>
    <x v="404"/>
    <n v="17"/>
    <n v="11"/>
    <x v="1"/>
    <x v="0"/>
    <x v="1"/>
    <x v="5"/>
    <x v="0"/>
    <n v="1"/>
    <n v="25603.759999999998"/>
    <n v="25603.759999999998"/>
    <s v="Pankaj Gupta"/>
    <n v="48"/>
    <x v="18"/>
    <x v="0"/>
    <n v="1"/>
    <x v="2"/>
    <x v="0"/>
  </r>
  <r>
    <n v="1417"/>
    <x v="404"/>
    <n v="17"/>
    <n v="11"/>
    <x v="1"/>
    <x v="0"/>
    <x v="1"/>
    <x v="5"/>
    <x v="4"/>
    <n v="2"/>
    <n v="45261.41"/>
    <n v="90522.82"/>
    <s v="Yogesh Luthra"/>
    <n v="25"/>
    <x v="1"/>
    <x v="2"/>
    <n v="5"/>
    <x v="0"/>
    <x v="14"/>
  </r>
  <r>
    <n v="1418"/>
    <x v="404"/>
    <n v="17"/>
    <n v="11"/>
    <x v="1"/>
    <x v="0"/>
    <x v="1"/>
    <x v="5"/>
    <x v="1"/>
    <n v="2"/>
    <n v="25679.7"/>
    <n v="51359.4"/>
    <s v="Yogesh Mishra"/>
    <n v="22"/>
    <x v="3"/>
    <x v="1"/>
    <n v="3"/>
    <x v="1"/>
    <x v="9"/>
  </r>
  <r>
    <n v="1419"/>
    <x v="404"/>
    <n v="17"/>
    <n v="11"/>
    <x v="1"/>
    <x v="0"/>
    <x v="1"/>
    <x v="5"/>
    <x v="0"/>
    <n v="4"/>
    <n v="69097.48"/>
    <n v="276389.92"/>
    <s v="Priyanka Pathak"/>
    <n v="59"/>
    <x v="4"/>
    <x v="3"/>
    <n v="5"/>
    <x v="0"/>
    <x v="3"/>
  </r>
  <r>
    <n v="1420"/>
    <x v="405"/>
    <n v="18"/>
    <n v="11"/>
    <x v="1"/>
    <x v="0"/>
    <x v="1"/>
    <x v="6"/>
    <x v="1"/>
    <n v="2"/>
    <n v="28583.69"/>
    <n v="57167.38"/>
    <s v="Harish Patel"/>
    <n v="34"/>
    <x v="4"/>
    <x v="0"/>
    <n v="5"/>
    <x v="0"/>
    <x v="9"/>
  </r>
  <r>
    <n v="1421"/>
    <x v="405"/>
    <n v="18"/>
    <n v="11"/>
    <x v="1"/>
    <x v="0"/>
    <x v="1"/>
    <x v="6"/>
    <x v="2"/>
    <n v="7"/>
    <n v="24517.64"/>
    <n v="171623.47999999998"/>
    <s v="Vijay Patel"/>
    <n v="55"/>
    <x v="2"/>
    <x v="2"/>
    <n v="1"/>
    <x v="2"/>
    <x v="13"/>
  </r>
  <r>
    <n v="1422"/>
    <x v="405"/>
    <n v="18"/>
    <n v="11"/>
    <x v="1"/>
    <x v="0"/>
    <x v="1"/>
    <x v="6"/>
    <x v="3"/>
    <n v="9"/>
    <n v="26707.919999999998"/>
    <n v="240371.27999999997"/>
    <s v="Tapan Kumar"/>
    <n v="26"/>
    <x v="2"/>
    <x v="1"/>
    <n v="5"/>
    <x v="0"/>
    <x v="5"/>
  </r>
  <r>
    <n v="1423"/>
    <x v="405"/>
    <n v="18"/>
    <n v="11"/>
    <x v="1"/>
    <x v="0"/>
    <x v="1"/>
    <x v="6"/>
    <x v="4"/>
    <n v="7"/>
    <n v="63788.37"/>
    <n v="446518.59"/>
    <s v="Kavita Teja"/>
    <n v="27"/>
    <x v="4"/>
    <x v="0"/>
    <n v="1"/>
    <x v="2"/>
    <x v="14"/>
  </r>
  <r>
    <n v="1424"/>
    <x v="406"/>
    <n v="19"/>
    <n v="11"/>
    <x v="1"/>
    <x v="0"/>
    <x v="1"/>
    <x v="0"/>
    <x v="1"/>
    <n v="6"/>
    <n v="48173.13"/>
    <n v="289038.77999999997"/>
    <s v="Namita Teja"/>
    <n v="37"/>
    <x v="2"/>
    <x v="3"/>
    <n v="1"/>
    <x v="2"/>
    <x v="2"/>
  </r>
  <r>
    <n v="1425"/>
    <x v="406"/>
    <n v="19"/>
    <n v="11"/>
    <x v="1"/>
    <x v="0"/>
    <x v="1"/>
    <x v="0"/>
    <x v="0"/>
    <n v="1"/>
    <n v="53841.05"/>
    <n v="53841.05"/>
    <s v="Kavita Rawat"/>
    <n v="31"/>
    <x v="17"/>
    <x v="1"/>
    <n v="5"/>
    <x v="0"/>
    <x v="0"/>
  </r>
  <r>
    <n v="1426"/>
    <x v="406"/>
    <n v="19"/>
    <n v="11"/>
    <x v="1"/>
    <x v="0"/>
    <x v="1"/>
    <x v="0"/>
    <x v="1"/>
    <n v="9"/>
    <n v="65080.63"/>
    <n v="585725.66999999993"/>
    <s v="Isha Desai"/>
    <n v="31"/>
    <x v="9"/>
    <x v="2"/>
    <n v="1"/>
    <x v="2"/>
    <x v="9"/>
  </r>
  <r>
    <n v="1427"/>
    <x v="406"/>
    <n v="19"/>
    <n v="11"/>
    <x v="1"/>
    <x v="0"/>
    <x v="1"/>
    <x v="0"/>
    <x v="0"/>
    <n v="5"/>
    <n v="64712.35"/>
    <n v="323561.75"/>
    <s v="Radha Kulkarni"/>
    <n v="43"/>
    <x v="1"/>
    <x v="0"/>
    <n v="5"/>
    <x v="0"/>
    <x v="3"/>
  </r>
  <r>
    <n v="1428"/>
    <x v="407"/>
    <n v="20"/>
    <n v="11"/>
    <x v="1"/>
    <x v="0"/>
    <x v="1"/>
    <x v="1"/>
    <x v="1"/>
    <n v="5"/>
    <n v="54336.75"/>
    <n v="271683.75"/>
    <s v="Ramesh Verma"/>
    <n v="46"/>
    <x v="1"/>
    <x v="2"/>
    <n v="5"/>
    <x v="0"/>
    <x v="2"/>
  </r>
  <r>
    <n v="1429"/>
    <x v="407"/>
    <n v="20"/>
    <n v="11"/>
    <x v="1"/>
    <x v="0"/>
    <x v="1"/>
    <x v="1"/>
    <x v="0"/>
    <n v="6"/>
    <n v="21869.47"/>
    <n v="131216.82"/>
    <s v="Neeta Mathur"/>
    <n v="44"/>
    <x v="1"/>
    <x v="3"/>
    <n v="4"/>
    <x v="0"/>
    <x v="3"/>
  </r>
  <r>
    <n v="1430"/>
    <x v="407"/>
    <n v="20"/>
    <n v="11"/>
    <x v="1"/>
    <x v="0"/>
    <x v="1"/>
    <x v="1"/>
    <x v="2"/>
    <n v="9"/>
    <n v="60602.400000000001"/>
    <n v="545421.6"/>
    <s v="Pooja Roy"/>
    <n v="42"/>
    <x v="1"/>
    <x v="3"/>
    <n v="5"/>
    <x v="0"/>
    <x v="4"/>
  </r>
  <r>
    <n v="1431"/>
    <x v="407"/>
    <n v="20"/>
    <n v="11"/>
    <x v="1"/>
    <x v="0"/>
    <x v="1"/>
    <x v="1"/>
    <x v="0"/>
    <n v="8"/>
    <n v="22226.560000000001"/>
    <n v="177812.48000000001"/>
    <s v="Sneha Mishra"/>
    <n v="33"/>
    <x v="8"/>
    <x v="2"/>
    <n v="1"/>
    <x v="2"/>
    <x v="0"/>
  </r>
  <r>
    <n v="1432"/>
    <x v="408"/>
    <n v="21"/>
    <n v="11"/>
    <x v="1"/>
    <x v="0"/>
    <x v="1"/>
    <x v="2"/>
    <x v="0"/>
    <n v="8"/>
    <n v="54573.93"/>
    <n v="436591.44"/>
    <s v="Priya Mehta"/>
    <n v="53"/>
    <x v="2"/>
    <x v="0"/>
    <n v="5"/>
    <x v="0"/>
    <x v="3"/>
  </r>
  <r>
    <n v="1433"/>
    <x v="408"/>
    <n v="21"/>
    <n v="11"/>
    <x v="1"/>
    <x v="0"/>
    <x v="1"/>
    <x v="2"/>
    <x v="3"/>
    <n v="8"/>
    <n v="51136.18"/>
    <n v="409089.44"/>
    <s v="Bhavana Mehta"/>
    <n v="51"/>
    <x v="18"/>
    <x v="2"/>
    <n v="1"/>
    <x v="2"/>
    <x v="5"/>
  </r>
  <r>
    <n v="1434"/>
    <x v="408"/>
    <n v="21"/>
    <n v="11"/>
    <x v="1"/>
    <x v="0"/>
    <x v="1"/>
    <x v="2"/>
    <x v="0"/>
    <n v="1"/>
    <n v="55533.33"/>
    <n v="55533.33"/>
    <s v="Kiran Solanki"/>
    <n v="33"/>
    <x v="1"/>
    <x v="1"/>
    <n v="5"/>
    <x v="0"/>
    <x v="3"/>
  </r>
  <r>
    <n v="1435"/>
    <x v="408"/>
    <n v="21"/>
    <n v="11"/>
    <x v="1"/>
    <x v="0"/>
    <x v="1"/>
    <x v="2"/>
    <x v="3"/>
    <n v="1"/>
    <n v="41961.14"/>
    <n v="41961.14"/>
    <s v="Kunal Chaudhary"/>
    <n v="50"/>
    <x v="10"/>
    <x v="2"/>
    <n v="5"/>
    <x v="0"/>
    <x v="12"/>
  </r>
  <r>
    <n v="1436"/>
    <x v="409"/>
    <n v="22"/>
    <n v="11"/>
    <x v="1"/>
    <x v="0"/>
    <x v="1"/>
    <x v="3"/>
    <x v="4"/>
    <n v="8"/>
    <n v="48323.57"/>
    <n v="386588.56"/>
    <s v="Pooja Luthra"/>
    <n v="20"/>
    <x v="7"/>
    <x v="3"/>
    <n v="5"/>
    <x v="0"/>
    <x v="14"/>
  </r>
  <r>
    <n v="1437"/>
    <x v="409"/>
    <n v="22"/>
    <n v="11"/>
    <x v="1"/>
    <x v="0"/>
    <x v="1"/>
    <x v="3"/>
    <x v="3"/>
    <n v="5"/>
    <n v="67199.199999999997"/>
    <n v="335996"/>
    <s v="Rajesh Kulkarni"/>
    <n v="40"/>
    <x v="1"/>
    <x v="0"/>
    <n v="5"/>
    <x v="0"/>
    <x v="5"/>
  </r>
  <r>
    <n v="1438"/>
    <x v="409"/>
    <n v="22"/>
    <n v="11"/>
    <x v="1"/>
    <x v="0"/>
    <x v="1"/>
    <x v="3"/>
    <x v="2"/>
    <n v="9"/>
    <n v="16065.32"/>
    <n v="144587.88"/>
    <s v="Reena Sharma"/>
    <n v="28"/>
    <x v="2"/>
    <x v="0"/>
    <n v="1"/>
    <x v="2"/>
    <x v="4"/>
  </r>
  <r>
    <n v="1439"/>
    <x v="409"/>
    <n v="22"/>
    <n v="11"/>
    <x v="1"/>
    <x v="0"/>
    <x v="1"/>
    <x v="3"/>
    <x v="3"/>
    <n v="2"/>
    <n v="28530.84"/>
    <n v="57061.68"/>
    <s v="Sunil Dutta"/>
    <n v="35"/>
    <x v="5"/>
    <x v="3"/>
    <n v="5"/>
    <x v="0"/>
    <x v="5"/>
  </r>
  <r>
    <n v="1440"/>
    <x v="410"/>
    <n v="23"/>
    <n v="11"/>
    <x v="1"/>
    <x v="0"/>
    <x v="1"/>
    <x v="4"/>
    <x v="4"/>
    <n v="9"/>
    <n v="46681.42"/>
    <n v="420132.77999999997"/>
    <s v="Anita Srivastava"/>
    <n v="58"/>
    <x v="16"/>
    <x v="3"/>
    <n v="5"/>
    <x v="0"/>
    <x v="11"/>
  </r>
  <r>
    <n v="1441"/>
    <x v="410"/>
    <n v="23"/>
    <n v="11"/>
    <x v="1"/>
    <x v="0"/>
    <x v="1"/>
    <x v="4"/>
    <x v="2"/>
    <n v="8"/>
    <n v="67843.25"/>
    <n v="542746"/>
    <s v="Kavita Singh"/>
    <n v="46"/>
    <x v="2"/>
    <x v="1"/>
    <n v="5"/>
    <x v="0"/>
    <x v="4"/>
  </r>
  <r>
    <n v="1442"/>
    <x v="410"/>
    <n v="23"/>
    <n v="11"/>
    <x v="1"/>
    <x v="0"/>
    <x v="1"/>
    <x v="4"/>
    <x v="1"/>
    <n v="9"/>
    <n v="15734.47"/>
    <n v="141610.22999999998"/>
    <s v="Shruti Shah"/>
    <n v="22"/>
    <x v="8"/>
    <x v="3"/>
    <n v="5"/>
    <x v="0"/>
    <x v="1"/>
  </r>
  <r>
    <n v="1443"/>
    <x v="411"/>
    <n v="24"/>
    <n v="11"/>
    <x v="1"/>
    <x v="0"/>
    <x v="1"/>
    <x v="5"/>
    <x v="1"/>
    <n v="4"/>
    <n v="11352.95"/>
    <n v="45411.8"/>
    <s v="Namita Ghosh"/>
    <n v="41"/>
    <x v="1"/>
    <x v="3"/>
    <n v="4"/>
    <x v="0"/>
    <x v="1"/>
  </r>
  <r>
    <n v="1444"/>
    <x v="411"/>
    <n v="24"/>
    <n v="11"/>
    <x v="1"/>
    <x v="0"/>
    <x v="1"/>
    <x v="5"/>
    <x v="3"/>
    <n v="1"/>
    <n v="13344.98"/>
    <n v="13344.98"/>
    <s v="Radha Kaur"/>
    <n v="46"/>
    <x v="1"/>
    <x v="3"/>
    <n v="1"/>
    <x v="2"/>
    <x v="12"/>
  </r>
  <r>
    <n v="1445"/>
    <x v="411"/>
    <n v="24"/>
    <n v="11"/>
    <x v="1"/>
    <x v="0"/>
    <x v="1"/>
    <x v="5"/>
    <x v="3"/>
    <n v="1"/>
    <n v="13144.34"/>
    <n v="13144.34"/>
    <s v="Prashant Teja"/>
    <n v="46"/>
    <x v="17"/>
    <x v="0"/>
    <n v="1"/>
    <x v="2"/>
    <x v="12"/>
  </r>
  <r>
    <n v="1446"/>
    <x v="411"/>
    <n v="24"/>
    <n v="11"/>
    <x v="1"/>
    <x v="0"/>
    <x v="1"/>
    <x v="5"/>
    <x v="4"/>
    <n v="5"/>
    <n v="64468.95"/>
    <n v="322344.75"/>
    <s v="Rohan Singh"/>
    <n v="43"/>
    <x v="13"/>
    <x v="3"/>
    <n v="5"/>
    <x v="0"/>
    <x v="11"/>
  </r>
  <r>
    <n v="1447"/>
    <x v="412"/>
    <n v="25"/>
    <n v="11"/>
    <x v="1"/>
    <x v="0"/>
    <x v="1"/>
    <x v="6"/>
    <x v="4"/>
    <n v="2"/>
    <n v="53275.47"/>
    <n v="106550.94"/>
    <s v="Nikhil Patel"/>
    <n v="57"/>
    <x v="1"/>
    <x v="2"/>
    <n v="1"/>
    <x v="2"/>
    <x v="14"/>
  </r>
  <r>
    <n v="1448"/>
    <x v="412"/>
    <n v="25"/>
    <n v="11"/>
    <x v="1"/>
    <x v="0"/>
    <x v="1"/>
    <x v="6"/>
    <x v="0"/>
    <n v="8"/>
    <n v="50626.38"/>
    <n v="405011.04"/>
    <s v="Rajesh Verma"/>
    <n v="20"/>
    <x v="1"/>
    <x v="2"/>
    <n v="5"/>
    <x v="0"/>
    <x v="3"/>
  </r>
  <r>
    <n v="1449"/>
    <x v="412"/>
    <n v="25"/>
    <n v="11"/>
    <x v="1"/>
    <x v="0"/>
    <x v="1"/>
    <x v="6"/>
    <x v="4"/>
    <n v="5"/>
    <n v="41354.370000000003"/>
    <n v="206771.85"/>
    <s v="Sunita Das"/>
    <n v="19"/>
    <x v="1"/>
    <x v="0"/>
    <n v="3"/>
    <x v="1"/>
    <x v="14"/>
  </r>
  <r>
    <n v="1450"/>
    <x v="412"/>
    <n v="25"/>
    <n v="11"/>
    <x v="1"/>
    <x v="0"/>
    <x v="1"/>
    <x v="6"/>
    <x v="0"/>
    <n v="5"/>
    <n v="56917.16"/>
    <n v="284585.80000000005"/>
    <s v="Sneha Menon"/>
    <n v="42"/>
    <x v="17"/>
    <x v="1"/>
    <n v="1"/>
    <x v="2"/>
    <x v="0"/>
  </r>
  <r>
    <n v="1451"/>
    <x v="413"/>
    <n v="26"/>
    <n v="11"/>
    <x v="1"/>
    <x v="0"/>
    <x v="1"/>
    <x v="0"/>
    <x v="2"/>
    <n v="2"/>
    <n v="19338.88"/>
    <n v="38677.760000000002"/>
    <s v="Priyanka Sharma"/>
    <n v="36"/>
    <x v="5"/>
    <x v="1"/>
    <n v="3"/>
    <x v="1"/>
    <x v="4"/>
  </r>
  <r>
    <n v="1452"/>
    <x v="413"/>
    <n v="26"/>
    <n v="11"/>
    <x v="1"/>
    <x v="0"/>
    <x v="1"/>
    <x v="0"/>
    <x v="3"/>
    <n v="7"/>
    <n v="33516.47"/>
    <n v="234615.29"/>
    <s v="Bhavana Teja"/>
    <n v="57"/>
    <x v="2"/>
    <x v="0"/>
    <n v="4"/>
    <x v="0"/>
    <x v="12"/>
  </r>
  <r>
    <n v="1453"/>
    <x v="413"/>
    <n v="26"/>
    <n v="11"/>
    <x v="1"/>
    <x v="0"/>
    <x v="1"/>
    <x v="0"/>
    <x v="2"/>
    <n v="8"/>
    <n v="39400.26"/>
    <n v="315202.08"/>
    <s v="Deepika Reddy"/>
    <n v="19"/>
    <x v="1"/>
    <x v="2"/>
    <n v="5"/>
    <x v="0"/>
    <x v="13"/>
  </r>
  <r>
    <n v="1454"/>
    <x v="414"/>
    <n v="27"/>
    <n v="11"/>
    <x v="1"/>
    <x v="0"/>
    <x v="1"/>
    <x v="1"/>
    <x v="4"/>
    <n v="1"/>
    <n v="16624.57"/>
    <n v="16624.57"/>
    <s v="Ravi Jain"/>
    <n v="36"/>
    <x v="15"/>
    <x v="0"/>
    <n v="5"/>
    <x v="0"/>
    <x v="14"/>
  </r>
  <r>
    <n v="1455"/>
    <x v="414"/>
    <n v="27"/>
    <n v="11"/>
    <x v="1"/>
    <x v="0"/>
    <x v="1"/>
    <x v="1"/>
    <x v="2"/>
    <n v="2"/>
    <n v="35170.82"/>
    <n v="70341.64"/>
    <s v="Kavita Iyer"/>
    <n v="18"/>
    <x v="6"/>
    <x v="3"/>
    <n v="5"/>
    <x v="0"/>
    <x v="4"/>
  </r>
  <r>
    <n v="1456"/>
    <x v="414"/>
    <n v="27"/>
    <n v="11"/>
    <x v="1"/>
    <x v="0"/>
    <x v="1"/>
    <x v="1"/>
    <x v="2"/>
    <n v="4"/>
    <n v="28990.11"/>
    <n v="115960.44"/>
    <s v="Radha Alva"/>
    <n v="44"/>
    <x v="9"/>
    <x v="0"/>
    <n v="4"/>
    <x v="0"/>
    <x v="6"/>
  </r>
  <r>
    <n v="1457"/>
    <x v="415"/>
    <n v="28"/>
    <n v="11"/>
    <x v="1"/>
    <x v="0"/>
    <x v="1"/>
    <x v="2"/>
    <x v="2"/>
    <n v="5"/>
    <n v="12134.93"/>
    <n v="60674.65"/>
    <s v="Deepika Malhotra"/>
    <n v="52"/>
    <x v="6"/>
    <x v="1"/>
    <n v="5"/>
    <x v="0"/>
    <x v="13"/>
  </r>
  <r>
    <n v="1458"/>
    <x v="415"/>
    <n v="28"/>
    <n v="11"/>
    <x v="1"/>
    <x v="0"/>
    <x v="1"/>
    <x v="2"/>
    <x v="4"/>
    <n v="2"/>
    <n v="18204.12"/>
    <n v="36408.239999999998"/>
    <s v="Ayesha Singh"/>
    <n v="58"/>
    <x v="17"/>
    <x v="2"/>
    <n v="3"/>
    <x v="1"/>
    <x v="11"/>
  </r>
  <r>
    <n v="1459"/>
    <x v="415"/>
    <n v="28"/>
    <n v="11"/>
    <x v="1"/>
    <x v="0"/>
    <x v="1"/>
    <x v="2"/>
    <x v="2"/>
    <n v="1"/>
    <n v="55842.21"/>
    <n v="55842.21"/>
    <s v="Lata Shah"/>
    <n v="22"/>
    <x v="17"/>
    <x v="1"/>
    <n v="1"/>
    <x v="2"/>
    <x v="4"/>
  </r>
  <r>
    <n v="1460"/>
    <x v="416"/>
    <n v="29"/>
    <n v="11"/>
    <x v="1"/>
    <x v="0"/>
    <x v="1"/>
    <x v="3"/>
    <x v="0"/>
    <n v="9"/>
    <n v="11082.27"/>
    <n v="99740.430000000008"/>
    <s v="Bina Solanki"/>
    <n v="55"/>
    <x v="3"/>
    <x v="1"/>
    <n v="5"/>
    <x v="0"/>
    <x v="3"/>
  </r>
  <r>
    <n v="1461"/>
    <x v="416"/>
    <n v="29"/>
    <n v="11"/>
    <x v="1"/>
    <x v="0"/>
    <x v="1"/>
    <x v="3"/>
    <x v="4"/>
    <n v="1"/>
    <n v="66055.199999999997"/>
    <n v="66055.199999999997"/>
    <s v="Anita Varma"/>
    <n v="21"/>
    <x v="17"/>
    <x v="2"/>
    <n v="5"/>
    <x v="0"/>
    <x v="11"/>
  </r>
  <r>
    <n v="1462"/>
    <x v="416"/>
    <n v="29"/>
    <n v="11"/>
    <x v="1"/>
    <x v="0"/>
    <x v="1"/>
    <x v="3"/>
    <x v="2"/>
    <n v="4"/>
    <n v="15185.48"/>
    <n v="60741.919999999998"/>
    <s v="Devendra Mathur"/>
    <n v="34"/>
    <x v="3"/>
    <x v="3"/>
    <n v="5"/>
    <x v="0"/>
    <x v="13"/>
  </r>
  <r>
    <n v="1463"/>
    <x v="417"/>
    <n v="30"/>
    <n v="11"/>
    <x v="1"/>
    <x v="0"/>
    <x v="1"/>
    <x v="4"/>
    <x v="4"/>
    <n v="2"/>
    <n v="57954.29"/>
    <n v="115908.58"/>
    <s v="Isha Nair"/>
    <n v="38"/>
    <x v="0"/>
    <x v="2"/>
    <n v="5"/>
    <x v="0"/>
    <x v="11"/>
  </r>
  <r>
    <n v="1464"/>
    <x v="417"/>
    <n v="30"/>
    <n v="11"/>
    <x v="1"/>
    <x v="0"/>
    <x v="1"/>
    <x v="4"/>
    <x v="1"/>
    <n v="4"/>
    <n v="63916.99"/>
    <n v="255667.96"/>
    <s v="Meena Das"/>
    <n v="48"/>
    <x v="4"/>
    <x v="2"/>
    <n v="3"/>
    <x v="1"/>
    <x v="1"/>
  </r>
  <r>
    <n v="1465"/>
    <x v="417"/>
    <n v="30"/>
    <n v="11"/>
    <x v="1"/>
    <x v="0"/>
    <x v="1"/>
    <x v="4"/>
    <x v="0"/>
    <n v="8"/>
    <n v="66468.14"/>
    <n v="531745.12"/>
    <s v="Kavita Teja"/>
    <n v="39"/>
    <x v="1"/>
    <x v="0"/>
    <n v="5"/>
    <x v="0"/>
    <x v="10"/>
  </r>
  <r>
    <n v="1466"/>
    <x v="417"/>
    <n v="30"/>
    <n v="11"/>
    <x v="1"/>
    <x v="0"/>
    <x v="1"/>
    <x v="4"/>
    <x v="2"/>
    <n v="8"/>
    <n v="62048.62"/>
    <n v="496388.96"/>
    <s v="Pankaj Singh"/>
    <n v="28"/>
    <x v="18"/>
    <x v="2"/>
    <n v="4"/>
    <x v="0"/>
    <x v="6"/>
  </r>
  <r>
    <n v="1467"/>
    <x v="418"/>
    <n v="1"/>
    <n v="12"/>
    <x v="1"/>
    <x v="0"/>
    <x v="2"/>
    <x v="5"/>
    <x v="1"/>
    <n v="9"/>
    <n v="27253"/>
    <n v="245277"/>
    <s v="Mala Kulkarni"/>
    <n v="51"/>
    <x v="1"/>
    <x v="0"/>
    <n v="5"/>
    <x v="0"/>
    <x v="9"/>
  </r>
  <r>
    <n v="1468"/>
    <x v="418"/>
    <n v="1"/>
    <n v="12"/>
    <x v="1"/>
    <x v="0"/>
    <x v="2"/>
    <x v="5"/>
    <x v="1"/>
    <n v="5"/>
    <n v="29985.23"/>
    <n v="149926.15"/>
    <s v="Pankaj Desai"/>
    <n v="32"/>
    <x v="2"/>
    <x v="1"/>
    <n v="3"/>
    <x v="1"/>
    <x v="9"/>
  </r>
  <r>
    <n v="1469"/>
    <x v="418"/>
    <n v="1"/>
    <n v="12"/>
    <x v="1"/>
    <x v="0"/>
    <x v="2"/>
    <x v="5"/>
    <x v="4"/>
    <n v="7"/>
    <n v="35592.74"/>
    <n v="249149.18"/>
    <s v="Sneha Sharma"/>
    <n v="27"/>
    <x v="9"/>
    <x v="2"/>
    <n v="1"/>
    <x v="2"/>
    <x v="11"/>
  </r>
  <r>
    <n v="1470"/>
    <x v="418"/>
    <n v="1"/>
    <n v="12"/>
    <x v="1"/>
    <x v="0"/>
    <x v="2"/>
    <x v="5"/>
    <x v="1"/>
    <n v="3"/>
    <n v="18357.8"/>
    <n v="55073.399999999994"/>
    <s v="Sanjay Malhotra"/>
    <n v="55"/>
    <x v="1"/>
    <x v="3"/>
    <n v="5"/>
    <x v="0"/>
    <x v="1"/>
  </r>
  <r>
    <n v="1471"/>
    <x v="419"/>
    <n v="2"/>
    <n v="12"/>
    <x v="1"/>
    <x v="0"/>
    <x v="2"/>
    <x v="6"/>
    <x v="0"/>
    <n v="4"/>
    <n v="11336.35"/>
    <n v="45345.4"/>
    <s v="Umesh Dutta"/>
    <n v="49"/>
    <x v="5"/>
    <x v="0"/>
    <n v="5"/>
    <x v="0"/>
    <x v="10"/>
  </r>
  <r>
    <n v="1472"/>
    <x v="419"/>
    <n v="2"/>
    <n v="12"/>
    <x v="1"/>
    <x v="0"/>
    <x v="2"/>
    <x v="6"/>
    <x v="0"/>
    <n v="9"/>
    <n v="62147.3"/>
    <n v="559325.70000000007"/>
    <s v="Bina Mathur"/>
    <n v="48"/>
    <x v="14"/>
    <x v="0"/>
    <n v="3"/>
    <x v="1"/>
    <x v="3"/>
  </r>
  <r>
    <n v="1473"/>
    <x v="419"/>
    <n v="2"/>
    <n v="12"/>
    <x v="1"/>
    <x v="0"/>
    <x v="2"/>
    <x v="6"/>
    <x v="3"/>
    <n v="1"/>
    <n v="43247.72"/>
    <n v="43247.72"/>
    <s v="Namita Siddiqui"/>
    <n v="54"/>
    <x v="1"/>
    <x v="3"/>
    <n v="5"/>
    <x v="0"/>
    <x v="5"/>
  </r>
  <r>
    <n v="1474"/>
    <x v="419"/>
    <n v="2"/>
    <n v="12"/>
    <x v="1"/>
    <x v="0"/>
    <x v="2"/>
    <x v="6"/>
    <x v="0"/>
    <n v="2"/>
    <n v="46523.38"/>
    <n v="93046.76"/>
    <s v="Priyanka Alva"/>
    <n v="45"/>
    <x v="11"/>
    <x v="0"/>
    <n v="1"/>
    <x v="2"/>
    <x v="3"/>
  </r>
  <r>
    <n v="1475"/>
    <x v="420"/>
    <n v="3"/>
    <n v="12"/>
    <x v="1"/>
    <x v="0"/>
    <x v="2"/>
    <x v="0"/>
    <x v="1"/>
    <n v="5"/>
    <n v="65619.31"/>
    <n v="328096.55"/>
    <s v="Mala Thakur"/>
    <n v="48"/>
    <x v="1"/>
    <x v="0"/>
    <n v="1"/>
    <x v="2"/>
    <x v="1"/>
  </r>
  <r>
    <n v="1476"/>
    <x v="420"/>
    <n v="3"/>
    <n v="12"/>
    <x v="1"/>
    <x v="0"/>
    <x v="2"/>
    <x v="0"/>
    <x v="0"/>
    <n v="3"/>
    <n v="49907.21"/>
    <n v="149721.63"/>
    <s v="Monika Goyal"/>
    <n v="23"/>
    <x v="6"/>
    <x v="3"/>
    <n v="5"/>
    <x v="0"/>
    <x v="0"/>
  </r>
  <r>
    <n v="1477"/>
    <x v="420"/>
    <n v="3"/>
    <n v="12"/>
    <x v="1"/>
    <x v="0"/>
    <x v="2"/>
    <x v="0"/>
    <x v="4"/>
    <n v="2"/>
    <n v="51451.21"/>
    <n v="102902.42"/>
    <s v="Aditya Menon"/>
    <n v="31"/>
    <x v="2"/>
    <x v="1"/>
    <n v="4"/>
    <x v="0"/>
    <x v="11"/>
  </r>
  <r>
    <n v="1478"/>
    <x v="420"/>
    <n v="3"/>
    <n v="12"/>
    <x v="1"/>
    <x v="0"/>
    <x v="2"/>
    <x v="0"/>
    <x v="3"/>
    <n v="1"/>
    <n v="57218.12"/>
    <n v="57218.12"/>
    <s v="Tapan Deshmukh"/>
    <n v="40"/>
    <x v="15"/>
    <x v="2"/>
    <n v="5"/>
    <x v="0"/>
    <x v="5"/>
  </r>
  <r>
    <n v="1479"/>
    <x v="421"/>
    <n v="4"/>
    <n v="12"/>
    <x v="1"/>
    <x v="0"/>
    <x v="2"/>
    <x v="1"/>
    <x v="1"/>
    <n v="3"/>
    <n v="16980.91"/>
    <n v="50942.729999999996"/>
    <s v="Navin Kapoor"/>
    <n v="33"/>
    <x v="1"/>
    <x v="2"/>
    <n v="3"/>
    <x v="1"/>
    <x v="9"/>
  </r>
  <r>
    <n v="1480"/>
    <x v="421"/>
    <n v="4"/>
    <n v="12"/>
    <x v="1"/>
    <x v="0"/>
    <x v="2"/>
    <x v="1"/>
    <x v="3"/>
    <n v="1"/>
    <n v="31609.73"/>
    <n v="31609.73"/>
    <s v="Sachin Nambiar"/>
    <n v="42"/>
    <x v="17"/>
    <x v="2"/>
    <n v="5"/>
    <x v="0"/>
    <x v="5"/>
  </r>
  <r>
    <n v="1481"/>
    <x v="421"/>
    <n v="4"/>
    <n v="12"/>
    <x v="1"/>
    <x v="0"/>
    <x v="2"/>
    <x v="1"/>
    <x v="1"/>
    <n v="1"/>
    <n v="68092.479999999996"/>
    <n v="68092.479999999996"/>
    <s v="Anjali Ahuja"/>
    <n v="56"/>
    <x v="11"/>
    <x v="2"/>
    <n v="3"/>
    <x v="1"/>
    <x v="1"/>
  </r>
  <r>
    <n v="1482"/>
    <x v="421"/>
    <n v="4"/>
    <n v="12"/>
    <x v="1"/>
    <x v="0"/>
    <x v="2"/>
    <x v="1"/>
    <x v="4"/>
    <n v="1"/>
    <n v="65375.8"/>
    <n v="65375.8"/>
    <s v="Kiran Singh"/>
    <n v="19"/>
    <x v="9"/>
    <x v="2"/>
    <n v="4"/>
    <x v="0"/>
    <x v="7"/>
  </r>
  <r>
    <n v="1483"/>
    <x v="422"/>
    <n v="5"/>
    <n v="12"/>
    <x v="1"/>
    <x v="0"/>
    <x v="2"/>
    <x v="2"/>
    <x v="3"/>
    <n v="8"/>
    <n v="63044.52"/>
    <n v="504356.16"/>
    <s v="Umesh Dutta"/>
    <n v="55"/>
    <x v="10"/>
    <x v="2"/>
    <n v="5"/>
    <x v="0"/>
    <x v="12"/>
  </r>
  <r>
    <n v="1484"/>
    <x v="422"/>
    <n v="5"/>
    <n v="12"/>
    <x v="1"/>
    <x v="0"/>
    <x v="2"/>
    <x v="2"/>
    <x v="2"/>
    <n v="3"/>
    <n v="37125.31"/>
    <n v="111375.93"/>
    <s v="Ravi Varma"/>
    <n v="58"/>
    <x v="2"/>
    <x v="0"/>
    <n v="1"/>
    <x v="2"/>
    <x v="13"/>
  </r>
  <r>
    <n v="1485"/>
    <x v="422"/>
    <n v="5"/>
    <n v="12"/>
    <x v="1"/>
    <x v="0"/>
    <x v="2"/>
    <x v="2"/>
    <x v="1"/>
    <n v="1"/>
    <n v="61431.58"/>
    <n v="61431.58"/>
    <s v="Umesh Varma"/>
    <n v="56"/>
    <x v="1"/>
    <x v="2"/>
    <n v="3"/>
    <x v="1"/>
    <x v="2"/>
  </r>
  <r>
    <n v="1486"/>
    <x v="422"/>
    <n v="5"/>
    <n v="12"/>
    <x v="1"/>
    <x v="0"/>
    <x v="2"/>
    <x v="2"/>
    <x v="2"/>
    <n v="7"/>
    <n v="12903.75"/>
    <n v="90326.25"/>
    <s v="Pankaj Shah"/>
    <n v="51"/>
    <x v="2"/>
    <x v="0"/>
    <n v="3"/>
    <x v="1"/>
    <x v="4"/>
  </r>
  <r>
    <n v="1487"/>
    <x v="423"/>
    <n v="6"/>
    <n v="12"/>
    <x v="1"/>
    <x v="0"/>
    <x v="2"/>
    <x v="3"/>
    <x v="3"/>
    <n v="3"/>
    <n v="18911.05"/>
    <n v="56733.149999999994"/>
    <s v="Vijay Singh"/>
    <n v="57"/>
    <x v="18"/>
    <x v="3"/>
    <n v="1"/>
    <x v="2"/>
    <x v="8"/>
  </r>
  <r>
    <n v="1488"/>
    <x v="423"/>
    <n v="6"/>
    <n v="12"/>
    <x v="1"/>
    <x v="0"/>
    <x v="2"/>
    <x v="3"/>
    <x v="2"/>
    <n v="8"/>
    <n v="34838.06"/>
    <n v="278704.48"/>
    <s v="Jyoti Roy"/>
    <n v="42"/>
    <x v="1"/>
    <x v="1"/>
    <n v="5"/>
    <x v="0"/>
    <x v="13"/>
  </r>
  <r>
    <n v="1489"/>
    <x v="423"/>
    <n v="6"/>
    <n v="12"/>
    <x v="1"/>
    <x v="0"/>
    <x v="2"/>
    <x v="3"/>
    <x v="2"/>
    <n v="4"/>
    <n v="39003.519999999997"/>
    <n v="156014.07999999999"/>
    <s v="Kunal Malhotra"/>
    <n v="53"/>
    <x v="5"/>
    <x v="0"/>
    <n v="4"/>
    <x v="0"/>
    <x v="13"/>
  </r>
  <r>
    <n v="1490"/>
    <x v="424"/>
    <n v="7"/>
    <n v="12"/>
    <x v="1"/>
    <x v="0"/>
    <x v="2"/>
    <x v="4"/>
    <x v="3"/>
    <n v="4"/>
    <n v="25810.43"/>
    <n v="103241.72"/>
    <s v="Shruti Bhatnagar"/>
    <n v="33"/>
    <x v="2"/>
    <x v="1"/>
    <n v="5"/>
    <x v="0"/>
    <x v="5"/>
  </r>
  <r>
    <n v="1491"/>
    <x v="424"/>
    <n v="7"/>
    <n v="12"/>
    <x v="1"/>
    <x v="0"/>
    <x v="2"/>
    <x v="4"/>
    <x v="4"/>
    <n v="5"/>
    <n v="31388.6"/>
    <n v="156943"/>
    <s v="Lata Alva"/>
    <n v="35"/>
    <x v="0"/>
    <x v="3"/>
    <n v="5"/>
    <x v="0"/>
    <x v="14"/>
  </r>
  <r>
    <n v="1492"/>
    <x v="424"/>
    <n v="7"/>
    <n v="12"/>
    <x v="1"/>
    <x v="0"/>
    <x v="2"/>
    <x v="4"/>
    <x v="2"/>
    <n v="6"/>
    <n v="19766.57"/>
    <n v="118599.42"/>
    <s v="Navin Chaudhary"/>
    <n v="30"/>
    <x v="2"/>
    <x v="2"/>
    <n v="5"/>
    <x v="0"/>
    <x v="13"/>
  </r>
  <r>
    <n v="1493"/>
    <x v="424"/>
    <n v="7"/>
    <n v="12"/>
    <x v="1"/>
    <x v="0"/>
    <x v="2"/>
    <x v="4"/>
    <x v="2"/>
    <n v="7"/>
    <n v="39348.04"/>
    <n v="275436.28000000003"/>
    <s v="Radha Srivastava"/>
    <n v="54"/>
    <x v="0"/>
    <x v="1"/>
    <n v="3"/>
    <x v="1"/>
    <x v="13"/>
  </r>
  <r>
    <n v="1494"/>
    <x v="425"/>
    <n v="8"/>
    <n v="12"/>
    <x v="1"/>
    <x v="0"/>
    <x v="2"/>
    <x v="5"/>
    <x v="4"/>
    <n v="4"/>
    <n v="57630.6"/>
    <n v="230522.4"/>
    <s v="Arun Nair"/>
    <n v="44"/>
    <x v="10"/>
    <x v="1"/>
    <n v="3"/>
    <x v="1"/>
    <x v="11"/>
  </r>
  <r>
    <n v="1495"/>
    <x v="425"/>
    <n v="8"/>
    <n v="12"/>
    <x v="1"/>
    <x v="0"/>
    <x v="2"/>
    <x v="5"/>
    <x v="2"/>
    <n v="8"/>
    <n v="49681.62"/>
    <n v="397452.96"/>
    <s v="Anita Mathur"/>
    <n v="51"/>
    <x v="0"/>
    <x v="3"/>
    <n v="4"/>
    <x v="0"/>
    <x v="4"/>
  </r>
  <r>
    <n v="1496"/>
    <x v="425"/>
    <n v="8"/>
    <n v="12"/>
    <x v="1"/>
    <x v="0"/>
    <x v="2"/>
    <x v="5"/>
    <x v="2"/>
    <n v="6"/>
    <n v="16467.53"/>
    <n v="98805.18"/>
    <s v="Jyoti Rawat"/>
    <n v="28"/>
    <x v="12"/>
    <x v="3"/>
    <n v="4"/>
    <x v="0"/>
    <x v="13"/>
  </r>
  <r>
    <n v="1497"/>
    <x v="426"/>
    <n v="9"/>
    <n v="12"/>
    <x v="1"/>
    <x v="0"/>
    <x v="2"/>
    <x v="6"/>
    <x v="2"/>
    <n v="1"/>
    <n v="39254.9"/>
    <n v="39254.9"/>
    <s v="Radha Varma"/>
    <n v="18"/>
    <x v="18"/>
    <x v="3"/>
    <n v="4"/>
    <x v="0"/>
    <x v="4"/>
  </r>
  <r>
    <n v="1498"/>
    <x v="426"/>
    <n v="9"/>
    <n v="12"/>
    <x v="1"/>
    <x v="0"/>
    <x v="2"/>
    <x v="6"/>
    <x v="0"/>
    <n v="1"/>
    <n v="51858.78"/>
    <n v="51858.78"/>
    <s v="Neeta Kumar"/>
    <n v="30"/>
    <x v="14"/>
    <x v="0"/>
    <n v="1"/>
    <x v="2"/>
    <x v="10"/>
  </r>
  <r>
    <n v="1499"/>
    <x v="426"/>
    <n v="9"/>
    <n v="12"/>
    <x v="1"/>
    <x v="0"/>
    <x v="2"/>
    <x v="6"/>
    <x v="4"/>
    <n v="9"/>
    <n v="41793.72"/>
    <n v="376143.48"/>
    <s v="Kavita Kaur"/>
    <n v="47"/>
    <x v="2"/>
    <x v="0"/>
    <n v="5"/>
    <x v="0"/>
    <x v="14"/>
  </r>
  <r>
    <n v="1500"/>
    <x v="427"/>
    <n v="10"/>
    <n v="12"/>
    <x v="1"/>
    <x v="0"/>
    <x v="2"/>
    <x v="0"/>
    <x v="2"/>
    <n v="6"/>
    <n v="33500.54"/>
    <n v="201003.24"/>
    <s v="Deepika Shah"/>
    <n v="22"/>
    <x v="1"/>
    <x v="1"/>
    <n v="5"/>
    <x v="0"/>
    <x v="13"/>
  </r>
  <r>
    <n v="1501"/>
    <x v="427"/>
    <n v="10"/>
    <n v="12"/>
    <x v="1"/>
    <x v="0"/>
    <x v="2"/>
    <x v="0"/>
    <x v="4"/>
    <n v="8"/>
    <n v="47314.87"/>
    <n v="378518.96"/>
    <s v="Sachin Goyal"/>
    <n v="35"/>
    <x v="2"/>
    <x v="3"/>
    <n v="4"/>
    <x v="0"/>
    <x v="7"/>
  </r>
  <r>
    <n v="1502"/>
    <x v="427"/>
    <n v="10"/>
    <n v="12"/>
    <x v="1"/>
    <x v="0"/>
    <x v="2"/>
    <x v="0"/>
    <x v="1"/>
    <n v="7"/>
    <n v="68118.320000000007"/>
    <n v="476828.24000000005"/>
    <s v="Pooja Deshmukh"/>
    <n v="31"/>
    <x v="2"/>
    <x v="1"/>
    <n v="3"/>
    <x v="1"/>
    <x v="9"/>
  </r>
  <r>
    <n v="1503"/>
    <x v="427"/>
    <n v="10"/>
    <n v="12"/>
    <x v="1"/>
    <x v="0"/>
    <x v="2"/>
    <x v="0"/>
    <x v="1"/>
    <n v="6"/>
    <n v="15694.47"/>
    <n v="94166.819999999992"/>
    <s v="Reena Das"/>
    <n v="30"/>
    <x v="5"/>
    <x v="2"/>
    <n v="5"/>
    <x v="0"/>
    <x v="9"/>
  </r>
  <r>
    <n v="1504"/>
    <x v="428"/>
    <n v="11"/>
    <n v="12"/>
    <x v="1"/>
    <x v="0"/>
    <x v="2"/>
    <x v="1"/>
    <x v="2"/>
    <n v="4"/>
    <n v="33400.959999999999"/>
    <n v="133603.84"/>
    <s v="Amit Ahuja"/>
    <n v="49"/>
    <x v="13"/>
    <x v="3"/>
    <n v="5"/>
    <x v="0"/>
    <x v="13"/>
  </r>
  <r>
    <n v="1505"/>
    <x v="428"/>
    <n v="11"/>
    <n v="12"/>
    <x v="1"/>
    <x v="0"/>
    <x v="2"/>
    <x v="1"/>
    <x v="4"/>
    <n v="7"/>
    <n v="34396.35"/>
    <n v="240774.44999999998"/>
    <s v="Pankaj Desai"/>
    <n v="24"/>
    <x v="2"/>
    <x v="0"/>
    <n v="1"/>
    <x v="2"/>
    <x v="7"/>
  </r>
  <r>
    <n v="1506"/>
    <x v="428"/>
    <n v="11"/>
    <n v="12"/>
    <x v="1"/>
    <x v="0"/>
    <x v="2"/>
    <x v="1"/>
    <x v="4"/>
    <n v="9"/>
    <n v="44618.04"/>
    <n v="401562.36"/>
    <s v="Rajesh Roy"/>
    <n v="25"/>
    <x v="15"/>
    <x v="3"/>
    <n v="3"/>
    <x v="1"/>
    <x v="7"/>
  </r>
  <r>
    <n v="1507"/>
    <x v="429"/>
    <n v="12"/>
    <n v="12"/>
    <x v="1"/>
    <x v="0"/>
    <x v="2"/>
    <x v="2"/>
    <x v="4"/>
    <n v="7"/>
    <n v="19130.48"/>
    <n v="133913.35999999999"/>
    <s v="Shruti Mehta"/>
    <n v="24"/>
    <x v="1"/>
    <x v="1"/>
    <n v="1"/>
    <x v="2"/>
    <x v="11"/>
  </r>
  <r>
    <n v="1508"/>
    <x v="429"/>
    <n v="12"/>
    <n v="12"/>
    <x v="1"/>
    <x v="0"/>
    <x v="2"/>
    <x v="2"/>
    <x v="0"/>
    <n v="1"/>
    <n v="20598.580000000002"/>
    <n v="20598.580000000002"/>
    <s v="Neeta Menon"/>
    <n v="33"/>
    <x v="1"/>
    <x v="0"/>
    <n v="5"/>
    <x v="0"/>
    <x v="3"/>
  </r>
  <r>
    <n v="1509"/>
    <x v="429"/>
    <n v="12"/>
    <n v="12"/>
    <x v="1"/>
    <x v="0"/>
    <x v="2"/>
    <x v="2"/>
    <x v="1"/>
    <n v="9"/>
    <n v="27121.68"/>
    <n v="244095.12"/>
    <s v="Kavita Bhatnagar"/>
    <n v="48"/>
    <x v="1"/>
    <x v="2"/>
    <n v="5"/>
    <x v="0"/>
    <x v="1"/>
  </r>
  <r>
    <n v="1510"/>
    <x v="429"/>
    <n v="12"/>
    <n v="12"/>
    <x v="1"/>
    <x v="0"/>
    <x v="2"/>
    <x v="2"/>
    <x v="4"/>
    <n v="4"/>
    <n v="67352.2"/>
    <n v="269408.8"/>
    <s v="Pooja Pillai"/>
    <n v="44"/>
    <x v="3"/>
    <x v="2"/>
    <n v="1"/>
    <x v="2"/>
    <x v="14"/>
  </r>
  <r>
    <n v="1511"/>
    <x v="430"/>
    <n v="13"/>
    <n v="12"/>
    <x v="1"/>
    <x v="0"/>
    <x v="2"/>
    <x v="3"/>
    <x v="4"/>
    <n v="3"/>
    <n v="54046.51"/>
    <n v="162139.53"/>
    <s v="Devendra Jain"/>
    <n v="50"/>
    <x v="5"/>
    <x v="1"/>
    <n v="1"/>
    <x v="2"/>
    <x v="7"/>
  </r>
  <r>
    <n v="1512"/>
    <x v="430"/>
    <n v="13"/>
    <n v="12"/>
    <x v="1"/>
    <x v="0"/>
    <x v="2"/>
    <x v="3"/>
    <x v="0"/>
    <n v="4"/>
    <n v="49701.599999999999"/>
    <n v="198806.39999999999"/>
    <s v="Bhavana Mishra"/>
    <n v="46"/>
    <x v="10"/>
    <x v="3"/>
    <n v="1"/>
    <x v="2"/>
    <x v="10"/>
  </r>
  <r>
    <n v="1513"/>
    <x v="430"/>
    <n v="13"/>
    <n v="12"/>
    <x v="1"/>
    <x v="0"/>
    <x v="2"/>
    <x v="3"/>
    <x v="0"/>
    <n v="4"/>
    <n v="59017.46"/>
    <n v="236069.84"/>
    <s v="Vijay Das"/>
    <n v="25"/>
    <x v="1"/>
    <x v="2"/>
    <n v="5"/>
    <x v="0"/>
    <x v="0"/>
  </r>
  <r>
    <n v="1514"/>
    <x v="431"/>
    <n v="14"/>
    <n v="12"/>
    <x v="1"/>
    <x v="0"/>
    <x v="2"/>
    <x v="4"/>
    <x v="4"/>
    <n v="2"/>
    <n v="17654.59"/>
    <n v="35309.18"/>
    <s v="Shruti Verma"/>
    <n v="50"/>
    <x v="16"/>
    <x v="1"/>
    <n v="3"/>
    <x v="1"/>
    <x v="14"/>
  </r>
  <r>
    <n v="1515"/>
    <x v="431"/>
    <n v="14"/>
    <n v="12"/>
    <x v="1"/>
    <x v="0"/>
    <x v="2"/>
    <x v="4"/>
    <x v="3"/>
    <n v="1"/>
    <n v="61559.97"/>
    <n v="61559.97"/>
    <s v="Aditya Patel"/>
    <n v="58"/>
    <x v="5"/>
    <x v="0"/>
    <n v="3"/>
    <x v="1"/>
    <x v="12"/>
  </r>
  <r>
    <n v="1516"/>
    <x v="431"/>
    <n v="14"/>
    <n v="12"/>
    <x v="1"/>
    <x v="0"/>
    <x v="2"/>
    <x v="4"/>
    <x v="4"/>
    <n v="1"/>
    <n v="45689.96"/>
    <n v="45689.96"/>
    <s v="Sunita Luthra"/>
    <n v="36"/>
    <x v="9"/>
    <x v="0"/>
    <n v="5"/>
    <x v="0"/>
    <x v="14"/>
  </r>
  <r>
    <n v="1517"/>
    <x v="431"/>
    <n v="14"/>
    <n v="12"/>
    <x v="1"/>
    <x v="0"/>
    <x v="2"/>
    <x v="4"/>
    <x v="4"/>
    <n v="8"/>
    <n v="30119.74"/>
    <n v="240957.92"/>
    <s v="Manoj Gupta"/>
    <n v="38"/>
    <x v="2"/>
    <x v="1"/>
    <n v="1"/>
    <x v="2"/>
    <x v="7"/>
  </r>
  <r>
    <n v="1518"/>
    <x v="432"/>
    <n v="15"/>
    <n v="12"/>
    <x v="1"/>
    <x v="0"/>
    <x v="2"/>
    <x v="5"/>
    <x v="0"/>
    <n v="2"/>
    <n v="58951.32"/>
    <n v="117902.64"/>
    <s v="Pooja Deshmukh"/>
    <n v="58"/>
    <x v="2"/>
    <x v="3"/>
    <n v="1"/>
    <x v="2"/>
    <x v="0"/>
  </r>
  <r>
    <n v="1519"/>
    <x v="432"/>
    <n v="15"/>
    <n v="12"/>
    <x v="1"/>
    <x v="0"/>
    <x v="2"/>
    <x v="5"/>
    <x v="0"/>
    <n v="5"/>
    <n v="58153.87"/>
    <n v="290769.35000000003"/>
    <s v="Ravi Prasad"/>
    <n v="38"/>
    <x v="0"/>
    <x v="3"/>
    <n v="4"/>
    <x v="0"/>
    <x v="3"/>
  </r>
  <r>
    <n v="1520"/>
    <x v="432"/>
    <n v="15"/>
    <n v="12"/>
    <x v="1"/>
    <x v="0"/>
    <x v="2"/>
    <x v="5"/>
    <x v="4"/>
    <n v="4"/>
    <n v="60742.51"/>
    <n v="242970.04"/>
    <s v="Umesh Rawat"/>
    <n v="42"/>
    <x v="10"/>
    <x v="3"/>
    <n v="5"/>
    <x v="0"/>
    <x v="7"/>
  </r>
  <r>
    <n v="1521"/>
    <x v="433"/>
    <n v="16"/>
    <n v="12"/>
    <x v="1"/>
    <x v="0"/>
    <x v="2"/>
    <x v="6"/>
    <x v="4"/>
    <n v="8"/>
    <n v="16931.07"/>
    <n v="135448.56"/>
    <s v="Shruti Pathak"/>
    <n v="59"/>
    <x v="8"/>
    <x v="3"/>
    <n v="5"/>
    <x v="0"/>
    <x v="14"/>
  </r>
  <r>
    <n v="1522"/>
    <x v="433"/>
    <n v="16"/>
    <n v="12"/>
    <x v="1"/>
    <x v="0"/>
    <x v="2"/>
    <x v="6"/>
    <x v="4"/>
    <n v="2"/>
    <n v="68161.67"/>
    <n v="136323.34"/>
    <s v="Manoj Kapoor"/>
    <n v="40"/>
    <x v="11"/>
    <x v="1"/>
    <n v="3"/>
    <x v="1"/>
    <x v="7"/>
  </r>
  <r>
    <n v="1523"/>
    <x v="433"/>
    <n v="16"/>
    <n v="12"/>
    <x v="1"/>
    <x v="0"/>
    <x v="2"/>
    <x v="6"/>
    <x v="0"/>
    <n v="9"/>
    <n v="67577.570000000007"/>
    <n v="608198.13000000012"/>
    <s v="Anita Dutta"/>
    <n v="28"/>
    <x v="1"/>
    <x v="1"/>
    <n v="5"/>
    <x v="0"/>
    <x v="0"/>
  </r>
  <r>
    <n v="1524"/>
    <x v="433"/>
    <n v="16"/>
    <n v="12"/>
    <x v="1"/>
    <x v="0"/>
    <x v="2"/>
    <x v="6"/>
    <x v="4"/>
    <n v="7"/>
    <n v="31448.18"/>
    <n v="220137.26"/>
    <s v="Deepika Patel"/>
    <n v="50"/>
    <x v="1"/>
    <x v="0"/>
    <n v="1"/>
    <x v="2"/>
    <x v="7"/>
  </r>
  <r>
    <n v="1525"/>
    <x v="434"/>
    <n v="17"/>
    <n v="12"/>
    <x v="1"/>
    <x v="0"/>
    <x v="2"/>
    <x v="0"/>
    <x v="4"/>
    <n v="7"/>
    <n v="13953.64"/>
    <n v="97675.48"/>
    <s v="Arun Rawat"/>
    <n v="37"/>
    <x v="14"/>
    <x v="0"/>
    <n v="5"/>
    <x v="0"/>
    <x v="14"/>
  </r>
  <r>
    <n v="1526"/>
    <x v="434"/>
    <n v="17"/>
    <n v="12"/>
    <x v="1"/>
    <x v="0"/>
    <x v="2"/>
    <x v="0"/>
    <x v="2"/>
    <n v="1"/>
    <n v="20023.34"/>
    <n v="20023.34"/>
    <s v="Kavita Kapoor"/>
    <n v="42"/>
    <x v="2"/>
    <x v="3"/>
    <n v="5"/>
    <x v="0"/>
    <x v="4"/>
  </r>
  <r>
    <n v="1527"/>
    <x v="434"/>
    <n v="17"/>
    <n v="12"/>
    <x v="1"/>
    <x v="0"/>
    <x v="2"/>
    <x v="0"/>
    <x v="3"/>
    <n v="2"/>
    <n v="69569.850000000006"/>
    <n v="139139.70000000001"/>
    <s v="Sachin Ghosh"/>
    <n v="43"/>
    <x v="8"/>
    <x v="2"/>
    <n v="5"/>
    <x v="0"/>
    <x v="12"/>
  </r>
  <r>
    <n v="1528"/>
    <x v="434"/>
    <n v="17"/>
    <n v="12"/>
    <x v="1"/>
    <x v="0"/>
    <x v="2"/>
    <x v="0"/>
    <x v="1"/>
    <n v="4"/>
    <n v="43780.78"/>
    <n v="175123.12"/>
    <s v="Sunita Verma"/>
    <n v="57"/>
    <x v="2"/>
    <x v="2"/>
    <n v="1"/>
    <x v="2"/>
    <x v="2"/>
  </r>
  <r>
    <n v="1529"/>
    <x v="435"/>
    <n v="18"/>
    <n v="12"/>
    <x v="1"/>
    <x v="0"/>
    <x v="2"/>
    <x v="1"/>
    <x v="3"/>
    <n v="4"/>
    <n v="31397.31"/>
    <n v="125589.24"/>
    <s v="Prashant Roy"/>
    <n v="29"/>
    <x v="17"/>
    <x v="0"/>
    <n v="5"/>
    <x v="0"/>
    <x v="8"/>
  </r>
  <r>
    <n v="1530"/>
    <x v="435"/>
    <n v="18"/>
    <n v="12"/>
    <x v="1"/>
    <x v="0"/>
    <x v="2"/>
    <x v="1"/>
    <x v="2"/>
    <n v="3"/>
    <n v="27292.16"/>
    <n v="81876.479999999996"/>
    <s v="Ravi Malhotra"/>
    <n v="49"/>
    <x v="2"/>
    <x v="0"/>
    <n v="5"/>
    <x v="0"/>
    <x v="13"/>
  </r>
  <r>
    <n v="1531"/>
    <x v="435"/>
    <n v="18"/>
    <n v="12"/>
    <x v="1"/>
    <x v="0"/>
    <x v="2"/>
    <x v="1"/>
    <x v="1"/>
    <n v="7"/>
    <n v="25419.5"/>
    <n v="177936.5"/>
    <s v="Krishna Alva"/>
    <n v="50"/>
    <x v="4"/>
    <x v="1"/>
    <n v="4"/>
    <x v="0"/>
    <x v="1"/>
  </r>
  <r>
    <n v="1532"/>
    <x v="435"/>
    <n v="18"/>
    <n v="12"/>
    <x v="1"/>
    <x v="0"/>
    <x v="2"/>
    <x v="1"/>
    <x v="4"/>
    <n v="8"/>
    <n v="49849.17"/>
    <n v="398793.36"/>
    <s v="Vivek Sheth"/>
    <n v="27"/>
    <x v="13"/>
    <x v="0"/>
    <n v="5"/>
    <x v="0"/>
    <x v="14"/>
  </r>
  <r>
    <n v="1533"/>
    <x v="436"/>
    <n v="19"/>
    <n v="12"/>
    <x v="1"/>
    <x v="0"/>
    <x v="2"/>
    <x v="2"/>
    <x v="2"/>
    <n v="2"/>
    <n v="35163.269999999997"/>
    <n v="70326.539999999994"/>
    <s v="Anita Malhotra"/>
    <n v="21"/>
    <x v="13"/>
    <x v="0"/>
    <n v="4"/>
    <x v="0"/>
    <x v="13"/>
  </r>
  <r>
    <n v="1534"/>
    <x v="436"/>
    <n v="19"/>
    <n v="12"/>
    <x v="1"/>
    <x v="0"/>
    <x v="2"/>
    <x v="2"/>
    <x v="4"/>
    <n v="4"/>
    <n v="67924.639999999999"/>
    <n v="271698.56"/>
    <s v="Ramesh Srivastava"/>
    <n v="32"/>
    <x v="2"/>
    <x v="3"/>
    <n v="5"/>
    <x v="0"/>
    <x v="7"/>
  </r>
  <r>
    <n v="1535"/>
    <x v="436"/>
    <n v="19"/>
    <n v="12"/>
    <x v="1"/>
    <x v="0"/>
    <x v="2"/>
    <x v="2"/>
    <x v="0"/>
    <n v="3"/>
    <n v="51030.58"/>
    <n v="153091.74"/>
    <s v="Meena Roy"/>
    <n v="23"/>
    <x v="2"/>
    <x v="2"/>
    <n v="5"/>
    <x v="0"/>
    <x v="0"/>
  </r>
  <r>
    <n v="1536"/>
    <x v="436"/>
    <n v="19"/>
    <n v="12"/>
    <x v="1"/>
    <x v="0"/>
    <x v="2"/>
    <x v="2"/>
    <x v="2"/>
    <n v="2"/>
    <n v="57522.68"/>
    <n v="115045.36"/>
    <s v="Anita Malhotra"/>
    <n v="44"/>
    <x v="2"/>
    <x v="2"/>
    <n v="1"/>
    <x v="2"/>
    <x v="13"/>
  </r>
  <r>
    <n v="1537"/>
    <x v="437"/>
    <n v="20"/>
    <n v="12"/>
    <x v="1"/>
    <x v="0"/>
    <x v="2"/>
    <x v="3"/>
    <x v="0"/>
    <n v="6"/>
    <n v="27564.49"/>
    <n v="165386.94"/>
    <s v="Tapan Singh"/>
    <n v="22"/>
    <x v="12"/>
    <x v="1"/>
    <n v="5"/>
    <x v="0"/>
    <x v="3"/>
  </r>
  <r>
    <n v="1538"/>
    <x v="437"/>
    <n v="20"/>
    <n v="12"/>
    <x v="1"/>
    <x v="0"/>
    <x v="2"/>
    <x v="3"/>
    <x v="2"/>
    <n v="4"/>
    <n v="14751.18"/>
    <n v="59004.72"/>
    <s v="Prashant Deshmukh"/>
    <n v="22"/>
    <x v="6"/>
    <x v="2"/>
    <n v="1"/>
    <x v="2"/>
    <x v="6"/>
  </r>
  <r>
    <n v="1539"/>
    <x v="437"/>
    <n v="20"/>
    <n v="12"/>
    <x v="1"/>
    <x v="0"/>
    <x v="2"/>
    <x v="3"/>
    <x v="2"/>
    <n v="6"/>
    <n v="39269.370000000003"/>
    <n v="235616.22000000003"/>
    <s v="Sunita Mathur"/>
    <n v="35"/>
    <x v="16"/>
    <x v="3"/>
    <n v="4"/>
    <x v="0"/>
    <x v="13"/>
  </r>
  <r>
    <n v="1540"/>
    <x v="437"/>
    <n v="20"/>
    <n v="12"/>
    <x v="1"/>
    <x v="0"/>
    <x v="2"/>
    <x v="3"/>
    <x v="0"/>
    <n v="2"/>
    <n v="28874.89"/>
    <n v="57749.78"/>
    <s v="Meena Srivastava"/>
    <n v="45"/>
    <x v="10"/>
    <x v="3"/>
    <n v="3"/>
    <x v="1"/>
    <x v="10"/>
  </r>
  <r>
    <n v="1541"/>
    <x v="438"/>
    <n v="21"/>
    <n v="12"/>
    <x v="1"/>
    <x v="0"/>
    <x v="2"/>
    <x v="4"/>
    <x v="1"/>
    <n v="4"/>
    <n v="22124.99"/>
    <n v="88499.96"/>
    <s v="Anita Rawat"/>
    <n v="52"/>
    <x v="1"/>
    <x v="1"/>
    <n v="3"/>
    <x v="1"/>
    <x v="1"/>
  </r>
  <r>
    <n v="1542"/>
    <x v="438"/>
    <n v="21"/>
    <n v="12"/>
    <x v="1"/>
    <x v="0"/>
    <x v="2"/>
    <x v="4"/>
    <x v="3"/>
    <n v="6"/>
    <n v="67158.53"/>
    <n v="402951.18"/>
    <s v="Manoj Jain"/>
    <n v="39"/>
    <x v="8"/>
    <x v="0"/>
    <n v="4"/>
    <x v="0"/>
    <x v="5"/>
  </r>
  <r>
    <n v="1543"/>
    <x v="438"/>
    <n v="21"/>
    <n v="12"/>
    <x v="1"/>
    <x v="0"/>
    <x v="2"/>
    <x v="4"/>
    <x v="4"/>
    <n v="5"/>
    <n v="36639.29"/>
    <n v="183196.45"/>
    <s v="Anjali Srivastava"/>
    <n v="51"/>
    <x v="2"/>
    <x v="0"/>
    <n v="3"/>
    <x v="1"/>
    <x v="7"/>
  </r>
  <r>
    <n v="1544"/>
    <x v="439"/>
    <n v="22"/>
    <n v="12"/>
    <x v="1"/>
    <x v="0"/>
    <x v="2"/>
    <x v="5"/>
    <x v="2"/>
    <n v="3"/>
    <n v="20482.52"/>
    <n v="61447.56"/>
    <s v="Anand Kaur"/>
    <n v="21"/>
    <x v="1"/>
    <x v="3"/>
    <n v="5"/>
    <x v="0"/>
    <x v="13"/>
  </r>
  <r>
    <n v="1545"/>
    <x v="439"/>
    <n v="22"/>
    <n v="12"/>
    <x v="1"/>
    <x v="0"/>
    <x v="2"/>
    <x v="5"/>
    <x v="4"/>
    <n v="8"/>
    <n v="21919.040000000001"/>
    <n v="175352.32000000001"/>
    <s v="Sunil Varma"/>
    <n v="35"/>
    <x v="1"/>
    <x v="1"/>
    <n v="5"/>
    <x v="0"/>
    <x v="11"/>
  </r>
  <r>
    <n v="1546"/>
    <x v="439"/>
    <n v="22"/>
    <n v="12"/>
    <x v="1"/>
    <x v="0"/>
    <x v="2"/>
    <x v="5"/>
    <x v="0"/>
    <n v="7"/>
    <n v="26842.58"/>
    <n v="187898.06"/>
    <s v="Deepika Patel"/>
    <n v="58"/>
    <x v="8"/>
    <x v="3"/>
    <n v="5"/>
    <x v="0"/>
    <x v="0"/>
  </r>
  <r>
    <n v="1547"/>
    <x v="440"/>
    <n v="23"/>
    <n v="12"/>
    <x v="1"/>
    <x v="0"/>
    <x v="2"/>
    <x v="6"/>
    <x v="4"/>
    <n v="3"/>
    <n v="69958.98"/>
    <n v="209876.94"/>
    <s v="Sunil Luthra"/>
    <n v="43"/>
    <x v="1"/>
    <x v="2"/>
    <n v="5"/>
    <x v="0"/>
    <x v="11"/>
  </r>
  <r>
    <n v="1548"/>
    <x v="440"/>
    <n v="23"/>
    <n v="12"/>
    <x v="1"/>
    <x v="0"/>
    <x v="2"/>
    <x v="6"/>
    <x v="0"/>
    <n v="6"/>
    <n v="26080.69"/>
    <n v="156484.13999999998"/>
    <s v="Gita Dutta"/>
    <n v="59"/>
    <x v="15"/>
    <x v="2"/>
    <n v="3"/>
    <x v="1"/>
    <x v="3"/>
  </r>
  <r>
    <n v="1549"/>
    <x v="440"/>
    <n v="23"/>
    <n v="12"/>
    <x v="1"/>
    <x v="0"/>
    <x v="2"/>
    <x v="6"/>
    <x v="4"/>
    <n v="4"/>
    <n v="29728.11"/>
    <n v="118912.44"/>
    <s v="Mala Dutta"/>
    <n v="39"/>
    <x v="17"/>
    <x v="3"/>
    <n v="1"/>
    <x v="2"/>
    <x v="7"/>
  </r>
  <r>
    <n v="1550"/>
    <x v="441"/>
    <n v="24"/>
    <n v="12"/>
    <x v="1"/>
    <x v="0"/>
    <x v="2"/>
    <x v="0"/>
    <x v="3"/>
    <n v="5"/>
    <n v="49559.69"/>
    <n v="247798.45"/>
    <s v="Amit Chatterjee"/>
    <n v="50"/>
    <x v="2"/>
    <x v="0"/>
    <n v="5"/>
    <x v="0"/>
    <x v="8"/>
  </r>
  <r>
    <n v="1551"/>
    <x v="441"/>
    <n v="24"/>
    <n v="12"/>
    <x v="1"/>
    <x v="0"/>
    <x v="2"/>
    <x v="0"/>
    <x v="3"/>
    <n v="5"/>
    <n v="27637.68"/>
    <n v="138188.4"/>
    <s v="Shruti Dutta"/>
    <n v="31"/>
    <x v="2"/>
    <x v="2"/>
    <n v="1"/>
    <x v="2"/>
    <x v="5"/>
  </r>
  <r>
    <n v="1552"/>
    <x v="441"/>
    <n v="24"/>
    <n v="12"/>
    <x v="1"/>
    <x v="0"/>
    <x v="2"/>
    <x v="0"/>
    <x v="3"/>
    <n v="7"/>
    <n v="22948.26"/>
    <n v="160637.81999999998"/>
    <s v="Ramesh Varma"/>
    <n v="48"/>
    <x v="3"/>
    <x v="1"/>
    <n v="3"/>
    <x v="1"/>
    <x v="8"/>
  </r>
  <r>
    <n v="1553"/>
    <x v="441"/>
    <n v="24"/>
    <n v="12"/>
    <x v="1"/>
    <x v="0"/>
    <x v="2"/>
    <x v="0"/>
    <x v="3"/>
    <n v="5"/>
    <n v="19518.23"/>
    <n v="97591.15"/>
    <s v="Reena Kulkarni"/>
    <n v="27"/>
    <x v="11"/>
    <x v="0"/>
    <n v="1"/>
    <x v="2"/>
    <x v="5"/>
  </r>
  <r>
    <n v="1554"/>
    <x v="442"/>
    <n v="25"/>
    <n v="12"/>
    <x v="1"/>
    <x v="0"/>
    <x v="2"/>
    <x v="1"/>
    <x v="3"/>
    <n v="3"/>
    <n v="28760.959999999999"/>
    <n v="86282.880000000005"/>
    <s v="Anand Kaur"/>
    <n v="41"/>
    <x v="7"/>
    <x v="2"/>
    <n v="3"/>
    <x v="1"/>
    <x v="8"/>
  </r>
  <r>
    <n v="1555"/>
    <x v="442"/>
    <n v="25"/>
    <n v="12"/>
    <x v="1"/>
    <x v="0"/>
    <x v="2"/>
    <x v="1"/>
    <x v="3"/>
    <n v="5"/>
    <n v="16354.94"/>
    <n v="81774.7"/>
    <s v="Sunil Siddiqui"/>
    <n v="38"/>
    <x v="1"/>
    <x v="3"/>
    <n v="5"/>
    <x v="0"/>
    <x v="5"/>
  </r>
  <r>
    <n v="1556"/>
    <x v="442"/>
    <n v="25"/>
    <n v="12"/>
    <x v="1"/>
    <x v="0"/>
    <x v="2"/>
    <x v="1"/>
    <x v="0"/>
    <n v="7"/>
    <n v="11118.8"/>
    <n v="77831.599999999991"/>
    <s v="Rohan Sheth"/>
    <n v="25"/>
    <x v="1"/>
    <x v="0"/>
    <n v="5"/>
    <x v="0"/>
    <x v="10"/>
  </r>
  <r>
    <n v="1557"/>
    <x v="443"/>
    <n v="26"/>
    <n v="12"/>
    <x v="1"/>
    <x v="0"/>
    <x v="2"/>
    <x v="2"/>
    <x v="2"/>
    <n v="5"/>
    <n v="58278.5"/>
    <n v="291392.5"/>
    <s v="Sunita Iyer"/>
    <n v="49"/>
    <x v="11"/>
    <x v="0"/>
    <n v="4"/>
    <x v="0"/>
    <x v="4"/>
  </r>
  <r>
    <n v="1558"/>
    <x v="443"/>
    <n v="26"/>
    <n v="12"/>
    <x v="1"/>
    <x v="0"/>
    <x v="2"/>
    <x v="2"/>
    <x v="4"/>
    <n v="5"/>
    <n v="18273.7"/>
    <n v="91368.5"/>
    <s v="Bhavana Ghosh"/>
    <n v="48"/>
    <x v="2"/>
    <x v="2"/>
    <n v="3"/>
    <x v="1"/>
    <x v="14"/>
  </r>
  <r>
    <n v="1559"/>
    <x v="443"/>
    <n v="26"/>
    <n v="12"/>
    <x v="1"/>
    <x v="0"/>
    <x v="2"/>
    <x v="2"/>
    <x v="3"/>
    <n v="9"/>
    <n v="56558.61"/>
    <n v="509027.49"/>
    <s v="Priya Thakur"/>
    <n v="51"/>
    <x v="1"/>
    <x v="1"/>
    <n v="5"/>
    <x v="0"/>
    <x v="5"/>
  </r>
  <r>
    <n v="1560"/>
    <x v="443"/>
    <n v="26"/>
    <n v="12"/>
    <x v="1"/>
    <x v="0"/>
    <x v="2"/>
    <x v="2"/>
    <x v="0"/>
    <n v="3"/>
    <n v="57852.55"/>
    <n v="173557.65000000002"/>
    <s v="Sanjay Srivastava"/>
    <n v="40"/>
    <x v="9"/>
    <x v="2"/>
    <n v="1"/>
    <x v="2"/>
    <x v="10"/>
  </r>
  <r>
    <n v="1561"/>
    <x v="444"/>
    <n v="27"/>
    <n v="12"/>
    <x v="1"/>
    <x v="0"/>
    <x v="2"/>
    <x v="3"/>
    <x v="0"/>
    <n v="6"/>
    <n v="42275.17"/>
    <n v="253651.02"/>
    <s v="Meena Sheth"/>
    <n v="42"/>
    <x v="18"/>
    <x v="2"/>
    <n v="5"/>
    <x v="0"/>
    <x v="3"/>
  </r>
  <r>
    <n v="1562"/>
    <x v="444"/>
    <n v="27"/>
    <n v="12"/>
    <x v="1"/>
    <x v="0"/>
    <x v="2"/>
    <x v="3"/>
    <x v="0"/>
    <n v="1"/>
    <n v="28580.92"/>
    <n v="28580.92"/>
    <s v="Meena Joshi"/>
    <n v="24"/>
    <x v="2"/>
    <x v="2"/>
    <n v="1"/>
    <x v="2"/>
    <x v="0"/>
  </r>
  <r>
    <n v="1563"/>
    <x v="444"/>
    <n v="27"/>
    <n v="12"/>
    <x v="1"/>
    <x v="0"/>
    <x v="2"/>
    <x v="3"/>
    <x v="2"/>
    <n v="5"/>
    <n v="18701.96"/>
    <n v="93509.799999999988"/>
    <s v="Manoj Gupta"/>
    <n v="36"/>
    <x v="1"/>
    <x v="2"/>
    <n v="1"/>
    <x v="2"/>
    <x v="6"/>
  </r>
  <r>
    <n v="1564"/>
    <x v="444"/>
    <n v="27"/>
    <n v="12"/>
    <x v="1"/>
    <x v="0"/>
    <x v="2"/>
    <x v="3"/>
    <x v="4"/>
    <n v="8"/>
    <n v="54208.31"/>
    <n v="433666.48"/>
    <s v="Anand Kaur"/>
    <n v="24"/>
    <x v="1"/>
    <x v="2"/>
    <n v="1"/>
    <x v="2"/>
    <x v="11"/>
  </r>
  <r>
    <n v="1565"/>
    <x v="445"/>
    <n v="28"/>
    <n v="12"/>
    <x v="1"/>
    <x v="0"/>
    <x v="2"/>
    <x v="4"/>
    <x v="2"/>
    <n v="5"/>
    <n v="46083.22"/>
    <n v="230416.1"/>
    <s v="Rohan Dutta"/>
    <n v="25"/>
    <x v="10"/>
    <x v="3"/>
    <n v="1"/>
    <x v="2"/>
    <x v="6"/>
  </r>
  <r>
    <n v="1566"/>
    <x v="445"/>
    <n v="28"/>
    <n v="12"/>
    <x v="1"/>
    <x v="0"/>
    <x v="2"/>
    <x v="4"/>
    <x v="1"/>
    <n v="9"/>
    <n v="49327.21"/>
    <n v="443944.89"/>
    <s v="Prashant Deshmukh"/>
    <n v="31"/>
    <x v="13"/>
    <x v="2"/>
    <n v="5"/>
    <x v="0"/>
    <x v="9"/>
  </r>
  <r>
    <n v="1567"/>
    <x v="445"/>
    <n v="28"/>
    <n v="12"/>
    <x v="1"/>
    <x v="0"/>
    <x v="2"/>
    <x v="4"/>
    <x v="0"/>
    <n v="6"/>
    <n v="10520.15"/>
    <n v="63120.899999999994"/>
    <s v="Priya Kaur"/>
    <n v="18"/>
    <x v="1"/>
    <x v="1"/>
    <n v="1"/>
    <x v="2"/>
    <x v="0"/>
  </r>
  <r>
    <n v="1568"/>
    <x v="446"/>
    <n v="29"/>
    <n v="12"/>
    <x v="1"/>
    <x v="0"/>
    <x v="2"/>
    <x v="5"/>
    <x v="1"/>
    <n v="8"/>
    <n v="65651.02"/>
    <n v="525208.16"/>
    <s v="Anand Siddiqui"/>
    <n v="30"/>
    <x v="1"/>
    <x v="0"/>
    <n v="5"/>
    <x v="0"/>
    <x v="1"/>
  </r>
  <r>
    <n v="1569"/>
    <x v="446"/>
    <n v="29"/>
    <n v="12"/>
    <x v="1"/>
    <x v="0"/>
    <x v="2"/>
    <x v="5"/>
    <x v="3"/>
    <n v="8"/>
    <n v="13977.41"/>
    <n v="111819.28"/>
    <s v="Rajesh Ghosh"/>
    <n v="20"/>
    <x v="1"/>
    <x v="3"/>
    <n v="4"/>
    <x v="0"/>
    <x v="8"/>
  </r>
  <r>
    <n v="1570"/>
    <x v="446"/>
    <n v="29"/>
    <n v="12"/>
    <x v="1"/>
    <x v="0"/>
    <x v="2"/>
    <x v="5"/>
    <x v="3"/>
    <n v="3"/>
    <n v="32008.35"/>
    <n v="96025.049999999988"/>
    <s v="Sanjay Roy"/>
    <n v="45"/>
    <x v="2"/>
    <x v="1"/>
    <n v="5"/>
    <x v="0"/>
    <x v="12"/>
  </r>
  <r>
    <n v="1571"/>
    <x v="447"/>
    <n v="30"/>
    <n v="12"/>
    <x v="1"/>
    <x v="0"/>
    <x v="2"/>
    <x v="6"/>
    <x v="2"/>
    <n v="7"/>
    <n v="34162.699999999997"/>
    <n v="239138.89999999997"/>
    <s v="Kavita Kumar"/>
    <n v="55"/>
    <x v="4"/>
    <x v="2"/>
    <n v="1"/>
    <x v="2"/>
    <x v="13"/>
  </r>
  <r>
    <n v="1572"/>
    <x v="447"/>
    <n v="30"/>
    <n v="12"/>
    <x v="1"/>
    <x v="0"/>
    <x v="2"/>
    <x v="6"/>
    <x v="4"/>
    <n v="7"/>
    <n v="10081.33"/>
    <n v="70569.31"/>
    <s v="Prashant Jain"/>
    <n v="32"/>
    <x v="1"/>
    <x v="1"/>
    <n v="4"/>
    <x v="0"/>
    <x v="7"/>
  </r>
  <r>
    <n v="1573"/>
    <x v="447"/>
    <n v="30"/>
    <n v="12"/>
    <x v="1"/>
    <x v="0"/>
    <x v="2"/>
    <x v="6"/>
    <x v="1"/>
    <n v="6"/>
    <n v="39825.360000000001"/>
    <n v="238952.16"/>
    <s v="Namita Teja"/>
    <n v="53"/>
    <x v="1"/>
    <x v="0"/>
    <n v="5"/>
    <x v="0"/>
    <x v="9"/>
  </r>
  <r>
    <n v="1574"/>
    <x v="447"/>
    <n v="30"/>
    <n v="12"/>
    <x v="1"/>
    <x v="0"/>
    <x v="2"/>
    <x v="6"/>
    <x v="4"/>
    <n v="7"/>
    <n v="55168.54"/>
    <n v="386179.78"/>
    <s v="Yogesh Mishra"/>
    <n v="20"/>
    <x v="10"/>
    <x v="1"/>
    <n v="5"/>
    <x v="0"/>
    <x v="7"/>
  </r>
  <r>
    <n v="1575"/>
    <x v="448"/>
    <n v="31"/>
    <n v="12"/>
    <x v="1"/>
    <x v="0"/>
    <x v="2"/>
    <x v="0"/>
    <x v="2"/>
    <n v="2"/>
    <n v="59396.12"/>
    <n v="118792.24"/>
    <s v="Anita Joshi"/>
    <n v="21"/>
    <x v="5"/>
    <x v="2"/>
    <n v="5"/>
    <x v="0"/>
    <x v="13"/>
  </r>
  <r>
    <n v="1576"/>
    <x v="448"/>
    <n v="31"/>
    <n v="12"/>
    <x v="1"/>
    <x v="0"/>
    <x v="2"/>
    <x v="0"/>
    <x v="3"/>
    <n v="9"/>
    <n v="62763.82"/>
    <n v="564874.38"/>
    <s v="Rohan Deshmukh"/>
    <n v="22"/>
    <x v="2"/>
    <x v="0"/>
    <n v="4"/>
    <x v="0"/>
    <x v="12"/>
  </r>
  <r>
    <n v="1577"/>
    <x v="448"/>
    <n v="31"/>
    <n v="12"/>
    <x v="1"/>
    <x v="0"/>
    <x v="2"/>
    <x v="0"/>
    <x v="4"/>
    <n v="1"/>
    <n v="39263.129999999997"/>
    <n v="39263.129999999997"/>
    <s v="Vivek Rawat"/>
    <n v="43"/>
    <x v="2"/>
    <x v="2"/>
    <n v="5"/>
    <x v="0"/>
    <x v="7"/>
  </r>
  <r>
    <n v="1578"/>
    <x v="449"/>
    <n v="1"/>
    <n v="1"/>
    <x v="2"/>
    <x v="1"/>
    <x v="3"/>
    <x v="1"/>
    <x v="4"/>
    <n v="1"/>
    <n v="47838.17"/>
    <n v="47838.17"/>
    <s v="Priya Bhattacharya"/>
    <n v="42"/>
    <x v="18"/>
    <x v="2"/>
    <n v="1"/>
    <x v="2"/>
    <x v="7"/>
  </r>
  <r>
    <n v="1579"/>
    <x v="449"/>
    <n v="1"/>
    <n v="1"/>
    <x v="2"/>
    <x v="1"/>
    <x v="3"/>
    <x v="1"/>
    <x v="3"/>
    <n v="3"/>
    <n v="14771.18"/>
    <n v="44313.54"/>
    <s v="Tapan Singh"/>
    <n v="27"/>
    <x v="9"/>
    <x v="3"/>
    <n v="5"/>
    <x v="0"/>
    <x v="8"/>
  </r>
  <r>
    <n v="1580"/>
    <x v="449"/>
    <n v="1"/>
    <n v="1"/>
    <x v="2"/>
    <x v="1"/>
    <x v="3"/>
    <x v="1"/>
    <x v="1"/>
    <n v="3"/>
    <n v="39282.29"/>
    <n v="117846.87"/>
    <s v="Meena Desai"/>
    <n v="25"/>
    <x v="2"/>
    <x v="0"/>
    <n v="1"/>
    <x v="2"/>
    <x v="9"/>
  </r>
  <r>
    <n v="1581"/>
    <x v="449"/>
    <n v="1"/>
    <n v="1"/>
    <x v="2"/>
    <x v="1"/>
    <x v="3"/>
    <x v="1"/>
    <x v="3"/>
    <n v="1"/>
    <n v="19288.95"/>
    <n v="19288.95"/>
    <s v="Pankaj Pathak"/>
    <n v="29"/>
    <x v="1"/>
    <x v="0"/>
    <n v="3"/>
    <x v="1"/>
    <x v="8"/>
  </r>
  <r>
    <n v="1582"/>
    <x v="450"/>
    <n v="2"/>
    <n v="1"/>
    <x v="2"/>
    <x v="1"/>
    <x v="3"/>
    <x v="2"/>
    <x v="4"/>
    <n v="7"/>
    <n v="32178.59"/>
    <n v="225250.13"/>
    <s v="Rajesh Chaudhary"/>
    <n v="20"/>
    <x v="1"/>
    <x v="2"/>
    <n v="5"/>
    <x v="0"/>
    <x v="7"/>
  </r>
  <r>
    <n v="1583"/>
    <x v="450"/>
    <n v="2"/>
    <n v="1"/>
    <x v="2"/>
    <x v="1"/>
    <x v="3"/>
    <x v="2"/>
    <x v="1"/>
    <n v="4"/>
    <n v="29758.32"/>
    <n v="119033.28"/>
    <s v="Lata Shah"/>
    <n v="44"/>
    <x v="7"/>
    <x v="1"/>
    <n v="5"/>
    <x v="0"/>
    <x v="2"/>
  </r>
  <r>
    <n v="1584"/>
    <x v="450"/>
    <n v="2"/>
    <n v="1"/>
    <x v="2"/>
    <x v="1"/>
    <x v="3"/>
    <x v="2"/>
    <x v="1"/>
    <n v="2"/>
    <n v="35412.43"/>
    <n v="70824.86"/>
    <s v="Anand Patel"/>
    <n v="40"/>
    <x v="18"/>
    <x v="0"/>
    <n v="5"/>
    <x v="0"/>
    <x v="9"/>
  </r>
  <r>
    <n v="1585"/>
    <x v="450"/>
    <n v="2"/>
    <n v="1"/>
    <x v="2"/>
    <x v="1"/>
    <x v="3"/>
    <x v="2"/>
    <x v="3"/>
    <n v="5"/>
    <n v="44298.2"/>
    <n v="221491"/>
    <s v="Meena Rathod"/>
    <n v="57"/>
    <x v="14"/>
    <x v="1"/>
    <n v="5"/>
    <x v="0"/>
    <x v="8"/>
  </r>
  <r>
    <n v="1586"/>
    <x v="451"/>
    <n v="3"/>
    <n v="1"/>
    <x v="2"/>
    <x v="1"/>
    <x v="3"/>
    <x v="3"/>
    <x v="4"/>
    <n v="6"/>
    <n v="64172.6"/>
    <n v="385035.6"/>
    <s v="Jyoti Iyer"/>
    <n v="50"/>
    <x v="9"/>
    <x v="1"/>
    <n v="4"/>
    <x v="0"/>
    <x v="11"/>
  </r>
  <r>
    <n v="1587"/>
    <x v="451"/>
    <n v="3"/>
    <n v="1"/>
    <x v="2"/>
    <x v="1"/>
    <x v="3"/>
    <x v="3"/>
    <x v="2"/>
    <n v="9"/>
    <n v="33669.08"/>
    <n v="303021.72000000003"/>
    <s v="Ramesh Gupta"/>
    <n v="31"/>
    <x v="1"/>
    <x v="0"/>
    <n v="1"/>
    <x v="2"/>
    <x v="6"/>
  </r>
  <r>
    <n v="1588"/>
    <x v="451"/>
    <n v="3"/>
    <n v="1"/>
    <x v="2"/>
    <x v="1"/>
    <x v="3"/>
    <x v="3"/>
    <x v="4"/>
    <n v="4"/>
    <n v="68867.87"/>
    <n v="275471.48"/>
    <s v="Sumit Chatterjee"/>
    <n v="40"/>
    <x v="3"/>
    <x v="1"/>
    <n v="5"/>
    <x v="0"/>
    <x v="7"/>
  </r>
  <r>
    <n v="1589"/>
    <x v="451"/>
    <n v="3"/>
    <n v="1"/>
    <x v="2"/>
    <x v="1"/>
    <x v="3"/>
    <x v="3"/>
    <x v="0"/>
    <n v="2"/>
    <n v="55541.68"/>
    <n v="111083.36"/>
    <s v="Reena Patel"/>
    <n v="48"/>
    <x v="2"/>
    <x v="0"/>
    <n v="4"/>
    <x v="0"/>
    <x v="3"/>
  </r>
  <r>
    <n v="1590"/>
    <x v="452"/>
    <n v="4"/>
    <n v="1"/>
    <x v="2"/>
    <x v="1"/>
    <x v="3"/>
    <x v="4"/>
    <x v="2"/>
    <n v="5"/>
    <n v="40688.86"/>
    <n v="203444.3"/>
    <s v="Manoj Siddiqui"/>
    <n v="30"/>
    <x v="2"/>
    <x v="3"/>
    <n v="1"/>
    <x v="2"/>
    <x v="6"/>
  </r>
  <r>
    <n v="1591"/>
    <x v="452"/>
    <n v="4"/>
    <n v="1"/>
    <x v="2"/>
    <x v="1"/>
    <x v="3"/>
    <x v="4"/>
    <x v="1"/>
    <n v="3"/>
    <n v="48641.59"/>
    <n v="145924.76999999999"/>
    <s v="Lalita Rathod"/>
    <n v="29"/>
    <x v="1"/>
    <x v="0"/>
    <n v="1"/>
    <x v="2"/>
    <x v="2"/>
  </r>
  <r>
    <n v="1592"/>
    <x v="452"/>
    <n v="4"/>
    <n v="1"/>
    <x v="2"/>
    <x v="1"/>
    <x v="3"/>
    <x v="4"/>
    <x v="2"/>
    <n v="2"/>
    <n v="16133.45"/>
    <n v="32266.9"/>
    <s v="Ravi Kulkarni"/>
    <n v="52"/>
    <x v="2"/>
    <x v="0"/>
    <n v="1"/>
    <x v="2"/>
    <x v="6"/>
  </r>
  <r>
    <n v="1593"/>
    <x v="452"/>
    <n v="4"/>
    <n v="1"/>
    <x v="2"/>
    <x v="1"/>
    <x v="3"/>
    <x v="4"/>
    <x v="1"/>
    <n v="1"/>
    <n v="60671.29"/>
    <n v="60671.29"/>
    <s v="Arun Kapoor"/>
    <n v="35"/>
    <x v="2"/>
    <x v="0"/>
    <n v="3"/>
    <x v="1"/>
    <x v="2"/>
  </r>
  <r>
    <n v="1594"/>
    <x v="453"/>
    <n v="5"/>
    <n v="1"/>
    <x v="2"/>
    <x v="1"/>
    <x v="3"/>
    <x v="5"/>
    <x v="1"/>
    <n v="2"/>
    <n v="44941.45"/>
    <n v="89882.9"/>
    <s v="Isha Dutta"/>
    <n v="38"/>
    <x v="2"/>
    <x v="3"/>
    <n v="1"/>
    <x v="2"/>
    <x v="2"/>
  </r>
  <r>
    <n v="1595"/>
    <x v="453"/>
    <n v="5"/>
    <n v="1"/>
    <x v="2"/>
    <x v="1"/>
    <x v="3"/>
    <x v="5"/>
    <x v="2"/>
    <n v="6"/>
    <n v="69164.05"/>
    <n v="414984.30000000005"/>
    <s v="Vivek Bhattacharya"/>
    <n v="59"/>
    <x v="7"/>
    <x v="1"/>
    <n v="4"/>
    <x v="0"/>
    <x v="13"/>
  </r>
  <r>
    <n v="1596"/>
    <x v="453"/>
    <n v="5"/>
    <n v="1"/>
    <x v="2"/>
    <x v="1"/>
    <x v="3"/>
    <x v="5"/>
    <x v="1"/>
    <n v="8"/>
    <n v="48185.72"/>
    <n v="385485.76"/>
    <s v="Devendra Rao"/>
    <n v="18"/>
    <x v="16"/>
    <x v="3"/>
    <n v="1"/>
    <x v="2"/>
    <x v="9"/>
  </r>
  <r>
    <n v="1597"/>
    <x v="453"/>
    <n v="5"/>
    <n v="1"/>
    <x v="2"/>
    <x v="1"/>
    <x v="3"/>
    <x v="5"/>
    <x v="1"/>
    <n v="3"/>
    <n v="60046.69"/>
    <n v="180140.07"/>
    <s v="Prashant Luthra"/>
    <n v="55"/>
    <x v="2"/>
    <x v="1"/>
    <n v="1"/>
    <x v="2"/>
    <x v="1"/>
  </r>
  <r>
    <n v="1598"/>
    <x v="454"/>
    <n v="6"/>
    <n v="1"/>
    <x v="2"/>
    <x v="1"/>
    <x v="3"/>
    <x v="6"/>
    <x v="0"/>
    <n v="9"/>
    <n v="57985.760000000002"/>
    <n v="521871.84"/>
    <s v="Shruti Kulkarni"/>
    <n v="58"/>
    <x v="1"/>
    <x v="0"/>
    <n v="4"/>
    <x v="0"/>
    <x v="0"/>
  </r>
  <r>
    <n v="1599"/>
    <x v="454"/>
    <n v="6"/>
    <n v="1"/>
    <x v="2"/>
    <x v="1"/>
    <x v="3"/>
    <x v="6"/>
    <x v="4"/>
    <n v="9"/>
    <n v="30727.67"/>
    <n v="276549.02999999997"/>
    <s v="Monika Goyal"/>
    <n v="59"/>
    <x v="1"/>
    <x v="0"/>
    <n v="5"/>
    <x v="0"/>
    <x v="14"/>
  </r>
  <r>
    <n v="1600"/>
    <x v="454"/>
    <n v="6"/>
    <n v="1"/>
    <x v="2"/>
    <x v="1"/>
    <x v="3"/>
    <x v="6"/>
    <x v="4"/>
    <n v="2"/>
    <n v="25576.639999999999"/>
    <n v="51153.279999999999"/>
    <s v="Kiran Jain"/>
    <n v="26"/>
    <x v="1"/>
    <x v="3"/>
    <n v="1"/>
    <x v="2"/>
    <x v="7"/>
  </r>
  <r>
    <n v="1601"/>
    <x v="455"/>
    <n v="7"/>
    <n v="1"/>
    <x v="2"/>
    <x v="1"/>
    <x v="3"/>
    <x v="0"/>
    <x v="0"/>
    <n v="8"/>
    <n v="35829.620000000003"/>
    <n v="286636.96000000002"/>
    <s v="Arun Dutta"/>
    <n v="40"/>
    <x v="3"/>
    <x v="3"/>
    <n v="4"/>
    <x v="0"/>
    <x v="10"/>
  </r>
  <r>
    <n v="1602"/>
    <x v="455"/>
    <n v="7"/>
    <n v="1"/>
    <x v="2"/>
    <x v="1"/>
    <x v="3"/>
    <x v="0"/>
    <x v="2"/>
    <n v="5"/>
    <n v="38034.480000000003"/>
    <n v="190172.40000000002"/>
    <s v="Tapan Kumar"/>
    <n v="31"/>
    <x v="1"/>
    <x v="3"/>
    <n v="5"/>
    <x v="0"/>
    <x v="4"/>
  </r>
  <r>
    <n v="1603"/>
    <x v="455"/>
    <n v="7"/>
    <n v="1"/>
    <x v="2"/>
    <x v="1"/>
    <x v="3"/>
    <x v="0"/>
    <x v="3"/>
    <n v="4"/>
    <n v="24405.08"/>
    <n v="97620.32"/>
    <s v="Bhavana Mathur"/>
    <n v="28"/>
    <x v="6"/>
    <x v="3"/>
    <n v="4"/>
    <x v="0"/>
    <x v="12"/>
  </r>
  <r>
    <n v="1604"/>
    <x v="456"/>
    <n v="8"/>
    <n v="1"/>
    <x v="2"/>
    <x v="1"/>
    <x v="3"/>
    <x v="1"/>
    <x v="3"/>
    <n v="5"/>
    <n v="63675.87"/>
    <n v="318379.35000000003"/>
    <s v="Devendra Menon"/>
    <n v="24"/>
    <x v="16"/>
    <x v="0"/>
    <n v="3"/>
    <x v="1"/>
    <x v="8"/>
  </r>
  <r>
    <n v="1605"/>
    <x v="456"/>
    <n v="8"/>
    <n v="1"/>
    <x v="2"/>
    <x v="1"/>
    <x v="3"/>
    <x v="1"/>
    <x v="3"/>
    <n v="4"/>
    <n v="42552.87"/>
    <n v="170211.48"/>
    <s v="Lata Joshi"/>
    <n v="48"/>
    <x v="1"/>
    <x v="0"/>
    <n v="5"/>
    <x v="0"/>
    <x v="8"/>
  </r>
  <r>
    <n v="1606"/>
    <x v="456"/>
    <n v="8"/>
    <n v="1"/>
    <x v="2"/>
    <x v="1"/>
    <x v="3"/>
    <x v="1"/>
    <x v="0"/>
    <n v="8"/>
    <n v="68706.66"/>
    <n v="549653.28"/>
    <s v="Sachin Ghosh"/>
    <n v="41"/>
    <x v="6"/>
    <x v="2"/>
    <n v="5"/>
    <x v="0"/>
    <x v="0"/>
  </r>
  <r>
    <n v="1607"/>
    <x v="456"/>
    <n v="8"/>
    <n v="1"/>
    <x v="2"/>
    <x v="1"/>
    <x v="3"/>
    <x v="1"/>
    <x v="0"/>
    <n v="4"/>
    <n v="58601.07"/>
    <n v="234404.28"/>
    <s v="Yogesh Roy"/>
    <n v="43"/>
    <x v="4"/>
    <x v="3"/>
    <n v="5"/>
    <x v="0"/>
    <x v="0"/>
  </r>
  <r>
    <n v="1608"/>
    <x v="457"/>
    <n v="9"/>
    <n v="1"/>
    <x v="2"/>
    <x v="1"/>
    <x v="3"/>
    <x v="2"/>
    <x v="1"/>
    <n v="6"/>
    <n v="43342.29"/>
    <n v="260053.74"/>
    <s v="Vivek Srivastava"/>
    <n v="47"/>
    <x v="1"/>
    <x v="3"/>
    <n v="4"/>
    <x v="0"/>
    <x v="2"/>
  </r>
  <r>
    <n v="1609"/>
    <x v="457"/>
    <n v="9"/>
    <n v="1"/>
    <x v="2"/>
    <x v="1"/>
    <x v="3"/>
    <x v="2"/>
    <x v="3"/>
    <n v="2"/>
    <n v="66822.42"/>
    <n v="133644.84"/>
    <s v="Meena Pillai"/>
    <n v="51"/>
    <x v="12"/>
    <x v="1"/>
    <n v="4"/>
    <x v="0"/>
    <x v="5"/>
  </r>
  <r>
    <n v="1610"/>
    <x v="457"/>
    <n v="9"/>
    <n v="1"/>
    <x v="2"/>
    <x v="1"/>
    <x v="3"/>
    <x v="2"/>
    <x v="2"/>
    <n v="5"/>
    <n v="40292.49"/>
    <n v="201462.44999999998"/>
    <s v="Rohan Sheth"/>
    <n v="55"/>
    <x v="3"/>
    <x v="1"/>
    <n v="1"/>
    <x v="2"/>
    <x v="6"/>
  </r>
  <r>
    <n v="1611"/>
    <x v="457"/>
    <n v="9"/>
    <n v="1"/>
    <x v="2"/>
    <x v="1"/>
    <x v="3"/>
    <x v="2"/>
    <x v="2"/>
    <n v="6"/>
    <n v="63226.39"/>
    <n v="379358.33999999997"/>
    <s v="Vivek Shah"/>
    <n v="22"/>
    <x v="1"/>
    <x v="0"/>
    <n v="1"/>
    <x v="2"/>
    <x v="4"/>
  </r>
  <r>
    <n v="1612"/>
    <x v="458"/>
    <n v="10"/>
    <n v="1"/>
    <x v="2"/>
    <x v="1"/>
    <x v="3"/>
    <x v="3"/>
    <x v="3"/>
    <n v="5"/>
    <n v="31488.69"/>
    <n v="157443.44999999998"/>
    <s v="Manoj Sharma"/>
    <n v="22"/>
    <x v="10"/>
    <x v="2"/>
    <n v="3"/>
    <x v="1"/>
    <x v="12"/>
  </r>
  <r>
    <n v="1613"/>
    <x v="458"/>
    <n v="10"/>
    <n v="1"/>
    <x v="2"/>
    <x v="1"/>
    <x v="3"/>
    <x v="3"/>
    <x v="3"/>
    <n v="2"/>
    <n v="32718.54"/>
    <n v="65437.08"/>
    <s v="Vivek Nambiar"/>
    <n v="36"/>
    <x v="2"/>
    <x v="3"/>
    <n v="1"/>
    <x v="2"/>
    <x v="12"/>
  </r>
  <r>
    <n v="1614"/>
    <x v="458"/>
    <n v="10"/>
    <n v="1"/>
    <x v="2"/>
    <x v="1"/>
    <x v="3"/>
    <x v="3"/>
    <x v="3"/>
    <n v="7"/>
    <n v="35087.839999999997"/>
    <n v="245614.87999999998"/>
    <s v="Amit Pillai"/>
    <n v="55"/>
    <x v="15"/>
    <x v="2"/>
    <n v="4"/>
    <x v="0"/>
    <x v="8"/>
  </r>
  <r>
    <n v="1615"/>
    <x v="459"/>
    <n v="11"/>
    <n v="1"/>
    <x v="2"/>
    <x v="1"/>
    <x v="3"/>
    <x v="4"/>
    <x v="0"/>
    <n v="4"/>
    <n v="42797.54"/>
    <n v="171190.16"/>
    <s v="Lalita Verma"/>
    <n v="45"/>
    <x v="1"/>
    <x v="2"/>
    <n v="4"/>
    <x v="0"/>
    <x v="10"/>
  </r>
  <r>
    <n v="1616"/>
    <x v="459"/>
    <n v="11"/>
    <n v="1"/>
    <x v="2"/>
    <x v="1"/>
    <x v="3"/>
    <x v="4"/>
    <x v="0"/>
    <n v="8"/>
    <n v="43209.42"/>
    <n v="345675.36"/>
    <s v="Nikhil Patel"/>
    <n v="43"/>
    <x v="2"/>
    <x v="0"/>
    <n v="1"/>
    <x v="2"/>
    <x v="3"/>
  </r>
  <r>
    <n v="1617"/>
    <x v="459"/>
    <n v="11"/>
    <n v="1"/>
    <x v="2"/>
    <x v="1"/>
    <x v="3"/>
    <x v="4"/>
    <x v="0"/>
    <n v="7"/>
    <n v="39783.94"/>
    <n v="278487.58"/>
    <s v="Ayesha Roy"/>
    <n v="59"/>
    <x v="3"/>
    <x v="2"/>
    <n v="3"/>
    <x v="1"/>
    <x v="0"/>
  </r>
  <r>
    <n v="1618"/>
    <x v="460"/>
    <n v="12"/>
    <n v="1"/>
    <x v="2"/>
    <x v="1"/>
    <x v="3"/>
    <x v="5"/>
    <x v="4"/>
    <n v="7"/>
    <n v="28360.06"/>
    <n v="198520.42"/>
    <s v="Yogesh Kulkarni"/>
    <n v="40"/>
    <x v="13"/>
    <x v="3"/>
    <n v="4"/>
    <x v="0"/>
    <x v="7"/>
  </r>
  <r>
    <n v="1619"/>
    <x v="460"/>
    <n v="12"/>
    <n v="1"/>
    <x v="2"/>
    <x v="1"/>
    <x v="3"/>
    <x v="5"/>
    <x v="2"/>
    <n v="9"/>
    <n v="65632.39"/>
    <n v="590691.51"/>
    <s v="Aditya Sheth"/>
    <n v="47"/>
    <x v="1"/>
    <x v="0"/>
    <n v="3"/>
    <x v="1"/>
    <x v="6"/>
  </r>
  <r>
    <n v="1620"/>
    <x v="460"/>
    <n v="12"/>
    <n v="1"/>
    <x v="2"/>
    <x v="1"/>
    <x v="3"/>
    <x v="5"/>
    <x v="2"/>
    <n v="1"/>
    <n v="45315.17"/>
    <n v="45315.17"/>
    <s v="Shruti Teja"/>
    <n v="20"/>
    <x v="7"/>
    <x v="2"/>
    <n v="4"/>
    <x v="0"/>
    <x v="4"/>
  </r>
  <r>
    <n v="1621"/>
    <x v="460"/>
    <n v="12"/>
    <n v="1"/>
    <x v="2"/>
    <x v="1"/>
    <x v="3"/>
    <x v="5"/>
    <x v="1"/>
    <n v="6"/>
    <n v="34464.35"/>
    <n v="206786.09999999998"/>
    <s v="Priya Teja"/>
    <n v="45"/>
    <x v="4"/>
    <x v="0"/>
    <n v="3"/>
    <x v="1"/>
    <x v="1"/>
  </r>
  <r>
    <n v="1622"/>
    <x v="461"/>
    <n v="13"/>
    <n v="1"/>
    <x v="2"/>
    <x v="1"/>
    <x v="3"/>
    <x v="6"/>
    <x v="0"/>
    <n v="6"/>
    <n v="49070.62"/>
    <n v="294423.72000000003"/>
    <s v="Krishna Patel"/>
    <n v="50"/>
    <x v="2"/>
    <x v="0"/>
    <n v="3"/>
    <x v="1"/>
    <x v="10"/>
  </r>
  <r>
    <n v="1623"/>
    <x v="461"/>
    <n v="13"/>
    <n v="1"/>
    <x v="2"/>
    <x v="1"/>
    <x v="3"/>
    <x v="6"/>
    <x v="4"/>
    <n v="6"/>
    <n v="56078.01"/>
    <n v="336468.06"/>
    <s v="Tanuja Gupta"/>
    <n v="59"/>
    <x v="2"/>
    <x v="1"/>
    <n v="3"/>
    <x v="1"/>
    <x v="7"/>
  </r>
  <r>
    <n v="1624"/>
    <x v="461"/>
    <n v="13"/>
    <n v="1"/>
    <x v="2"/>
    <x v="1"/>
    <x v="3"/>
    <x v="6"/>
    <x v="4"/>
    <n v="6"/>
    <n v="67643.69"/>
    <n v="405862.14"/>
    <s v="Radha Nair"/>
    <n v="20"/>
    <x v="5"/>
    <x v="0"/>
    <n v="1"/>
    <x v="2"/>
    <x v="11"/>
  </r>
  <r>
    <n v="1625"/>
    <x v="462"/>
    <n v="14"/>
    <n v="1"/>
    <x v="2"/>
    <x v="1"/>
    <x v="3"/>
    <x v="0"/>
    <x v="2"/>
    <n v="7"/>
    <n v="39972.949999999997"/>
    <n v="279810.64999999997"/>
    <s v="Meena Verma"/>
    <n v="22"/>
    <x v="0"/>
    <x v="2"/>
    <n v="5"/>
    <x v="0"/>
    <x v="6"/>
  </r>
  <r>
    <n v="1626"/>
    <x v="462"/>
    <n v="14"/>
    <n v="1"/>
    <x v="2"/>
    <x v="1"/>
    <x v="3"/>
    <x v="0"/>
    <x v="0"/>
    <n v="6"/>
    <n v="16725.91"/>
    <n v="100355.45999999999"/>
    <s v="Lata Verma"/>
    <n v="36"/>
    <x v="1"/>
    <x v="1"/>
    <n v="3"/>
    <x v="1"/>
    <x v="3"/>
  </r>
  <r>
    <n v="1627"/>
    <x v="462"/>
    <n v="14"/>
    <n v="1"/>
    <x v="2"/>
    <x v="1"/>
    <x v="3"/>
    <x v="0"/>
    <x v="1"/>
    <n v="1"/>
    <n v="36445.949999999997"/>
    <n v="36445.949999999997"/>
    <s v="Tanuja Bhatnagar"/>
    <n v="59"/>
    <x v="16"/>
    <x v="3"/>
    <n v="3"/>
    <x v="1"/>
    <x v="2"/>
  </r>
  <r>
    <n v="1628"/>
    <x v="462"/>
    <n v="14"/>
    <n v="1"/>
    <x v="2"/>
    <x v="1"/>
    <x v="3"/>
    <x v="0"/>
    <x v="0"/>
    <n v="3"/>
    <n v="38738.230000000003"/>
    <n v="116214.69"/>
    <s v="Sachin Chaudhary"/>
    <n v="18"/>
    <x v="7"/>
    <x v="3"/>
    <n v="4"/>
    <x v="0"/>
    <x v="0"/>
  </r>
  <r>
    <n v="1629"/>
    <x v="463"/>
    <n v="15"/>
    <n v="1"/>
    <x v="2"/>
    <x v="1"/>
    <x v="3"/>
    <x v="1"/>
    <x v="3"/>
    <n v="2"/>
    <n v="63819.64"/>
    <n v="127639.28"/>
    <s v="Namita Goyal"/>
    <n v="55"/>
    <x v="1"/>
    <x v="3"/>
    <n v="5"/>
    <x v="0"/>
    <x v="5"/>
  </r>
  <r>
    <n v="1630"/>
    <x v="463"/>
    <n v="15"/>
    <n v="1"/>
    <x v="2"/>
    <x v="1"/>
    <x v="3"/>
    <x v="1"/>
    <x v="0"/>
    <n v="6"/>
    <n v="33688.050000000003"/>
    <n v="202128.30000000002"/>
    <s v="Shruti Chaudhary"/>
    <n v="26"/>
    <x v="1"/>
    <x v="3"/>
    <n v="4"/>
    <x v="0"/>
    <x v="10"/>
  </r>
  <r>
    <n v="1631"/>
    <x v="463"/>
    <n v="15"/>
    <n v="1"/>
    <x v="2"/>
    <x v="1"/>
    <x v="3"/>
    <x v="1"/>
    <x v="3"/>
    <n v="8"/>
    <n v="67199.460000000006"/>
    <n v="537595.68000000005"/>
    <s v="Shruti Ahuja"/>
    <n v="22"/>
    <x v="2"/>
    <x v="3"/>
    <n v="4"/>
    <x v="0"/>
    <x v="12"/>
  </r>
  <r>
    <n v="1632"/>
    <x v="464"/>
    <n v="16"/>
    <n v="1"/>
    <x v="2"/>
    <x v="1"/>
    <x v="3"/>
    <x v="2"/>
    <x v="3"/>
    <n v="3"/>
    <n v="39107.910000000003"/>
    <n v="117323.73000000001"/>
    <s v="Bina Das"/>
    <n v="59"/>
    <x v="1"/>
    <x v="2"/>
    <n v="3"/>
    <x v="1"/>
    <x v="8"/>
  </r>
  <r>
    <n v="1633"/>
    <x v="464"/>
    <n v="16"/>
    <n v="1"/>
    <x v="2"/>
    <x v="1"/>
    <x v="3"/>
    <x v="2"/>
    <x v="1"/>
    <n v="8"/>
    <n v="68426.83"/>
    <n v="547414.64"/>
    <s v="Neeta Pillai"/>
    <n v="51"/>
    <x v="1"/>
    <x v="0"/>
    <n v="5"/>
    <x v="0"/>
    <x v="2"/>
  </r>
  <r>
    <n v="1634"/>
    <x v="464"/>
    <n v="16"/>
    <n v="1"/>
    <x v="2"/>
    <x v="1"/>
    <x v="3"/>
    <x v="2"/>
    <x v="2"/>
    <n v="8"/>
    <n v="10491.9"/>
    <n v="83935.2"/>
    <s v="Vijay Rao"/>
    <n v="54"/>
    <x v="16"/>
    <x v="1"/>
    <n v="5"/>
    <x v="0"/>
    <x v="13"/>
  </r>
  <r>
    <n v="1635"/>
    <x v="464"/>
    <n v="16"/>
    <n v="1"/>
    <x v="2"/>
    <x v="1"/>
    <x v="3"/>
    <x v="2"/>
    <x v="0"/>
    <n v="5"/>
    <n v="63928.92"/>
    <n v="319644.59999999998"/>
    <s v="Rohan Rathod"/>
    <n v="50"/>
    <x v="12"/>
    <x v="0"/>
    <n v="4"/>
    <x v="0"/>
    <x v="3"/>
  </r>
  <r>
    <n v="1636"/>
    <x v="465"/>
    <n v="17"/>
    <n v="1"/>
    <x v="2"/>
    <x v="1"/>
    <x v="3"/>
    <x v="3"/>
    <x v="3"/>
    <n v="8"/>
    <n v="65867.23"/>
    <n v="526937.84"/>
    <s v="Priya Mathur"/>
    <n v="42"/>
    <x v="1"/>
    <x v="0"/>
    <n v="5"/>
    <x v="0"/>
    <x v="5"/>
  </r>
  <r>
    <n v="1637"/>
    <x v="465"/>
    <n v="17"/>
    <n v="1"/>
    <x v="2"/>
    <x v="1"/>
    <x v="3"/>
    <x v="3"/>
    <x v="0"/>
    <n v="6"/>
    <n v="67661.259999999995"/>
    <n v="405967.55999999994"/>
    <s v="Prashant Shah"/>
    <n v="59"/>
    <x v="5"/>
    <x v="2"/>
    <n v="5"/>
    <x v="0"/>
    <x v="3"/>
  </r>
  <r>
    <n v="1638"/>
    <x v="465"/>
    <n v="17"/>
    <n v="1"/>
    <x v="2"/>
    <x v="1"/>
    <x v="3"/>
    <x v="3"/>
    <x v="2"/>
    <n v="5"/>
    <n v="10784.59"/>
    <n v="53922.95"/>
    <s v="Sachin Singh"/>
    <n v="46"/>
    <x v="14"/>
    <x v="2"/>
    <n v="4"/>
    <x v="0"/>
    <x v="4"/>
  </r>
  <r>
    <n v="1639"/>
    <x v="466"/>
    <n v="18"/>
    <n v="1"/>
    <x v="2"/>
    <x v="1"/>
    <x v="3"/>
    <x v="4"/>
    <x v="2"/>
    <n v="9"/>
    <n v="20302.05"/>
    <n v="182718.44999999998"/>
    <s v="Neeta Yadav"/>
    <n v="42"/>
    <x v="2"/>
    <x v="2"/>
    <n v="3"/>
    <x v="1"/>
    <x v="6"/>
  </r>
  <r>
    <n v="1640"/>
    <x v="466"/>
    <n v="18"/>
    <n v="1"/>
    <x v="2"/>
    <x v="1"/>
    <x v="3"/>
    <x v="4"/>
    <x v="4"/>
    <n v="7"/>
    <n v="49225.87"/>
    <n v="344581.09"/>
    <s v="Pankaj Alva"/>
    <n v="26"/>
    <x v="2"/>
    <x v="1"/>
    <n v="1"/>
    <x v="2"/>
    <x v="14"/>
  </r>
  <r>
    <n v="1641"/>
    <x v="466"/>
    <n v="18"/>
    <n v="1"/>
    <x v="2"/>
    <x v="1"/>
    <x v="3"/>
    <x v="4"/>
    <x v="2"/>
    <n v="8"/>
    <n v="11528.36"/>
    <n v="92226.880000000005"/>
    <s v="Ayesha Siddiqui"/>
    <n v="20"/>
    <x v="13"/>
    <x v="2"/>
    <n v="4"/>
    <x v="0"/>
    <x v="4"/>
  </r>
  <r>
    <n v="1642"/>
    <x v="466"/>
    <n v="18"/>
    <n v="1"/>
    <x v="2"/>
    <x v="1"/>
    <x v="3"/>
    <x v="4"/>
    <x v="1"/>
    <n v="1"/>
    <n v="13816.54"/>
    <n v="13816.54"/>
    <s v="Rohan Menon"/>
    <n v="32"/>
    <x v="1"/>
    <x v="0"/>
    <n v="3"/>
    <x v="1"/>
    <x v="1"/>
  </r>
  <r>
    <n v="1643"/>
    <x v="467"/>
    <n v="19"/>
    <n v="1"/>
    <x v="2"/>
    <x v="1"/>
    <x v="3"/>
    <x v="5"/>
    <x v="3"/>
    <n v="2"/>
    <n v="23264.73"/>
    <n v="46529.46"/>
    <s v="Ayesha Kaur"/>
    <n v="21"/>
    <x v="17"/>
    <x v="1"/>
    <n v="5"/>
    <x v="0"/>
    <x v="8"/>
  </r>
  <r>
    <n v="1644"/>
    <x v="467"/>
    <n v="19"/>
    <n v="1"/>
    <x v="2"/>
    <x v="1"/>
    <x v="3"/>
    <x v="5"/>
    <x v="4"/>
    <n v="8"/>
    <n v="40746.39"/>
    <n v="325971.12"/>
    <s v="Ravi Bhattacharya"/>
    <n v="55"/>
    <x v="0"/>
    <x v="2"/>
    <n v="3"/>
    <x v="1"/>
    <x v="14"/>
  </r>
  <r>
    <n v="1645"/>
    <x v="467"/>
    <n v="19"/>
    <n v="1"/>
    <x v="2"/>
    <x v="1"/>
    <x v="3"/>
    <x v="5"/>
    <x v="1"/>
    <n v="9"/>
    <n v="42754.15"/>
    <n v="384787.35000000003"/>
    <s v="Radha Nair"/>
    <n v="37"/>
    <x v="13"/>
    <x v="2"/>
    <n v="5"/>
    <x v="0"/>
    <x v="2"/>
  </r>
  <r>
    <n v="1646"/>
    <x v="468"/>
    <n v="20"/>
    <n v="1"/>
    <x v="2"/>
    <x v="1"/>
    <x v="3"/>
    <x v="6"/>
    <x v="0"/>
    <n v="4"/>
    <n v="12055.67"/>
    <n v="48222.68"/>
    <s v="Harish Mishra"/>
    <n v="40"/>
    <x v="1"/>
    <x v="2"/>
    <n v="5"/>
    <x v="0"/>
    <x v="10"/>
  </r>
  <r>
    <n v="1647"/>
    <x v="468"/>
    <n v="20"/>
    <n v="1"/>
    <x v="2"/>
    <x v="1"/>
    <x v="3"/>
    <x v="6"/>
    <x v="3"/>
    <n v="9"/>
    <n v="20222.04"/>
    <n v="181998.36000000002"/>
    <s v="Anita Srivastava"/>
    <n v="54"/>
    <x v="4"/>
    <x v="0"/>
    <n v="5"/>
    <x v="0"/>
    <x v="12"/>
  </r>
  <r>
    <n v="1648"/>
    <x v="468"/>
    <n v="20"/>
    <n v="1"/>
    <x v="2"/>
    <x v="1"/>
    <x v="3"/>
    <x v="6"/>
    <x v="2"/>
    <n v="4"/>
    <n v="39982.339999999997"/>
    <n v="159929.35999999999"/>
    <s v="Amit Ahuja"/>
    <n v="25"/>
    <x v="2"/>
    <x v="2"/>
    <n v="1"/>
    <x v="2"/>
    <x v="13"/>
  </r>
  <r>
    <n v="1649"/>
    <x v="469"/>
    <n v="21"/>
    <n v="1"/>
    <x v="2"/>
    <x v="1"/>
    <x v="3"/>
    <x v="0"/>
    <x v="3"/>
    <n v="9"/>
    <n v="45636.44"/>
    <n v="410727.96"/>
    <s v="Radha Varma"/>
    <n v="54"/>
    <x v="8"/>
    <x v="0"/>
    <n v="1"/>
    <x v="2"/>
    <x v="5"/>
  </r>
  <r>
    <n v="1650"/>
    <x v="469"/>
    <n v="21"/>
    <n v="1"/>
    <x v="2"/>
    <x v="1"/>
    <x v="3"/>
    <x v="0"/>
    <x v="0"/>
    <n v="7"/>
    <n v="18904.099999999999"/>
    <n v="132328.69999999998"/>
    <s v="Manoj Shah"/>
    <n v="50"/>
    <x v="18"/>
    <x v="1"/>
    <n v="4"/>
    <x v="0"/>
    <x v="10"/>
  </r>
  <r>
    <n v="1651"/>
    <x v="469"/>
    <n v="21"/>
    <n v="1"/>
    <x v="2"/>
    <x v="1"/>
    <x v="3"/>
    <x v="0"/>
    <x v="4"/>
    <n v="2"/>
    <n v="33930.480000000003"/>
    <n v="67860.960000000006"/>
    <s v="Lata Rathod"/>
    <n v="50"/>
    <x v="18"/>
    <x v="2"/>
    <n v="3"/>
    <x v="1"/>
    <x v="14"/>
  </r>
  <r>
    <n v="1652"/>
    <x v="469"/>
    <n v="21"/>
    <n v="1"/>
    <x v="2"/>
    <x v="1"/>
    <x v="3"/>
    <x v="0"/>
    <x v="4"/>
    <n v="9"/>
    <n v="64264.09"/>
    <n v="578376.80999999994"/>
    <s v="Isha Reddy"/>
    <n v="24"/>
    <x v="17"/>
    <x v="3"/>
    <n v="4"/>
    <x v="0"/>
    <x v="11"/>
  </r>
  <r>
    <n v="1653"/>
    <x v="470"/>
    <n v="22"/>
    <n v="1"/>
    <x v="2"/>
    <x v="1"/>
    <x v="3"/>
    <x v="1"/>
    <x v="4"/>
    <n v="4"/>
    <n v="69933.960000000006"/>
    <n v="279735.84000000003"/>
    <s v="Kavita Rawat"/>
    <n v="39"/>
    <x v="8"/>
    <x v="3"/>
    <n v="1"/>
    <x v="2"/>
    <x v="7"/>
  </r>
  <r>
    <n v="1654"/>
    <x v="470"/>
    <n v="22"/>
    <n v="1"/>
    <x v="2"/>
    <x v="1"/>
    <x v="3"/>
    <x v="1"/>
    <x v="2"/>
    <n v="8"/>
    <n v="69232.87"/>
    <n v="553862.96"/>
    <s v="Meena Mathur"/>
    <n v="22"/>
    <x v="13"/>
    <x v="0"/>
    <n v="5"/>
    <x v="0"/>
    <x v="13"/>
  </r>
  <r>
    <n v="1655"/>
    <x v="470"/>
    <n v="22"/>
    <n v="1"/>
    <x v="2"/>
    <x v="1"/>
    <x v="3"/>
    <x v="1"/>
    <x v="1"/>
    <n v="7"/>
    <n v="62900.47"/>
    <n v="440303.29000000004"/>
    <s v="Bhavana Malhotra"/>
    <n v="32"/>
    <x v="2"/>
    <x v="2"/>
    <n v="1"/>
    <x v="2"/>
    <x v="2"/>
  </r>
  <r>
    <n v="1656"/>
    <x v="471"/>
    <n v="23"/>
    <n v="1"/>
    <x v="2"/>
    <x v="1"/>
    <x v="3"/>
    <x v="2"/>
    <x v="1"/>
    <n v="7"/>
    <n v="33679.61"/>
    <n v="235757.27000000002"/>
    <s v="Anita Pillai"/>
    <n v="38"/>
    <x v="2"/>
    <x v="2"/>
    <n v="3"/>
    <x v="1"/>
    <x v="1"/>
  </r>
  <r>
    <n v="1657"/>
    <x v="471"/>
    <n v="23"/>
    <n v="1"/>
    <x v="2"/>
    <x v="1"/>
    <x v="3"/>
    <x v="2"/>
    <x v="3"/>
    <n v="8"/>
    <n v="51194.46"/>
    <n v="409555.68"/>
    <s v="Prashant Gupta"/>
    <n v="42"/>
    <x v="6"/>
    <x v="3"/>
    <n v="5"/>
    <x v="0"/>
    <x v="5"/>
  </r>
  <r>
    <n v="1658"/>
    <x v="471"/>
    <n v="23"/>
    <n v="1"/>
    <x v="2"/>
    <x v="1"/>
    <x v="3"/>
    <x v="2"/>
    <x v="2"/>
    <n v="1"/>
    <n v="34995.53"/>
    <n v="34995.53"/>
    <s v="Vinod Goyal"/>
    <n v="34"/>
    <x v="1"/>
    <x v="1"/>
    <n v="4"/>
    <x v="0"/>
    <x v="4"/>
  </r>
  <r>
    <n v="1659"/>
    <x v="471"/>
    <n v="23"/>
    <n v="1"/>
    <x v="2"/>
    <x v="1"/>
    <x v="3"/>
    <x v="2"/>
    <x v="4"/>
    <n v="5"/>
    <n v="48911.62"/>
    <n v="244558.1"/>
    <s v="Sumit Malhotra"/>
    <n v="24"/>
    <x v="7"/>
    <x v="1"/>
    <n v="4"/>
    <x v="0"/>
    <x v="11"/>
  </r>
  <r>
    <n v="1660"/>
    <x v="472"/>
    <n v="24"/>
    <n v="1"/>
    <x v="2"/>
    <x v="1"/>
    <x v="3"/>
    <x v="3"/>
    <x v="4"/>
    <n v="2"/>
    <n v="28565.95"/>
    <n v="57131.9"/>
    <s v="Sachin Goyal"/>
    <n v="36"/>
    <x v="2"/>
    <x v="0"/>
    <n v="1"/>
    <x v="2"/>
    <x v="7"/>
  </r>
  <r>
    <n v="1661"/>
    <x v="472"/>
    <n v="24"/>
    <n v="1"/>
    <x v="2"/>
    <x v="1"/>
    <x v="3"/>
    <x v="3"/>
    <x v="0"/>
    <n v="2"/>
    <n v="46372.14"/>
    <n v="92744.28"/>
    <s v="Rohan Menon"/>
    <n v="24"/>
    <x v="17"/>
    <x v="3"/>
    <n v="1"/>
    <x v="2"/>
    <x v="0"/>
  </r>
  <r>
    <n v="1662"/>
    <x v="472"/>
    <n v="24"/>
    <n v="1"/>
    <x v="2"/>
    <x v="1"/>
    <x v="3"/>
    <x v="3"/>
    <x v="0"/>
    <n v="1"/>
    <n v="41425.51"/>
    <n v="41425.51"/>
    <s v="Ravi Jain"/>
    <n v="57"/>
    <x v="1"/>
    <x v="0"/>
    <n v="4"/>
    <x v="0"/>
    <x v="0"/>
  </r>
  <r>
    <n v="1663"/>
    <x v="473"/>
    <n v="25"/>
    <n v="1"/>
    <x v="2"/>
    <x v="1"/>
    <x v="3"/>
    <x v="4"/>
    <x v="4"/>
    <n v="5"/>
    <n v="11468.82"/>
    <n v="57344.1"/>
    <s v="Neeta Ghosh"/>
    <n v="41"/>
    <x v="5"/>
    <x v="0"/>
    <n v="4"/>
    <x v="0"/>
    <x v="11"/>
  </r>
  <r>
    <n v="1664"/>
    <x v="473"/>
    <n v="25"/>
    <n v="1"/>
    <x v="2"/>
    <x v="1"/>
    <x v="3"/>
    <x v="4"/>
    <x v="4"/>
    <n v="2"/>
    <n v="57442.17"/>
    <n v="114884.34"/>
    <s v="Amit Prasad"/>
    <n v="28"/>
    <x v="1"/>
    <x v="1"/>
    <n v="5"/>
    <x v="0"/>
    <x v="11"/>
  </r>
  <r>
    <n v="1665"/>
    <x v="473"/>
    <n v="25"/>
    <n v="1"/>
    <x v="2"/>
    <x v="1"/>
    <x v="3"/>
    <x v="4"/>
    <x v="2"/>
    <n v="4"/>
    <n v="10713.87"/>
    <n v="42855.48"/>
    <s v="Harish Joshi"/>
    <n v="58"/>
    <x v="3"/>
    <x v="3"/>
    <n v="3"/>
    <x v="1"/>
    <x v="13"/>
  </r>
  <r>
    <n v="1666"/>
    <x v="473"/>
    <n v="25"/>
    <n v="1"/>
    <x v="2"/>
    <x v="1"/>
    <x v="3"/>
    <x v="4"/>
    <x v="1"/>
    <n v="3"/>
    <n v="27589.360000000001"/>
    <n v="82768.08"/>
    <s v="Vinod Dutta"/>
    <n v="18"/>
    <x v="1"/>
    <x v="0"/>
    <n v="5"/>
    <x v="0"/>
    <x v="2"/>
  </r>
  <r>
    <n v="1667"/>
    <x v="474"/>
    <n v="26"/>
    <n v="1"/>
    <x v="2"/>
    <x v="1"/>
    <x v="3"/>
    <x v="5"/>
    <x v="0"/>
    <n v="3"/>
    <n v="10355.44"/>
    <n v="31066.32"/>
    <s v="Manoj Jain"/>
    <n v="49"/>
    <x v="13"/>
    <x v="1"/>
    <n v="5"/>
    <x v="0"/>
    <x v="0"/>
  </r>
  <r>
    <n v="1668"/>
    <x v="474"/>
    <n v="26"/>
    <n v="1"/>
    <x v="2"/>
    <x v="1"/>
    <x v="3"/>
    <x v="5"/>
    <x v="1"/>
    <n v="2"/>
    <n v="32572.080000000002"/>
    <n v="65144.160000000003"/>
    <s v="Rohan Shah"/>
    <n v="57"/>
    <x v="3"/>
    <x v="1"/>
    <n v="4"/>
    <x v="0"/>
    <x v="2"/>
  </r>
  <r>
    <n v="1669"/>
    <x v="474"/>
    <n v="26"/>
    <n v="1"/>
    <x v="2"/>
    <x v="1"/>
    <x v="3"/>
    <x v="5"/>
    <x v="2"/>
    <n v="6"/>
    <n v="13789.63"/>
    <n v="82737.78"/>
    <s v="Vinod Chatterjee"/>
    <n v="19"/>
    <x v="1"/>
    <x v="2"/>
    <n v="3"/>
    <x v="1"/>
    <x v="13"/>
  </r>
  <r>
    <n v="1670"/>
    <x v="475"/>
    <n v="27"/>
    <n v="1"/>
    <x v="2"/>
    <x v="1"/>
    <x v="3"/>
    <x v="6"/>
    <x v="4"/>
    <n v="2"/>
    <n v="64810.66"/>
    <n v="129621.32"/>
    <s v="Monika Thakur"/>
    <n v="32"/>
    <x v="1"/>
    <x v="3"/>
    <n v="4"/>
    <x v="0"/>
    <x v="7"/>
  </r>
  <r>
    <n v="1671"/>
    <x v="475"/>
    <n v="27"/>
    <n v="1"/>
    <x v="2"/>
    <x v="1"/>
    <x v="3"/>
    <x v="6"/>
    <x v="1"/>
    <n v="8"/>
    <n v="34940.76"/>
    <n v="279526.08"/>
    <s v="Anita Joshi"/>
    <n v="38"/>
    <x v="15"/>
    <x v="3"/>
    <n v="5"/>
    <x v="0"/>
    <x v="1"/>
  </r>
  <r>
    <n v="1672"/>
    <x v="475"/>
    <n v="27"/>
    <n v="1"/>
    <x v="2"/>
    <x v="1"/>
    <x v="3"/>
    <x v="6"/>
    <x v="4"/>
    <n v="8"/>
    <n v="37569.75"/>
    <n v="300558"/>
    <s v="Navin Solanki"/>
    <n v="41"/>
    <x v="16"/>
    <x v="2"/>
    <n v="5"/>
    <x v="0"/>
    <x v="11"/>
  </r>
  <r>
    <n v="1673"/>
    <x v="475"/>
    <n v="27"/>
    <n v="1"/>
    <x v="2"/>
    <x v="1"/>
    <x v="3"/>
    <x v="6"/>
    <x v="4"/>
    <n v="5"/>
    <n v="30991.01"/>
    <n v="154955.04999999999"/>
    <s v="Arun Mehta"/>
    <n v="34"/>
    <x v="1"/>
    <x v="0"/>
    <n v="4"/>
    <x v="0"/>
    <x v="14"/>
  </r>
  <r>
    <n v="1674"/>
    <x v="476"/>
    <n v="28"/>
    <n v="1"/>
    <x v="2"/>
    <x v="1"/>
    <x v="3"/>
    <x v="0"/>
    <x v="3"/>
    <n v="7"/>
    <n v="47650.37"/>
    <n v="333552.59000000003"/>
    <s v="Krishna Pillai"/>
    <n v="26"/>
    <x v="5"/>
    <x v="1"/>
    <n v="1"/>
    <x v="2"/>
    <x v="5"/>
  </r>
  <r>
    <n v="1675"/>
    <x v="476"/>
    <n v="28"/>
    <n v="1"/>
    <x v="2"/>
    <x v="1"/>
    <x v="3"/>
    <x v="0"/>
    <x v="1"/>
    <n v="4"/>
    <n v="57064.49"/>
    <n v="228257.96"/>
    <s v="Rajesh Ahuja"/>
    <n v="52"/>
    <x v="1"/>
    <x v="1"/>
    <n v="1"/>
    <x v="2"/>
    <x v="2"/>
  </r>
  <r>
    <n v="1676"/>
    <x v="476"/>
    <n v="28"/>
    <n v="1"/>
    <x v="2"/>
    <x v="1"/>
    <x v="3"/>
    <x v="0"/>
    <x v="1"/>
    <n v="1"/>
    <n v="48888.800000000003"/>
    <n v="48888.800000000003"/>
    <s v="Sneha Reddy"/>
    <n v="37"/>
    <x v="16"/>
    <x v="1"/>
    <n v="4"/>
    <x v="0"/>
    <x v="1"/>
  </r>
  <r>
    <n v="1677"/>
    <x v="477"/>
    <n v="29"/>
    <n v="1"/>
    <x v="2"/>
    <x v="1"/>
    <x v="3"/>
    <x v="1"/>
    <x v="4"/>
    <n v="2"/>
    <n v="54892.43"/>
    <n v="109784.86"/>
    <s v="Pooja Sharma"/>
    <n v="36"/>
    <x v="3"/>
    <x v="2"/>
    <n v="5"/>
    <x v="0"/>
    <x v="11"/>
  </r>
  <r>
    <n v="1678"/>
    <x v="477"/>
    <n v="29"/>
    <n v="1"/>
    <x v="2"/>
    <x v="1"/>
    <x v="3"/>
    <x v="1"/>
    <x v="2"/>
    <n v="4"/>
    <n v="64358.42"/>
    <n v="257433.68"/>
    <s v="Priya Patel"/>
    <n v="35"/>
    <x v="2"/>
    <x v="1"/>
    <n v="5"/>
    <x v="0"/>
    <x v="4"/>
  </r>
  <r>
    <n v="1679"/>
    <x v="477"/>
    <n v="29"/>
    <n v="1"/>
    <x v="2"/>
    <x v="1"/>
    <x v="3"/>
    <x v="1"/>
    <x v="3"/>
    <n v="1"/>
    <n v="61812.79"/>
    <n v="61812.79"/>
    <s v="Mala Das"/>
    <n v="37"/>
    <x v="1"/>
    <x v="0"/>
    <n v="1"/>
    <x v="2"/>
    <x v="5"/>
  </r>
  <r>
    <n v="1680"/>
    <x v="477"/>
    <n v="29"/>
    <n v="1"/>
    <x v="2"/>
    <x v="1"/>
    <x v="3"/>
    <x v="1"/>
    <x v="4"/>
    <n v="8"/>
    <n v="50443.51"/>
    <n v="403548.08"/>
    <s v="Shruti Joshi"/>
    <n v="47"/>
    <x v="16"/>
    <x v="0"/>
    <n v="3"/>
    <x v="1"/>
    <x v="7"/>
  </r>
  <r>
    <n v="1681"/>
    <x v="478"/>
    <n v="30"/>
    <n v="1"/>
    <x v="2"/>
    <x v="1"/>
    <x v="3"/>
    <x v="2"/>
    <x v="0"/>
    <n v="9"/>
    <n v="22878.28"/>
    <n v="205904.52"/>
    <s v="Anita Joshi"/>
    <n v="57"/>
    <x v="2"/>
    <x v="2"/>
    <n v="5"/>
    <x v="0"/>
    <x v="10"/>
  </r>
  <r>
    <n v="1682"/>
    <x v="478"/>
    <n v="30"/>
    <n v="1"/>
    <x v="2"/>
    <x v="1"/>
    <x v="3"/>
    <x v="2"/>
    <x v="0"/>
    <n v="4"/>
    <n v="48262.17"/>
    <n v="193048.68"/>
    <s v="Vijay Prasad"/>
    <n v="18"/>
    <x v="1"/>
    <x v="0"/>
    <n v="3"/>
    <x v="1"/>
    <x v="10"/>
  </r>
  <r>
    <n v="1683"/>
    <x v="478"/>
    <n v="30"/>
    <n v="1"/>
    <x v="2"/>
    <x v="1"/>
    <x v="3"/>
    <x v="2"/>
    <x v="3"/>
    <n v="3"/>
    <n v="40364.99"/>
    <n v="121094.97"/>
    <s v="Sanjay Srivastava"/>
    <n v="41"/>
    <x v="2"/>
    <x v="3"/>
    <n v="1"/>
    <x v="2"/>
    <x v="5"/>
  </r>
  <r>
    <n v="1684"/>
    <x v="479"/>
    <n v="31"/>
    <n v="1"/>
    <x v="2"/>
    <x v="1"/>
    <x v="3"/>
    <x v="3"/>
    <x v="2"/>
    <n v="2"/>
    <n v="53033.15"/>
    <n v="106066.3"/>
    <s v="Neeta Yadav"/>
    <n v="41"/>
    <x v="4"/>
    <x v="3"/>
    <n v="4"/>
    <x v="0"/>
    <x v="13"/>
  </r>
  <r>
    <n v="1685"/>
    <x v="479"/>
    <n v="31"/>
    <n v="1"/>
    <x v="2"/>
    <x v="1"/>
    <x v="3"/>
    <x v="3"/>
    <x v="4"/>
    <n v="5"/>
    <n v="59975.9"/>
    <n v="299879.5"/>
    <s v="Namita Malhotra"/>
    <n v="36"/>
    <x v="9"/>
    <x v="1"/>
    <n v="5"/>
    <x v="0"/>
    <x v="11"/>
  </r>
  <r>
    <n v="1686"/>
    <x v="479"/>
    <n v="31"/>
    <n v="1"/>
    <x v="2"/>
    <x v="1"/>
    <x v="3"/>
    <x v="3"/>
    <x v="1"/>
    <n v="3"/>
    <n v="54563.29"/>
    <n v="163689.87"/>
    <s v="Sachin Singh"/>
    <n v="47"/>
    <x v="1"/>
    <x v="1"/>
    <n v="1"/>
    <x v="2"/>
    <x v="2"/>
  </r>
  <r>
    <n v="1687"/>
    <x v="479"/>
    <n v="31"/>
    <n v="1"/>
    <x v="2"/>
    <x v="1"/>
    <x v="3"/>
    <x v="3"/>
    <x v="3"/>
    <n v="7"/>
    <n v="60793.67"/>
    <n v="425555.69"/>
    <s v="Lata Iyer"/>
    <n v="43"/>
    <x v="1"/>
    <x v="3"/>
    <n v="3"/>
    <x v="1"/>
    <x v="12"/>
  </r>
  <r>
    <n v="1688"/>
    <x v="480"/>
    <n v="1"/>
    <n v="2"/>
    <x v="2"/>
    <x v="1"/>
    <x v="4"/>
    <x v="4"/>
    <x v="2"/>
    <n v="6"/>
    <n v="13831.98"/>
    <n v="82991.88"/>
    <s v="Prashant Mathur"/>
    <n v="59"/>
    <x v="18"/>
    <x v="0"/>
    <n v="3"/>
    <x v="1"/>
    <x v="4"/>
  </r>
  <r>
    <n v="1689"/>
    <x v="480"/>
    <n v="1"/>
    <n v="2"/>
    <x v="2"/>
    <x v="1"/>
    <x v="4"/>
    <x v="4"/>
    <x v="1"/>
    <n v="1"/>
    <n v="11897.2"/>
    <n v="11897.2"/>
    <s v="Jyoti Srivastava"/>
    <n v="55"/>
    <x v="8"/>
    <x v="2"/>
    <n v="1"/>
    <x v="2"/>
    <x v="1"/>
  </r>
  <r>
    <n v="1690"/>
    <x v="480"/>
    <n v="1"/>
    <n v="2"/>
    <x v="2"/>
    <x v="1"/>
    <x v="4"/>
    <x v="4"/>
    <x v="0"/>
    <n v="8"/>
    <n v="25510.03"/>
    <n v="204080.24"/>
    <s v="Ramesh Gupta"/>
    <n v="46"/>
    <x v="8"/>
    <x v="1"/>
    <n v="5"/>
    <x v="0"/>
    <x v="3"/>
  </r>
  <r>
    <n v="1691"/>
    <x v="480"/>
    <n v="1"/>
    <n v="2"/>
    <x v="2"/>
    <x v="1"/>
    <x v="4"/>
    <x v="4"/>
    <x v="0"/>
    <n v="2"/>
    <n v="64039.97"/>
    <n v="128079.94"/>
    <s v="Pankaj Prasad"/>
    <n v="30"/>
    <x v="1"/>
    <x v="1"/>
    <n v="3"/>
    <x v="1"/>
    <x v="3"/>
  </r>
  <r>
    <n v="1692"/>
    <x v="481"/>
    <n v="2"/>
    <n v="2"/>
    <x v="2"/>
    <x v="1"/>
    <x v="4"/>
    <x v="5"/>
    <x v="1"/>
    <n v="5"/>
    <n v="59419.56"/>
    <n v="297097.8"/>
    <s v="Prashant Gupta"/>
    <n v="21"/>
    <x v="15"/>
    <x v="3"/>
    <n v="5"/>
    <x v="0"/>
    <x v="1"/>
  </r>
  <r>
    <n v="1693"/>
    <x v="481"/>
    <n v="2"/>
    <n v="2"/>
    <x v="2"/>
    <x v="1"/>
    <x v="4"/>
    <x v="5"/>
    <x v="3"/>
    <n v="9"/>
    <n v="50963.64"/>
    <n v="458672.76"/>
    <s v="Namita Mehta"/>
    <n v="34"/>
    <x v="15"/>
    <x v="3"/>
    <n v="5"/>
    <x v="0"/>
    <x v="5"/>
  </r>
  <r>
    <n v="1694"/>
    <x v="481"/>
    <n v="2"/>
    <n v="2"/>
    <x v="2"/>
    <x v="1"/>
    <x v="4"/>
    <x v="5"/>
    <x v="0"/>
    <n v="8"/>
    <n v="52045.52"/>
    <n v="416364.16"/>
    <s v="Bina Kumar"/>
    <n v="50"/>
    <x v="4"/>
    <x v="2"/>
    <n v="4"/>
    <x v="0"/>
    <x v="3"/>
  </r>
  <r>
    <n v="1695"/>
    <x v="481"/>
    <n v="2"/>
    <n v="2"/>
    <x v="2"/>
    <x v="1"/>
    <x v="4"/>
    <x v="5"/>
    <x v="4"/>
    <n v="2"/>
    <n v="53600.23"/>
    <n v="107200.46"/>
    <s v="Shruti Chaudhary"/>
    <n v="22"/>
    <x v="8"/>
    <x v="1"/>
    <n v="1"/>
    <x v="2"/>
    <x v="14"/>
  </r>
  <r>
    <n v="1696"/>
    <x v="482"/>
    <n v="3"/>
    <n v="2"/>
    <x v="2"/>
    <x v="1"/>
    <x v="4"/>
    <x v="6"/>
    <x v="1"/>
    <n v="9"/>
    <n v="66556.160000000003"/>
    <n v="599005.44000000006"/>
    <s v="Krishna Bhattacharya"/>
    <n v="45"/>
    <x v="4"/>
    <x v="0"/>
    <n v="1"/>
    <x v="2"/>
    <x v="1"/>
  </r>
  <r>
    <n v="1697"/>
    <x v="482"/>
    <n v="3"/>
    <n v="2"/>
    <x v="2"/>
    <x v="1"/>
    <x v="4"/>
    <x v="6"/>
    <x v="1"/>
    <n v="5"/>
    <n v="59931.47"/>
    <n v="299657.34999999998"/>
    <s v="Bina Kumar"/>
    <n v="41"/>
    <x v="8"/>
    <x v="0"/>
    <n v="5"/>
    <x v="0"/>
    <x v="9"/>
  </r>
  <r>
    <n v="1698"/>
    <x v="482"/>
    <n v="3"/>
    <n v="2"/>
    <x v="2"/>
    <x v="1"/>
    <x v="4"/>
    <x v="6"/>
    <x v="0"/>
    <n v="6"/>
    <n v="47403.42"/>
    <n v="284420.52"/>
    <s v="Kavita Solanki"/>
    <n v="34"/>
    <x v="12"/>
    <x v="3"/>
    <n v="4"/>
    <x v="0"/>
    <x v="10"/>
  </r>
  <r>
    <n v="1699"/>
    <x v="483"/>
    <n v="4"/>
    <n v="2"/>
    <x v="2"/>
    <x v="1"/>
    <x v="4"/>
    <x v="0"/>
    <x v="3"/>
    <n v="3"/>
    <n v="49942.93"/>
    <n v="149828.79"/>
    <s v="Anita Luthra"/>
    <n v="56"/>
    <x v="14"/>
    <x v="2"/>
    <n v="3"/>
    <x v="1"/>
    <x v="8"/>
  </r>
  <r>
    <n v="1700"/>
    <x v="483"/>
    <n v="4"/>
    <n v="2"/>
    <x v="2"/>
    <x v="1"/>
    <x v="4"/>
    <x v="0"/>
    <x v="4"/>
    <n v="3"/>
    <n v="22824.42"/>
    <n v="68473.259999999995"/>
    <s v="Navin Chaudhary"/>
    <n v="57"/>
    <x v="1"/>
    <x v="3"/>
    <n v="3"/>
    <x v="1"/>
    <x v="14"/>
  </r>
  <r>
    <n v="1701"/>
    <x v="483"/>
    <n v="4"/>
    <n v="2"/>
    <x v="2"/>
    <x v="1"/>
    <x v="4"/>
    <x v="0"/>
    <x v="3"/>
    <n v="8"/>
    <n v="49439.13"/>
    <n v="395513.04"/>
    <s v="Prashant Luthra"/>
    <n v="28"/>
    <x v="8"/>
    <x v="2"/>
    <n v="1"/>
    <x v="2"/>
    <x v="8"/>
  </r>
  <r>
    <n v="1702"/>
    <x v="483"/>
    <n v="4"/>
    <n v="2"/>
    <x v="2"/>
    <x v="1"/>
    <x v="4"/>
    <x v="0"/>
    <x v="2"/>
    <n v="2"/>
    <n v="35480.74"/>
    <n v="70961.48"/>
    <s v="Krishna Iyer"/>
    <n v="29"/>
    <x v="10"/>
    <x v="0"/>
    <n v="5"/>
    <x v="0"/>
    <x v="13"/>
  </r>
  <r>
    <n v="1703"/>
    <x v="484"/>
    <n v="5"/>
    <n v="2"/>
    <x v="2"/>
    <x v="1"/>
    <x v="4"/>
    <x v="1"/>
    <x v="2"/>
    <n v="2"/>
    <n v="19177.71"/>
    <n v="38355.42"/>
    <s v="Pankaj Mishra"/>
    <n v="30"/>
    <x v="1"/>
    <x v="2"/>
    <n v="4"/>
    <x v="0"/>
    <x v="4"/>
  </r>
  <r>
    <n v="1704"/>
    <x v="484"/>
    <n v="5"/>
    <n v="2"/>
    <x v="2"/>
    <x v="1"/>
    <x v="4"/>
    <x v="1"/>
    <x v="0"/>
    <n v="5"/>
    <n v="58384.17"/>
    <n v="291920.84999999998"/>
    <s v="Prashant Roy"/>
    <n v="25"/>
    <x v="14"/>
    <x v="0"/>
    <n v="4"/>
    <x v="0"/>
    <x v="3"/>
  </r>
  <r>
    <n v="1705"/>
    <x v="484"/>
    <n v="5"/>
    <n v="2"/>
    <x v="2"/>
    <x v="1"/>
    <x v="4"/>
    <x v="1"/>
    <x v="0"/>
    <n v="6"/>
    <n v="40614.83"/>
    <n v="243688.98"/>
    <s v="Sumit Rathod"/>
    <n v="18"/>
    <x v="8"/>
    <x v="2"/>
    <n v="3"/>
    <x v="1"/>
    <x v="0"/>
  </r>
  <r>
    <n v="1706"/>
    <x v="485"/>
    <n v="6"/>
    <n v="2"/>
    <x v="2"/>
    <x v="1"/>
    <x v="4"/>
    <x v="2"/>
    <x v="0"/>
    <n v="2"/>
    <n v="68645.5"/>
    <n v="137291"/>
    <s v="Manoj Goyal"/>
    <n v="26"/>
    <x v="1"/>
    <x v="3"/>
    <n v="3"/>
    <x v="1"/>
    <x v="0"/>
  </r>
  <r>
    <n v="1707"/>
    <x v="485"/>
    <n v="6"/>
    <n v="2"/>
    <x v="2"/>
    <x v="1"/>
    <x v="4"/>
    <x v="2"/>
    <x v="2"/>
    <n v="5"/>
    <n v="26900.76"/>
    <n v="134503.79999999999"/>
    <s v="Arun Desai"/>
    <n v="45"/>
    <x v="2"/>
    <x v="0"/>
    <n v="5"/>
    <x v="0"/>
    <x v="4"/>
  </r>
  <r>
    <n v="1708"/>
    <x v="485"/>
    <n v="6"/>
    <n v="2"/>
    <x v="2"/>
    <x v="1"/>
    <x v="4"/>
    <x v="2"/>
    <x v="3"/>
    <n v="7"/>
    <n v="38840.21"/>
    <n v="271881.46999999997"/>
    <s v="Lata Verma"/>
    <n v="19"/>
    <x v="15"/>
    <x v="1"/>
    <n v="5"/>
    <x v="0"/>
    <x v="5"/>
  </r>
  <r>
    <n v="1709"/>
    <x v="485"/>
    <n v="6"/>
    <n v="2"/>
    <x v="2"/>
    <x v="1"/>
    <x v="4"/>
    <x v="2"/>
    <x v="3"/>
    <n v="8"/>
    <n v="36879.730000000003"/>
    <n v="295037.84000000003"/>
    <s v="Neeta Ghosh"/>
    <n v="31"/>
    <x v="1"/>
    <x v="1"/>
    <n v="5"/>
    <x v="0"/>
    <x v="12"/>
  </r>
  <r>
    <n v="1710"/>
    <x v="486"/>
    <n v="7"/>
    <n v="2"/>
    <x v="2"/>
    <x v="1"/>
    <x v="4"/>
    <x v="3"/>
    <x v="0"/>
    <n v="7"/>
    <n v="17246.77"/>
    <n v="120727.39"/>
    <s v="Priya Varma"/>
    <n v="30"/>
    <x v="8"/>
    <x v="0"/>
    <n v="5"/>
    <x v="0"/>
    <x v="3"/>
  </r>
  <r>
    <n v="1711"/>
    <x v="486"/>
    <n v="7"/>
    <n v="2"/>
    <x v="2"/>
    <x v="1"/>
    <x v="4"/>
    <x v="3"/>
    <x v="4"/>
    <n v="8"/>
    <n v="35566.92"/>
    <n v="284535.36"/>
    <s v="Tapan Nair"/>
    <n v="19"/>
    <x v="2"/>
    <x v="1"/>
    <n v="4"/>
    <x v="0"/>
    <x v="7"/>
  </r>
  <r>
    <n v="1712"/>
    <x v="486"/>
    <n v="7"/>
    <n v="2"/>
    <x v="2"/>
    <x v="1"/>
    <x v="4"/>
    <x v="3"/>
    <x v="3"/>
    <n v="9"/>
    <n v="27253.21"/>
    <n v="245278.88999999998"/>
    <s v="Manoj Patel"/>
    <n v="21"/>
    <x v="9"/>
    <x v="0"/>
    <n v="5"/>
    <x v="0"/>
    <x v="12"/>
  </r>
  <r>
    <n v="1713"/>
    <x v="487"/>
    <n v="8"/>
    <n v="2"/>
    <x v="2"/>
    <x v="1"/>
    <x v="4"/>
    <x v="4"/>
    <x v="2"/>
    <n v="5"/>
    <n v="19619.23"/>
    <n v="98096.15"/>
    <s v="Bhavana Ghosh"/>
    <n v="29"/>
    <x v="0"/>
    <x v="3"/>
    <n v="1"/>
    <x v="2"/>
    <x v="6"/>
  </r>
  <r>
    <n v="1714"/>
    <x v="487"/>
    <n v="8"/>
    <n v="2"/>
    <x v="2"/>
    <x v="1"/>
    <x v="4"/>
    <x v="4"/>
    <x v="1"/>
    <n v="5"/>
    <n v="26929.34"/>
    <n v="134646.70000000001"/>
    <s v="Priya Teja"/>
    <n v="27"/>
    <x v="8"/>
    <x v="3"/>
    <n v="1"/>
    <x v="2"/>
    <x v="1"/>
  </r>
  <r>
    <n v="1715"/>
    <x v="487"/>
    <n v="8"/>
    <n v="2"/>
    <x v="2"/>
    <x v="1"/>
    <x v="4"/>
    <x v="4"/>
    <x v="1"/>
    <n v="4"/>
    <n v="23995.1"/>
    <n v="95980.4"/>
    <s v="Tanuja Teja"/>
    <n v="20"/>
    <x v="1"/>
    <x v="2"/>
    <n v="3"/>
    <x v="1"/>
    <x v="2"/>
  </r>
  <r>
    <n v="1716"/>
    <x v="487"/>
    <n v="8"/>
    <n v="2"/>
    <x v="2"/>
    <x v="1"/>
    <x v="4"/>
    <x v="4"/>
    <x v="1"/>
    <n v="9"/>
    <n v="54044.41"/>
    <n v="486399.69000000006"/>
    <s v="Kavita Solanki"/>
    <n v="21"/>
    <x v="8"/>
    <x v="1"/>
    <n v="3"/>
    <x v="1"/>
    <x v="9"/>
  </r>
  <r>
    <n v="1717"/>
    <x v="488"/>
    <n v="9"/>
    <n v="2"/>
    <x v="2"/>
    <x v="1"/>
    <x v="4"/>
    <x v="5"/>
    <x v="4"/>
    <n v="5"/>
    <n v="11846.51"/>
    <n v="59232.55"/>
    <s v="Sneha Mishra"/>
    <n v="23"/>
    <x v="6"/>
    <x v="1"/>
    <n v="5"/>
    <x v="0"/>
    <x v="11"/>
  </r>
  <r>
    <n v="1718"/>
    <x v="488"/>
    <n v="9"/>
    <n v="2"/>
    <x v="2"/>
    <x v="1"/>
    <x v="4"/>
    <x v="5"/>
    <x v="0"/>
    <n v="2"/>
    <n v="47047.76"/>
    <n v="94095.52"/>
    <s v="Sunil Iyer"/>
    <n v="40"/>
    <x v="1"/>
    <x v="1"/>
    <n v="1"/>
    <x v="2"/>
    <x v="0"/>
  </r>
  <r>
    <n v="1719"/>
    <x v="488"/>
    <n v="9"/>
    <n v="2"/>
    <x v="2"/>
    <x v="1"/>
    <x v="4"/>
    <x v="5"/>
    <x v="2"/>
    <n v="8"/>
    <n v="55639.68"/>
    <n v="445117.44"/>
    <s v="Vijay Varma"/>
    <n v="22"/>
    <x v="17"/>
    <x v="0"/>
    <n v="5"/>
    <x v="0"/>
    <x v="6"/>
  </r>
  <r>
    <n v="1720"/>
    <x v="489"/>
    <n v="10"/>
    <n v="2"/>
    <x v="2"/>
    <x v="1"/>
    <x v="4"/>
    <x v="6"/>
    <x v="4"/>
    <n v="7"/>
    <n v="38843.410000000003"/>
    <n v="271903.87"/>
    <s v="Prashant Ghosh"/>
    <n v="20"/>
    <x v="15"/>
    <x v="3"/>
    <n v="5"/>
    <x v="0"/>
    <x v="11"/>
  </r>
  <r>
    <n v="1721"/>
    <x v="489"/>
    <n v="10"/>
    <n v="2"/>
    <x v="2"/>
    <x v="1"/>
    <x v="4"/>
    <x v="6"/>
    <x v="2"/>
    <n v="8"/>
    <n v="65893.899999999994"/>
    <n v="527151.19999999995"/>
    <s v="Aditya Arora"/>
    <n v="27"/>
    <x v="6"/>
    <x v="1"/>
    <n v="5"/>
    <x v="0"/>
    <x v="13"/>
  </r>
  <r>
    <n v="1722"/>
    <x v="489"/>
    <n v="10"/>
    <n v="2"/>
    <x v="2"/>
    <x v="1"/>
    <x v="4"/>
    <x v="6"/>
    <x v="2"/>
    <n v="3"/>
    <n v="52472.84"/>
    <n v="157418.51999999999"/>
    <s v="Bhavana Malhotra"/>
    <n v="36"/>
    <x v="8"/>
    <x v="2"/>
    <n v="3"/>
    <x v="1"/>
    <x v="13"/>
  </r>
  <r>
    <n v="1723"/>
    <x v="490"/>
    <n v="11"/>
    <n v="2"/>
    <x v="2"/>
    <x v="1"/>
    <x v="4"/>
    <x v="0"/>
    <x v="0"/>
    <n v="4"/>
    <n v="54875.42"/>
    <n v="219501.68"/>
    <s v="Namita Desai"/>
    <n v="31"/>
    <x v="17"/>
    <x v="1"/>
    <n v="5"/>
    <x v="0"/>
    <x v="10"/>
  </r>
  <r>
    <n v="1724"/>
    <x v="490"/>
    <n v="11"/>
    <n v="2"/>
    <x v="2"/>
    <x v="1"/>
    <x v="4"/>
    <x v="0"/>
    <x v="1"/>
    <n v="5"/>
    <n v="21816.01"/>
    <n v="109080.04999999999"/>
    <s v="Arun Kumar"/>
    <n v="38"/>
    <x v="8"/>
    <x v="2"/>
    <n v="5"/>
    <x v="0"/>
    <x v="2"/>
  </r>
  <r>
    <n v="1725"/>
    <x v="490"/>
    <n v="11"/>
    <n v="2"/>
    <x v="2"/>
    <x v="1"/>
    <x v="4"/>
    <x v="0"/>
    <x v="0"/>
    <n v="6"/>
    <n v="56637.73"/>
    <n v="339826.38"/>
    <s v="Bhavana Jain"/>
    <n v="45"/>
    <x v="2"/>
    <x v="1"/>
    <n v="3"/>
    <x v="1"/>
    <x v="3"/>
  </r>
  <r>
    <n v="1726"/>
    <x v="490"/>
    <n v="11"/>
    <n v="2"/>
    <x v="2"/>
    <x v="1"/>
    <x v="4"/>
    <x v="0"/>
    <x v="4"/>
    <n v="1"/>
    <n v="59925.68"/>
    <n v="59925.68"/>
    <s v="Shruti Ahuja"/>
    <n v="38"/>
    <x v="6"/>
    <x v="1"/>
    <n v="3"/>
    <x v="1"/>
    <x v="7"/>
  </r>
  <r>
    <n v="1727"/>
    <x v="491"/>
    <n v="12"/>
    <n v="2"/>
    <x v="2"/>
    <x v="1"/>
    <x v="4"/>
    <x v="1"/>
    <x v="4"/>
    <n v="4"/>
    <n v="31675.98"/>
    <n v="126703.92"/>
    <s v="Mala Malhotra"/>
    <n v="53"/>
    <x v="1"/>
    <x v="3"/>
    <n v="1"/>
    <x v="2"/>
    <x v="7"/>
  </r>
  <r>
    <n v="1728"/>
    <x v="491"/>
    <n v="12"/>
    <n v="2"/>
    <x v="2"/>
    <x v="1"/>
    <x v="4"/>
    <x v="1"/>
    <x v="4"/>
    <n v="5"/>
    <n v="22801.78"/>
    <n v="114008.9"/>
    <s v="Priya Roy"/>
    <n v="41"/>
    <x v="2"/>
    <x v="2"/>
    <n v="3"/>
    <x v="1"/>
    <x v="7"/>
  </r>
  <r>
    <n v="1729"/>
    <x v="491"/>
    <n v="12"/>
    <n v="2"/>
    <x v="2"/>
    <x v="1"/>
    <x v="4"/>
    <x v="1"/>
    <x v="0"/>
    <n v="7"/>
    <n v="33103.040000000001"/>
    <n v="231721.28"/>
    <s v="Priyanka Sharma"/>
    <n v="55"/>
    <x v="8"/>
    <x v="1"/>
    <n v="5"/>
    <x v="0"/>
    <x v="0"/>
  </r>
  <r>
    <n v="1730"/>
    <x v="492"/>
    <n v="13"/>
    <n v="2"/>
    <x v="2"/>
    <x v="1"/>
    <x v="4"/>
    <x v="2"/>
    <x v="2"/>
    <n v="5"/>
    <n v="54376.480000000003"/>
    <n v="271882.40000000002"/>
    <s v="Amit Pillai"/>
    <n v="34"/>
    <x v="2"/>
    <x v="2"/>
    <n v="1"/>
    <x v="2"/>
    <x v="6"/>
  </r>
  <r>
    <n v="1731"/>
    <x v="492"/>
    <n v="13"/>
    <n v="2"/>
    <x v="2"/>
    <x v="1"/>
    <x v="4"/>
    <x v="2"/>
    <x v="2"/>
    <n v="1"/>
    <n v="35058.339999999997"/>
    <n v="35058.339999999997"/>
    <s v="Ayesha Dutta"/>
    <n v="39"/>
    <x v="16"/>
    <x v="2"/>
    <n v="5"/>
    <x v="0"/>
    <x v="4"/>
  </r>
  <r>
    <n v="1732"/>
    <x v="492"/>
    <n v="13"/>
    <n v="2"/>
    <x v="2"/>
    <x v="1"/>
    <x v="4"/>
    <x v="2"/>
    <x v="3"/>
    <n v="7"/>
    <n v="54199.11"/>
    <n v="379393.77"/>
    <s v="Vivek Siddiqui"/>
    <n v="36"/>
    <x v="1"/>
    <x v="3"/>
    <n v="5"/>
    <x v="0"/>
    <x v="8"/>
  </r>
  <r>
    <n v="1733"/>
    <x v="493"/>
    <n v="14"/>
    <n v="2"/>
    <x v="2"/>
    <x v="1"/>
    <x v="4"/>
    <x v="3"/>
    <x v="4"/>
    <n v="8"/>
    <n v="16813.87"/>
    <n v="134510.96"/>
    <s v="Mala Arora"/>
    <n v="27"/>
    <x v="2"/>
    <x v="3"/>
    <n v="5"/>
    <x v="0"/>
    <x v="11"/>
  </r>
  <r>
    <n v="1734"/>
    <x v="493"/>
    <n v="14"/>
    <n v="2"/>
    <x v="2"/>
    <x v="1"/>
    <x v="4"/>
    <x v="3"/>
    <x v="2"/>
    <n v="7"/>
    <n v="58360.7"/>
    <n v="408524.89999999997"/>
    <s v="Vivek Nair"/>
    <n v="28"/>
    <x v="0"/>
    <x v="2"/>
    <n v="1"/>
    <x v="2"/>
    <x v="4"/>
  </r>
  <r>
    <n v="1735"/>
    <x v="493"/>
    <n v="14"/>
    <n v="2"/>
    <x v="2"/>
    <x v="1"/>
    <x v="4"/>
    <x v="3"/>
    <x v="3"/>
    <n v="4"/>
    <n v="25192.45"/>
    <n v="100769.8"/>
    <s v="Arun Luthra"/>
    <n v="55"/>
    <x v="1"/>
    <x v="3"/>
    <n v="5"/>
    <x v="0"/>
    <x v="12"/>
  </r>
  <r>
    <n v="1736"/>
    <x v="493"/>
    <n v="14"/>
    <n v="2"/>
    <x v="2"/>
    <x v="1"/>
    <x v="4"/>
    <x v="3"/>
    <x v="2"/>
    <n v="8"/>
    <n v="24935.74"/>
    <n v="199485.92"/>
    <s v="Priyanka Roy"/>
    <n v="19"/>
    <x v="1"/>
    <x v="1"/>
    <n v="1"/>
    <x v="2"/>
    <x v="4"/>
  </r>
  <r>
    <n v="1737"/>
    <x v="494"/>
    <n v="15"/>
    <n v="2"/>
    <x v="2"/>
    <x v="1"/>
    <x v="4"/>
    <x v="4"/>
    <x v="4"/>
    <n v="5"/>
    <n v="45422.86"/>
    <n v="227114.3"/>
    <s v="Pankaj Sheth"/>
    <n v="50"/>
    <x v="1"/>
    <x v="1"/>
    <n v="4"/>
    <x v="0"/>
    <x v="14"/>
  </r>
  <r>
    <n v="1738"/>
    <x v="494"/>
    <n v="15"/>
    <n v="2"/>
    <x v="2"/>
    <x v="1"/>
    <x v="4"/>
    <x v="4"/>
    <x v="1"/>
    <n v="9"/>
    <n v="14207.08"/>
    <n v="127863.72"/>
    <s v="Prashant Arora"/>
    <n v="48"/>
    <x v="2"/>
    <x v="3"/>
    <n v="4"/>
    <x v="0"/>
    <x v="2"/>
  </r>
  <r>
    <n v="1739"/>
    <x v="494"/>
    <n v="15"/>
    <n v="2"/>
    <x v="2"/>
    <x v="1"/>
    <x v="4"/>
    <x v="4"/>
    <x v="4"/>
    <n v="5"/>
    <n v="11577.86"/>
    <n v="57889.3"/>
    <s v="Yogesh Shah"/>
    <n v="52"/>
    <x v="12"/>
    <x v="2"/>
    <n v="1"/>
    <x v="2"/>
    <x v="7"/>
  </r>
  <r>
    <n v="1740"/>
    <x v="495"/>
    <n v="16"/>
    <n v="2"/>
    <x v="2"/>
    <x v="1"/>
    <x v="4"/>
    <x v="5"/>
    <x v="0"/>
    <n v="1"/>
    <n v="25661.72"/>
    <n v="25661.72"/>
    <s v="Tapan Kulkarni"/>
    <n v="54"/>
    <x v="18"/>
    <x v="1"/>
    <n v="5"/>
    <x v="0"/>
    <x v="3"/>
  </r>
  <r>
    <n v="1741"/>
    <x v="495"/>
    <n v="16"/>
    <n v="2"/>
    <x v="2"/>
    <x v="1"/>
    <x v="4"/>
    <x v="5"/>
    <x v="2"/>
    <n v="9"/>
    <n v="42284.05"/>
    <n v="380556.45"/>
    <s v="Kavita Kumar"/>
    <n v="53"/>
    <x v="1"/>
    <x v="0"/>
    <n v="5"/>
    <x v="0"/>
    <x v="6"/>
  </r>
  <r>
    <n v="1742"/>
    <x v="495"/>
    <n v="16"/>
    <n v="2"/>
    <x v="2"/>
    <x v="1"/>
    <x v="4"/>
    <x v="5"/>
    <x v="2"/>
    <n v="5"/>
    <n v="64456.98"/>
    <n v="322284.90000000002"/>
    <s v="Reena Sheth"/>
    <n v="40"/>
    <x v="5"/>
    <x v="2"/>
    <n v="3"/>
    <x v="1"/>
    <x v="6"/>
  </r>
  <r>
    <n v="1743"/>
    <x v="496"/>
    <n v="17"/>
    <n v="2"/>
    <x v="2"/>
    <x v="1"/>
    <x v="4"/>
    <x v="6"/>
    <x v="0"/>
    <n v="6"/>
    <n v="60786.11"/>
    <n v="364716.66000000003"/>
    <s v="Anjali Alva"/>
    <n v="53"/>
    <x v="0"/>
    <x v="2"/>
    <n v="5"/>
    <x v="0"/>
    <x v="10"/>
  </r>
  <r>
    <n v="1744"/>
    <x v="496"/>
    <n v="17"/>
    <n v="2"/>
    <x v="2"/>
    <x v="1"/>
    <x v="4"/>
    <x v="6"/>
    <x v="0"/>
    <n v="4"/>
    <n v="39426.79"/>
    <n v="157707.16"/>
    <s v="Anita Shah"/>
    <n v="57"/>
    <x v="14"/>
    <x v="0"/>
    <n v="1"/>
    <x v="2"/>
    <x v="0"/>
  </r>
  <r>
    <n v="1745"/>
    <x v="496"/>
    <n v="17"/>
    <n v="2"/>
    <x v="2"/>
    <x v="1"/>
    <x v="4"/>
    <x v="6"/>
    <x v="1"/>
    <n v="6"/>
    <n v="12223.12"/>
    <n v="73338.720000000001"/>
    <s v="Yogesh Shah"/>
    <n v="56"/>
    <x v="15"/>
    <x v="0"/>
    <n v="5"/>
    <x v="0"/>
    <x v="9"/>
  </r>
  <r>
    <n v="1746"/>
    <x v="497"/>
    <n v="18"/>
    <n v="2"/>
    <x v="2"/>
    <x v="1"/>
    <x v="4"/>
    <x v="0"/>
    <x v="2"/>
    <n v="8"/>
    <n v="42115.16"/>
    <n v="336921.28"/>
    <s v="Jyoti Iyer"/>
    <n v="43"/>
    <x v="11"/>
    <x v="2"/>
    <n v="5"/>
    <x v="0"/>
    <x v="6"/>
  </r>
  <r>
    <n v="1747"/>
    <x v="497"/>
    <n v="18"/>
    <n v="2"/>
    <x v="2"/>
    <x v="1"/>
    <x v="4"/>
    <x v="0"/>
    <x v="2"/>
    <n v="3"/>
    <n v="52287.74"/>
    <n v="156863.22"/>
    <s v="Bhavana Arora"/>
    <n v="42"/>
    <x v="2"/>
    <x v="0"/>
    <n v="4"/>
    <x v="0"/>
    <x v="6"/>
  </r>
  <r>
    <n v="1748"/>
    <x v="497"/>
    <n v="18"/>
    <n v="2"/>
    <x v="2"/>
    <x v="1"/>
    <x v="4"/>
    <x v="0"/>
    <x v="1"/>
    <n v="5"/>
    <n v="30349.87"/>
    <n v="151749.35"/>
    <s v="Arun Luthra"/>
    <n v="34"/>
    <x v="3"/>
    <x v="3"/>
    <n v="4"/>
    <x v="0"/>
    <x v="1"/>
  </r>
  <r>
    <n v="1749"/>
    <x v="497"/>
    <n v="18"/>
    <n v="2"/>
    <x v="2"/>
    <x v="1"/>
    <x v="4"/>
    <x v="0"/>
    <x v="3"/>
    <n v="2"/>
    <n v="16663.8"/>
    <n v="33327.599999999999"/>
    <s v="Ramesh Rao"/>
    <n v="32"/>
    <x v="5"/>
    <x v="3"/>
    <n v="1"/>
    <x v="2"/>
    <x v="5"/>
  </r>
  <r>
    <n v="1750"/>
    <x v="498"/>
    <n v="19"/>
    <n v="2"/>
    <x v="2"/>
    <x v="1"/>
    <x v="4"/>
    <x v="1"/>
    <x v="1"/>
    <n v="2"/>
    <n v="26714.080000000002"/>
    <n v="53428.160000000003"/>
    <s v="Namita Bhatnagar"/>
    <n v="54"/>
    <x v="1"/>
    <x v="2"/>
    <n v="1"/>
    <x v="2"/>
    <x v="2"/>
  </r>
  <r>
    <n v="1751"/>
    <x v="498"/>
    <n v="19"/>
    <n v="2"/>
    <x v="2"/>
    <x v="1"/>
    <x v="4"/>
    <x v="1"/>
    <x v="4"/>
    <n v="7"/>
    <n v="56295.33"/>
    <n v="394067.31"/>
    <s v="Sachin Desai"/>
    <n v="21"/>
    <x v="9"/>
    <x v="3"/>
    <n v="5"/>
    <x v="0"/>
    <x v="14"/>
  </r>
  <r>
    <n v="1752"/>
    <x v="498"/>
    <n v="19"/>
    <n v="2"/>
    <x v="2"/>
    <x v="1"/>
    <x v="4"/>
    <x v="1"/>
    <x v="2"/>
    <n v="6"/>
    <n v="31074.63"/>
    <n v="186447.78"/>
    <s v="Mala Kulkarni"/>
    <n v="39"/>
    <x v="1"/>
    <x v="1"/>
    <n v="1"/>
    <x v="2"/>
    <x v="6"/>
  </r>
  <r>
    <n v="1753"/>
    <x v="499"/>
    <n v="20"/>
    <n v="2"/>
    <x v="2"/>
    <x v="1"/>
    <x v="4"/>
    <x v="2"/>
    <x v="0"/>
    <n v="4"/>
    <n v="58718.89"/>
    <n v="234875.56"/>
    <s v="Harish Goyal"/>
    <n v="34"/>
    <x v="1"/>
    <x v="3"/>
    <n v="5"/>
    <x v="0"/>
    <x v="3"/>
  </r>
  <r>
    <n v="1754"/>
    <x v="499"/>
    <n v="20"/>
    <n v="2"/>
    <x v="2"/>
    <x v="1"/>
    <x v="4"/>
    <x v="2"/>
    <x v="4"/>
    <n v="5"/>
    <n v="29171.29"/>
    <n v="145856.45000000001"/>
    <s v="Lata Kaur"/>
    <n v="39"/>
    <x v="1"/>
    <x v="3"/>
    <n v="5"/>
    <x v="0"/>
    <x v="11"/>
  </r>
  <r>
    <n v="1755"/>
    <x v="499"/>
    <n v="20"/>
    <n v="2"/>
    <x v="2"/>
    <x v="1"/>
    <x v="4"/>
    <x v="2"/>
    <x v="2"/>
    <n v="1"/>
    <n v="19813.3"/>
    <n v="19813.3"/>
    <s v="Ramesh Rao"/>
    <n v="34"/>
    <x v="2"/>
    <x v="0"/>
    <n v="1"/>
    <x v="2"/>
    <x v="4"/>
  </r>
  <r>
    <n v="1756"/>
    <x v="499"/>
    <n v="20"/>
    <n v="2"/>
    <x v="2"/>
    <x v="1"/>
    <x v="4"/>
    <x v="2"/>
    <x v="1"/>
    <n v="7"/>
    <n v="36150.9"/>
    <n v="253056.30000000002"/>
    <s v="Devendra Arora"/>
    <n v="31"/>
    <x v="0"/>
    <x v="3"/>
    <n v="5"/>
    <x v="0"/>
    <x v="2"/>
  </r>
  <r>
    <n v="1757"/>
    <x v="500"/>
    <n v="21"/>
    <n v="2"/>
    <x v="2"/>
    <x v="1"/>
    <x v="4"/>
    <x v="3"/>
    <x v="4"/>
    <n v="8"/>
    <n v="37136.47"/>
    <n v="297091.76"/>
    <s v="Meena Kulkarni"/>
    <n v="31"/>
    <x v="17"/>
    <x v="2"/>
    <n v="5"/>
    <x v="0"/>
    <x v="7"/>
  </r>
  <r>
    <n v="1758"/>
    <x v="500"/>
    <n v="21"/>
    <n v="2"/>
    <x v="2"/>
    <x v="1"/>
    <x v="4"/>
    <x v="3"/>
    <x v="2"/>
    <n v="9"/>
    <n v="10966.49"/>
    <n v="98698.41"/>
    <s v="Rohan Menon"/>
    <n v="34"/>
    <x v="9"/>
    <x v="3"/>
    <n v="5"/>
    <x v="0"/>
    <x v="6"/>
  </r>
  <r>
    <n v="1759"/>
    <x v="500"/>
    <n v="21"/>
    <n v="2"/>
    <x v="2"/>
    <x v="1"/>
    <x v="4"/>
    <x v="3"/>
    <x v="3"/>
    <n v="8"/>
    <n v="17022.7"/>
    <n v="136181.6"/>
    <s v="Nikhil Luthra"/>
    <n v="25"/>
    <x v="15"/>
    <x v="3"/>
    <n v="5"/>
    <x v="0"/>
    <x v="12"/>
  </r>
  <r>
    <n v="1760"/>
    <x v="501"/>
    <n v="22"/>
    <n v="2"/>
    <x v="2"/>
    <x v="1"/>
    <x v="4"/>
    <x v="4"/>
    <x v="3"/>
    <n v="5"/>
    <n v="21095.56"/>
    <n v="105477.8"/>
    <s v="Kiran Bhattacharya"/>
    <n v="51"/>
    <x v="2"/>
    <x v="2"/>
    <n v="5"/>
    <x v="0"/>
    <x v="5"/>
  </r>
  <r>
    <n v="1761"/>
    <x v="501"/>
    <n v="22"/>
    <n v="2"/>
    <x v="2"/>
    <x v="1"/>
    <x v="4"/>
    <x v="4"/>
    <x v="0"/>
    <n v="3"/>
    <n v="16815.240000000002"/>
    <n v="50445.72"/>
    <s v="Arun Kaur"/>
    <n v="43"/>
    <x v="1"/>
    <x v="2"/>
    <n v="5"/>
    <x v="0"/>
    <x v="0"/>
  </r>
  <r>
    <n v="1762"/>
    <x v="501"/>
    <n v="22"/>
    <n v="2"/>
    <x v="2"/>
    <x v="1"/>
    <x v="4"/>
    <x v="4"/>
    <x v="2"/>
    <n v="9"/>
    <n v="30491.56"/>
    <n v="274424.04000000004"/>
    <s v="Monika Mehta"/>
    <n v="47"/>
    <x v="2"/>
    <x v="0"/>
    <n v="3"/>
    <x v="1"/>
    <x v="13"/>
  </r>
  <r>
    <n v="1763"/>
    <x v="502"/>
    <n v="23"/>
    <n v="2"/>
    <x v="2"/>
    <x v="1"/>
    <x v="4"/>
    <x v="5"/>
    <x v="3"/>
    <n v="6"/>
    <n v="67877.37"/>
    <n v="407264.22"/>
    <s v="Lalita Desai"/>
    <n v="39"/>
    <x v="5"/>
    <x v="1"/>
    <n v="3"/>
    <x v="1"/>
    <x v="8"/>
  </r>
  <r>
    <n v="1764"/>
    <x v="502"/>
    <n v="23"/>
    <n v="2"/>
    <x v="2"/>
    <x v="1"/>
    <x v="4"/>
    <x v="5"/>
    <x v="1"/>
    <n v="5"/>
    <n v="40553.35"/>
    <n v="202766.75"/>
    <s v="Ravi Reddy"/>
    <n v="33"/>
    <x v="1"/>
    <x v="3"/>
    <n v="5"/>
    <x v="0"/>
    <x v="1"/>
  </r>
  <r>
    <n v="1765"/>
    <x v="502"/>
    <n v="23"/>
    <n v="2"/>
    <x v="2"/>
    <x v="1"/>
    <x v="4"/>
    <x v="5"/>
    <x v="2"/>
    <n v="3"/>
    <n v="47653.36"/>
    <n v="142960.08000000002"/>
    <s v="Pooja Patel"/>
    <n v="47"/>
    <x v="2"/>
    <x v="1"/>
    <n v="1"/>
    <x v="2"/>
    <x v="13"/>
  </r>
  <r>
    <n v="1766"/>
    <x v="503"/>
    <n v="24"/>
    <n v="2"/>
    <x v="2"/>
    <x v="1"/>
    <x v="4"/>
    <x v="6"/>
    <x v="1"/>
    <n v="6"/>
    <n v="31383.19"/>
    <n v="188299.13999999998"/>
    <s v="Manoj Jain"/>
    <n v="33"/>
    <x v="4"/>
    <x v="0"/>
    <n v="5"/>
    <x v="0"/>
    <x v="1"/>
  </r>
  <r>
    <n v="1767"/>
    <x v="503"/>
    <n v="24"/>
    <n v="2"/>
    <x v="2"/>
    <x v="1"/>
    <x v="4"/>
    <x v="6"/>
    <x v="1"/>
    <n v="3"/>
    <n v="29409.27"/>
    <n v="88227.81"/>
    <s v="Pooja Solanki"/>
    <n v="55"/>
    <x v="2"/>
    <x v="2"/>
    <n v="3"/>
    <x v="1"/>
    <x v="2"/>
  </r>
  <r>
    <n v="1768"/>
    <x v="503"/>
    <n v="24"/>
    <n v="2"/>
    <x v="2"/>
    <x v="1"/>
    <x v="4"/>
    <x v="6"/>
    <x v="3"/>
    <n v="6"/>
    <n v="11388.81"/>
    <n v="68332.86"/>
    <s v="Rohan Menon"/>
    <n v="41"/>
    <x v="1"/>
    <x v="2"/>
    <n v="4"/>
    <x v="0"/>
    <x v="12"/>
  </r>
  <r>
    <n v="1769"/>
    <x v="503"/>
    <n v="24"/>
    <n v="2"/>
    <x v="2"/>
    <x v="1"/>
    <x v="4"/>
    <x v="6"/>
    <x v="2"/>
    <n v="4"/>
    <n v="40020.019999999997"/>
    <n v="160080.07999999999"/>
    <s v="Anjali Patel"/>
    <n v="53"/>
    <x v="1"/>
    <x v="2"/>
    <n v="4"/>
    <x v="0"/>
    <x v="13"/>
  </r>
  <r>
    <n v="1770"/>
    <x v="504"/>
    <n v="25"/>
    <n v="2"/>
    <x v="2"/>
    <x v="1"/>
    <x v="4"/>
    <x v="0"/>
    <x v="4"/>
    <n v="2"/>
    <n v="39016.54"/>
    <n v="78033.08"/>
    <s v="Krishna Chatterjee"/>
    <n v="52"/>
    <x v="1"/>
    <x v="0"/>
    <n v="5"/>
    <x v="0"/>
    <x v="11"/>
  </r>
  <r>
    <n v="1771"/>
    <x v="504"/>
    <n v="25"/>
    <n v="2"/>
    <x v="2"/>
    <x v="1"/>
    <x v="4"/>
    <x v="0"/>
    <x v="3"/>
    <n v="8"/>
    <n v="19469.84"/>
    <n v="155758.72"/>
    <s v="Vivek Alva"/>
    <n v="23"/>
    <x v="14"/>
    <x v="3"/>
    <n v="3"/>
    <x v="1"/>
    <x v="5"/>
  </r>
  <r>
    <n v="1772"/>
    <x v="504"/>
    <n v="25"/>
    <n v="2"/>
    <x v="2"/>
    <x v="1"/>
    <x v="4"/>
    <x v="0"/>
    <x v="3"/>
    <n v="4"/>
    <n v="55859.44"/>
    <n v="223437.76"/>
    <s v="Reena Deshmukh"/>
    <n v="21"/>
    <x v="2"/>
    <x v="0"/>
    <n v="5"/>
    <x v="0"/>
    <x v="12"/>
  </r>
  <r>
    <n v="1773"/>
    <x v="505"/>
    <n v="26"/>
    <n v="2"/>
    <x v="2"/>
    <x v="1"/>
    <x v="4"/>
    <x v="1"/>
    <x v="2"/>
    <n v="9"/>
    <n v="39560.46"/>
    <n v="356044.14"/>
    <s v="Jyoti Varma"/>
    <n v="35"/>
    <x v="11"/>
    <x v="2"/>
    <n v="3"/>
    <x v="1"/>
    <x v="13"/>
  </r>
  <r>
    <n v="1774"/>
    <x v="505"/>
    <n v="26"/>
    <n v="2"/>
    <x v="2"/>
    <x v="1"/>
    <x v="4"/>
    <x v="1"/>
    <x v="2"/>
    <n v="7"/>
    <n v="30339.64"/>
    <n v="212377.47999999998"/>
    <s v="Bina Bhattacharya"/>
    <n v="23"/>
    <x v="15"/>
    <x v="3"/>
    <n v="5"/>
    <x v="0"/>
    <x v="13"/>
  </r>
  <r>
    <n v="1775"/>
    <x v="505"/>
    <n v="26"/>
    <n v="2"/>
    <x v="2"/>
    <x v="1"/>
    <x v="4"/>
    <x v="1"/>
    <x v="1"/>
    <n v="2"/>
    <n v="18814.53"/>
    <n v="37629.06"/>
    <s v="Yogesh Sharma"/>
    <n v="43"/>
    <x v="0"/>
    <x v="2"/>
    <n v="3"/>
    <x v="1"/>
    <x v="1"/>
  </r>
  <r>
    <n v="1776"/>
    <x v="506"/>
    <n v="27"/>
    <n v="2"/>
    <x v="2"/>
    <x v="1"/>
    <x v="4"/>
    <x v="2"/>
    <x v="2"/>
    <n v="4"/>
    <n v="43129.65"/>
    <n v="172518.6"/>
    <s v="Bina Jain"/>
    <n v="54"/>
    <x v="2"/>
    <x v="2"/>
    <n v="4"/>
    <x v="0"/>
    <x v="4"/>
  </r>
  <r>
    <n v="1777"/>
    <x v="506"/>
    <n v="27"/>
    <n v="2"/>
    <x v="2"/>
    <x v="1"/>
    <x v="4"/>
    <x v="2"/>
    <x v="1"/>
    <n v="5"/>
    <n v="55169.02"/>
    <n v="275845.09999999998"/>
    <s v="Sneha Yadav"/>
    <n v="44"/>
    <x v="10"/>
    <x v="0"/>
    <n v="5"/>
    <x v="0"/>
    <x v="9"/>
  </r>
  <r>
    <n v="1778"/>
    <x v="506"/>
    <n v="27"/>
    <n v="2"/>
    <x v="2"/>
    <x v="1"/>
    <x v="4"/>
    <x v="2"/>
    <x v="3"/>
    <n v="3"/>
    <n v="26919.96"/>
    <n v="80759.88"/>
    <s v="Anand Nair"/>
    <n v="58"/>
    <x v="1"/>
    <x v="0"/>
    <n v="5"/>
    <x v="0"/>
    <x v="8"/>
  </r>
  <r>
    <n v="1779"/>
    <x v="506"/>
    <n v="27"/>
    <n v="2"/>
    <x v="2"/>
    <x v="1"/>
    <x v="4"/>
    <x v="2"/>
    <x v="0"/>
    <n v="9"/>
    <n v="23127.66"/>
    <n v="208148.94"/>
    <s v="Arun Desai"/>
    <n v="28"/>
    <x v="1"/>
    <x v="1"/>
    <n v="5"/>
    <x v="0"/>
    <x v="3"/>
  </r>
  <r>
    <n v="1780"/>
    <x v="507"/>
    <n v="28"/>
    <n v="2"/>
    <x v="2"/>
    <x v="1"/>
    <x v="4"/>
    <x v="3"/>
    <x v="4"/>
    <n v="5"/>
    <n v="41316.1"/>
    <n v="206580.5"/>
    <s v="Sunil Sheth"/>
    <n v="55"/>
    <x v="13"/>
    <x v="2"/>
    <n v="1"/>
    <x v="2"/>
    <x v="14"/>
  </r>
  <r>
    <n v="1781"/>
    <x v="507"/>
    <n v="28"/>
    <n v="2"/>
    <x v="2"/>
    <x v="1"/>
    <x v="4"/>
    <x v="3"/>
    <x v="3"/>
    <n v="2"/>
    <n v="19320.599999999999"/>
    <n v="38641.199999999997"/>
    <s v="Anand Bhattacharya"/>
    <n v="33"/>
    <x v="5"/>
    <x v="3"/>
    <n v="5"/>
    <x v="0"/>
    <x v="5"/>
  </r>
  <r>
    <n v="1782"/>
    <x v="507"/>
    <n v="28"/>
    <n v="2"/>
    <x v="2"/>
    <x v="1"/>
    <x v="4"/>
    <x v="3"/>
    <x v="2"/>
    <n v="3"/>
    <n v="49996.800000000003"/>
    <n v="149990.40000000002"/>
    <s v="Amit Ahuja"/>
    <n v="36"/>
    <x v="14"/>
    <x v="2"/>
    <n v="5"/>
    <x v="0"/>
    <x v="13"/>
  </r>
  <r>
    <n v="1783"/>
    <x v="508"/>
    <n v="1"/>
    <n v="3"/>
    <x v="2"/>
    <x v="1"/>
    <x v="5"/>
    <x v="4"/>
    <x v="4"/>
    <n v="9"/>
    <n v="46320.62"/>
    <n v="416885.58"/>
    <s v="Kiran Rawat"/>
    <n v="32"/>
    <x v="1"/>
    <x v="3"/>
    <n v="3"/>
    <x v="1"/>
    <x v="7"/>
  </r>
  <r>
    <n v="1784"/>
    <x v="508"/>
    <n v="1"/>
    <n v="3"/>
    <x v="2"/>
    <x v="1"/>
    <x v="5"/>
    <x v="4"/>
    <x v="0"/>
    <n v="7"/>
    <n v="15224.92"/>
    <n v="106574.44"/>
    <s v="Nikhil Deshmukh"/>
    <n v="43"/>
    <x v="10"/>
    <x v="1"/>
    <n v="3"/>
    <x v="1"/>
    <x v="0"/>
  </r>
  <r>
    <n v="1785"/>
    <x v="508"/>
    <n v="1"/>
    <n v="3"/>
    <x v="2"/>
    <x v="1"/>
    <x v="5"/>
    <x v="4"/>
    <x v="0"/>
    <n v="2"/>
    <n v="12191.22"/>
    <n v="24382.44"/>
    <s v="Meena Thakur"/>
    <n v="58"/>
    <x v="2"/>
    <x v="2"/>
    <n v="3"/>
    <x v="1"/>
    <x v="3"/>
  </r>
  <r>
    <n v="1786"/>
    <x v="508"/>
    <n v="1"/>
    <n v="3"/>
    <x v="2"/>
    <x v="1"/>
    <x v="5"/>
    <x v="4"/>
    <x v="1"/>
    <n v="9"/>
    <n v="47217.32"/>
    <n v="424955.88"/>
    <s v="Pooja Patel"/>
    <n v="48"/>
    <x v="1"/>
    <x v="3"/>
    <n v="3"/>
    <x v="1"/>
    <x v="1"/>
  </r>
  <r>
    <n v="1787"/>
    <x v="509"/>
    <n v="2"/>
    <n v="3"/>
    <x v="2"/>
    <x v="1"/>
    <x v="5"/>
    <x v="5"/>
    <x v="4"/>
    <n v="4"/>
    <n v="27657.63"/>
    <n v="110630.52"/>
    <s v="Bina Goyal"/>
    <n v="36"/>
    <x v="1"/>
    <x v="3"/>
    <n v="5"/>
    <x v="0"/>
    <x v="14"/>
  </r>
  <r>
    <n v="1788"/>
    <x v="509"/>
    <n v="2"/>
    <n v="3"/>
    <x v="2"/>
    <x v="1"/>
    <x v="5"/>
    <x v="5"/>
    <x v="1"/>
    <n v="9"/>
    <n v="15186.75"/>
    <n v="136680.75"/>
    <s v="Devendra Luthra"/>
    <n v="41"/>
    <x v="1"/>
    <x v="1"/>
    <n v="4"/>
    <x v="0"/>
    <x v="1"/>
  </r>
  <r>
    <n v="1789"/>
    <x v="509"/>
    <n v="2"/>
    <n v="3"/>
    <x v="2"/>
    <x v="1"/>
    <x v="5"/>
    <x v="5"/>
    <x v="3"/>
    <n v="2"/>
    <n v="55565.72"/>
    <n v="111131.44"/>
    <s v="Navin Malhotra"/>
    <n v="26"/>
    <x v="0"/>
    <x v="0"/>
    <n v="5"/>
    <x v="0"/>
    <x v="8"/>
  </r>
  <r>
    <n v="1790"/>
    <x v="509"/>
    <n v="2"/>
    <n v="3"/>
    <x v="2"/>
    <x v="1"/>
    <x v="5"/>
    <x v="5"/>
    <x v="4"/>
    <n v="4"/>
    <n v="28842.639999999999"/>
    <n v="115370.56"/>
    <s v="Anand Chatterjee"/>
    <n v="40"/>
    <x v="1"/>
    <x v="1"/>
    <n v="3"/>
    <x v="1"/>
    <x v="11"/>
  </r>
  <r>
    <n v="1791"/>
    <x v="510"/>
    <n v="3"/>
    <n v="3"/>
    <x v="2"/>
    <x v="1"/>
    <x v="5"/>
    <x v="6"/>
    <x v="3"/>
    <n v="5"/>
    <n v="37575.97"/>
    <n v="187879.85"/>
    <s v="Mala Thakur"/>
    <n v="21"/>
    <x v="14"/>
    <x v="3"/>
    <n v="5"/>
    <x v="0"/>
    <x v="5"/>
  </r>
  <r>
    <n v="1792"/>
    <x v="510"/>
    <n v="3"/>
    <n v="3"/>
    <x v="2"/>
    <x v="1"/>
    <x v="5"/>
    <x v="6"/>
    <x v="1"/>
    <n v="2"/>
    <n v="24208.78"/>
    <n v="48417.56"/>
    <s v="Anjali Thakur"/>
    <n v="27"/>
    <x v="14"/>
    <x v="1"/>
    <n v="5"/>
    <x v="0"/>
    <x v="1"/>
  </r>
  <r>
    <n v="1793"/>
    <x v="510"/>
    <n v="3"/>
    <n v="3"/>
    <x v="2"/>
    <x v="1"/>
    <x v="5"/>
    <x v="6"/>
    <x v="4"/>
    <n v="1"/>
    <n v="47639.02"/>
    <n v="47639.02"/>
    <s v="Harish Kapoor"/>
    <n v="26"/>
    <x v="1"/>
    <x v="0"/>
    <n v="3"/>
    <x v="1"/>
    <x v="14"/>
  </r>
  <r>
    <n v="1794"/>
    <x v="511"/>
    <n v="4"/>
    <n v="3"/>
    <x v="2"/>
    <x v="1"/>
    <x v="5"/>
    <x v="0"/>
    <x v="1"/>
    <n v="7"/>
    <n v="28089.3"/>
    <n v="196625.1"/>
    <s v="Radha Srivastava"/>
    <n v="36"/>
    <x v="13"/>
    <x v="2"/>
    <n v="1"/>
    <x v="2"/>
    <x v="2"/>
  </r>
  <r>
    <n v="1795"/>
    <x v="511"/>
    <n v="4"/>
    <n v="3"/>
    <x v="2"/>
    <x v="1"/>
    <x v="5"/>
    <x v="0"/>
    <x v="4"/>
    <n v="1"/>
    <n v="68081.259999999995"/>
    <n v="68081.259999999995"/>
    <s v="Navin Malhotra"/>
    <n v="32"/>
    <x v="6"/>
    <x v="1"/>
    <n v="5"/>
    <x v="0"/>
    <x v="7"/>
  </r>
  <r>
    <n v="1796"/>
    <x v="511"/>
    <n v="4"/>
    <n v="3"/>
    <x v="2"/>
    <x v="1"/>
    <x v="5"/>
    <x v="0"/>
    <x v="1"/>
    <n v="8"/>
    <n v="52176.85"/>
    <n v="417414.8"/>
    <s v="Krishna Alva"/>
    <n v="51"/>
    <x v="1"/>
    <x v="1"/>
    <n v="5"/>
    <x v="0"/>
    <x v="2"/>
  </r>
  <r>
    <n v="1797"/>
    <x v="511"/>
    <n v="4"/>
    <n v="3"/>
    <x v="2"/>
    <x v="1"/>
    <x v="5"/>
    <x v="0"/>
    <x v="0"/>
    <n v="3"/>
    <n v="18203.34"/>
    <n v="54610.020000000004"/>
    <s v="Vivek Rathod"/>
    <n v="59"/>
    <x v="3"/>
    <x v="2"/>
    <n v="5"/>
    <x v="0"/>
    <x v="10"/>
  </r>
  <r>
    <n v="1798"/>
    <x v="512"/>
    <n v="5"/>
    <n v="3"/>
    <x v="2"/>
    <x v="1"/>
    <x v="5"/>
    <x v="1"/>
    <x v="1"/>
    <n v="6"/>
    <n v="35001.69"/>
    <n v="210010.14"/>
    <s v="Aditya Kulkarni"/>
    <n v="36"/>
    <x v="2"/>
    <x v="1"/>
    <n v="1"/>
    <x v="2"/>
    <x v="1"/>
  </r>
  <r>
    <n v="1799"/>
    <x v="512"/>
    <n v="5"/>
    <n v="3"/>
    <x v="2"/>
    <x v="1"/>
    <x v="5"/>
    <x v="1"/>
    <x v="0"/>
    <n v="7"/>
    <n v="33125.269999999997"/>
    <n v="231876.88999999998"/>
    <s v="Sanjay Pillai"/>
    <n v="38"/>
    <x v="2"/>
    <x v="0"/>
    <n v="5"/>
    <x v="0"/>
    <x v="3"/>
  </r>
  <r>
    <n v="1800"/>
    <x v="512"/>
    <n v="5"/>
    <n v="3"/>
    <x v="2"/>
    <x v="1"/>
    <x v="5"/>
    <x v="1"/>
    <x v="1"/>
    <n v="1"/>
    <n v="42054.83"/>
    <n v="42054.83"/>
    <s v="Kavita Srivastava"/>
    <n v="51"/>
    <x v="13"/>
    <x v="3"/>
    <n v="1"/>
    <x v="2"/>
    <x v="9"/>
  </r>
  <r>
    <n v="1801"/>
    <x v="513"/>
    <n v="6"/>
    <n v="3"/>
    <x v="2"/>
    <x v="1"/>
    <x v="5"/>
    <x v="2"/>
    <x v="4"/>
    <n v="6"/>
    <n v="60515.839999999997"/>
    <n v="363095.03999999998"/>
    <s v="Priya Dutta"/>
    <n v="34"/>
    <x v="1"/>
    <x v="1"/>
    <n v="5"/>
    <x v="0"/>
    <x v="14"/>
  </r>
  <r>
    <n v="1802"/>
    <x v="513"/>
    <n v="6"/>
    <n v="3"/>
    <x v="2"/>
    <x v="1"/>
    <x v="5"/>
    <x v="2"/>
    <x v="4"/>
    <n v="7"/>
    <n v="45005.32"/>
    <n v="315037.24"/>
    <s v="Reena Chatterjee"/>
    <n v="35"/>
    <x v="1"/>
    <x v="2"/>
    <n v="5"/>
    <x v="0"/>
    <x v="14"/>
  </r>
  <r>
    <n v="1803"/>
    <x v="513"/>
    <n v="6"/>
    <n v="3"/>
    <x v="2"/>
    <x v="1"/>
    <x v="5"/>
    <x v="2"/>
    <x v="4"/>
    <n v="6"/>
    <n v="13693.4"/>
    <n v="82160.399999999994"/>
    <s v="Anjali Chaudhary"/>
    <n v="34"/>
    <x v="17"/>
    <x v="2"/>
    <n v="1"/>
    <x v="2"/>
    <x v="7"/>
  </r>
  <r>
    <n v="1804"/>
    <x v="513"/>
    <n v="6"/>
    <n v="3"/>
    <x v="2"/>
    <x v="1"/>
    <x v="5"/>
    <x v="2"/>
    <x v="2"/>
    <n v="4"/>
    <n v="49324.94"/>
    <n v="197299.76"/>
    <s v="Radha Ghosh"/>
    <n v="19"/>
    <x v="2"/>
    <x v="1"/>
    <n v="4"/>
    <x v="0"/>
    <x v="13"/>
  </r>
  <r>
    <n v="1805"/>
    <x v="514"/>
    <n v="7"/>
    <n v="3"/>
    <x v="2"/>
    <x v="1"/>
    <x v="5"/>
    <x v="3"/>
    <x v="3"/>
    <n v="1"/>
    <n v="10495.92"/>
    <n v="10495.92"/>
    <s v="Neeta Deshmukh"/>
    <n v="18"/>
    <x v="7"/>
    <x v="2"/>
    <n v="3"/>
    <x v="1"/>
    <x v="5"/>
  </r>
  <r>
    <n v="1806"/>
    <x v="514"/>
    <n v="7"/>
    <n v="3"/>
    <x v="2"/>
    <x v="1"/>
    <x v="5"/>
    <x v="3"/>
    <x v="4"/>
    <n v="9"/>
    <n v="56797.63"/>
    <n v="511178.67"/>
    <s v="Manoj Nambiar"/>
    <n v="27"/>
    <x v="2"/>
    <x v="3"/>
    <n v="3"/>
    <x v="1"/>
    <x v="14"/>
  </r>
  <r>
    <n v="1807"/>
    <x v="514"/>
    <n v="7"/>
    <n v="3"/>
    <x v="2"/>
    <x v="1"/>
    <x v="5"/>
    <x v="3"/>
    <x v="0"/>
    <n v="4"/>
    <n v="49998.16"/>
    <n v="199992.64"/>
    <s v="Navin Sharma"/>
    <n v="54"/>
    <x v="1"/>
    <x v="3"/>
    <n v="3"/>
    <x v="1"/>
    <x v="10"/>
  </r>
  <r>
    <n v="1808"/>
    <x v="514"/>
    <n v="7"/>
    <n v="3"/>
    <x v="2"/>
    <x v="1"/>
    <x v="5"/>
    <x v="3"/>
    <x v="4"/>
    <n v="7"/>
    <n v="28527.14"/>
    <n v="199689.97999999998"/>
    <s v="Kiran Rathod"/>
    <n v="22"/>
    <x v="4"/>
    <x v="2"/>
    <n v="1"/>
    <x v="2"/>
    <x v="14"/>
  </r>
  <r>
    <n v="1809"/>
    <x v="515"/>
    <n v="8"/>
    <n v="3"/>
    <x v="2"/>
    <x v="1"/>
    <x v="5"/>
    <x v="4"/>
    <x v="2"/>
    <n v="7"/>
    <n v="27546.51"/>
    <n v="192825.56999999998"/>
    <s v="Pooja Goyal"/>
    <n v="29"/>
    <x v="13"/>
    <x v="1"/>
    <n v="5"/>
    <x v="0"/>
    <x v="6"/>
  </r>
  <r>
    <n v="1810"/>
    <x v="515"/>
    <n v="8"/>
    <n v="3"/>
    <x v="2"/>
    <x v="1"/>
    <x v="5"/>
    <x v="4"/>
    <x v="0"/>
    <n v="2"/>
    <n v="57896.38"/>
    <n v="115792.76"/>
    <s v="Namita Sheth"/>
    <n v="53"/>
    <x v="11"/>
    <x v="1"/>
    <n v="5"/>
    <x v="0"/>
    <x v="3"/>
  </r>
  <r>
    <n v="1811"/>
    <x v="515"/>
    <n v="8"/>
    <n v="3"/>
    <x v="2"/>
    <x v="1"/>
    <x v="5"/>
    <x v="4"/>
    <x v="2"/>
    <n v="1"/>
    <n v="57000.2"/>
    <n v="57000.2"/>
    <s v="Pankaj Bhattacharya"/>
    <n v="48"/>
    <x v="1"/>
    <x v="2"/>
    <n v="5"/>
    <x v="0"/>
    <x v="13"/>
  </r>
  <r>
    <n v="1812"/>
    <x v="516"/>
    <n v="9"/>
    <n v="3"/>
    <x v="2"/>
    <x v="1"/>
    <x v="5"/>
    <x v="5"/>
    <x v="0"/>
    <n v="8"/>
    <n v="31138.14"/>
    <n v="249105.12"/>
    <s v="Monika Mathur"/>
    <n v="55"/>
    <x v="2"/>
    <x v="3"/>
    <n v="5"/>
    <x v="0"/>
    <x v="10"/>
  </r>
  <r>
    <n v="1813"/>
    <x v="516"/>
    <n v="9"/>
    <n v="3"/>
    <x v="2"/>
    <x v="1"/>
    <x v="5"/>
    <x v="5"/>
    <x v="1"/>
    <n v="8"/>
    <n v="27936.86"/>
    <n v="223494.88"/>
    <s v="Vinod Ahuja"/>
    <n v="26"/>
    <x v="1"/>
    <x v="3"/>
    <n v="4"/>
    <x v="0"/>
    <x v="2"/>
  </r>
  <r>
    <n v="1814"/>
    <x v="516"/>
    <n v="9"/>
    <n v="3"/>
    <x v="2"/>
    <x v="1"/>
    <x v="5"/>
    <x v="5"/>
    <x v="3"/>
    <n v="7"/>
    <n v="43589.49"/>
    <n v="305126.43"/>
    <s v="Bhavana Arora"/>
    <n v="43"/>
    <x v="1"/>
    <x v="1"/>
    <n v="3"/>
    <x v="1"/>
    <x v="5"/>
  </r>
  <r>
    <n v="1815"/>
    <x v="516"/>
    <n v="9"/>
    <n v="3"/>
    <x v="2"/>
    <x v="1"/>
    <x v="5"/>
    <x v="5"/>
    <x v="3"/>
    <n v="8"/>
    <n v="10501.94"/>
    <n v="84015.52"/>
    <s v="Isha Ahuja"/>
    <n v="32"/>
    <x v="15"/>
    <x v="3"/>
    <n v="4"/>
    <x v="0"/>
    <x v="12"/>
  </r>
  <r>
    <n v="1816"/>
    <x v="517"/>
    <n v="10"/>
    <n v="3"/>
    <x v="2"/>
    <x v="1"/>
    <x v="5"/>
    <x v="6"/>
    <x v="2"/>
    <n v="3"/>
    <n v="14960.02"/>
    <n v="44880.06"/>
    <s v="Neeta Desai"/>
    <n v="33"/>
    <x v="15"/>
    <x v="0"/>
    <n v="3"/>
    <x v="1"/>
    <x v="13"/>
  </r>
  <r>
    <n v="1817"/>
    <x v="517"/>
    <n v="10"/>
    <n v="3"/>
    <x v="2"/>
    <x v="1"/>
    <x v="5"/>
    <x v="6"/>
    <x v="3"/>
    <n v="2"/>
    <n v="17570.18"/>
    <n v="35140.36"/>
    <s v="Kiran Solanki"/>
    <n v="30"/>
    <x v="1"/>
    <x v="3"/>
    <n v="1"/>
    <x v="2"/>
    <x v="8"/>
  </r>
  <r>
    <n v="1818"/>
    <x v="517"/>
    <n v="10"/>
    <n v="3"/>
    <x v="2"/>
    <x v="1"/>
    <x v="5"/>
    <x v="6"/>
    <x v="2"/>
    <n v="7"/>
    <n v="21124.71"/>
    <n v="147872.97"/>
    <s v="Pooja Menon"/>
    <n v="42"/>
    <x v="1"/>
    <x v="1"/>
    <n v="4"/>
    <x v="0"/>
    <x v="13"/>
  </r>
  <r>
    <n v="1819"/>
    <x v="517"/>
    <n v="10"/>
    <n v="3"/>
    <x v="2"/>
    <x v="1"/>
    <x v="5"/>
    <x v="6"/>
    <x v="2"/>
    <n v="8"/>
    <n v="40721.089999999997"/>
    <n v="325768.71999999997"/>
    <s v="Sumit Mishra"/>
    <n v="47"/>
    <x v="1"/>
    <x v="3"/>
    <n v="5"/>
    <x v="0"/>
    <x v="13"/>
  </r>
  <r>
    <n v="1820"/>
    <x v="518"/>
    <n v="11"/>
    <n v="3"/>
    <x v="2"/>
    <x v="1"/>
    <x v="5"/>
    <x v="0"/>
    <x v="2"/>
    <n v="1"/>
    <n v="69534.509999999995"/>
    <n v="69534.509999999995"/>
    <s v="Prashant Jain"/>
    <n v="24"/>
    <x v="2"/>
    <x v="3"/>
    <n v="3"/>
    <x v="1"/>
    <x v="6"/>
  </r>
  <r>
    <n v="1821"/>
    <x v="518"/>
    <n v="11"/>
    <n v="3"/>
    <x v="2"/>
    <x v="1"/>
    <x v="5"/>
    <x v="0"/>
    <x v="3"/>
    <n v="9"/>
    <n v="49156.800000000003"/>
    <n v="442411.2"/>
    <s v="Ravi Thakur"/>
    <n v="21"/>
    <x v="1"/>
    <x v="2"/>
    <n v="5"/>
    <x v="0"/>
    <x v="12"/>
  </r>
  <r>
    <n v="1822"/>
    <x v="518"/>
    <n v="11"/>
    <n v="3"/>
    <x v="2"/>
    <x v="1"/>
    <x v="5"/>
    <x v="0"/>
    <x v="2"/>
    <n v="4"/>
    <n v="13677.93"/>
    <n v="54711.72"/>
    <s v="Harish Malhotra"/>
    <n v="57"/>
    <x v="12"/>
    <x v="0"/>
    <n v="4"/>
    <x v="0"/>
    <x v="4"/>
  </r>
  <r>
    <n v="1823"/>
    <x v="518"/>
    <n v="11"/>
    <n v="3"/>
    <x v="2"/>
    <x v="1"/>
    <x v="5"/>
    <x v="0"/>
    <x v="3"/>
    <n v="4"/>
    <n v="41534.76"/>
    <n v="166139.04"/>
    <s v="Sunita Roy"/>
    <n v="55"/>
    <x v="8"/>
    <x v="2"/>
    <n v="1"/>
    <x v="2"/>
    <x v="8"/>
  </r>
  <r>
    <n v="1824"/>
    <x v="519"/>
    <n v="12"/>
    <n v="3"/>
    <x v="2"/>
    <x v="1"/>
    <x v="5"/>
    <x v="1"/>
    <x v="2"/>
    <n v="3"/>
    <n v="39798.71"/>
    <n v="119396.13"/>
    <s v="Sumit Teja"/>
    <n v="47"/>
    <x v="14"/>
    <x v="3"/>
    <n v="5"/>
    <x v="0"/>
    <x v="6"/>
  </r>
  <r>
    <n v="1825"/>
    <x v="519"/>
    <n v="12"/>
    <n v="3"/>
    <x v="2"/>
    <x v="1"/>
    <x v="5"/>
    <x v="1"/>
    <x v="4"/>
    <n v="6"/>
    <n v="18650.07"/>
    <n v="111900.42"/>
    <s v="Lata Reddy"/>
    <n v="27"/>
    <x v="10"/>
    <x v="3"/>
    <n v="1"/>
    <x v="2"/>
    <x v="14"/>
  </r>
  <r>
    <n v="1826"/>
    <x v="519"/>
    <n v="12"/>
    <n v="3"/>
    <x v="2"/>
    <x v="1"/>
    <x v="5"/>
    <x v="1"/>
    <x v="2"/>
    <n v="1"/>
    <n v="65216.34"/>
    <n v="65216.34"/>
    <s v="Bhavana Ghosh"/>
    <n v="47"/>
    <x v="1"/>
    <x v="2"/>
    <n v="3"/>
    <x v="1"/>
    <x v="6"/>
  </r>
  <r>
    <n v="1827"/>
    <x v="519"/>
    <n v="12"/>
    <n v="3"/>
    <x v="2"/>
    <x v="1"/>
    <x v="5"/>
    <x v="1"/>
    <x v="0"/>
    <n v="6"/>
    <n v="36445.910000000003"/>
    <n v="218675.46000000002"/>
    <s v="Mala Ghosh"/>
    <n v="56"/>
    <x v="2"/>
    <x v="0"/>
    <n v="4"/>
    <x v="0"/>
    <x v="10"/>
  </r>
  <r>
    <n v="1828"/>
    <x v="520"/>
    <n v="13"/>
    <n v="3"/>
    <x v="2"/>
    <x v="1"/>
    <x v="5"/>
    <x v="2"/>
    <x v="2"/>
    <n v="2"/>
    <n v="69673.55"/>
    <n v="139347.1"/>
    <s v="Rohan Jain"/>
    <n v="24"/>
    <x v="4"/>
    <x v="1"/>
    <n v="1"/>
    <x v="2"/>
    <x v="13"/>
  </r>
  <r>
    <n v="1829"/>
    <x v="520"/>
    <n v="13"/>
    <n v="3"/>
    <x v="2"/>
    <x v="1"/>
    <x v="5"/>
    <x v="2"/>
    <x v="1"/>
    <n v="9"/>
    <n v="35204.339999999997"/>
    <n v="316839.05999999994"/>
    <s v="Rohan Nambiar"/>
    <n v="53"/>
    <x v="4"/>
    <x v="2"/>
    <n v="5"/>
    <x v="0"/>
    <x v="1"/>
  </r>
  <r>
    <n v="1830"/>
    <x v="520"/>
    <n v="13"/>
    <n v="3"/>
    <x v="2"/>
    <x v="1"/>
    <x v="5"/>
    <x v="2"/>
    <x v="2"/>
    <n v="2"/>
    <n v="46477.46"/>
    <n v="92954.92"/>
    <s v="Navin Chaudhary"/>
    <n v="52"/>
    <x v="2"/>
    <x v="3"/>
    <n v="5"/>
    <x v="0"/>
    <x v="13"/>
  </r>
  <r>
    <n v="1831"/>
    <x v="520"/>
    <n v="13"/>
    <n v="3"/>
    <x v="2"/>
    <x v="1"/>
    <x v="5"/>
    <x v="2"/>
    <x v="0"/>
    <n v="7"/>
    <n v="16285.75"/>
    <n v="114000.25"/>
    <s v="Sanjay Das"/>
    <n v="41"/>
    <x v="3"/>
    <x v="3"/>
    <n v="5"/>
    <x v="0"/>
    <x v="0"/>
  </r>
  <r>
    <n v="1832"/>
    <x v="521"/>
    <n v="14"/>
    <n v="3"/>
    <x v="2"/>
    <x v="1"/>
    <x v="5"/>
    <x v="3"/>
    <x v="0"/>
    <n v="1"/>
    <n v="37253.67"/>
    <n v="37253.67"/>
    <s v="Prashant Nair"/>
    <n v="56"/>
    <x v="14"/>
    <x v="1"/>
    <n v="1"/>
    <x v="2"/>
    <x v="0"/>
  </r>
  <r>
    <n v="1833"/>
    <x v="521"/>
    <n v="14"/>
    <n v="3"/>
    <x v="2"/>
    <x v="1"/>
    <x v="5"/>
    <x v="3"/>
    <x v="3"/>
    <n v="7"/>
    <n v="24325.95"/>
    <n v="170281.65"/>
    <s v="Prashant Sharma"/>
    <n v="53"/>
    <x v="1"/>
    <x v="3"/>
    <n v="4"/>
    <x v="0"/>
    <x v="8"/>
  </r>
  <r>
    <n v="1834"/>
    <x v="521"/>
    <n v="14"/>
    <n v="3"/>
    <x v="2"/>
    <x v="1"/>
    <x v="5"/>
    <x v="3"/>
    <x v="4"/>
    <n v="5"/>
    <n v="60133.89"/>
    <n v="300669.45"/>
    <s v="Manoj Kulkarni"/>
    <n v="37"/>
    <x v="16"/>
    <x v="3"/>
    <n v="4"/>
    <x v="0"/>
    <x v="14"/>
  </r>
  <r>
    <n v="1835"/>
    <x v="522"/>
    <n v="15"/>
    <n v="3"/>
    <x v="2"/>
    <x v="1"/>
    <x v="5"/>
    <x v="4"/>
    <x v="2"/>
    <n v="8"/>
    <n v="57035.18"/>
    <n v="456281.44"/>
    <s v="Jyoti Iyer"/>
    <n v="49"/>
    <x v="1"/>
    <x v="1"/>
    <n v="5"/>
    <x v="0"/>
    <x v="6"/>
  </r>
  <r>
    <n v="1836"/>
    <x v="522"/>
    <n v="15"/>
    <n v="3"/>
    <x v="2"/>
    <x v="1"/>
    <x v="5"/>
    <x v="4"/>
    <x v="3"/>
    <n v="4"/>
    <n v="59450.8"/>
    <n v="237803.2"/>
    <s v="Namita Roy"/>
    <n v="56"/>
    <x v="2"/>
    <x v="3"/>
    <n v="5"/>
    <x v="0"/>
    <x v="8"/>
  </r>
  <r>
    <n v="1837"/>
    <x v="522"/>
    <n v="15"/>
    <n v="3"/>
    <x v="2"/>
    <x v="1"/>
    <x v="5"/>
    <x v="4"/>
    <x v="4"/>
    <n v="7"/>
    <n v="53416.57"/>
    <n v="373915.99"/>
    <s v="Kiran Pathak"/>
    <n v="43"/>
    <x v="2"/>
    <x v="3"/>
    <n v="1"/>
    <x v="2"/>
    <x v="7"/>
  </r>
  <r>
    <n v="1838"/>
    <x v="522"/>
    <n v="15"/>
    <n v="3"/>
    <x v="2"/>
    <x v="1"/>
    <x v="5"/>
    <x v="4"/>
    <x v="2"/>
    <n v="6"/>
    <n v="59960.99"/>
    <n v="359765.94"/>
    <s v="Ramesh Verma"/>
    <n v="43"/>
    <x v="6"/>
    <x v="0"/>
    <n v="5"/>
    <x v="0"/>
    <x v="4"/>
  </r>
  <r>
    <n v="1839"/>
    <x v="523"/>
    <n v="16"/>
    <n v="3"/>
    <x v="2"/>
    <x v="1"/>
    <x v="5"/>
    <x v="5"/>
    <x v="1"/>
    <n v="5"/>
    <n v="22049.73"/>
    <n v="110248.65"/>
    <s v="Deepika Prasad"/>
    <n v="53"/>
    <x v="2"/>
    <x v="2"/>
    <n v="1"/>
    <x v="2"/>
    <x v="2"/>
  </r>
  <r>
    <n v="1840"/>
    <x v="523"/>
    <n v="16"/>
    <n v="3"/>
    <x v="2"/>
    <x v="1"/>
    <x v="5"/>
    <x v="5"/>
    <x v="2"/>
    <n v="4"/>
    <n v="37122.629999999997"/>
    <n v="148490.51999999999"/>
    <s v="Lalita Sheth"/>
    <n v="52"/>
    <x v="1"/>
    <x v="0"/>
    <n v="1"/>
    <x v="2"/>
    <x v="13"/>
  </r>
  <r>
    <n v="1841"/>
    <x v="523"/>
    <n v="16"/>
    <n v="3"/>
    <x v="2"/>
    <x v="1"/>
    <x v="5"/>
    <x v="5"/>
    <x v="0"/>
    <n v="7"/>
    <n v="51510.81"/>
    <n v="360575.67"/>
    <s v="Harish Prasad"/>
    <n v="52"/>
    <x v="15"/>
    <x v="0"/>
    <n v="1"/>
    <x v="2"/>
    <x v="0"/>
  </r>
  <r>
    <n v="1842"/>
    <x v="524"/>
    <n v="17"/>
    <n v="3"/>
    <x v="2"/>
    <x v="1"/>
    <x v="5"/>
    <x v="6"/>
    <x v="0"/>
    <n v="5"/>
    <n v="48243.55"/>
    <n v="241217.75"/>
    <s v="Ayesha Solanki"/>
    <n v="29"/>
    <x v="5"/>
    <x v="3"/>
    <n v="5"/>
    <x v="0"/>
    <x v="0"/>
  </r>
  <r>
    <n v="1843"/>
    <x v="524"/>
    <n v="17"/>
    <n v="3"/>
    <x v="2"/>
    <x v="1"/>
    <x v="5"/>
    <x v="6"/>
    <x v="1"/>
    <n v="5"/>
    <n v="52981.27"/>
    <n v="264906.34999999998"/>
    <s v="Harish Prasad"/>
    <n v="50"/>
    <x v="1"/>
    <x v="2"/>
    <n v="5"/>
    <x v="0"/>
    <x v="9"/>
  </r>
  <r>
    <n v="1844"/>
    <x v="524"/>
    <n v="17"/>
    <n v="3"/>
    <x v="2"/>
    <x v="1"/>
    <x v="5"/>
    <x v="6"/>
    <x v="3"/>
    <n v="1"/>
    <n v="23455.5"/>
    <n v="23455.5"/>
    <s v="Vivek Teja"/>
    <n v="53"/>
    <x v="5"/>
    <x v="2"/>
    <n v="5"/>
    <x v="0"/>
    <x v="8"/>
  </r>
  <r>
    <n v="1845"/>
    <x v="524"/>
    <n v="17"/>
    <n v="3"/>
    <x v="2"/>
    <x v="1"/>
    <x v="5"/>
    <x v="6"/>
    <x v="4"/>
    <n v="2"/>
    <n v="15906.08"/>
    <n v="31812.16"/>
    <s v="Rohan Menon"/>
    <n v="31"/>
    <x v="1"/>
    <x v="3"/>
    <n v="3"/>
    <x v="1"/>
    <x v="7"/>
  </r>
  <r>
    <n v="1846"/>
    <x v="525"/>
    <n v="18"/>
    <n v="3"/>
    <x v="2"/>
    <x v="1"/>
    <x v="5"/>
    <x v="0"/>
    <x v="2"/>
    <n v="5"/>
    <n v="65008.39"/>
    <n v="325041.95"/>
    <s v="Vijay Varma"/>
    <n v="50"/>
    <x v="1"/>
    <x v="0"/>
    <n v="5"/>
    <x v="0"/>
    <x v="13"/>
  </r>
  <r>
    <n v="1847"/>
    <x v="525"/>
    <n v="18"/>
    <n v="3"/>
    <x v="2"/>
    <x v="1"/>
    <x v="5"/>
    <x v="0"/>
    <x v="0"/>
    <n v="3"/>
    <n v="43610.31"/>
    <n v="130830.93"/>
    <s v="Rajesh Menon"/>
    <n v="41"/>
    <x v="5"/>
    <x v="0"/>
    <n v="5"/>
    <x v="0"/>
    <x v="0"/>
  </r>
  <r>
    <n v="1848"/>
    <x v="525"/>
    <n v="18"/>
    <n v="3"/>
    <x v="2"/>
    <x v="1"/>
    <x v="5"/>
    <x v="0"/>
    <x v="3"/>
    <n v="2"/>
    <n v="19229.560000000001"/>
    <n v="38459.120000000003"/>
    <s v="Ravi Bhattacharya"/>
    <n v="32"/>
    <x v="12"/>
    <x v="0"/>
    <n v="3"/>
    <x v="1"/>
    <x v="8"/>
  </r>
  <r>
    <n v="1849"/>
    <x v="526"/>
    <n v="19"/>
    <n v="3"/>
    <x v="2"/>
    <x v="1"/>
    <x v="5"/>
    <x v="1"/>
    <x v="1"/>
    <n v="4"/>
    <n v="57606.19"/>
    <n v="230424.76"/>
    <s v="Sachin Rawat"/>
    <n v="48"/>
    <x v="1"/>
    <x v="2"/>
    <n v="1"/>
    <x v="2"/>
    <x v="2"/>
  </r>
  <r>
    <n v="1850"/>
    <x v="526"/>
    <n v="19"/>
    <n v="3"/>
    <x v="2"/>
    <x v="1"/>
    <x v="5"/>
    <x v="1"/>
    <x v="0"/>
    <n v="4"/>
    <n v="64895.8"/>
    <n v="259583.2"/>
    <s v="Reena Teja"/>
    <n v="34"/>
    <x v="0"/>
    <x v="3"/>
    <n v="4"/>
    <x v="0"/>
    <x v="10"/>
  </r>
  <r>
    <n v="1851"/>
    <x v="526"/>
    <n v="19"/>
    <n v="3"/>
    <x v="2"/>
    <x v="1"/>
    <x v="5"/>
    <x v="1"/>
    <x v="1"/>
    <n v="4"/>
    <n v="20173.810000000001"/>
    <n v="80695.240000000005"/>
    <s v="Anita Rawat"/>
    <n v="29"/>
    <x v="6"/>
    <x v="2"/>
    <n v="3"/>
    <x v="1"/>
    <x v="2"/>
  </r>
  <r>
    <n v="1852"/>
    <x v="527"/>
    <n v="20"/>
    <n v="3"/>
    <x v="2"/>
    <x v="1"/>
    <x v="5"/>
    <x v="2"/>
    <x v="2"/>
    <n v="4"/>
    <n v="59044.75"/>
    <n v="236179"/>
    <s v="Pankaj Alva"/>
    <n v="39"/>
    <x v="1"/>
    <x v="0"/>
    <n v="3"/>
    <x v="1"/>
    <x v="13"/>
  </r>
  <r>
    <n v="1853"/>
    <x v="527"/>
    <n v="20"/>
    <n v="3"/>
    <x v="2"/>
    <x v="1"/>
    <x v="5"/>
    <x v="2"/>
    <x v="4"/>
    <n v="3"/>
    <n v="65993.5"/>
    <n v="197980.5"/>
    <s v="Meena Mathur"/>
    <n v="40"/>
    <x v="17"/>
    <x v="2"/>
    <n v="1"/>
    <x v="2"/>
    <x v="11"/>
  </r>
  <r>
    <n v="1854"/>
    <x v="527"/>
    <n v="20"/>
    <n v="3"/>
    <x v="2"/>
    <x v="1"/>
    <x v="5"/>
    <x v="2"/>
    <x v="0"/>
    <n v="7"/>
    <n v="66301.7"/>
    <n v="464111.89999999997"/>
    <s v="Vinod Prasad"/>
    <n v="43"/>
    <x v="1"/>
    <x v="2"/>
    <n v="5"/>
    <x v="0"/>
    <x v="0"/>
  </r>
  <r>
    <n v="1855"/>
    <x v="527"/>
    <n v="20"/>
    <n v="3"/>
    <x v="2"/>
    <x v="1"/>
    <x v="5"/>
    <x v="2"/>
    <x v="0"/>
    <n v="9"/>
    <n v="64849.39"/>
    <n v="583644.51"/>
    <s v="Sanjay Menon"/>
    <n v="31"/>
    <x v="4"/>
    <x v="3"/>
    <n v="5"/>
    <x v="0"/>
    <x v="3"/>
  </r>
  <r>
    <n v="1856"/>
    <x v="528"/>
    <n v="21"/>
    <n v="3"/>
    <x v="2"/>
    <x v="1"/>
    <x v="5"/>
    <x v="3"/>
    <x v="2"/>
    <n v="5"/>
    <n v="42785.26"/>
    <n v="213926.30000000002"/>
    <s v="Rajesh Shah"/>
    <n v="29"/>
    <x v="2"/>
    <x v="3"/>
    <n v="3"/>
    <x v="1"/>
    <x v="6"/>
  </r>
  <r>
    <n v="1857"/>
    <x v="528"/>
    <n v="21"/>
    <n v="3"/>
    <x v="2"/>
    <x v="1"/>
    <x v="5"/>
    <x v="3"/>
    <x v="3"/>
    <n v="4"/>
    <n v="31372.68"/>
    <n v="125490.72"/>
    <s v="Krishna Bhattacharya"/>
    <n v="21"/>
    <x v="17"/>
    <x v="2"/>
    <n v="5"/>
    <x v="0"/>
    <x v="8"/>
  </r>
  <r>
    <n v="1858"/>
    <x v="528"/>
    <n v="21"/>
    <n v="3"/>
    <x v="2"/>
    <x v="1"/>
    <x v="5"/>
    <x v="3"/>
    <x v="4"/>
    <n v="2"/>
    <n v="10436.370000000001"/>
    <n v="20872.740000000002"/>
    <s v="Umesh Ghosh"/>
    <n v="30"/>
    <x v="2"/>
    <x v="1"/>
    <n v="3"/>
    <x v="1"/>
    <x v="14"/>
  </r>
  <r>
    <n v="1859"/>
    <x v="528"/>
    <n v="21"/>
    <n v="3"/>
    <x v="2"/>
    <x v="1"/>
    <x v="5"/>
    <x v="3"/>
    <x v="0"/>
    <n v="2"/>
    <n v="13654.73"/>
    <n v="27309.46"/>
    <s v="Kiran Bhattacharya"/>
    <n v="35"/>
    <x v="12"/>
    <x v="3"/>
    <n v="4"/>
    <x v="0"/>
    <x v="0"/>
  </r>
  <r>
    <n v="1860"/>
    <x v="529"/>
    <n v="22"/>
    <n v="3"/>
    <x v="2"/>
    <x v="1"/>
    <x v="5"/>
    <x v="4"/>
    <x v="4"/>
    <n v="5"/>
    <n v="35730.339999999997"/>
    <n v="178651.69999999998"/>
    <s v="Manoj Goyal"/>
    <n v="45"/>
    <x v="1"/>
    <x v="1"/>
    <n v="4"/>
    <x v="0"/>
    <x v="14"/>
  </r>
  <r>
    <n v="1861"/>
    <x v="529"/>
    <n v="22"/>
    <n v="3"/>
    <x v="2"/>
    <x v="1"/>
    <x v="5"/>
    <x v="4"/>
    <x v="0"/>
    <n v="7"/>
    <n v="33959.57"/>
    <n v="237716.99"/>
    <s v="Sachin Jain"/>
    <n v="55"/>
    <x v="2"/>
    <x v="3"/>
    <n v="1"/>
    <x v="2"/>
    <x v="0"/>
  </r>
  <r>
    <n v="1862"/>
    <x v="529"/>
    <n v="22"/>
    <n v="3"/>
    <x v="2"/>
    <x v="1"/>
    <x v="5"/>
    <x v="4"/>
    <x v="4"/>
    <n v="9"/>
    <n v="21082.83"/>
    <n v="189745.47000000003"/>
    <s v="Bhavana Reddy"/>
    <n v="58"/>
    <x v="6"/>
    <x v="0"/>
    <n v="5"/>
    <x v="0"/>
    <x v="7"/>
  </r>
  <r>
    <n v="1863"/>
    <x v="529"/>
    <n v="22"/>
    <n v="3"/>
    <x v="2"/>
    <x v="1"/>
    <x v="5"/>
    <x v="4"/>
    <x v="1"/>
    <n v="7"/>
    <n v="33728.800000000003"/>
    <n v="236101.60000000003"/>
    <s v="Sumit Mishra"/>
    <n v="36"/>
    <x v="1"/>
    <x v="1"/>
    <n v="5"/>
    <x v="0"/>
    <x v="2"/>
  </r>
  <r>
    <n v="1864"/>
    <x v="530"/>
    <n v="23"/>
    <n v="3"/>
    <x v="2"/>
    <x v="1"/>
    <x v="5"/>
    <x v="5"/>
    <x v="0"/>
    <n v="5"/>
    <n v="20479"/>
    <n v="102395"/>
    <s v="Gita Rao"/>
    <n v="55"/>
    <x v="4"/>
    <x v="0"/>
    <n v="5"/>
    <x v="0"/>
    <x v="3"/>
  </r>
  <r>
    <n v="1865"/>
    <x v="530"/>
    <n v="23"/>
    <n v="3"/>
    <x v="2"/>
    <x v="1"/>
    <x v="5"/>
    <x v="5"/>
    <x v="4"/>
    <n v="6"/>
    <n v="60927.48"/>
    <n v="365564.88"/>
    <s v="Ravi Teja"/>
    <n v="20"/>
    <x v="7"/>
    <x v="0"/>
    <n v="5"/>
    <x v="0"/>
    <x v="14"/>
  </r>
  <r>
    <n v="1866"/>
    <x v="530"/>
    <n v="23"/>
    <n v="3"/>
    <x v="2"/>
    <x v="1"/>
    <x v="5"/>
    <x v="5"/>
    <x v="3"/>
    <n v="3"/>
    <n v="27891.69"/>
    <n v="83675.069999999992"/>
    <s v="Nikhil Patel"/>
    <n v="36"/>
    <x v="15"/>
    <x v="2"/>
    <n v="4"/>
    <x v="0"/>
    <x v="8"/>
  </r>
  <r>
    <n v="1867"/>
    <x v="531"/>
    <n v="24"/>
    <n v="3"/>
    <x v="2"/>
    <x v="1"/>
    <x v="5"/>
    <x v="6"/>
    <x v="1"/>
    <n v="5"/>
    <n v="45913.86"/>
    <n v="229569.3"/>
    <s v="Deepika Dutta"/>
    <n v="37"/>
    <x v="14"/>
    <x v="0"/>
    <n v="1"/>
    <x v="2"/>
    <x v="2"/>
  </r>
  <r>
    <n v="1868"/>
    <x v="531"/>
    <n v="24"/>
    <n v="3"/>
    <x v="2"/>
    <x v="1"/>
    <x v="5"/>
    <x v="6"/>
    <x v="1"/>
    <n v="8"/>
    <n v="40170.58"/>
    <n v="321364.64"/>
    <s v="Manoj Goyal"/>
    <n v="42"/>
    <x v="1"/>
    <x v="0"/>
    <n v="4"/>
    <x v="0"/>
    <x v="9"/>
  </r>
  <r>
    <n v="1869"/>
    <x v="531"/>
    <n v="24"/>
    <n v="3"/>
    <x v="2"/>
    <x v="1"/>
    <x v="5"/>
    <x v="6"/>
    <x v="3"/>
    <n v="1"/>
    <n v="13112.92"/>
    <n v="13112.92"/>
    <s v="Shruti Verma"/>
    <n v="28"/>
    <x v="1"/>
    <x v="0"/>
    <n v="3"/>
    <x v="1"/>
    <x v="8"/>
  </r>
  <r>
    <n v="1870"/>
    <x v="531"/>
    <n v="24"/>
    <n v="3"/>
    <x v="2"/>
    <x v="1"/>
    <x v="5"/>
    <x v="6"/>
    <x v="4"/>
    <n v="1"/>
    <n v="66534.02"/>
    <n v="66534.02"/>
    <s v="Meena Desai"/>
    <n v="34"/>
    <x v="17"/>
    <x v="0"/>
    <n v="5"/>
    <x v="0"/>
    <x v="14"/>
  </r>
  <r>
    <n v="1871"/>
    <x v="532"/>
    <n v="25"/>
    <n v="3"/>
    <x v="2"/>
    <x v="1"/>
    <x v="5"/>
    <x v="0"/>
    <x v="2"/>
    <n v="7"/>
    <n v="41633.56"/>
    <n v="291434.92"/>
    <s v="Vivek Pathak"/>
    <n v="52"/>
    <x v="18"/>
    <x v="2"/>
    <n v="5"/>
    <x v="0"/>
    <x v="6"/>
  </r>
  <r>
    <n v="1872"/>
    <x v="532"/>
    <n v="25"/>
    <n v="3"/>
    <x v="2"/>
    <x v="1"/>
    <x v="5"/>
    <x v="0"/>
    <x v="3"/>
    <n v="5"/>
    <n v="29503.46"/>
    <n v="147517.29999999999"/>
    <s v="Vinod Kumar"/>
    <n v="31"/>
    <x v="2"/>
    <x v="2"/>
    <n v="5"/>
    <x v="0"/>
    <x v="8"/>
  </r>
  <r>
    <n v="1873"/>
    <x v="532"/>
    <n v="25"/>
    <n v="3"/>
    <x v="2"/>
    <x v="1"/>
    <x v="5"/>
    <x v="0"/>
    <x v="4"/>
    <n v="5"/>
    <n v="19487.59"/>
    <n v="97437.95"/>
    <s v="Priya Dutta"/>
    <n v="56"/>
    <x v="0"/>
    <x v="0"/>
    <n v="3"/>
    <x v="1"/>
    <x v="11"/>
  </r>
  <r>
    <n v="1874"/>
    <x v="533"/>
    <n v="26"/>
    <n v="3"/>
    <x v="2"/>
    <x v="1"/>
    <x v="5"/>
    <x v="1"/>
    <x v="3"/>
    <n v="1"/>
    <n v="30311.599999999999"/>
    <n v="30311.599999999999"/>
    <s v="Kiran Gupta"/>
    <n v="36"/>
    <x v="1"/>
    <x v="1"/>
    <n v="5"/>
    <x v="0"/>
    <x v="8"/>
  </r>
  <r>
    <n v="1875"/>
    <x v="533"/>
    <n v="26"/>
    <n v="3"/>
    <x v="2"/>
    <x v="1"/>
    <x v="5"/>
    <x v="1"/>
    <x v="3"/>
    <n v="9"/>
    <n v="11230.7"/>
    <n v="101076.3"/>
    <s v="Namita Kumar"/>
    <n v="20"/>
    <x v="1"/>
    <x v="3"/>
    <n v="5"/>
    <x v="0"/>
    <x v="8"/>
  </r>
  <r>
    <n v="1876"/>
    <x v="533"/>
    <n v="26"/>
    <n v="3"/>
    <x v="2"/>
    <x v="1"/>
    <x v="5"/>
    <x v="1"/>
    <x v="0"/>
    <n v="1"/>
    <n v="31813.49"/>
    <n v="31813.49"/>
    <s v="Krishna Patel"/>
    <n v="51"/>
    <x v="5"/>
    <x v="1"/>
    <n v="5"/>
    <x v="0"/>
    <x v="0"/>
  </r>
  <r>
    <n v="1877"/>
    <x v="534"/>
    <n v="27"/>
    <n v="3"/>
    <x v="2"/>
    <x v="1"/>
    <x v="5"/>
    <x v="2"/>
    <x v="4"/>
    <n v="5"/>
    <n v="41889.160000000003"/>
    <n v="209445.80000000002"/>
    <s v="Tapan Chatterjee"/>
    <n v="58"/>
    <x v="10"/>
    <x v="0"/>
    <n v="3"/>
    <x v="1"/>
    <x v="11"/>
  </r>
  <r>
    <n v="1878"/>
    <x v="534"/>
    <n v="27"/>
    <n v="3"/>
    <x v="2"/>
    <x v="1"/>
    <x v="5"/>
    <x v="2"/>
    <x v="2"/>
    <n v="9"/>
    <n v="62311.97"/>
    <n v="560807.73"/>
    <s v="Kiran Malhotra"/>
    <n v="39"/>
    <x v="2"/>
    <x v="2"/>
    <n v="5"/>
    <x v="0"/>
    <x v="6"/>
  </r>
  <r>
    <n v="1879"/>
    <x v="534"/>
    <n v="27"/>
    <n v="3"/>
    <x v="2"/>
    <x v="1"/>
    <x v="5"/>
    <x v="2"/>
    <x v="0"/>
    <n v="4"/>
    <n v="51242.47"/>
    <n v="204969.88"/>
    <s v="Aditya Mishra"/>
    <n v="55"/>
    <x v="4"/>
    <x v="0"/>
    <n v="5"/>
    <x v="0"/>
    <x v="3"/>
  </r>
  <r>
    <n v="1880"/>
    <x v="535"/>
    <n v="28"/>
    <n v="3"/>
    <x v="2"/>
    <x v="1"/>
    <x v="5"/>
    <x v="3"/>
    <x v="3"/>
    <n v="8"/>
    <n v="16694.939999999999"/>
    <n v="133559.51999999999"/>
    <s v="Anand Kapoor"/>
    <n v="44"/>
    <x v="6"/>
    <x v="0"/>
    <n v="5"/>
    <x v="0"/>
    <x v="8"/>
  </r>
  <r>
    <n v="1881"/>
    <x v="535"/>
    <n v="28"/>
    <n v="3"/>
    <x v="2"/>
    <x v="1"/>
    <x v="5"/>
    <x v="3"/>
    <x v="3"/>
    <n v="6"/>
    <n v="18864.78"/>
    <n v="113188.68"/>
    <s v="Anita Dutta"/>
    <n v="38"/>
    <x v="3"/>
    <x v="2"/>
    <n v="3"/>
    <x v="1"/>
    <x v="5"/>
  </r>
  <r>
    <n v="1882"/>
    <x v="535"/>
    <n v="28"/>
    <n v="3"/>
    <x v="2"/>
    <x v="1"/>
    <x v="5"/>
    <x v="3"/>
    <x v="3"/>
    <n v="3"/>
    <n v="35687.4"/>
    <n v="107062.20000000001"/>
    <s v="Radha Gupta"/>
    <n v="58"/>
    <x v="2"/>
    <x v="1"/>
    <n v="3"/>
    <x v="1"/>
    <x v="5"/>
  </r>
  <r>
    <n v="1883"/>
    <x v="535"/>
    <n v="28"/>
    <n v="3"/>
    <x v="2"/>
    <x v="1"/>
    <x v="5"/>
    <x v="3"/>
    <x v="4"/>
    <n v="4"/>
    <n v="21742.47"/>
    <n v="86969.88"/>
    <s v="Kiran Solanki"/>
    <n v="48"/>
    <x v="18"/>
    <x v="3"/>
    <n v="4"/>
    <x v="0"/>
    <x v="14"/>
  </r>
  <r>
    <n v="1884"/>
    <x v="536"/>
    <n v="29"/>
    <n v="3"/>
    <x v="2"/>
    <x v="1"/>
    <x v="5"/>
    <x v="4"/>
    <x v="4"/>
    <n v="2"/>
    <n v="11670.99"/>
    <n v="23341.98"/>
    <s v="Meena Patel"/>
    <n v="44"/>
    <x v="14"/>
    <x v="0"/>
    <n v="5"/>
    <x v="0"/>
    <x v="14"/>
  </r>
  <r>
    <n v="1885"/>
    <x v="536"/>
    <n v="29"/>
    <n v="3"/>
    <x v="2"/>
    <x v="1"/>
    <x v="5"/>
    <x v="4"/>
    <x v="0"/>
    <n v="1"/>
    <n v="58300.89"/>
    <n v="58300.89"/>
    <s v="Vivek Yadav"/>
    <n v="54"/>
    <x v="14"/>
    <x v="2"/>
    <n v="3"/>
    <x v="1"/>
    <x v="0"/>
  </r>
  <r>
    <n v="1886"/>
    <x v="536"/>
    <n v="29"/>
    <n v="3"/>
    <x v="2"/>
    <x v="1"/>
    <x v="5"/>
    <x v="4"/>
    <x v="2"/>
    <n v="8"/>
    <n v="11171.35"/>
    <n v="89370.8"/>
    <s v="Kunal Yadav"/>
    <n v="19"/>
    <x v="2"/>
    <x v="3"/>
    <n v="5"/>
    <x v="0"/>
    <x v="4"/>
  </r>
  <r>
    <n v="1887"/>
    <x v="536"/>
    <n v="29"/>
    <n v="3"/>
    <x v="2"/>
    <x v="1"/>
    <x v="5"/>
    <x v="4"/>
    <x v="0"/>
    <n v="1"/>
    <n v="59841.38"/>
    <n v="59841.38"/>
    <s v="Vivek Rathod"/>
    <n v="26"/>
    <x v="6"/>
    <x v="3"/>
    <n v="1"/>
    <x v="2"/>
    <x v="3"/>
  </r>
  <r>
    <n v="1888"/>
    <x v="537"/>
    <n v="30"/>
    <n v="3"/>
    <x v="2"/>
    <x v="1"/>
    <x v="5"/>
    <x v="5"/>
    <x v="1"/>
    <n v="1"/>
    <n v="18646.240000000002"/>
    <n v="18646.240000000002"/>
    <s v="Vijay Rao"/>
    <n v="36"/>
    <x v="8"/>
    <x v="3"/>
    <n v="5"/>
    <x v="0"/>
    <x v="9"/>
  </r>
  <r>
    <n v="1889"/>
    <x v="537"/>
    <n v="30"/>
    <n v="3"/>
    <x v="2"/>
    <x v="1"/>
    <x v="5"/>
    <x v="5"/>
    <x v="3"/>
    <n v="4"/>
    <n v="68480.7"/>
    <n v="273922.8"/>
    <s v="Sachin Ghosh"/>
    <n v="59"/>
    <x v="1"/>
    <x v="2"/>
    <n v="5"/>
    <x v="0"/>
    <x v="12"/>
  </r>
  <r>
    <n v="1890"/>
    <x v="537"/>
    <n v="30"/>
    <n v="3"/>
    <x v="2"/>
    <x v="1"/>
    <x v="5"/>
    <x v="5"/>
    <x v="3"/>
    <n v="6"/>
    <n v="46232.43"/>
    <n v="277394.58"/>
    <s v="Vinod Verma"/>
    <n v="53"/>
    <x v="2"/>
    <x v="0"/>
    <n v="5"/>
    <x v="0"/>
    <x v="8"/>
  </r>
  <r>
    <n v="1891"/>
    <x v="538"/>
    <n v="31"/>
    <n v="3"/>
    <x v="2"/>
    <x v="1"/>
    <x v="5"/>
    <x v="6"/>
    <x v="3"/>
    <n v="9"/>
    <n v="54098.98"/>
    <n v="486890.82"/>
    <s v="Tanuja Rao"/>
    <n v="27"/>
    <x v="2"/>
    <x v="2"/>
    <n v="5"/>
    <x v="0"/>
    <x v="12"/>
  </r>
  <r>
    <n v="1892"/>
    <x v="538"/>
    <n v="31"/>
    <n v="3"/>
    <x v="2"/>
    <x v="1"/>
    <x v="5"/>
    <x v="6"/>
    <x v="0"/>
    <n v="1"/>
    <n v="16629.02"/>
    <n v="16629.02"/>
    <s v="Rajesh Chatterjee"/>
    <n v="57"/>
    <x v="2"/>
    <x v="0"/>
    <n v="5"/>
    <x v="0"/>
    <x v="3"/>
  </r>
  <r>
    <n v="1893"/>
    <x v="538"/>
    <n v="31"/>
    <n v="3"/>
    <x v="2"/>
    <x v="1"/>
    <x v="5"/>
    <x v="6"/>
    <x v="0"/>
    <n v="7"/>
    <n v="61726.239999999998"/>
    <n v="432083.68"/>
    <s v="Vivek Nambiar"/>
    <n v="56"/>
    <x v="14"/>
    <x v="1"/>
    <n v="1"/>
    <x v="2"/>
    <x v="3"/>
  </r>
  <r>
    <n v="1894"/>
    <x v="539"/>
    <n v="1"/>
    <n v="4"/>
    <x v="2"/>
    <x v="2"/>
    <x v="6"/>
    <x v="0"/>
    <x v="3"/>
    <n v="5"/>
    <n v="60351.54"/>
    <n v="301757.7"/>
    <s v="Lata Dutta"/>
    <n v="24"/>
    <x v="14"/>
    <x v="3"/>
    <n v="5"/>
    <x v="0"/>
    <x v="5"/>
  </r>
  <r>
    <n v="1895"/>
    <x v="539"/>
    <n v="1"/>
    <n v="4"/>
    <x v="2"/>
    <x v="2"/>
    <x v="6"/>
    <x v="0"/>
    <x v="0"/>
    <n v="8"/>
    <n v="49179.56"/>
    <n v="393436.48"/>
    <s v="Yogesh Siddiqui"/>
    <n v="21"/>
    <x v="12"/>
    <x v="0"/>
    <n v="5"/>
    <x v="0"/>
    <x v="3"/>
  </r>
  <r>
    <n v="1896"/>
    <x v="539"/>
    <n v="1"/>
    <n v="4"/>
    <x v="2"/>
    <x v="2"/>
    <x v="6"/>
    <x v="0"/>
    <x v="4"/>
    <n v="7"/>
    <n v="40136.49"/>
    <n v="280955.43"/>
    <s v="Anita Deshmukh"/>
    <n v="32"/>
    <x v="5"/>
    <x v="1"/>
    <n v="3"/>
    <x v="1"/>
    <x v="11"/>
  </r>
  <r>
    <n v="1897"/>
    <x v="539"/>
    <n v="1"/>
    <n v="4"/>
    <x v="2"/>
    <x v="2"/>
    <x v="6"/>
    <x v="0"/>
    <x v="4"/>
    <n v="4"/>
    <n v="53289.35"/>
    <n v="213157.4"/>
    <s v="Shruti Sheth"/>
    <n v="29"/>
    <x v="15"/>
    <x v="2"/>
    <n v="5"/>
    <x v="0"/>
    <x v="7"/>
  </r>
  <r>
    <n v="1898"/>
    <x v="540"/>
    <n v="2"/>
    <n v="4"/>
    <x v="2"/>
    <x v="2"/>
    <x v="6"/>
    <x v="1"/>
    <x v="0"/>
    <n v="4"/>
    <n v="10355.69"/>
    <n v="41422.76"/>
    <s v="Shruti Chaudhary"/>
    <n v="23"/>
    <x v="1"/>
    <x v="3"/>
    <n v="5"/>
    <x v="0"/>
    <x v="3"/>
  </r>
  <r>
    <n v="1899"/>
    <x v="540"/>
    <n v="2"/>
    <n v="4"/>
    <x v="2"/>
    <x v="2"/>
    <x v="6"/>
    <x v="1"/>
    <x v="3"/>
    <n v="6"/>
    <n v="45546.45"/>
    <n v="273278.69999999995"/>
    <s v="Lalita Patel"/>
    <n v="26"/>
    <x v="4"/>
    <x v="0"/>
    <n v="5"/>
    <x v="0"/>
    <x v="8"/>
  </r>
  <r>
    <n v="1900"/>
    <x v="540"/>
    <n v="2"/>
    <n v="4"/>
    <x v="2"/>
    <x v="2"/>
    <x v="6"/>
    <x v="1"/>
    <x v="0"/>
    <n v="6"/>
    <n v="60844.37"/>
    <n v="365066.22000000003"/>
    <s v="Isha Thakur"/>
    <n v="52"/>
    <x v="1"/>
    <x v="3"/>
    <n v="5"/>
    <x v="0"/>
    <x v="3"/>
  </r>
  <r>
    <n v="1901"/>
    <x v="541"/>
    <n v="3"/>
    <n v="4"/>
    <x v="2"/>
    <x v="2"/>
    <x v="6"/>
    <x v="2"/>
    <x v="0"/>
    <n v="9"/>
    <n v="31413.99"/>
    <n v="282725.91000000003"/>
    <s v="Harish Pillai"/>
    <n v="25"/>
    <x v="1"/>
    <x v="3"/>
    <n v="5"/>
    <x v="0"/>
    <x v="0"/>
  </r>
  <r>
    <n v="1902"/>
    <x v="541"/>
    <n v="3"/>
    <n v="4"/>
    <x v="2"/>
    <x v="2"/>
    <x v="6"/>
    <x v="2"/>
    <x v="0"/>
    <n v="5"/>
    <n v="16497.36"/>
    <n v="82486.8"/>
    <s v="Nikhil Solanki"/>
    <n v="24"/>
    <x v="2"/>
    <x v="3"/>
    <n v="5"/>
    <x v="0"/>
    <x v="10"/>
  </r>
  <r>
    <n v="1903"/>
    <x v="541"/>
    <n v="3"/>
    <n v="4"/>
    <x v="2"/>
    <x v="2"/>
    <x v="6"/>
    <x v="2"/>
    <x v="1"/>
    <n v="8"/>
    <n v="35252.629999999997"/>
    <n v="282021.03999999998"/>
    <s v="Radha Sheth"/>
    <n v="21"/>
    <x v="12"/>
    <x v="2"/>
    <n v="5"/>
    <x v="0"/>
    <x v="9"/>
  </r>
  <r>
    <n v="1904"/>
    <x v="541"/>
    <n v="3"/>
    <n v="4"/>
    <x v="2"/>
    <x v="2"/>
    <x v="6"/>
    <x v="2"/>
    <x v="4"/>
    <n v="5"/>
    <n v="53626.27"/>
    <n v="268131.34999999998"/>
    <s v="Priya Reddy"/>
    <n v="30"/>
    <x v="1"/>
    <x v="3"/>
    <n v="5"/>
    <x v="0"/>
    <x v="11"/>
  </r>
  <r>
    <n v="1905"/>
    <x v="542"/>
    <n v="4"/>
    <n v="4"/>
    <x v="2"/>
    <x v="2"/>
    <x v="6"/>
    <x v="3"/>
    <x v="2"/>
    <n v="2"/>
    <n v="16438.07"/>
    <n v="32876.14"/>
    <s v="Sunita Mathur"/>
    <n v="36"/>
    <x v="6"/>
    <x v="0"/>
    <n v="5"/>
    <x v="0"/>
    <x v="13"/>
  </r>
  <r>
    <n v="1906"/>
    <x v="542"/>
    <n v="4"/>
    <n v="4"/>
    <x v="2"/>
    <x v="2"/>
    <x v="6"/>
    <x v="3"/>
    <x v="2"/>
    <n v="6"/>
    <n v="22362.91"/>
    <n v="134177.46"/>
    <s v="Bhavana Jain"/>
    <n v="24"/>
    <x v="1"/>
    <x v="2"/>
    <n v="1"/>
    <x v="2"/>
    <x v="13"/>
  </r>
  <r>
    <n v="1907"/>
    <x v="542"/>
    <n v="4"/>
    <n v="4"/>
    <x v="2"/>
    <x v="2"/>
    <x v="6"/>
    <x v="3"/>
    <x v="1"/>
    <n v="9"/>
    <n v="18853.11"/>
    <n v="169677.99"/>
    <s v="Namita Ghosh"/>
    <n v="27"/>
    <x v="2"/>
    <x v="1"/>
    <n v="4"/>
    <x v="0"/>
    <x v="9"/>
  </r>
  <r>
    <n v="1908"/>
    <x v="543"/>
    <n v="5"/>
    <n v="4"/>
    <x v="2"/>
    <x v="2"/>
    <x v="6"/>
    <x v="4"/>
    <x v="0"/>
    <n v="3"/>
    <n v="57816.87"/>
    <n v="173450.61000000002"/>
    <s v="Harish Sharma"/>
    <n v="42"/>
    <x v="2"/>
    <x v="0"/>
    <n v="4"/>
    <x v="0"/>
    <x v="0"/>
  </r>
  <r>
    <n v="1909"/>
    <x v="543"/>
    <n v="5"/>
    <n v="4"/>
    <x v="2"/>
    <x v="2"/>
    <x v="6"/>
    <x v="4"/>
    <x v="1"/>
    <n v="1"/>
    <n v="13773.56"/>
    <n v="13773.56"/>
    <s v="Bina Singh"/>
    <n v="52"/>
    <x v="1"/>
    <x v="2"/>
    <n v="4"/>
    <x v="0"/>
    <x v="2"/>
  </r>
  <r>
    <n v="1910"/>
    <x v="543"/>
    <n v="5"/>
    <n v="4"/>
    <x v="2"/>
    <x v="2"/>
    <x v="6"/>
    <x v="4"/>
    <x v="1"/>
    <n v="1"/>
    <n v="51195.19"/>
    <n v="51195.19"/>
    <s v="Bhavana Dutta"/>
    <n v="42"/>
    <x v="1"/>
    <x v="0"/>
    <n v="4"/>
    <x v="0"/>
    <x v="9"/>
  </r>
  <r>
    <n v="1911"/>
    <x v="543"/>
    <n v="5"/>
    <n v="4"/>
    <x v="2"/>
    <x v="2"/>
    <x v="6"/>
    <x v="4"/>
    <x v="3"/>
    <n v="3"/>
    <n v="31987.42"/>
    <n v="95962.26"/>
    <s v="Neeta Desai"/>
    <n v="46"/>
    <x v="2"/>
    <x v="0"/>
    <n v="1"/>
    <x v="2"/>
    <x v="12"/>
  </r>
  <r>
    <n v="1912"/>
    <x v="544"/>
    <n v="6"/>
    <n v="4"/>
    <x v="2"/>
    <x v="2"/>
    <x v="6"/>
    <x v="5"/>
    <x v="4"/>
    <n v="5"/>
    <n v="55347.47"/>
    <n v="276737.34999999998"/>
    <s v="Pankaj Varma"/>
    <n v="29"/>
    <x v="3"/>
    <x v="1"/>
    <n v="1"/>
    <x v="2"/>
    <x v="14"/>
  </r>
  <r>
    <n v="1913"/>
    <x v="544"/>
    <n v="6"/>
    <n v="4"/>
    <x v="2"/>
    <x v="2"/>
    <x v="6"/>
    <x v="5"/>
    <x v="2"/>
    <n v="3"/>
    <n v="67863.009999999995"/>
    <n v="203589.02999999997"/>
    <s v="Tanuja Teja"/>
    <n v="57"/>
    <x v="2"/>
    <x v="2"/>
    <n v="5"/>
    <x v="0"/>
    <x v="13"/>
  </r>
  <r>
    <n v="1914"/>
    <x v="544"/>
    <n v="6"/>
    <n v="4"/>
    <x v="2"/>
    <x v="2"/>
    <x v="6"/>
    <x v="5"/>
    <x v="0"/>
    <n v="9"/>
    <n v="16872.72"/>
    <n v="151854.48000000001"/>
    <s v="Vijay Das"/>
    <n v="29"/>
    <x v="9"/>
    <x v="3"/>
    <n v="1"/>
    <x v="2"/>
    <x v="3"/>
  </r>
  <r>
    <n v="1915"/>
    <x v="545"/>
    <n v="7"/>
    <n v="4"/>
    <x v="2"/>
    <x v="2"/>
    <x v="6"/>
    <x v="6"/>
    <x v="2"/>
    <n v="8"/>
    <n v="28863.1"/>
    <n v="230904.8"/>
    <s v="Pankaj Srivastava"/>
    <n v="23"/>
    <x v="3"/>
    <x v="0"/>
    <n v="4"/>
    <x v="0"/>
    <x v="13"/>
  </r>
  <r>
    <n v="1916"/>
    <x v="545"/>
    <n v="7"/>
    <n v="4"/>
    <x v="2"/>
    <x v="2"/>
    <x v="6"/>
    <x v="6"/>
    <x v="2"/>
    <n v="3"/>
    <n v="58607.53"/>
    <n v="175822.59"/>
    <s v="Nikhil Solanki"/>
    <n v="27"/>
    <x v="1"/>
    <x v="0"/>
    <n v="4"/>
    <x v="0"/>
    <x v="13"/>
  </r>
  <r>
    <n v="1917"/>
    <x v="545"/>
    <n v="7"/>
    <n v="4"/>
    <x v="2"/>
    <x v="2"/>
    <x v="6"/>
    <x v="6"/>
    <x v="4"/>
    <n v="9"/>
    <n v="25969.5"/>
    <n v="233725.5"/>
    <s v="Nikhil Reddy"/>
    <n v="19"/>
    <x v="0"/>
    <x v="0"/>
    <n v="5"/>
    <x v="0"/>
    <x v="14"/>
  </r>
  <r>
    <n v="1918"/>
    <x v="545"/>
    <n v="7"/>
    <n v="4"/>
    <x v="2"/>
    <x v="2"/>
    <x v="6"/>
    <x v="6"/>
    <x v="2"/>
    <n v="6"/>
    <n v="22907.24"/>
    <n v="137443.44"/>
    <s v="Monika Solanki"/>
    <n v="42"/>
    <x v="0"/>
    <x v="0"/>
    <n v="5"/>
    <x v="0"/>
    <x v="13"/>
  </r>
  <r>
    <n v="1919"/>
    <x v="546"/>
    <n v="8"/>
    <n v="4"/>
    <x v="2"/>
    <x v="2"/>
    <x v="6"/>
    <x v="0"/>
    <x v="2"/>
    <n v="7"/>
    <n v="59522.68"/>
    <n v="416658.76"/>
    <s v="Priyanka Menon"/>
    <n v="24"/>
    <x v="16"/>
    <x v="0"/>
    <n v="4"/>
    <x v="0"/>
    <x v="6"/>
  </r>
  <r>
    <n v="1920"/>
    <x v="546"/>
    <n v="8"/>
    <n v="4"/>
    <x v="2"/>
    <x v="2"/>
    <x v="6"/>
    <x v="0"/>
    <x v="1"/>
    <n v="4"/>
    <n v="69224.94"/>
    <n v="276899.76"/>
    <s v="Neeta Mathur"/>
    <n v="57"/>
    <x v="11"/>
    <x v="2"/>
    <n v="4"/>
    <x v="0"/>
    <x v="1"/>
  </r>
  <r>
    <n v="1921"/>
    <x v="546"/>
    <n v="8"/>
    <n v="4"/>
    <x v="2"/>
    <x v="2"/>
    <x v="6"/>
    <x v="0"/>
    <x v="4"/>
    <n v="4"/>
    <n v="43412.84"/>
    <n v="173651.36"/>
    <s v="Aditya Luthra"/>
    <n v="40"/>
    <x v="0"/>
    <x v="0"/>
    <n v="4"/>
    <x v="0"/>
    <x v="14"/>
  </r>
  <r>
    <n v="1922"/>
    <x v="547"/>
    <n v="9"/>
    <n v="4"/>
    <x v="2"/>
    <x v="2"/>
    <x v="6"/>
    <x v="1"/>
    <x v="3"/>
    <n v="2"/>
    <n v="26682.92"/>
    <n v="53365.84"/>
    <s v="Ramesh Gupta"/>
    <n v="28"/>
    <x v="17"/>
    <x v="0"/>
    <n v="1"/>
    <x v="2"/>
    <x v="5"/>
  </r>
  <r>
    <n v="1923"/>
    <x v="547"/>
    <n v="9"/>
    <n v="4"/>
    <x v="2"/>
    <x v="2"/>
    <x v="6"/>
    <x v="1"/>
    <x v="0"/>
    <n v="5"/>
    <n v="33913.96"/>
    <n v="169569.8"/>
    <s v="Sanjay Ghosh"/>
    <n v="53"/>
    <x v="1"/>
    <x v="0"/>
    <n v="5"/>
    <x v="0"/>
    <x v="3"/>
  </r>
  <r>
    <n v="1924"/>
    <x v="547"/>
    <n v="9"/>
    <n v="4"/>
    <x v="2"/>
    <x v="2"/>
    <x v="6"/>
    <x v="1"/>
    <x v="2"/>
    <n v="8"/>
    <n v="20207.82"/>
    <n v="161662.56"/>
    <s v="Vijay Prasad"/>
    <n v="40"/>
    <x v="1"/>
    <x v="3"/>
    <n v="5"/>
    <x v="0"/>
    <x v="13"/>
  </r>
  <r>
    <n v="1925"/>
    <x v="547"/>
    <n v="9"/>
    <n v="4"/>
    <x v="2"/>
    <x v="2"/>
    <x v="6"/>
    <x v="1"/>
    <x v="0"/>
    <n v="7"/>
    <n v="55713.24"/>
    <n v="389992.68"/>
    <s v="Pooja Thakur"/>
    <n v="24"/>
    <x v="11"/>
    <x v="3"/>
    <n v="4"/>
    <x v="0"/>
    <x v="0"/>
  </r>
  <r>
    <n v="1926"/>
    <x v="548"/>
    <n v="10"/>
    <n v="4"/>
    <x v="2"/>
    <x v="2"/>
    <x v="6"/>
    <x v="2"/>
    <x v="3"/>
    <n v="7"/>
    <n v="56408.44"/>
    <n v="394859.08"/>
    <s v="Pankaj Desai"/>
    <n v="44"/>
    <x v="2"/>
    <x v="2"/>
    <n v="5"/>
    <x v="0"/>
    <x v="12"/>
  </r>
  <r>
    <n v="1927"/>
    <x v="548"/>
    <n v="10"/>
    <n v="4"/>
    <x v="2"/>
    <x v="2"/>
    <x v="6"/>
    <x v="2"/>
    <x v="0"/>
    <n v="6"/>
    <n v="62507.26"/>
    <n v="375043.56"/>
    <s v="Sumit Teja"/>
    <n v="30"/>
    <x v="9"/>
    <x v="0"/>
    <n v="4"/>
    <x v="0"/>
    <x v="3"/>
  </r>
  <r>
    <n v="1928"/>
    <x v="548"/>
    <n v="10"/>
    <n v="4"/>
    <x v="2"/>
    <x v="2"/>
    <x v="6"/>
    <x v="2"/>
    <x v="3"/>
    <n v="3"/>
    <n v="11596.15"/>
    <n v="34788.449999999997"/>
    <s v="Priyanka Yadav"/>
    <n v="34"/>
    <x v="6"/>
    <x v="0"/>
    <n v="1"/>
    <x v="2"/>
    <x v="5"/>
  </r>
  <r>
    <n v="1929"/>
    <x v="548"/>
    <n v="10"/>
    <n v="4"/>
    <x v="2"/>
    <x v="2"/>
    <x v="6"/>
    <x v="2"/>
    <x v="1"/>
    <n v="5"/>
    <n v="43718.879999999997"/>
    <n v="218594.4"/>
    <s v="Isha Arora"/>
    <n v="49"/>
    <x v="18"/>
    <x v="1"/>
    <n v="4"/>
    <x v="0"/>
    <x v="1"/>
  </r>
  <r>
    <n v="1930"/>
    <x v="549"/>
    <n v="11"/>
    <n v="4"/>
    <x v="2"/>
    <x v="2"/>
    <x v="6"/>
    <x v="3"/>
    <x v="2"/>
    <n v="1"/>
    <n v="22855.33"/>
    <n v="22855.33"/>
    <s v="Isha Gupta"/>
    <n v="43"/>
    <x v="7"/>
    <x v="3"/>
    <n v="2"/>
    <x v="2"/>
    <x v="6"/>
  </r>
  <r>
    <n v="1931"/>
    <x v="549"/>
    <n v="11"/>
    <n v="4"/>
    <x v="2"/>
    <x v="2"/>
    <x v="6"/>
    <x v="3"/>
    <x v="3"/>
    <n v="7"/>
    <n v="30452.98"/>
    <n v="213170.86"/>
    <s v="Meena Roy"/>
    <n v="39"/>
    <x v="14"/>
    <x v="1"/>
    <n v="2"/>
    <x v="2"/>
    <x v="5"/>
  </r>
  <r>
    <n v="1932"/>
    <x v="549"/>
    <n v="11"/>
    <n v="4"/>
    <x v="2"/>
    <x v="2"/>
    <x v="6"/>
    <x v="3"/>
    <x v="0"/>
    <n v="9"/>
    <n v="57097.34"/>
    <n v="513876.05999999994"/>
    <s v="Priya Bhattacharya"/>
    <n v="30"/>
    <x v="3"/>
    <x v="0"/>
    <n v="4"/>
    <x v="0"/>
    <x v="10"/>
  </r>
  <r>
    <n v="1933"/>
    <x v="550"/>
    <n v="12"/>
    <n v="4"/>
    <x v="2"/>
    <x v="2"/>
    <x v="6"/>
    <x v="4"/>
    <x v="2"/>
    <n v="1"/>
    <n v="21522.02"/>
    <n v="21522.02"/>
    <s v="Sachin Jain"/>
    <n v="29"/>
    <x v="1"/>
    <x v="0"/>
    <n v="2"/>
    <x v="2"/>
    <x v="6"/>
  </r>
  <r>
    <n v="1934"/>
    <x v="550"/>
    <n v="12"/>
    <n v="4"/>
    <x v="2"/>
    <x v="2"/>
    <x v="6"/>
    <x v="4"/>
    <x v="1"/>
    <n v="2"/>
    <n v="48300.51"/>
    <n v="96601.02"/>
    <s v="Meena Menon"/>
    <n v="24"/>
    <x v="5"/>
    <x v="1"/>
    <n v="2"/>
    <x v="2"/>
    <x v="1"/>
  </r>
  <r>
    <n v="1935"/>
    <x v="550"/>
    <n v="12"/>
    <n v="4"/>
    <x v="2"/>
    <x v="2"/>
    <x v="6"/>
    <x v="4"/>
    <x v="2"/>
    <n v="3"/>
    <n v="49273.97"/>
    <n v="147821.91"/>
    <s v="Monika Bhatnagar"/>
    <n v="18"/>
    <x v="5"/>
    <x v="2"/>
    <n v="5"/>
    <x v="0"/>
    <x v="4"/>
  </r>
  <r>
    <n v="1936"/>
    <x v="551"/>
    <n v="13"/>
    <n v="4"/>
    <x v="2"/>
    <x v="2"/>
    <x v="6"/>
    <x v="5"/>
    <x v="3"/>
    <n v="3"/>
    <n v="67245.63"/>
    <n v="201736.89"/>
    <s v="Manoj Kaur"/>
    <n v="50"/>
    <x v="1"/>
    <x v="2"/>
    <n v="1"/>
    <x v="2"/>
    <x v="5"/>
  </r>
  <r>
    <n v="1937"/>
    <x v="551"/>
    <n v="13"/>
    <n v="4"/>
    <x v="2"/>
    <x v="2"/>
    <x v="6"/>
    <x v="5"/>
    <x v="1"/>
    <n v="8"/>
    <n v="56509.66"/>
    <n v="452077.28"/>
    <s v="Manoj Thakur"/>
    <n v="31"/>
    <x v="12"/>
    <x v="1"/>
    <n v="5"/>
    <x v="0"/>
    <x v="1"/>
  </r>
  <r>
    <n v="1938"/>
    <x v="551"/>
    <n v="13"/>
    <n v="4"/>
    <x v="2"/>
    <x v="2"/>
    <x v="6"/>
    <x v="5"/>
    <x v="0"/>
    <n v="7"/>
    <n v="58218.11"/>
    <n v="407526.77"/>
    <s v="Priya Patel"/>
    <n v="58"/>
    <x v="15"/>
    <x v="0"/>
    <n v="1"/>
    <x v="2"/>
    <x v="0"/>
  </r>
  <r>
    <n v="1939"/>
    <x v="551"/>
    <n v="13"/>
    <n v="4"/>
    <x v="2"/>
    <x v="2"/>
    <x v="6"/>
    <x v="5"/>
    <x v="1"/>
    <n v="6"/>
    <n v="41896.04"/>
    <n v="251376.24"/>
    <s v="Deepika Desai"/>
    <n v="34"/>
    <x v="1"/>
    <x v="1"/>
    <n v="1"/>
    <x v="2"/>
    <x v="9"/>
  </r>
  <r>
    <n v="1940"/>
    <x v="552"/>
    <n v="14"/>
    <n v="4"/>
    <x v="2"/>
    <x v="2"/>
    <x v="6"/>
    <x v="6"/>
    <x v="1"/>
    <n v="4"/>
    <n v="21206.85"/>
    <n v="84827.4"/>
    <s v="Anjali Ahuja"/>
    <n v="21"/>
    <x v="7"/>
    <x v="3"/>
    <n v="5"/>
    <x v="0"/>
    <x v="1"/>
  </r>
  <r>
    <n v="1941"/>
    <x v="552"/>
    <n v="14"/>
    <n v="4"/>
    <x v="2"/>
    <x v="2"/>
    <x v="6"/>
    <x v="6"/>
    <x v="4"/>
    <n v="9"/>
    <n v="35533.800000000003"/>
    <n v="319804.2"/>
    <s v="Sunil Das"/>
    <n v="56"/>
    <x v="1"/>
    <x v="2"/>
    <n v="4"/>
    <x v="0"/>
    <x v="14"/>
  </r>
  <r>
    <n v="1942"/>
    <x v="552"/>
    <n v="14"/>
    <n v="4"/>
    <x v="2"/>
    <x v="2"/>
    <x v="6"/>
    <x v="6"/>
    <x v="1"/>
    <n v="1"/>
    <n v="42969.37"/>
    <n v="42969.37"/>
    <s v="Sunil Arora"/>
    <n v="18"/>
    <x v="10"/>
    <x v="1"/>
    <n v="2"/>
    <x v="2"/>
    <x v="2"/>
  </r>
  <r>
    <n v="1943"/>
    <x v="553"/>
    <n v="15"/>
    <n v="4"/>
    <x v="2"/>
    <x v="2"/>
    <x v="6"/>
    <x v="0"/>
    <x v="1"/>
    <n v="2"/>
    <n v="50705.16"/>
    <n v="101410.32"/>
    <s v="Priyanka Nambiar"/>
    <n v="58"/>
    <x v="10"/>
    <x v="2"/>
    <n v="4"/>
    <x v="0"/>
    <x v="9"/>
  </r>
  <r>
    <n v="1944"/>
    <x v="553"/>
    <n v="15"/>
    <n v="4"/>
    <x v="2"/>
    <x v="2"/>
    <x v="6"/>
    <x v="0"/>
    <x v="2"/>
    <n v="4"/>
    <n v="46462.55"/>
    <n v="185850.2"/>
    <s v="Reena Chatterjee"/>
    <n v="41"/>
    <x v="16"/>
    <x v="3"/>
    <n v="5"/>
    <x v="0"/>
    <x v="6"/>
  </r>
  <r>
    <n v="1945"/>
    <x v="553"/>
    <n v="15"/>
    <n v="4"/>
    <x v="2"/>
    <x v="2"/>
    <x v="6"/>
    <x v="0"/>
    <x v="0"/>
    <n v="3"/>
    <n v="33638.67"/>
    <n v="100916.01"/>
    <s v="Aditya Luthra"/>
    <n v="51"/>
    <x v="6"/>
    <x v="0"/>
    <n v="5"/>
    <x v="0"/>
    <x v="10"/>
  </r>
  <r>
    <n v="1946"/>
    <x v="553"/>
    <n v="15"/>
    <n v="4"/>
    <x v="2"/>
    <x v="2"/>
    <x v="6"/>
    <x v="0"/>
    <x v="2"/>
    <n v="1"/>
    <n v="25918.79"/>
    <n v="25918.79"/>
    <s v="Isha Reddy"/>
    <n v="51"/>
    <x v="11"/>
    <x v="0"/>
    <n v="4"/>
    <x v="0"/>
    <x v="6"/>
  </r>
  <r>
    <n v="1947"/>
    <x v="554"/>
    <n v="16"/>
    <n v="4"/>
    <x v="2"/>
    <x v="2"/>
    <x v="6"/>
    <x v="1"/>
    <x v="2"/>
    <n v="5"/>
    <n v="20093.849999999999"/>
    <n v="100469.25"/>
    <s v="Rajesh Verma"/>
    <n v="41"/>
    <x v="1"/>
    <x v="0"/>
    <n v="2"/>
    <x v="2"/>
    <x v="6"/>
  </r>
  <r>
    <n v="1948"/>
    <x v="554"/>
    <n v="16"/>
    <n v="4"/>
    <x v="2"/>
    <x v="2"/>
    <x v="6"/>
    <x v="1"/>
    <x v="3"/>
    <n v="7"/>
    <n v="51630.720000000001"/>
    <n v="361415.04000000004"/>
    <s v="Manoj Kaur"/>
    <n v="32"/>
    <x v="0"/>
    <x v="2"/>
    <n v="5"/>
    <x v="0"/>
    <x v="12"/>
  </r>
  <r>
    <n v="1949"/>
    <x v="554"/>
    <n v="16"/>
    <n v="4"/>
    <x v="2"/>
    <x v="2"/>
    <x v="6"/>
    <x v="1"/>
    <x v="2"/>
    <n v="2"/>
    <n v="48723.92"/>
    <n v="97447.84"/>
    <s v="Jyoti Jain"/>
    <n v="34"/>
    <x v="3"/>
    <x v="3"/>
    <n v="4"/>
    <x v="0"/>
    <x v="4"/>
  </r>
  <r>
    <n v="1950"/>
    <x v="555"/>
    <n v="17"/>
    <n v="4"/>
    <x v="2"/>
    <x v="2"/>
    <x v="6"/>
    <x v="2"/>
    <x v="4"/>
    <n v="5"/>
    <n v="51242.35"/>
    <n v="256211.75"/>
    <s v="Pankaj Shah"/>
    <n v="30"/>
    <x v="2"/>
    <x v="1"/>
    <n v="2"/>
    <x v="2"/>
    <x v="7"/>
  </r>
  <r>
    <n v="1951"/>
    <x v="555"/>
    <n v="17"/>
    <n v="4"/>
    <x v="2"/>
    <x v="2"/>
    <x v="6"/>
    <x v="2"/>
    <x v="4"/>
    <n v="6"/>
    <n v="32351.65"/>
    <n v="194109.90000000002"/>
    <s v="Priyanka Pillai"/>
    <n v="24"/>
    <x v="9"/>
    <x v="0"/>
    <n v="5"/>
    <x v="0"/>
    <x v="14"/>
  </r>
  <r>
    <n v="1952"/>
    <x v="555"/>
    <n v="17"/>
    <n v="4"/>
    <x v="2"/>
    <x v="2"/>
    <x v="6"/>
    <x v="2"/>
    <x v="3"/>
    <n v="7"/>
    <n v="25744.47"/>
    <n v="180211.29"/>
    <s v="Tapan Bhattacharya"/>
    <n v="26"/>
    <x v="12"/>
    <x v="2"/>
    <n v="5"/>
    <x v="0"/>
    <x v="8"/>
  </r>
  <r>
    <n v="1953"/>
    <x v="555"/>
    <n v="17"/>
    <n v="4"/>
    <x v="2"/>
    <x v="2"/>
    <x v="6"/>
    <x v="2"/>
    <x v="0"/>
    <n v="1"/>
    <n v="55583.28"/>
    <n v="55583.28"/>
    <s v="Kiran Nair"/>
    <n v="52"/>
    <x v="1"/>
    <x v="0"/>
    <n v="1"/>
    <x v="2"/>
    <x v="3"/>
  </r>
  <r>
    <n v="1954"/>
    <x v="556"/>
    <n v="18"/>
    <n v="4"/>
    <x v="2"/>
    <x v="2"/>
    <x v="6"/>
    <x v="3"/>
    <x v="0"/>
    <n v="7"/>
    <n v="56418.84"/>
    <n v="394931.88"/>
    <s v="Sunil Kapoor"/>
    <n v="40"/>
    <x v="9"/>
    <x v="3"/>
    <n v="1"/>
    <x v="2"/>
    <x v="0"/>
  </r>
  <r>
    <n v="1955"/>
    <x v="556"/>
    <n v="18"/>
    <n v="4"/>
    <x v="2"/>
    <x v="2"/>
    <x v="6"/>
    <x v="3"/>
    <x v="2"/>
    <n v="4"/>
    <n v="37336.980000000003"/>
    <n v="149347.92000000001"/>
    <s v="Lalita Bhatnagar"/>
    <n v="56"/>
    <x v="13"/>
    <x v="1"/>
    <n v="5"/>
    <x v="0"/>
    <x v="4"/>
  </r>
  <r>
    <n v="1956"/>
    <x v="556"/>
    <n v="18"/>
    <n v="4"/>
    <x v="2"/>
    <x v="2"/>
    <x v="6"/>
    <x v="3"/>
    <x v="2"/>
    <n v="8"/>
    <n v="46714.25"/>
    <n v="373714"/>
    <s v="Anita Deshmukh"/>
    <n v="40"/>
    <x v="5"/>
    <x v="0"/>
    <n v="4"/>
    <x v="0"/>
    <x v="13"/>
  </r>
  <r>
    <n v="1957"/>
    <x v="556"/>
    <n v="18"/>
    <n v="4"/>
    <x v="2"/>
    <x v="2"/>
    <x v="6"/>
    <x v="3"/>
    <x v="2"/>
    <n v="4"/>
    <n v="32411.18"/>
    <n v="129644.72"/>
    <s v="Tapan Rawat"/>
    <n v="43"/>
    <x v="17"/>
    <x v="3"/>
    <n v="1"/>
    <x v="2"/>
    <x v="6"/>
  </r>
  <r>
    <n v="1958"/>
    <x v="557"/>
    <n v="19"/>
    <n v="4"/>
    <x v="2"/>
    <x v="2"/>
    <x v="6"/>
    <x v="4"/>
    <x v="0"/>
    <n v="6"/>
    <n v="52116.83"/>
    <n v="312700.98"/>
    <s v="Tapan Gupta"/>
    <n v="18"/>
    <x v="2"/>
    <x v="2"/>
    <n v="5"/>
    <x v="0"/>
    <x v="0"/>
  </r>
  <r>
    <n v="1959"/>
    <x v="557"/>
    <n v="19"/>
    <n v="4"/>
    <x v="2"/>
    <x v="2"/>
    <x v="6"/>
    <x v="4"/>
    <x v="1"/>
    <n v="9"/>
    <n v="60143.3"/>
    <n v="541289.70000000007"/>
    <s v="Anita Mishra"/>
    <n v="31"/>
    <x v="4"/>
    <x v="3"/>
    <n v="2"/>
    <x v="2"/>
    <x v="2"/>
  </r>
  <r>
    <n v="1960"/>
    <x v="557"/>
    <n v="19"/>
    <n v="4"/>
    <x v="2"/>
    <x v="2"/>
    <x v="6"/>
    <x v="4"/>
    <x v="4"/>
    <n v="5"/>
    <n v="51294"/>
    <n v="256470"/>
    <s v="Tapan Rawat"/>
    <n v="49"/>
    <x v="18"/>
    <x v="2"/>
    <n v="4"/>
    <x v="0"/>
    <x v="11"/>
  </r>
  <r>
    <n v="1961"/>
    <x v="557"/>
    <n v="19"/>
    <n v="4"/>
    <x v="2"/>
    <x v="2"/>
    <x v="6"/>
    <x v="4"/>
    <x v="1"/>
    <n v="4"/>
    <n v="40754.959999999999"/>
    <n v="163019.84"/>
    <s v="Pooja Srivastava"/>
    <n v="27"/>
    <x v="2"/>
    <x v="0"/>
    <n v="1"/>
    <x v="2"/>
    <x v="9"/>
  </r>
  <r>
    <n v="1962"/>
    <x v="558"/>
    <n v="20"/>
    <n v="4"/>
    <x v="2"/>
    <x v="2"/>
    <x v="6"/>
    <x v="5"/>
    <x v="1"/>
    <n v="8"/>
    <n v="37519.480000000003"/>
    <n v="300155.84000000003"/>
    <s v="Vivek Srivastava"/>
    <n v="18"/>
    <x v="3"/>
    <x v="0"/>
    <n v="5"/>
    <x v="0"/>
    <x v="1"/>
  </r>
  <r>
    <n v="1963"/>
    <x v="558"/>
    <n v="20"/>
    <n v="4"/>
    <x v="2"/>
    <x v="2"/>
    <x v="6"/>
    <x v="5"/>
    <x v="0"/>
    <n v="9"/>
    <n v="48539.18"/>
    <n v="436852.62"/>
    <s v="Arun Iyer"/>
    <n v="22"/>
    <x v="4"/>
    <x v="3"/>
    <n v="1"/>
    <x v="2"/>
    <x v="10"/>
  </r>
  <r>
    <n v="1964"/>
    <x v="558"/>
    <n v="20"/>
    <n v="4"/>
    <x v="2"/>
    <x v="2"/>
    <x v="6"/>
    <x v="5"/>
    <x v="1"/>
    <n v="4"/>
    <n v="50788.65"/>
    <n v="203154.6"/>
    <s v="Devendra Srivastava"/>
    <n v="20"/>
    <x v="0"/>
    <x v="2"/>
    <n v="2"/>
    <x v="2"/>
    <x v="1"/>
  </r>
  <r>
    <n v="1965"/>
    <x v="558"/>
    <n v="20"/>
    <n v="4"/>
    <x v="2"/>
    <x v="2"/>
    <x v="6"/>
    <x v="5"/>
    <x v="3"/>
    <n v="3"/>
    <n v="43523.77"/>
    <n v="130571.31"/>
    <s v="Jyoti Pillai"/>
    <n v="44"/>
    <x v="2"/>
    <x v="3"/>
    <n v="4"/>
    <x v="0"/>
    <x v="8"/>
  </r>
  <r>
    <n v="1966"/>
    <x v="559"/>
    <n v="21"/>
    <n v="4"/>
    <x v="2"/>
    <x v="2"/>
    <x v="6"/>
    <x v="6"/>
    <x v="2"/>
    <n v="8"/>
    <n v="47496.54"/>
    <n v="379972.32"/>
    <s v="Pankaj Luthra"/>
    <n v="39"/>
    <x v="4"/>
    <x v="3"/>
    <n v="5"/>
    <x v="0"/>
    <x v="6"/>
  </r>
  <r>
    <n v="1967"/>
    <x v="559"/>
    <n v="21"/>
    <n v="4"/>
    <x v="2"/>
    <x v="2"/>
    <x v="6"/>
    <x v="6"/>
    <x v="3"/>
    <n v="5"/>
    <n v="15795.32"/>
    <n v="78976.600000000006"/>
    <s v="Bina Nair"/>
    <n v="35"/>
    <x v="3"/>
    <x v="0"/>
    <n v="2"/>
    <x v="2"/>
    <x v="12"/>
  </r>
  <r>
    <n v="1968"/>
    <x v="559"/>
    <n v="21"/>
    <n v="4"/>
    <x v="2"/>
    <x v="2"/>
    <x v="6"/>
    <x v="6"/>
    <x v="4"/>
    <n v="2"/>
    <n v="67105.929999999993"/>
    <n v="134211.85999999999"/>
    <s v="Kiran Malhotra"/>
    <n v="33"/>
    <x v="2"/>
    <x v="0"/>
    <n v="4"/>
    <x v="0"/>
    <x v="14"/>
  </r>
  <r>
    <n v="1969"/>
    <x v="559"/>
    <n v="21"/>
    <n v="4"/>
    <x v="2"/>
    <x v="2"/>
    <x v="6"/>
    <x v="6"/>
    <x v="2"/>
    <n v="9"/>
    <n v="57446.38"/>
    <n v="517017.42"/>
    <s v="Tanuja Dutta"/>
    <n v="19"/>
    <x v="2"/>
    <x v="0"/>
    <n v="5"/>
    <x v="0"/>
    <x v="6"/>
  </r>
  <r>
    <n v="1970"/>
    <x v="560"/>
    <n v="22"/>
    <n v="4"/>
    <x v="2"/>
    <x v="2"/>
    <x v="6"/>
    <x v="0"/>
    <x v="1"/>
    <n v="3"/>
    <n v="32435.67"/>
    <n v="97307.01"/>
    <s v="Devendra Singh"/>
    <n v="30"/>
    <x v="9"/>
    <x v="3"/>
    <n v="4"/>
    <x v="0"/>
    <x v="1"/>
  </r>
  <r>
    <n v="1971"/>
    <x v="560"/>
    <n v="22"/>
    <n v="4"/>
    <x v="2"/>
    <x v="2"/>
    <x v="6"/>
    <x v="0"/>
    <x v="4"/>
    <n v="2"/>
    <n v="43768.76"/>
    <n v="87537.52"/>
    <s v="Kavita Srivastava"/>
    <n v="33"/>
    <x v="14"/>
    <x v="3"/>
    <n v="4"/>
    <x v="0"/>
    <x v="11"/>
  </r>
  <r>
    <n v="1972"/>
    <x v="560"/>
    <n v="22"/>
    <n v="4"/>
    <x v="2"/>
    <x v="2"/>
    <x v="6"/>
    <x v="0"/>
    <x v="2"/>
    <n v="1"/>
    <n v="12839.47"/>
    <n v="12839.47"/>
    <s v="Anjali Nambiar"/>
    <n v="25"/>
    <x v="7"/>
    <x v="1"/>
    <n v="5"/>
    <x v="0"/>
    <x v="13"/>
  </r>
  <r>
    <n v="1973"/>
    <x v="560"/>
    <n v="22"/>
    <n v="4"/>
    <x v="2"/>
    <x v="2"/>
    <x v="6"/>
    <x v="0"/>
    <x v="1"/>
    <n v="8"/>
    <n v="12473.67"/>
    <n v="99789.36"/>
    <s v="Lata Mathur"/>
    <n v="25"/>
    <x v="16"/>
    <x v="1"/>
    <n v="5"/>
    <x v="0"/>
    <x v="1"/>
  </r>
  <r>
    <n v="1974"/>
    <x v="561"/>
    <n v="23"/>
    <n v="4"/>
    <x v="2"/>
    <x v="2"/>
    <x v="6"/>
    <x v="1"/>
    <x v="3"/>
    <n v="3"/>
    <n v="25047.9"/>
    <n v="75143.700000000012"/>
    <s v="Deepika Menon"/>
    <n v="27"/>
    <x v="7"/>
    <x v="3"/>
    <n v="2"/>
    <x v="2"/>
    <x v="12"/>
  </r>
  <r>
    <n v="1975"/>
    <x v="561"/>
    <n v="23"/>
    <n v="4"/>
    <x v="2"/>
    <x v="2"/>
    <x v="6"/>
    <x v="1"/>
    <x v="2"/>
    <n v="7"/>
    <n v="51382.1"/>
    <n v="359674.7"/>
    <s v="Vivek Teja"/>
    <n v="50"/>
    <x v="18"/>
    <x v="1"/>
    <n v="1"/>
    <x v="2"/>
    <x v="6"/>
  </r>
  <r>
    <n v="1976"/>
    <x v="561"/>
    <n v="23"/>
    <n v="4"/>
    <x v="2"/>
    <x v="2"/>
    <x v="6"/>
    <x v="1"/>
    <x v="1"/>
    <n v="1"/>
    <n v="61128.86"/>
    <n v="61128.86"/>
    <s v="Reena Sheth"/>
    <n v="48"/>
    <x v="7"/>
    <x v="3"/>
    <n v="5"/>
    <x v="0"/>
    <x v="2"/>
  </r>
  <r>
    <n v="1977"/>
    <x v="562"/>
    <n v="24"/>
    <n v="4"/>
    <x v="2"/>
    <x v="2"/>
    <x v="6"/>
    <x v="2"/>
    <x v="3"/>
    <n v="1"/>
    <n v="43551.15"/>
    <n v="43551.15"/>
    <s v="Prashant Mathur"/>
    <n v="29"/>
    <x v="1"/>
    <x v="0"/>
    <n v="4"/>
    <x v="0"/>
    <x v="8"/>
  </r>
  <r>
    <n v="1978"/>
    <x v="562"/>
    <n v="24"/>
    <n v="4"/>
    <x v="2"/>
    <x v="2"/>
    <x v="6"/>
    <x v="2"/>
    <x v="4"/>
    <n v="9"/>
    <n v="41927.96"/>
    <n v="377351.64"/>
    <s v="Pankaj Teja"/>
    <n v="26"/>
    <x v="1"/>
    <x v="2"/>
    <n v="5"/>
    <x v="0"/>
    <x v="11"/>
  </r>
  <r>
    <n v="1979"/>
    <x v="562"/>
    <n v="24"/>
    <n v="4"/>
    <x v="2"/>
    <x v="2"/>
    <x v="6"/>
    <x v="2"/>
    <x v="4"/>
    <n v="8"/>
    <n v="34138.57"/>
    <n v="273108.56"/>
    <s v="Pankaj Kapoor"/>
    <n v="54"/>
    <x v="0"/>
    <x v="0"/>
    <n v="5"/>
    <x v="0"/>
    <x v="7"/>
  </r>
  <r>
    <n v="1980"/>
    <x v="563"/>
    <n v="25"/>
    <n v="4"/>
    <x v="2"/>
    <x v="2"/>
    <x v="6"/>
    <x v="3"/>
    <x v="4"/>
    <n v="3"/>
    <n v="19695.88"/>
    <n v="59087.64"/>
    <s v="Harish Joshi"/>
    <n v="26"/>
    <x v="11"/>
    <x v="3"/>
    <n v="5"/>
    <x v="0"/>
    <x v="7"/>
  </r>
  <r>
    <n v="1981"/>
    <x v="563"/>
    <n v="25"/>
    <n v="4"/>
    <x v="2"/>
    <x v="2"/>
    <x v="6"/>
    <x v="3"/>
    <x v="4"/>
    <n v="6"/>
    <n v="17101.25"/>
    <n v="102607.5"/>
    <s v="Ramesh Rao"/>
    <n v="35"/>
    <x v="1"/>
    <x v="0"/>
    <n v="5"/>
    <x v="0"/>
    <x v="11"/>
  </r>
  <r>
    <n v="1982"/>
    <x v="563"/>
    <n v="25"/>
    <n v="4"/>
    <x v="2"/>
    <x v="2"/>
    <x v="6"/>
    <x v="3"/>
    <x v="0"/>
    <n v="3"/>
    <n v="55640.79"/>
    <n v="166922.37"/>
    <s v="Vinod Joshi"/>
    <n v="47"/>
    <x v="1"/>
    <x v="3"/>
    <n v="4"/>
    <x v="0"/>
    <x v="3"/>
  </r>
  <r>
    <n v="1983"/>
    <x v="564"/>
    <n v="26"/>
    <n v="4"/>
    <x v="2"/>
    <x v="2"/>
    <x v="6"/>
    <x v="4"/>
    <x v="2"/>
    <n v="4"/>
    <n v="65650.210000000006"/>
    <n v="262600.84000000003"/>
    <s v="Navin Solanki"/>
    <n v="49"/>
    <x v="13"/>
    <x v="3"/>
    <n v="2"/>
    <x v="2"/>
    <x v="4"/>
  </r>
  <r>
    <n v="1984"/>
    <x v="564"/>
    <n v="26"/>
    <n v="4"/>
    <x v="2"/>
    <x v="2"/>
    <x v="6"/>
    <x v="4"/>
    <x v="2"/>
    <n v="1"/>
    <n v="37496.99"/>
    <n v="37496.99"/>
    <s v="Gita Teja"/>
    <n v="57"/>
    <x v="1"/>
    <x v="1"/>
    <n v="1"/>
    <x v="2"/>
    <x v="13"/>
  </r>
  <r>
    <n v="1985"/>
    <x v="564"/>
    <n v="26"/>
    <n v="4"/>
    <x v="2"/>
    <x v="2"/>
    <x v="6"/>
    <x v="4"/>
    <x v="0"/>
    <n v="5"/>
    <n v="49566.74"/>
    <n v="247833.69999999998"/>
    <s v="Harish Malhotra"/>
    <n v="40"/>
    <x v="10"/>
    <x v="3"/>
    <n v="4"/>
    <x v="0"/>
    <x v="3"/>
  </r>
  <r>
    <n v="1986"/>
    <x v="564"/>
    <n v="26"/>
    <n v="4"/>
    <x v="2"/>
    <x v="2"/>
    <x v="6"/>
    <x v="4"/>
    <x v="1"/>
    <n v="1"/>
    <n v="64867.46"/>
    <n v="64867.46"/>
    <s v="Tapan Ahuja"/>
    <n v="28"/>
    <x v="16"/>
    <x v="2"/>
    <n v="4"/>
    <x v="0"/>
    <x v="1"/>
  </r>
  <r>
    <n v="1987"/>
    <x v="565"/>
    <n v="27"/>
    <n v="4"/>
    <x v="2"/>
    <x v="2"/>
    <x v="6"/>
    <x v="5"/>
    <x v="1"/>
    <n v="1"/>
    <n v="15406.82"/>
    <n v="15406.82"/>
    <s v="Neeta Kumar"/>
    <n v="37"/>
    <x v="1"/>
    <x v="1"/>
    <n v="4"/>
    <x v="0"/>
    <x v="2"/>
  </r>
  <r>
    <n v="1988"/>
    <x v="565"/>
    <n v="27"/>
    <n v="4"/>
    <x v="2"/>
    <x v="2"/>
    <x v="6"/>
    <x v="5"/>
    <x v="4"/>
    <n v="7"/>
    <n v="56228.89"/>
    <n v="393602.23"/>
    <s v="Kiran Jain"/>
    <n v="36"/>
    <x v="2"/>
    <x v="2"/>
    <n v="1"/>
    <x v="2"/>
    <x v="7"/>
  </r>
  <r>
    <n v="1989"/>
    <x v="565"/>
    <n v="27"/>
    <n v="4"/>
    <x v="2"/>
    <x v="2"/>
    <x v="6"/>
    <x v="5"/>
    <x v="3"/>
    <n v="6"/>
    <n v="47009.01"/>
    <n v="282054.06"/>
    <s v="Vijay Das"/>
    <n v="53"/>
    <x v="12"/>
    <x v="3"/>
    <n v="2"/>
    <x v="2"/>
    <x v="8"/>
  </r>
  <r>
    <n v="1990"/>
    <x v="565"/>
    <n v="27"/>
    <n v="4"/>
    <x v="2"/>
    <x v="2"/>
    <x v="6"/>
    <x v="5"/>
    <x v="1"/>
    <n v="2"/>
    <n v="45918.23"/>
    <n v="91836.46"/>
    <s v="Meena Chatterjee"/>
    <n v="43"/>
    <x v="1"/>
    <x v="0"/>
    <n v="2"/>
    <x v="2"/>
    <x v="1"/>
  </r>
  <r>
    <n v="1991"/>
    <x v="566"/>
    <n v="28"/>
    <n v="4"/>
    <x v="2"/>
    <x v="2"/>
    <x v="6"/>
    <x v="6"/>
    <x v="3"/>
    <n v="2"/>
    <n v="27552.43"/>
    <n v="55104.86"/>
    <s v="Devendra Rao"/>
    <n v="27"/>
    <x v="1"/>
    <x v="3"/>
    <n v="4"/>
    <x v="0"/>
    <x v="8"/>
  </r>
  <r>
    <n v="1992"/>
    <x v="566"/>
    <n v="28"/>
    <n v="4"/>
    <x v="2"/>
    <x v="2"/>
    <x v="6"/>
    <x v="6"/>
    <x v="2"/>
    <n v="7"/>
    <n v="51033.599999999999"/>
    <n v="357235.20000000001"/>
    <s v="Monika Goyal"/>
    <n v="41"/>
    <x v="1"/>
    <x v="3"/>
    <n v="4"/>
    <x v="0"/>
    <x v="13"/>
  </r>
  <r>
    <n v="1993"/>
    <x v="566"/>
    <n v="28"/>
    <n v="4"/>
    <x v="2"/>
    <x v="2"/>
    <x v="6"/>
    <x v="6"/>
    <x v="3"/>
    <n v="1"/>
    <n v="57687.87"/>
    <n v="57687.87"/>
    <s v="Anand Joshi"/>
    <n v="30"/>
    <x v="8"/>
    <x v="0"/>
    <n v="4"/>
    <x v="0"/>
    <x v="8"/>
  </r>
  <r>
    <n v="1994"/>
    <x v="566"/>
    <n v="28"/>
    <n v="4"/>
    <x v="2"/>
    <x v="2"/>
    <x v="6"/>
    <x v="6"/>
    <x v="2"/>
    <n v="2"/>
    <n v="16771.490000000002"/>
    <n v="33542.980000000003"/>
    <s v="Anjali Kulkarni"/>
    <n v="51"/>
    <x v="1"/>
    <x v="0"/>
    <n v="2"/>
    <x v="2"/>
    <x v="6"/>
  </r>
  <r>
    <n v="1995"/>
    <x v="567"/>
    <n v="29"/>
    <n v="4"/>
    <x v="2"/>
    <x v="2"/>
    <x v="6"/>
    <x v="0"/>
    <x v="0"/>
    <n v="8"/>
    <n v="42011.29"/>
    <n v="336090.32"/>
    <s v="Reena Sharma"/>
    <n v="46"/>
    <x v="9"/>
    <x v="2"/>
    <n v="2"/>
    <x v="2"/>
    <x v="0"/>
  </r>
  <r>
    <n v="1996"/>
    <x v="567"/>
    <n v="29"/>
    <n v="4"/>
    <x v="2"/>
    <x v="2"/>
    <x v="6"/>
    <x v="0"/>
    <x v="0"/>
    <n v="6"/>
    <n v="16075.91"/>
    <n v="96455.459999999992"/>
    <s v="Nikhil Solanki"/>
    <n v="53"/>
    <x v="9"/>
    <x v="1"/>
    <n v="2"/>
    <x v="2"/>
    <x v="0"/>
  </r>
  <r>
    <n v="1997"/>
    <x v="567"/>
    <n v="29"/>
    <n v="4"/>
    <x v="2"/>
    <x v="2"/>
    <x v="6"/>
    <x v="0"/>
    <x v="4"/>
    <n v="2"/>
    <n v="62354.44"/>
    <n v="124708.88"/>
    <s v="Kiran Siddiqui"/>
    <n v="24"/>
    <x v="2"/>
    <x v="1"/>
    <n v="4"/>
    <x v="0"/>
    <x v="14"/>
  </r>
  <r>
    <n v="1998"/>
    <x v="567"/>
    <n v="29"/>
    <n v="4"/>
    <x v="2"/>
    <x v="2"/>
    <x v="6"/>
    <x v="0"/>
    <x v="1"/>
    <n v="7"/>
    <n v="40458.199999999997"/>
    <n v="283207.39999999997"/>
    <s v="Priya Bhattacharya"/>
    <n v="47"/>
    <x v="18"/>
    <x v="1"/>
    <n v="2"/>
    <x v="2"/>
    <x v="1"/>
  </r>
  <r>
    <n v="1999"/>
    <x v="568"/>
    <n v="30"/>
    <n v="4"/>
    <x v="2"/>
    <x v="2"/>
    <x v="6"/>
    <x v="1"/>
    <x v="4"/>
    <n v="4"/>
    <n v="58477.94"/>
    <n v="233911.76"/>
    <s v="Aditya Rao"/>
    <n v="34"/>
    <x v="2"/>
    <x v="2"/>
    <n v="5"/>
    <x v="0"/>
    <x v="14"/>
  </r>
  <r>
    <n v="2000"/>
    <x v="568"/>
    <n v="30"/>
    <n v="4"/>
    <x v="2"/>
    <x v="2"/>
    <x v="6"/>
    <x v="1"/>
    <x v="2"/>
    <n v="2"/>
    <n v="32085.14"/>
    <n v="64170.28"/>
    <s v="Monika Patel"/>
    <n v="30"/>
    <x v="12"/>
    <x v="2"/>
    <n v="4"/>
    <x v="0"/>
    <x v="6"/>
  </r>
  <r>
    <n v="2001"/>
    <x v="568"/>
    <n v="30"/>
    <n v="4"/>
    <x v="2"/>
    <x v="2"/>
    <x v="6"/>
    <x v="1"/>
    <x v="4"/>
    <n v="6"/>
    <n v="17504.689999999999"/>
    <n v="105028.13999999998"/>
    <s v="Deepika Prasad"/>
    <n v="41"/>
    <x v="2"/>
    <x v="0"/>
    <n v="4"/>
    <x v="0"/>
    <x v="14"/>
  </r>
  <r>
    <n v="2002"/>
    <x v="569"/>
    <n v="1"/>
    <n v="5"/>
    <x v="2"/>
    <x v="2"/>
    <x v="7"/>
    <x v="2"/>
    <x v="3"/>
    <n v="9"/>
    <n v="12489.96"/>
    <n v="112409.63999999998"/>
    <s v="Umesh Bhattacharya"/>
    <n v="48"/>
    <x v="16"/>
    <x v="1"/>
    <n v="4"/>
    <x v="0"/>
    <x v="12"/>
  </r>
  <r>
    <n v="2003"/>
    <x v="569"/>
    <n v="1"/>
    <n v="5"/>
    <x v="2"/>
    <x v="2"/>
    <x v="7"/>
    <x v="2"/>
    <x v="2"/>
    <n v="9"/>
    <n v="26890.58"/>
    <n v="242015.22000000003"/>
    <s v="Arun Kumar"/>
    <n v="44"/>
    <x v="14"/>
    <x v="3"/>
    <n v="4"/>
    <x v="0"/>
    <x v="13"/>
  </r>
  <r>
    <n v="2004"/>
    <x v="569"/>
    <n v="1"/>
    <n v="5"/>
    <x v="2"/>
    <x v="2"/>
    <x v="7"/>
    <x v="2"/>
    <x v="0"/>
    <n v="8"/>
    <n v="24654.02"/>
    <n v="197232.16"/>
    <s v="Arun Goyal"/>
    <n v="38"/>
    <x v="1"/>
    <x v="2"/>
    <n v="5"/>
    <x v="0"/>
    <x v="3"/>
  </r>
  <r>
    <n v="2005"/>
    <x v="570"/>
    <n v="2"/>
    <n v="5"/>
    <x v="2"/>
    <x v="2"/>
    <x v="7"/>
    <x v="3"/>
    <x v="1"/>
    <n v="3"/>
    <n v="43621.120000000003"/>
    <n v="130863.36000000002"/>
    <s v="Lalita Bhatnagar"/>
    <n v="18"/>
    <x v="13"/>
    <x v="3"/>
    <n v="1"/>
    <x v="2"/>
    <x v="2"/>
  </r>
  <r>
    <n v="2006"/>
    <x v="570"/>
    <n v="2"/>
    <n v="5"/>
    <x v="2"/>
    <x v="2"/>
    <x v="7"/>
    <x v="3"/>
    <x v="2"/>
    <n v="3"/>
    <n v="11304.33"/>
    <n v="33912.99"/>
    <s v="Ramesh Srivastava"/>
    <n v="32"/>
    <x v="2"/>
    <x v="1"/>
    <n v="2"/>
    <x v="2"/>
    <x v="4"/>
  </r>
  <r>
    <n v="2007"/>
    <x v="570"/>
    <n v="2"/>
    <n v="5"/>
    <x v="2"/>
    <x v="2"/>
    <x v="7"/>
    <x v="3"/>
    <x v="2"/>
    <n v="2"/>
    <n v="41234.230000000003"/>
    <n v="82468.460000000006"/>
    <s v="Priya Roy"/>
    <n v="20"/>
    <x v="10"/>
    <x v="1"/>
    <n v="4"/>
    <x v="0"/>
    <x v="13"/>
  </r>
  <r>
    <n v="2008"/>
    <x v="570"/>
    <n v="2"/>
    <n v="5"/>
    <x v="2"/>
    <x v="2"/>
    <x v="7"/>
    <x v="3"/>
    <x v="3"/>
    <n v="5"/>
    <n v="33506.300000000003"/>
    <n v="167531.5"/>
    <s v="Bhavana Rawat"/>
    <n v="23"/>
    <x v="18"/>
    <x v="2"/>
    <n v="2"/>
    <x v="2"/>
    <x v="12"/>
  </r>
  <r>
    <n v="2009"/>
    <x v="571"/>
    <n v="3"/>
    <n v="5"/>
    <x v="2"/>
    <x v="2"/>
    <x v="7"/>
    <x v="4"/>
    <x v="1"/>
    <n v="4"/>
    <n v="44627.34"/>
    <n v="178509.36"/>
    <s v="Devendra Arora"/>
    <n v="31"/>
    <x v="13"/>
    <x v="2"/>
    <n v="2"/>
    <x v="2"/>
    <x v="1"/>
  </r>
  <r>
    <n v="2010"/>
    <x v="571"/>
    <n v="3"/>
    <n v="5"/>
    <x v="2"/>
    <x v="2"/>
    <x v="7"/>
    <x v="4"/>
    <x v="0"/>
    <n v="7"/>
    <n v="52145.05"/>
    <n v="365015.35000000003"/>
    <s v="Prashant Gupta"/>
    <n v="55"/>
    <x v="18"/>
    <x v="0"/>
    <n v="5"/>
    <x v="0"/>
    <x v="0"/>
  </r>
  <r>
    <n v="2011"/>
    <x v="571"/>
    <n v="3"/>
    <n v="5"/>
    <x v="2"/>
    <x v="2"/>
    <x v="7"/>
    <x v="4"/>
    <x v="2"/>
    <n v="4"/>
    <n v="48045.52"/>
    <n v="192182.08"/>
    <s v="Namita Sheth"/>
    <n v="50"/>
    <x v="4"/>
    <x v="3"/>
    <n v="2"/>
    <x v="2"/>
    <x v="13"/>
  </r>
  <r>
    <n v="2012"/>
    <x v="572"/>
    <n v="4"/>
    <n v="5"/>
    <x v="2"/>
    <x v="2"/>
    <x v="7"/>
    <x v="5"/>
    <x v="2"/>
    <n v="9"/>
    <n v="69078.66"/>
    <n v="621707.94000000006"/>
    <s v="Kiran Prasad"/>
    <n v="55"/>
    <x v="17"/>
    <x v="0"/>
    <n v="4"/>
    <x v="0"/>
    <x v="13"/>
  </r>
  <r>
    <n v="2013"/>
    <x v="572"/>
    <n v="4"/>
    <n v="5"/>
    <x v="2"/>
    <x v="2"/>
    <x v="7"/>
    <x v="5"/>
    <x v="3"/>
    <n v="2"/>
    <n v="18295.919999999998"/>
    <n v="36591.839999999997"/>
    <s v="Reena Srivastava"/>
    <n v="25"/>
    <x v="11"/>
    <x v="0"/>
    <n v="2"/>
    <x v="2"/>
    <x v="8"/>
  </r>
  <r>
    <n v="2014"/>
    <x v="572"/>
    <n v="4"/>
    <n v="5"/>
    <x v="2"/>
    <x v="2"/>
    <x v="7"/>
    <x v="5"/>
    <x v="4"/>
    <n v="6"/>
    <n v="35784.22"/>
    <n v="214705.32"/>
    <s v="Rohan Goyal"/>
    <n v="43"/>
    <x v="3"/>
    <x v="3"/>
    <n v="5"/>
    <x v="0"/>
    <x v="11"/>
  </r>
  <r>
    <n v="2015"/>
    <x v="573"/>
    <n v="5"/>
    <n v="5"/>
    <x v="2"/>
    <x v="2"/>
    <x v="7"/>
    <x v="6"/>
    <x v="0"/>
    <n v="7"/>
    <n v="35489.839999999997"/>
    <n v="248428.87999999998"/>
    <s v="Sneha Deshmukh"/>
    <n v="32"/>
    <x v="18"/>
    <x v="1"/>
    <n v="4"/>
    <x v="0"/>
    <x v="0"/>
  </r>
  <r>
    <n v="2016"/>
    <x v="573"/>
    <n v="5"/>
    <n v="5"/>
    <x v="2"/>
    <x v="2"/>
    <x v="7"/>
    <x v="6"/>
    <x v="1"/>
    <n v="4"/>
    <n v="35023.19"/>
    <n v="140092.76"/>
    <s v="Radha Rao"/>
    <n v="31"/>
    <x v="14"/>
    <x v="3"/>
    <n v="5"/>
    <x v="0"/>
    <x v="9"/>
  </r>
  <r>
    <n v="2017"/>
    <x v="573"/>
    <n v="5"/>
    <n v="5"/>
    <x v="2"/>
    <x v="2"/>
    <x v="7"/>
    <x v="6"/>
    <x v="2"/>
    <n v="6"/>
    <n v="49827.9"/>
    <n v="298967.40000000002"/>
    <s v="Vivek Luthra"/>
    <n v="37"/>
    <x v="1"/>
    <x v="1"/>
    <n v="4"/>
    <x v="0"/>
    <x v="4"/>
  </r>
  <r>
    <n v="2018"/>
    <x v="573"/>
    <n v="5"/>
    <n v="5"/>
    <x v="2"/>
    <x v="2"/>
    <x v="7"/>
    <x v="6"/>
    <x v="2"/>
    <n v="7"/>
    <n v="39389.68"/>
    <n v="275727.76"/>
    <s v="Shruti Chaudhary"/>
    <n v="36"/>
    <x v="1"/>
    <x v="0"/>
    <n v="1"/>
    <x v="2"/>
    <x v="4"/>
  </r>
  <r>
    <n v="2019"/>
    <x v="574"/>
    <n v="6"/>
    <n v="5"/>
    <x v="2"/>
    <x v="2"/>
    <x v="7"/>
    <x v="0"/>
    <x v="0"/>
    <n v="4"/>
    <n v="41045.949999999997"/>
    <n v="164183.79999999999"/>
    <s v="Meena Kumar"/>
    <n v="50"/>
    <x v="9"/>
    <x v="1"/>
    <n v="2"/>
    <x v="2"/>
    <x v="10"/>
  </r>
  <r>
    <n v="2020"/>
    <x v="574"/>
    <n v="6"/>
    <n v="5"/>
    <x v="2"/>
    <x v="2"/>
    <x v="7"/>
    <x v="0"/>
    <x v="4"/>
    <n v="8"/>
    <n v="35941.360000000001"/>
    <n v="287530.88"/>
    <s v="Amit Srivastava"/>
    <n v="53"/>
    <x v="11"/>
    <x v="1"/>
    <n v="2"/>
    <x v="2"/>
    <x v="7"/>
  </r>
  <r>
    <n v="2021"/>
    <x v="574"/>
    <n v="6"/>
    <n v="5"/>
    <x v="2"/>
    <x v="2"/>
    <x v="7"/>
    <x v="0"/>
    <x v="2"/>
    <n v="9"/>
    <n v="69501.97"/>
    <n v="625517.73"/>
    <s v="Anjali Jain"/>
    <n v="41"/>
    <x v="13"/>
    <x v="1"/>
    <n v="2"/>
    <x v="2"/>
    <x v="13"/>
  </r>
  <r>
    <n v="2022"/>
    <x v="575"/>
    <n v="7"/>
    <n v="5"/>
    <x v="2"/>
    <x v="2"/>
    <x v="7"/>
    <x v="1"/>
    <x v="0"/>
    <n v="1"/>
    <n v="65653.679999999993"/>
    <n v="65653.679999999993"/>
    <s v="Pooja Sharma"/>
    <n v="27"/>
    <x v="5"/>
    <x v="3"/>
    <n v="4"/>
    <x v="0"/>
    <x v="3"/>
  </r>
  <r>
    <n v="2023"/>
    <x v="575"/>
    <n v="7"/>
    <n v="5"/>
    <x v="2"/>
    <x v="2"/>
    <x v="7"/>
    <x v="1"/>
    <x v="3"/>
    <n v="7"/>
    <n v="28463.45"/>
    <n v="199244.15"/>
    <s v="Aditya Rao"/>
    <n v="51"/>
    <x v="8"/>
    <x v="1"/>
    <n v="1"/>
    <x v="2"/>
    <x v="5"/>
  </r>
  <r>
    <n v="2024"/>
    <x v="575"/>
    <n v="7"/>
    <n v="5"/>
    <x v="2"/>
    <x v="2"/>
    <x v="7"/>
    <x v="1"/>
    <x v="4"/>
    <n v="9"/>
    <n v="16695.64"/>
    <n v="150260.76"/>
    <s v="Isha Desai"/>
    <n v="53"/>
    <x v="2"/>
    <x v="3"/>
    <n v="5"/>
    <x v="0"/>
    <x v="11"/>
  </r>
  <r>
    <n v="2025"/>
    <x v="575"/>
    <n v="7"/>
    <n v="5"/>
    <x v="2"/>
    <x v="2"/>
    <x v="7"/>
    <x v="1"/>
    <x v="1"/>
    <n v="5"/>
    <n v="60385.88"/>
    <n v="301929.39999999997"/>
    <s v="Shruti Alva"/>
    <n v="53"/>
    <x v="11"/>
    <x v="2"/>
    <n v="4"/>
    <x v="0"/>
    <x v="9"/>
  </r>
  <r>
    <n v="2026"/>
    <x v="576"/>
    <n v="8"/>
    <n v="5"/>
    <x v="2"/>
    <x v="2"/>
    <x v="7"/>
    <x v="2"/>
    <x v="2"/>
    <n v="2"/>
    <n v="69830.22"/>
    <n v="139660.44"/>
    <s v="Krishna Goyal"/>
    <n v="33"/>
    <x v="3"/>
    <x v="2"/>
    <n v="4"/>
    <x v="0"/>
    <x v="13"/>
  </r>
  <r>
    <n v="2027"/>
    <x v="576"/>
    <n v="8"/>
    <n v="5"/>
    <x v="2"/>
    <x v="2"/>
    <x v="7"/>
    <x v="2"/>
    <x v="0"/>
    <n v="6"/>
    <n v="27556.53"/>
    <n v="165339.18"/>
    <s v="Lalita Bhatnagar"/>
    <n v="32"/>
    <x v="8"/>
    <x v="0"/>
    <n v="4"/>
    <x v="0"/>
    <x v="3"/>
  </r>
  <r>
    <n v="2028"/>
    <x v="576"/>
    <n v="8"/>
    <n v="5"/>
    <x v="2"/>
    <x v="2"/>
    <x v="7"/>
    <x v="2"/>
    <x v="3"/>
    <n v="7"/>
    <n v="31467.1"/>
    <n v="220269.69999999998"/>
    <s v="Manoj Jain"/>
    <n v="35"/>
    <x v="2"/>
    <x v="0"/>
    <n v="4"/>
    <x v="0"/>
    <x v="8"/>
  </r>
  <r>
    <n v="2029"/>
    <x v="577"/>
    <n v="9"/>
    <n v="5"/>
    <x v="2"/>
    <x v="2"/>
    <x v="7"/>
    <x v="3"/>
    <x v="1"/>
    <n v="2"/>
    <n v="66497.990000000005"/>
    <n v="132995.98000000001"/>
    <s v="Pooja Ahuja"/>
    <n v="24"/>
    <x v="1"/>
    <x v="3"/>
    <n v="4"/>
    <x v="0"/>
    <x v="2"/>
  </r>
  <r>
    <n v="2030"/>
    <x v="577"/>
    <n v="9"/>
    <n v="5"/>
    <x v="2"/>
    <x v="2"/>
    <x v="7"/>
    <x v="3"/>
    <x v="0"/>
    <n v="2"/>
    <n v="52667.77"/>
    <n v="105335.54"/>
    <s v="Sumit Roy"/>
    <n v="39"/>
    <x v="15"/>
    <x v="1"/>
    <n v="2"/>
    <x v="2"/>
    <x v="10"/>
  </r>
  <r>
    <n v="2031"/>
    <x v="577"/>
    <n v="9"/>
    <n v="5"/>
    <x v="2"/>
    <x v="2"/>
    <x v="7"/>
    <x v="3"/>
    <x v="0"/>
    <n v="1"/>
    <n v="27738.3"/>
    <n v="27738.3"/>
    <s v="Prashant Gupta"/>
    <n v="49"/>
    <x v="1"/>
    <x v="1"/>
    <n v="4"/>
    <x v="0"/>
    <x v="3"/>
  </r>
  <r>
    <n v="2032"/>
    <x v="577"/>
    <n v="9"/>
    <n v="5"/>
    <x v="2"/>
    <x v="2"/>
    <x v="7"/>
    <x v="3"/>
    <x v="1"/>
    <n v="4"/>
    <n v="44862.79"/>
    <n v="179451.16"/>
    <s v="Gita Rathod"/>
    <n v="36"/>
    <x v="8"/>
    <x v="2"/>
    <n v="5"/>
    <x v="0"/>
    <x v="2"/>
  </r>
  <r>
    <n v="2033"/>
    <x v="578"/>
    <n v="10"/>
    <n v="5"/>
    <x v="2"/>
    <x v="2"/>
    <x v="7"/>
    <x v="4"/>
    <x v="3"/>
    <n v="7"/>
    <n v="66653.77"/>
    <n v="466576.39"/>
    <s v="Arun Prasad"/>
    <n v="57"/>
    <x v="9"/>
    <x v="3"/>
    <n v="1"/>
    <x v="2"/>
    <x v="5"/>
  </r>
  <r>
    <n v="2034"/>
    <x v="578"/>
    <n v="10"/>
    <n v="5"/>
    <x v="2"/>
    <x v="2"/>
    <x v="7"/>
    <x v="4"/>
    <x v="3"/>
    <n v="9"/>
    <n v="58708.79"/>
    <n v="528379.11"/>
    <s v="Manoj Chatterjee"/>
    <n v="18"/>
    <x v="9"/>
    <x v="1"/>
    <n v="5"/>
    <x v="0"/>
    <x v="12"/>
  </r>
  <r>
    <n v="2035"/>
    <x v="578"/>
    <n v="10"/>
    <n v="5"/>
    <x v="2"/>
    <x v="2"/>
    <x v="7"/>
    <x v="4"/>
    <x v="4"/>
    <n v="3"/>
    <n v="54509.96"/>
    <n v="163529.88"/>
    <s v="Rohan Gupta"/>
    <n v="52"/>
    <x v="17"/>
    <x v="1"/>
    <n v="4"/>
    <x v="0"/>
    <x v="14"/>
  </r>
  <r>
    <n v="2036"/>
    <x v="578"/>
    <n v="10"/>
    <n v="5"/>
    <x v="2"/>
    <x v="2"/>
    <x v="7"/>
    <x v="4"/>
    <x v="2"/>
    <n v="7"/>
    <n v="54219.78"/>
    <n v="379538.45999999996"/>
    <s v="Kiran Chaudhary"/>
    <n v="22"/>
    <x v="2"/>
    <x v="3"/>
    <n v="2"/>
    <x v="2"/>
    <x v="4"/>
  </r>
  <r>
    <n v="2037"/>
    <x v="579"/>
    <n v="11"/>
    <n v="5"/>
    <x v="2"/>
    <x v="2"/>
    <x v="7"/>
    <x v="5"/>
    <x v="1"/>
    <n v="7"/>
    <n v="20681.22"/>
    <n v="144768.54"/>
    <s v="Kavita Siddiqui"/>
    <n v="29"/>
    <x v="2"/>
    <x v="0"/>
    <n v="1"/>
    <x v="2"/>
    <x v="1"/>
  </r>
  <r>
    <n v="2038"/>
    <x v="579"/>
    <n v="11"/>
    <n v="5"/>
    <x v="2"/>
    <x v="2"/>
    <x v="7"/>
    <x v="5"/>
    <x v="1"/>
    <n v="7"/>
    <n v="59480.87"/>
    <n v="416366.09"/>
    <s v="Deepika Dutta"/>
    <n v="29"/>
    <x v="5"/>
    <x v="3"/>
    <n v="5"/>
    <x v="0"/>
    <x v="9"/>
  </r>
  <r>
    <n v="2039"/>
    <x v="579"/>
    <n v="11"/>
    <n v="5"/>
    <x v="2"/>
    <x v="2"/>
    <x v="7"/>
    <x v="5"/>
    <x v="1"/>
    <n v="2"/>
    <n v="26567.119999999999"/>
    <n v="53134.239999999998"/>
    <s v="Radha Kulkarni"/>
    <n v="38"/>
    <x v="1"/>
    <x v="3"/>
    <n v="1"/>
    <x v="2"/>
    <x v="1"/>
  </r>
  <r>
    <n v="2040"/>
    <x v="579"/>
    <n v="11"/>
    <n v="5"/>
    <x v="2"/>
    <x v="2"/>
    <x v="7"/>
    <x v="5"/>
    <x v="3"/>
    <n v="6"/>
    <n v="65822"/>
    <n v="394932"/>
    <s v="Meena Mathur"/>
    <n v="36"/>
    <x v="17"/>
    <x v="1"/>
    <n v="1"/>
    <x v="2"/>
    <x v="5"/>
  </r>
  <r>
    <n v="2041"/>
    <x v="580"/>
    <n v="12"/>
    <n v="5"/>
    <x v="2"/>
    <x v="2"/>
    <x v="7"/>
    <x v="6"/>
    <x v="2"/>
    <n v="2"/>
    <n v="31878.400000000001"/>
    <n v="63756.800000000003"/>
    <s v="Rohan Menon"/>
    <n v="26"/>
    <x v="2"/>
    <x v="2"/>
    <n v="1"/>
    <x v="2"/>
    <x v="13"/>
  </r>
  <r>
    <n v="2042"/>
    <x v="580"/>
    <n v="12"/>
    <n v="5"/>
    <x v="2"/>
    <x v="2"/>
    <x v="7"/>
    <x v="6"/>
    <x v="4"/>
    <n v="6"/>
    <n v="61459.62"/>
    <n v="368757.72000000003"/>
    <s v="Sneha Thakur"/>
    <n v="53"/>
    <x v="3"/>
    <x v="1"/>
    <n v="4"/>
    <x v="0"/>
    <x v="14"/>
  </r>
  <r>
    <n v="2043"/>
    <x v="580"/>
    <n v="12"/>
    <n v="5"/>
    <x v="2"/>
    <x v="2"/>
    <x v="7"/>
    <x v="6"/>
    <x v="0"/>
    <n v="3"/>
    <n v="25974.01"/>
    <n v="77922.03"/>
    <s v="Manoj Pathak"/>
    <n v="59"/>
    <x v="1"/>
    <x v="1"/>
    <n v="4"/>
    <x v="0"/>
    <x v="10"/>
  </r>
  <r>
    <n v="2044"/>
    <x v="580"/>
    <n v="12"/>
    <n v="5"/>
    <x v="2"/>
    <x v="2"/>
    <x v="7"/>
    <x v="6"/>
    <x v="0"/>
    <n v="2"/>
    <n v="40871.620000000003"/>
    <n v="81743.240000000005"/>
    <s v="Priyanka Teja"/>
    <n v="49"/>
    <x v="17"/>
    <x v="1"/>
    <n v="4"/>
    <x v="0"/>
    <x v="3"/>
  </r>
  <r>
    <n v="2045"/>
    <x v="581"/>
    <n v="13"/>
    <n v="5"/>
    <x v="2"/>
    <x v="2"/>
    <x v="7"/>
    <x v="0"/>
    <x v="1"/>
    <n v="6"/>
    <n v="16413.12"/>
    <n v="98478.720000000001"/>
    <s v="Kiran Nair"/>
    <n v="52"/>
    <x v="1"/>
    <x v="3"/>
    <n v="2"/>
    <x v="2"/>
    <x v="1"/>
  </r>
  <r>
    <n v="2046"/>
    <x v="581"/>
    <n v="13"/>
    <n v="5"/>
    <x v="2"/>
    <x v="2"/>
    <x v="7"/>
    <x v="0"/>
    <x v="2"/>
    <n v="2"/>
    <n v="49607.13"/>
    <n v="99214.26"/>
    <s v="Rohan Kapoor"/>
    <n v="48"/>
    <x v="9"/>
    <x v="3"/>
    <n v="5"/>
    <x v="0"/>
    <x v="6"/>
  </r>
  <r>
    <n v="2047"/>
    <x v="581"/>
    <n v="13"/>
    <n v="5"/>
    <x v="2"/>
    <x v="2"/>
    <x v="7"/>
    <x v="0"/>
    <x v="3"/>
    <n v="5"/>
    <n v="60164.76"/>
    <n v="300823.8"/>
    <s v="Bina Das"/>
    <n v="49"/>
    <x v="1"/>
    <x v="1"/>
    <n v="2"/>
    <x v="2"/>
    <x v="8"/>
  </r>
  <r>
    <n v="2048"/>
    <x v="582"/>
    <n v="14"/>
    <n v="5"/>
    <x v="2"/>
    <x v="2"/>
    <x v="7"/>
    <x v="1"/>
    <x v="2"/>
    <n v="2"/>
    <n v="53106.84"/>
    <n v="106213.68"/>
    <s v="Yogesh Luthra"/>
    <n v="54"/>
    <x v="1"/>
    <x v="1"/>
    <n v="5"/>
    <x v="0"/>
    <x v="6"/>
  </r>
  <r>
    <n v="2049"/>
    <x v="582"/>
    <n v="14"/>
    <n v="5"/>
    <x v="2"/>
    <x v="2"/>
    <x v="7"/>
    <x v="1"/>
    <x v="2"/>
    <n v="3"/>
    <n v="41395.51"/>
    <n v="124186.53"/>
    <s v="Mala Goyal"/>
    <n v="49"/>
    <x v="6"/>
    <x v="2"/>
    <n v="1"/>
    <x v="2"/>
    <x v="6"/>
  </r>
  <r>
    <n v="2050"/>
    <x v="582"/>
    <n v="14"/>
    <n v="5"/>
    <x v="2"/>
    <x v="2"/>
    <x v="7"/>
    <x v="1"/>
    <x v="3"/>
    <n v="3"/>
    <n v="12706.95"/>
    <n v="38120.850000000006"/>
    <s v="Sachin Shah"/>
    <n v="54"/>
    <x v="2"/>
    <x v="0"/>
    <n v="5"/>
    <x v="0"/>
    <x v="8"/>
  </r>
  <r>
    <n v="2051"/>
    <x v="582"/>
    <n v="14"/>
    <n v="5"/>
    <x v="2"/>
    <x v="2"/>
    <x v="7"/>
    <x v="1"/>
    <x v="1"/>
    <n v="6"/>
    <n v="66006.460000000006"/>
    <n v="396038.76"/>
    <s v="Aditya Nair"/>
    <n v="56"/>
    <x v="1"/>
    <x v="1"/>
    <n v="5"/>
    <x v="0"/>
    <x v="2"/>
  </r>
  <r>
    <n v="2052"/>
    <x v="583"/>
    <n v="15"/>
    <n v="5"/>
    <x v="2"/>
    <x v="2"/>
    <x v="7"/>
    <x v="2"/>
    <x v="2"/>
    <n v="6"/>
    <n v="52329.37"/>
    <n v="313976.22000000003"/>
    <s v="Neeta Sharma"/>
    <n v="55"/>
    <x v="10"/>
    <x v="3"/>
    <n v="1"/>
    <x v="2"/>
    <x v="6"/>
  </r>
  <r>
    <n v="2053"/>
    <x v="583"/>
    <n v="15"/>
    <n v="5"/>
    <x v="2"/>
    <x v="2"/>
    <x v="7"/>
    <x v="2"/>
    <x v="0"/>
    <n v="3"/>
    <n v="54751.85"/>
    <n v="164255.54999999999"/>
    <s v="Ramesh Kumar"/>
    <n v="47"/>
    <x v="18"/>
    <x v="0"/>
    <n v="2"/>
    <x v="2"/>
    <x v="10"/>
  </r>
  <r>
    <n v="2054"/>
    <x v="583"/>
    <n v="15"/>
    <n v="5"/>
    <x v="2"/>
    <x v="2"/>
    <x v="7"/>
    <x v="2"/>
    <x v="3"/>
    <n v="3"/>
    <n v="57680.83"/>
    <n v="173042.49"/>
    <s v="Shruti Roy"/>
    <n v="49"/>
    <x v="2"/>
    <x v="0"/>
    <n v="5"/>
    <x v="0"/>
    <x v="8"/>
  </r>
  <r>
    <n v="2055"/>
    <x v="583"/>
    <n v="15"/>
    <n v="5"/>
    <x v="2"/>
    <x v="2"/>
    <x v="7"/>
    <x v="2"/>
    <x v="4"/>
    <n v="1"/>
    <n v="54864.61"/>
    <n v="54864.61"/>
    <s v="Neeta Mathur"/>
    <n v="19"/>
    <x v="2"/>
    <x v="2"/>
    <n v="2"/>
    <x v="2"/>
    <x v="11"/>
  </r>
  <r>
    <n v="2056"/>
    <x v="584"/>
    <n v="16"/>
    <n v="5"/>
    <x v="2"/>
    <x v="2"/>
    <x v="7"/>
    <x v="3"/>
    <x v="1"/>
    <n v="7"/>
    <n v="36466.97"/>
    <n v="255268.79"/>
    <s v="Yogesh Luthra"/>
    <n v="28"/>
    <x v="17"/>
    <x v="0"/>
    <n v="2"/>
    <x v="2"/>
    <x v="2"/>
  </r>
  <r>
    <n v="2057"/>
    <x v="584"/>
    <n v="16"/>
    <n v="5"/>
    <x v="2"/>
    <x v="2"/>
    <x v="7"/>
    <x v="3"/>
    <x v="3"/>
    <n v="8"/>
    <n v="54017.31"/>
    <n v="432138.48"/>
    <s v="Aditya Iyer"/>
    <n v="37"/>
    <x v="11"/>
    <x v="1"/>
    <n v="4"/>
    <x v="0"/>
    <x v="12"/>
  </r>
  <r>
    <n v="2058"/>
    <x v="584"/>
    <n v="16"/>
    <n v="5"/>
    <x v="2"/>
    <x v="2"/>
    <x v="7"/>
    <x v="3"/>
    <x v="4"/>
    <n v="2"/>
    <n v="47501.61"/>
    <n v="95003.22"/>
    <s v="Meena Thakur"/>
    <n v="54"/>
    <x v="2"/>
    <x v="1"/>
    <n v="1"/>
    <x v="2"/>
    <x v="14"/>
  </r>
  <r>
    <n v="2059"/>
    <x v="584"/>
    <n v="16"/>
    <n v="5"/>
    <x v="2"/>
    <x v="2"/>
    <x v="7"/>
    <x v="3"/>
    <x v="4"/>
    <n v="4"/>
    <n v="61240.98"/>
    <n v="244963.92"/>
    <s v="Tapan Joshi"/>
    <n v="26"/>
    <x v="13"/>
    <x v="3"/>
    <n v="1"/>
    <x v="2"/>
    <x v="14"/>
  </r>
  <r>
    <n v="2060"/>
    <x v="585"/>
    <n v="17"/>
    <n v="5"/>
    <x v="2"/>
    <x v="2"/>
    <x v="7"/>
    <x v="4"/>
    <x v="2"/>
    <n v="7"/>
    <n v="58147.59"/>
    <n v="407033.13"/>
    <s v="Jyoti Ghosh"/>
    <n v="55"/>
    <x v="1"/>
    <x v="1"/>
    <n v="4"/>
    <x v="0"/>
    <x v="6"/>
  </r>
  <r>
    <n v="2061"/>
    <x v="585"/>
    <n v="17"/>
    <n v="5"/>
    <x v="2"/>
    <x v="2"/>
    <x v="7"/>
    <x v="4"/>
    <x v="2"/>
    <n v="8"/>
    <n v="12482.46"/>
    <n v="99859.68"/>
    <s v="Anjali Varma"/>
    <n v="36"/>
    <x v="13"/>
    <x v="1"/>
    <n v="2"/>
    <x v="2"/>
    <x v="6"/>
  </r>
  <r>
    <n v="2062"/>
    <x v="585"/>
    <n v="17"/>
    <n v="5"/>
    <x v="2"/>
    <x v="2"/>
    <x v="7"/>
    <x v="4"/>
    <x v="2"/>
    <n v="1"/>
    <n v="32733.23"/>
    <n v="32733.23"/>
    <s v="Namita Kumar"/>
    <n v="57"/>
    <x v="10"/>
    <x v="2"/>
    <n v="4"/>
    <x v="0"/>
    <x v="4"/>
  </r>
  <r>
    <n v="2063"/>
    <x v="586"/>
    <n v="18"/>
    <n v="5"/>
    <x v="2"/>
    <x v="2"/>
    <x v="7"/>
    <x v="5"/>
    <x v="3"/>
    <n v="4"/>
    <n v="12082.97"/>
    <n v="48331.88"/>
    <s v="Krishna Pillai"/>
    <n v="24"/>
    <x v="1"/>
    <x v="0"/>
    <n v="1"/>
    <x v="2"/>
    <x v="8"/>
  </r>
  <r>
    <n v="2064"/>
    <x v="586"/>
    <n v="18"/>
    <n v="5"/>
    <x v="2"/>
    <x v="2"/>
    <x v="7"/>
    <x v="5"/>
    <x v="3"/>
    <n v="6"/>
    <n v="16124.5"/>
    <n v="96747"/>
    <s v="Shruti Alva"/>
    <n v="22"/>
    <x v="16"/>
    <x v="2"/>
    <n v="1"/>
    <x v="2"/>
    <x v="12"/>
  </r>
  <r>
    <n v="2065"/>
    <x v="586"/>
    <n v="18"/>
    <n v="5"/>
    <x v="2"/>
    <x v="2"/>
    <x v="7"/>
    <x v="5"/>
    <x v="1"/>
    <n v="3"/>
    <n v="46084.639999999999"/>
    <n v="138253.91999999998"/>
    <s v="Krishna Patel"/>
    <n v="59"/>
    <x v="13"/>
    <x v="0"/>
    <n v="4"/>
    <x v="0"/>
    <x v="1"/>
  </r>
  <r>
    <n v="2066"/>
    <x v="586"/>
    <n v="18"/>
    <n v="5"/>
    <x v="2"/>
    <x v="2"/>
    <x v="7"/>
    <x v="5"/>
    <x v="2"/>
    <n v="5"/>
    <n v="62429.31"/>
    <n v="312146.55"/>
    <s v="Anjali Sharma"/>
    <n v="41"/>
    <x v="18"/>
    <x v="2"/>
    <n v="1"/>
    <x v="2"/>
    <x v="13"/>
  </r>
  <r>
    <n v="2067"/>
    <x v="587"/>
    <n v="19"/>
    <n v="5"/>
    <x v="2"/>
    <x v="2"/>
    <x v="7"/>
    <x v="6"/>
    <x v="4"/>
    <n v="9"/>
    <n v="17189.490000000002"/>
    <n v="154705.41"/>
    <s v="Meena Chatterjee"/>
    <n v="58"/>
    <x v="17"/>
    <x v="3"/>
    <n v="1"/>
    <x v="2"/>
    <x v="11"/>
  </r>
  <r>
    <n v="2068"/>
    <x v="587"/>
    <n v="19"/>
    <n v="5"/>
    <x v="2"/>
    <x v="2"/>
    <x v="7"/>
    <x v="6"/>
    <x v="0"/>
    <n v="3"/>
    <n v="37065.360000000001"/>
    <n v="111196.08"/>
    <s v="Sachin Desai"/>
    <n v="24"/>
    <x v="7"/>
    <x v="2"/>
    <n v="4"/>
    <x v="0"/>
    <x v="0"/>
  </r>
  <r>
    <n v="2069"/>
    <x v="587"/>
    <n v="19"/>
    <n v="5"/>
    <x v="2"/>
    <x v="2"/>
    <x v="7"/>
    <x v="6"/>
    <x v="1"/>
    <n v="5"/>
    <n v="64652.73"/>
    <n v="323263.65000000002"/>
    <s v="Meena Sheth"/>
    <n v="28"/>
    <x v="17"/>
    <x v="2"/>
    <n v="5"/>
    <x v="0"/>
    <x v="9"/>
  </r>
  <r>
    <n v="2070"/>
    <x v="588"/>
    <n v="20"/>
    <n v="5"/>
    <x v="2"/>
    <x v="2"/>
    <x v="7"/>
    <x v="0"/>
    <x v="3"/>
    <n v="8"/>
    <n v="58858.06"/>
    <n v="470864.48"/>
    <s v="Radha Solanki"/>
    <n v="26"/>
    <x v="1"/>
    <x v="3"/>
    <n v="4"/>
    <x v="0"/>
    <x v="5"/>
  </r>
  <r>
    <n v="2071"/>
    <x v="588"/>
    <n v="20"/>
    <n v="5"/>
    <x v="2"/>
    <x v="2"/>
    <x v="7"/>
    <x v="0"/>
    <x v="1"/>
    <n v="6"/>
    <n v="41180.07"/>
    <n v="247080.41999999998"/>
    <s v="Kiran Chaudhary"/>
    <n v="47"/>
    <x v="18"/>
    <x v="1"/>
    <n v="5"/>
    <x v="0"/>
    <x v="1"/>
  </r>
  <r>
    <n v="2072"/>
    <x v="588"/>
    <n v="20"/>
    <n v="5"/>
    <x v="2"/>
    <x v="2"/>
    <x v="7"/>
    <x v="0"/>
    <x v="1"/>
    <n v="4"/>
    <n v="56294.29"/>
    <n v="225177.16"/>
    <s v="Anita Varma"/>
    <n v="58"/>
    <x v="16"/>
    <x v="1"/>
    <n v="4"/>
    <x v="0"/>
    <x v="9"/>
  </r>
  <r>
    <n v="2073"/>
    <x v="588"/>
    <n v="20"/>
    <n v="5"/>
    <x v="2"/>
    <x v="2"/>
    <x v="7"/>
    <x v="0"/>
    <x v="1"/>
    <n v="8"/>
    <n v="41361.629999999997"/>
    <n v="330893.03999999998"/>
    <s v="Kavita Goyal"/>
    <n v="20"/>
    <x v="2"/>
    <x v="3"/>
    <n v="4"/>
    <x v="0"/>
    <x v="9"/>
  </r>
  <r>
    <n v="2074"/>
    <x v="589"/>
    <n v="21"/>
    <n v="5"/>
    <x v="2"/>
    <x v="2"/>
    <x v="7"/>
    <x v="1"/>
    <x v="1"/>
    <n v="3"/>
    <n v="19485.54"/>
    <n v="58456.62"/>
    <s v="Nikhil Solanki"/>
    <n v="39"/>
    <x v="1"/>
    <x v="3"/>
    <n v="2"/>
    <x v="2"/>
    <x v="1"/>
  </r>
  <r>
    <n v="2075"/>
    <x v="589"/>
    <n v="21"/>
    <n v="5"/>
    <x v="2"/>
    <x v="2"/>
    <x v="7"/>
    <x v="1"/>
    <x v="0"/>
    <n v="3"/>
    <n v="17484.169999999998"/>
    <n v="52452.509999999995"/>
    <s v="Amit Srivastava"/>
    <n v="57"/>
    <x v="1"/>
    <x v="2"/>
    <n v="4"/>
    <x v="0"/>
    <x v="0"/>
  </r>
  <r>
    <n v="2076"/>
    <x v="589"/>
    <n v="21"/>
    <n v="5"/>
    <x v="2"/>
    <x v="2"/>
    <x v="7"/>
    <x v="1"/>
    <x v="2"/>
    <n v="4"/>
    <n v="21302.09"/>
    <n v="85208.36"/>
    <s v="Anita Kumar"/>
    <n v="37"/>
    <x v="1"/>
    <x v="3"/>
    <n v="4"/>
    <x v="0"/>
    <x v="13"/>
  </r>
  <r>
    <n v="2077"/>
    <x v="590"/>
    <n v="22"/>
    <n v="5"/>
    <x v="2"/>
    <x v="2"/>
    <x v="7"/>
    <x v="2"/>
    <x v="4"/>
    <n v="9"/>
    <n v="31055.33"/>
    <n v="279497.97000000003"/>
    <s v="Umesh Chaudhary"/>
    <n v="49"/>
    <x v="15"/>
    <x v="3"/>
    <n v="2"/>
    <x v="2"/>
    <x v="7"/>
  </r>
  <r>
    <n v="2078"/>
    <x v="590"/>
    <n v="22"/>
    <n v="5"/>
    <x v="2"/>
    <x v="2"/>
    <x v="7"/>
    <x v="2"/>
    <x v="1"/>
    <n v="5"/>
    <n v="65831.759999999995"/>
    <n v="329158.8"/>
    <s v="Manoj Kapoor"/>
    <n v="24"/>
    <x v="0"/>
    <x v="0"/>
    <n v="4"/>
    <x v="0"/>
    <x v="2"/>
  </r>
  <r>
    <n v="2079"/>
    <x v="590"/>
    <n v="22"/>
    <n v="5"/>
    <x v="2"/>
    <x v="2"/>
    <x v="7"/>
    <x v="2"/>
    <x v="1"/>
    <n v="8"/>
    <n v="57980.7"/>
    <n v="463845.6"/>
    <s v="Neeta Nair"/>
    <n v="24"/>
    <x v="7"/>
    <x v="0"/>
    <n v="4"/>
    <x v="0"/>
    <x v="1"/>
  </r>
  <r>
    <n v="2080"/>
    <x v="591"/>
    <n v="23"/>
    <n v="5"/>
    <x v="2"/>
    <x v="2"/>
    <x v="7"/>
    <x v="3"/>
    <x v="1"/>
    <n v="6"/>
    <n v="35968.089999999997"/>
    <n v="215808.53999999998"/>
    <s v="Mala Ghosh"/>
    <n v="37"/>
    <x v="9"/>
    <x v="1"/>
    <n v="2"/>
    <x v="2"/>
    <x v="9"/>
  </r>
  <r>
    <n v="2081"/>
    <x v="591"/>
    <n v="23"/>
    <n v="5"/>
    <x v="2"/>
    <x v="2"/>
    <x v="7"/>
    <x v="3"/>
    <x v="2"/>
    <n v="3"/>
    <n v="39584.6"/>
    <n v="118753.79999999999"/>
    <s v="Anjali Das"/>
    <n v="42"/>
    <x v="12"/>
    <x v="3"/>
    <n v="5"/>
    <x v="0"/>
    <x v="13"/>
  </r>
  <r>
    <n v="2082"/>
    <x v="591"/>
    <n v="23"/>
    <n v="5"/>
    <x v="2"/>
    <x v="2"/>
    <x v="7"/>
    <x v="3"/>
    <x v="3"/>
    <n v="8"/>
    <n v="25936.57"/>
    <n v="207492.56"/>
    <s v="Reena Goyal"/>
    <n v="52"/>
    <x v="0"/>
    <x v="2"/>
    <n v="4"/>
    <x v="0"/>
    <x v="12"/>
  </r>
  <r>
    <n v="2083"/>
    <x v="591"/>
    <n v="23"/>
    <n v="5"/>
    <x v="2"/>
    <x v="2"/>
    <x v="7"/>
    <x v="3"/>
    <x v="3"/>
    <n v="9"/>
    <n v="52261.18"/>
    <n v="470350.62"/>
    <s v="Prashant Mathur"/>
    <n v="41"/>
    <x v="1"/>
    <x v="1"/>
    <n v="1"/>
    <x v="2"/>
    <x v="8"/>
  </r>
  <r>
    <n v="2084"/>
    <x v="592"/>
    <n v="24"/>
    <n v="5"/>
    <x v="2"/>
    <x v="2"/>
    <x v="7"/>
    <x v="4"/>
    <x v="0"/>
    <n v="8"/>
    <n v="58165.94"/>
    <n v="465327.52"/>
    <s v="Tapan Patel"/>
    <n v="57"/>
    <x v="15"/>
    <x v="1"/>
    <n v="2"/>
    <x v="2"/>
    <x v="10"/>
  </r>
  <r>
    <n v="2085"/>
    <x v="592"/>
    <n v="24"/>
    <n v="5"/>
    <x v="2"/>
    <x v="2"/>
    <x v="7"/>
    <x v="4"/>
    <x v="3"/>
    <n v="4"/>
    <n v="24334.28"/>
    <n v="97337.12"/>
    <s v="Vinod Kaur"/>
    <n v="30"/>
    <x v="0"/>
    <x v="1"/>
    <n v="1"/>
    <x v="2"/>
    <x v="8"/>
  </r>
  <r>
    <n v="2086"/>
    <x v="592"/>
    <n v="24"/>
    <n v="5"/>
    <x v="2"/>
    <x v="2"/>
    <x v="7"/>
    <x v="4"/>
    <x v="1"/>
    <n v="6"/>
    <n v="12509.3"/>
    <n v="75055.799999999988"/>
    <s v="Meena Das"/>
    <n v="56"/>
    <x v="16"/>
    <x v="3"/>
    <n v="2"/>
    <x v="2"/>
    <x v="1"/>
  </r>
  <r>
    <n v="2087"/>
    <x v="593"/>
    <n v="25"/>
    <n v="5"/>
    <x v="2"/>
    <x v="2"/>
    <x v="7"/>
    <x v="5"/>
    <x v="1"/>
    <n v="1"/>
    <n v="47433.34"/>
    <n v="47433.34"/>
    <s v="Devendra Arora"/>
    <n v="21"/>
    <x v="8"/>
    <x v="3"/>
    <n v="5"/>
    <x v="0"/>
    <x v="2"/>
  </r>
  <r>
    <n v="2088"/>
    <x v="593"/>
    <n v="25"/>
    <n v="5"/>
    <x v="2"/>
    <x v="2"/>
    <x v="7"/>
    <x v="5"/>
    <x v="1"/>
    <n v="4"/>
    <n v="43750.73"/>
    <n v="175002.92"/>
    <s v="Sachin Nambiar"/>
    <n v="29"/>
    <x v="6"/>
    <x v="2"/>
    <n v="2"/>
    <x v="2"/>
    <x v="1"/>
  </r>
  <r>
    <n v="2089"/>
    <x v="593"/>
    <n v="25"/>
    <n v="5"/>
    <x v="2"/>
    <x v="2"/>
    <x v="7"/>
    <x v="5"/>
    <x v="0"/>
    <n v="8"/>
    <n v="34127.870000000003"/>
    <n v="273022.96000000002"/>
    <s v="Aditya Joshi"/>
    <n v="34"/>
    <x v="2"/>
    <x v="2"/>
    <n v="4"/>
    <x v="0"/>
    <x v="10"/>
  </r>
  <r>
    <n v="2090"/>
    <x v="593"/>
    <n v="25"/>
    <n v="5"/>
    <x v="2"/>
    <x v="2"/>
    <x v="7"/>
    <x v="5"/>
    <x v="1"/>
    <n v="1"/>
    <n v="48633.64"/>
    <n v="48633.64"/>
    <s v="Tapan Varma"/>
    <n v="18"/>
    <x v="4"/>
    <x v="1"/>
    <n v="1"/>
    <x v="2"/>
    <x v="1"/>
  </r>
  <r>
    <n v="2091"/>
    <x v="594"/>
    <n v="26"/>
    <n v="5"/>
    <x v="2"/>
    <x v="2"/>
    <x v="7"/>
    <x v="6"/>
    <x v="3"/>
    <n v="3"/>
    <n v="43036.800000000003"/>
    <n v="129110.40000000001"/>
    <s v="Sunita Arora"/>
    <n v="34"/>
    <x v="1"/>
    <x v="3"/>
    <n v="1"/>
    <x v="2"/>
    <x v="8"/>
  </r>
  <r>
    <n v="2092"/>
    <x v="594"/>
    <n v="26"/>
    <n v="5"/>
    <x v="2"/>
    <x v="2"/>
    <x v="7"/>
    <x v="6"/>
    <x v="2"/>
    <n v="1"/>
    <n v="25034.89"/>
    <n v="25034.89"/>
    <s v="Lata Dutta"/>
    <n v="19"/>
    <x v="1"/>
    <x v="2"/>
    <n v="2"/>
    <x v="2"/>
    <x v="4"/>
  </r>
  <r>
    <n v="2093"/>
    <x v="594"/>
    <n v="26"/>
    <n v="5"/>
    <x v="2"/>
    <x v="2"/>
    <x v="7"/>
    <x v="6"/>
    <x v="2"/>
    <n v="9"/>
    <n v="33863.74"/>
    <n v="304773.65999999997"/>
    <s v="Aditya Patel"/>
    <n v="23"/>
    <x v="8"/>
    <x v="0"/>
    <n v="4"/>
    <x v="0"/>
    <x v="4"/>
  </r>
  <r>
    <n v="2094"/>
    <x v="594"/>
    <n v="26"/>
    <n v="5"/>
    <x v="2"/>
    <x v="2"/>
    <x v="7"/>
    <x v="6"/>
    <x v="4"/>
    <n v="2"/>
    <n v="35686.81"/>
    <n v="71373.62"/>
    <s v="Isha Thakur"/>
    <n v="28"/>
    <x v="2"/>
    <x v="0"/>
    <n v="4"/>
    <x v="0"/>
    <x v="14"/>
  </r>
  <r>
    <n v="2095"/>
    <x v="595"/>
    <n v="27"/>
    <n v="5"/>
    <x v="2"/>
    <x v="2"/>
    <x v="7"/>
    <x v="0"/>
    <x v="3"/>
    <n v="9"/>
    <n v="62814.879999999997"/>
    <n v="565333.91999999993"/>
    <s v="Manoj Shah"/>
    <n v="35"/>
    <x v="0"/>
    <x v="1"/>
    <n v="2"/>
    <x v="2"/>
    <x v="8"/>
  </r>
  <r>
    <n v="2096"/>
    <x v="595"/>
    <n v="27"/>
    <n v="5"/>
    <x v="2"/>
    <x v="2"/>
    <x v="7"/>
    <x v="0"/>
    <x v="1"/>
    <n v="4"/>
    <n v="67654.25"/>
    <n v="270617"/>
    <s v="Pooja Deshmukh"/>
    <n v="57"/>
    <x v="1"/>
    <x v="0"/>
    <n v="4"/>
    <x v="0"/>
    <x v="2"/>
  </r>
  <r>
    <n v="2097"/>
    <x v="595"/>
    <n v="27"/>
    <n v="5"/>
    <x v="2"/>
    <x v="2"/>
    <x v="7"/>
    <x v="0"/>
    <x v="2"/>
    <n v="2"/>
    <n v="63580.08"/>
    <n v="127160.16"/>
    <s v="Tanuja Roy"/>
    <n v="42"/>
    <x v="1"/>
    <x v="1"/>
    <n v="5"/>
    <x v="0"/>
    <x v="4"/>
  </r>
  <r>
    <n v="2098"/>
    <x v="595"/>
    <n v="27"/>
    <n v="5"/>
    <x v="2"/>
    <x v="2"/>
    <x v="7"/>
    <x v="0"/>
    <x v="3"/>
    <n v="4"/>
    <n v="53150.68"/>
    <n v="212602.72"/>
    <s v="Lata Kaur"/>
    <n v="56"/>
    <x v="12"/>
    <x v="3"/>
    <n v="2"/>
    <x v="2"/>
    <x v="8"/>
  </r>
  <r>
    <n v="2099"/>
    <x v="596"/>
    <n v="28"/>
    <n v="5"/>
    <x v="2"/>
    <x v="2"/>
    <x v="7"/>
    <x v="1"/>
    <x v="2"/>
    <n v="6"/>
    <n v="45099.56"/>
    <n v="270597.36"/>
    <s v="Mala Malhotra"/>
    <n v="45"/>
    <x v="1"/>
    <x v="1"/>
    <n v="4"/>
    <x v="0"/>
    <x v="6"/>
  </r>
  <r>
    <n v="2100"/>
    <x v="596"/>
    <n v="28"/>
    <n v="5"/>
    <x v="2"/>
    <x v="2"/>
    <x v="7"/>
    <x v="1"/>
    <x v="1"/>
    <n v="7"/>
    <n v="51355.7"/>
    <n v="359489.89999999997"/>
    <s v="Priyanka Nambiar"/>
    <n v="33"/>
    <x v="10"/>
    <x v="1"/>
    <n v="5"/>
    <x v="0"/>
    <x v="1"/>
  </r>
  <r>
    <n v="2101"/>
    <x v="596"/>
    <n v="28"/>
    <n v="5"/>
    <x v="2"/>
    <x v="2"/>
    <x v="7"/>
    <x v="1"/>
    <x v="2"/>
    <n v="3"/>
    <n v="66346.55"/>
    <n v="199039.65000000002"/>
    <s v="Sneha Menon"/>
    <n v="29"/>
    <x v="5"/>
    <x v="3"/>
    <n v="2"/>
    <x v="2"/>
    <x v="4"/>
  </r>
  <r>
    <n v="2102"/>
    <x v="597"/>
    <n v="29"/>
    <n v="5"/>
    <x v="2"/>
    <x v="2"/>
    <x v="7"/>
    <x v="2"/>
    <x v="4"/>
    <n v="3"/>
    <n v="24999.919999999998"/>
    <n v="74999.759999999995"/>
    <s v="Rajesh Shah"/>
    <n v="58"/>
    <x v="1"/>
    <x v="2"/>
    <n v="5"/>
    <x v="0"/>
    <x v="11"/>
  </r>
  <r>
    <n v="2103"/>
    <x v="597"/>
    <n v="29"/>
    <n v="5"/>
    <x v="2"/>
    <x v="2"/>
    <x v="7"/>
    <x v="2"/>
    <x v="4"/>
    <n v="8"/>
    <n v="42107.23"/>
    <n v="336857.84"/>
    <s v="Navin Nair"/>
    <n v="46"/>
    <x v="1"/>
    <x v="2"/>
    <n v="4"/>
    <x v="0"/>
    <x v="11"/>
  </r>
  <r>
    <n v="2104"/>
    <x v="597"/>
    <n v="29"/>
    <n v="5"/>
    <x v="2"/>
    <x v="2"/>
    <x v="7"/>
    <x v="2"/>
    <x v="2"/>
    <n v="5"/>
    <n v="51376.480000000003"/>
    <n v="256882.40000000002"/>
    <s v="Shruti Mehta"/>
    <n v="40"/>
    <x v="18"/>
    <x v="2"/>
    <n v="4"/>
    <x v="0"/>
    <x v="13"/>
  </r>
  <r>
    <n v="2105"/>
    <x v="598"/>
    <n v="30"/>
    <n v="5"/>
    <x v="2"/>
    <x v="2"/>
    <x v="7"/>
    <x v="3"/>
    <x v="3"/>
    <n v="4"/>
    <n v="50754.82"/>
    <n v="203019.28"/>
    <s v="Sachin Arora"/>
    <n v="38"/>
    <x v="14"/>
    <x v="2"/>
    <n v="4"/>
    <x v="0"/>
    <x v="5"/>
  </r>
  <r>
    <n v="2106"/>
    <x v="598"/>
    <n v="30"/>
    <n v="5"/>
    <x v="2"/>
    <x v="2"/>
    <x v="7"/>
    <x v="3"/>
    <x v="3"/>
    <n v="7"/>
    <n v="25136.74"/>
    <n v="175957.18000000002"/>
    <s v="Lata Alva"/>
    <n v="33"/>
    <x v="4"/>
    <x v="1"/>
    <n v="4"/>
    <x v="0"/>
    <x v="5"/>
  </r>
  <r>
    <n v="2107"/>
    <x v="598"/>
    <n v="30"/>
    <n v="5"/>
    <x v="2"/>
    <x v="2"/>
    <x v="7"/>
    <x v="3"/>
    <x v="3"/>
    <n v="7"/>
    <n v="45203.89"/>
    <n v="316427.23"/>
    <s v="Namita Roy"/>
    <n v="58"/>
    <x v="14"/>
    <x v="2"/>
    <n v="4"/>
    <x v="0"/>
    <x v="5"/>
  </r>
  <r>
    <n v="2108"/>
    <x v="598"/>
    <n v="30"/>
    <n v="5"/>
    <x v="2"/>
    <x v="2"/>
    <x v="7"/>
    <x v="3"/>
    <x v="2"/>
    <n v="9"/>
    <n v="57754.79"/>
    <n v="519793.11"/>
    <s v="Vinod Chatterjee"/>
    <n v="43"/>
    <x v="1"/>
    <x v="0"/>
    <n v="4"/>
    <x v="0"/>
    <x v="6"/>
  </r>
  <r>
    <n v="2109"/>
    <x v="599"/>
    <n v="31"/>
    <n v="5"/>
    <x v="2"/>
    <x v="2"/>
    <x v="7"/>
    <x v="4"/>
    <x v="3"/>
    <n v="9"/>
    <n v="38504.74"/>
    <n v="346542.66"/>
    <s v="Shruti Roy"/>
    <n v="54"/>
    <x v="2"/>
    <x v="0"/>
    <n v="2"/>
    <x v="2"/>
    <x v="8"/>
  </r>
  <r>
    <n v="2110"/>
    <x v="599"/>
    <n v="31"/>
    <n v="5"/>
    <x v="2"/>
    <x v="2"/>
    <x v="7"/>
    <x v="4"/>
    <x v="1"/>
    <n v="5"/>
    <n v="57597.88"/>
    <n v="287989.39999999997"/>
    <s v="Neeta Nair"/>
    <n v="39"/>
    <x v="2"/>
    <x v="2"/>
    <n v="2"/>
    <x v="2"/>
    <x v="2"/>
  </r>
  <r>
    <n v="2111"/>
    <x v="599"/>
    <n v="31"/>
    <n v="5"/>
    <x v="2"/>
    <x v="2"/>
    <x v="7"/>
    <x v="4"/>
    <x v="4"/>
    <n v="8"/>
    <n v="31592.959999999999"/>
    <n v="252743.67999999999"/>
    <s v="Bhavana Teja"/>
    <n v="27"/>
    <x v="3"/>
    <x v="0"/>
    <n v="5"/>
    <x v="0"/>
    <x v="14"/>
  </r>
  <r>
    <n v="2112"/>
    <x v="599"/>
    <n v="31"/>
    <n v="5"/>
    <x v="2"/>
    <x v="2"/>
    <x v="7"/>
    <x v="4"/>
    <x v="1"/>
    <n v="1"/>
    <n v="66325.61"/>
    <n v="66325.61"/>
    <s v="Sunil Varma"/>
    <n v="24"/>
    <x v="1"/>
    <x v="0"/>
    <n v="2"/>
    <x v="2"/>
    <x v="2"/>
  </r>
  <r>
    <n v="2113"/>
    <x v="600"/>
    <n v="1"/>
    <n v="6"/>
    <x v="2"/>
    <x v="2"/>
    <x v="8"/>
    <x v="5"/>
    <x v="3"/>
    <n v="9"/>
    <n v="42035.71"/>
    <n v="378321.39"/>
    <s v="Aditya Rao"/>
    <n v="26"/>
    <x v="7"/>
    <x v="3"/>
    <n v="2"/>
    <x v="2"/>
    <x v="12"/>
  </r>
  <r>
    <n v="2114"/>
    <x v="600"/>
    <n v="1"/>
    <n v="6"/>
    <x v="2"/>
    <x v="2"/>
    <x v="8"/>
    <x v="5"/>
    <x v="1"/>
    <n v="8"/>
    <n v="45756.88"/>
    <n v="366055.04"/>
    <s v="Pooja Rao"/>
    <n v="42"/>
    <x v="1"/>
    <x v="3"/>
    <n v="5"/>
    <x v="0"/>
    <x v="9"/>
  </r>
  <r>
    <n v="2115"/>
    <x v="600"/>
    <n v="1"/>
    <n v="6"/>
    <x v="2"/>
    <x v="2"/>
    <x v="8"/>
    <x v="5"/>
    <x v="3"/>
    <n v="6"/>
    <n v="11881.69"/>
    <n v="71290.14"/>
    <s v="Neeta Desai"/>
    <n v="32"/>
    <x v="13"/>
    <x v="2"/>
    <n v="1"/>
    <x v="2"/>
    <x v="8"/>
  </r>
  <r>
    <n v="2116"/>
    <x v="601"/>
    <n v="2"/>
    <n v="6"/>
    <x v="2"/>
    <x v="2"/>
    <x v="8"/>
    <x v="6"/>
    <x v="2"/>
    <n v="3"/>
    <n v="20216.150000000001"/>
    <n v="60648.450000000004"/>
    <s v="Deepika Deshmukh"/>
    <n v="30"/>
    <x v="8"/>
    <x v="1"/>
    <n v="4"/>
    <x v="0"/>
    <x v="13"/>
  </r>
  <r>
    <n v="2117"/>
    <x v="601"/>
    <n v="2"/>
    <n v="6"/>
    <x v="2"/>
    <x v="2"/>
    <x v="8"/>
    <x v="6"/>
    <x v="1"/>
    <n v="3"/>
    <n v="47976.03"/>
    <n v="143928.09"/>
    <s v="Tanuja Mathur"/>
    <n v="59"/>
    <x v="15"/>
    <x v="1"/>
    <n v="2"/>
    <x v="2"/>
    <x v="9"/>
  </r>
  <r>
    <n v="2118"/>
    <x v="601"/>
    <n v="2"/>
    <n v="6"/>
    <x v="2"/>
    <x v="2"/>
    <x v="8"/>
    <x v="6"/>
    <x v="2"/>
    <n v="8"/>
    <n v="35192.22"/>
    <n v="281537.76"/>
    <s v="Tanuja Mathur"/>
    <n v="43"/>
    <x v="11"/>
    <x v="3"/>
    <n v="5"/>
    <x v="0"/>
    <x v="6"/>
  </r>
  <r>
    <n v="2119"/>
    <x v="601"/>
    <n v="2"/>
    <n v="6"/>
    <x v="2"/>
    <x v="2"/>
    <x v="8"/>
    <x v="6"/>
    <x v="2"/>
    <n v="5"/>
    <n v="40489.83"/>
    <n v="202449.15000000002"/>
    <s v="Lata Mehta"/>
    <n v="38"/>
    <x v="3"/>
    <x v="3"/>
    <n v="4"/>
    <x v="0"/>
    <x v="4"/>
  </r>
  <r>
    <n v="2120"/>
    <x v="602"/>
    <n v="3"/>
    <n v="6"/>
    <x v="2"/>
    <x v="2"/>
    <x v="8"/>
    <x v="0"/>
    <x v="0"/>
    <n v="7"/>
    <n v="13778.28"/>
    <n v="96447.96"/>
    <s v="Nikhil Jain"/>
    <n v="40"/>
    <x v="6"/>
    <x v="1"/>
    <n v="4"/>
    <x v="0"/>
    <x v="0"/>
  </r>
  <r>
    <n v="2121"/>
    <x v="602"/>
    <n v="3"/>
    <n v="6"/>
    <x v="2"/>
    <x v="2"/>
    <x v="8"/>
    <x v="0"/>
    <x v="3"/>
    <n v="5"/>
    <n v="60048.11"/>
    <n v="300240.55"/>
    <s v="Priyanka Ghosh"/>
    <n v="45"/>
    <x v="7"/>
    <x v="2"/>
    <n v="2"/>
    <x v="2"/>
    <x v="12"/>
  </r>
  <r>
    <n v="2122"/>
    <x v="602"/>
    <n v="3"/>
    <n v="6"/>
    <x v="2"/>
    <x v="2"/>
    <x v="8"/>
    <x v="0"/>
    <x v="4"/>
    <n v="8"/>
    <n v="57070.34"/>
    <n v="456562.72"/>
    <s v="Anita Joshi"/>
    <n v="55"/>
    <x v="2"/>
    <x v="1"/>
    <n v="4"/>
    <x v="0"/>
    <x v="7"/>
  </r>
  <r>
    <n v="2123"/>
    <x v="602"/>
    <n v="3"/>
    <n v="6"/>
    <x v="2"/>
    <x v="2"/>
    <x v="8"/>
    <x v="0"/>
    <x v="3"/>
    <n v="4"/>
    <n v="21121.24"/>
    <n v="84484.96"/>
    <s v="Navin Gupta"/>
    <n v="29"/>
    <x v="2"/>
    <x v="1"/>
    <n v="5"/>
    <x v="0"/>
    <x v="8"/>
  </r>
  <r>
    <n v="2124"/>
    <x v="603"/>
    <n v="4"/>
    <n v="6"/>
    <x v="2"/>
    <x v="2"/>
    <x v="8"/>
    <x v="1"/>
    <x v="4"/>
    <n v="2"/>
    <n v="48059.76"/>
    <n v="96119.52"/>
    <s v="Tapan Rathod"/>
    <n v="41"/>
    <x v="0"/>
    <x v="0"/>
    <n v="5"/>
    <x v="0"/>
    <x v="7"/>
  </r>
  <r>
    <n v="2125"/>
    <x v="603"/>
    <n v="4"/>
    <n v="6"/>
    <x v="2"/>
    <x v="2"/>
    <x v="8"/>
    <x v="1"/>
    <x v="3"/>
    <n v="3"/>
    <n v="59098.91"/>
    <n v="177296.73"/>
    <s v="Sachin Goyal"/>
    <n v="30"/>
    <x v="1"/>
    <x v="1"/>
    <n v="5"/>
    <x v="0"/>
    <x v="8"/>
  </r>
  <r>
    <n v="2126"/>
    <x v="603"/>
    <n v="4"/>
    <n v="6"/>
    <x v="2"/>
    <x v="2"/>
    <x v="8"/>
    <x v="1"/>
    <x v="2"/>
    <n v="8"/>
    <n v="48451.25"/>
    <n v="387610"/>
    <s v="Gita Teja"/>
    <n v="57"/>
    <x v="1"/>
    <x v="3"/>
    <n v="5"/>
    <x v="0"/>
    <x v="4"/>
  </r>
  <r>
    <n v="2127"/>
    <x v="603"/>
    <n v="4"/>
    <n v="6"/>
    <x v="2"/>
    <x v="2"/>
    <x v="8"/>
    <x v="1"/>
    <x v="1"/>
    <n v="7"/>
    <n v="28623.89"/>
    <n v="200367.22999999998"/>
    <s v="Anjali Pathak"/>
    <n v="19"/>
    <x v="1"/>
    <x v="2"/>
    <n v="5"/>
    <x v="0"/>
    <x v="9"/>
  </r>
  <r>
    <n v="2128"/>
    <x v="604"/>
    <n v="5"/>
    <n v="6"/>
    <x v="2"/>
    <x v="2"/>
    <x v="8"/>
    <x v="2"/>
    <x v="1"/>
    <n v="2"/>
    <n v="49366.67"/>
    <n v="98733.34"/>
    <s v="Devendra Pathak"/>
    <n v="56"/>
    <x v="10"/>
    <x v="1"/>
    <n v="4"/>
    <x v="0"/>
    <x v="9"/>
  </r>
  <r>
    <n v="2129"/>
    <x v="604"/>
    <n v="5"/>
    <n v="6"/>
    <x v="2"/>
    <x v="2"/>
    <x v="8"/>
    <x v="2"/>
    <x v="0"/>
    <n v="6"/>
    <n v="22627.7"/>
    <n v="135766.20000000001"/>
    <s v="Anand Joshi"/>
    <n v="29"/>
    <x v="3"/>
    <x v="0"/>
    <n v="5"/>
    <x v="0"/>
    <x v="10"/>
  </r>
  <r>
    <n v="2130"/>
    <x v="604"/>
    <n v="5"/>
    <n v="6"/>
    <x v="2"/>
    <x v="2"/>
    <x v="8"/>
    <x v="2"/>
    <x v="4"/>
    <n v="9"/>
    <n v="29095.3"/>
    <n v="261857.69999999998"/>
    <s v="Pankaj Mathur"/>
    <n v="56"/>
    <x v="15"/>
    <x v="3"/>
    <n v="4"/>
    <x v="0"/>
    <x v="7"/>
  </r>
  <r>
    <n v="2131"/>
    <x v="605"/>
    <n v="6"/>
    <n v="6"/>
    <x v="2"/>
    <x v="2"/>
    <x v="8"/>
    <x v="3"/>
    <x v="4"/>
    <n v="4"/>
    <n v="24404.18"/>
    <n v="97616.72"/>
    <s v="Monika Thakur"/>
    <n v="31"/>
    <x v="0"/>
    <x v="3"/>
    <n v="4"/>
    <x v="0"/>
    <x v="7"/>
  </r>
  <r>
    <n v="2132"/>
    <x v="605"/>
    <n v="6"/>
    <n v="6"/>
    <x v="2"/>
    <x v="2"/>
    <x v="8"/>
    <x v="3"/>
    <x v="4"/>
    <n v="9"/>
    <n v="43415.51"/>
    <n v="390739.59"/>
    <s v="Bina Goyal"/>
    <n v="47"/>
    <x v="13"/>
    <x v="0"/>
    <n v="4"/>
    <x v="0"/>
    <x v="14"/>
  </r>
  <r>
    <n v="2133"/>
    <x v="605"/>
    <n v="6"/>
    <n v="6"/>
    <x v="2"/>
    <x v="2"/>
    <x v="8"/>
    <x v="3"/>
    <x v="2"/>
    <n v="2"/>
    <n v="16493.599999999999"/>
    <n v="32987.199999999997"/>
    <s v="Vivek Bhattacharya"/>
    <n v="58"/>
    <x v="2"/>
    <x v="3"/>
    <n v="4"/>
    <x v="0"/>
    <x v="4"/>
  </r>
  <r>
    <n v="2134"/>
    <x v="606"/>
    <n v="7"/>
    <n v="6"/>
    <x v="2"/>
    <x v="2"/>
    <x v="8"/>
    <x v="4"/>
    <x v="4"/>
    <n v="2"/>
    <n v="65998.62"/>
    <n v="131997.24"/>
    <s v="Priya Sharma"/>
    <n v="36"/>
    <x v="18"/>
    <x v="0"/>
    <n v="1"/>
    <x v="2"/>
    <x v="14"/>
  </r>
  <r>
    <n v="2135"/>
    <x v="606"/>
    <n v="7"/>
    <n v="6"/>
    <x v="2"/>
    <x v="2"/>
    <x v="8"/>
    <x v="4"/>
    <x v="1"/>
    <n v="9"/>
    <n v="30010.74"/>
    <n v="270096.66000000003"/>
    <s v="Namita Mehta"/>
    <n v="48"/>
    <x v="15"/>
    <x v="3"/>
    <n v="2"/>
    <x v="2"/>
    <x v="2"/>
  </r>
  <r>
    <n v="2136"/>
    <x v="606"/>
    <n v="7"/>
    <n v="6"/>
    <x v="2"/>
    <x v="2"/>
    <x v="8"/>
    <x v="4"/>
    <x v="2"/>
    <n v="7"/>
    <n v="23138.21"/>
    <n v="161967.47"/>
    <s v="Kiran Srivastava"/>
    <n v="42"/>
    <x v="9"/>
    <x v="3"/>
    <n v="4"/>
    <x v="0"/>
    <x v="4"/>
  </r>
  <r>
    <n v="2137"/>
    <x v="607"/>
    <n v="8"/>
    <n v="6"/>
    <x v="2"/>
    <x v="2"/>
    <x v="8"/>
    <x v="5"/>
    <x v="3"/>
    <n v="7"/>
    <n v="39792.99"/>
    <n v="278550.93"/>
    <s v="Sunita Iyer"/>
    <n v="21"/>
    <x v="7"/>
    <x v="3"/>
    <n v="1"/>
    <x v="2"/>
    <x v="12"/>
  </r>
  <r>
    <n v="2138"/>
    <x v="607"/>
    <n v="8"/>
    <n v="6"/>
    <x v="2"/>
    <x v="2"/>
    <x v="8"/>
    <x v="5"/>
    <x v="4"/>
    <n v="1"/>
    <n v="26619.87"/>
    <n v="26619.87"/>
    <s v="Anita Srivastava"/>
    <n v="30"/>
    <x v="3"/>
    <x v="3"/>
    <n v="4"/>
    <x v="0"/>
    <x v="14"/>
  </r>
  <r>
    <n v="2139"/>
    <x v="607"/>
    <n v="8"/>
    <n v="6"/>
    <x v="2"/>
    <x v="2"/>
    <x v="8"/>
    <x v="5"/>
    <x v="4"/>
    <n v="6"/>
    <n v="42094.25"/>
    <n v="252565.5"/>
    <s v="Isha Luthra"/>
    <n v="53"/>
    <x v="0"/>
    <x v="0"/>
    <n v="4"/>
    <x v="0"/>
    <x v="14"/>
  </r>
  <r>
    <n v="2140"/>
    <x v="607"/>
    <n v="8"/>
    <n v="6"/>
    <x v="2"/>
    <x v="2"/>
    <x v="8"/>
    <x v="5"/>
    <x v="3"/>
    <n v="7"/>
    <n v="30910.55"/>
    <n v="216373.85"/>
    <s v="Harish Thakur"/>
    <n v="59"/>
    <x v="16"/>
    <x v="1"/>
    <n v="4"/>
    <x v="0"/>
    <x v="12"/>
  </r>
  <r>
    <n v="2141"/>
    <x v="608"/>
    <n v="9"/>
    <n v="6"/>
    <x v="2"/>
    <x v="2"/>
    <x v="8"/>
    <x v="6"/>
    <x v="4"/>
    <n v="6"/>
    <n v="17924.009999999998"/>
    <n v="107544.06"/>
    <s v="Arun Desai"/>
    <n v="54"/>
    <x v="2"/>
    <x v="3"/>
    <n v="5"/>
    <x v="0"/>
    <x v="11"/>
  </r>
  <r>
    <n v="2142"/>
    <x v="608"/>
    <n v="9"/>
    <n v="6"/>
    <x v="2"/>
    <x v="2"/>
    <x v="8"/>
    <x v="6"/>
    <x v="3"/>
    <n v="6"/>
    <n v="25953.71"/>
    <n v="155722.26"/>
    <s v="Priyanka Mishra"/>
    <n v="20"/>
    <x v="8"/>
    <x v="0"/>
    <n v="4"/>
    <x v="0"/>
    <x v="5"/>
  </r>
  <r>
    <n v="2143"/>
    <x v="608"/>
    <n v="9"/>
    <n v="6"/>
    <x v="2"/>
    <x v="2"/>
    <x v="8"/>
    <x v="6"/>
    <x v="2"/>
    <n v="2"/>
    <n v="36306.39"/>
    <n v="72612.78"/>
    <s v="Rajesh Verma"/>
    <n v="33"/>
    <x v="2"/>
    <x v="0"/>
    <n v="4"/>
    <x v="0"/>
    <x v="4"/>
  </r>
  <r>
    <n v="2144"/>
    <x v="608"/>
    <n v="9"/>
    <n v="6"/>
    <x v="2"/>
    <x v="2"/>
    <x v="8"/>
    <x v="6"/>
    <x v="1"/>
    <n v="6"/>
    <n v="11817.59"/>
    <n v="70905.540000000008"/>
    <s v="Sachin Goyal"/>
    <n v="43"/>
    <x v="15"/>
    <x v="0"/>
    <n v="2"/>
    <x v="2"/>
    <x v="1"/>
  </r>
  <r>
    <n v="2145"/>
    <x v="609"/>
    <n v="10"/>
    <n v="6"/>
    <x v="2"/>
    <x v="2"/>
    <x v="8"/>
    <x v="0"/>
    <x v="3"/>
    <n v="4"/>
    <n v="56238.55"/>
    <n v="224954.2"/>
    <s v="Monika Mehta"/>
    <n v="57"/>
    <x v="2"/>
    <x v="1"/>
    <n v="4"/>
    <x v="0"/>
    <x v="8"/>
  </r>
  <r>
    <n v="2146"/>
    <x v="609"/>
    <n v="10"/>
    <n v="6"/>
    <x v="2"/>
    <x v="2"/>
    <x v="8"/>
    <x v="0"/>
    <x v="0"/>
    <n v="9"/>
    <n v="47309.47"/>
    <n v="425785.23"/>
    <s v="Rajesh Menon"/>
    <n v="56"/>
    <x v="1"/>
    <x v="2"/>
    <n v="1"/>
    <x v="2"/>
    <x v="3"/>
  </r>
  <r>
    <n v="2147"/>
    <x v="609"/>
    <n v="10"/>
    <n v="6"/>
    <x v="2"/>
    <x v="2"/>
    <x v="8"/>
    <x v="0"/>
    <x v="3"/>
    <n v="1"/>
    <n v="46081.58"/>
    <n v="46081.58"/>
    <s v="Mala Thakur"/>
    <n v="36"/>
    <x v="9"/>
    <x v="0"/>
    <n v="4"/>
    <x v="0"/>
    <x v="12"/>
  </r>
  <r>
    <n v="2148"/>
    <x v="609"/>
    <n v="10"/>
    <n v="6"/>
    <x v="2"/>
    <x v="2"/>
    <x v="8"/>
    <x v="0"/>
    <x v="4"/>
    <n v="8"/>
    <n v="42763"/>
    <n v="342104"/>
    <s v="Rohan Singh"/>
    <n v="32"/>
    <x v="1"/>
    <x v="0"/>
    <n v="1"/>
    <x v="2"/>
    <x v="14"/>
  </r>
  <r>
    <n v="2149"/>
    <x v="610"/>
    <n v="11"/>
    <n v="6"/>
    <x v="2"/>
    <x v="2"/>
    <x v="8"/>
    <x v="1"/>
    <x v="2"/>
    <n v="5"/>
    <n v="45418.79"/>
    <n v="227093.95"/>
    <s v="Tapan Varma"/>
    <n v="49"/>
    <x v="7"/>
    <x v="0"/>
    <n v="5"/>
    <x v="0"/>
    <x v="6"/>
  </r>
  <r>
    <n v="2150"/>
    <x v="610"/>
    <n v="11"/>
    <n v="6"/>
    <x v="2"/>
    <x v="2"/>
    <x v="8"/>
    <x v="1"/>
    <x v="2"/>
    <n v="1"/>
    <n v="66079.12"/>
    <n v="66079.12"/>
    <s v="Vivek Jain"/>
    <n v="38"/>
    <x v="1"/>
    <x v="1"/>
    <n v="5"/>
    <x v="0"/>
    <x v="4"/>
  </r>
  <r>
    <n v="2151"/>
    <x v="610"/>
    <n v="11"/>
    <n v="6"/>
    <x v="2"/>
    <x v="2"/>
    <x v="8"/>
    <x v="1"/>
    <x v="3"/>
    <n v="4"/>
    <n v="10514.15"/>
    <n v="42056.6"/>
    <s v="Pankaj Kapoor"/>
    <n v="18"/>
    <x v="9"/>
    <x v="3"/>
    <n v="2"/>
    <x v="2"/>
    <x v="12"/>
  </r>
  <r>
    <n v="2152"/>
    <x v="611"/>
    <n v="12"/>
    <n v="6"/>
    <x v="2"/>
    <x v="2"/>
    <x v="8"/>
    <x v="2"/>
    <x v="1"/>
    <n v="1"/>
    <n v="12867.98"/>
    <n v="12867.98"/>
    <s v="Aditya Luthra"/>
    <n v="23"/>
    <x v="10"/>
    <x v="1"/>
    <n v="4"/>
    <x v="0"/>
    <x v="9"/>
  </r>
  <r>
    <n v="2153"/>
    <x v="611"/>
    <n v="12"/>
    <n v="6"/>
    <x v="2"/>
    <x v="2"/>
    <x v="8"/>
    <x v="2"/>
    <x v="0"/>
    <n v="6"/>
    <n v="21489.599999999999"/>
    <n v="128937.59999999999"/>
    <s v="Anita Bhattacharya"/>
    <n v="44"/>
    <x v="1"/>
    <x v="0"/>
    <n v="2"/>
    <x v="2"/>
    <x v="0"/>
  </r>
  <r>
    <n v="2154"/>
    <x v="611"/>
    <n v="12"/>
    <n v="6"/>
    <x v="2"/>
    <x v="2"/>
    <x v="8"/>
    <x v="2"/>
    <x v="2"/>
    <n v="2"/>
    <n v="20038.080000000002"/>
    <n v="40076.160000000003"/>
    <s v="Anand Joshi"/>
    <n v="40"/>
    <x v="1"/>
    <x v="2"/>
    <n v="1"/>
    <x v="2"/>
    <x v="6"/>
  </r>
  <r>
    <n v="2155"/>
    <x v="611"/>
    <n v="12"/>
    <n v="6"/>
    <x v="2"/>
    <x v="2"/>
    <x v="8"/>
    <x v="2"/>
    <x v="4"/>
    <n v="5"/>
    <n v="20871.669999999998"/>
    <n v="104358.34999999999"/>
    <s v="Rajesh Prasad"/>
    <n v="48"/>
    <x v="7"/>
    <x v="0"/>
    <n v="2"/>
    <x v="2"/>
    <x v="7"/>
  </r>
  <r>
    <n v="2156"/>
    <x v="612"/>
    <n v="13"/>
    <n v="6"/>
    <x v="2"/>
    <x v="2"/>
    <x v="8"/>
    <x v="3"/>
    <x v="4"/>
    <n v="7"/>
    <n v="50316.63"/>
    <n v="352216.41"/>
    <s v="Ramesh Sharma"/>
    <n v="29"/>
    <x v="5"/>
    <x v="3"/>
    <n v="1"/>
    <x v="2"/>
    <x v="11"/>
  </r>
  <r>
    <n v="2157"/>
    <x v="612"/>
    <n v="13"/>
    <n v="6"/>
    <x v="2"/>
    <x v="2"/>
    <x v="8"/>
    <x v="3"/>
    <x v="1"/>
    <n v="2"/>
    <n v="37569"/>
    <n v="75138"/>
    <s v="Bina Patel"/>
    <n v="38"/>
    <x v="1"/>
    <x v="2"/>
    <n v="2"/>
    <x v="2"/>
    <x v="2"/>
  </r>
  <r>
    <n v="2158"/>
    <x v="612"/>
    <n v="13"/>
    <n v="6"/>
    <x v="2"/>
    <x v="2"/>
    <x v="8"/>
    <x v="3"/>
    <x v="2"/>
    <n v="6"/>
    <n v="69506.73"/>
    <n v="417040.38"/>
    <s v="Arun Iyer"/>
    <n v="19"/>
    <x v="1"/>
    <x v="2"/>
    <n v="5"/>
    <x v="0"/>
    <x v="13"/>
  </r>
  <r>
    <n v="2159"/>
    <x v="612"/>
    <n v="13"/>
    <n v="6"/>
    <x v="2"/>
    <x v="2"/>
    <x v="8"/>
    <x v="3"/>
    <x v="3"/>
    <n v="6"/>
    <n v="23613.15"/>
    <n v="141678.90000000002"/>
    <s v="Aditya Jain"/>
    <n v="22"/>
    <x v="14"/>
    <x v="1"/>
    <n v="4"/>
    <x v="0"/>
    <x v="5"/>
  </r>
  <r>
    <n v="2160"/>
    <x v="613"/>
    <n v="14"/>
    <n v="6"/>
    <x v="2"/>
    <x v="2"/>
    <x v="8"/>
    <x v="4"/>
    <x v="4"/>
    <n v="5"/>
    <n v="28649.81"/>
    <n v="143249.05000000002"/>
    <s v="Deepika Prasad"/>
    <n v="26"/>
    <x v="2"/>
    <x v="1"/>
    <n v="2"/>
    <x v="2"/>
    <x v="7"/>
  </r>
  <r>
    <n v="2161"/>
    <x v="613"/>
    <n v="14"/>
    <n v="6"/>
    <x v="2"/>
    <x v="2"/>
    <x v="8"/>
    <x v="4"/>
    <x v="1"/>
    <n v="5"/>
    <n v="69054.44"/>
    <n v="345272.2"/>
    <s v="Priya Varma"/>
    <n v="37"/>
    <x v="12"/>
    <x v="3"/>
    <n v="1"/>
    <x v="2"/>
    <x v="9"/>
  </r>
  <r>
    <n v="2162"/>
    <x v="613"/>
    <n v="14"/>
    <n v="6"/>
    <x v="2"/>
    <x v="2"/>
    <x v="8"/>
    <x v="4"/>
    <x v="2"/>
    <n v="3"/>
    <n v="59905.49"/>
    <n v="179716.47"/>
    <s v="Ravi Kaur"/>
    <n v="35"/>
    <x v="2"/>
    <x v="1"/>
    <n v="4"/>
    <x v="0"/>
    <x v="6"/>
  </r>
  <r>
    <n v="2163"/>
    <x v="613"/>
    <n v="14"/>
    <n v="6"/>
    <x v="2"/>
    <x v="2"/>
    <x v="8"/>
    <x v="4"/>
    <x v="2"/>
    <n v="2"/>
    <n v="38187.949999999997"/>
    <n v="76375.899999999994"/>
    <s v="Amit Ghosh"/>
    <n v="39"/>
    <x v="17"/>
    <x v="3"/>
    <n v="5"/>
    <x v="0"/>
    <x v="13"/>
  </r>
  <r>
    <n v="2164"/>
    <x v="614"/>
    <n v="15"/>
    <n v="6"/>
    <x v="2"/>
    <x v="2"/>
    <x v="8"/>
    <x v="5"/>
    <x v="2"/>
    <n v="7"/>
    <n v="43275.81"/>
    <n v="302930.67"/>
    <s v="Vijay Malhotra"/>
    <n v="25"/>
    <x v="1"/>
    <x v="2"/>
    <n v="5"/>
    <x v="0"/>
    <x v="4"/>
  </r>
  <r>
    <n v="2165"/>
    <x v="614"/>
    <n v="15"/>
    <n v="6"/>
    <x v="2"/>
    <x v="2"/>
    <x v="8"/>
    <x v="5"/>
    <x v="2"/>
    <n v="1"/>
    <n v="60590.68"/>
    <n v="60590.68"/>
    <s v="Pankaj Desai"/>
    <n v="51"/>
    <x v="7"/>
    <x v="2"/>
    <n v="4"/>
    <x v="0"/>
    <x v="4"/>
  </r>
  <r>
    <n v="2166"/>
    <x v="614"/>
    <n v="15"/>
    <n v="6"/>
    <x v="2"/>
    <x v="2"/>
    <x v="8"/>
    <x v="5"/>
    <x v="2"/>
    <n v="6"/>
    <n v="38858.81"/>
    <n v="233152.86"/>
    <s v="Isha Thakur"/>
    <n v="26"/>
    <x v="1"/>
    <x v="2"/>
    <n v="4"/>
    <x v="0"/>
    <x v="6"/>
  </r>
  <r>
    <n v="2167"/>
    <x v="614"/>
    <n v="15"/>
    <n v="6"/>
    <x v="2"/>
    <x v="2"/>
    <x v="8"/>
    <x v="5"/>
    <x v="4"/>
    <n v="6"/>
    <n v="22361.42"/>
    <n v="134168.51999999999"/>
    <s v="Tapan Nair"/>
    <n v="24"/>
    <x v="2"/>
    <x v="3"/>
    <n v="2"/>
    <x v="2"/>
    <x v="14"/>
  </r>
  <r>
    <n v="2168"/>
    <x v="615"/>
    <n v="16"/>
    <n v="6"/>
    <x v="2"/>
    <x v="2"/>
    <x v="8"/>
    <x v="6"/>
    <x v="1"/>
    <n v="3"/>
    <n v="59706.67"/>
    <n v="179120.01"/>
    <s v="Tapan Rathod"/>
    <n v="47"/>
    <x v="12"/>
    <x v="1"/>
    <n v="5"/>
    <x v="0"/>
    <x v="9"/>
  </r>
  <r>
    <n v="2169"/>
    <x v="615"/>
    <n v="16"/>
    <n v="6"/>
    <x v="2"/>
    <x v="2"/>
    <x v="8"/>
    <x v="6"/>
    <x v="2"/>
    <n v="2"/>
    <n v="42266.35"/>
    <n v="84532.7"/>
    <s v="Vijay Varma"/>
    <n v="35"/>
    <x v="16"/>
    <x v="1"/>
    <n v="2"/>
    <x v="2"/>
    <x v="4"/>
  </r>
  <r>
    <n v="2170"/>
    <x v="615"/>
    <n v="16"/>
    <n v="6"/>
    <x v="2"/>
    <x v="2"/>
    <x v="8"/>
    <x v="6"/>
    <x v="0"/>
    <n v="2"/>
    <n v="19182.560000000001"/>
    <n v="38365.120000000003"/>
    <s v="Rajesh Sheth"/>
    <n v="44"/>
    <x v="15"/>
    <x v="1"/>
    <n v="2"/>
    <x v="2"/>
    <x v="0"/>
  </r>
  <r>
    <n v="2171"/>
    <x v="616"/>
    <n v="17"/>
    <n v="6"/>
    <x v="2"/>
    <x v="2"/>
    <x v="8"/>
    <x v="0"/>
    <x v="0"/>
    <n v="9"/>
    <n v="40335.15"/>
    <n v="363016.35000000003"/>
    <s v="Arun Verma"/>
    <n v="33"/>
    <x v="8"/>
    <x v="0"/>
    <n v="1"/>
    <x v="2"/>
    <x v="0"/>
  </r>
  <r>
    <n v="2172"/>
    <x v="616"/>
    <n v="17"/>
    <n v="6"/>
    <x v="2"/>
    <x v="2"/>
    <x v="8"/>
    <x v="0"/>
    <x v="1"/>
    <n v="5"/>
    <n v="34792.199999999997"/>
    <n v="173961"/>
    <s v="Krishna Sharma"/>
    <n v="38"/>
    <x v="2"/>
    <x v="2"/>
    <n v="2"/>
    <x v="2"/>
    <x v="9"/>
  </r>
  <r>
    <n v="2173"/>
    <x v="616"/>
    <n v="17"/>
    <n v="6"/>
    <x v="2"/>
    <x v="2"/>
    <x v="8"/>
    <x v="0"/>
    <x v="3"/>
    <n v="7"/>
    <n v="62610.55"/>
    <n v="438273.85000000003"/>
    <s v="Devendra Luthra"/>
    <n v="22"/>
    <x v="2"/>
    <x v="2"/>
    <n v="4"/>
    <x v="0"/>
    <x v="12"/>
  </r>
  <r>
    <n v="2174"/>
    <x v="617"/>
    <n v="18"/>
    <n v="6"/>
    <x v="2"/>
    <x v="2"/>
    <x v="8"/>
    <x v="1"/>
    <x v="3"/>
    <n v="5"/>
    <n v="17563.330000000002"/>
    <n v="87816.650000000009"/>
    <s v="Priya Varma"/>
    <n v="46"/>
    <x v="13"/>
    <x v="0"/>
    <n v="4"/>
    <x v="0"/>
    <x v="5"/>
  </r>
  <r>
    <n v="2175"/>
    <x v="617"/>
    <n v="18"/>
    <n v="6"/>
    <x v="2"/>
    <x v="2"/>
    <x v="8"/>
    <x v="1"/>
    <x v="3"/>
    <n v="7"/>
    <n v="62512.59"/>
    <n v="437588.13"/>
    <s v="Bina Jain"/>
    <n v="54"/>
    <x v="13"/>
    <x v="2"/>
    <n v="4"/>
    <x v="0"/>
    <x v="8"/>
  </r>
  <r>
    <n v="2176"/>
    <x v="617"/>
    <n v="18"/>
    <n v="6"/>
    <x v="2"/>
    <x v="2"/>
    <x v="8"/>
    <x v="1"/>
    <x v="0"/>
    <n v="4"/>
    <n v="40732.660000000003"/>
    <n v="162930.64000000001"/>
    <s v="Krishna Joshi"/>
    <n v="39"/>
    <x v="4"/>
    <x v="2"/>
    <n v="1"/>
    <x v="2"/>
    <x v="10"/>
  </r>
  <r>
    <n v="2177"/>
    <x v="617"/>
    <n v="18"/>
    <n v="6"/>
    <x v="2"/>
    <x v="2"/>
    <x v="8"/>
    <x v="1"/>
    <x v="3"/>
    <n v="8"/>
    <n v="34261.870000000003"/>
    <n v="274094.96000000002"/>
    <s v="Deepika Prasad"/>
    <n v="31"/>
    <x v="2"/>
    <x v="0"/>
    <n v="4"/>
    <x v="0"/>
    <x v="8"/>
  </r>
  <r>
    <n v="2178"/>
    <x v="618"/>
    <n v="19"/>
    <n v="6"/>
    <x v="2"/>
    <x v="2"/>
    <x v="8"/>
    <x v="2"/>
    <x v="4"/>
    <n v="7"/>
    <n v="19718.03"/>
    <n v="138026.21"/>
    <s v="Deepika Alva"/>
    <n v="36"/>
    <x v="1"/>
    <x v="2"/>
    <n v="4"/>
    <x v="0"/>
    <x v="7"/>
  </r>
  <r>
    <n v="2179"/>
    <x v="618"/>
    <n v="19"/>
    <n v="6"/>
    <x v="2"/>
    <x v="2"/>
    <x v="8"/>
    <x v="2"/>
    <x v="2"/>
    <n v="5"/>
    <n v="52049.08"/>
    <n v="260245.40000000002"/>
    <s v="Meena Pillai"/>
    <n v="52"/>
    <x v="1"/>
    <x v="1"/>
    <n v="4"/>
    <x v="0"/>
    <x v="6"/>
  </r>
  <r>
    <n v="2180"/>
    <x v="618"/>
    <n v="19"/>
    <n v="6"/>
    <x v="2"/>
    <x v="2"/>
    <x v="8"/>
    <x v="2"/>
    <x v="0"/>
    <n v="6"/>
    <n v="65608.399999999994"/>
    <n v="393650.39999999997"/>
    <s v="Vinod Prasad"/>
    <n v="41"/>
    <x v="9"/>
    <x v="0"/>
    <n v="4"/>
    <x v="0"/>
    <x v="3"/>
  </r>
  <r>
    <n v="2181"/>
    <x v="619"/>
    <n v="20"/>
    <n v="6"/>
    <x v="2"/>
    <x v="2"/>
    <x v="8"/>
    <x v="3"/>
    <x v="1"/>
    <n v="5"/>
    <n v="32522.639999999999"/>
    <n v="162613.20000000001"/>
    <s v="Pooja Goyal"/>
    <n v="59"/>
    <x v="4"/>
    <x v="2"/>
    <n v="5"/>
    <x v="0"/>
    <x v="9"/>
  </r>
  <r>
    <n v="2182"/>
    <x v="619"/>
    <n v="20"/>
    <n v="6"/>
    <x v="2"/>
    <x v="2"/>
    <x v="8"/>
    <x v="3"/>
    <x v="1"/>
    <n v="7"/>
    <n v="24495.1"/>
    <n v="171465.69999999998"/>
    <s v="Pooja Joshi"/>
    <n v="23"/>
    <x v="1"/>
    <x v="1"/>
    <n v="2"/>
    <x v="2"/>
    <x v="1"/>
  </r>
  <r>
    <n v="2183"/>
    <x v="619"/>
    <n v="20"/>
    <n v="6"/>
    <x v="2"/>
    <x v="2"/>
    <x v="8"/>
    <x v="3"/>
    <x v="2"/>
    <n v="2"/>
    <n v="43292.02"/>
    <n v="86584.04"/>
    <s v="Yogesh Menon"/>
    <n v="20"/>
    <x v="5"/>
    <x v="3"/>
    <n v="2"/>
    <x v="2"/>
    <x v="4"/>
  </r>
  <r>
    <n v="2184"/>
    <x v="620"/>
    <n v="21"/>
    <n v="6"/>
    <x v="2"/>
    <x v="2"/>
    <x v="8"/>
    <x v="4"/>
    <x v="0"/>
    <n v="5"/>
    <n v="57771.16"/>
    <n v="288855.80000000005"/>
    <s v="Amit Ahuja"/>
    <n v="51"/>
    <x v="17"/>
    <x v="2"/>
    <n v="4"/>
    <x v="0"/>
    <x v="0"/>
  </r>
  <r>
    <n v="2185"/>
    <x v="620"/>
    <n v="21"/>
    <n v="6"/>
    <x v="2"/>
    <x v="2"/>
    <x v="8"/>
    <x v="4"/>
    <x v="3"/>
    <n v="3"/>
    <n v="10226.06"/>
    <n v="30678.18"/>
    <s v="Rajesh Chaudhary"/>
    <n v="19"/>
    <x v="18"/>
    <x v="0"/>
    <n v="4"/>
    <x v="0"/>
    <x v="8"/>
  </r>
  <r>
    <n v="2186"/>
    <x v="620"/>
    <n v="21"/>
    <n v="6"/>
    <x v="2"/>
    <x v="2"/>
    <x v="8"/>
    <x v="4"/>
    <x v="3"/>
    <n v="9"/>
    <n v="47882.65"/>
    <n v="430943.85000000003"/>
    <s v="Bhavana Rawat"/>
    <n v="32"/>
    <x v="1"/>
    <x v="1"/>
    <n v="4"/>
    <x v="0"/>
    <x v="5"/>
  </r>
  <r>
    <n v="2187"/>
    <x v="620"/>
    <n v="21"/>
    <n v="6"/>
    <x v="2"/>
    <x v="2"/>
    <x v="8"/>
    <x v="4"/>
    <x v="4"/>
    <n v="6"/>
    <n v="45790.96"/>
    <n v="274745.76"/>
    <s v="Anita Joshi"/>
    <n v="54"/>
    <x v="10"/>
    <x v="3"/>
    <n v="1"/>
    <x v="2"/>
    <x v="11"/>
  </r>
  <r>
    <n v="2188"/>
    <x v="621"/>
    <n v="22"/>
    <n v="6"/>
    <x v="2"/>
    <x v="2"/>
    <x v="8"/>
    <x v="5"/>
    <x v="4"/>
    <n v="3"/>
    <n v="29089.13"/>
    <n v="87267.39"/>
    <s v="Prashant Dutta"/>
    <n v="32"/>
    <x v="6"/>
    <x v="3"/>
    <n v="4"/>
    <x v="0"/>
    <x v="7"/>
  </r>
  <r>
    <n v="2189"/>
    <x v="621"/>
    <n v="22"/>
    <n v="6"/>
    <x v="2"/>
    <x v="2"/>
    <x v="8"/>
    <x v="5"/>
    <x v="3"/>
    <n v="7"/>
    <n v="37085.379999999997"/>
    <n v="259597.65999999997"/>
    <s v="Vivek Pathak"/>
    <n v="49"/>
    <x v="1"/>
    <x v="2"/>
    <n v="4"/>
    <x v="0"/>
    <x v="5"/>
  </r>
  <r>
    <n v="2190"/>
    <x v="621"/>
    <n v="22"/>
    <n v="6"/>
    <x v="2"/>
    <x v="2"/>
    <x v="8"/>
    <x v="5"/>
    <x v="1"/>
    <n v="4"/>
    <n v="24817.79"/>
    <n v="99271.16"/>
    <s v="Kiran Patel"/>
    <n v="38"/>
    <x v="0"/>
    <x v="3"/>
    <n v="4"/>
    <x v="0"/>
    <x v="1"/>
  </r>
  <r>
    <n v="2191"/>
    <x v="621"/>
    <n v="22"/>
    <n v="6"/>
    <x v="2"/>
    <x v="2"/>
    <x v="8"/>
    <x v="5"/>
    <x v="1"/>
    <n v="3"/>
    <n v="57393.14"/>
    <n v="172179.41999999998"/>
    <s v="Sumit Chatterjee"/>
    <n v="34"/>
    <x v="2"/>
    <x v="0"/>
    <n v="4"/>
    <x v="0"/>
    <x v="9"/>
  </r>
  <r>
    <n v="2192"/>
    <x v="622"/>
    <n v="23"/>
    <n v="6"/>
    <x v="2"/>
    <x v="2"/>
    <x v="8"/>
    <x v="6"/>
    <x v="4"/>
    <n v="8"/>
    <n v="48072.1"/>
    <n v="384576.8"/>
    <s v="Pooja Arora"/>
    <n v="51"/>
    <x v="1"/>
    <x v="3"/>
    <n v="5"/>
    <x v="0"/>
    <x v="11"/>
  </r>
  <r>
    <n v="2193"/>
    <x v="622"/>
    <n v="23"/>
    <n v="6"/>
    <x v="2"/>
    <x v="2"/>
    <x v="8"/>
    <x v="6"/>
    <x v="2"/>
    <n v="4"/>
    <n v="41962.7"/>
    <n v="167850.8"/>
    <s v="Arun Ghosh"/>
    <n v="49"/>
    <x v="16"/>
    <x v="2"/>
    <n v="4"/>
    <x v="0"/>
    <x v="4"/>
  </r>
  <r>
    <n v="2194"/>
    <x v="622"/>
    <n v="23"/>
    <n v="6"/>
    <x v="2"/>
    <x v="2"/>
    <x v="8"/>
    <x v="6"/>
    <x v="3"/>
    <n v="1"/>
    <n v="33551.57"/>
    <n v="33551.57"/>
    <s v="Deepika Prasad"/>
    <n v="40"/>
    <x v="17"/>
    <x v="3"/>
    <n v="5"/>
    <x v="0"/>
    <x v="5"/>
  </r>
  <r>
    <n v="2195"/>
    <x v="623"/>
    <n v="24"/>
    <n v="6"/>
    <x v="2"/>
    <x v="2"/>
    <x v="8"/>
    <x v="0"/>
    <x v="4"/>
    <n v="6"/>
    <n v="27483.06"/>
    <n v="164898.36000000002"/>
    <s v="Devendra Thakur"/>
    <n v="52"/>
    <x v="2"/>
    <x v="2"/>
    <n v="4"/>
    <x v="0"/>
    <x v="14"/>
  </r>
  <r>
    <n v="2196"/>
    <x v="623"/>
    <n v="24"/>
    <n v="6"/>
    <x v="2"/>
    <x v="2"/>
    <x v="8"/>
    <x v="0"/>
    <x v="4"/>
    <n v="1"/>
    <n v="59364.19"/>
    <n v="59364.19"/>
    <s v="Pankaj Shah"/>
    <n v="54"/>
    <x v="17"/>
    <x v="3"/>
    <n v="1"/>
    <x v="2"/>
    <x v="14"/>
  </r>
  <r>
    <n v="2197"/>
    <x v="623"/>
    <n v="24"/>
    <n v="6"/>
    <x v="2"/>
    <x v="2"/>
    <x v="8"/>
    <x v="0"/>
    <x v="3"/>
    <n v="5"/>
    <n v="37084.46"/>
    <n v="185422.3"/>
    <s v="Mala Goyal"/>
    <n v="58"/>
    <x v="1"/>
    <x v="1"/>
    <n v="2"/>
    <x v="2"/>
    <x v="12"/>
  </r>
  <r>
    <n v="2198"/>
    <x v="623"/>
    <n v="24"/>
    <n v="6"/>
    <x v="2"/>
    <x v="2"/>
    <x v="8"/>
    <x v="0"/>
    <x v="3"/>
    <n v="7"/>
    <n v="40086.85"/>
    <n v="280607.95"/>
    <s v="Manoj Luthra"/>
    <n v="54"/>
    <x v="15"/>
    <x v="2"/>
    <n v="2"/>
    <x v="2"/>
    <x v="5"/>
  </r>
  <r>
    <n v="2199"/>
    <x v="624"/>
    <n v="25"/>
    <n v="6"/>
    <x v="2"/>
    <x v="2"/>
    <x v="8"/>
    <x v="1"/>
    <x v="1"/>
    <n v="6"/>
    <n v="41249.72"/>
    <n v="247498.32"/>
    <s v="Pooja Sharma"/>
    <n v="50"/>
    <x v="13"/>
    <x v="0"/>
    <n v="2"/>
    <x v="2"/>
    <x v="1"/>
  </r>
  <r>
    <n v="2200"/>
    <x v="624"/>
    <n v="25"/>
    <n v="6"/>
    <x v="2"/>
    <x v="2"/>
    <x v="8"/>
    <x v="1"/>
    <x v="2"/>
    <n v="2"/>
    <n v="36902.019999999997"/>
    <n v="73804.039999999994"/>
    <s v="Ravi Solanki"/>
    <n v="42"/>
    <x v="1"/>
    <x v="0"/>
    <n v="2"/>
    <x v="2"/>
    <x v="6"/>
  </r>
  <r>
    <n v="2201"/>
    <x v="624"/>
    <n v="25"/>
    <n v="6"/>
    <x v="2"/>
    <x v="2"/>
    <x v="8"/>
    <x v="1"/>
    <x v="2"/>
    <n v="4"/>
    <n v="25365.31"/>
    <n v="101461.24"/>
    <s v="Rajesh Mishra"/>
    <n v="54"/>
    <x v="14"/>
    <x v="3"/>
    <n v="4"/>
    <x v="0"/>
    <x v="6"/>
  </r>
  <r>
    <n v="2202"/>
    <x v="625"/>
    <n v="26"/>
    <n v="6"/>
    <x v="2"/>
    <x v="2"/>
    <x v="8"/>
    <x v="2"/>
    <x v="3"/>
    <n v="2"/>
    <n v="17220.43"/>
    <n v="34440.86"/>
    <s v="Amit Das"/>
    <n v="57"/>
    <x v="2"/>
    <x v="1"/>
    <n v="2"/>
    <x v="2"/>
    <x v="5"/>
  </r>
  <r>
    <n v="2203"/>
    <x v="625"/>
    <n v="26"/>
    <n v="6"/>
    <x v="2"/>
    <x v="2"/>
    <x v="8"/>
    <x v="2"/>
    <x v="0"/>
    <n v="1"/>
    <n v="15912.24"/>
    <n v="15912.24"/>
    <s v="Anand Siddiqui"/>
    <n v="38"/>
    <x v="2"/>
    <x v="3"/>
    <n v="4"/>
    <x v="0"/>
    <x v="10"/>
  </r>
  <r>
    <n v="2204"/>
    <x v="625"/>
    <n v="26"/>
    <n v="6"/>
    <x v="2"/>
    <x v="2"/>
    <x v="8"/>
    <x v="2"/>
    <x v="4"/>
    <n v="3"/>
    <n v="55447.75"/>
    <n v="166343.25"/>
    <s v="Bina Solanki"/>
    <n v="55"/>
    <x v="17"/>
    <x v="3"/>
    <n v="1"/>
    <x v="2"/>
    <x v="7"/>
  </r>
  <r>
    <n v="2205"/>
    <x v="625"/>
    <n v="26"/>
    <n v="6"/>
    <x v="2"/>
    <x v="2"/>
    <x v="8"/>
    <x v="2"/>
    <x v="4"/>
    <n v="3"/>
    <n v="23411.67"/>
    <n v="70235.009999999995"/>
    <s v="Kavita Nair"/>
    <n v="57"/>
    <x v="5"/>
    <x v="1"/>
    <n v="4"/>
    <x v="0"/>
    <x v="11"/>
  </r>
  <r>
    <n v="2206"/>
    <x v="626"/>
    <n v="27"/>
    <n v="6"/>
    <x v="2"/>
    <x v="2"/>
    <x v="8"/>
    <x v="3"/>
    <x v="3"/>
    <n v="7"/>
    <n v="13340.37"/>
    <n v="93382.590000000011"/>
    <s v="Isha Desai"/>
    <n v="51"/>
    <x v="11"/>
    <x v="2"/>
    <n v="4"/>
    <x v="0"/>
    <x v="8"/>
  </r>
  <r>
    <n v="2207"/>
    <x v="626"/>
    <n v="27"/>
    <n v="6"/>
    <x v="2"/>
    <x v="2"/>
    <x v="8"/>
    <x v="3"/>
    <x v="0"/>
    <n v="1"/>
    <n v="57851.040000000001"/>
    <n v="57851.040000000001"/>
    <s v="Anjali Alva"/>
    <n v="36"/>
    <x v="2"/>
    <x v="0"/>
    <n v="4"/>
    <x v="0"/>
    <x v="10"/>
  </r>
  <r>
    <n v="2208"/>
    <x v="626"/>
    <n v="27"/>
    <n v="6"/>
    <x v="2"/>
    <x v="2"/>
    <x v="8"/>
    <x v="3"/>
    <x v="1"/>
    <n v="9"/>
    <n v="19243.7"/>
    <n v="173193.30000000002"/>
    <s v="Vivek Patel"/>
    <n v="44"/>
    <x v="2"/>
    <x v="1"/>
    <n v="4"/>
    <x v="0"/>
    <x v="2"/>
  </r>
  <r>
    <n v="2209"/>
    <x v="627"/>
    <n v="28"/>
    <n v="6"/>
    <x v="2"/>
    <x v="2"/>
    <x v="8"/>
    <x v="4"/>
    <x v="3"/>
    <n v="6"/>
    <n v="47508.77"/>
    <n v="285052.62"/>
    <s v="Mala Siddiqui"/>
    <n v="26"/>
    <x v="2"/>
    <x v="3"/>
    <n v="4"/>
    <x v="0"/>
    <x v="12"/>
  </r>
  <r>
    <n v="2210"/>
    <x v="627"/>
    <n v="28"/>
    <n v="6"/>
    <x v="2"/>
    <x v="2"/>
    <x v="8"/>
    <x v="4"/>
    <x v="3"/>
    <n v="4"/>
    <n v="30318.6"/>
    <n v="121274.4"/>
    <s v="Priyanka Pillai"/>
    <n v="22"/>
    <x v="1"/>
    <x v="2"/>
    <n v="4"/>
    <x v="0"/>
    <x v="8"/>
  </r>
  <r>
    <n v="2211"/>
    <x v="627"/>
    <n v="28"/>
    <n v="6"/>
    <x v="2"/>
    <x v="2"/>
    <x v="8"/>
    <x v="4"/>
    <x v="4"/>
    <n v="3"/>
    <n v="17588.82"/>
    <n v="52766.46"/>
    <s v="Mala Chatterjee"/>
    <n v="22"/>
    <x v="1"/>
    <x v="3"/>
    <n v="1"/>
    <x v="2"/>
    <x v="14"/>
  </r>
  <r>
    <n v="2212"/>
    <x v="627"/>
    <n v="28"/>
    <n v="6"/>
    <x v="2"/>
    <x v="2"/>
    <x v="8"/>
    <x v="4"/>
    <x v="3"/>
    <n v="3"/>
    <n v="34868.86"/>
    <n v="104606.58"/>
    <s v="Bhavana Mishra"/>
    <n v="42"/>
    <x v="0"/>
    <x v="2"/>
    <n v="5"/>
    <x v="0"/>
    <x v="8"/>
  </r>
  <r>
    <n v="2213"/>
    <x v="628"/>
    <n v="29"/>
    <n v="6"/>
    <x v="2"/>
    <x v="2"/>
    <x v="8"/>
    <x v="5"/>
    <x v="3"/>
    <n v="2"/>
    <n v="10888.53"/>
    <n v="21777.06"/>
    <s v="Sunil Kumar"/>
    <n v="43"/>
    <x v="15"/>
    <x v="0"/>
    <n v="4"/>
    <x v="0"/>
    <x v="8"/>
  </r>
  <r>
    <n v="2214"/>
    <x v="628"/>
    <n v="29"/>
    <n v="6"/>
    <x v="2"/>
    <x v="2"/>
    <x v="8"/>
    <x v="5"/>
    <x v="3"/>
    <n v="2"/>
    <n v="60462.7"/>
    <n v="120925.4"/>
    <s v="Anjali Rao"/>
    <n v="36"/>
    <x v="17"/>
    <x v="0"/>
    <n v="4"/>
    <x v="0"/>
    <x v="5"/>
  </r>
  <r>
    <n v="2215"/>
    <x v="628"/>
    <n v="29"/>
    <n v="6"/>
    <x v="2"/>
    <x v="2"/>
    <x v="8"/>
    <x v="5"/>
    <x v="4"/>
    <n v="5"/>
    <n v="40809.879999999997"/>
    <n v="204049.4"/>
    <s v="Sumit Teja"/>
    <n v="47"/>
    <x v="1"/>
    <x v="2"/>
    <n v="4"/>
    <x v="0"/>
    <x v="7"/>
  </r>
  <r>
    <n v="2216"/>
    <x v="629"/>
    <n v="30"/>
    <n v="6"/>
    <x v="2"/>
    <x v="2"/>
    <x v="8"/>
    <x v="6"/>
    <x v="1"/>
    <n v="9"/>
    <n v="18349.599999999999"/>
    <n v="165146.4"/>
    <s v="Shruti Mehta"/>
    <n v="53"/>
    <x v="0"/>
    <x v="0"/>
    <n v="2"/>
    <x v="2"/>
    <x v="1"/>
  </r>
  <r>
    <n v="2217"/>
    <x v="629"/>
    <n v="30"/>
    <n v="6"/>
    <x v="2"/>
    <x v="2"/>
    <x v="8"/>
    <x v="6"/>
    <x v="1"/>
    <n v="2"/>
    <n v="24218.82"/>
    <n v="48437.64"/>
    <s v="Sachin Iyer"/>
    <n v="33"/>
    <x v="7"/>
    <x v="3"/>
    <n v="2"/>
    <x v="2"/>
    <x v="1"/>
  </r>
  <r>
    <n v="2218"/>
    <x v="629"/>
    <n v="30"/>
    <n v="6"/>
    <x v="2"/>
    <x v="2"/>
    <x v="8"/>
    <x v="6"/>
    <x v="3"/>
    <n v="2"/>
    <n v="36878.51"/>
    <n v="73757.02"/>
    <s v="Pooja Thakur"/>
    <n v="24"/>
    <x v="1"/>
    <x v="2"/>
    <n v="1"/>
    <x v="2"/>
    <x v="5"/>
  </r>
  <r>
    <n v="2219"/>
    <x v="630"/>
    <n v="1"/>
    <n v="7"/>
    <x v="2"/>
    <x v="3"/>
    <x v="9"/>
    <x v="0"/>
    <x v="4"/>
    <n v="6"/>
    <n v="21332.16"/>
    <n v="127992.95999999999"/>
    <s v="Ravi Gupta"/>
    <n v="35"/>
    <x v="0"/>
    <x v="3"/>
    <n v="2"/>
    <x v="2"/>
    <x v="14"/>
  </r>
  <r>
    <n v="2220"/>
    <x v="630"/>
    <n v="1"/>
    <n v="7"/>
    <x v="2"/>
    <x v="3"/>
    <x v="9"/>
    <x v="0"/>
    <x v="1"/>
    <n v="2"/>
    <n v="26115.95"/>
    <n v="52231.9"/>
    <s v="Sumit Malhotra"/>
    <n v="38"/>
    <x v="7"/>
    <x v="2"/>
    <n v="5"/>
    <x v="0"/>
    <x v="2"/>
  </r>
  <r>
    <n v="2221"/>
    <x v="630"/>
    <n v="1"/>
    <n v="7"/>
    <x v="2"/>
    <x v="3"/>
    <x v="9"/>
    <x v="0"/>
    <x v="1"/>
    <n v="4"/>
    <n v="42063.13"/>
    <n v="168252.52"/>
    <s v="Priyanka Dutta"/>
    <n v="48"/>
    <x v="1"/>
    <x v="3"/>
    <n v="4"/>
    <x v="0"/>
    <x v="2"/>
  </r>
  <r>
    <n v="2222"/>
    <x v="631"/>
    <n v="2"/>
    <n v="7"/>
    <x v="2"/>
    <x v="3"/>
    <x v="9"/>
    <x v="1"/>
    <x v="1"/>
    <n v="6"/>
    <n v="59956.54"/>
    <n v="359739.24"/>
    <s v="Amit Sheth"/>
    <n v="18"/>
    <x v="1"/>
    <x v="0"/>
    <n v="1"/>
    <x v="2"/>
    <x v="2"/>
  </r>
  <r>
    <n v="2223"/>
    <x v="631"/>
    <n v="2"/>
    <n v="7"/>
    <x v="2"/>
    <x v="3"/>
    <x v="9"/>
    <x v="1"/>
    <x v="4"/>
    <n v="5"/>
    <n v="34110.379999999997"/>
    <n v="170551.9"/>
    <s v="Anita Mathur"/>
    <n v="20"/>
    <x v="5"/>
    <x v="1"/>
    <n v="2"/>
    <x v="2"/>
    <x v="11"/>
  </r>
  <r>
    <n v="2224"/>
    <x v="631"/>
    <n v="2"/>
    <n v="7"/>
    <x v="2"/>
    <x v="3"/>
    <x v="9"/>
    <x v="1"/>
    <x v="4"/>
    <n v="1"/>
    <n v="53018.52"/>
    <n v="53018.52"/>
    <s v="Isha Menon"/>
    <n v="48"/>
    <x v="13"/>
    <x v="3"/>
    <n v="2"/>
    <x v="2"/>
    <x v="7"/>
  </r>
  <r>
    <n v="2225"/>
    <x v="631"/>
    <n v="2"/>
    <n v="7"/>
    <x v="2"/>
    <x v="3"/>
    <x v="9"/>
    <x v="1"/>
    <x v="3"/>
    <n v="6"/>
    <n v="62601.05"/>
    <n v="375606.30000000005"/>
    <s v="Neeta Mathur"/>
    <n v="42"/>
    <x v="18"/>
    <x v="2"/>
    <n v="4"/>
    <x v="0"/>
    <x v="8"/>
  </r>
  <r>
    <n v="2226"/>
    <x v="632"/>
    <n v="3"/>
    <n v="7"/>
    <x v="2"/>
    <x v="3"/>
    <x v="9"/>
    <x v="2"/>
    <x v="2"/>
    <n v="1"/>
    <n v="22978.06"/>
    <n v="22978.06"/>
    <s v="Lata Verma"/>
    <n v="25"/>
    <x v="7"/>
    <x v="0"/>
    <n v="1"/>
    <x v="2"/>
    <x v="6"/>
  </r>
  <r>
    <n v="2227"/>
    <x v="632"/>
    <n v="3"/>
    <n v="7"/>
    <x v="2"/>
    <x v="3"/>
    <x v="9"/>
    <x v="2"/>
    <x v="1"/>
    <n v="3"/>
    <n v="58431.519999999997"/>
    <n v="175294.56"/>
    <s v="Rajesh Yadav"/>
    <n v="18"/>
    <x v="12"/>
    <x v="2"/>
    <n v="4"/>
    <x v="0"/>
    <x v="9"/>
  </r>
  <r>
    <n v="2228"/>
    <x v="632"/>
    <n v="3"/>
    <n v="7"/>
    <x v="2"/>
    <x v="3"/>
    <x v="9"/>
    <x v="2"/>
    <x v="2"/>
    <n v="5"/>
    <n v="55444.13"/>
    <n v="277220.64999999997"/>
    <s v="Kiran Gupta"/>
    <n v="24"/>
    <x v="10"/>
    <x v="3"/>
    <n v="1"/>
    <x v="2"/>
    <x v="13"/>
  </r>
  <r>
    <n v="2229"/>
    <x v="633"/>
    <n v="4"/>
    <n v="7"/>
    <x v="2"/>
    <x v="3"/>
    <x v="9"/>
    <x v="3"/>
    <x v="4"/>
    <n v="5"/>
    <n v="31416.240000000002"/>
    <n v="157081.20000000001"/>
    <s v="Vijay Siddiqui"/>
    <n v="24"/>
    <x v="4"/>
    <x v="2"/>
    <n v="2"/>
    <x v="2"/>
    <x v="11"/>
  </r>
  <r>
    <n v="2230"/>
    <x v="633"/>
    <n v="4"/>
    <n v="7"/>
    <x v="2"/>
    <x v="3"/>
    <x v="9"/>
    <x v="3"/>
    <x v="4"/>
    <n v="6"/>
    <n v="69371.199999999997"/>
    <n v="416227.19999999995"/>
    <s v="Reena Dutta"/>
    <n v="25"/>
    <x v="1"/>
    <x v="2"/>
    <n v="4"/>
    <x v="0"/>
    <x v="11"/>
  </r>
  <r>
    <n v="2231"/>
    <x v="633"/>
    <n v="4"/>
    <n v="7"/>
    <x v="2"/>
    <x v="3"/>
    <x v="9"/>
    <x v="3"/>
    <x v="4"/>
    <n v="8"/>
    <n v="25754.34"/>
    <n v="206034.72"/>
    <s v="Pooja Ahuja"/>
    <n v="36"/>
    <x v="15"/>
    <x v="3"/>
    <n v="4"/>
    <x v="0"/>
    <x v="14"/>
  </r>
  <r>
    <n v="2232"/>
    <x v="634"/>
    <n v="5"/>
    <n v="7"/>
    <x v="2"/>
    <x v="3"/>
    <x v="9"/>
    <x v="4"/>
    <x v="2"/>
    <n v="5"/>
    <n v="25288.2"/>
    <n v="126441"/>
    <s v="Neeta Desai"/>
    <n v="34"/>
    <x v="15"/>
    <x v="0"/>
    <n v="5"/>
    <x v="0"/>
    <x v="6"/>
  </r>
  <r>
    <n v="2233"/>
    <x v="634"/>
    <n v="5"/>
    <n v="7"/>
    <x v="2"/>
    <x v="3"/>
    <x v="9"/>
    <x v="4"/>
    <x v="4"/>
    <n v="1"/>
    <n v="56335.55"/>
    <n v="56335.55"/>
    <s v="Rohan Pathak"/>
    <n v="28"/>
    <x v="2"/>
    <x v="0"/>
    <n v="4"/>
    <x v="0"/>
    <x v="14"/>
  </r>
  <r>
    <n v="2234"/>
    <x v="634"/>
    <n v="5"/>
    <n v="7"/>
    <x v="2"/>
    <x v="3"/>
    <x v="9"/>
    <x v="4"/>
    <x v="3"/>
    <n v="5"/>
    <n v="36079.440000000002"/>
    <n v="180397.2"/>
    <s v="Deepika Das"/>
    <n v="58"/>
    <x v="4"/>
    <x v="3"/>
    <n v="1"/>
    <x v="2"/>
    <x v="5"/>
  </r>
  <r>
    <n v="2235"/>
    <x v="634"/>
    <n v="5"/>
    <n v="7"/>
    <x v="2"/>
    <x v="3"/>
    <x v="9"/>
    <x v="4"/>
    <x v="4"/>
    <n v="3"/>
    <n v="29847.7"/>
    <n v="89543.1"/>
    <s v="Sanjay Das"/>
    <n v="28"/>
    <x v="1"/>
    <x v="0"/>
    <n v="5"/>
    <x v="0"/>
    <x v="14"/>
  </r>
  <r>
    <n v="2236"/>
    <x v="635"/>
    <n v="6"/>
    <n v="7"/>
    <x v="2"/>
    <x v="3"/>
    <x v="9"/>
    <x v="5"/>
    <x v="0"/>
    <n v="4"/>
    <n v="20719.77"/>
    <n v="82879.08"/>
    <s v="Manoj Siddiqui"/>
    <n v="55"/>
    <x v="7"/>
    <x v="1"/>
    <n v="4"/>
    <x v="0"/>
    <x v="10"/>
  </r>
  <r>
    <n v="2237"/>
    <x v="635"/>
    <n v="6"/>
    <n v="7"/>
    <x v="2"/>
    <x v="3"/>
    <x v="9"/>
    <x v="5"/>
    <x v="2"/>
    <n v="8"/>
    <n v="55919.95"/>
    <n v="447359.6"/>
    <s v="Pooja Patel"/>
    <n v="58"/>
    <x v="11"/>
    <x v="2"/>
    <n v="4"/>
    <x v="0"/>
    <x v="13"/>
  </r>
  <r>
    <n v="2238"/>
    <x v="635"/>
    <n v="6"/>
    <n v="7"/>
    <x v="2"/>
    <x v="3"/>
    <x v="9"/>
    <x v="5"/>
    <x v="0"/>
    <n v="7"/>
    <n v="57179.31"/>
    <n v="400255.17"/>
    <s v="Namita Malhotra"/>
    <n v="19"/>
    <x v="1"/>
    <x v="3"/>
    <n v="5"/>
    <x v="0"/>
    <x v="10"/>
  </r>
  <r>
    <n v="2239"/>
    <x v="635"/>
    <n v="6"/>
    <n v="7"/>
    <x v="2"/>
    <x v="3"/>
    <x v="9"/>
    <x v="5"/>
    <x v="4"/>
    <n v="5"/>
    <n v="43993.84"/>
    <n v="219969.19999999998"/>
    <s v="Pankaj Patel"/>
    <n v="21"/>
    <x v="18"/>
    <x v="1"/>
    <n v="2"/>
    <x v="2"/>
    <x v="7"/>
  </r>
  <r>
    <n v="2240"/>
    <x v="636"/>
    <n v="7"/>
    <n v="7"/>
    <x v="2"/>
    <x v="3"/>
    <x v="9"/>
    <x v="6"/>
    <x v="3"/>
    <n v="2"/>
    <n v="67438.820000000007"/>
    <n v="134877.64000000001"/>
    <s v="Prashant Roy"/>
    <n v="45"/>
    <x v="2"/>
    <x v="2"/>
    <n v="4"/>
    <x v="0"/>
    <x v="5"/>
  </r>
  <r>
    <n v="2241"/>
    <x v="636"/>
    <n v="7"/>
    <n v="7"/>
    <x v="2"/>
    <x v="3"/>
    <x v="9"/>
    <x v="6"/>
    <x v="1"/>
    <n v="6"/>
    <n v="29089.8"/>
    <n v="174538.8"/>
    <s v="Radha Alva"/>
    <n v="50"/>
    <x v="6"/>
    <x v="3"/>
    <n v="4"/>
    <x v="0"/>
    <x v="2"/>
  </r>
  <r>
    <n v="2242"/>
    <x v="636"/>
    <n v="7"/>
    <n v="7"/>
    <x v="2"/>
    <x v="3"/>
    <x v="9"/>
    <x v="6"/>
    <x v="4"/>
    <n v="6"/>
    <n v="23177.14"/>
    <n v="139062.84"/>
    <s v="Sunil Reddy"/>
    <n v="28"/>
    <x v="8"/>
    <x v="0"/>
    <n v="2"/>
    <x v="2"/>
    <x v="14"/>
  </r>
  <r>
    <n v="2243"/>
    <x v="637"/>
    <n v="8"/>
    <n v="7"/>
    <x v="2"/>
    <x v="3"/>
    <x v="9"/>
    <x v="0"/>
    <x v="3"/>
    <n v="6"/>
    <n v="50648.01"/>
    <n v="303888.06"/>
    <s v="Umesh Kulkarni"/>
    <n v="20"/>
    <x v="9"/>
    <x v="3"/>
    <n v="4"/>
    <x v="0"/>
    <x v="8"/>
  </r>
  <r>
    <n v="2244"/>
    <x v="637"/>
    <n v="8"/>
    <n v="7"/>
    <x v="2"/>
    <x v="3"/>
    <x v="9"/>
    <x v="0"/>
    <x v="2"/>
    <n v="9"/>
    <n v="55504.52"/>
    <n v="499540.68"/>
    <s v="Sunita Mehta"/>
    <n v="57"/>
    <x v="9"/>
    <x v="3"/>
    <n v="2"/>
    <x v="2"/>
    <x v="6"/>
  </r>
  <r>
    <n v="2245"/>
    <x v="637"/>
    <n v="8"/>
    <n v="7"/>
    <x v="2"/>
    <x v="3"/>
    <x v="9"/>
    <x v="0"/>
    <x v="0"/>
    <n v="8"/>
    <n v="23494.36"/>
    <n v="187954.88"/>
    <s v="Pooja Thakur"/>
    <n v="22"/>
    <x v="2"/>
    <x v="2"/>
    <n v="2"/>
    <x v="2"/>
    <x v="0"/>
  </r>
  <r>
    <n v="2246"/>
    <x v="638"/>
    <n v="9"/>
    <n v="7"/>
    <x v="2"/>
    <x v="3"/>
    <x v="9"/>
    <x v="1"/>
    <x v="0"/>
    <n v="8"/>
    <n v="14596.65"/>
    <n v="116773.2"/>
    <s v="Amit Joshi"/>
    <n v="38"/>
    <x v="2"/>
    <x v="2"/>
    <n v="2"/>
    <x v="2"/>
    <x v="3"/>
  </r>
  <r>
    <n v="2247"/>
    <x v="638"/>
    <n v="9"/>
    <n v="7"/>
    <x v="2"/>
    <x v="3"/>
    <x v="9"/>
    <x v="1"/>
    <x v="0"/>
    <n v="1"/>
    <n v="58630.99"/>
    <n v="58630.99"/>
    <s v="Sneha Ghosh"/>
    <n v="39"/>
    <x v="13"/>
    <x v="2"/>
    <n v="5"/>
    <x v="0"/>
    <x v="10"/>
  </r>
  <r>
    <n v="2248"/>
    <x v="638"/>
    <n v="9"/>
    <n v="7"/>
    <x v="2"/>
    <x v="3"/>
    <x v="9"/>
    <x v="1"/>
    <x v="2"/>
    <n v="5"/>
    <n v="68590.12"/>
    <n v="342950.6"/>
    <s v="Ravi Siddiqui"/>
    <n v="54"/>
    <x v="11"/>
    <x v="1"/>
    <n v="4"/>
    <x v="0"/>
    <x v="4"/>
  </r>
  <r>
    <n v="2249"/>
    <x v="638"/>
    <n v="9"/>
    <n v="7"/>
    <x v="2"/>
    <x v="3"/>
    <x v="9"/>
    <x v="1"/>
    <x v="3"/>
    <n v="7"/>
    <n v="48680.34"/>
    <n v="340762.38"/>
    <s v="Amit Ghosh"/>
    <n v="28"/>
    <x v="7"/>
    <x v="0"/>
    <n v="2"/>
    <x v="2"/>
    <x v="8"/>
  </r>
  <r>
    <n v="2250"/>
    <x v="639"/>
    <n v="10"/>
    <n v="7"/>
    <x v="2"/>
    <x v="3"/>
    <x v="9"/>
    <x v="2"/>
    <x v="2"/>
    <n v="6"/>
    <n v="26672.01"/>
    <n v="160032.06"/>
    <s v="Bhavana Srivastava"/>
    <n v="39"/>
    <x v="16"/>
    <x v="3"/>
    <n v="4"/>
    <x v="0"/>
    <x v="6"/>
  </r>
  <r>
    <n v="2251"/>
    <x v="639"/>
    <n v="10"/>
    <n v="7"/>
    <x v="2"/>
    <x v="3"/>
    <x v="9"/>
    <x v="2"/>
    <x v="0"/>
    <n v="5"/>
    <n v="69800.36"/>
    <n v="349001.8"/>
    <s v="Harish Solanki"/>
    <n v="58"/>
    <x v="8"/>
    <x v="3"/>
    <n v="2"/>
    <x v="2"/>
    <x v="0"/>
  </r>
  <r>
    <n v="2252"/>
    <x v="639"/>
    <n v="10"/>
    <n v="7"/>
    <x v="2"/>
    <x v="3"/>
    <x v="9"/>
    <x v="2"/>
    <x v="4"/>
    <n v="8"/>
    <n v="63596"/>
    <n v="508768"/>
    <s v="Umesh Ghosh"/>
    <n v="30"/>
    <x v="11"/>
    <x v="0"/>
    <n v="2"/>
    <x v="2"/>
    <x v="14"/>
  </r>
  <r>
    <n v="2253"/>
    <x v="639"/>
    <n v="10"/>
    <n v="7"/>
    <x v="2"/>
    <x v="3"/>
    <x v="9"/>
    <x v="2"/>
    <x v="1"/>
    <n v="3"/>
    <n v="40802.839999999997"/>
    <n v="122408.51999999999"/>
    <s v="Mala Chatterjee"/>
    <n v="20"/>
    <x v="15"/>
    <x v="3"/>
    <n v="2"/>
    <x v="2"/>
    <x v="9"/>
  </r>
  <r>
    <n v="2254"/>
    <x v="640"/>
    <n v="11"/>
    <n v="7"/>
    <x v="2"/>
    <x v="3"/>
    <x v="9"/>
    <x v="3"/>
    <x v="2"/>
    <n v="6"/>
    <n v="59519.28"/>
    <n v="357115.68"/>
    <s v="Anjali Varma"/>
    <n v="30"/>
    <x v="1"/>
    <x v="2"/>
    <n v="5"/>
    <x v="0"/>
    <x v="13"/>
  </r>
  <r>
    <n v="2255"/>
    <x v="640"/>
    <n v="11"/>
    <n v="7"/>
    <x v="2"/>
    <x v="3"/>
    <x v="9"/>
    <x v="3"/>
    <x v="2"/>
    <n v="5"/>
    <n v="58949.23"/>
    <n v="294746.15000000002"/>
    <s v="Navin Verma"/>
    <n v="45"/>
    <x v="1"/>
    <x v="3"/>
    <n v="2"/>
    <x v="2"/>
    <x v="6"/>
  </r>
  <r>
    <n v="2256"/>
    <x v="640"/>
    <n v="11"/>
    <n v="7"/>
    <x v="2"/>
    <x v="3"/>
    <x v="9"/>
    <x v="3"/>
    <x v="3"/>
    <n v="8"/>
    <n v="66087.94"/>
    <n v="528703.52"/>
    <s v="Amit Srivastava"/>
    <n v="28"/>
    <x v="2"/>
    <x v="0"/>
    <n v="2"/>
    <x v="2"/>
    <x v="8"/>
  </r>
  <r>
    <n v="2257"/>
    <x v="640"/>
    <n v="11"/>
    <n v="7"/>
    <x v="2"/>
    <x v="3"/>
    <x v="9"/>
    <x v="3"/>
    <x v="3"/>
    <n v="4"/>
    <n v="60455.43"/>
    <n v="241821.72"/>
    <s v="Neeta Sharma"/>
    <n v="28"/>
    <x v="7"/>
    <x v="1"/>
    <n v="2"/>
    <x v="2"/>
    <x v="12"/>
  </r>
  <r>
    <n v="2258"/>
    <x v="641"/>
    <n v="12"/>
    <n v="7"/>
    <x v="2"/>
    <x v="3"/>
    <x v="9"/>
    <x v="4"/>
    <x v="2"/>
    <n v="8"/>
    <n v="48620.75"/>
    <n v="388966"/>
    <s v="Pankaj Sheth"/>
    <n v="38"/>
    <x v="18"/>
    <x v="1"/>
    <n v="2"/>
    <x v="2"/>
    <x v="4"/>
  </r>
  <r>
    <n v="2259"/>
    <x v="641"/>
    <n v="12"/>
    <n v="7"/>
    <x v="2"/>
    <x v="3"/>
    <x v="9"/>
    <x v="4"/>
    <x v="0"/>
    <n v="2"/>
    <n v="46558.22"/>
    <n v="93116.44"/>
    <s v="Kiran Deshmukh"/>
    <n v="38"/>
    <x v="2"/>
    <x v="0"/>
    <n v="2"/>
    <x v="2"/>
    <x v="0"/>
  </r>
  <r>
    <n v="2260"/>
    <x v="641"/>
    <n v="12"/>
    <n v="7"/>
    <x v="2"/>
    <x v="3"/>
    <x v="9"/>
    <x v="4"/>
    <x v="1"/>
    <n v="9"/>
    <n v="38041.440000000002"/>
    <n v="342372.96"/>
    <s v="Kavita Gupta"/>
    <n v="24"/>
    <x v="2"/>
    <x v="3"/>
    <n v="2"/>
    <x v="2"/>
    <x v="2"/>
  </r>
  <r>
    <n v="2261"/>
    <x v="641"/>
    <n v="12"/>
    <n v="7"/>
    <x v="2"/>
    <x v="3"/>
    <x v="9"/>
    <x v="4"/>
    <x v="3"/>
    <n v="9"/>
    <n v="47589.14"/>
    <n v="428302.26"/>
    <s v="Jyoti Mehta"/>
    <n v="34"/>
    <x v="13"/>
    <x v="3"/>
    <n v="4"/>
    <x v="0"/>
    <x v="5"/>
  </r>
  <r>
    <n v="2262"/>
    <x v="642"/>
    <n v="13"/>
    <n v="7"/>
    <x v="2"/>
    <x v="3"/>
    <x v="9"/>
    <x v="5"/>
    <x v="0"/>
    <n v="6"/>
    <n v="57713"/>
    <n v="346278"/>
    <s v="Sumit Roy"/>
    <n v="31"/>
    <x v="14"/>
    <x v="1"/>
    <n v="2"/>
    <x v="2"/>
    <x v="0"/>
  </r>
  <r>
    <n v="2263"/>
    <x v="642"/>
    <n v="13"/>
    <n v="7"/>
    <x v="2"/>
    <x v="3"/>
    <x v="9"/>
    <x v="5"/>
    <x v="4"/>
    <n v="4"/>
    <n v="68142.259999999995"/>
    <n v="272569.03999999998"/>
    <s v="Kiran Singh"/>
    <n v="50"/>
    <x v="2"/>
    <x v="3"/>
    <n v="2"/>
    <x v="2"/>
    <x v="14"/>
  </r>
  <r>
    <n v="2264"/>
    <x v="642"/>
    <n v="13"/>
    <n v="7"/>
    <x v="2"/>
    <x v="3"/>
    <x v="9"/>
    <x v="5"/>
    <x v="3"/>
    <n v="4"/>
    <n v="38037.24"/>
    <n v="152148.96"/>
    <s v="Bhavana Sheth"/>
    <n v="28"/>
    <x v="6"/>
    <x v="1"/>
    <n v="5"/>
    <x v="0"/>
    <x v="12"/>
  </r>
  <r>
    <n v="2265"/>
    <x v="642"/>
    <n v="13"/>
    <n v="7"/>
    <x v="2"/>
    <x v="3"/>
    <x v="9"/>
    <x v="5"/>
    <x v="0"/>
    <n v="6"/>
    <n v="44419.19"/>
    <n v="266515.14"/>
    <s v="Meena Dutta"/>
    <n v="30"/>
    <x v="8"/>
    <x v="0"/>
    <n v="2"/>
    <x v="2"/>
    <x v="0"/>
  </r>
  <r>
    <n v="2266"/>
    <x v="643"/>
    <n v="14"/>
    <n v="7"/>
    <x v="2"/>
    <x v="3"/>
    <x v="9"/>
    <x v="6"/>
    <x v="0"/>
    <n v="5"/>
    <n v="36688.33"/>
    <n v="183441.65000000002"/>
    <s v="Aditya Nair"/>
    <n v="18"/>
    <x v="16"/>
    <x v="0"/>
    <n v="5"/>
    <x v="0"/>
    <x v="0"/>
  </r>
  <r>
    <n v="2267"/>
    <x v="643"/>
    <n v="14"/>
    <n v="7"/>
    <x v="2"/>
    <x v="3"/>
    <x v="9"/>
    <x v="6"/>
    <x v="1"/>
    <n v="6"/>
    <n v="50109.32"/>
    <n v="300655.92"/>
    <s v="Nikhil Ahuja"/>
    <n v="51"/>
    <x v="1"/>
    <x v="3"/>
    <n v="3"/>
    <x v="1"/>
    <x v="9"/>
  </r>
  <r>
    <n v="2268"/>
    <x v="643"/>
    <n v="14"/>
    <n v="7"/>
    <x v="2"/>
    <x v="3"/>
    <x v="9"/>
    <x v="6"/>
    <x v="1"/>
    <n v="7"/>
    <n v="47795.23"/>
    <n v="334566.61000000004"/>
    <s v="Monika Kumar"/>
    <n v="26"/>
    <x v="2"/>
    <x v="2"/>
    <n v="5"/>
    <x v="0"/>
    <x v="2"/>
  </r>
  <r>
    <n v="2269"/>
    <x v="644"/>
    <n v="15"/>
    <n v="7"/>
    <x v="2"/>
    <x v="3"/>
    <x v="9"/>
    <x v="0"/>
    <x v="4"/>
    <n v="7"/>
    <n v="11070.03"/>
    <n v="77490.210000000006"/>
    <s v="Isha Kaur"/>
    <n v="30"/>
    <x v="5"/>
    <x v="2"/>
    <n v="3"/>
    <x v="1"/>
    <x v="11"/>
  </r>
  <r>
    <n v="2270"/>
    <x v="644"/>
    <n v="15"/>
    <n v="7"/>
    <x v="2"/>
    <x v="3"/>
    <x v="9"/>
    <x v="0"/>
    <x v="0"/>
    <n v="9"/>
    <n v="42469.69"/>
    <n v="382227.21"/>
    <s v="Priyanka Mishra"/>
    <n v="54"/>
    <x v="1"/>
    <x v="1"/>
    <n v="3"/>
    <x v="1"/>
    <x v="0"/>
  </r>
  <r>
    <n v="2271"/>
    <x v="644"/>
    <n v="15"/>
    <n v="7"/>
    <x v="2"/>
    <x v="3"/>
    <x v="9"/>
    <x v="0"/>
    <x v="0"/>
    <n v="8"/>
    <n v="15309.21"/>
    <n v="122473.68"/>
    <s v="Sunil Jain"/>
    <n v="47"/>
    <x v="1"/>
    <x v="0"/>
    <n v="5"/>
    <x v="0"/>
    <x v="10"/>
  </r>
  <r>
    <n v="2272"/>
    <x v="644"/>
    <n v="15"/>
    <n v="7"/>
    <x v="2"/>
    <x v="3"/>
    <x v="9"/>
    <x v="0"/>
    <x v="1"/>
    <n v="6"/>
    <n v="11583.02"/>
    <n v="69498.12"/>
    <s v="Arun Iyer"/>
    <n v="58"/>
    <x v="1"/>
    <x v="1"/>
    <n v="4"/>
    <x v="0"/>
    <x v="2"/>
  </r>
  <r>
    <n v="2273"/>
    <x v="645"/>
    <n v="16"/>
    <n v="7"/>
    <x v="2"/>
    <x v="3"/>
    <x v="9"/>
    <x v="1"/>
    <x v="3"/>
    <n v="6"/>
    <n v="57471.83"/>
    <n v="344830.98"/>
    <s v="Manoj Kapoor"/>
    <n v="54"/>
    <x v="0"/>
    <x v="0"/>
    <n v="5"/>
    <x v="0"/>
    <x v="8"/>
  </r>
  <r>
    <n v="2274"/>
    <x v="645"/>
    <n v="16"/>
    <n v="7"/>
    <x v="2"/>
    <x v="3"/>
    <x v="9"/>
    <x v="1"/>
    <x v="3"/>
    <n v="5"/>
    <n v="25518.99"/>
    <n v="127594.95000000001"/>
    <s v="Anita Shah"/>
    <n v="24"/>
    <x v="2"/>
    <x v="1"/>
    <n v="2"/>
    <x v="2"/>
    <x v="8"/>
  </r>
  <r>
    <n v="2275"/>
    <x v="645"/>
    <n v="16"/>
    <n v="7"/>
    <x v="2"/>
    <x v="3"/>
    <x v="9"/>
    <x v="1"/>
    <x v="2"/>
    <n v="1"/>
    <n v="30439.3"/>
    <n v="30439.3"/>
    <s v="Arun Siddiqui"/>
    <n v="31"/>
    <x v="14"/>
    <x v="1"/>
    <n v="5"/>
    <x v="0"/>
    <x v="13"/>
  </r>
  <r>
    <n v="2276"/>
    <x v="646"/>
    <n v="17"/>
    <n v="7"/>
    <x v="2"/>
    <x v="3"/>
    <x v="9"/>
    <x v="2"/>
    <x v="1"/>
    <n v="9"/>
    <n v="13845.08"/>
    <n v="124605.72"/>
    <s v="Arun Yadav"/>
    <n v="23"/>
    <x v="14"/>
    <x v="1"/>
    <n v="4"/>
    <x v="0"/>
    <x v="1"/>
  </r>
  <r>
    <n v="2277"/>
    <x v="646"/>
    <n v="17"/>
    <n v="7"/>
    <x v="2"/>
    <x v="3"/>
    <x v="9"/>
    <x v="2"/>
    <x v="2"/>
    <n v="9"/>
    <n v="20770.02"/>
    <n v="186930.18"/>
    <s v="Prashant Arora"/>
    <n v="51"/>
    <x v="18"/>
    <x v="3"/>
    <n v="5"/>
    <x v="0"/>
    <x v="6"/>
  </r>
  <r>
    <n v="2278"/>
    <x v="646"/>
    <n v="17"/>
    <n v="7"/>
    <x v="2"/>
    <x v="3"/>
    <x v="9"/>
    <x v="2"/>
    <x v="1"/>
    <n v="9"/>
    <n v="55936.29"/>
    <n v="503426.61"/>
    <s v="Sanjay Das"/>
    <n v="33"/>
    <x v="1"/>
    <x v="2"/>
    <n v="4"/>
    <x v="0"/>
    <x v="1"/>
  </r>
  <r>
    <n v="2279"/>
    <x v="647"/>
    <n v="18"/>
    <n v="7"/>
    <x v="2"/>
    <x v="3"/>
    <x v="9"/>
    <x v="3"/>
    <x v="4"/>
    <n v="8"/>
    <n v="39611.85"/>
    <n v="316894.8"/>
    <s v="Pankaj Nambiar"/>
    <n v="54"/>
    <x v="2"/>
    <x v="0"/>
    <n v="2"/>
    <x v="2"/>
    <x v="7"/>
  </r>
  <r>
    <n v="2280"/>
    <x v="647"/>
    <n v="18"/>
    <n v="7"/>
    <x v="2"/>
    <x v="3"/>
    <x v="9"/>
    <x v="3"/>
    <x v="0"/>
    <n v="3"/>
    <n v="62840.11"/>
    <n v="188520.33000000002"/>
    <s v="Jyoti Ahuja"/>
    <n v="53"/>
    <x v="1"/>
    <x v="1"/>
    <n v="2"/>
    <x v="2"/>
    <x v="3"/>
  </r>
  <r>
    <n v="2281"/>
    <x v="647"/>
    <n v="18"/>
    <n v="7"/>
    <x v="2"/>
    <x v="3"/>
    <x v="9"/>
    <x v="3"/>
    <x v="4"/>
    <n v="1"/>
    <n v="33834.53"/>
    <n v="33834.53"/>
    <s v="Monika Bhatnagar"/>
    <n v="23"/>
    <x v="2"/>
    <x v="2"/>
    <n v="4"/>
    <x v="0"/>
    <x v="7"/>
  </r>
  <r>
    <n v="2282"/>
    <x v="648"/>
    <n v="19"/>
    <n v="7"/>
    <x v="2"/>
    <x v="3"/>
    <x v="9"/>
    <x v="4"/>
    <x v="1"/>
    <n v="8"/>
    <n v="26122.04"/>
    <n v="208976.32"/>
    <s v="Tanuja Rao"/>
    <n v="25"/>
    <x v="1"/>
    <x v="1"/>
    <n v="4"/>
    <x v="0"/>
    <x v="1"/>
  </r>
  <r>
    <n v="2283"/>
    <x v="648"/>
    <n v="19"/>
    <n v="7"/>
    <x v="2"/>
    <x v="3"/>
    <x v="9"/>
    <x v="4"/>
    <x v="0"/>
    <n v="7"/>
    <n v="30855.99"/>
    <n v="215991.93000000002"/>
    <s v="Kunal Malhotra"/>
    <n v="41"/>
    <x v="1"/>
    <x v="1"/>
    <n v="4"/>
    <x v="0"/>
    <x v="3"/>
  </r>
  <r>
    <n v="2284"/>
    <x v="648"/>
    <n v="19"/>
    <n v="7"/>
    <x v="2"/>
    <x v="3"/>
    <x v="9"/>
    <x v="4"/>
    <x v="3"/>
    <n v="5"/>
    <n v="52766.31"/>
    <n v="263831.55"/>
    <s v="Rohan Jain"/>
    <n v="20"/>
    <x v="3"/>
    <x v="0"/>
    <n v="2"/>
    <x v="2"/>
    <x v="12"/>
  </r>
  <r>
    <n v="2285"/>
    <x v="648"/>
    <n v="19"/>
    <n v="7"/>
    <x v="2"/>
    <x v="3"/>
    <x v="9"/>
    <x v="4"/>
    <x v="3"/>
    <n v="7"/>
    <n v="43300.34"/>
    <n v="303102.38"/>
    <s v="Mala Verma"/>
    <n v="21"/>
    <x v="9"/>
    <x v="3"/>
    <n v="3"/>
    <x v="1"/>
    <x v="12"/>
  </r>
  <r>
    <n v="2286"/>
    <x v="649"/>
    <n v="20"/>
    <n v="7"/>
    <x v="2"/>
    <x v="3"/>
    <x v="9"/>
    <x v="5"/>
    <x v="2"/>
    <n v="4"/>
    <n v="64251.47"/>
    <n v="257005.88"/>
    <s v="Prashant Mathur"/>
    <n v="49"/>
    <x v="12"/>
    <x v="1"/>
    <n v="4"/>
    <x v="0"/>
    <x v="6"/>
  </r>
  <r>
    <n v="2287"/>
    <x v="649"/>
    <n v="20"/>
    <n v="7"/>
    <x v="2"/>
    <x v="3"/>
    <x v="9"/>
    <x v="5"/>
    <x v="1"/>
    <n v="9"/>
    <n v="46130.13"/>
    <n v="415171.17"/>
    <s v="Pankaj Kapoor"/>
    <n v="18"/>
    <x v="9"/>
    <x v="0"/>
    <n v="2"/>
    <x v="2"/>
    <x v="1"/>
  </r>
  <r>
    <n v="2288"/>
    <x v="649"/>
    <n v="20"/>
    <n v="7"/>
    <x v="2"/>
    <x v="3"/>
    <x v="9"/>
    <x v="5"/>
    <x v="1"/>
    <n v="2"/>
    <n v="39581.089999999997"/>
    <n v="79162.179999999993"/>
    <s v="Isha Singh"/>
    <n v="51"/>
    <x v="1"/>
    <x v="3"/>
    <n v="2"/>
    <x v="2"/>
    <x v="9"/>
  </r>
  <r>
    <n v="2289"/>
    <x v="650"/>
    <n v="21"/>
    <n v="7"/>
    <x v="2"/>
    <x v="3"/>
    <x v="9"/>
    <x v="6"/>
    <x v="3"/>
    <n v="9"/>
    <n v="57145.16"/>
    <n v="514306.44000000006"/>
    <s v="Pooja Pathak"/>
    <n v="26"/>
    <x v="17"/>
    <x v="3"/>
    <n v="4"/>
    <x v="0"/>
    <x v="8"/>
  </r>
  <r>
    <n v="2290"/>
    <x v="650"/>
    <n v="21"/>
    <n v="7"/>
    <x v="2"/>
    <x v="3"/>
    <x v="9"/>
    <x v="6"/>
    <x v="4"/>
    <n v="9"/>
    <n v="66852.03"/>
    <n v="601668.27"/>
    <s v="Namita Deshmukh"/>
    <n v="29"/>
    <x v="8"/>
    <x v="2"/>
    <n v="3"/>
    <x v="1"/>
    <x v="7"/>
  </r>
  <r>
    <n v="2291"/>
    <x v="650"/>
    <n v="21"/>
    <n v="7"/>
    <x v="2"/>
    <x v="3"/>
    <x v="9"/>
    <x v="6"/>
    <x v="0"/>
    <n v="5"/>
    <n v="31350.75"/>
    <n v="156753.75"/>
    <s v="Deepika Solanki"/>
    <n v="27"/>
    <x v="2"/>
    <x v="2"/>
    <n v="2"/>
    <x v="2"/>
    <x v="10"/>
  </r>
  <r>
    <n v="2292"/>
    <x v="651"/>
    <n v="22"/>
    <n v="7"/>
    <x v="2"/>
    <x v="3"/>
    <x v="9"/>
    <x v="0"/>
    <x v="4"/>
    <n v="1"/>
    <n v="24992.57"/>
    <n v="24992.57"/>
    <s v="Sneha Patel"/>
    <n v="27"/>
    <x v="6"/>
    <x v="1"/>
    <n v="2"/>
    <x v="2"/>
    <x v="11"/>
  </r>
  <r>
    <n v="2293"/>
    <x v="651"/>
    <n v="22"/>
    <n v="7"/>
    <x v="2"/>
    <x v="3"/>
    <x v="9"/>
    <x v="0"/>
    <x v="4"/>
    <n v="7"/>
    <n v="46973.04"/>
    <n v="328811.28000000003"/>
    <s v="Vivek Mehta"/>
    <n v="40"/>
    <x v="5"/>
    <x v="2"/>
    <n v="3"/>
    <x v="1"/>
    <x v="7"/>
  </r>
  <r>
    <n v="2294"/>
    <x v="651"/>
    <n v="22"/>
    <n v="7"/>
    <x v="2"/>
    <x v="3"/>
    <x v="9"/>
    <x v="0"/>
    <x v="3"/>
    <n v="4"/>
    <n v="39932.370000000003"/>
    <n v="159729.48000000001"/>
    <s v="Kiran Alva"/>
    <n v="23"/>
    <x v="18"/>
    <x v="0"/>
    <n v="2"/>
    <x v="2"/>
    <x v="12"/>
  </r>
  <r>
    <n v="2295"/>
    <x v="651"/>
    <n v="22"/>
    <n v="7"/>
    <x v="2"/>
    <x v="3"/>
    <x v="9"/>
    <x v="0"/>
    <x v="3"/>
    <n v="9"/>
    <n v="69351.13"/>
    <n v="624160.17000000004"/>
    <s v="Anita Pillai"/>
    <n v="41"/>
    <x v="14"/>
    <x v="0"/>
    <n v="3"/>
    <x v="1"/>
    <x v="5"/>
  </r>
  <r>
    <n v="2296"/>
    <x v="652"/>
    <n v="23"/>
    <n v="7"/>
    <x v="2"/>
    <x v="3"/>
    <x v="9"/>
    <x v="1"/>
    <x v="3"/>
    <n v="6"/>
    <n v="37741.71"/>
    <n v="226450.26"/>
    <s v="Krishna Menon"/>
    <n v="41"/>
    <x v="1"/>
    <x v="2"/>
    <n v="5"/>
    <x v="0"/>
    <x v="5"/>
  </r>
  <r>
    <n v="2297"/>
    <x v="652"/>
    <n v="23"/>
    <n v="7"/>
    <x v="2"/>
    <x v="3"/>
    <x v="9"/>
    <x v="1"/>
    <x v="2"/>
    <n v="3"/>
    <n v="14459.89"/>
    <n v="43379.67"/>
    <s v="Manoj Nambiar"/>
    <n v="38"/>
    <x v="2"/>
    <x v="0"/>
    <n v="5"/>
    <x v="0"/>
    <x v="6"/>
  </r>
  <r>
    <n v="2298"/>
    <x v="652"/>
    <n v="23"/>
    <n v="7"/>
    <x v="2"/>
    <x v="3"/>
    <x v="9"/>
    <x v="1"/>
    <x v="4"/>
    <n v="6"/>
    <n v="68642.14"/>
    <n v="411852.83999999997"/>
    <s v="Shruti Sharma"/>
    <n v="59"/>
    <x v="1"/>
    <x v="0"/>
    <n v="5"/>
    <x v="0"/>
    <x v="7"/>
  </r>
  <r>
    <n v="2299"/>
    <x v="653"/>
    <n v="24"/>
    <n v="7"/>
    <x v="2"/>
    <x v="3"/>
    <x v="9"/>
    <x v="2"/>
    <x v="1"/>
    <n v="6"/>
    <n v="60615.22"/>
    <n v="363691.32"/>
    <s v="Krishna Rao"/>
    <n v="48"/>
    <x v="1"/>
    <x v="1"/>
    <n v="2"/>
    <x v="2"/>
    <x v="1"/>
  </r>
  <r>
    <n v="2300"/>
    <x v="653"/>
    <n v="24"/>
    <n v="7"/>
    <x v="2"/>
    <x v="3"/>
    <x v="9"/>
    <x v="2"/>
    <x v="0"/>
    <n v="5"/>
    <n v="20695.009999999998"/>
    <n v="103475.04999999999"/>
    <s v="Anjali Jain"/>
    <n v="58"/>
    <x v="1"/>
    <x v="1"/>
    <n v="5"/>
    <x v="0"/>
    <x v="10"/>
  </r>
  <r>
    <n v="2301"/>
    <x v="653"/>
    <n v="24"/>
    <n v="7"/>
    <x v="2"/>
    <x v="3"/>
    <x v="9"/>
    <x v="2"/>
    <x v="2"/>
    <n v="2"/>
    <n v="64276.32"/>
    <n v="128552.64"/>
    <s v="Lata Kumar"/>
    <n v="47"/>
    <x v="2"/>
    <x v="0"/>
    <n v="2"/>
    <x v="2"/>
    <x v="13"/>
  </r>
  <r>
    <n v="2302"/>
    <x v="654"/>
    <n v="25"/>
    <n v="7"/>
    <x v="2"/>
    <x v="3"/>
    <x v="9"/>
    <x v="3"/>
    <x v="1"/>
    <n v="2"/>
    <n v="30440.01"/>
    <n v="60880.02"/>
    <s v="Kavita Teja"/>
    <n v="51"/>
    <x v="12"/>
    <x v="2"/>
    <n v="2"/>
    <x v="2"/>
    <x v="2"/>
  </r>
  <r>
    <n v="2303"/>
    <x v="654"/>
    <n v="25"/>
    <n v="7"/>
    <x v="2"/>
    <x v="3"/>
    <x v="9"/>
    <x v="3"/>
    <x v="4"/>
    <n v="7"/>
    <n v="32626.720000000001"/>
    <n v="228387.04"/>
    <s v="Kiran Solanki"/>
    <n v="35"/>
    <x v="18"/>
    <x v="0"/>
    <n v="5"/>
    <x v="0"/>
    <x v="14"/>
  </r>
  <r>
    <n v="2304"/>
    <x v="654"/>
    <n v="25"/>
    <n v="7"/>
    <x v="2"/>
    <x v="3"/>
    <x v="9"/>
    <x v="3"/>
    <x v="3"/>
    <n v="2"/>
    <n v="64383.49"/>
    <n v="128766.98"/>
    <s v="Isha Ghosh"/>
    <n v="29"/>
    <x v="17"/>
    <x v="3"/>
    <n v="3"/>
    <x v="1"/>
    <x v="12"/>
  </r>
  <r>
    <n v="2305"/>
    <x v="654"/>
    <n v="25"/>
    <n v="7"/>
    <x v="2"/>
    <x v="3"/>
    <x v="9"/>
    <x v="3"/>
    <x v="4"/>
    <n v="6"/>
    <n v="41806.93"/>
    <n v="250841.58000000002"/>
    <s v="Nikhil Luthra"/>
    <n v="52"/>
    <x v="1"/>
    <x v="3"/>
    <n v="3"/>
    <x v="1"/>
    <x v="11"/>
  </r>
  <r>
    <n v="2306"/>
    <x v="655"/>
    <n v="26"/>
    <n v="7"/>
    <x v="2"/>
    <x v="3"/>
    <x v="9"/>
    <x v="4"/>
    <x v="0"/>
    <n v="5"/>
    <n v="18265.78"/>
    <n v="91328.9"/>
    <s v="Lata Verma"/>
    <n v="24"/>
    <x v="1"/>
    <x v="3"/>
    <n v="2"/>
    <x v="2"/>
    <x v="10"/>
  </r>
  <r>
    <n v="2307"/>
    <x v="655"/>
    <n v="26"/>
    <n v="7"/>
    <x v="2"/>
    <x v="3"/>
    <x v="9"/>
    <x v="4"/>
    <x v="2"/>
    <n v="4"/>
    <n v="32143.37"/>
    <n v="128573.48"/>
    <s v="Kiran Ghosh"/>
    <n v="58"/>
    <x v="1"/>
    <x v="1"/>
    <n v="3"/>
    <x v="1"/>
    <x v="13"/>
  </r>
  <r>
    <n v="2308"/>
    <x v="655"/>
    <n v="26"/>
    <n v="7"/>
    <x v="2"/>
    <x v="3"/>
    <x v="9"/>
    <x v="4"/>
    <x v="2"/>
    <n v="7"/>
    <n v="53325.85"/>
    <n v="373280.95"/>
    <s v="Umesh Patel"/>
    <n v="57"/>
    <x v="1"/>
    <x v="2"/>
    <n v="4"/>
    <x v="0"/>
    <x v="13"/>
  </r>
  <r>
    <n v="2309"/>
    <x v="656"/>
    <n v="27"/>
    <n v="7"/>
    <x v="2"/>
    <x v="3"/>
    <x v="9"/>
    <x v="5"/>
    <x v="0"/>
    <n v="8"/>
    <n v="20451.05"/>
    <n v="163608.4"/>
    <s v="Arun Deshmukh"/>
    <n v="42"/>
    <x v="13"/>
    <x v="0"/>
    <n v="3"/>
    <x v="1"/>
    <x v="3"/>
  </r>
  <r>
    <n v="2310"/>
    <x v="656"/>
    <n v="27"/>
    <n v="7"/>
    <x v="2"/>
    <x v="3"/>
    <x v="9"/>
    <x v="5"/>
    <x v="1"/>
    <n v="4"/>
    <n v="45413.87"/>
    <n v="181655.48"/>
    <s v="Lalita Rao"/>
    <n v="23"/>
    <x v="2"/>
    <x v="2"/>
    <n v="2"/>
    <x v="2"/>
    <x v="9"/>
  </r>
  <r>
    <n v="2311"/>
    <x v="656"/>
    <n v="27"/>
    <n v="7"/>
    <x v="2"/>
    <x v="3"/>
    <x v="9"/>
    <x v="5"/>
    <x v="1"/>
    <n v="1"/>
    <n v="51716.45"/>
    <n v="51716.45"/>
    <s v="Shruti Roy"/>
    <n v="18"/>
    <x v="8"/>
    <x v="2"/>
    <n v="3"/>
    <x v="1"/>
    <x v="1"/>
  </r>
  <r>
    <n v="2312"/>
    <x v="657"/>
    <n v="28"/>
    <n v="7"/>
    <x v="2"/>
    <x v="3"/>
    <x v="9"/>
    <x v="6"/>
    <x v="2"/>
    <n v="1"/>
    <n v="30631.21"/>
    <n v="30631.21"/>
    <s v="Bhavana Reddy"/>
    <n v="33"/>
    <x v="2"/>
    <x v="2"/>
    <n v="2"/>
    <x v="2"/>
    <x v="13"/>
  </r>
  <r>
    <n v="2313"/>
    <x v="657"/>
    <n v="28"/>
    <n v="7"/>
    <x v="2"/>
    <x v="3"/>
    <x v="9"/>
    <x v="6"/>
    <x v="2"/>
    <n v="1"/>
    <n v="51632.84"/>
    <n v="51632.84"/>
    <s v="Deepika Dutta"/>
    <n v="21"/>
    <x v="8"/>
    <x v="3"/>
    <n v="3"/>
    <x v="1"/>
    <x v="4"/>
  </r>
  <r>
    <n v="2314"/>
    <x v="657"/>
    <n v="28"/>
    <n v="7"/>
    <x v="2"/>
    <x v="3"/>
    <x v="9"/>
    <x v="6"/>
    <x v="3"/>
    <n v="1"/>
    <n v="63052.44"/>
    <n v="63052.44"/>
    <s v="Vijay Das"/>
    <n v="46"/>
    <x v="15"/>
    <x v="0"/>
    <n v="2"/>
    <x v="2"/>
    <x v="5"/>
  </r>
  <r>
    <n v="2315"/>
    <x v="658"/>
    <n v="29"/>
    <n v="7"/>
    <x v="2"/>
    <x v="3"/>
    <x v="9"/>
    <x v="0"/>
    <x v="1"/>
    <n v="5"/>
    <n v="38327"/>
    <n v="191635"/>
    <s v="Ravi Prasad"/>
    <n v="55"/>
    <x v="12"/>
    <x v="1"/>
    <n v="4"/>
    <x v="0"/>
    <x v="9"/>
  </r>
  <r>
    <n v="2316"/>
    <x v="658"/>
    <n v="29"/>
    <n v="7"/>
    <x v="2"/>
    <x v="3"/>
    <x v="9"/>
    <x v="0"/>
    <x v="0"/>
    <n v="4"/>
    <n v="32974.559999999998"/>
    <n v="131898.23999999999"/>
    <s v="Namita Rao"/>
    <n v="45"/>
    <x v="10"/>
    <x v="2"/>
    <n v="5"/>
    <x v="0"/>
    <x v="0"/>
  </r>
  <r>
    <n v="2317"/>
    <x v="658"/>
    <n v="29"/>
    <n v="7"/>
    <x v="2"/>
    <x v="3"/>
    <x v="9"/>
    <x v="0"/>
    <x v="1"/>
    <n v="9"/>
    <n v="25069.5"/>
    <n v="225625.5"/>
    <s v="Ayesha Menon"/>
    <n v="39"/>
    <x v="6"/>
    <x v="2"/>
    <n v="4"/>
    <x v="0"/>
    <x v="1"/>
  </r>
  <r>
    <n v="2318"/>
    <x v="658"/>
    <n v="29"/>
    <n v="7"/>
    <x v="2"/>
    <x v="3"/>
    <x v="9"/>
    <x v="0"/>
    <x v="3"/>
    <n v="3"/>
    <n v="46252.33"/>
    <n v="138756.99"/>
    <s v="Umesh Srivastava"/>
    <n v="25"/>
    <x v="1"/>
    <x v="3"/>
    <n v="2"/>
    <x v="2"/>
    <x v="12"/>
  </r>
  <r>
    <n v="2319"/>
    <x v="659"/>
    <n v="30"/>
    <n v="7"/>
    <x v="2"/>
    <x v="3"/>
    <x v="9"/>
    <x v="1"/>
    <x v="2"/>
    <n v="7"/>
    <n v="62791.12"/>
    <n v="439537.84"/>
    <s v="Ravi Kumar"/>
    <n v="49"/>
    <x v="1"/>
    <x v="3"/>
    <n v="4"/>
    <x v="0"/>
    <x v="13"/>
  </r>
  <r>
    <n v="2320"/>
    <x v="659"/>
    <n v="30"/>
    <n v="7"/>
    <x v="2"/>
    <x v="3"/>
    <x v="9"/>
    <x v="1"/>
    <x v="2"/>
    <n v="8"/>
    <n v="29479.68"/>
    <n v="235837.44"/>
    <s v="Krishna Nambiar"/>
    <n v="50"/>
    <x v="16"/>
    <x v="0"/>
    <n v="4"/>
    <x v="0"/>
    <x v="4"/>
  </r>
  <r>
    <n v="2321"/>
    <x v="659"/>
    <n v="30"/>
    <n v="7"/>
    <x v="2"/>
    <x v="3"/>
    <x v="9"/>
    <x v="1"/>
    <x v="3"/>
    <n v="6"/>
    <n v="33774.129999999997"/>
    <n v="202644.77999999997"/>
    <s v="Monika Rawat"/>
    <n v="30"/>
    <x v="1"/>
    <x v="1"/>
    <n v="2"/>
    <x v="2"/>
    <x v="8"/>
  </r>
  <r>
    <n v="2322"/>
    <x v="659"/>
    <n v="30"/>
    <n v="7"/>
    <x v="2"/>
    <x v="3"/>
    <x v="9"/>
    <x v="1"/>
    <x v="0"/>
    <n v="1"/>
    <n v="34397.53"/>
    <n v="34397.53"/>
    <s v="Anand Kapoor"/>
    <n v="44"/>
    <x v="2"/>
    <x v="1"/>
    <n v="2"/>
    <x v="2"/>
    <x v="3"/>
  </r>
  <r>
    <n v="2323"/>
    <x v="660"/>
    <n v="31"/>
    <n v="7"/>
    <x v="2"/>
    <x v="3"/>
    <x v="9"/>
    <x v="2"/>
    <x v="2"/>
    <n v="8"/>
    <n v="43648.74"/>
    <n v="349189.92"/>
    <s v="Anita Dutta"/>
    <n v="35"/>
    <x v="1"/>
    <x v="3"/>
    <n v="5"/>
    <x v="0"/>
    <x v="6"/>
  </r>
  <r>
    <n v="2324"/>
    <x v="660"/>
    <n v="31"/>
    <n v="7"/>
    <x v="2"/>
    <x v="3"/>
    <x v="9"/>
    <x v="2"/>
    <x v="4"/>
    <n v="3"/>
    <n v="23704.54"/>
    <n v="71113.62"/>
    <s v="Mala Mathur"/>
    <n v="35"/>
    <x v="6"/>
    <x v="0"/>
    <n v="5"/>
    <x v="0"/>
    <x v="11"/>
  </r>
  <r>
    <n v="2325"/>
    <x v="660"/>
    <n v="31"/>
    <n v="7"/>
    <x v="2"/>
    <x v="3"/>
    <x v="9"/>
    <x v="2"/>
    <x v="2"/>
    <n v="8"/>
    <n v="59332.67"/>
    <n v="474661.36"/>
    <s v="Rajesh Shah"/>
    <n v="30"/>
    <x v="15"/>
    <x v="2"/>
    <n v="3"/>
    <x v="1"/>
    <x v="6"/>
  </r>
  <r>
    <n v="2326"/>
    <x v="660"/>
    <n v="31"/>
    <n v="7"/>
    <x v="2"/>
    <x v="3"/>
    <x v="9"/>
    <x v="2"/>
    <x v="4"/>
    <n v="4"/>
    <n v="27736.14"/>
    <n v="110944.56"/>
    <s v="Rajesh Yadav"/>
    <n v="39"/>
    <x v="4"/>
    <x v="0"/>
    <n v="2"/>
    <x v="2"/>
    <x v="11"/>
  </r>
  <r>
    <n v="2327"/>
    <x v="661"/>
    <n v="1"/>
    <n v="8"/>
    <x v="2"/>
    <x v="3"/>
    <x v="10"/>
    <x v="3"/>
    <x v="3"/>
    <n v="8"/>
    <n v="52321.760000000002"/>
    <n v="418574.08000000002"/>
    <s v="Kavita Goyal"/>
    <n v="31"/>
    <x v="14"/>
    <x v="1"/>
    <n v="2"/>
    <x v="2"/>
    <x v="5"/>
  </r>
  <r>
    <n v="2328"/>
    <x v="661"/>
    <n v="1"/>
    <n v="8"/>
    <x v="2"/>
    <x v="3"/>
    <x v="10"/>
    <x v="3"/>
    <x v="3"/>
    <n v="1"/>
    <n v="40792.94"/>
    <n v="40792.94"/>
    <s v="Priya Reddy"/>
    <n v="28"/>
    <x v="2"/>
    <x v="3"/>
    <n v="4"/>
    <x v="0"/>
    <x v="12"/>
  </r>
  <r>
    <n v="2329"/>
    <x v="661"/>
    <n v="1"/>
    <n v="8"/>
    <x v="2"/>
    <x v="3"/>
    <x v="10"/>
    <x v="3"/>
    <x v="2"/>
    <n v="3"/>
    <n v="45153.86"/>
    <n v="135461.58000000002"/>
    <s v="Ravi Gupta"/>
    <n v="56"/>
    <x v="2"/>
    <x v="2"/>
    <n v="4"/>
    <x v="0"/>
    <x v="13"/>
  </r>
  <r>
    <n v="2330"/>
    <x v="662"/>
    <n v="2"/>
    <n v="8"/>
    <x v="2"/>
    <x v="3"/>
    <x v="10"/>
    <x v="4"/>
    <x v="1"/>
    <n v="6"/>
    <n v="20776.52"/>
    <n v="124659.12"/>
    <s v="Sunil Gupta"/>
    <n v="39"/>
    <x v="1"/>
    <x v="2"/>
    <n v="5"/>
    <x v="0"/>
    <x v="1"/>
  </r>
  <r>
    <n v="2331"/>
    <x v="662"/>
    <n v="2"/>
    <n v="8"/>
    <x v="2"/>
    <x v="3"/>
    <x v="10"/>
    <x v="4"/>
    <x v="4"/>
    <n v="9"/>
    <n v="54101.39"/>
    <n v="486912.51"/>
    <s v="Prashant Das"/>
    <n v="53"/>
    <x v="14"/>
    <x v="1"/>
    <n v="2"/>
    <x v="2"/>
    <x v="7"/>
  </r>
  <r>
    <n v="2332"/>
    <x v="662"/>
    <n v="2"/>
    <n v="8"/>
    <x v="2"/>
    <x v="3"/>
    <x v="10"/>
    <x v="4"/>
    <x v="0"/>
    <n v="2"/>
    <n v="21317.23"/>
    <n v="42634.46"/>
    <s v="Nikhil Patel"/>
    <n v="34"/>
    <x v="14"/>
    <x v="2"/>
    <n v="2"/>
    <x v="2"/>
    <x v="10"/>
  </r>
  <r>
    <n v="2333"/>
    <x v="663"/>
    <n v="3"/>
    <n v="8"/>
    <x v="2"/>
    <x v="3"/>
    <x v="10"/>
    <x v="5"/>
    <x v="2"/>
    <n v="1"/>
    <n v="16808.419999999998"/>
    <n v="16808.419999999998"/>
    <s v="Priya Prasad"/>
    <n v="49"/>
    <x v="16"/>
    <x v="0"/>
    <n v="5"/>
    <x v="0"/>
    <x v="4"/>
  </r>
  <r>
    <n v="2334"/>
    <x v="663"/>
    <n v="3"/>
    <n v="8"/>
    <x v="2"/>
    <x v="3"/>
    <x v="10"/>
    <x v="5"/>
    <x v="0"/>
    <n v="3"/>
    <n v="42800.77"/>
    <n v="128402.31"/>
    <s v="Sachin Joshi"/>
    <n v="31"/>
    <x v="1"/>
    <x v="1"/>
    <n v="2"/>
    <x v="2"/>
    <x v="10"/>
  </r>
  <r>
    <n v="2335"/>
    <x v="663"/>
    <n v="3"/>
    <n v="8"/>
    <x v="2"/>
    <x v="3"/>
    <x v="10"/>
    <x v="5"/>
    <x v="2"/>
    <n v="4"/>
    <n v="52557.83"/>
    <n v="210231.32"/>
    <s v="Priya Dutta"/>
    <n v="59"/>
    <x v="3"/>
    <x v="1"/>
    <n v="2"/>
    <x v="2"/>
    <x v="13"/>
  </r>
  <r>
    <n v="2336"/>
    <x v="663"/>
    <n v="3"/>
    <n v="8"/>
    <x v="2"/>
    <x v="3"/>
    <x v="10"/>
    <x v="5"/>
    <x v="1"/>
    <n v="5"/>
    <n v="13002.15"/>
    <n v="65010.75"/>
    <s v="Monika Bhatnagar"/>
    <n v="46"/>
    <x v="14"/>
    <x v="2"/>
    <n v="4"/>
    <x v="0"/>
    <x v="9"/>
  </r>
  <r>
    <n v="2337"/>
    <x v="664"/>
    <n v="4"/>
    <n v="8"/>
    <x v="2"/>
    <x v="3"/>
    <x v="10"/>
    <x v="6"/>
    <x v="1"/>
    <n v="3"/>
    <n v="14163.72"/>
    <n v="42491.159999999996"/>
    <s v="Ravi Thakur"/>
    <n v="23"/>
    <x v="15"/>
    <x v="1"/>
    <n v="4"/>
    <x v="0"/>
    <x v="9"/>
  </r>
  <r>
    <n v="2338"/>
    <x v="664"/>
    <n v="4"/>
    <n v="8"/>
    <x v="2"/>
    <x v="3"/>
    <x v="10"/>
    <x v="6"/>
    <x v="1"/>
    <n v="2"/>
    <n v="58160.75"/>
    <n v="116321.5"/>
    <s v="Krishna Rao"/>
    <n v="21"/>
    <x v="1"/>
    <x v="3"/>
    <n v="5"/>
    <x v="0"/>
    <x v="2"/>
  </r>
  <r>
    <n v="2339"/>
    <x v="664"/>
    <n v="4"/>
    <n v="8"/>
    <x v="2"/>
    <x v="3"/>
    <x v="10"/>
    <x v="6"/>
    <x v="1"/>
    <n v="2"/>
    <n v="58541.96"/>
    <n v="117083.92"/>
    <s v="Ramesh Jain"/>
    <n v="28"/>
    <x v="1"/>
    <x v="0"/>
    <n v="2"/>
    <x v="2"/>
    <x v="9"/>
  </r>
  <r>
    <n v="2340"/>
    <x v="665"/>
    <n v="5"/>
    <n v="8"/>
    <x v="2"/>
    <x v="3"/>
    <x v="10"/>
    <x v="0"/>
    <x v="3"/>
    <n v="7"/>
    <n v="24718.28"/>
    <n v="173027.96"/>
    <s v="Kiran Siddiqui"/>
    <n v="57"/>
    <x v="1"/>
    <x v="1"/>
    <n v="4"/>
    <x v="0"/>
    <x v="5"/>
  </r>
  <r>
    <n v="2341"/>
    <x v="665"/>
    <n v="5"/>
    <n v="8"/>
    <x v="2"/>
    <x v="3"/>
    <x v="10"/>
    <x v="0"/>
    <x v="3"/>
    <n v="9"/>
    <n v="46913.69"/>
    <n v="422223.21"/>
    <s v="Tapan Chatterjee"/>
    <n v="27"/>
    <x v="7"/>
    <x v="3"/>
    <n v="2"/>
    <x v="2"/>
    <x v="12"/>
  </r>
  <r>
    <n v="2342"/>
    <x v="665"/>
    <n v="5"/>
    <n v="8"/>
    <x v="2"/>
    <x v="3"/>
    <x v="10"/>
    <x v="0"/>
    <x v="4"/>
    <n v="2"/>
    <n v="36590.800000000003"/>
    <n v="73181.600000000006"/>
    <s v="Amit Joshi"/>
    <n v="45"/>
    <x v="18"/>
    <x v="2"/>
    <n v="5"/>
    <x v="0"/>
    <x v="7"/>
  </r>
  <r>
    <n v="2343"/>
    <x v="666"/>
    <n v="6"/>
    <n v="8"/>
    <x v="2"/>
    <x v="3"/>
    <x v="10"/>
    <x v="1"/>
    <x v="0"/>
    <n v="7"/>
    <n v="47961.760000000002"/>
    <n v="335732.32"/>
    <s v="Tapan Mishra"/>
    <n v="28"/>
    <x v="16"/>
    <x v="1"/>
    <n v="3"/>
    <x v="1"/>
    <x v="3"/>
  </r>
  <r>
    <n v="2344"/>
    <x v="666"/>
    <n v="6"/>
    <n v="8"/>
    <x v="2"/>
    <x v="3"/>
    <x v="10"/>
    <x v="1"/>
    <x v="2"/>
    <n v="7"/>
    <n v="61772.76"/>
    <n v="432409.32"/>
    <s v="Reena Goyal"/>
    <n v="52"/>
    <x v="1"/>
    <x v="3"/>
    <n v="2"/>
    <x v="2"/>
    <x v="6"/>
  </r>
  <r>
    <n v="2345"/>
    <x v="666"/>
    <n v="6"/>
    <n v="8"/>
    <x v="2"/>
    <x v="3"/>
    <x v="10"/>
    <x v="1"/>
    <x v="2"/>
    <n v="7"/>
    <n v="14791.39"/>
    <n v="103539.73"/>
    <s v="Kunal Shah"/>
    <n v="32"/>
    <x v="3"/>
    <x v="2"/>
    <n v="2"/>
    <x v="2"/>
    <x v="4"/>
  </r>
  <r>
    <n v="2346"/>
    <x v="666"/>
    <n v="6"/>
    <n v="8"/>
    <x v="2"/>
    <x v="3"/>
    <x v="10"/>
    <x v="1"/>
    <x v="3"/>
    <n v="3"/>
    <n v="56679.07"/>
    <n v="170037.21"/>
    <s v="Krishna Goyal"/>
    <n v="25"/>
    <x v="4"/>
    <x v="3"/>
    <n v="5"/>
    <x v="0"/>
    <x v="8"/>
  </r>
  <r>
    <n v="2347"/>
    <x v="667"/>
    <n v="7"/>
    <n v="8"/>
    <x v="2"/>
    <x v="3"/>
    <x v="10"/>
    <x v="2"/>
    <x v="2"/>
    <n v="7"/>
    <n v="39581.75"/>
    <n v="277072.25"/>
    <s v="Anand Joshi"/>
    <n v="37"/>
    <x v="0"/>
    <x v="2"/>
    <n v="3"/>
    <x v="1"/>
    <x v="4"/>
  </r>
  <r>
    <n v="2348"/>
    <x v="667"/>
    <n v="7"/>
    <n v="8"/>
    <x v="2"/>
    <x v="3"/>
    <x v="10"/>
    <x v="2"/>
    <x v="3"/>
    <n v="1"/>
    <n v="43847.62"/>
    <n v="43847.62"/>
    <s v="Amit Ghosh"/>
    <n v="38"/>
    <x v="14"/>
    <x v="0"/>
    <n v="4"/>
    <x v="0"/>
    <x v="5"/>
  </r>
  <r>
    <n v="2349"/>
    <x v="667"/>
    <n v="7"/>
    <n v="8"/>
    <x v="2"/>
    <x v="3"/>
    <x v="10"/>
    <x v="2"/>
    <x v="4"/>
    <n v="1"/>
    <n v="49235.88"/>
    <n v="49235.88"/>
    <s v="Bhavana Bhatnagar"/>
    <n v="18"/>
    <x v="1"/>
    <x v="1"/>
    <n v="2"/>
    <x v="2"/>
    <x v="11"/>
  </r>
  <r>
    <n v="2350"/>
    <x v="667"/>
    <n v="7"/>
    <n v="8"/>
    <x v="2"/>
    <x v="3"/>
    <x v="10"/>
    <x v="2"/>
    <x v="0"/>
    <n v="5"/>
    <n v="65357.39"/>
    <n v="326786.95"/>
    <s v="Krishna Rawat"/>
    <n v="46"/>
    <x v="1"/>
    <x v="0"/>
    <n v="5"/>
    <x v="0"/>
    <x v="0"/>
  </r>
  <r>
    <n v="2351"/>
    <x v="668"/>
    <n v="8"/>
    <n v="8"/>
    <x v="2"/>
    <x v="3"/>
    <x v="10"/>
    <x v="3"/>
    <x v="4"/>
    <n v="2"/>
    <n v="13403.2"/>
    <n v="26806.400000000001"/>
    <s v="Nikhil Yadav"/>
    <n v="41"/>
    <x v="1"/>
    <x v="0"/>
    <n v="2"/>
    <x v="2"/>
    <x v="11"/>
  </r>
  <r>
    <n v="2352"/>
    <x v="668"/>
    <n v="8"/>
    <n v="8"/>
    <x v="2"/>
    <x v="3"/>
    <x v="10"/>
    <x v="3"/>
    <x v="1"/>
    <n v="9"/>
    <n v="11768.58"/>
    <n v="105917.22"/>
    <s v="Ravi Prasad"/>
    <n v="47"/>
    <x v="9"/>
    <x v="1"/>
    <n v="3"/>
    <x v="1"/>
    <x v="9"/>
  </r>
  <r>
    <n v="2353"/>
    <x v="668"/>
    <n v="8"/>
    <n v="8"/>
    <x v="2"/>
    <x v="3"/>
    <x v="10"/>
    <x v="3"/>
    <x v="1"/>
    <n v="7"/>
    <n v="20695.71"/>
    <n v="144869.97"/>
    <s v="Anita Srivastava"/>
    <n v="57"/>
    <x v="1"/>
    <x v="0"/>
    <n v="3"/>
    <x v="1"/>
    <x v="1"/>
  </r>
  <r>
    <n v="2354"/>
    <x v="669"/>
    <n v="9"/>
    <n v="8"/>
    <x v="2"/>
    <x v="3"/>
    <x v="10"/>
    <x v="4"/>
    <x v="1"/>
    <n v="4"/>
    <n v="69186.86"/>
    <n v="276747.44"/>
    <s v="Monika Nambiar"/>
    <n v="52"/>
    <x v="11"/>
    <x v="0"/>
    <n v="2"/>
    <x v="2"/>
    <x v="1"/>
  </r>
  <r>
    <n v="2355"/>
    <x v="669"/>
    <n v="9"/>
    <n v="8"/>
    <x v="2"/>
    <x v="3"/>
    <x v="10"/>
    <x v="4"/>
    <x v="4"/>
    <n v="4"/>
    <n v="52904.58"/>
    <n v="211618.32"/>
    <s v="Monika Solanki"/>
    <n v="50"/>
    <x v="2"/>
    <x v="3"/>
    <n v="2"/>
    <x v="2"/>
    <x v="7"/>
  </r>
  <r>
    <n v="2356"/>
    <x v="669"/>
    <n v="9"/>
    <n v="8"/>
    <x v="2"/>
    <x v="3"/>
    <x v="10"/>
    <x v="4"/>
    <x v="2"/>
    <n v="2"/>
    <n v="46878.47"/>
    <n v="93756.94"/>
    <s v="Sunita Sharma"/>
    <n v="37"/>
    <x v="17"/>
    <x v="2"/>
    <n v="2"/>
    <x v="2"/>
    <x v="4"/>
  </r>
  <r>
    <n v="2357"/>
    <x v="670"/>
    <n v="10"/>
    <n v="8"/>
    <x v="2"/>
    <x v="3"/>
    <x v="10"/>
    <x v="5"/>
    <x v="0"/>
    <n v="5"/>
    <n v="12822.34"/>
    <n v="64111.7"/>
    <s v="Anjali Desai"/>
    <n v="33"/>
    <x v="4"/>
    <x v="0"/>
    <n v="3"/>
    <x v="1"/>
    <x v="10"/>
  </r>
  <r>
    <n v="2358"/>
    <x v="670"/>
    <n v="10"/>
    <n v="8"/>
    <x v="2"/>
    <x v="3"/>
    <x v="10"/>
    <x v="5"/>
    <x v="1"/>
    <n v="4"/>
    <n v="62746.61"/>
    <n v="250986.44"/>
    <s v="Ayesha Dutta"/>
    <n v="26"/>
    <x v="12"/>
    <x v="1"/>
    <n v="2"/>
    <x v="2"/>
    <x v="9"/>
  </r>
  <r>
    <n v="2359"/>
    <x v="670"/>
    <n v="10"/>
    <n v="8"/>
    <x v="2"/>
    <x v="3"/>
    <x v="10"/>
    <x v="5"/>
    <x v="1"/>
    <n v="1"/>
    <n v="58765.41"/>
    <n v="58765.41"/>
    <s v="Manoj Thakur"/>
    <n v="48"/>
    <x v="18"/>
    <x v="3"/>
    <n v="4"/>
    <x v="0"/>
    <x v="2"/>
  </r>
  <r>
    <n v="2360"/>
    <x v="671"/>
    <n v="11"/>
    <n v="8"/>
    <x v="2"/>
    <x v="3"/>
    <x v="10"/>
    <x v="6"/>
    <x v="1"/>
    <n v="8"/>
    <n v="49888"/>
    <n v="399104"/>
    <s v="Monika Goyal"/>
    <n v="34"/>
    <x v="1"/>
    <x v="2"/>
    <n v="3"/>
    <x v="1"/>
    <x v="9"/>
  </r>
  <r>
    <n v="2361"/>
    <x v="671"/>
    <n v="11"/>
    <n v="8"/>
    <x v="2"/>
    <x v="3"/>
    <x v="10"/>
    <x v="6"/>
    <x v="0"/>
    <n v="3"/>
    <n v="30347.85"/>
    <n v="91043.549999999988"/>
    <s v="Priyanka Ghosh"/>
    <n v="48"/>
    <x v="2"/>
    <x v="0"/>
    <n v="2"/>
    <x v="2"/>
    <x v="3"/>
  </r>
  <r>
    <n v="2362"/>
    <x v="671"/>
    <n v="11"/>
    <n v="8"/>
    <x v="2"/>
    <x v="3"/>
    <x v="10"/>
    <x v="6"/>
    <x v="1"/>
    <n v="6"/>
    <n v="14230.3"/>
    <n v="85381.799999999988"/>
    <s v="Pankaj Mehta"/>
    <n v="40"/>
    <x v="5"/>
    <x v="0"/>
    <n v="2"/>
    <x v="2"/>
    <x v="2"/>
  </r>
  <r>
    <n v="2363"/>
    <x v="671"/>
    <n v="11"/>
    <n v="8"/>
    <x v="2"/>
    <x v="3"/>
    <x v="10"/>
    <x v="6"/>
    <x v="0"/>
    <n v="4"/>
    <n v="44802.31"/>
    <n v="179209.24"/>
    <s v="Tanuja Dutta"/>
    <n v="23"/>
    <x v="12"/>
    <x v="1"/>
    <n v="2"/>
    <x v="2"/>
    <x v="10"/>
  </r>
  <r>
    <n v="2364"/>
    <x v="672"/>
    <n v="12"/>
    <n v="8"/>
    <x v="2"/>
    <x v="3"/>
    <x v="10"/>
    <x v="0"/>
    <x v="1"/>
    <n v="9"/>
    <n v="53181.67"/>
    <n v="478635.02999999997"/>
    <s v="Kiran Pathak"/>
    <n v="47"/>
    <x v="4"/>
    <x v="0"/>
    <n v="2"/>
    <x v="2"/>
    <x v="1"/>
  </r>
  <r>
    <n v="2365"/>
    <x v="672"/>
    <n v="12"/>
    <n v="8"/>
    <x v="2"/>
    <x v="3"/>
    <x v="10"/>
    <x v="0"/>
    <x v="4"/>
    <n v="7"/>
    <n v="15654.42"/>
    <n v="109580.94"/>
    <s v="Priya Varma"/>
    <n v="24"/>
    <x v="10"/>
    <x v="1"/>
    <n v="3"/>
    <x v="1"/>
    <x v="11"/>
  </r>
  <r>
    <n v="2366"/>
    <x v="672"/>
    <n v="12"/>
    <n v="8"/>
    <x v="2"/>
    <x v="3"/>
    <x v="10"/>
    <x v="0"/>
    <x v="4"/>
    <n v="9"/>
    <n v="48026.06"/>
    <n v="432234.54"/>
    <s v="Arun Sheth"/>
    <n v="57"/>
    <x v="6"/>
    <x v="0"/>
    <n v="2"/>
    <x v="2"/>
    <x v="14"/>
  </r>
  <r>
    <n v="2367"/>
    <x v="672"/>
    <n v="12"/>
    <n v="8"/>
    <x v="2"/>
    <x v="3"/>
    <x v="10"/>
    <x v="0"/>
    <x v="0"/>
    <n v="3"/>
    <n v="27181.96"/>
    <n v="81545.88"/>
    <s v="Vinod Joshi"/>
    <n v="59"/>
    <x v="2"/>
    <x v="0"/>
    <n v="3"/>
    <x v="1"/>
    <x v="3"/>
  </r>
  <r>
    <n v="2368"/>
    <x v="673"/>
    <n v="13"/>
    <n v="8"/>
    <x v="2"/>
    <x v="3"/>
    <x v="10"/>
    <x v="1"/>
    <x v="4"/>
    <n v="1"/>
    <n v="55854.65"/>
    <n v="55854.65"/>
    <s v="Vivek Mehta"/>
    <n v="28"/>
    <x v="7"/>
    <x v="1"/>
    <n v="2"/>
    <x v="2"/>
    <x v="14"/>
  </r>
  <r>
    <n v="2369"/>
    <x v="673"/>
    <n v="13"/>
    <n v="8"/>
    <x v="2"/>
    <x v="3"/>
    <x v="10"/>
    <x v="1"/>
    <x v="0"/>
    <n v="5"/>
    <n v="42376.95"/>
    <n v="211884.75"/>
    <s v="Sanjay Jain"/>
    <n v="51"/>
    <x v="2"/>
    <x v="2"/>
    <n v="4"/>
    <x v="0"/>
    <x v="0"/>
  </r>
  <r>
    <n v="2370"/>
    <x v="673"/>
    <n v="13"/>
    <n v="8"/>
    <x v="2"/>
    <x v="3"/>
    <x v="10"/>
    <x v="1"/>
    <x v="4"/>
    <n v="3"/>
    <n v="17742.21"/>
    <n v="53226.63"/>
    <s v="Kiran Chaudhary"/>
    <n v="29"/>
    <x v="4"/>
    <x v="3"/>
    <n v="4"/>
    <x v="0"/>
    <x v="14"/>
  </r>
  <r>
    <n v="2371"/>
    <x v="673"/>
    <n v="13"/>
    <n v="8"/>
    <x v="2"/>
    <x v="3"/>
    <x v="10"/>
    <x v="1"/>
    <x v="4"/>
    <n v="6"/>
    <n v="41591.17"/>
    <n v="249547.02"/>
    <s v="Jyoti Rawat"/>
    <n v="44"/>
    <x v="15"/>
    <x v="1"/>
    <n v="4"/>
    <x v="0"/>
    <x v="11"/>
  </r>
  <r>
    <n v="2372"/>
    <x v="674"/>
    <n v="14"/>
    <n v="8"/>
    <x v="2"/>
    <x v="3"/>
    <x v="10"/>
    <x v="2"/>
    <x v="0"/>
    <n v="8"/>
    <n v="33744.21"/>
    <n v="269953.68"/>
    <s v="Monika Rawat"/>
    <n v="29"/>
    <x v="14"/>
    <x v="2"/>
    <n v="2"/>
    <x v="2"/>
    <x v="0"/>
  </r>
  <r>
    <n v="2373"/>
    <x v="674"/>
    <n v="14"/>
    <n v="8"/>
    <x v="2"/>
    <x v="3"/>
    <x v="10"/>
    <x v="2"/>
    <x v="2"/>
    <n v="4"/>
    <n v="20821.36"/>
    <n v="83285.440000000002"/>
    <s v="Bina Solanki"/>
    <n v="30"/>
    <x v="1"/>
    <x v="2"/>
    <n v="2"/>
    <x v="2"/>
    <x v="13"/>
  </r>
  <r>
    <n v="2374"/>
    <x v="674"/>
    <n v="14"/>
    <n v="8"/>
    <x v="2"/>
    <x v="3"/>
    <x v="10"/>
    <x v="2"/>
    <x v="4"/>
    <n v="5"/>
    <n v="60490.94"/>
    <n v="302454.7"/>
    <s v="Lalita Patel"/>
    <n v="25"/>
    <x v="2"/>
    <x v="1"/>
    <n v="2"/>
    <x v="2"/>
    <x v="14"/>
  </r>
  <r>
    <n v="2375"/>
    <x v="674"/>
    <n v="14"/>
    <n v="8"/>
    <x v="2"/>
    <x v="3"/>
    <x v="10"/>
    <x v="2"/>
    <x v="1"/>
    <n v="5"/>
    <n v="10661.71"/>
    <n v="53308.549999999996"/>
    <s v="Krishna Nambiar"/>
    <n v="33"/>
    <x v="4"/>
    <x v="3"/>
    <n v="3"/>
    <x v="1"/>
    <x v="1"/>
  </r>
  <r>
    <n v="2376"/>
    <x v="675"/>
    <n v="15"/>
    <n v="8"/>
    <x v="2"/>
    <x v="3"/>
    <x v="10"/>
    <x v="3"/>
    <x v="2"/>
    <n v="4"/>
    <n v="28727.7"/>
    <n v="114910.8"/>
    <s v="Nikhil Reddy"/>
    <n v="46"/>
    <x v="2"/>
    <x v="1"/>
    <n v="4"/>
    <x v="0"/>
    <x v="6"/>
  </r>
  <r>
    <n v="2377"/>
    <x v="675"/>
    <n v="15"/>
    <n v="8"/>
    <x v="2"/>
    <x v="3"/>
    <x v="10"/>
    <x v="3"/>
    <x v="0"/>
    <n v="4"/>
    <n v="10755.7"/>
    <n v="43022.8"/>
    <s v="Harish Kaur"/>
    <n v="52"/>
    <x v="12"/>
    <x v="0"/>
    <n v="3"/>
    <x v="1"/>
    <x v="0"/>
  </r>
  <r>
    <n v="2378"/>
    <x v="675"/>
    <n v="15"/>
    <n v="8"/>
    <x v="2"/>
    <x v="3"/>
    <x v="10"/>
    <x v="3"/>
    <x v="2"/>
    <n v="4"/>
    <n v="15760.42"/>
    <n v="63041.68"/>
    <s v="Meena Desai"/>
    <n v="46"/>
    <x v="2"/>
    <x v="0"/>
    <n v="2"/>
    <x v="2"/>
    <x v="4"/>
  </r>
  <r>
    <n v="2379"/>
    <x v="676"/>
    <n v="16"/>
    <n v="8"/>
    <x v="2"/>
    <x v="3"/>
    <x v="10"/>
    <x v="4"/>
    <x v="3"/>
    <n v="4"/>
    <n v="27825.77"/>
    <n v="111303.08"/>
    <s v="Aditya Prasad"/>
    <n v="48"/>
    <x v="2"/>
    <x v="2"/>
    <n v="5"/>
    <x v="0"/>
    <x v="12"/>
  </r>
  <r>
    <n v="2380"/>
    <x v="676"/>
    <n v="16"/>
    <n v="8"/>
    <x v="2"/>
    <x v="3"/>
    <x v="10"/>
    <x v="4"/>
    <x v="3"/>
    <n v="4"/>
    <n v="13256.27"/>
    <n v="53025.08"/>
    <s v="Pooja Srivastava"/>
    <n v="30"/>
    <x v="16"/>
    <x v="0"/>
    <n v="5"/>
    <x v="0"/>
    <x v="8"/>
  </r>
  <r>
    <n v="2381"/>
    <x v="676"/>
    <n v="16"/>
    <n v="8"/>
    <x v="2"/>
    <x v="3"/>
    <x v="10"/>
    <x v="4"/>
    <x v="4"/>
    <n v="5"/>
    <n v="45797.83"/>
    <n v="228989.15000000002"/>
    <s v="Amit Srivastava"/>
    <n v="29"/>
    <x v="2"/>
    <x v="3"/>
    <n v="2"/>
    <x v="2"/>
    <x v="14"/>
  </r>
  <r>
    <n v="2382"/>
    <x v="676"/>
    <n v="16"/>
    <n v="8"/>
    <x v="2"/>
    <x v="3"/>
    <x v="10"/>
    <x v="4"/>
    <x v="4"/>
    <n v="2"/>
    <n v="15211.77"/>
    <n v="30423.54"/>
    <s v="Meena Roy"/>
    <n v="19"/>
    <x v="6"/>
    <x v="1"/>
    <n v="2"/>
    <x v="2"/>
    <x v="7"/>
  </r>
  <r>
    <n v="2383"/>
    <x v="677"/>
    <n v="17"/>
    <n v="8"/>
    <x v="2"/>
    <x v="3"/>
    <x v="10"/>
    <x v="5"/>
    <x v="1"/>
    <n v="2"/>
    <n v="52102.82"/>
    <n v="104205.64"/>
    <s v="Amit Rathod"/>
    <n v="50"/>
    <x v="0"/>
    <x v="3"/>
    <n v="3"/>
    <x v="1"/>
    <x v="1"/>
  </r>
  <r>
    <n v="2384"/>
    <x v="677"/>
    <n v="17"/>
    <n v="8"/>
    <x v="2"/>
    <x v="3"/>
    <x v="10"/>
    <x v="5"/>
    <x v="2"/>
    <n v="9"/>
    <n v="13158.53"/>
    <n v="118426.77"/>
    <s v="Devendra Menon"/>
    <n v="25"/>
    <x v="1"/>
    <x v="2"/>
    <n v="2"/>
    <x v="2"/>
    <x v="6"/>
  </r>
  <r>
    <n v="2385"/>
    <x v="677"/>
    <n v="17"/>
    <n v="8"/>
    <x v="2"/>
    <x v="3"/>
    <x v="10"/>
    <x v="5"/>
    <x v="3"/>
    <n v="2"/>
    <n v="13558.53"/>
    <n v="27117.06"/>
    <s v="Sunita Thakur"/>
    <n v="58"/>
    <x v="2"/>
    <x v="0"/>
    <n v="2"/>
    <x v="2"/>
    <x v="12"/>
  </r>
  <r>
    <n v="2386"/>
    <x v="677"/>
    <n v="17"/>
    <n v="8"/>
    <x v="2"/>
    <x v="3"/>
    <x v="10"/>
    <x v="5"/>
    <x v="4"/>
    <n v="6"/>
    <n v="28319.55"/>
    <n v="169917.3"/>
    <s v="Sneha Prasad"/>
    <n v="57"/>
    <x v="2"/>
    <x v="0"/>
    <n v="5"/>
    <x v="0"/>
    <x v="11"/>
  </r>
  <r>
    <n v="2387"/>
    <x v="678"/>
    <n v="18"/>
    <n v="8"/>
    <x v="2"/>
    <x v="3"/>
    <x v="10"/>
    <x v="6"/>
    <x v="2"/>
    <n v="2"/>
    <n v="63794.29"/>
    <n v="127588.58"/>
    <s v="Ramesh Solanki"/>
    <n v="58"/>
    <x v="14"/>
    <x v="1"/>
    <n v="4"/>
    <x v="0"/>
    <x v="4"/>
  </r>
  <r>
    <n v="2388"/>
    <x v="678"/>
    <n v="18"/>
    <n v="8"/>
    <x v="2"/>
    <x v="3"/>
    <x v="10"/>
    <x v="6"/>
    <x v="4"/>
    <n v="5"/>
    <n v="48483.59"/>
    <n v="242417.94999999998"/>
    <s v="Anjali Desai"/>
    <n v="49"/>
    <x v="10"/>
    <x v="3"/>
    <n v="4"/>
    <x v="0"/>
    <x v="7"/>
  </r>
  <r>
    <n v="2389"/>
    <x v="678"/>
    <n v="18"/>
    <n v="8"/>
    <x v="2"/>
    <x v="3"/>
    <x v="10"/>
    <x v="6"/>
    <x v="4"/>
    <n v="4"/>
    <n v="56207.88"/>
    <n v="224831.52"/>
    <s v="Namita Siddiqui"/>
    <n v="55"/>
    <x v="1"/>
    <x v="3"/>
    <n v="2"/>
    <x v="2"/>
    <x v="14"/>
  </r>
  <r>
    <n v="2390"/>
    <x v="678"/>
    <n v="18"/>
    <n v="8"/>
    <x v="2"/>
    <x v="3"/>
    <x v="10"/>
    <x v="6"/>
    <x v="3"/>
    <n v="7"/>
    <n v="18493.13"/>
    <n v="129451.91"/>
    <s v="Ravi Kumar"/>
    <n v="45"/>
    <x v="13"/>
    <x v="1"/>
    <n v="2"/>
    <x v="2"/>
    <x v="8"/>
  </r>
  <r>
    <n v="2391"/>
    <x v="679"/>
    <n v="19"/>
    <n v="8"/>
    <x v="2"/>
    <x v="3"/>
    <x v="10"/>
    <x v="0"/>
    <x v="3"/>
    <n v="7"/>
    <n v="60047.53"/>
    <n v="420332.70999999996"/>
    <s v="Kavita Kumar"/>
    <n v="32"/>
    <x v="11"/>
    <x v="0"/>
    <n v="2"/>
    <x v="2"/>
    <x v="12"/>
  </r>
  <r>
    <n v="2392"/>
    <x v="679"/>
    <n v="19"/>
    <n v="8"/>
    <x v="2"/>
    <x v="3"/>
    <x v="10"/>
    <x v="0"/>
    <x v="4"/>
    <n v="6"/>
    <n v="10488.77"/>
    <n v="62932.62"/>
    <s v="Vinod Dutta"/>
    <n v="40"/>
    <x v="1"/>
    <x v="2"/>
    <n v="5"/>
    <x v="0"/>
    <x v="7"/>
  </r>
  <r>
    <n v="2393"/>
    <x v="679"/>
    <n v="19"/>
    <n v="8"/>
    <x v="2"/>
    <x v="3"/>
    <x v="10"/>
    <x v="0"/>
    <x v="0"/>
    <n v="5"/>
    <n v="22783.439999999999"/>
    <n v="113917.2"/>
    <s v="Namita Goyal"/>
    <n v="41"/>
    <x v="1"/>
    <x v="2"/>
    <n v="2"/>
    <x v="2"/>
    <x v="10"/>
  </r>
  <r>
    <n v="2394"/>
    <x v="679"/>
    <n v="19"/>
    <n v="8"/>
    <x v="2"/>
    <x v="3"/>
    <x v="10"/>
    <x v="0"/>
    <x v="4"/>
    <n v="1"/>
    <n v="46965.54"/>
    <n v="46965.54"/>
    <s v="Kiran Rathod"/>
    <n v="30"/>
    <x v="11"/>
    <x v="1"/>
    <n v="2"/>
    <x v="2"/>
    <x v="14"/>
  </r>
  <r>
    <n v="2395"/>
    <x v="680"/>
    <n v="20"/>
    <n v="8"/>
    <x v="2"/>
    <x v="3"/>
    <x v="10"/>
    <x v="1"/>
    <x v="4"/>
    <n v="3"/>
    <n v="32514.78"/>
    <n v="97544.34"/>
    <s v="Priyanka Teja"/>
    <n v="38"/>
    <x v="9"/>
    <x v="1"/>
    <n v="5"/>
    <x v="0"/>
    <x v="11"/>
  </r>
  <r>
    <n v="2396"/>
    <x v="680"/>
    <n v="20"/>
    <n v="8"/>
    <x v="2"/>
    <x v="3"/>
    <x v="10"/>
    <x v="1"/>
    <x v="1"/>
    <n v="9"/>
    <n v="69051.600000000006"/>
    <n v="621464.4"/>
    <s v="Sunil Menon"/>
    <n v="29"/>
    <x v="14"/>
    <x v="1"/>
    <n v="3"/>
    <x v="1"/>
    <x v="9"/>
  </r>
  <r>
    <n v="2397"/>
    <x v="680"/>
    <n v="20"/>
    <n v="8"/>
    <x v="2"/>
    <x v="3"/>
    <x v="10"/>
    <x v="1"/>
    <x v="1"/>
    <n v="1"/>
    <n v="11820.35"/>
    <n v="11820.35"/>
    <s v="Neeta Deshmukh"/>
    <n v="30"/>
    <x v="1"/>
    <x v="3"/>
    <n v="2"/>
    <x v="2"/>
    <x v="2"/>
  </r>
  <r>
    <n v="2398"/>
    <x v="680"/>
    <n v="20"/>
    <n v="8"/>
    <x v="2"/>
    <x v="3"/>
    <x v="10"/>
    <x v="1"/>
    <x v="1"/>
    <n v="5"/>
    <n v="69915.89"/>
    <n v="349579.45"/>
    <s v="Krishna Goyal"/>
    <n v="56"/>
    <x v="1"/>
    <x v="0"/>
    <n v="3"/>
    <x v="1"/>
    <x v="1"/>
  </r>
  <r>
    <n v="2399"/>
    <x v="681"/>
    <n v="21"/>
    <n v="8"/>
    <x v="2"/>
    <x v="3"/>
    <x v="10"/>
    <x v="2"/>
    <x v="0"/>
    <n v="2"/>
    <n v="47417.67"/>
    <n v="94835.34"/>
    <s v="Anjali Roy"/>
    <n v="40"/>
    <x v="18"/>
    <x v="0"/>
    <n v="4"/>
    <x v="0"/>
    <x v="3"/>
  </r>
  <r>
    <n v="2400"/>
    <x v="681"/>
    <n v="21"/>
    <n v="8"/>
    <x v="2"/>
    <x v="3"/>
    <x v="10"/>
    <x v="2"/>
    <x v="0"/>
    <n v="4"/>
    <n v="43522.42"/>
    <n v="174089.68"/>
    <s v="Lata Reddy"/>
    <n v="45"/>
    <x v="1"/>
    <x v="1"/>
    <n v="4"/>
    <x v="0"/>
    <x v="3"/>
  </r>
  <r>
    <n v="2401"/>
    <x v="681"/>
    <n v="21"/>
    <n v="8"/>
    <x v="2"/>
    <x v="3"/>
    <x v="10"/>
    <x v="2"/>
    <x v="4"/>
    <n v="1"/>
    <n v="13570.75"/>
    <n v="13570.75"/>
    <s v="Lata Chatterjee"/>
    <n v="31"/>
    <x v="14"/>
    <x v="2"/>
    <n v="5"/>
    <x v="0"/>
    <x v="14"/>
  </r>
  <r>
    <n v="2402"/>
    <x v="682"/>
    <n v="22"/>
    <n v="8"/>
    <x v="2"/>
    <x v="3"/>
    <x v="10"/>
    <x v="3"/>
    <x v="1"/>
    <n v="3"/>
    <n v="26399.73"/>
    <n v="79199.19"/>
    <s v="Shruti Shah"/>
    <n v="34"/>
    <x v="1"/>
    <x v="3"/>
    <n v="2"/>
    <x v="2"/>
    <x v="1"/>
  </r>
  <r>
    <n v="2403"/>
    <x v="682"/>
    <n v="22"/>
    <n v="8"/>
    <x v="2"/>
    <x v="3"/>
    <x v="10"/>
    <x v="3"/>
    <x v="0"/>
    <n v="7"/>
    <n v="65479.76"/>
    <n v="458358.32"/>
    <s v="Kiran Joshi"/>
    <n v="41"/>
    <x v="8"/>
    <x v="1"/>
    <n v="5"/>
    <x v="0"/>
    <x v="3"/>
  </r>
  <r>
    <n v="2404"/>
    <x v="682"/>
    <n v="22"/>
    <n v="8"/>
    <x v="2"/>
    <x v="3"/>
    <x v="10"/>
    <x v="3"/>
    <x v="3"/>
    <n v="3"/>
    <n v="31254.76"/>
    <n v="93764.28"/>
    <s v="Priya Prasad"/>
    <n v="51"/>
    <x v="3"/>
    <x v="3"/>
    <n v="2"/>
    <x v="2"/>
    <x v="5"/>
  </r>
  <r>
    <n v="2405"/>
    <x v="683"/>
    <n v="23"/>
    <n v="8"/>
    <x v="2"/>
    <x v="3"/>
    <x v="10"/>
    <x v="4"/>
    <x v="4"/>
    <n v="4"/>
    <n v="49699.19"/>
    <n v="198796.76"/>
    <s v="Bina Joshi"/>
    <n v="39"/>
    <x v="10"/>
    <x v="1"/>
    <n v="4"/>
    <x v="0"/>
    <x v="7"/>
  </r>
  <r>
    <n v="2406"/>
    <x v="683"/>
    <n v="23"/>
    <n v="8"/>
    <x v="2"/>
    <x v="3"/>
    <x v="10"/>
    <x v="4"/>
    <x v="2"/>
    <n v="2"/>
    <n v="69969.78"/>
    <n v="139939.56"/>
    <s v="Rajesh Mishra"/>
    <n v="27"/>
    <x v="6"/>
    <x v="3"/>
    <n v="5"/>
    <x v="0"/>
    <x v="6"/>
  </r>
  <r>
    <n v="2407"/>
    <x v="683"/>
    <n v="23"/>
    <n v="8"/>
    <x v="2"/>
    <x v="3"/>
    <x v="10"/>
    <x v="4"/>
    <x v="4"/>
    <n v="3"/>
    <n v="25784.18"/>
    <n v="77352.540000000008"/>
    <s v="Namita Das"/>
    <n v="25"/>
    <x v="9"/>
    <x v="2"/>
    <n v="5"/>
    <x v="0"/>
    <x v="14"/>
  </r>
  <r>
    <n v="2408"/>
    <x v="683"/>
    <n v="23"/>
    <n v="8"/>
    <x v="2"/>
    <x v="3"/>
    <x v="10"/>
    <x v="4"/>
    <x v="2"/>
    <n v="9"/>
    <n v="44564.85"/>
    <n v="401083.64999999997"/>
    <s v="Sachin Kaur"/>
    <n v="38"/>
    <x v="7"/>
    <x v="2"/>
    <n v="2"/>
    <x v="2"/>
    <x v="6"/>
  </r>
  <r>
    <n v="2409"/>
    <x v="684"/>
    <n v="24"/>
    <n v="8"/>
    <x v="2"/>
    <x v="3"/>
    <x v="10"/>
    <x v="5"/>
    <x v="1"/>
    <n v="3"/>
    <n v="51786.27"/>
    <n v="155358.81"/>
    <s v="Devendra Singh"/>
    <n v="54"/>
    <x v="1"/>
    <x v="2"/>
    <n v="4"/>
    <x v="0"/>
    <x v="2"/>
  </r>
  <r>
    <n v="2410"/>
    <x v="684"/>
    <n v="24"/>
    <n v="8"/>
    <x v="2"/>
    <x v="3"/>
    <x v="10"/>
    <x v="5"/>
    <x v="2"/>
    <n v="5"/>
    <n v="19877.63"/>
    <n v="99388.150000000009"/>
    <s v="Deepika Iyer"/>
    <n v="24"/>
    <x v="1"/>
    <x v="2"/>
    <n v="4"/>
    <x v="0"/>
    <x v="4"/>
  </r>
  <r>
    <n v="2411"/>
    <x v="684"/>
    <n v="24"/>
    <n v="8"/>
    <x v="2"/>
    <x v="3"/>
    <x v="10"/>
    <x v="5"/>
    <x v="1"/>
    <n v="2"/>
    <n v="18920.349999999999"/>
    <n v="37840.699999999997"/>
    <s v="Pankaj Pathak"/>
    <n v="43"/>
    <x v="2"/>
    <x v="0"/>
    <n v="2"/>
    <x v="2"/>
    <x v="2"/>
  </r>
  <r>
    <n v="2412"/>
    <x v="685"/>
    <n v="25"/>
    <n v="8"/>
    <x v="2"/>
    <x v="3"/>
    <x v="10"/>
    <x v="6"/>
    <x v="3"/>
    <n v="4"/>
    <n v="37378.47"/>
    <n v="149513.88"/>
    <s v="Sunil Siddiqui"/>
    <n v="30"/>
    <x v="13"/>
    <x v="0"/>
    <n v="2"/>
    <x v="2"/>
    <x v="8"/>
  </r>
  <r>
    <n v="2413"/>
    <x v="685"/>
    <n v="25"/>
    <n v="8"/>
    <x v="2"/>
    <x v="3"/>
    <x v="10"/>
    <x v="6"/>
    <x v="2"/>
    <n v="7"/>
    <n v="33148.75"/>
    <n v="232041.25"/>
    <s v="Namita Roy"/>
    <n v="33"/>
    <x v="15"/>
    <x v="3"/>
    <n v="2"/>
    <x v="2"/>
    <x v="13"/>
  </r>
  <r>
    <n v="2414"/>
    <x v="685"/>
    <n v="25"/>
    <n v="8"/>
    <x v="2"/>
    <x v="3"/>
    <x v="10"/>
    <x v="6"/>
    <x v="4"/>
    <n v="7"/>
    <n v="52852.93"/>
    <n v="369970.51"/>
    <s v="Navin Chaudhary"/>
    <n v="47"/>
    <x v="16"/>
    <x v="1"/>
    <n v="4"/>
    <x v="0"/>
    <x v="14"/>
  </r>
  <r>
    <n v="2415"/>
    <x v="685"/>
    <n v="25"/>
    <n v="8"/>
    <x v="2"/>
    <x v="3"/>
    <x v="10"/>
    <x v="6"/>
    <x v="1"/>
    <n v="3"/>
    <n v="14170.53"/>
    <n v="42511.590000000004"/>
    <s v="Sunita Iyer"/>
    <n v="48"/>
    <x v="1"/>
    <x v="0"/>
    <n v="4"/>
    <x v="0"/>
    <x v="2"/>
  </r>
  <r>
    <n v="2416"/>
    <x v="686"/>
    <n v="26"/>
    <n v="8"/>
    <x v="2"/>
    <x v="3"/>
    <x v="10"/>
    <x v="0"/>
    <x v="4"/>
    <n v="5"/>
    <n v="68330"/>
    <n v="341650"/>
    <s v="Kavita Mehta"/>
    <n v="22"/>
    <x v="2"/>
    <x v="1"/>
    <n v="5"/>
    <x v="0"/>
    <x v="14"/>
  </r>
  <r>
    <n v="2417"/>
    <x v="686"/>
    <n v="26"/>
    <n v="8"/>
    <x v="2"/>
    <x v="3"/>
    <x v="10"/>
    <x v="0"/>
    <x v="0"/>
    <n v="1"/>
    <n v="10856.62"/>
    <n v="10856.62"/>
    <s v="Harish Goyal"/>
    <n v="49"/>
    <x v="13"/>
    <x v="3"/>
    <n v="4"/>
    <x v="0"/>
    <x v="0"/>
  </r>
  <r>
    <n v="2418"/>
    <x v="686"/>
    <n v="26"/>
    <n v="8"/>
    <x v="2"/>
    <x v="3"/>
    <x v="10"/>
    <x v="0"/>
    <x v="1"/>
    <n v="1"/>
    <n v="46079.01"/>
    <n v="46079.01"/>
    <s v="Sachin Shah"/>
    <n v="33"/>
    <x v="7"/>
    <x v="1"/>
    <n v="3"/>
    <x v="1"/>
    <x v="2"/>
  </r>
  <r>
    <n v="2419"/>
    <x v="686"/>
    <n v="26"/>
    <n v="8"/>
    <x v="2"/>
    <x v="3"/>
    <x v="10"/>
    <x v="0"/>
    <x v="2"/>
    <n v="5"/>
    <n v="43757.96"/>
    <n v="218789.8"/>
    <s v="Sumit Nambiar"/>
    <n v="26"/>
    <x v="12"/>
    <x v="2"/>
    <n v="3"/>
    <x v="1"/>
    <x v="6"/>
  </r>
  <r>
    <n v="2420"/>
    <x v="687"/>
    <n v="27"/>
    <n v="8"/>
    <x v="2"/>
    <x v="3"/>
    <x v="10"/>
    <x v="1"/>
    <x v="1"/>
    <n v="9"/>
    <n v="18082.939999999999"/>
    <n v="162746.46"/>
    <s v="Amit Patel"/>
    <n v="39"/>
    <x v="7"/>
    <x v="2"/>
    <n v="2"/>
    <x v="2"/>
    <x v="9"/>
  </r>
  <r>
    <n v="2421"/>
    <x v="687"/>
    <n v="27"/>
    <n v="8"/>
    <x v="2"/>
    <x v="3"/>
    <x v="10"/>
    <x v="1"/>
    <x v="4"/>
    <n v="1"/>
    <n v="19054.96"/>
    <n v="19054.96"/>
    <s v="Vijay Bhattacharya"/>
    <n v="57"/>
    <x v="8"/>
    <x v="0"/>
    <n v="2"/>
    <x v="2"/>
    <x v="7"/>
  </r>
  <r>
    <n v="2422"/>
    <x v="687"/>
    <n v="27"/>
    <n v="8"/>
    <x v="2"/>
    <x v="3"/>
    <x v="10"/>
    <x v="1"/>
    <x v="3"/>
    <n v="1"/>
    <n v="57560.65"/>
    <n v="57560.65"/>
    <s v="Monika Deshmukh"/>
    <n v="54"/>
    <x v="16"/>
    <x v="3"/>
    <n v="2"/>
    <x v="2"/>
    <x v="12"/>
  </r>
  <r>
    <n v="2423"/>
    <x v="688"/>
    <n v="28"/>
    <n v="8"/>
    <x v="2"/>
    <x v="3"/>
    <x v="10"/>
    <x v="2"/>
    <x v="1"/>
    <n v="4"/>
    <n v="63253.75"/>
    <n v="253015"/>
    <s v="Vinod Kaur"/>
    <n v="31"/>
    <x v="17"/>
    <x v="0"/>
    <n v="5"/>
    <x v="0"/>
    <x v="9"/>
  </r>
  <r>
    <n v="2424"/>
    <x v="688"/>
    <n v="28"/>
    <n v="8"/>
    <x v="2"/>
    <x v="3"/>
    <x v="10"/>
    <x v="2"/>
    <x v="2"/>
    <n v="4"/>
    <n v="26981.02"/>
    <n v="107924.08"/>
    <s v="Namita Varma"/>
    <n v="33"/>
    <x v="14"/>
    <x v="0"/>
    <n v="3"/>
    <x v="1"/>
    <x v="6"/>
  </r>
  <r>
    <n v="2425"/>
    <x v="688"/>
    <n v="28"/>
    <n v="8"/>
    <x v="2"/>
    <x v="3"/>
    <x v="10"/>
    <x v="2"/>
    <x v="0"/>
    <n v="2"/>
    <n v="36277.839999999997"/>
    <n v="72555.679999999993"/>
    <s v="Pankaj Shah"/>
    <n v="37"/>
    <x v="1"/>
    <x v="0"/>
    <n v="3"/>
    <x v="1"/>
    <x v="3"/>
  </r>
  <r>
    <n v="2426"/>
    <x v="689"/>
    <n v="29"/>
    <n v="8"/>
    <x v="2"/>
    <x v="3"/>
    <x v="10"/>
    <x v="3"/>
    <x v="3"/>
    <n v="9"/>
    <n v="31299.7"/>
    <n v="281697.3"/>
    <s v="Lalita Rao"/>
    <n v="32"/>
    <x v="1"/>
    <x v="3"/>
    <n v="4"/>
    <x v="0"/>
    <x v="5"/>
  </r>
  <r>
    <n v="2427"/>
    <x v="689"/>
    <n v="29"/>
    <n v="8"/>
    <x v="2"/>
    <x v="3"/>
    <x v="10"/>
    <x v="3"/>
    <x v="0"/>
    <n v="9"/>
    <n v="14352.82"/>
    <n v="129175.38"/>
    <s v="Jyoti Alva"/>
    <n v="43"/>
    <x v="2"/>
    <x v="2"/>
    <n v="3"/>
    <x v="1"/>
    <x v="3"/>
  </r>
  <r>
    <n v="2428"/>
    <x v="689"/>
    <n v="29"/>
    <n v="8"/>
    <x v="2"/>
    <x v="3"/>
    <x v="10"/>
    <x v="3"/>
    <x v="1"/>
    <n v="2"/>
    <n v="50392.25"/>
    <n v="100784.5"/>
    <s v="Jyoti Pillai"/>
    <n v="26"/>
    <x v="2"/>
    <x v="2"/>
    <n v="4"/>
    <x v="0"/>
    <x v="1"/>
  </r>
  <r>
    <n v="2429"/>
    <x v="689"/>
    <n v="29"/>
    <n v="8"/>
    <x v="2"/>
    <x v="3"/>
    <x v="10"/>
    <x v="3"/>
    <x v="4"/>
    <n v="9"/>
    <n v="59511.58"/>
    <n v="535604.22"/>
    <s v="Sneha Ghosh"/>
    <n v="18"/>
    <x v="14"/>
    <x v="0"/>
    <n v="5"/>
    <x v="0"/>
    <x v="7"/>
  </r>
  <r>
    <n v="2430"/>
    <x v="690"/>
    <n v="30"/>
    <n v="8"/>
    <x v="2"/>
    <x v="3"/>
    <x v="10"/>
    <x v="4"/>
    <x v="4"/>
    <n v="6"/>
    <n v="28292.76"/>
    <n v="169756.56"/>
    <s v="Ayesha Bhattacharya"/>
    <n v="52"/>
    <x v="12"/>
    <x v="1"/>
    <n v="2"/>
    <x v="2"/>
    <x v="14"/>
  </r>
  <r>
    <n v="2431"/>
    <x v="690"/>
    <n v="30"/>
    <n v="8"/>
    <x v="2"/>
    <x v="3"/>
    <x v="10"/>
    <x v="4"/>
    <x v="2"/>
    <n v="8"/>
    <n v="69410.55"/>
    <n v="555284.4"/>
    <s v="Pankaj Bhattacharya"/>
    <n v="37"/>
    <x v="2"/>
    <x v="2"/>
    <n v="2"/>
    <x v="2"/>
    <x v="13"/>
  </r>
  <r>
    <n v="2432"/>
    <x v="690"/>
    <n v="30"/>
    <n v="8"/>
    <x v="2"/>
    <x v="3"/>
    <x v="10"/>
    <x v="4"/>
    <x v="4"/>
    <n v="4"/>
    <n v="14551.09"/>
    <n v="58204.36"/>
    <s v="Sanjay Mehta"/>
    <n v="23"/>
    <x v="4"/>
    <x v="2"/>
    <n v="4"/>
    <x v="0"/>
    <x v="11"/>
  </r>
  <r>
    <n v="2433"/>
    <x v="690"/>
    <n v="30"/>
    <n v="8"/>
    <x v="2"/>
    <x v="3"/>
    <x v="10"/>
    <x v="4"/>
    <x v="3"/>
    <n v="2"/>
    <n v="49707.44"/>
    <n v="99414.88"/>
    <s v="Lalita Rao"/>
    <n v="59"/>
    <x v="9"/>
    <x v="3"/>
    <n v="5"/>
    <x v="0"/>
    <x v="8"/>
  </r>
  <r>
    <n v="2434"/>
    <x v="691"/>
    <n v="31"/>
    <n v="8"/>
    <x v="2"/>
    <x v="3"/>
    <x v="10"/>
    <x v="5"/>
    <x v="4"/>
    <n v="2"/>
    <n v="36893.68"/>
    <n v="73787.360000000001"/>
    <s v="Devendra Varma"/>
    <n v="27"/>
    <x v="12"/>
    <x v="2"/>
    <n v="4"/>
    <x v="0"/>
    <x v="14"/>
  </r>
  <r>
    <n v="2435"/>
    <x v="691"/>
    <n v="31"/>
    <n v="8"/>
    <x v="2"/>
    <x v="3"/>
    <x v="10"/>
    <x v="5"/>
    <x v="2"/>
    <n v="9"/>
    <n v="36796.11"/>
    <n v="331164.99"/>
    <s v="Shruti Shah"/>
    <n v="50"/>
    <x v="5"/>
    <x v="2"/>
    <n v="5"/>
    <x v="0"/>
    <x v="4"/>
  </r>
  <r>
    <n v="2436"/>
    <x v="691"/>
    <n v="31"/>
    <n v="8"/>
    <x v="2"/>
    <x v="3"/>
    <x v="10"/>
    <x v="5"/>
    <x v="1"/>
    <n v="1"/>
    <n v="37458.74"/>
    <n v="37458.74"/>
    <s v="Tapan Varma"/>
    <n v="33"/>
    <x v="1"/>
    <x v="0"/>
    <n v="3"/>
    <x v="1"/>
    <x v="1"/>
  </r>
  <r>
    <n v="2437"/>
    <x v="691"/>
    <n v="31"/>
    <n v="8"/>
    <x v="2"/>
    <x v="3"/>
    <x v="10"/>
    <x v="5"/>
    <x v="1"/>
    <n v="7"/>
    <n v="25520.91"/>
    <n v="178646.37"/>
    <s v="Manoj Iyer"/>
    <n v="53"/>
    <x v="6"/>
    <x v="0"/>
    <n v="4"/>
    <x v="0"/>
    <x v="9"/>
  </r>
  <r>
    <n v="2438"/>
    <x v="692"/>
    <n v="1"/>
    <n v="9"/>
    <x v="2"/>
    <x v="3"/>
    <x v="11"/>
    <x v="6"/>
    <x v="4"/>
    <n v="3"/>
    <n v="52933.77"/>
    <n v="158801.31"/>
    <s v="Kavita Desai"/>
    <n v="23"/>
    <x v="2"/>
    <x v="3"/>
    <n v="5"/>
    <x v="0"/>
    <x v="11"/>
  </r>
  <r>
    <n v="2439"/>
    <x v="692"/>
    <n v="1"/>
    <n v="9"/>
    <x v="2"/>
    <x v="3"/>
    <x v="11"/>
    <x v="6"/>
    <x v="0"/>
    <n v="3"/>
    <n v="53294.59"/>
    <n v="159883.76999999999"/>
    <s v="Meena Srivastava"/>
    <n v="36"/>
    <x v="1"/>
    <x v="3"/>
    <n v="2"/>
    <x v="2"/>
    <x v="0"/>
  </r>
  <r>
    <n v="2440"/>
    <x v="692"/>
    <n v="1"/>
    <n v="9"/>
    <x v="2"/>
    <x v="3"/>
    <x v="11"/>
    <x v="6"/>
    <x v="1"/>
    <n v="2"/>
    <n v="26943.83"/>
    <n v="53887.66"/>
    <s v="Jyoti Bhattacharya"/>
    <n v="48"/>
    <x v="1"/>
    <x v="1"/>
    <n v="5"/>
    <x v="0"/>
    <x v="1"/>
  </r>
  <r>
    <n v="2441"/>
    <x v="693"/>
    <n v="2"/>
    <n v="9"/>
    <x v="2"/>
    <x v="3"/>
    <x v="11"/>
    <x v="0"/>
    <x v="4"/>
    <n v="6"/>
    <n v="60118.39"/>
    <n v="360710.33999999997"/>
    <s v="Amit Sheth"/>
    <n v="19"/>
    <x v="16"/>
    <x v="2"/>
    <n v="5"/>
    <x v="0"/>
    <x v="11"/>
  </r>
  <r>
    <n v="2442"/>
    <x v="693"/>
    <n v="2"/>
    <n v="9"/>
    <x v="2"/>
    <x v="3"/>
    <x v="11"/>
    <x v="0"/>
    <x v="2"/>
    <n v="2"/>
    <n v="29010.7"/>
    <n v="58021.4"/>
    <s v="Prashant Rathod"/>
    <n v="35"/>
    <x v="2"/>
    <x v="0"/>
    <n v="4"/>
    <x v="0"/>
    <x v="13"/>
  </r>
  <r>
    <n v="2443"/>
    <x v="693"/>
    <n v="2"/>
    <n v="9"/>
    <x v="2"/>
    <x v="3"/>
    <x v="11"/>
    <x v="0"/>
    <x v="4"/>
    <n v="4"/>
    <n v="53505.59"/>
    <n v="214022.36"/>
    <s v="Anjali Rao"/>
    <n v="59"/>
    <x v="8"/>
    <x v="0"/>
    <n v="3"/>
    <x v="1"/>
    <x v="14"/>
  </r>
  <r>
    <n v="2444"/>
    <x v="693"/>
    <n v="2"/>
    <n v="9"/>
    <x v="2"/>
    <x v="3"/>
    <x v="11"/>
    <x v="0"/>
    <x v="1"/>
    <n v="9"/>
    <n v="17259.990000000002"/>
    <n v="155339.91"/>
    <s v="Prashant Rathod"/>
    <n v="45"/>
    <x v="1"/>
    <x v="2"/>
    <n v="4"/>
    <x v="0"/>
    <x v="9"/>
  </r>
  <r>
    <n v="2445"/>
    <x v="694"/>
    <n v="3"/>
    <n v="9"/>
    <x v="2"/>
    <x v="3"/>
    <x v="11"/>
    <x v="1"/>
    <x v="2"/>
    <n v="9"/>
    <n v="20122.099999999999"/>
    <n v="181098.9"/>
    <s v="Lata Rawat"/>
    <n v="21"/>
    <x v="4"/>
    <x v="3"/>
    <n v="5"/>
    <x v="0"/>
    <x v="13"/>
  </r>
  <r>
    <n v="2446"/>
    <x v="694"/>
    <n v="3"/>
    <n v="9"/>
    <x v="2"/>
    <x v="3"/>
    <x v="11"/>
    <x v="1"/>
    <x v="4"/>
    <n v="6"/>
    <n v="28947.74"/>
    <n v="173686.44"/>
    <s v="Lata Dutta"/>
    <n v="18"/>
    <x v="14"/>
    <x v="0"/>
    <n v="5"/>
    <x v="0"/>
    <x v="14"/>
  </r>
  <r>
    <n v="2447"/>
    <x v="694"/>
    <n v="3"/>
    <n v="9"/>
    <x v="2"/>
    <x v="3"/>
    <x v="11"/>
    <x v="1"/>
    <x v="3"/>
    <n v="4"/>
    <n v="45632.43"/>
    <n v="182529.72"/>
    <s v="Arun Kumar"/>
    <n v="59"/>
    <x v="6"/>
    <x v="3"/>
    <n v="2"/>
    <x v="2"/>
    <x v="8"/>
  </r>
  <r>
    <n v="2448"/>
    <x v="694"/>
    <n v="3"/>
    <n v="9"/>
    <x v="2"/>
    <x v="3"/>
    <x v="11"/>
    <x v="1"/>
    <x v="2"/>
    <n v="7"/>
    <n v="48730.69"/>
    <n v="341114.83"/>
    <s v="Sumit Joshi"/>
    <n v="33"/>
    <x v="16"/>
    <x v="0"/>
    <n v="3"/>
    <x v="1"/>
    <x v="4"/>
  </r>
  <r>
    <n v="2449"/>
    <x v="695"/>
    <n v="4"/>
    <n v="9"/>
    <x v="2"/>
    <x v="3"/>
    <x v="11"/>
    <x v="2"/>
    <x v="3"/>
    <n v="1"/>
    <n v="33781.370000000003"/>
    <n v="33781.370000000003"/>
    <s v="Namita Sheth"/>
    <n v="19"/>
    <x v="18"/>
    <x v="0"/>
    <n v="3"/>
    <x v="1"/>
    <x v="12"/>
  </r>
  <r>
    <n v="2450"/>
    <x v="695"/>
    <n v="4"/>
    <n v="9"/>
    <x v="2"/>
    <x v="3"/>
    <x v="11"/>
    <x v="2"/>
    <x v="0"/>
    <n v="4"/>
    <n v="14670.35"/>
    <n v="58681.4"/>
    <s v="Isha Dutta"/>
    <n v="53"/>
    <x v="8"/>
    <x v="1"/>
    <n v="5"/>
    <x v="0"/>
    <x v="10"/>
  </r>
  <r>
    <n v="2451"/>
    <x v="695"/>
    <n v="4"/>
    <n v="9"/>
    <x v="2"/>
    <x v="3"/>
    <x v="11"/>
    <x v="2"/>
    <x v="2"/>
    <n v="5"/>
    <n v="32418.080000000002"/>
    <n v="162090.40000000002"/>
    <s v="Vinod Nair"/>
    <n v="18"/>
    <x v="14"/>
    <x v="0"/>
    <n v="5"/>
    <x v="0"/>
    <x v="6"/>
  </r>
  <r>
    <n v="2452"/>
    <x v="695"/>
    <n v="4"/>
    <n v="9"/>
    <x v="2"/>
    <x v="3"/>
    <x v="11"/>
    <x v="2"/>
    <x v="3"/>
    <n v="8"/>
    <n v="51326.05"/>
    <n v="410608.4"/>
    <s v="Namita Kapoor"/>
    <n v="56"/>
    <x v="2"/>
    <x v="2"/>
    <n v="4"/>
    <x v="0"/>
    <x v="12"/>
  </r>
  <r>
    <n v="2453"/>
    <x v="696"/>
    <n v="5"/>
    <n v="9"/>
    <x v="2"/>
    <x v="3"/>
    <x v="11"/>
    <x v="3"/>
    <x v="1"/>
    <n v="2"/>
    <n v="50259.73"/>
    <n v="100519.46"/>
    <s v="Kavita Kaur"/>
    <n v="40"/>
    <x v="8"/>
    <x v="2"/>
    <n v="4"/>
    <x v="0"/>
    <x v="2"/>
  </r>
  <r>
    <n v="2454"/>
    <x v="696"/>
    <n v="5"/>
    <n v="9"/>
    <x v="2"/>
    <x v="3"/>
    <x v="11"/>
    <x v="3"/>
    <x v="1"/>
    <n v="5"/>
    <n v="19611.78"/>
    <n v="98058.9"/>
    <s v="Ramesh Joshi"/>
    <n v="43"/>
    <x v="16"/>
    <x v="2"/>
    <n v="2"/>
    <x v="2"/>
    <x v="9"/>
  </r>
  <r>
    <n v="2455"/>
    <x v="696"/>
    <n v="5"/>
    <n v="9"/>
    <x v="2"/>
    <x v="3"/>
    <x v="11"/>
    <x v="3"/>
    <x v="0"/>
    <n v="6"/>
    <n v="10467.040000000001"/>
    <n v="62802.240000000005"/>
    <s v="Reena Bhattacharya"/>
    <n v="28"/>
    <x v="0"/>
    <x v="3"/>
    <n v="5"/>
    <x v="0"/>
    <x v="10"/>
  </r>
  <r>
    <n v="2456"/>
    <x v="697"/>
    <n v="6"/>
    <n v="9"/>
    <x v="2"/>
    <x v="3"/>
    <x v="11"/>
    <x v="4"/>
    <x v="2"/>
    <n v="5"/>
    <n v="55178.9"/>
    <n v="275894.5"/>
    <s v="Shruti Shah"/>
    <n v="59"/>
    <x v="1"/>
    <x v="0"/>
    <n v="4"/>
    <x v="0"/>
    <x v="4"/>
  </r>
  <r>
    <n v="2457"/>
    <x v="697"/>
    <n v="6"/>
    <n v="9"/>
    <x v="2"/>
    <x v="3"/>
    <x v="11"/>
    <x v="4"/>
    <x v="2"/>
    <n v="9"/>
    <n v="16382.09"/>
    <n v="147438.81"/>
    <s v="Lalita Thakur"/>
    <n v="18"/>
    <x v="1"/>
    <x v="3"/>
    <n v="2"/>
    <x v="2"/>
    <x v="4"/>
  </r>
  <r>
    <n v="2458"/>
    <x v="697"/>
    <n v="6"/>
    <n v="9"/>
    <x v="2"/>
    <x v="3"/>
    <x v="11"/>
    <x v="4"/>
    <x v="2"/>
    <n v="1"/>
    <n v="14940.95"/>
    <n v="14940.95"/>
    <s v="Sachin Shah"/>
    <n v="28"/>
    <x v="14"/>
    <x v="1"/>
    <n v="3"/>
    <x v="1"/>
    <x v="6"/>
  </r>
  <r>
    <n v="2459"/>
    <x v="697"/>
    <n v="6"/>
    <n v="9"/>
    <x v="2"/>
    <x v="3"/>
    <x v="11"/>
    <x v="4"/>
    <x v="0"/>
    <n v="3"/>
    <n v="10162.07"/>
    <n v="30486.21"/>
    <s v="Pooja Kaur"/>
    <n v="41"/>
    <x v="1"/>
    <x v="0"/>
    <n v="5"/>
    <x v="0"/>
    <x v="3"/>
  </r>
  <r>
    <n v="2460"/>
    <x v="698"/>
    <n v="7"/>
    <n v="9"/>
    <x v="2"/>
    <x v="3"/>
    <x v="11"/>
    <x v="5"/>
    <x v="2"/>
    <n v="2"/>
    <n v="35956.080000000002"/>
    <n v="71912.160000000003"/>
    <s v="Bhavana Yadav"/>
    <n v="27"/>
    <x v="1"/>
    <x v="2"/>
    <n v="5"/>
    <x v="0"/>
    <x v="13"/>
  </r>
  <r>
    <n v="2461"/>
    <x v="698"/>
    <n v="7"/>
    <n v="9"/>
    <x v="2"/>
    <x v="3"/>
    <x v="11"/>
    <x v="5"/>
    <x v="1"/>
    <n v="3"/>
    <n v="40195.83"/>
    <n v="120587.49"/>
    <s v="Gita Rathod"/>
    <n v="31"/>
    <x v="7"/>
    <x v="1"/>
    <n v="5"/>
    <x v="0"/>
    <x v="2"/>
  </r>
  <r>
    <n v="2462"/>
    <x v="698"/>
    <n v="7"/>
    <n v="9"/>
    <x v="2"/>
    <x v="3"/>
    <x v="11"/>
    <x v="5"/>
    <x v="3"/>
    <n v="9"/>
    <n v="48259.839999999997"/>
    <n v="434338.55999999994"/>
    <s v="Kiran Pathak"/>
    <n v="31"/>
    <x v="6"/>
    <x v="1"/>
    <n v="4"/>
    <x v="0"/>
    <x v="12"/>
  </r>
  <r>
    <n v="2463"/>
    <x v="698"/>
    <n v="7"/>
    <n v="9"/>
    <x v="2"/>
    <x v="3"/>
    <x v="11"/>
    <x v="5"/>
    <x v="1"/>
    <n v="9"/>
    <n v="27763.83"/>
    <n v="249874.47000000003"/>
    <s v="Sanjay Malhotra"/>
    <n v="24"/>
    <x v="2"/>
    <x v="0"/>
    <n v="5"/>
    <x v="0"/>
    <x v="2"/>
  </r>
  <r>
    <n v="2464"/>
    <x v="699"/>
    <n v="8"/>
    <n v="9"/>
    <x v="2"/>
    <x v="3"/>
    <x v="11"/>
    <x v="6"/>
    <x v="1"/>
    <n v="2"/>
    <n v="52625.48"/>
    <n v="105250.96"/>
    <s v="Sachin Goyal"/>
    <n v="40"/>
    <x v="7"/>
    <x v="2"/>
    <n v="5"/>
    <x v="0"/>
    <x v="1"/>
  </r>
  <r>
    <n v="2465"/>
    <x v="699"/>
    <n v="8"/>
    <n v="9"/>
    <x v="2"/>
    <x v="3"/>
    <x v="11"/>
    <x v="6"/>
    <x v="3"/>
    <n v="3"/>
    <n v="20159.91"/>
    <n v="60479.729999999996"/>
    <s v="Deepika Malhotra"/>
    <n v="39"/>
    <x v="17"/>
    <x v="3"/>
    <n v="5"/>
    <x v="0"/>
    <x v="12"/>
  </r>
  <r>
    <n v="2466"/>
    <x v="699"/>
    <n v="8"/>
    <n v="9"/>
    <x v="2"/>
    <x v="3"/>
    <x v="11"/>
    <x v="6"/>
    <x v="1"/>
    <n v="4"/>
    <n v="59919.4"/>
    <n v="239677.6"/>
    <s v="Sunil Rao"/>
    <n v="53"/>
    <x v="1"/>
    <x v="0"/>
    <n v="4"/>
    <x v="0"/>
    <x v="9"/>
  </r>
  <r>
    <n v="2467"/>
    <x v="700"/>
    <n v="9"/>
    <n v="9"/>
    <x v="2"/>
    <x v="3"/>
    <x v="11"/>
    <x v="0"/>
    <x v="0"/>
    <n v="9"/>
    <n v="44310.9"/>
    <n v="398798.10000000003"/>
    <s v="Isha Luthra"/>
    <n v="44"/>
    <x v="1"/>
    <x v="2"/>
    <n v="3"/>
    <x v="1"/>
    <x v="0"/>
  </r>
  <r>
    <n v="2468"/>
    <x v="700"/>
    <n v="9"/>
    <n v="9"/>
    <x v="2"/>
    <x v="3"/>
    <x v="11"/>
    <x v="0"/>
    <x v="3"/>
    <n v="3"/>
    <n v="45033.39"/>
    <n v="135100.16999999998"/>
    <s v="Umesh Chaudhary"/>
    <n v="19"/>
    <x v="2"/>
    <x v="1"/>
    <n v="4"/>
    <x v="0"/>
    <x v="5"/>
  </r>
  <r>
    <n v="2469"/>
    <x v="700"/>
    <n v="9"/>
    <n v="9"/>
    <x v="2"/>
    <x v="3"/>
    <x v="11"/>
    <x v="0"/>
    <x v="1"/>
    <n v="7"/>
    <n v="22586.52"/>
    <n v="158105.64000000001"/>
    <s v="Vinod Kaur"/>
    <n v="56"/>
    <x v="16"/>
    <x v="0"/>
    <n v="2"/>
    <x v="2"/>
    <x v="1"/>
  </r>
  <r>
    <n v="2470"/>
    <x v="700"/>
    <n v="9"/>
    <n v="9"/>
    <x v="2"/>
    <x v="3"/>
    <x v="11"/>
    <x v="0"/>
    <x v="4"/>
    <n v="3"/>
    <n v="14446.52"/>
    <n v="43339.56"/>
    <s v="Sumit Solanki"/>
    <n v="36"/>
    <x v="1"/>
    <x v="1"/>
    <n v="4"/>
    <x v="0"/>
    <x v="7"/>
  </r>
  <r>
    <n v="2471"/>
    <x v="701"/>
    <n v="10"/>
    <n v="9"/>
    <x v="2"/>
    <x v="3"/>
    <x v="11"/>
    <x v="1"/>
    <x v="1"/>
    <n v="7"/>
    <n v="37883.49"/>
    <n v="265184.43"/>
    <s v="Radha Kumar"/>
    <n v="24"/>
    <x v="6"/>
    <x v="2"/>
    <n v="2"/>
    <x v="2"/>
    <x v="9"/>
  </r>
  <r>
    <n v="2472"/>
    <x v="701"/>
    <n v="10"/>
    <n v="9"/>
    <x v="2"/>
    <x v="3"/>
    <x v="11"/>
    <x v="1"/>
    <x v="0"/>
    <n v="7"/>
    <n v="46936.72"/>
    <n v="328557.04000000004"/>
    <s v="Nikhil Deshmukh"/>
    <n v="29"/>
    <x v="2"/>
    <x v="3"/>
    <n v="5"/>
    <x v="0"/>
    <x v="3"/>
  </r>
  <r>
    <n v="2473"/>
    <x v="701"/>
    <n v="10"/>
    <n v="9"/>
    <x v="2"/>
    <x v="3"/>
    <x v="11"/>
    <x v="1"/>
    <x v="2"/>
    <n v="9"/>
    <n v="15702.79"/>
    <n v="141325.11000000002"/>
    <s v="Gita Mehta"/>
    <n v="20"/>
    <x v="12"/>
    <x v="3"/>
    <n v="2"/>
    <x v="2"/>
    <x v="13"/>
  </r>
  <r>
    <n v="2474"/>
    <x v="701"/>
    <n v="10"/>
    <n v="9"/>
    <x v="2"/>
    <x v="3"/>
    <x v="11"/>
    <x v="1"/>
    <x v="1"/>
    <n v="2"/>
    <n v="67032.070000000007"/>
    <n v="134064.14000000001"/>
    <s v="Jyoti Kumar"/>
    <n v="22"/>
    <x v="2"/>
    <x v="1"/>
    <n v="5"/>
    <x v="0"/>
    <x v="9"/>
  </r>
  <r>
    <n v="2475"/>
    <x v="702"/>
    <n v="11"/>
    <n v="9"/>
    <x v="2"/>
    <x v="3"/>
    <x v="11"/>
    <x v="2"/>
    <x v="2"/>
    <n v="6"/>
    <n v="68824.86"/>
    <n v="412949.16000000003"/>
    <s v="Lata Kaur"/>
    <n v="25"/>
    <x v="1"/>
    <x v="1"/>
    <n v="2"/>
    <x v="2"/>
    <x v="6"/>
  </r>
  <r>
    <n v="2476"/>
    <x v="702"/>
    <n v="11"/>
    <n v="9"/>
    <x v="2"/>
    <x v="3"/>
    <x v="11"/>
    <x v="2"/>
    <x v="4"/>
    <n v="9"/>
    <n v="42727.4"/>
    <n v="384546.60000000003"/>
    <s v="Isha Yadav"/>
    <n v="31"/>
    <x v="7"/>
    <x v="1"/>
    <n v="4"/>
    <x v="0"/>
    <x v="11"/>
  </r>
  <r>
    <n v="2477"/>
    <x v="702"/>
    <n v="11"/>
    <n v="9"/>
    <x v="2"/>
    <x v="3"/>
    <x v="11"/>
    <x v="2"/>
    <x v="1"/>
    <n v="2"/>
    <n v="67004.149999999994"/>
    <n v="134008.29999999999"/>
    <s v="Namita Srivastava"/>
    <n v="53"/>
    <x v="1"/>
    <x v="0"/>
    <n v="5"/>
    <x v="0"/>
    <x v="2"/>
  </r>
  <r>
    <n v="2478"/>
    <x v="703"/>
    <n v="12"/>
    <n v="9"/>
    <x v="2"/>
    <x v="3"/>
    <x v="11"/>
    <x v="3"/>
    <x v="3"/>
    <n v="2"/>
    <n v="20766.71"/>
    <n v="41533.42"/>
    <s v="Isha Menon"/>
    <n v="24"/>
    <x v="1"/>
    <x v="2"/>
    <n v="5"/>
    <x v="0"/>
    <x v="5"/>
  </r>
  <r>
    <n v="2479"/>
    <x v="703"/>
    <n v="12"/>
    <n v="9"/>
    <x v="2"/>
    <x v="3"/>
    <x v="11"/>
    <x v="3"/>
    <x v="2"/>
    <n v="5"/>
    <n v="11525.24"/>
    <n v="57626.2"/>
    <s v="Sumit Alva"/>
    <n v="24"/>
    <x v="11"/>
    <x v="1"/>
    <n v="2"/>
    <x v="2"/>
    <x v="6"/>
  </r>
  <r>
    <n v="2480"/>
    <x v="703"/>
    <n v="12"/>
    <n v="9"/>
    <x v="2"/>
    <x v="3"/>
    <x v="11"/>
    <x v="3"/>
    <x v="4"/>
    <n v="8"/>
    <n v="12364.57"/>
    <n v="98916.56"/>
    <s v="Lata Bhattacharya"/>
    <n v="49"/>
    <x v="4"/>
    <x v="1"/>
    <n v="5"/>
    <x v="0"/>
    <x v="11"/>
  </r>
  <r>
    <n v="2481"/>
    <x v="703"/>
    <n v="12"/>
    <n v="9"/>
    <x v="2"/>
    <x v="3"/>
    <x v="11"/>
    <x v="3"/>
    <x v="3"/>
    <n v="9"/>
    <n v="45250.75"/>
    <n v="407256.75"/>
    <s v="Shruti Chaudhary"/>
    <n v="25"/>
    <x v="2"/>
    <x v="1"/>
    <n v="2"/>
    <x v="2"/>
    <x v="5"/>
  </r>
  <r>
    <n v="2482"/>
    <x v="704"/>
    <n v="13"/>
    <n v="9"/>
    <x v="2"/>
    <x v="3"/>
    <x v="11"/>
    <x v="4"/>
    <x v="3"/>
    <n v="2"/>
    <n v="13698.51"/>
    <n v="27397.02"/>
    <s v="Rohan Mishra"/>
    <n v="29"/>
    <x v="10"/>
    <x v="3"/>
    <n v="2"/>
    <x v="2"/>
    <x v="8"/>
  </r>
  <r>
    <n v="2483"/>
    <x v="704"/>
    <n v="13"/>
    <n v="9"/>
    <x v="2"/>
    <x v="3"/>
    <x v="11"/>
    <x v="4"/>
    <x v="3"/>
    <n v="5"/>
    <n v="67512.740000000005"/>
    <n v="337563.7"/>
    <s v="Radha Kulkarni"/>
    <n v="27"/>
    <x v="14"/>
    <x v="1"/>
    <n v="2"/>
    <x v="2"/>
    <x v="12"/>
  </r>
  <r>
    <n v="2484"/>
    <x v="704"/>
    <n v="13"/>
    <n v="9"/>
    <x v="2"/>
    <x v="3"/>
    <x v="11"/>
    <x v="4"/>
    <x v="3"/>
    <n v="7"/>
    <n v="18515.990000000002"/>
    <n v="129611.93000000001"/>
    <s v="Amit Sheth"/>
    <n v="31"/>
    <x v="2"/>
    <x v="2"/>
    <n v="4"/>
    <x v="0"/>
    <x v="5"/>
  </r>
  <r>
    <n v="2485"/>
    <x v="705"/>
    <n v="14"/>
    <n v="9"/>
    <x v="2"/>
    <x v="3"/>
    <x v="11"/>
    <x v="5"/>
    <x v="1"/>
    <n v="6"/>
    <n v="28283.37"/>
    <n v="169700.22"/>
    <s v="Vijay Mishra"/>
    <n v="26"/>
    <x v="2"/>
    <x v="3"/>
    <n v="2"/>
    <x v="2"/>
    <x v="9"/>
  </r>
  <r>
    <n v="2486"/>
    <x v="705"/>
    <n v="14"/>
    <n v="9"/>
    <x v="2"/>
    <x v="3"/>
    <x v="11"/>
    <x v="5"/>
    <x v="1"/>
    <n v="6"/>
    <n v="59351.07"/>
    <n v="356106.42"/>
    <s v="Pankaj Nambiar"/>
    <n v="55"/>
    <x v="3"/>
    <x v="2"/>
    <n v="5"/>
    <x v="0"/>
    <x v="2"/>
  </r>
  <r>
    <n v="2487"/>
    <x v="705"/>
    <n v="14"/>
    <n v="9"/>
    <x v="2"/>
    <x v="3"/>
    <x v="11"/>
    <x v="5"/>
    <x v="1"/>
    <n v="7"/>
    <n v="23124.42"/>
    <n v="161870.94"/>
    <s v="Jyoti Jain"/>
    <n v="47"/>
    <x v="18"/>
    <x v="3"/>
    <n v="2"/>
    <x v="2"/>
    <x v="9"/>
  </r>
  <r>
    <n v="2488"/>
    <x v="706"/>
    <n v="15"/>
    <n v="9"/>
    <x v="2"/>
    <x v="3"/>
    <x v="11"/>
    <x v="6"/>
    <x v="4"/>
    <n v="3"/>
    <n v="24578.11"/>
    <n v="73734.33"/>
    <s v="Krishna Mehta"/>
    <n v="22"/>
    <x v="3"/>
    <x v="3"/>
    <n v="3"/>
    <x v="1"/>
    <x v="14"/>
  </r>
  <r>
    <n v="2489"/>
    <x v="706"/>
    <n v="15"/>
    <n v="9"/>
    <x v="2"/>
    <x v="3"/>
    <x v="11"/>
    <x v="6"/>
    <x v="4"/>
    <n v="3"/>
    <n v="48538.54"/>
    <n v="145615.62"/>
    <s v="Lalita Thakur"/>
    <n v="18"/>
    <x v="11"/>
    <x v="0"/>
    <n v="5"/>
    <x v="0"/>
    <x v="11"/>
  </r>
  <r>
    <n v="2490"/>
    <x v="706"/>
    <n v="15"/>
    <n v="9"/>
    <x v="2"/>
    <x v="3"/>
    <x v="11"/>
    <x v="6"/>
    <x v="4"/>
    <n v="9"/>
    <n v="26565.17"/>
    <n v="239086.52999999997"/>
    <s v="Anita Shah"/>
    <n v="18"/>
    <x v="3"/>
    <x v="3"/>
    <n v="4"/>
    <x v="0"/>
    <x v="14"/>
  </r>
  <r>
    <n v="2491"/>
    <x v="706"/>
    <n v="15"/>
    <n v="9"/>
    <x v="2"/>
    <x v="3"/>
    <x v="11"/>
    <x v="6"/>
    <x v="0"/>
    <n v="8"/>
    <n v="23046.86"/>
    <n v="184374.88"/>
    <s v="Anjali Roy"/>
    <n v="37"/>
    <x v="2"/>
    <x v="3"/>
    <n v="3"/>
    <x v="1"/>
    <x v="10"/>
  </r>
  <r>
    <n v="2492"/>
    <x v="707"/>
    <n v="16"/>
    <n v="9"/>
    <x v="2"/>
    <x v="3"/>
    <x v="11"/>
    <x v="0"/>
    <x v="4"/>
    <n v="5"/>
    <n v="25250.66"/>
    <n v="126253.3"/>
    <s v="Jyoti Reddy"/>
    <n v="28"/>
    <x v="2"/>
    <x v="2"/>
    <n v="3"/>
    <x v="1"/>
    <x v="14"/>
  </r>
  <r>
    <n v="2493"/>
    <x v="707"/>
    <n v="16"/>
    <n v="9"/>
    <x v="2"/>
    <x v="3"/>
    <x v="11"/>
    <x v="0"/>
    <x v="1"/>
    <n v="6"/>
    <n v="39438.85"/>
    <n v="236633.09999999998"/>
    <s v="Tanuja Goyal"/>
    <n v="43"/>
    <x v="12"/>
    <x v="2"/>
    <n v="5"/>
    <x v="0"/>
    <x v="1"/>
  </r>
  <r>
    <n v="2494"/>
    <x v="707"/>
    <n v="16"/>
    <n v="9"/>
    <x v="2"/>
    <x v="3"/>
    <x v="11"/>
    <x v="0"/>
    <x v="1"/>
    <n v="1"/>
    <n v="67965.990000000005"/>
    <n v="67965.990000000005"/>
    <s v="Anand Kapoor"/>
    <n v="20"/>
    <x v="10"/>
    <x v="1"/>
    <n v="5"/>
    <x v="0"/>
    <x v="9"/>
  </r>
  <r>
    <n v="2495"/>
    <x v="707"/>
    <n v="16"/>
    <n v="9"/>
    <x v="2"/>
    <x v="3"/>
    <x v="11"/>
    <x v="0"/>
    <x v="0"/>
    <n v="1"/>
    <n v="59934.28"/>
    <n v="59934.28"/>
    <s v="Umesh Ghosh"/>
    <n v="23"/>
    <x v="3"/>
    <x v="0"/>
    <n v="4"/>
    <x v="0"/>
    <x v="3"/>
  </r>
  <r>
    <n v="2496"/>
    <x v="708"/>
    <n v="17"/>
    <n v="9"/>
    <x v="2"/>
    <x v="3"/>
    <x v="11"/>
    <x v="1"/>
    <x v="0"/>
    <n v="4"/>
    <n v="27076.62"/>
    <n v="108306.48"/>
    <s v="Meena Menon"/>
    <n v="28"/>
    <x v="1"/>
    <x v="3"/>
    <n v="4"/>
    <x v="0"/>
    <x v="3"/>
  </r>
  <r>
    <n v="2497"/>
    <x v="708"/>
    <n v="17"/>
    <n v="9"/>
    <x v="2"/>
    <x v="3"/>
    <x v="11"/>
    <x v="1"/>
    <x v="4"/>
    <n v="2"/>
    <n v="31802.39"/>
    <n v="63604.78"/>
    <s v="Ayesha Solanki"/>
    <n v="25"/>
    <x v="10"/>
    <x v="0"/>
    <n v="5"/>
    <x v="0"/>
    <x v="7"/>
  </r>
  <r>
    <n v="2498"/>
    <x v="708"/>
    <n v="17"/>
    <n v="9"/>
    <x v="2"/>
    <x v="3"/>
    <x v="11"/>
    <x v="1"/>
    <x v="2"/>
    <n v="7"/>
    <n v="37870.74"/>
    <n v="265095.18"/>
    <s v="Sachin Kulkarni"/>
    <n v="46"/>
    <x v="10"/>
    <x v="1"/>
    <n v="2"/>
    <x v="2"/>
    <x v="6"/>
  </r>
  <r>
    <n v="2499"/>
    <x v="708"/>
    <n v="17"/>
    <n v="9"/>
    <x v="2"/>
    <x v="3"/>
    <x v="11"/>
    <x v="1"/>
    <x v="0"/>
    <n v="2"/>
    <n v="68735.78"/>
    <n v="137471.56"/>
    <s v="Vivek Srivastava"/>
    <n v="27"/>
    <x v="5"/>
    <x v="0"/>
    <n v="4"/>
    <x v="0"/>
    <x v="10"/>
  </r>
  <r>
    <n v="2500"/>
    <x v="709"/>
    <n v="18"/>
    <n v="9"/>
    <x v="2"/>
    <x v="3"/>
    <x v="11"/>
    <x v="2"/>
    <x v="3"/>
    <n v="2"/>
    <n v="20343.43"/>
    <n v="40686.86"/>
    <s v="Sanjay Jain"/>
    <n v="51"/>
    <x v="8"/>
    <x v="3"/>
    <n v="4"/>
    <x v="0"/>
    <x v="5"/>
  </r>
  <r>
    <n v="2501"/>
    <x v="709"/>
    <n v="18"/>
    <n v="9"/>
    <x v="2"/>
    <x v="3"/>
    <x v="11"/>
    <x v="2"/>
    <x v="1"/>
    <n v="5"/>
    <n v="31448.99"/>
    <n v="157244.95000000001"/>
    <s v="Anjali Thakur"/>
    <n v="41"/>
    <x v="1"/>
    <x v="2"/>
    <n v="2"/>
    <x v="2"/>
    <x v="9"/>
  </r>
  <r>
    <n v="2502"/>
    <x v="709"/>
    <n v="18"/>
    <n v="9"/>
    <x v="2"/>
    <x v="3"/>
    <x v="11"/>
    <x v="2"/>
    <x v="3"/>
    <n v="4"/>
    <n v="53765.57"/>
    <n v="215062.28"/>
    <s v="Bina Roy"/>
    <n v="34"/>
    <x v="1"/>
    <x v="0"/>
    <n v="5"/>
    <x v="0"/>
    <x v="8"/>
  </r>
  <r>
    <n v="2503"/>
    <x v="709"/>
    <n v="18"/>
    <n v="9"/>
    <x v="2"/>
    <x v="3"/>
    <x v="11"/>
    <x v="2"/>
    <x v="1"/>
    <n v="8"/>
    <n v="67836.62"/>
    <n v="542692.96"/>
    <s v="Sachin Malhotra"/>
    <n v="49"/>
    <x v="4"/>
    <x v="3"/>
    <n v="5"/>
    <x v="0"/>
    <x v="9"/>
  </r>
  <r>
    <n v="2504"/>
    <x v="710"/>
    <n v="19"/>
    <n v="9"/>
    <x v="2"/>
    <x v="3"/>
    <x v="11"/>
    <x v="3"/>
    <x v="1"/>
    <n v="4"/>
    <n v="19340.509999999998"/>
    <n v="77362.039999999994"/>
    <s v="Prashant Deshmukh"/>
    <n v="28"/>
    <x v="12"/>
    <x v="1"/>
    <n v="5"/>
    <x v="0"/>
    <x v="1"/>
  </r>
  <r>
    <n v="2505"/>
    <x v="710"/>
    <n v="19"/>
    <n v="9"/>
    <x v="2"/>
    <x v="3"/>
    <x v="11"/>
    <x v="3"/>
    <x v="0"/>
    <n v="6"/>
    <n v="23642.799999999999"/>
    <n v="141856.79999999999"/>
    <s v="Deepika Deshmukh"/>
    <n v="51"/>
    <x v="2"/>
    <x v="3"/>
    <n v="2"/>
    <x v="2"/>
    <x v="0"/>
  </r>
  <r>
    <n v="2506"/>
    <x v="710"/>
    <n v="19"/>
    <n v="9"/>
    <x v="2"/>
    <x v="3"/>
    <x v="11"/>
    <x v="3"/>
    <x v="0"/>
    <n v="5"/>
    <n v="23541.68"/>
    <n v="117708.4"/>
    <s v="Ravi Prasad"/>
    <n v="41"/>
    <x v="1"/>
    <x v="0"/>
    <n v="5"/>
    <x v="0"/>
    <x v="3"/>
  </r>
  <r>
    <n v="2507"/>
    <x v="711"/>
    <n v="20"/>
    <n v="9"/>
    <x v="2"/>
    <x v="3"/>
    <x v="11"/>
    <x v="4"/>
    <x v="3"/>
    <n v="2"/>
    <n v="11255.92"/>
    <n v="22511.84"/>
    <s v="Sachin Malhotra"/>
    <n v="22"/>
    <x v="3"/>
    <x v="3"/>
    <n v="5"/>
    <x v="0"/>
    <x v="8"/>
  </r>
  <r>
    <n v="2508"/>
    <x v="711"/>
    <n v="20"/>
    <n v="9"/>
    <x v="2"/>
    <x v="3"/>
    <x v="11"/>
    <x v="4"/>
    <x v="1"/>
    <n v="8"/>
    <n v="46246.94"/>
    <n v="369975.52"/>
    <s v="Vinod Goyal"/>
    <n v="46"/>
    <x v="11"/>
    <x v="3"/>
    <n v="5"/>
    <x v="0"/>
    <x v="2"/>
  </r>
  <r>
    <n v="2509"/>
    <x v="711"/>
    <n v="20"/>
    <n v="9"/>
    <x v="2"/>
    <x v="3"/>
    <x v="11"/>
    <x v="4"/>
    <x v="3"/>
    <n v="2"/>
    <n v="50242.18"/>
    <n v="100484.36"/>
    <s v="Arun Kaur"/>
    <n v="51"/>
    <x v="0"/>
    <x v="0"/>
    <n v="5"/>
    <x v="0"/>
    <x v="8"/>
  </r>
  <r>
    <n v="2510"/>
    <x v="711"/>
    <n v="20"/>
    <n v="9"/>
    <x v="2"/>
    <x v="3"/>
    <x v="11"/>
    <x v="4"/>
    <x v="2"/>
    <n v="9"/>
    <n v="46151.55"/>
    <n v="415363.95"/>
    <s v="Priya Siddiqui"/>
    <n v="33"/>
    <x v="15"/>
    <x v="0"/>
    <n v="2"/>
    <x v="2"/>
    <x v="6"/>
  </r>
  <r>
    <n v="2511"/>
    <x v="712"/>
    <n v="21"/>
    <n v="9"/>
    <x v="2"/>
    <x v="3"/>
    <x v="11"/>
    <x v="5"/>
    <x v="3"/>
    <n v="9"/>
    <n v="14279.38"/>
    <n v="128514.42"/>
    <s v="Neeta Singh"/>
    <n v="42"/>
    <x v="2"/>
    <x v="1"/>
    <n v="5"/>
    <x v="0"/>
    <x v="12"/>
  </r>
  <r>
    <n v="2512"/>
    <x v="712"/>
    <n v="21"/>
    <n v="9"/>
    <x v="2"/>
    <x v="3"/>
    <x v="11"/>
    <x v="5"/>
    <x v="4"/>
    <n v="3"/>
    <n v="14153.81"/>
    <n v="42461.43"/>
    <s v="Isha Menon"/>
    <n v="54"/>
    <x v="1"/>
    <x v="3"/>
    <n v="5"/>
    <x v="0"/>
    <x v="7"/>
  </r>
  <r>
    <n v="2513"/>
    <x v="712"/>
    <n v="21"/>
    <n v="9"/>
    <x v="2"/>
    <x v="3"/>
    <x v="11"/>
    <x v="5"/>
    <x v="3"/>
    <n v="4"/>
    <n v="22623.19"/>
    <n v="90492.76"/>
    <s v="Sachin Ghosh"/>
    <n v="25"/>
    <x v="3"/>
    <x v="2"/>
    <n v="3"/>
    <x v="1"/>
    <x v="12"/>
  </r>
  <r>
    <n v="2514"/>
    <x v="713"/>
    <n v="22"/>
    <n v="9"/>
    <x v="2"/>
    <x v="3"/>
    <x v="11"/>
    <x v="6"/>
    <x v="4"/>
    <n v="8"/>
    <n v="27417.67"/>
    <n v="219341.36"/>
    <s v="Rohan Mishra"/>
    <n v="46"/>
    <x v="2"/>
    <x v="0"/>
    <n v="4"/>
    <x v="0"/>
    <x v="14"/>
  </r>
  <r>
    <n v="2515"/>
    <x v="713"/>
    <n v="22"/>
    <n v="9"/>
    <x v="2"/>
    <x v="3"/>
    <x v="11"/>
    <x v="6"/>
    <x v="4"/>
    <n v="9"/>
    <n v="57192.62"/>
    <n v="514733.58"/>
    <s v="Ravi Patel"/>
    <n v="42"/>
    <x v="14"/>
    <x v="3"/>
    <n v="5"/>
    <x v="0"/>
    <x v="11"/>
  </r>
  <r>
    <n v="2516"/>
    <x v="713"/>
    <n v="22"/>
    <n v="9"/>
    <x v="2"/>
    <x v="3"/>
    <x v="11"/>
    <x v="6"/>
    <x v="4"/>
    <n v="3"/>
    <n v="19563.419999999998"/>
    <n v="58690.259999999995"/>
    <s v="Ayesha Ghosh"/>
    <n v="59"/>
    <x v="14"/>
    <x v="2"/>
    <n v="3"/>
    <x v="1"/>
    <x v="11"/>
  </r>
  <r>
    <n v="2517"/>
    <x v="713"/>
    <n v="22"/>
    <n v="9"/>
    <x v="2"/>
    <x v="3"/>
    <x v="11"/>
    <x v="6"/>
    <x v="2"/>
    <n v="5"/>
    <n v="12645.53"/>
    <n v="63227.65"/>
    <s v="Isha Nair"/>
    <n v="40"/>
    <x v="2"/>
    <x v="2"/>
    <n v="2"/>
    <x v="2"/>
    <x v="6"/>
  </r>
  <r>
    <n v="2518"/>
    <x v="714"/>
    <n v="23"/>
    <n v="9"/>
    <x v="2"/>
    <x v="3"/>
    <x v="11"/>
    <x v="0"/>
    <x v="3"/>
    <n v="8"/>
    <n v="33639.25"/>
    <n v="269114"/>
    <s v="Lalita Ahuja"/>
    <n v="51"/>
    <x v="1"/>
    <x v="3"/>
    <n v="3"/>
    <x v="1"/>
    <x v="12"/>
  </r>
  <r>
    <n v="2519"/>
    <x v="714"/>
    <n v="23"/>
    <n v="9"/>
    <x v="2"/>
    <x v="3"/>
    <x v="11"/>
    <x v="0"/>
    <x v="3"/>
    <n v="3"/>
    <n v="34983.53"/>
    <n v="104950.59"/>
    <s v="Anita Dutta"/>
    <n v="20"/>
    <x v="7"/>
    <x v="3"/>
    <n v="5"/>
    <x v="0"/>
    <x v="12"/>
  </r>
  <r>
    <n v="2520"/>
    <x v="714"/>
    <n v="23"/>
    <n v="9"/>
    <x v="2"/>
    <x v="3"/>
    <x v="11"/>
    <x v="0"/>
    <x v="2"/>
    <n v="7"/>
    <n v="37054.44"/>
    <n v="259381.08000000002"/>
    <s v="Deepika Reddy"/>
    <n v="47"/>
    <x v="1"/>
    <x v="3"/>
    <n v="2"/>
    <x v="2"/>
    <x v="6"/>
  </r>
  <r>
    <n v="2521"/>
    <x v="714"/>
    <n v="23"/>
    <n v="9"/>
    <x v="2"/>
    <x v="3"/>
    <x v="11"/>
    <x v="0"/>
    <x v="1"/>
    <n v="8"/>
    <n v="59614.21"/>
    <n v="476913.68"/>
    <s v="Ramesh Das"/>
    <n v="51"/>
    <x v="2"/>
    <x v="2"/>
    <n v="3"/>
    <x v="1"/>
    <x v="1"/>
  </r>
  <r>
    <n v="2522"/>
    <x v="715"/>
    <n v="24"/>
    <n v="9"/>
    <x v="2"/>
    <x v="3"/>
    <x v="11"/>
    <x v="1"/>
    <x v="0"/>
    <n v="3"/>
    <n v="15880.32"/>
    <n v="47640.959999999999"/>
    <s v="Ramesh Mishra"/>
    <n v="49"/>
    <x v="1"/>
    <x v="3"/>
    <n v="5"/>
    <x v="0"/>
    <x v="0"/>
  </r>
  <r>
    <n v="2523"/>
    <x v="715"/>
    <n v="24"/>
    <n v="9"/>
    <x v="2"/>
    <x v="3"/>
    <x v="11"/>
    <x v="1"/>
    <x v="3"/>
    <n v="2"/>
    <n v="52236.52"/>
    <n v="104473.04"/>
    <s v="Nikhil Yadav"/>
    <n v="46"/>
    <x v="13"/>
    <x v="0"/>
    <n v="2"/>
    <x v="2"/>
    <x v="8"/>
  </r>
  <r>
    <n v="2524"/>
    <x v="715"/>
    <n v="24"/>
    <n v="9"/>
    <x v="2"/>
    <x v="3"/>
    <x v="11"/>
    <x v="1"/>
    <x v="0"/>
    <n v="7"/>
    <n v="30276.73"/>
    <n v="211937.11"/>
    <s v="Lalita Luthra"/>
    <n v="26"/>
    <x v="14"/>
    <x v="2"/>
    <n v="2"/>
    <x v="2"/>
    <x v="10"/>
  </r>
  <r>
    <n v="2525"/>
    <x v="715"/>
    <n v="24"/>
    <n v="9"/>
    <x v="2"/>
    <x v="3"/>
    <x v="11"/>
    <x v="1"/>
    <x v="2"/>
    <n v="9"/>
    <n v="28598.81"/>
    <n v="257389.29"/>
    <s v="Mala Pillai"/>
    <n v="19"/>
    <x v="2"/>
    <x v="0"/>
    <n v="4"/>
    <x v="0"/>
    <x v="6"/>
  </r>
  <r>
    <n v="2526"/>
    <x v="716"/>
    <n v="25"/>
    <n v="9"/>
    <x v="2"/>
    <x v="3"/>
    <x v="11"/>
    <x v="2"/>
    <x v="1"/>
    <n v="1"/>
    <n v="65952.59"/>
    <n v="65952.59"/>
    <s v="Jyoti Ahuja"/>
    <n v="56"/>
    <x v="2"/>
    <x v="0"/>
    <n v="5"/>
    <x v="0"/>
    <x v="1"/>
  </r>
  <r>
    <n v="2527"/>
    <x v="716"/>
    <n v="25"/>
    <n v="9"/>
    <x v="2"/>
    <x v="3"/>
    <x v="11"/>
    <x v="2"/>
    <x v="1"/>
    <n v="3"/>
    <n v="24908.11"/>
    <n v="74724.33"/>
    <s v="Ravi Malhotra"/>
    <n v="24"/>
    <x v="1"/>
    <x v="3"/>
    <n v="4"/>
    <x v="0"/>
    <x v="2"/>
  </r>
  <r>
    <n v="2528"/>
    <x v="716"/>
    <n v="25"/>
    <n v="9"/>
    <x v="2"/>
    <x v="3"/>
    <x v="11"/>
    <x v="2"/>
    <x v="1"/>
    <n v="5"/>
    <n v="48551.91"/>
    <n v="242759.55000000002"/>
    <s v="Pankaj Teja"/>
    <n v="22"/>
    <x v="13"/>
    <x v="0"/>
    <n v="2"/>
    <x v="2"/>
    <x v="9"/>
  </r>
  <r>
    <n v="2529"/>
    <x v="717"/>
    <n v="26"/>
    <n v="9"/>
    <x v="2"/>
    <x v="3"/>
    <x v="11"/>
    <x v="3"/>
    <x v="2"/>
    <n v="3"/>
    <n v="26507.67"/>
    <n v="79523.009999999995"/>
    <s v="Nikhil Rathod"/>
    <n v="25"/>
    <x v="3"/>
    <x v="3"/>
    <n v="2"/>
    <x v="2"/>
    <x v="13"/>
  </r>
  <r>
    <n v="2530"/>
    <x v="717"/>
    <n v="26"/>
    <n v="9"/>
    <x v="2"/>
    <x v="3"/>
    <x v="11"/>
    <x v="3"/>
    <x v="4"/>
    <n v="1"/>
    <n v="40428.629999999997"/>
    <n v="40428.629999999997"/>
    <s v="Neeta Singh"/>
    <n v="49"/>
    <x v="14"/>
    <x v="2"/>
    <n v="3"/>
    <x v="1"/>
    <x v="14"/>
  </r>
  <r>
    <n v="2531"/>
    <x v="717"/>
    <n v="26"/>
    <n v="9"/>
    <x v="2"/>
    <x v="3"/>
    <x v="11"/>
    <x v="3"/>
    <x v="4"/>
    <n v="7"/>
    <n v="57177.57"/>
    <n v="400242.99"/>
    <s v="Yogesh Ahuja"/>
    <n v="35"/>
    <x v="18"/>
    <x v="0"/>
    <n v="4"/>
    <x v="0"/>
    <x v="11"/>
  </r>
  <r>
    <n v="2532"/>
    <x v="717"/>
    <n v="26"/>
    <n v="9"/>
    <x v="2"/>
    <x v="3"/>
    <x v="11"/>
    <x v="3"/>
    <x v="0"/>
    <n v="7"/>
    <n v="62903.35"/>
    <n v="440323.45"/>
    <s v="Pooja Menon"/>
    <n v="55"/>
    <x v="18"/>
    <x v="3"/>
    <n v="5"/>
    <x v="0"/>
    <x v="0"/>
  </r>
  <r>
    <n v="2533"/>
    <x v="718"/>
    <n v="27"/>
    <n v="9"/>
    <x v="2"/>
    <x v="3"/>
    <x v="11"/>
    <x v="4"/>
    <x v="4"/>
    <n v="8"/>
    <n v="60321.83"/>
    <n v="482574.64"/>
    <s v="Radha Sheth"/>
    <n v="35"/>
    <x v="1"/>
    <x v="1"/>
    <n v="5"/>
    <x v="0"/>
    <x v="7"/>
  </r>
  <r>
    <n v="2534"/>
    <x v="718"/>
    <n v="27"/>
    <n v="9"/>
    <x v="2"/>
    <x v="3"/>
    <x v="11"/>
    <x v="4"/>
    <x v="4"/>
    <n v="5"/>
    <n v="44930.84"/>
    <n v="224654.19999999998"/>
    <s v="Tapan Bhattacharya"/>
    <n v="58"/>
    <x v="1"/>
    <x v="3"/>
    <n v="4"/>
    <x v="0"/>
    <x v="11"/>
  </r>
  <r>
    <n v="2535"/>
    <x v="718"/>
    <n v="27"/>
    <n v="9"/>
    <x v="2"/>
    <x v="3"/>
    <x v="11"/>
    <x v="4"/>
    <x v="1"/>
    <n v="5"/>
    <n v="24928.98"/>
    <n v="124644.9"/>
    <s v="Pooja Deshmukh"/>
    <n v="33"/>
    <x v="11"/>
    <x v="1"/>
    <n v="2"/>
    <x v="2"/>
    <x v="2"/>
  </r>
  <r>
    <n v="2536"/>
    <x v="718"/>
    <n v="27"/>
    <n v="9"/>
    <x v="2"/>
    <x v="3"/>
    <x v="11"/>
    <x v="4"/>
    <x v="1"/>
    <n v="5"/>
    <n v="49674"/>
    <n v="248370"/>
    <s v="Namita Rao"/>
    <n v="38"/>
    <x v="11"/>
    <x v="3"/>
    <n v="3"/>
    <x v="1"/>
    <x v="9"/>
  </r>
  <r>
    <n v="2537"/>
    <x v="719"/>
    <n v="28"/>
    <n v="9"/>
    <x v="2"/>
    <x v="3"/>
    <x v="11"/>
    <x v="5"/>
    <x v="0"/>
    <n v="1"/>
    <n v="52594.3"/>
    <n v="52594.3"/>
    <s v="Kavita Kaur"/>
    <n v="27"/>
    <x v="1"/>
    <x v="1"/>
    <n v="5"/>
    <x v="0"/>
    <x v="3"/>
  </r>
  <r>
    <n v="2538"/>
    <x v="719"/>
    <n v="28"/>
    <n v="9"/>
    <x v="2"/>
    <x v="3"/>
    <x v="11"/>
    <x v="5"/>
    <x v="3"/>
    <n v="5"/>
    <n v="10641.52"/>
    <n v="53207.600000000006"/>
    <s v="Neeta Pillai"/>
    <n v="59"/>
    <x v="2"/>
    <x v="0"/>
    <n v="5"/>
    <x v="0"/>
    <x v="5"/>
  </r>
  <r>
    <n v="2539"/>
    <x v="719"/>
    <n v="28"/>
    <n v="9"/>
    <x v="2"/>
    <x v="3"/>
    <x v="11"/>
    <x v="5"/>
    <x v="0"/>
    <n v="6"/>
    <n v="36352.629999999997"/>
    <n v="218115.77999999997"/>
    <s v="Namita Rao"/>
    <n v="21"/>
    <x v="7"/>
    <x v="1"/>
    <n v="3"/>
    <x v="1"/>
    <x v="10"/>
  </r>
  <r>
    <n v="2540"/>
    <x v="719"/>
    <n v="28"/>
    <n v="9"/>
    <x v="2"/>
    <x v="3"/>
    <x v="11"/>
    <x v="5"/>
    <x v="0"/>
    <n v="1"/>
    <n v="60595.72"/>
    <n v="60595.72"/>
    <s v="Yogesh Dutta"/>
    <n v="25"/>
    <x v="1"/>
    <x v="0"/>
    <n v="2"/>
    <x v="2"/>
    <x v="10"/>
  </r>
  <r>
    <n v="2541"/>
    <x v="720"/>
    <n v="29"/>
    <n v="9"/>
    <x v="2"/>
    <x v="3"/>
    <x v="11"/>
    <x v="6"/>
    <x v="2"/>
    <n v="7"/>
    <n v="39375.26"/>
    <n v="275626.82"/>
    <s v="Aditya Siddiqui"/>
    <n v="36"/>
    <x v="18"/>
    <x v="0"/>
    <n v="5"/>
    <x v="0"/>
    <x v="4"/>
  </r>
  <r>
    <n v="2542"/>
    <x v="720"/>
    <n v="29"/>
    <n v="9"/>
    <x v="2"/>
    <x v="3"/>
    <x v="11"/>
    <x v="6"/>
    <x v="2"/>
    <n v="1"/>
    <n v="28682.53"/>
    <n v="28682.53"/>
    <s v="Isha Thakur"/>
    <n v="57"/>
    <x v="18"/>
    <x v="3"/>
    <n v="3"/>
    <x v="1"/>
    <x v="4"/>
  </r>
  <r>
    <n v="2543"/>
    <x v="720"/>
    <n v="29"/>
    <n v="9"/>
    <x v="2"/>
    <x v="3"/>
    <x v="11"/>
    <x v="6"/>
    <x v="0"/>
    <n v="2"/>
    <n v="62307.87"/>
    <n v="124615.74"/>
    <s v="Ravi Kumar"/>
    <n v="57"/>
    <x v="7"/>
    <x v="0"/>
    <n v="5"/>
    <x v="0"/>
    <x v="0"/>
  </r>
  <r>
    <n v="2544"/>
    <x v="720"/>
    <n v="29"/>
    <n v="9"/>
    <x v="2"/>
    <x v="3"/>
    <x v="11"/>
    <x v="6"/>
    <x v="0"/>
    <n v="2"/>
    <n v="19352.84"/>
    <n v="38705.68"/>
    <s v="Shruti Menon"/>
    <n v="26"/>
    <x v="16"/>
    <x v="2"/>
    <n v="4"/>
    <x v="0"/>
    <x v="0"/>
  </r>
  <r>
    <n v="2545"/>
    <x v="721"/>
    <n v="30"/>
    <n v="9"/>
    <x v="2"/>
    <x v="3"/>
    <x v="11"/>
    <x v="0"/>
    <x v="0"/>
    <n v="5"/>
    <n v="22386.71"/>
    <n v="111933.54999999999"/>
    <s v="Harish Sharma"/>
    <n v="47"/>
    <x v="1"/>
    <x v="1"/>
    <n v="5"/>
    <x v="0"/>
    <x v="10"/>
  </r>
  <r>
    <n v="2546"/>
    <x v="721"/>
    <n v="30"/>
    <n v="9"/>
    <x v="2"/>
    <x v="3"/>
    <x v="11"/>
    <x v="0"/>
    <x v="4"/>
    <n v="7"/>
    <n v="51242.34"/>
    <n v="358696.38"/>
    <s v="Isha Reddy"/>
    <n v="34"/>
    <x v="1"/>
    <x v="3"/>
    <n v="2"/>
    <x v="2"/>
    <x v="11"/>
  </r>
  <r>
    <n v="2547"/>
    <x v="721"/>
    <n v="30"/>
    <n v="9"/>
    <x v="2"/>
    <x v="3"/>
    <x v="11"/>
    <x v="0"/>
    <x v="2"/>
    <n v="1"/>
    <n v="31146.16"/>
    <n v="31146.16"/>
    <s v="Mala Srivastava"/>
    <n v="57"/>
    <x v="1"/>
    <x v="0"/>
    <n v="5"/>
    <x v="0"/>
    <x v="4"/>
  </r>
  <r>
    <n v="2548"/>
    <x v="722"/>
    <n v="1"/>
    <n v="10"/>
    <x v="2"/>
    <x v="0"/>
    <x v="0"/>
    <x v="1"/>
    <x v="0"/>
    <n v="1"/>
    <n v="52781.01"/>
    <n v="52781.01"/>
    <s v="Arun Shah"/>
    <n v="32"/>
    <x v="1"/>
    <x v="1"/>
    <n v="2"/>
    <x v="2"/>
    <x v="10"/>
  </r>
  <r>
    <n v="2549"/>
    <x v="722"/>
    <n v="1"/>
    <n v="10"/>
    <x v="2"/>
    <x v="0"/>
    <x v="0"/>
    <x v="1"/>
    <x v="1"/>
    <n v="1"/>
    <n v="19462.22"/>
    <n v="19462.22"/>
    <s v="Navin Malhotra"/>
    <n v="21"/>
    <x v="2"/>
    <x v="1"/>
    <n v="4"/>
    <x v="0"/>
    <x v="2"/>
  </r>
  <r>
    <n v="2550"/>
    <x v="722"/>
    <n v="1"/>
    <n v="10"/>
    <x v="2"/>
    <x v="0"/>
    <x v="0"/>
    <x v="1"/>
    <x v="1"/>
    <n v="6"/>
    <n v="25136.15"/>
    <n v="150816.90000000002"/>
    <s v="Meena Patel"/>
    <n v="23"/>
    <x v="15"/>
    <x v="2"/>
    <n v="5"/>
    <x v="0"/>
    <x v="9"/>
  </r>
  <r>
    <n v="2551"/>
    <x v="722"/>
    <n v="1"/>
    <n v="10"/>
    <x v="2"/>
    <x v="0"/>
    <x v="0"/>
    <x v="1"/>
    <x v="4"/>
    <n v="2"/>
    <n v="19398.84"/>
    <n v="38797.68"/>
    <s v="Vijay Solanki"/>
    <n v="33"/>
    <x v="17"/>
    <x v="1"/>
    <n v="2"/>
    <x v="2"/>
    <x v="14"/>
  </r>
  <r>
    <n v="2552"/>
    <x v="723"/>
    <n v="2"/>
    <n v="10"/>
    <x v="2"/>
    <x v="0"/>
    <x v="0"/>
    <x v="2"/>
    <x v="4"/>
    <n v="1"/>
    <n v="67174.62"/>
    <n v="67174.62"/>
    <s v="Sanjay Malhotra"/>
    <n v="43"/>
    <x v="14"/>
    <x v="3"/>
    <n v="2"/>
    <x v="2"/>
    <x v="14"/>
  </r>
  <r>
    <n v="2553"/>
    <x v="723"/>
    <n v="2"/>
    <n v="10"/>
    <x v="2"/>
    <x v="0"/>
    <x v="0"/>
    <x v="2"/>
    <x v="3"/>
    <n v="6"/>
    <n v="34324.239999999998"/>
    <n v="205945.44"/>
    <s v="Pooja Dutta"/>
    <n v="54"/>
    <x v="5"/>
    <x v="3"/>
    <n v="4"/>
    <x v="0"/>
    <x v="12"/>
  </r>
  <r>
    <n v="2554"/>
    <x v="723"/>
    <n v="2"/>
    <n v="10"/>
    <x v="2"/>
    <x v="0"/>
    <x v="0"/>
    <x v="2"/>
    <x v="3"/>
    <n v="2"/>
    <n v="30233.19"/>
    <n v="60466.38"/>
    <s v="Anand Arora"/>
    <n v="40"/>
    <x v="6"/>
    <x v="0"/>
    <n v="3"/>
    <x v="1"/>
    <x v="5"/>
  </r>
  <r>
    <n v="2555"/>
    <x v="724"/>
    <n v="3"/>
    <n v="10"/>
    <x v="2"/>
    <x v="0"/>
    <x v="0"/>
    <x v="3"/>
    <x v="3"/>
    <n v="6"/>
    <n v="10852.13"/>
    <n v="65112.78"/>
    <s v="Priyanka Alva"/>
    <n v="30"/>
    <x v="1"/>
    <x v="0"/>
    <n v="4"/>
    <x v="0"/>
    <x v="8"/>
  </r>
  <r>
    <n v="2556"/>
    <x v="724"/>
    <n v="3"/>
    <n v="10"/>
    <x v="2"/>
    <x v="0"/>
    <x v="0"/>
    <x v="3"/>
    <x v="4"/>
    <n v="8"/>
    <n v="19205.05"/>
    <n v="153640.4"/>
    <s v="Sumit Rathod"/>
    <n v="34"/>
    <x v="2"/>
    <x v="3"/>
    <n v="5"/>
    <x v="0"/>
    <x v="14"/>
  </r>
  <r>
    <n v="2557"/>
    <x v="724"/>
    <n v="3"/>
    <n v="10"/>
    <x v="2"/>
    <x v="0"/>
    <x v="0"/>
    <x v="3"/>
    <x v="4"/>
    <n v="2"/>
    <n v="35268.15"/>
    <n v="70536.3"/>
    <s v="Rajesh Kulkarni"/>
    <n v="44"/>
    <x v="1"/>
    <x v="1"/>
    <n v="5"/>
    <x v="0"/>
    <x v="7"/>
  </r>
  <r>
    <n v="2558"/>
    <x v="725"/>
    <n v="4"/>
    <n v="10"/>
    <x v="2"/>
    <x v="0"/>
    <x v="0"/>
    <x v="4"/>
    <x v="4"/>
    <n v="9"/>
    <n v="14110.17"/>
    <n v="126991.53"/>
    <s v="Harish Solanki"/>
    <n v="39"/>
    <x v="5"/>
    <x v="1"/>
    <n v="5"/>
    <x v="0"/>
    <x v="7"/>
  </r>
  <r>
    <n v="2559"/>
    <x v="725"/>
    <n v="4"/>
    <n v="10"/>
    <x v="2"/>
    <x v="0"/>
    <x v="0"/>
    <x v="4"/>
    <x v="1"/>
    <n v="8"/>
    <n v="40644.36"/>
    <n v="325154.88"/>
    <s v="Sachin Prasad"/>
    <n v="54"/>
    <x v="9"/>
    <x v="2"/>
    <n v="2"/>
    <x v="2"/>
    <x v="1"/>
  </r>
  <r>
    <n v="2560"/>
    <x v="725"/>
    <n v="4"/>
    <n v="10"/>
    <x v="2"/>
    <x v="0"/>
    <x v="0"/>
    <x v="4"/>
    <x v="4"/>
    <n v="1"/>
    <n v="37300.93"/>
    <n v="37300.93"/>
    <s v="Sneha Ghosh"/>
    <n v="36"/>
    <x v="18"/>
    <x v="0"/>
    <n v="5"/>
    <x v="0"/>
    <x v="14"/>
  </r>
  <r>
    <n v="2561"/>
    <x v="726"/>
    <n v="5"/>
    <n v="10"/>
    <x v="2"/>
    <x v="0"/>
    <x v="0"/>
    <x v="5"/>
    <x v="1"/>
    <n v="7"/>
    <n v="56030.09"/>
    <n v="392210.63"/>
    <s v="Rajesh Kaur"/>
    <n v="56"/>
    <x v="6"/>
    <x v="1"/>
    <n v="3"/>
    <x v="1"/>
    <x v="2"/>
  </r>
  <r>
    <n v="2562"/>
    <x v="726"/>
    <n v="5"/>
    <n v="10"/>
    <x v="2"/>
    <x v="0"/>
    <x v="0"/>
    <x v="5"/>
    <x v="3"/>
    <n v="6"/>
    <n v="49588.160000000003"/>
    <n v="297528.96000000002"/>
    <s v="Ravi Reddy"/>
    <n v="52"/>
    <x v="2"/>
    <x v="1"/>
    <n v="3"/>
    <x v="1"/>
    <x v="5"/>
  </r>
  <r>
    <n v="2563"/>
    <x v="726"/>
    <n v="5"/>
    <n v="10"/>
    <x v="2"/>
    <x v="0"/>
    <x v="0"/>
    <x v="5"/>
    <x v="3"/>
    <n v="6"/>
    <n v="36756.839999999997"/>
    <n v="220541.03999999998"/>
    <s v="Manoj Patel"/>
    <n v="30"/>
    <x v="1"/>
    <x v="0"/>
    <n v="4"/>
    <x v="0"/>
    <x v="5"/>
  </r>
  <r>
    <n v="2564"/>
    <x v="727"/>
    <n v="6"/>
    <n v="10"/>
    <x v="2"/>
    <x v="0"/>
    <x v="0"/>
    <x v="6"/>
    <x v="3"/>
    <n v="6"/>
    <n v="23479.64"/>
    <n v="140877.84"/>
    <s v="Deepika Kulkarni"/>
    <n v="31"/>
    <x v="8"/>
    <x v="3"/>
    <n v="5"/>
    <x v="0"/>
    <x v="5"/>
  </r>
  <r>
    <n v="2565"/>
    <x v="727"/>
    <n v="6"/>
    <n v="10"/>
    <x v="2"/>
    <x v="0"/>
    <x v="0"/>
    <x v="6"/>
    <x v="0"/>
    <n v="6"/>
    <n v="53611.81"/>
    <n v="321670.86"/>
    <s v="Ravi Prasad"/>
    <n v="48"/>
    <x v="1"/>
    <x v="1"/>
    <n v="5"/>
    <x v="0"/>
    <x v="10"/>
  </r>
  <r>
    <n v="2566"/>
    <x v="727"/>
    <n v="6"/>
    <n v="10"/>
    <x v="2"/>
    <x v="0"/>
    <x v="0"/>
    <x v="6"/>
    <x v="0"/>
    <n v="7"/>
    <n v="52471.73"/>
    <n v="367302.11000000004"/>
    <s v="Reena Dutta"/>
    <n v="19"/>
    <x v="1"/>
    <x v="2"/>
    <n v="5"/>
    <x v="0"/>
    <x v="3"/>
  </r>
  <r>
    <n v="2567"/>
    <x v="728"/>
    <n v="7"/>
    <n v="10"/>
    <x v="2"/>
    <x v="0"/>
    <x v="0"/>
    <x v="0"/>
    <x v="2"/>
    <n v="3"/>
    <n v="19197.77"/>
    <n v="57593.31"/>
    <s v="Vinod Prasad"/>
    <n v="56"/>
    <x v="3"/>
    <x v="1"/>
    <n v="5"/>
    <x v="0"/>
    <x v="6"/>
  </r>
  <r>
    <n v="2568"/>
    <x v="728"/>
    <n v="7"/>
    <n v="10"/>
    <x v="2"/>
    <x v="0"/>
    <x v="0"/>
    <x v="0"/>
    <x v="2"/>
    <n v="6"/>
    <n v="64885.11"/>
    <n v="389310.66000000003"/>
    <s v="Pankaj Nambiar"/>
    <n v="54"/>
    <x v="14"/>
    <x v="1"/>
    <n v="5"/>
    <x v="0"/>
    <x v="6"/>
  </r>
  <r>
    <n v="2569"/>
    <x v="728"/>
    <n v="7"/>
    <n v="10"/>
    <x v="2"/>
    <x v="0"/>
    <x v="0"/>
    <x v="0"/>
    <x v="2"/>
    <n v="3"/>
    <n v="13864.31"/>
    <n v="41592.93"/>
    <s v="Vivek Siddiqui"/>
    <n v="31"/>
    <x v="12"/>
    <x v="2"/>
    <n v="5"/>
    <x v="0"/>
    <x v="4"/>
  </r>
  <r>
    <n v="2570"/>
    <x v="729"/>
    <n v="8"/>
    <n v="10"/>
    <x v="2"/>
    <x v="0"/>
    <x v="0"/>
    <x v="1"/>
    <x v="0"/>
    <n v="7"/>
    <n v="13302.26"/>
    <n v="93115.82"/>
    <s v="Neeta Ahuja"/>
    <n v="26"/>
    <x v="1"/>
    <x v="3"/>
    <n v="4"/>
    <x v="0"/>
    <x v="0"/>
  </r>
  <r>
    <n v="2571"/>
    <x v="729"/>
    <n v="8"/>
    <n v="10"/>
    <x v="2"/>
    <x v="0"/>
    <x v="0"/>
    <x v="1"/>
    <x v="0"/>
    <n v="7"/>
    <n v="21241.03"/>
    <n v="148687.21"/>
    <s v="Gita Dutta"/>
    <n v="27"/>
    <x v="8"/>
    <x v="2"/>
    <n v="4"/>
    <x v="0"/>
    <x v="10"/>
  </r>
  <r>
    <n v="2572"/>
    <x v="729"/>
    <n v="8"/>
    <n v="10"/>
    <x v="2"/>
    <x v="0"/>
    <x v="0"/>
    <x v="1"/>
    <x v="2"/>
    <n v="8"/>
    <n v="64567.65"/>
    <n v="516541.2"/>
    <s v="Bhavana Ghosh"/>
    <n v="24"/>
    <x v="17"/>
    <x v="2"/>
    <n v="4"/>
    <x v="0"/>
    <x v="6"/>
  </r>
  <r>
    <n v="2573"/>
    <x v="729"/>
    <n v="8"/>
    <n v="10"/>
    <x v="2"/>
    <x v="0"/>
    <x v="0"/>
    <x v="1"/>
    <x v="2"/>
    <n v="2"/>
    <n v="41199.89"/>
    <n v="82399.78"/>
    <s v="Monika Goyal"/>
    <n v="45"/>
    <x v="1"/>
    <x v="0"/>
    <n v="4"/>
    <x v="0"/>
    <x v="6"/>
  </r>
  <r>
    <n v="2574"/>
    <x v="730"/>
    <n v="9"/>
    <n v="10"/>
    <x v="2"/>
    <x v="0"/>
    <x v="0"/>
    <x v="2"/>
    <x v="4"/>
    <n v="9"/>
    <n v="57276.46"/>
    <n v="515488.14"/>
    <s v="Anand Kapoor"/>
    <n v="42"/>
    <x v="17"/>
    <x v="1"/>
    <n v="3"/>
    <x v="1"/>
    <x v="7"/>
  </r>
  <r>
    <n v="2575"/>
    <x v="730"/>
    <n v="9"/>
    <n v="10"/>
    <x v="2"/>
    <x v="0"/>
    <x v="0"/>
    <x v="2"/>
    <x v="2"/>
    <n v="5"/>
    <n v="23670.59"/>
    <n v="118352.95"/>
    <s v="Sunil Rawat"/>
    <n v="45"/>
    <x v="5"/>
    <x v="3"/>
    <n v="5"/>
    <x v="0"/>
    <x v="6"/>
  </r>
  <r>
    <n v="2576"/>
    <x v="730"/>
    <n v="9"/>
    <n v="10"/>
    <x v="2"/>
    <x v="0"/>
    <x v="0"/>
    <x v="2"/>
    <x v="4"/>
    <n v="9"/>
    <n v="39413.32"/>
    <n v="354719.88"/>
    <s v="Sunil Arora"/>
    <n v="19"/>
    <x v="2"/>
    <x v="1"/>
    <n v="2"/>
    <x v="2"/>
    <x v="7"/>
  </r>
  <r>
    <n v="2577"/>
    <x v="731"/>
    <n v="10"/>
    <n v="10"/>
    <x v="2"/>
    <x v="0"/>
    <x v="0"/>
    <x v="3"/>
    <x v="1"/>
    <n v="5"/>
    <n v="31497.37"/>
    <n v="157486.85"/>
    <s v="Sanjay Sheth"/>
    <n v="34"/>
    <x v="1"/>
    <x v="3"/>
    <n v="5"/>
    <x v="0"/>
    <x v="9"/>
  </r>
  <r>
    <n v="2578"/>
    <x v="731"/>
    <n v="10"/>
    <n v="10"/>
    <x v="2"/>
    <x v="0"/>
    <x v="0"/>
    <x v="3"/>
    <x v="0"/>
    <n v="7"/>
    <n v="59669.72"/>
    <n v="417688.04000000004"/>
    <s v="Pooja Goyal"/>
    <n v="21"/>
    <x v="6"/>
    <x v="2"/>
    <n v="4"/>
    <x v="0"/>
    <x v="10"/>
  </r>
  <r>
    <n v="2579"/>
    <x v="731"/>
    <n v="10"/>
    <n v="10"/>
    <x v="2"/>
    <x v="0"/>
    <x v="0"/>
    <x v="3"/>
    <x v="2"/>
    <n v="9"/>
    <n v="11356.27"/>
    <n v="102206.43000000001"/>
    <s v="Rohan Goyal"/>
    <n v="30"/>
    <x v="12"/>
    <x v="0"/>
    <n v="3"/>
    <x v="1"/>
    <x v="6"/>
  </r>
  <r>
    <n v="2580"/>
    <x v="732"/>
    <n v="11"/>
    <n v="10"/>
    <x v="2"/>
    <x v="0"/>
    <x v="0"/>
    <x v="4"/>
    <x v="0"/>
    <n v="4"/>
    <n v="24630.560000000001"/>
    <n v="98522.240000000005"/>
    <s v="Anand Mishra"/>
    <n v="35"/>
    <x v="1"/>
    <x v="2"/>
    <n v="3"/>
    <x v="1"/>
    <x v="10"/>
  </r>
  <r>
    <n v="2581"/>
    <x v="732"/>
    <n v="11"/>
    <n v="10"/>
    <x v="2"/>
    <x v="0"/>
    <x v="0"/>
    <x v="4"/>
    <x v="0"/>
    <n v="2"/>
    <n v="19154.45"/>
    <n v="38308.9"/>
    <s v="Bina Deshmukh"/>
    <n v="20"/>
    <x v="13"/>
    <x v="1"/>
    <n v="5"/>
    <x v="0"/>
    <x v="0"/>
  </r>
  <r>
    <n v="2582"/>
    <x v="732"/>
    <n v="11"/>
    <n v="10"/>
    <x v="2"/>
    <x v="0"/>
    <x v="0"/>
    <x v="4"/>
    <x v="0"/>
    <n v="9"/>
    <n v="61551.34"/>
    <n v="553962.05999999994"/>
    <s v="Radha Sheth"/>
    <n v="54"/>
    <x v="4"/>
    <x v="0"/>
    <n v="2"/>
    <x v="2"/>
    <x v="3"/>
  </r>
  <r>
    <n v="2583"/>
    <x v="733"/>
    <n v="12"/>
    <n v="10"/>
    <x v="2"/>
    <x v="0"/>
    <x v="0"/>
    <x v="5"/>
    <x v="1"/>
    <n v="2"/>
    <n v="38052.629999999997"/>
    <n v="76105.259999999995"/>
    <s v="Bhavana Malhotra"/>
    <n v="50"/>
    <x v="2"/>
    <x v="0"/>
    <n v="4"/>
    <x v="0"/>
    <x v="2"/>
  </r>
  <r>
    <n v="2584"/>
    <x v="733"/>
    <n v="12"/>
    <n v="10"/>
    <x v="2"/>
    <x v="0"/>
    <x v="0"/>
    <x v="5"/>
    <x v="3"/>
    <n v="3"/>
    <n v="34253.199999999997"/>
    <n v="102759.59999999999"/>
    <s v="Vijay Singh"/>
    <n v="58"/>
    <x v="3"/>
    <x v="1"/>
    <n v="3"/>
    <x v="1"/>
    <x v="5"/>
  </r>
  <r>
    <n v="2585"/>
    <x v="733"/>
    <n v="12"/>
    <n v="10"/>
    <x v="2"/>
    <x v="0"/>
    <x v="0"/>
    <x v="5"/>
    <x v="2"/>
    <n v="2"/>
    <n v="36968.97"/>
    <n v="73937.94"/>
    <s v="Radha Sharma"/>
    <n v="41"/>
    <x v="12"/>
    <x v="3"/>
    <n v="4"/>
    <x v="0"/>
    <x v="13"/>
  </r>
  <r>
    <n v="2586"/>
    <x v="733"/>
    <n v="12"/>
    <n v="10"/>
    <x v="2"/>
    <x v="0"/>
    <x v="0"/>
    <x v="5"/>
    <x v="3"/>
    <n v="3"/>
    <n v="68315.47"/>
    <n v="204946.41"/>
    <s v="Priyanka Yadav"/>
    <n v="25"/>
    <x v="18"/>
    <x v="0"/>
    <n v="4"/>
    <x v="0"/>
    <x v="5"/>
  </r>
  <r>
    <n v="2587"/>
    <x v="734"/>
    <n v="13"/>
    <n v="10"/>
    <x v="2"/>
    <x v="0"/>
    <x v="0"/>
    <x v="6"/>
    <x v="3"/>
    <n v="6"/>
    <n v="61016.04"/>
    <n v="366096.24"/>
    <s v="Shruti Joshi"/>
    <n v="52"/>
    <x v="15"/>
    <x v="3"/>
    <n v="4"/>
    <x v="0"/>
    <x v="5"/>
  </r>
  <r>
    <n v="2588"/>
    <x v="734"/>
    <n v="13"/>
    <n v="10"/>
    <x v="2"/>
    <x v="0"/>
    <x v="0"/>
    <x v="6"/>
    <x v="3"/>
    <n v="3"/>
    <n v="52382.13"/>
    <n v="157146.38999999998"/>
    <s v="Manoj Chatterjee"/>
    <n v="19"/>
    <x v="2"/>
    <x v="3"/>
    <n v="5"/>
    <x v="0"/>
    <x v="5"/>
  </r>
  <r>
    <n v="2589"/>
    <x v="734"/>
    <n v="13"/>
    <n v="10"/>
    <x v="2"/>
    <x v="0"/>
    <x v="0"/>
    <x v="6"/>
    <x v="0"/>
    <n v="8"/>
    <n v="27428.74"/>
    <n v="219429.92"/>
    <s v="Arun Shah"/>
    <n v="50"/>
    <x v="14"/>
    <x v="3"/>
    <n v="4"/>
    <x v="0"/>
    <x v="0"/>
  </r>
  <r>
    <n v="2590"/>
    <x v="734"/>
    <n v="13"/>
    <n v="10"/>
    <x v="2"/>
    <x v="0"/>
    <x v="0"/>
    <x v="6"/>
    <x v="4"/>
    <n v="6"/>
    <n v="19910.38"/>
    <n v="119462.28"/>
    <s v="Radha Kumar"/>
    <n v="29"/>
    <x v="1"/>
    <x v="0"/>
    <n v="4"/>
    <x v="0"/>
    <x v="7"/>
  </r>
  <r>
    <n v="2591"/>
    <x v="735"/>
    <n v="14"/>
    <n v="10"/>
    <x v="2"/>
    <x v="0"/>
    <x v="0"/>
    <x v="0"/>
    <x v="0"/>
    <n v="7"/>
    <n v="65286.02"/>
    <n v="457002.13999999996"/>
    <s v="Yogesh Malhotra"/>
    <n v="39"/>
    <x v="1"/>
    <x v="2"/>
    <n v="2"/>
    <x v="2"/>
    <x v="0"/>
  </r>
  <r>
    <n v="2592"/>
    <x v="735"/>
    <n v="14"/>
    <n v="10"/>
    <x v="2"/>
    <x v="0"/>
    <x v="0"/>
    <x v="0"/>
    <x v="0"/>
    <n v="1"/>
    <n v="35384.53"/>
    <n v="35384.53"/>
    <s v="Mala Malhotra"/>
    <n v="30"/>
    <x v="12"/>
    <x v="0"/>
    <n v="2"/>
    <x v="2"/>
    <x v="3"/>
  </r>
  <r>
    <n v="2593"/>
    <x v="735"/>
    <n v="14"/>
    <n v="10"/>
    <x v="2"/>
    <x v="0"/>
    <x v="0"/>
    <x v="0"/>
    <x v="3"/>
    <n v="3"/>
    <n v="26725.35"/>
    <n v="80176.049999999988"/>
    <s v="Priya Roy"/>
    <n v="27"/>
    <x v="16"/>
    <x v="2"/>
    <n v="5"/>
    <x v="0"/>
    <x v="12"/>
  </r>
  <r>
    <n v="2594"/>
    <x v="736"/>
    <n v="15"/>
    <n v="10"/>
    <x v="2"/>
    <x v="0"/>
    <x v="0"/>
    <x v="1"/>
    <x v="0"/>
    <n v="3"/>
    <n v="38255.25"/>
    <n v="114765.75"/>
    <s v="Pooja Roy"/>
    <n v="34"/>
    <x v="6"/>
    <x v="0"/>
    <n v="5"/>
    <x v="0"/>
    <x v="10"/>
  </r>
  <r>
    <n v="2595"/>
    <x v="736"/>
    <n v="15"/>
    <n v="10"/>
    <x v="2"/>
    <x v="0"/>
    <x v="0"/>
    <x v="1"/>
    <x v="3"/>
    <n v="2"/>
    <n v="65070.85"/>
    <n v="130141.7"/>
    <s v="Meena Srivastava"/>
    <n v="22"/>
    <x v="1"/>
    <x v="2"/>
    <n v="4"/>
    <x v="0"/>
    <x v="5"/>
  </r>
  <r>
    <n v="2596"/>
    <x v="736"/>
    <n v="15"/>
    <n v="10"/>
    <x v="2"/>
    <x v="0"/>
    <x v="0"/>
    <x v="1"/>
    <x v="4"/>
    <n v="7"/>
    <n v="33224.04"/>
    <n v="232568.28"/>
    <s v="Umesh Teja"/>
    <n v="26"/>
    <x v="1"/>
    <x v="2"/>
    <n v="3"/>
    <x v="1"/>
    <x v="11"/>
  </r>
  <r>
    <n v="2597"/>
    <x v="736"/>
    <n v="15"/>
    <n v="10"/>
    <x v="2"/>
    <x v="0"/>
    <x v="0"/>
    <x v="1"/>
    <x v="2"/>
    <n v="9"/>
    <n v="43758.46"/>
    <n v="393826.14"/>
    <s v="Amit Patel"/>
    <n v="30"/>
    <x v="1"/>
    <x v="0"/>
    <n v="3"/>
    <x v="1"/>
    <x v="13"/>
  </r>
  <r>
    <n v="2598"/>
    <x v="737"/>
    <n v="16"/>
    <n v="10"/>
    <x v="2"/>
    <x v="0"/>
    <x v="0"/>
    <x v="2"/>
    <x v="3"/>
    <n v="4"/>
    <n v="58177.98"/>
    <n v="232711.92"/>
    <s v="Lalita Nambiar"/>
    <n v="40"/>
    <x v="10"/>
    <x v="3"/>
    <n v="5"/>
    <x v="0"/>
    <x v="5"/>
  </r>
  <r>
    <n v="2599"/>
    <x v="737"/>
    <n v="16"/>
    <n v="10"/>
    <x v="2"/>
    <x v="0"/>
    <x v="0"/>
    <x v="2"/>
    <x v="4"/>
    <n v="5"/>
    <n v="35627.949999999997"/>
    <n v="178139.75"/>
    <s v="Kiran Siddiqui"/>
    <n v="47"/>
    <x v="7"/>
    <x v="3"/>
    <n v="3"/>
    <x v="1"/>
    <x v="14"/>
  </r>
  <r>
    <n v="2600"/>
    <x v="737"/>
    <n v="16"/>
    <n v="10"/>
    <x v="2"/>
    <x v="0"/>
    <x v="0"/>
    <x v="2"/>
    <x v="2"/>
    <n v="3"/>
    <n v="24012.51"/>
    <n v="72037.53"/>
    <s v="Krishna Jain"/>
    <n v="21"/>
    <x v="2"/>
    <x v="2"/>
    <n v="3"/>
    <x v="1"/>
    <x v="13"/>
  </r>
  <r>
    <n v="2601"/>
    <x v="738"/>
    <n v="17"/>
    <n v="10"/>
    <x v="2"/>
    <x v="0"/>
    <x v="0"/>
    <x v="3"/>
    <x v="1"/>
    <n v="9"/>
    <n v="69671.539999999994"/>
    <n v="627043.86"/>
    <s v="Kunal Singh"/>
    <n v="38"/>
    <x v="8"/>
    <x v="1"/>
    <n v="2"/>
    <x v="2"/>
    <x v="2"/>
  </r>
  <r>
    <n v="2602"/>
    <x v="738"/>
    <n v="17"/>
    <n v="10"/>
    <x v="2"/>
    <x v="0"/>
    <x v="0"/>
    <x v="3"/>
    <x v="3"/>
    <n v="4"/>
    <n v="67394.25"/>
    <n v="269577"/>
    <s v="Priyanka Roy"/>
    <n v="26"/>
    <x v="1"/>
    <x v="1"/>
    <n v="5"/>
    <x v="0"/>
    <x v="5"/>
  </r>
  <r>
    <n v="2603"/>
    <x v="738"/>
    <n v="17"/>
    <n v="10"/>
    <x v="2"/>
    <x v="0"/>
    <x v="0"/>
    <x v="3"/>
    <x v="3"/>
    <n v="5"/>
    <n v="60608.75"/>
    <n v="303043.75"/>
    <s v="Meena Mathur"/>
    <n v="24"/>
    <x v="10"/>
    <x v="0"/>
    <n v="5"/>
    <x v="0"/>
    <x v="5"/>
  </r>
  <r>
    <n v="2604"/>
    <x v="739"/>
    <n v="18"/>
    <n v="10"/>
    <x v="2"/>
    <x v="0"/>
    <x v="0"/>
    <x v="4"/>
    <x v="1"/>
    <n v="1"/>
    <n v="51302.43"/>
    <n v="51302.43"/>
    <s v="Kiran Siddiqui"/>
    <n v="33"/>
    <x v="8"/>
    <x v="0"/>
    <n v="2"/>
    <x v="2"/>
    <x v="9"/>
  </r>
  <r>
    <n v="2605"/>
    <x v="739"/>
    <n v="18"/>
    <n v="10"/>
    <x v="2"/>
    <x v="0"/>
    <x v="0"/>
    <x v="4"/>
    <x v="1"/>
    <n v="2"/>
    <n v="27691.94"/>
    <n v="55383.88"/>
    <s v="Meena Malhotra"/>
    <n v="40"/>
    <x v="9"/>
    <x v="0"/>
    <n v="3"/>
    <x v="1"/>
    <x v="1"/>
  </r>
  <r>
    <n v="2606"/>
    <x v="739"/>
    <n v="18"/>
    <n v="10"/>
    <x v="2"/>
    <x v="0"/>
    <x v="0"/>
    <x v="4"/>
    <x v="3"/>
    <n v="9"/>
    <n v="64804.78"/>
    <n v="583243.02"/>
    <s v="Krishna Bhatnagar"/>
    <n v="40"/>
    <x v="9"/>
    <x v="1"/>
    <n v="3"/>
    <x v="1"/>
    <x v="5"/>
  </r>
  <r>
    <n v="2607"/>
    <x v="739"/>
    <n v="18"/>
    <n v="10"/>
    <x v="2"/>
    <x v="0"/>
    <x v="0"/>
    <x v="4"/>
    <x v="1"/>
    <n v="2"/>
    <n v="26533.4"/>
    <n v="53066.8"/>
    <s v="Prashant Sharma"/>
    <n v="48"/>
    <x v="1"/>
    <x v="3"/>
    <n v="5"/>
    <x v="0"/>
    <x v="1"/>
  </r>
  <r>
    <n v="2608"/>
    <x v="740"/>
    <n v="19"/>
    <n v="10"/>
    <x v="2"/>
    <x v="0"/>
    <x v="0"/>
    <x v="5"/>
    <x v="0"/>
    <n v="5"/>
    <n v="58048.57"/>
    <n v="290242.84999999998"/>
    <s v="Manoj Nambiar"/>
    <n v="22"/>
    <x v="5"/>
    <x v="0"/>
    <n v="3"/>
    <x v="1"/>
    <x v="3"/>
  </r>
  <r>
    <n v="2609"/>
    <x v="740"/>
    <n v="19"/>
    <n v="10"/>
    <x v="2"/>
    <x v="0"/>
    <x v="0"/>
    <x v="5"/>
    <x v="2"/>
    <n v="8"/>
    <n v="65095.49"/>
    <n v="520763.92"/>
    <s v="Sumit Alva"/>
    <n v="23"/>
    <x v="1"/>
    <x v="0"/>
    <n v="5"/>
    <x v="0"/>
    <x v="13"/>
  </r>
  <r>
    <n v="2610"/>
    <x v="740"/>
    <n v="19"/>
    <n v="10"/>
    <x v="2"/>
    <x v="0"/>
    <x v="0"/>
    <x v="5"/>
    <x v="2"/>
    <n v="3"/>
    <n v="46180.23"/>
    <n v="138540.69"/>
    <s v="Sunita Nair"/>
    <n v="18"/>
    <x v="1"/>
    <x v="3"/>
    <n v="3"/>
    <x v="1"/>
    <x v="13"/>
  </r>
  <r>
    <n v="2611"/>
    <x v="741"/>
    <n v="20"/>
    <n v="10"/>
    <x v="2"/>
    <x v="0"/>
    <x v="0"/>
    <x v="6"/>
    <x v="2"/>
    <n v="6"/>
    <n v="58183.37"/>
    <n v="349100.22000000003"/>
    <s v="Bhavana Dutta"/>
    <n v="45"/>
    <x v="4"/>
    <x v="2"/>
    <n v="4"/>
    <x v="0"/>
    <x v="6"/>
  </r>
  <r>
    <n v="2612"/>
    <x v="741"/>
    <n v="20"/>
    <n v="10"/>
    <x v="2"/>
    <x v="0"/>
    <x v="0"/>
    <x v="6"/>
    <x v="0"/>
    <n v="4"/>
    <n v="57501.71"/>
    <n v="230006.84"/>
    <s v="Bhavana Reddy"/>
    <n v="35"/>
    <x v="1"/>
    <x v="0"/>
    <n v="2"/>
    <x v="2"/>
    <x v="10"/>
  </r>
  <r>
    <n v="2613"/>
    <x v="741"/>
    <n v="20"/>
    <n v="10"/>
    <x v="2"/>
    <x v="0"/>
    <x v="0"/>
    <x v="6"/>
    <x v="1"/>
    <n v="7"/>
    <n v="21589.47"/>
    <n v="151126.29"/>
    <s v="Umesh Bhattacharya"/>
    <n v="41"/>
    <x v="2"/>
    <x v="1"/>
    <n v="5"/>
    <x v="0"/>
    <x v="1"/>
  </r>
  <r>
    <n v="2614"/>
    <x v="741"/>
    <n v="20"/>
    <n v="10"/>
    <x v="2"/>
    <x v="0"/>
    <x v="0"/>
    <x v="6"/>
    <x v="4"/>
    <n v="3"/>
    <n v="50075.47"/>
    <n v="150226.41"/>
    <s v="Manoj Dutta"/>
    <n v="30"/>
    <x v="2"/>
    <x v="1"/>
    <n v="4"/>
    <x v="0"/>
    <x v="11"/>
  </r>
  <r>
    <n v="2615"/>
    <x v="742"/>
    <n v="21"/>
    <n v="10"/>
    <x v="2"/>
    <x v="0"/>
    <x v="0"/>
    <x v="0"/>
    <x v="1"/>
    <n v="6"/>
    <n v="15608.08"/>
    <n v="93648.48"/>
    <s v="Yogesh Dutta"/>
    <n v="50"/>
    <x v="2"/>
    <x v="0"/>
    <n v="3"/>
    <x v="1"/>
    <x v="9"/>
  </r>
  <r>
    <n v="2616"/>
    <x v="742"/>
    <n v="21"/>
    <n v="10"/>
    <x v="2"/>
    <x v="0"/>
    <x v="0"/>
    <x v="0"/>
    <x v="3"/>
    <n v="9"/>
    <n v="40471.01"/>
    <n v="364239.09"/>
    <s v="Vivek Rathod"/>
    <n v="27"/>
    <x v="1"/>
    <x v="1"/>
    <n v="5"/>
    <x v="0"/>
    <x v="12"/>
  </r>
  <r>
    <n v="2617"/>
    <x v="742"/>
    <n v="21"/>
    <n v="10"/>
    <x v="2"/>
    <x v="0"/>
    <x v="0"/>
    <x v="0"/>
    <x v="2"/>
    <n v="1"/>
    <n v="19734.13"/>
    <n v="19734.13"/>
    <s v="Sachin Malhotra"/>
    <n v="24"/>
    <x v="3"/>
    <x v="3"/>
    <n v="4"/>
    <x v="0"/>
    <x v="13"/>
  </r>
  <r>
    <n v="2618"/>
    <x v="742"/>
    <n v="21"/>
    <n v="10"/>
    <x v="2"/>
    <x v="0"/>
    <x v="0"/>
    <x v="0"/>
    <x v="1"/>
    <n v="3"/>
    <n v="34980.97"/>
    <n v="104942.91"/>
    <s v="Tapan Kumar"/>
    <n v="54"/>
    <x v="1"/>
    <x v="2"/>
    <n v="2"/>
    <x v="2"/>
    <x v="1"/>
  </r>
  <r>
    <n v="2619"/>
    <x v="743"/>
    <n v="22"/>
    <n v="10"/>
    <x v="2"/>
    <x v="0"/>
    <x v="0"/>
    <x v="1"/>
    <x v="4"/>
    <n v="2"/>
    <n v="59978.92"/>
    <n v="119957.84"/>
    <s v="Yogesh Menon"/>
    <n v="49"/>
    <x v="13"/>
    <x v="2"/>
    <n v="5"/>
    <x v="0"/>
    <x v="11"/>
  </r>
  <r>
    <n v="2620"/>
    <x v="743"/>
    <n v="22"/>
    <n v="10"/>
    <x v="2"/>
    <x v="0"/>
    <x v="0"/>
    <x v="1"/>
    <x v="3"/>
    <n v="8"/>
    <n v="69230.070000000007"/>
    <n v="553840.56000000006"/>
    <s v="Bina Teja"/>
    <n v="39"/>
    <x v="17"/>
    <x v="0"/>
    <n v="5"/>
    <x v="0"/>
    <x v="12"/>
  </r>
  <r>
    <n v="2621"/>
    <x v="743"/>
    <n v="22"/>
    <n v="10"/>
    <x v="2"/>
    <x v="0"/>
    <x v="0"/>
    <x v="1"/>
    <x v="0"/>
    <n v="7"/>
    <n v="29077.59"/>
    <n v="203543.13"/>
    <s v="Reena Menon"/>
    <n v="33"/>
    <x v="1"/>
    <x v="0"/>
    <n v="2"/>
    <x v="2"/>
    <x v="3"/>
  </r>
  <r>
    <n v="2622"/>
    <x v="744"/>
    <n v="23"/>
    <n v="10"/>
    <x v="2"/>
    <x v="0"/>
    <x v="0"/>
    <x v="2"/>
    <x v="0"/>
    <n v="2"/>
    <n v="41917.339999999997"/>
    <n v="83834.679999999993"/>
    <s v="Aditya Sheth"/>
    <n v="41"/>
    <x v="16"/>
    <x v="2"/>
    <n v="4"/>
    <x v="0"/>
    <x v="0"/>
  </r>
  <r>
    <n v="2623"/>
    <x v="744"/>
    <n v="23"/>
    <n v="10"/>
    <x v="2"/>
    <x v="0"/>
    <x v="0"/>
    <x v="2"/>
    <x v="4"/>
    <n v="6"/>
    <n v="40677.879999999997"/>
    <n v="244067.27999999997"/>
    <s v="Anjali Das"/>
    <n v="31"/>
    <x v="5"/>
    <x v="2"/>
    <n v="5"/>
    <x v="0"/>
    <x v="11"/>
  </r>
  <r>
    <n v="2624"/>
    <x v="744"/>
    <n v="23"/>
    <n v="10"/>
    <x v="2"/>
    <x v="0"/>
    <x v="0"/>
    <x v="2"/>
    <x v="3"/>
    <n v="3"/>
    <n v="67264.09"/>
    <n v="201792.27"/>
    <s v="Rohan Rao"/>
    <n v="28"/>
    <x v="2"/>
    <x v="0"/>
    <n v="2"/>
    <x v="2"/>
    <x v="5"/>
  </r>
  <r>
    <n v="2625"/>
    <x v="745"/>
    <n v="24"/>
    <n v="10"/>
    <x v="2"/>
    <x v="0"/>
    <x v="0"/>
    <x v="3"/>
    <x v="2"/>
    <n v="8"/>
    <n v="38715.019999999997"/>
    <n v="309720.15999999997"/>
    <s v="Tapan Deshmukh"/>
    <n v="36"/>
    <x v="1"/>
    <x v="1"/>
    <n v="4"/>
    <x v="0"/>
    <x v="13"/>
  </r>
  <r>
    <n v="2626"/>
    <x v="745"/>
    <n v="24"/>
    <n v="10"/>
    <x v="2"/>
    <x v="0"/>
    <x v="0"/>
    <x v="3"/>
    <x v="1"/>
    <n v="3"/>
    <n v="51946.37"/>
    <n v="155839.11000000002"/>
    <s v="Rajesh Prasad"/>
    <n v="40"/>
    <x v="2"/>
    <x v="0"/>
    <n v="3"/>
    <x v="1"/>
    <x v="1"/>
  </r>
  <r>
    <n v="2627"/>
    <x v="745"/>
    <n v="24"/>
    <n v="10"/>
    <x v="2"/>
    <x v="0"/>
    <x v="0"/>
    <x v="3"/>
    <x v="3"/>
    <n v="9"/>
    <n v="65307.35"/>
    <n v="587766.15"/>
    <s v="Anand Nair"/>
    <n v="51"/>
    <x v="10"/>
    <x v="3"/>
    <n v="5"/>
    <x v="0"/>
    <x v="12"/>
  </r>
  <r>
    <n v="2628"/>
    <x v="745"/>
    <n v="24"/>
    <n v="10"/>
    <x v="2"/>
    <x v="0"/>
    <x v="0"/>
    <x v="3"/>
    <x v="0"/>
    <n v="1"/>
    <n v="32402.71"/>
    <n v="32402.71"/>
    <s v="Umesh Srivastava"/>
    <n v="57"/>
    <x v="18"/>
    <x v="0"/>
    <n v="3"/>
    <x v="1"/>
    <x v="10"/>
  </r>
  <r>
    <n v="2629"/>
    <x v="746"/>
    <n v="25"/>
    <n v="10"/>
    <x v="2"/>
    <x v="0"/>
    <x v="0"/>
    <x v="4"/>
    <x v="4"/>
    <n v="5"/>
    <n v="64127.33"/>
    <n v="320636.65000000002"/>
    <s v="Manoj Dutta"/>
    <n v="30"/>
    <x v="0"/>
    <x v="0"/>
    <n v="3"/>
    <x v="1"/>
    <x v="7"/>
  </r>
  <r>
    <n v="2630"/>
    <x v="746"/>
    <n v="25"/>
    <n v="10"/>
    <x v="2"/>
    <x v="0"/>
    <x v="0"/>
    <x v="4"/>
    <x v="4"/>
    <n v="3"/>
    <n v="65047.37"/>
    <n v="195142.11000000002"/>
    <s v="Krishna Roy"/>
    <n v="56"/>
    <x v="18"/>
    <x v="0"/>
    <n v="5"/>
    <x v="0"/>
    <x v="7"/>
  </r>
  <r>
    <n v="2631"/>
    <x v="746"/>
    <n v="25"/>
    <n v="10"/>
    <x v="2"/>
    <x v="0"/>
    <x v="0"/>
    <x v="4"/>
    <x v="1"/>
    <n v="6"/>
    <n v="65839.75"/>
    <n v="395038.5"/>
    <s v="Jyoti Jain"/>
    <n v="45"/>
    <x v="2"/>
    <x v="0"/>
    <n v="3"/>
    <x v="1"/>
    <x v="1"/>
  </r>
  <r>
    <n v="2632"/>
    <x v="747"/>
    <n v="26"/>
    <n v="10"/>
    <x v="2"/>
    <x v="0"/>
    <x v="0"/>
    <x v="5"/>
    <x v="4"/>
    <n v="2"/>
    <n v="26226.77"/>
    <n v="52453.54"/>
    <s v="Priya Roy"/>
    <n v="57"/>
    <x v="1"/>
    <x v="0"/>
    <n v="3"/>
    <x v="1"/>
    <x v="11"/>
  </r>
  <r>
    <n v="2633"/>
    <x v="747"/>
    <n v="26"/>
    <n v="10"/>
    <x v="2"/>
    <x v="0"/>
    <x v="0"/>
    <x v="5"/>
    <x v="4"/>
    <n v="9"/>
    <n v="34021.339999999997"/>
    <n v="306192.05999999994"/>
    <s v="Lata Patel"/>
    <n v="33"/>
    <x v="8"/>
    <x v="0"/>
    <n v="2"/>
    <x v="2"/>
    <x v="11"/>
  </r>
  <r>
    <n v="2634"/>
    <x v="747"/>
    <n v="26"/>
    <n v="10"/>
    <x v="2"/>
    <x v="0"/>
    <x v="0"/>
    <x v="5"/>
    <x v="3"/>
    <n v="6"/>
    <n v="62223.75"/>
    <n v="373342.5"/>
    <s v="Pooja Ahuja"/>
    <n v="45"/>
    <x v="1"/>
    <x v="1"/>
    <n v="2"/>
    <x v="2"/>
    <x v="5"/>
  </r>
  <r>
    <n v="2635"/>
    <x v="748"/>
    <n v="27"/>
    <n v="10"/>
    <x v="2"/>
    <x v="0"/>
    <x v="0"/>
    <x v="6"/>
    <x v="2"/>
    <n v="7"/>
    <n v="31549.71"/>
    <n v="220847.97"/>
    <s v="Namita Rao"/>
    <n v="21"/>
    <x v="16"/>
    <x v="0"/>
    <n v="4"/>
    <x v="0"/>
    <x v="6"/>
  </r>
  <r>
    <n v="2636"/>
    <x v="748"/>
    <n v="27"/>
    <n v="10"/>
    <x v="2"/>
    <x v="0"/>
    <x v="0"/>
    <x v="6"/>
    <x v="1"/>
    <n v="5"/>
    <n v="46015.18"/>
    <n v="230075.9"/>
    <s v="Kiran Alva"/>
    <n v="45"/>
    <x v="13"/>
    <x v="2"/>
    <n v="5"/>
    <x v="0"/>
    <x v="1"/>
  </r>
  <r>
    <n v="2637"/>
    <x v="748"/>
    <n v="27"/>
    <n v="10"/>
    <x v="2"/>
    <x v="0"/>
    <x v="0"/>
    <x v="6"/>
    <x v="3"/>
    <n v="9"/>
    <n v="17083.27"/>
    <n v="153749.43"/>
    <s v="Monika Solanki"/>
    <n v="29"/>
    <x v="15"/>
    <x v="0"/>
    <n v="4"/>
    <x v="0"/>
    <x v="5"/>
  </r>
  <r>
    <n v="2638"/>
    <x v="749"/>
    <n v="28"/>
    <n v="10"/>
    <x v="2"/>
    <x v="0"/>
    <x v="0"/>
    <x v="0"/>
    <x v="2"/>
    <n v="1"/>
    <n v="13376.5"/>
    <n v="13376.5"/>
    <s v="Neeta Solanki"/>
    <n v="33"/>
    <x v="7"/>
    <x v="1"/>
    <n v="2"/>
    <x v="2"/>
    <x v="6"/>
  </r>
  <r>
    <n v="2639"/>
    <x v="749"/>
    <n v="28"/>
    <n v="10"/>
    <x v="2"/>
    <x v="0"/>
    <x v="0"/>
    <x v="0"/>
    <x v="3"/>
    <n v="5"/>
    <n v="34719.64"/>
    <n v="173598.2"/>
    <s v="Anita Arora"/>
    <n v="53"/>
    <x v="0"/>
    <x v="3"/>
    <n v="2"/>
    <x v="2"/>
    <x v="8"/>
  </r>
  <r>
    <n v="2640"/>
    <x v="749"/>
    <n v="28"/>
    <n v="10"/>
    <x v="2"/>
    <x v="0"/>
    <x v="0"/>
    <x v="0"/>
    <x v="3"/>
    <n v="6"/>
    <n v="44734.99"/>
    <n v="268409.94"/>
    <s v="Ayesha Menon"/>
    <n v="37"/>
    <x v="7"/>
    <x v="2"/>
    <n v="5"/>
    <x v="0"/>
    <x v="8"/>
  </r>
  <r>
    <n v="2641"/>
    <x v="749"/>
    <n v="28"/>
    <n v="10"/>
    <x v="2"/>
    <x v="0"/>
    <x v="0"/>
    <x v="0"/>
    <x v="4"/>
    <n v="7"/>
    <n v="33561.949999999997"/>
    <n v="234933.64999999997"/>
    <s v="Vijay Malhotra"/>
    <n v="43"/>
    <x v="2"/>
    <x v="0"/>
    <n v="5"/>
    <x v="0"/>
    <x v="11"/>
  </r>
  <r>
    <n v="2642"/>
    <x v="750"/>
    <n v="29"/>
    <n v="10"/>
    <x v="2"/>
    <x v="0"/>
    <x v="0"/>
    <x v="1"/>
    <x v="2"/>
    <n v="4"/>
    <n v="44664.15"/>
    <n v="178656.6"/>
    <s v="Sunil Siddiqui"/>
    <n v="43"/>
    <x v="18"/>
    <x v="0"/>
    <n v="2"/>
    <x v="2"/>
    <x v="4"/>
  </r>
  <r>
    <n v="2643"/>
    <x v="750"/>
    <n v="29"/>
    <n v="10"/>
    <x v="2"/>
    <x v="0"/>
    <x v="0"/>
    <x v="1"/>
    <x v="1"/>
    <n v="1"/>
    <n v="40905.06"/>
    <n v="40905.06"/>
    <s v="Radha Dutta"/>
    <n v="39"/>
    <x v="17"/>
    <x v="2"/>
    <n v="3"/>
    <x v="1"/>
    <x v="1"/>
  </r>
  <r>
    <n v="2644"/>
    <x v="750"/>
    <n v="29"/>
    <n v="10"/>
    <x v="2"/>
    <x v="0"/>
    <x v="0"/>
    <x v="1"/>
    <x v="1"/>
    <n v="8"/>
    <n v="51142.43"/>
    <n v="409139.44"/>
    <s v="Radha Varma"/>
    <n v="26"/>
    <x v="9"/>
    <x v="0"/>
    <n v="4"/>
    <x v="0"/>
    <x v="1"/>
  </r>
  <r>
    <n v="2645"/>
    <x v="750"/>
    <n v="29"/>
    <n v="10"/>
    <x v="2"/>
    <x v="0"/>
    <x v="0"/>
    <x v="1"/>
    <x v="2"/>
    <n v="4"/>
    <n v="48971.95"/>
    <n v="195887.8"/>
    <s v="Reena Deshmukh"/>
    <n v="22"/>
    <x v="5"/>
    <x v="1"/>
    <n v="2"/>
    <x v="2"/>
    <x v="13"/>
  </r>
  <r>
    <n v="2646"/>
    <x v="751"/>
    <n v="30"/>
    <n v="10"/>
    <x v="2"/>
    <x v="0"/>
    <x v="0"/>
    <x v="2"/>
    <x v="4"/>
    <n v="3"/>
    <n v="35454.74"/>
    <n v="106364.22"/>
    <s v="Vinod Chatterjee"/>
    <n v="34"/>
    <x v="2"/>
    <x v="0"/>
    <n v="2"/>
    <x v="2"/>
    <x v="14"/>
  </r>
  <r>
    <n v="2647"/>
    <x v="751"/>
    <n v="30"/>
    <n v="10"/>
    <x v="2"/>
    <x v="0"/>
    <x v="0"/>
    <x v="2"/>
    <x v="0"/>
    <n v="7"/>
    <n v="35499.71"/>
    <n v="248497.97"/>
    <s v="Ramesh Joshi"/>
    <n v="51"/>
    <x v="1"/>
    <x v="3"/>
    <n v="5"/>
    <x v="0"/>
    <x v="0"/>
  </r>
  <r>
    <n v="2648"/>
    <x v="751"/>
    <n v="30"/>
    <n v="10"/>
    <x v="2"/>
    <x v="0"/>
    <x v="0"/>
    <x v="2"/>
    <x v="3"/>
    <n v="2"/>
    <n v="18446.7"/>
    <n v="36893.4"/>
    <s v="Vinod Srivastava"/>
    <n v="19"/>
    <x v="1"/>
    <x v="1"/>
    <n v="4"/>
    <x v="0"/>
    <x v="8"/>
  </r>
  <r>
    <n v="2649"/>
    <x v="752"/>
    <n v="31"/>
    <n v="10"/>
    <x v="2"/>
    <x v="0"/>
    <x v="0"/>
    <x v="3"/>
    <x v="4"/>
    <n v="8"/>
    <n v="40794.31"/>
    <n v="326354.48"/>
    <s v="Meena Das"/>
    <n v="24"/>
    <x v="2"/>
    <x v="0"/>
    <n v="4"/>
    <x v="0"/>
    <x v="11"/>
  </r>
  <r>
    <n v="2650"/>
    <x v="752"/>
    <n v="31"/>
    <n v="10"/>
    <x v="2"/>
    <x v="0"/>
    <x v="0"/>
    <x v="3"/>
    <x v="2"/>
    <n v="6"/>
    <n v="45230.75"/>
    <n v="271384.5"/>
    <s v="Lalita Desai"/>
    <n v="53"/>
    <x v="18"/>
    <x v="3"/>
    <n v="5"/>
    <x v="0"/>
    <x v="6"/>
  </r>
  <r>
    <n v="2651"/>
    <x v="752"/>
    <n v="31"/>
    <n v="10"/>
    <x v="2"/>
    <x v="0"/>
    <x v="0"/>
    <x v="3"/>
    <x v="3"/>
    <n v="7"/>
    <n v="38589.360000000001"/>
    <n v="270125.52"/>
    <s v="Rajesh Nambiar"/>
    <n v="30"/>
    <x v="2"/>
    <x v="2"/>
    <n v="2"/>
    <x v="2"/>
    <x v="5"/>
  </r>
  <r>
    <n v="2652"/>
    <x v="752"/>
    <n v="31"/>
    <n v="10"/>
    <x v="2"/>
    <x v="0"/>
    <x v="0"/>
    <x v="3"/>
    <x v="1"/>
    <n v="5"/>
    <n v="29542.44"/>
    <n v="147712.19999999998"/>
    <s v="Meena Yadav"/>
    <n v="37"/>
    <x v="6"/>
    <x v="1"/>
    <n v="5"/>
    <x v="0"/>
    <x v="9"/>
  </r>
  <r>
    <n v="2653"/>
    <x v="753"/>
    <n v="1"/>
    <n v="11"/>
    <x v="2"/>
    <x v="0"/>
    <x v="1"/>
    <x v="4"/>
    <x v="0"/>
    <n v="9"/>
    <n v="53298.91"/>
    <n v="479690.19000000006"/>
    <s v="Ravi Patel"/>
    <n v="47"/>
    <x v="11"/>
    <x v="0"/>
    <n v="5"/>
    <x v="0"/>
    <x v="0"/>
  </r>
  <r>
    <n v="2654"/>
    <x v="753"/>
    <n v="1"/>
    <n v="11"/>
    <x v="2"/>
    <x v="0"/>
    <x v="1"/>
    <x v="4"/>
    <x v="1"/>
    <n v="5"/>
    <n v="14479.7"/>
    <n v="72398.5"/>
    <s v="Lalita Dutta"/>
    <n v="47"/>
    <x v="1"/>
    <x v="0"/>
    <n v="5"/>
    <x v="0"/>
    <x v="2"/>
  </r>
  <r>
    <n v="2655"/>
    <x v="753"/>
    <n v="1"/>
    <n v="11"/>
    <x v="2"/>
    <x v="0"/>
    <x v="1"/>
    <x v="4"/>
    <x v="2"/>
    <n v="5"/>
    <n v="64866.42"/>
    <n v="324332.09999999998"/>
    <s v="Ravi Prasad"/>
    <n v="28"/>
    <x v="10"/>
    <x v="2"/>
    <n v="3"/>
    <x v="1"/>
    <x v="13"/>
  </r>
  <r>
    <n v="2656"/>
    <x v="753"/>
    <n v="1"/>
    <n v="11"/>
    <x v="2"/>
    <x v="0"/>
    <x v="1"/>
    <x v="4"/>
    <x v="3"/>
    <n v="3"/>
    <n v="11238.61"/>
    <n v="33715.83"/>
    <s v="Shruti Menon"/>
    <n v="48"/>
    <x v="2"/>
    <x v="2"/>
    <n v="2"/>
    <x v="2"/>
    <x v="8"/>
  </r>
  <r>
    <n v="2657"/>
    <x v="754"/>
    <n v="2"/>
    <n v="11"/>
    <x v="2"/>
    <x v="0"/>
    <x v="1"/>
    <x v="5"/>
    <x v="2"/>
    <n v="1"/>
    <n v="67741.009999999995"/>
    <n v="67741.009999999995"/>
    <s v="Sneha Malhotra"/>
    <n v="20"/>
    <x v="1"/>
    <x v="1"/>
    <n v="2"/>
    <x v="2"/>
    <x v="13"/>
  </r>
  <r>
    <n v="2658"/>
    <x v="754"/>
    <n v="2"/>
    <n v="11"/>
    <x v="2"/>
    <x v="0"/>
    <x v="1"/>
    <x v="5"/>
    <x v="3"/>
    <n v="2"/>
    <n v="37741.339999999997"/>
    <n v="75482.679999999993"/>
    <s v="Anand Pillai"/>
    <n v="19"/>
    <x v="4"/>
    <x v="1"/>
    <n v="4"/>
    <x v="0"/>
    <x v="8"/>
  </r>
  <r>
    <n v="2659"/>
    <x v="754"/>
    <n v="2"/>
    <n v="11"/>
    <x v="2"/>
    <x v="0"/>
    <x v="1"/>
    <x v="5"/>
    <x v="4"/>
    <n v="8"/>
    <n v="34760.199999999997"/>
    <n v="278081.59999999998"/>
    <s v="Prashant Gupta"/>
    <n v="20"/>
    <x v="1"/>
    <x v="1"/>
    <n v="5"/>
    <x v="0"/>
    <x v="11"/>
  </r>
  <r>
    <n v="2660"/>
    <x v="754"/>
    <n v="2"/>
    <n v="11"/>
    <x v="2"/>
    <x v="0"/>
    <x v="1"/>
    <x v="5"/>
    <x v="0"/>
    <n v="1"/>
    <n v="25386.639999999999"/>
    <n v="25386.639999999999"/>
    <s v="Kavita Iyer"/>
    <n v="32"/>
    <x v="11"/>
    <x v="0"/>
    <n v="4"/>
    <x v="0"/>
    <x v="0"/>
  </r>
  <r>
    <n v="2661"/>
    <x v="755"/>
    <n v="3"/>
    <n v="11"/>
    <x v="2"/>
    <x v="0"/>
    <x v="1"/>
    <x v="6"/>
    <x v="4"/>
    <n v="7"/>
    <n v="10604.27"/>
    <n v="74229.89"/>
    <s v="Pankaj Jain"/>
    <n v="34"/>
    <x v="9"/>
    <x v="0"/>
    <n v="5"/>
    <x v="0"/>
    <x v="14"/>
  </r>
  <r>
    <n v="2662"/>
    <x v="755"/>
    <n v="3"/>
    <n v="11"/>
    <x v="2"/>
    <x v="0"/>
    <x v="1"/>
    <x v="6"/>
    <x v="4"/>
    <n v="5"/>
    <n v="26487.42"/>
    <n v="132437.09999999998"/>
    <s v="Priya Mehta"/>
    <n v="24"/>
    <x v="2"/>
    <x v="1"/>
    <n v="5"/>
    <x v="0"/>
    <x v="7"/>
  </r>
  <r>
    <n v="2663"/>
    <x v="755"/>
    <n v="3"/>
    <n v="11"/>
    <x v="2"/>
    <x v="0"/>
    <x v="1"/>
    <x v="6"/>
    <x v="2"/>
    <n v="3"/>
    <n v="16564"/>
    <n v="49692"/>
    <s v="Tanuja Ahuja"/>
    <n v="22"/>
    <x v="10"/>
    <x v="0"/>
    <n v="5"/>
    <x v="0"/>
    <x v="4"/>
  </r>
  <r>
    <n v="2664"/>
    <x v="755"/>
    <n v="3"/>
    <n v="11"/>
    <x v="2"/>
    <x v="0"/>
    <x v="1"/>
    <x v="6"/>
    <x v="0"/>
    <n v="7"/>
    <n v="49589.25"/>
    <n v="347124.75"/>
    <s v="Kiran Mathur"/>
    <n v="51"/>
    <x v="1"/>
    <x v="2"/>
    <n v="5"/>
    <x v="0"/>
    <x v="10"/>
  </r>
  <r>
    <n v="2665"/>
    <x v="756"/>
    <n v="4"/>
    <n v="11"/>
    <x v="2"/>
    <x v="0"/>
    <x v="1"/>
    <x v="0"/>
    <x v="3"/>
    <n v="9"/>
    <n v="29144.5"/>
    <n v="262300.5"/>
    <s v="Harish Patel"/>
    <n v="50"/>
    <x v="2"/>
    <x v="3"/>
    <n v="4"/>
    <x v="0"/>
    <x v="5"/>
  </r>
  <r>
    <n v="2666"/>
    <x v="756"/>
    <n v="4"/>
    <n v="11"/>
    <x v="2"/>
    <x v="0"/>
    <x v="1"/>
    <x v="0"/>
    <x v="3"/>
    <n v="2"/>
    <n v="56030.76"/>
    <n v="112061.52"/>
    <s v="Krishna Nambiar"/>
    <n v="33"/>
    <x v="16"/>
    <x v="0"/>
    <n v="5"/>
    <x v="0"/>
    <x v="5"/>
  </r>
  <r>
    <n v="2667"/>
    <x v="756"/>
    <n v="4"/>
    <n v="11"/>
    <x v="2"/>
    <x v="0"/>
    <x v="1"/>
    <x v="0"/>
    <x v="1"/>
    <n v="8"/>
    <n v="22414.97"/>
    <n v="179319.76"/>
    <s v="Anjali Varma"/>
    <n v="54"/>
    <x v="6"/>
    <x v="1"/>
    <n v="5"/>
    <x v="0"/>
    <x v="2"/>
  </r>
  <r>
    <n v="2668"/>
    <x v="756"/>
    <n v="4"/>
    <n v="11"/>
    <x v="2"/>
    <x v="0"/>
    <x v="1"/>
    <x v="0"/>
    <x v="3"/>
    <n v="9"/>
    <n v="64014.09"/>
    <n v="576126.80999999994"/>
    <s v="Shruti Ahuja"/>
    <n v="20"/>
    <x v="1"/>
    <x v="0"/>
    <n v="2"/>
    <x v="2"/>
    <x v="8"/>
  </r>
  <r>
    <n v="2669"/>
    <x v="757"/>
    <n v="5"/>
    <n v="11"/>
    <x v="2"/>
    <x v="0"/>
    <x v="1"/>
    <x v="1"/>
    <x v="2"/>
    <n v="3"/>
    <n v="41378.89"/>
    <n v="124136.67"/>
    <s v="Anand Siddiqui"/>
    <n v="38"/>
    <x v="5"/>
    <x v="2"/>
    <n v="2"/>
    <x v="2"/>
    <x v="6"/>
  </r>
  <r>
    <n v="2670"/>
    <x v="757"/>
    <n v="5"/>
    <n v="11"/>
    <x v="2"/>
    <x v="0"/>
    <x v="1"/>
    <x v="1"/>
    <x v="4"/>
    <n v="2"/>
    <n v="16870.37"/>
    <n v="33740.74"/>
    <s v="Sanjay Jain"/>
    <n v="58"/>
    <x v="2"/>
    <x v="1"/>
    <n v="2"/>
    <x v="2"/>
    <x v="14"/>
  </r>
  <r>
    <n v="2671"/>
    <x v="757"/>
    <n v="5"/>
    <n v="11"/>
    <x v="2"/>
    <x v="0"/>
    <x v="1"/>
    <x v="1"/>
    <x v="4"/>
    <n v="7"/>
    <n v="34050.71"/>
    <n v="238354.97"/>
    <s v="Pankaj Gupta"/>
    <n v="25"/>
    <x v="1"/>
    <x v="3"/>
    <n v="3"/>
    <x v="1"/>
    <x v="11"/>
  </r>
  <r>
    <n v="2672"/>
    <x v="758"/>
    <n v="6"/>
    <n v="11"/>
    <x v="2"/>
    <x v="0"/>
    <x v="1"/>
    <x v="2"/>
    <x v="4"/>
    <n v="5"/>
    <n v="22405.63"/>
    <n v="112028.15000000001"/>
    <s v="Vijay Rawat"/>
    <n v="39"/>
    <x v="1"/>
    <x v="1"/>
    <n v="2"/>
    <x v="2"/>
    <x v="11"/>
  </r>
  <r>
    <n v="2673"/>
    <x v="758"/>
    <n v="6"/>
    <n v="11"/>
    <x v="2"/>
    <x v="0"/>
    <x v="1"/>
    <x v="2"/>
    <x v="0"/>
    <n v="5"/>
    <n v="21981.13"/>
    <n v="109905.65000000001"/>
    <s v="Sachin Varma"/>
    <n v="22"/>
    <x v="1"/>
    <x v="1"/>
    <n v="3"/>
    <x v="1"/>
    <x v="0"/>
  </r>
  <r>
    <n v="2674"/>
    <x v="758"/>
    <n v="6"/>
    <n v="11"/>
    <x v="2"/>
    <x v="0"/>
    <x v="1"/>
    <x v="2"/>
    <x v="3"/>
    <n v="5"/>
    <n v="40382.18"/>
    <n v="201910.9"/>
    <s v="Sunil Reddy"/>
    <n v="34"/>
    <x v="15"/>
    <x v="1"/>
    <n v="3"/>
    <x v="1"/>
    <x v="8"/>
  </r>
  <r>
    <n v="2675"/>
    <x v="759"/>
    <n v="7"/>
    <n v="11"/>
    <x v="2"/>
    <x v="0"/>
    <x v="1"/>
    <x v="3"/>
    <x v="2"/>
    <n v="4"/>
    <n v="50313.52"/>
    <n v="201254.08"/>
    <s v="Prashant Deshmukh"/>
    <n v="54"/>
    <x v="6"/>
    <x v="0"/>
    <n v="4"/>
    <x v="0"/>
    <x v="6"/>
  </r>
  <r>
    <n v="2676"/>
    <x v="759"/>
    <n v="7"/>
    <n v="11"/>
    <x v="2"/>
    <x v="0"/>
    <x v="1"/>
    <x v="3"/>
    <x v="0"/>
    <n v="5"/>
    <n v="64697.09"/>
    <n v="323485.44999999995"/>
    <s v="Reena Goyal"/>
    <n v="31"/>
    <x v="8"/>
    <x v="3"/>
    <n v="2"/>
    <x v="2"/>
    <x v="3"/>
  </r>
  <r>
    <n v="2677"/>
    <x v="759"/>
    <n v="7"/>
    <n v="11"/>
    <x v="2"/>
    <x v="0"/>
    <x v="1"/>
    <x v="3"/>
    <x v="1"/>
    <n v="4"/>
    <n v="40129.72"/>
    <n v="160518.88"/>
    <s v="Manoj Dutta"/>
    <n v="56"/>
    <x v="18"/>
    <x v="2"/>
    <n v="5"/>
    <x v="0"/>
    <x v="2"/>
  </r>
  <r>
    <n v="2678"/>
    <x v="760"/>
    <n v="8"/>
    <n v="11"/>
    <x v="2"/>
    <x v="0"/>
    <x v="1"/>
    <x v="4"/>
    <x v="2"/>
    <n v="6"/>
    <n v="67950.33"/>
    <n v="407701.98"/>
    <s v="Rajesh Desai"/>
    <n v="58"/>
    <x v="1"/>
    <x v="0"/>
    <n v="5"/>
    <x v="0"/>
    <x v="13"/>
  </r>
  <r>
    <n v="2679"/>
    <x v="760"/>
    <n v="8"/>
    <n v="11"/>
    <x v="2"/>
    <x v="0"/>
    <x v="1"/>
    <x v="4"/>
    <x v="2"/>
    <n v="4"/>
    <n v="66498.09"/>
    <n v="265992.36"/>
    <s v="Namita Malhotra"/>
    <n v="45"/>
    <x v="7"/>
    <x v="3"/>
    <n v="5"/>
    <x v="0"/>
    <x v="4"/>
  </r>
  <r>
    <n v="2680"/>
    <x v="760"/>
    <n v="8"/>
    <n v="11"/>
    <x v="2"/>
    <x v="0"/>
    <x v="1"/>
    <x v="4"/>
    <x v="2"/>
    <n v="2"/>
    <n v="61903.75"/>
    <n v="123807.5"/>
    <s v="Lata Joshi"/>
    <n v="48"/>
    <x v="18"/>
    <x v="3"/>
    <n v="2"/>
    <x v="2"/>
    <x v="4"/>
  </r>
  <r>
    <n v="2681"/>
    <x v="760"/>
    <n v="8"/>
    <n v="11"/>
    <x v="2"/>
    <x v="0"/>
    <x v="1"/>
    <x v="4"/>
    <x v="4"/>
    <n v="9"/>
    <n v="39998.639999999999"/>
    <n v="359987.76"/>
    <s v="Anita Menon"/>
    <n v="34"/>
    <x v="14"/>
    <x v="0"/>
    <n v="5"/>
    <x v="0"/>
    <x v="14"/>
  </r>
  <r>
    <n v="2682"/>
    <x v="761"/>
    <n v="9"/>
    <n v="11"/>
    <x v="2"/>
    <x v="0"/>
    <x v="1"/>
    <x v="5"/>
    <x v="2"/>
    <n v="2"/>
    <n v="18454.240000000002"/>
    <n v="36908.480000000003"/>
    <s v="Neeta Mishra"/>
    <n v="52"/>
    <x v="2"/>
    <x v="1"/>
    <n v="2"/>
    <x v="2"/>
    <x v="6"/>
  </r>
  <r>
    <n v="2683"/>
    <x v="761"/>
    <n v="9"/>
    <n v="11"/>
    <x v="2"/>
    <x v="0"/>
    <x v="1"/>
    <x v="5"/>
    <x v="3"/>
    <n v="9"/>
    <n v="23074.27"/>
    <n v="207668.43"/>
    <s v="Bina Nair"/>
    <n v="57"/>
    <x v="14"/>
    <x v="3"/>
    <n v="2"/>
    <x v="2"/>
    <x v="5"/>
  </r>
  <r>
    <n v="2684"/>
    <x v="761"/>
    <n v="9"/>
    <n v="11"/>
    <x v="2"/>
    <x v="0"/>
    <x v="1"/>
    <x v="5"/>
    <x v="2"/>
    <n v="6"/>
    <n v="48860.2"/>
    <n v="293161.19999999995"/>
    <s v="Bhavana Desai"/>
    <n v="39"/>
    <x v="10"/>
    <x v="2"/>
    <n v="5"/>
    <x v="0"/>
    <x v="6"/>
  </r>
  <r>
    <n v="2685"/>
    <x v="761"/>
    <n v="9"/>
    <n v="11"/>
    <x v="2"/>
    <x v="0"/>
    <x v="1"/>
    <x v="5"/>
    <x v="4"/>
    <n v="9"/>
    <n v="35305.300000000003"/>
    <n v="317747.7"/>
    <s v="Krishna Ahuja"/>
    <n v="46"/>
    <x v="1"/>
    <x v="0"/>
    <n v="3"/>
    <x v="1"/>
    <x v="11"/>
  </r>
  <r>
    <n v="2686"/>
    <x v="762"/>
    <n v="10"/>
    <n v="11"/>
    <x v="2"/>
    <x v="0"/>
    <x v="1"/>
    <x v="6"/>
    <x v="2"/>
    <n v="9"/>
    <n v="18808.099999999999"/>
    <n v="169272.9"/>
    <s v="Vinod Nambiar"/>
    <n v="27"/>
    <x v="5"/>
    <x v="3"/>
    <n v="4"/>
    <x v="0"/>
    <x v="6"/>
  </r>
  <r>
    <n v="2687"/>
    <x v="762"/>
    <n v="10"/>
    <n v="11"/>
    <x v="2"/>
    <x v="0"/>
    <x v="1"/>
    <x v="6"/>
    <x v="1"/>
    <n v="3"/>
    <n v="38739.64"/>
    <n v="116218.92"/>
    <s v="Anjali Varma"/>
    <n v="35"/>
    <x v="8"/>
    <x v="2"/>
    <n v="4"/>
    <x v="0"/>
    <x v="1"/>
  </r>
  <r>
    <n v="2688"/>
    <x v="762"/>
    <n v="10"/>
    <n v="11"/>
    <x v="2"/>
    <x v="0"/>
    <x v="1"/>
    <x v="6"/>
    <x v="1"/>
    <n v="1"/>
    <n v="11045.83"/>
    <n v="11045.83"/>
    <s v="Shruti Joshi"/>
    <n v="52"/>
    <x v="1"/>
    <x v="2"/>
    <n v="4"/>
    <x v="0"/>
    <x v="9"/>
  </r>
  <r>
    <n v="2689"/>
    <x v="763"/>
    <n v="11"/>
    <n v="11"/>
    <x v="2"/>
    <x v="0"/>
    <x v="1"/>
    <x v="0"/>
    <x v="4"/>
    <n v="1"/>
    <n v="54033.72"/>
    <n v="54033.72"/>
    <s v="Prashant Arora"/>
    <n v="33"/>
    <x v="0"/>
    <x v="2"/>
    <n v="4"/>
    <x v="0"/>
    <x v="14"/>
  </r>
  <r>
    <n v="2690"/>
    <x v="763"/>
    <n v="11"/>
    <n v="11"/>
    <x v="2"/>
    <x v="0"/>
    <x v="1"/>
    <x v="0"/>
    <x v="3"/>
    <n v="3"/>
    <n v="14414.88"/>
    <n v="43244.639999999999"/>
    <s v="Deepika Gupta"/>
    <n v="24"/>
    <x v="16"/>
    <x v="2"/>
    <n v="5"/>
    <x v="0"/>
    <x v="8"/>
  </r>
  <r>
    <n v="2691"/>
    <x v="763"/>
    <n v="11"/>
    <n v="11"/>
    <x v="2"/>
    <x v="0"/>
    <x v="1"/>
    <x v="0"/>
    <x v="3"/>
    <n v="5"/>
    <n v="47746.82"/>
    <n v="238734.1"/>
    <s v="Shruti Joshi"/>
    <n v="47"/>
    <x v="4"/>
    <x v="0"/>
    <n v="2"/>
    <x v="2"/>
    <x v="5"/>
  </r>
  <r>
    <n v="2692"/>
    <x v="763"/>
    <n v="11"/>
    <n v="11"/>
    <x v="2"/>
    <x v="0"/>
    <x v="1"/>
    <x v="0"/>
    <x v="0"/>
    <n v="3"/>
    <n v="57580.62"/>
    <n v="172741.86000000002"/>
    <s v="Vinod Nambiar"/>
    <n v="36"/>
    <x v="8"/>
    <x v="2"/>
    <n v="5"/>
    <x v="0"/>
    <x v="0"/>
  </r>
  <r>
    <n v="2693"/>
    <x v="764"/>
    <n v="12"/>
    <n v="11"/>
    <x v="2"/>
    <x v="0"/>
    <x v="1"/>
    <x v="1"/>
    <x v="4"/>
    <n v="9"/>
    <n v="17958.63"/>
    <n v="161627.67000000001"/>
    <s v="Sneha Jain"/>
    <n v="40"/>
    <x v="16"/>
    <x v="0"/>
    <n v="4"/>
    <x v="0"/>
    <x v="14"/>
  </r>
  <r>
    <n v="2694"/>
    <x v="764"/>
    <n v="12"/>
    <n v="11"/>
    <x v="2"/>
    <x v="0"/>
    <x v="1"/>
    <x v="1"/>
    <x v="2"/>
    <n v="9"/>
    <n v="41118.32"/>
    <n v="370064.88"/>
    <s v="Lata Joshi"/>
    <n v="25"/>
    <x v="1"/>
    <x v="2"/>
    <n v="4"/>
    <x v="0"/>
    <x v="4"/>
  </r>
  <r>
    <n v="2695"/>
    <x v="764"/>
    <n v="12"/>
    <n v="11"/>
    <x v="2"/>
    <x v="0"/>
    <x v="1"/>
    <x v="1"/>
    <x v="4"/>
    <n v="3"/>
    <n v="56744.05"/>
    <n v="170232.15000000002"/>
    <s v="Reena Chatterjee"/>
    <n v="34"/>
    <x v="1"/>
    <x v="2"/>
    <n v="5"/>
    <x v="0"/>
    <x v="7"/>
  </r>
  <r>
    <n v="2696"/>
    <x v="765"/>
    <n v="13"/>
    <n v="11"/>
    <x v="2"/>
    <x v="0"/>
    <x v="1"/>
    <x v="2"/>
    <x v="0"/>
    <n v="3"/>
    <n v="25638.01"/>
    <n v="76914.03"/>
    <s v="Lalita Siddiqui"/>
    <n v="38"/>
    <x v="1"/>
    <x v="0"/>
    <n v="4"/>
    <x v="0"/>
    <x v="10"/>
  </r>
  <r>
    <n v="2697"/>
    <x v="765"/>
    <n v="13"/>
    <n v="11"/>
    <x v="2"/>
    <x v="0"/>
    <x v="1"/>
    <x v="2"/>
    <x v="4"/>
    <n v="5"/>
    <n v="19775"/>
    <n v="98875"/>
    <s v="Meena Thakur"/>
    <n v="43"/>
    <x v="2"/>
    <x v="1"/>
    <n v="2"/>
    <x v="2"/>
    <x v="7"/>
  </r>
  <r>
    <n v="2698"/>
    <x v="765"/>
    <n v="13"/>
    <n v="11"/>
    <x v="2"/>
    <x v="0"/>
    <x v="1"/>
    <x v="2"/>
    <x v="4"/>
    <n v="2"/>
    <n v="30209.15"/>
    <n v="60418.3"/>
    <s v="Pankaj Deshmukh"/>
    <n v="45"/>
    <x v="12"/>
    <x v="3"/>
    <n v="4"/>
    <x v="0"/>
    <x v="14"/>
  </r>
  <r>
    <n v="2699"/>
    <x v="766"/>
    <n v="14"/>
    <n v="11"/>
    <x v="2"/>
    <x v="0"/>
    <x v="1"/>
    <x v="3"/>
    <x v="0"/>
    <n v="6"/>
    <n v="43281.95"/>
    <n v="259691.69999999998"/>
    <s v="Krishna Reddy"/>
    <n v="56"/>
    <x v="15"/>
    <x v="3"/>
    <n v="4"/>
    <x v="0"/>
    <x v="3"/>
  </r>
  <r>
    <n v="2700"/>
    <x v="766"/>
    <n v="14"/>
    <n v="11"/>
    <x v="2"/>
    <x v="0"/>
    <x v="1"/>
    <x v="3"/>
    <x v="3"/>
    <n v="7"/>
    <n v="44516.78"/>
    <n v="311617.45999999996"/>
    <s v="Kavita Desai"/>
    <n v="50"/>
    <x v="1"/>
    <x v="0"/>
    <n v="5"/>
    <x v="0"/>
    <x v="8"/>
  </r>
  <r>
    <n v="2701"/>
    <x v="766"/>
    <n v="14"/>
    <n v="11"/>
    <x v="2"/>
    <x v="0"/>
    <x v="1"/>
    <x v="3"/>
    <x v="2"/>
    <n v="9"/>
    <n v="17852.580000000002"/>
    <n v="160673.22000000003"/>
    <s v="Bhavana Mathur"/>
    <n v="57"/>
    <x v="1"/>
    <x v="2"/>
    <n v="2"/>
    <x v="2"/>
    <x v="13"/>
  </r>
  <r>
    <n v="2702"/>
    <x v="767"/>
    <n v="15"/>
    <n v="11"/>
    <x v="2"/>
    <x v="0"/>
    <x v="1"/>
    <x v="4"/>
    <x v="0"/>
    <n v="6"/>
    <n v="37454.129999999997"/>
    <n v="224724.77999999997"/>
    <s v="Anand Joshi"/>
    <n v="36"/>
    <x v="2"/>
    <x v="0"/>
    <n v="3"/>
    <x v="1"/>
    <x v="10"/>
  </r>
  <r>
    <n v="2703"/>
    <x v="767"/>
    <n v="15"/>
    <n v="11"/>
    <x v="2"/>
    <x v="0"/>
    <x v="1"/>
    <x v="4"/>
    <x v="1"/>
    <n v="3"/>
    <n v="26096.93"/>
    <n v="78290.790000000008"/>
    <s v="Gita Mehta"/>
    <n v="46"/>
    <x v="16"/>
    <x v="2"/>
    <n v="5"/>
    <x v="0"/>
    <x v="1"/>
  </r>
  <r>
    <n v="2704"/>
    <x v="767"/>
    <n v="15"/>
    <n v="11"/>
    <x v="2"/>
    <x v="0"/>
    <x v="1"/>
    <x v="4"/>
    <x v="3"/>
    <n v="5"/>
    <n v="60521.45"/>
    <n v="302607.25"/>
    <s v="Krishna Sharma"/>
    <n v="37"/>
    <x v="3"/>
    <x v="0"/>
    <n v="3"/>
    <x v="1"/>
    <x v="5"/>
  </r>
  <r>
    <n v="2705"/>
    <x v="767"/>
    <n v="15"/>
    <n v="11"/>
    <x v="2"/>
    <x v="0"/>
    <x v="1"/>
    <x v="4"/>
    <x v="1"/>
    <n v="4"/>
    <n v="28814.51"/>
    <n v="115258.04"/>
    <s v="Priya Kaur"/>
    <n v="37"/>
    <x v="7"/>
    <x v="3"/>
    <n v="5"/>
    <x v="0"/>
    <x v="9"/>
  </r>
  <r>
    <n v="2706"/>
    <x v="768"/>
    <n v="16"/>
    <n v="11"/>
    <x v="2"/>
    <x v="0"/>
    <x v="1"/>
    <x v="5"/>
    <x v="3"/>
    <n v="5"/>
    <n v="60322.27"/>
    <n v="301611.34999999998"/>
    <s v="Shruti Deshmukh"/>
    <n v="27"/>
    <x v="1"/>
    <x v="0"/>
    <n v="4"/>
    <x v="0"/>
    <x v="12"/>
  </r>
  <r>
    <n v="2707"/>
    <x v="768"/>
    <n v="16"/>
    <n v="11"/>
    <x v="2"/>
    <x v="0"/>
    <x v="1"/>
    <x v="5"/>
    <x v="2"/>
    <n v="8"/>
    <n v="35713.879999999997"/>
    <n v="285711.03999999998"/>
    <s v="Deepika Das"/>
    <n v="29"/>
    <x v="10"/>
    <x v="3"/>
    <n v="5"/>
    <x v="0"/>
    <x v="4"/>
  </r>
  <r>
    <n v="2708"/>
    <x v="768"/>
    <n v="16"/>
    <n v="11"/>
    <x v="2"/>
    <x v="0"/>
    <x v="1"/>
    <x v="5"/>
    <x v="2"/>
    <n v="8"/>
    <n v="53595.15"/>
    <n v="428761.2"/>
    <s v="Navin Kaur"/>
    <n v="50"/>
    <x v="12"/>
    <x v="3"/>
    <n v="2"/>
    <x v="2"/>
    <x v="13"/>
  </r>
  <r>
    <n v="2709"/>
    <x v="768"/>
    <n v="16"/>
    <n v="11"/>
    <x v="2"/>
    <x v="0"/>
    <x v="1"/>
    <x v="5"/>
    <x v="4"/>
    <n v="6"/>
    <n v="40603.61"/>
    <n v="243621.66"/>
    <s v="Pooja Rao"/>
    <n v="42"/>
    <x v="18"/>
    <x v="3"/>
    <n v="5"/>
    <x v="0"/>
    <x v="11"/>
  </r>
  <r>
    <n v="2710"/>
    <x v="769"/>
    <n v="17"/>
    <n v="11"/>
    <x v="2"/>
    <x v="0"/>
    <x v="1"/>
    <x v="6"/>
    <x v="1"/>
    <n v="1"/>
    <n v="47317.760000000002"/>
    <n v="47317.760000000002"/>
    <s v="Lata Mathur"/>
    <n v="42"/>
    <x v="2"/>
    <x v="0"/>
    <n v="5"/>
    <x v="0"/>
    <x v="2"/>
  </r>
  <r>
    <n v="2711"/>
    <x v="769"/>
    <n v="17"/>
    <n v="11"/>
    <x v="2"/>
    <x v="0"/>
    <x v="1"/>
    <x v="6"/>
    <x v="3"/>
    <n v="8"/>
    <n v="33721.39"/>
    <n v="269771.12"/>
    <s v="Deepika Gupta"/>
    <n v="21"/>
    <x v="5"/>
    <x v="1"/>
    <n v="4"/>
    <x v="0"/>
    <x v="8"/>
  </r>
  <r>
    <n v="2712"/>
    <x v="769"/>
    <n v="17"/>
    <n v="11"/>
    <x v="2"/>
    <x v="0"/>
    <x v="1"/>
    <x v="6"/>
    <x v="2"/>
    <n v="8"/>
    <n v="56092.41"/>
    <n v="448739.28"/>
    <s v="Priya Roy"/>
    <n v="21"/>
    <x v="1"/>
    <x v="0"/>
    <n v="5"/>
    <x v="0"/>
    <x v="4"/>
  </r>
  <r>
    <n v="2713"/>
    <x v="770"/>
    <n v="18"/>
    <n v="11"/>
    <x v="2"/>
    <x v="0"/>
    <x v="1"/>
    <x v="0"/>
    <x v="0"/>
    <n v="2"/>
    <n v="35511.360000000001"/>
    <n v="71022.720000000001"/>
    <s v="Ayesha Arora"/>
    <n v="26"/>
    <x v="1"/>
    <x v="0"/>
    <n v="2"/>
    <x v="2"/>
    <x v="3"/>
  </r>
  <r>
    <n v="2714"/>
    <x v="770"/>
    <n v="18"/>
    <n v="11"/>
    <x v="2"/>
    <x v="0"/>
    <x v="1"/>
    <x v="0"/>
    <x v="2"/>
    <n v="4"/>
    <n v="37447.699999999997"/>
    <n v="149790.79999999999"/>
    <s v="Bina Mathur"/>
    <n v="32"/>
    <x v="3"/>
    <x v="1"/>
    <n v="3"/>
    <x v="1"/>
    <x v="4"/>
  </r>
  <r>
    <n v="2715"/>
    <x v="770"/>
    <n v="18"/>
    <n v="11"/>
    <x v="2"/>
    <x v="0"/>
    <x v="1"/>
    <x v="0"/>
    <x v="0"/>
    <n v="2"/>
    <n v="41060.720000000001"/>
    <n v="82121.440000000002"/>
    <s v="Anita Bhattacharya"/>
    <n v="43"/>
    <x v="9"/>
    <x v="1"/>
    <n v="4"/>
    <x v="0"/>
    <x v="3"/>
  </r>
  <r>
    <n v="2716"/>
    <x v="771"/>
    <n v="19"/>
    <n v="11"/>
    <x v="2"/>
    <x v="0"/>
    <x v="1"/>
    <x v="1"/>
    <x v="3"/>
    <n v="4"/>
    <n v="59909.45"/>
    <n v="239637.8"/>
    <s v="Amit Teja"/>
    <n v="32"/>
    <x v="2"/>
    <x v="3"/>
    <n v="4"/>
    <x v="0"/>
    <x v="5"/>
  </r>
  <r>
    <n v="2717"/>
    <x v="771"/>
    <n v="19"/>
    <n v="11"/>
    <x v="2"/>
    <x v="0"/>
    <x v="1"/>
    <x v="1"/>
    <x v="2"/>
    <n v="7"/>
    <n v="49562.74"/>
    <n v="346939.18"/>
    <s v="Sumit Verma"/>
    <n v="43"/>
    <x v="14"/>
    <x v="2"/>
    <n v="5"/>
    <x v="0"/>
    <x v="13"/>
  </r>
  <r>
    <n v="2718"/>
    <x v="771"/>
    <n v="19"/>
    <n v="11"/>
    <x v="2"/>
    <x v="0"/>
    <x v="1"/>
    <x v="1"/>
    <x v="2"/>
    <n v="9"/>
    <n v="30949.62"/>
    <n v="278546.58"/>
    <s v="Priyanka Menon"/>
    <n v="45"/>
    <x v="8"/>
    <x v="2"/>
    <n v="5"/>
    <x v="0"/>
    <x v="4"/>
  </r>
  <r>
    <n v="2719"/>
    <x v="772"/>
    <n v="20"/>
    <n v="11"/>
    <x v="2"/>
    <x v="0"/>
    <x v="1"/>
    <x v="2"/>
    <x v="3"/>
    <n v="8"/>
    <n v="50219.18"/>
    <n v="401753.44"/>
    <s v="Kiran Mishra"/>
    <n v="24"/>
    <x v="11"/>
    <x v="3"/>
    <n v="5"/>
    <x v="0"/>
    <x v="5"/>
  </r>
  <r>
    <n v="2720"/>
    <x v="772"/>
    <n v="20"/>
    <n v="11"/>
    <x v="2"/>
    <x v="0"/>
    <x v="1"/>
    <x v="2"/>
    <x v="2"/>
    <n v="9"/>
    <n v="48545.59"/>
    <n v="436910.30999999994"/>
    <s v="Priyanka Mishra"/>
    <n v="49"/>
    <x v="3"/>
    <x v="0"/>
    <n v="4"/>
    <x v="0"/>
    <x v="4"/>
  </r>
  <r>
    <n v="2721"/>
    <x v="772"/>
    <n v="20"/>
    <n v="11"/>
    <x v="2"/>
    <x v="0"/>
    <x v="1"/>
    <x v="2"/>
    <x v="0"/>
    <n v="8"/>
    <n v="65861.16"/>
    <n v="526889.28"/>
    <s v="Namita Deshmukh"/>
    <n v="29"/>
    <x v="2"/>
    <x v="2"/>
    <n v="5"/>
    <x v="0"/>
    <x v="0"/>
  </r>
  <r>
    <n v="2722"/>
    <x v="773"/>
    <n v="21"/>
    <n v="11"/>
    <x v="2"/>
    <x v="0"/>
    <x v="1"/>
    <x v="3"/>
    <x v="2"/>
    <n v="2"/>
    <n v="60484.99"/>
    <n v="120969.98"/>
    <s v="Priya Prasad"/>
    <n v="52"/>
    <x v="1"/>
    <x v="0"/>
    <n v="5"/>
    <x v="0"/>
    <x v="13"/>
  </r>
  <r>
    <n v="2723"/>
    <x v="773"/>
    <n v="21"/>
    <n v="11"/>
    <x v="2"/>
    <x v="0"/>
    <x v="1"/>
    <x v="3"/>
    <x v="1"/>
    <n v="7"/>
    <n v="48846.82"/>
    <n v="341927.74"/>
    <s v="Anita Shah"/>
    <n v="49"/>
    <x v="11"/>
    <x v="1"/>
    <n v="5"/>
    <x v="0"/>
    <x v="1"/>
  </r>
  <r>
    <n v="2724"/>
    <x v="773"/>
    <n v="21"/>
    <n v="11"/>
    <x v="2"/>
    <x v="0"/>
    <x v="1"/>
    <x v="3"/>
    <x v="4"/>
    <n v="2"/>
    <n v="30490.43"/>
    <n v="60980.86"/>
    <s v="Sunil Patel"/>
    <n v="26"/>
    <x v="13"/>
    <x v="1"/>
    <n v="5"/>
    <x v="0"/>
    <x v="14"/>
  </r>
  <r>
    <n v="2725"/>
    <x v="773"/>
    <n v="21"/>
    <n v="11"/>
    <x v="2"/>
    <x v="0"/>
    <x v="1"/>
    <x v="3"/>
    <x v="0"/>
    <n v="2"/>
    <n v="56774.59"/>
    <n v="113549.18"/>
    <s v="Jyoti Reddy"/>
    <n v="31"/>
    <x v="8"/>
    <x v="3"/>
    <n v="4"/>
    <x v="0"/>
    <x v="0"/>
  </r>
  <r>
    <n v="2726"/>
    <x v="774"/>
    <n v="22"/>
    <n v="11"/>
    <x v="2"/>
    <x v="0"/>
    <x v="1"/>
    <x v="4"/>
    <x v="1"/>
    <n v="4"/>
    <n v="44512.5"/>
    <n v="178050"/>
    <s v="Vinod Kaur"/>
    <n v="30"/>
    <x v="1"/>
    <x v="0"/>
    <n v="5"/>
    <x v="0"/>
    <x v="1"/>
  </r>
  <r>
    <n v="2727"/>
    <x v="774"/>
    <n v="22"/>
    <n v="11"/>
    <x v="2"/>
    <x v="0"/>
    <x v="1"/>
    <x v="4"/>
    <x v="3"/>
    <n v="1"/>
    <n v="69116.2"/>
    <n v="69116.2"/>
    <s v="Sachin Jain"/>
    <n v="50"/>
    <x v="0"/>
    <x v="3"/>
    <n v="2"/>
    <x v="2"/>
    <x v="5"/>
  </r>
  <r>
    <n v="2728"/>
    <x v="774"/>
    <n v="22"/>
    <n v="11"/>
    <x v="2"/>
    <x v="0"/>
    <x v="1"/>
    <x v="4"/>
    <x v="0"/>
    <n v="5"/>
    <n v="24850.37"/>
    <n v="124251.84999999999"/>
    <s v="Kiran Nair"/>
    <n v="49"/>
    <x v="2"/>
    <x v="2"/>
    <n v="5"/>
    <x v="0"/>
    <x v="10"/>
  </r>
  <r>
    <n v="2729"/>
    <x v="774"/>
    <n v="22"/>
    <n v="11"/>
    <x v="2"/>
    <x v="0"/>
    <x v="1"/>
    <x v="4"/>
    <x v="4"/>
    <n v="6"/>
    <n v="14779.35"/>
    <n v="88676.1"/>
    <s v="Vijay Chatterjee"/>
    <n v="36"/>
    <x v="11"/>
    <x v="2"/>
    <n v="4"/>
    <x v="0"/>
    <x v="11"/>
  </r>
  <r>
    <n v="2730"/>
    <x v="775"/>
    <n v="23"/>
    <n v="11"/>
    <x v="2"/>
    <x v="0"/>
    <x v="1"/>
    <x v="5"/>
    <x v="4"/>
    <n v="9"/>
    <n v="14193.51"/>
    <n v="127741.59"/>
    <s v="Vinod Srivastava"/>
    <n v="47"/>
    <x v="1"/>
    <x v="2"/>
    <n v="5"/>
    <x v="0"/>
    <x v="11"/>
  </r>
  <r>
    <n v="2731"/>
    <x v="775"/>
    <n v="23"/>
    <n v="11"/>
    <x v="2"/>
    <x v="0"/>
    <x v="1"/>
    <x v="5"/>
    <x v="3"/>
    <n v="8"/>
    <n v="48401.82"/>
    <n v="387214.56"/>
    <s v="Anita Dutta"/>
    <n v="33"/>
    <x v="15"/>
    <x v="0"/>
    <n v="4"/>
    <x v="0"/>
    <x v="5"/>
  </r>
  <r>
    <n v="2732"/>
    <x v="775"/>
    <n v="23"/>
    <n v="11"/>
    <x v="2"/>
    <x v="0"/>
    <x v="1"/>
    <x v="5"/>
    <x v="3"/>
    <n v="2"/>
    <n v="66355.61"/>
    <n v="132711.22"/>
    <s v="Navin Gupta"/>
    <n v="29"/>
    <x v="9"/>
    <x v="3"/>
    <n v="5"/>
    <x v="0"/>
    <x v="12"/>
  </r>
  <r>
    <n v="2733"/>
    <x v="776"/>
    <n v="24"/>
    <n v="11"/>
    <x v="2"/>
    <x v="0"/>
    <x v="1"/>
    <x v="6"/>
    <x v="0"/>
    <n v="1"/>
    <n v="10115.91"/>
    <n v="10115.91"/>
    <s v="Vivek Bhatnagar"/>
    <n v="27"/>
    <x v="1"/>
    <x v="3"/>
    <n v="4"/>
    <x v="0"/>
    <x v="10"/>
  </r>
  <r>
    <n v="2734"/>
    <x v="776"/>
    <n v="24"/>
    <n v="11"/>
    <x v="2"/>
    <x v="0"/>
    <x v="1"/>
    <x v="6"/>
    <x v="2"/>
    <n v="2"/>
    <n v="53546.26"/>
    <n v="107092.52"/>
    <s v="Sanjay Roy"/>
    <n v="19"/>
    <x v="16"/>
    <x v="2"/>
    <n v="2"/>
    <x v="2"/>
    <x v="4"/>
  </r>
  <r>
    <n v="2735"/>
    <x v="776"/>
    <n v="24"/>
    <n v="11"/>
    <x v="2"/>
    <x v="0"/>
    <x v="1"/>
    <x v="6"/>
    <x v="3"/>
    <n v="7"/>
    <n v="49423.91"/>
    <n v="345967.37"/>
    <s v="Aditya Mishra"/>
    <n v="35"/>
    <x v="8"/>
    <x v="3"/>
    <n v="4"/>
    <x v="0"/>
    <x v="8"/>
  </r>
  <r>
    <n v="2736"/>
    <x v="777"/>
    <n v="25"/>
    <n v="11"/>
    <x v="2"/>
    <x v="0"/>
    <x v="1"/>
    <x v="0"/>
    <x v="2"/>
    <n v="4"/>
    <n v="53938.25"/>
    <n v="215753"/>
    <s v="Deepika Pathak"/>
    <n v="30"/>
    <x v="15"/>
    <x v="1"/>
    <n v="3"/>
    <x v="1"/>
    <x v="6"/>
  </r>
  <r>
    <n v="2737"/>
    <x v="777"/>
    <n v="25"/>
    <n v="11"/>
    <x v="2"/>
    <x v="0"/>
    <x v="1"/>
    <x v="0"/>
    <x v="1"/>
    <n v="5"/>
    <n v="31324.32"/>
    <n v="156621.6"/>
    <s v="Umesh Nair"/>
    <n v="46"/>
    <x v="1"/>
    <x v="1"/>
    <n v="4"/>
    <x v="0"/>
    <x v="9"/>
  </r>
  <r>
    <n v="2738"/>
    <x v="777"/>
    <n v="25"/>
    <n v="11"/>
    <x v="2"/>
    <x v="0"/>
    <x v="1"/>
    <x v="0"/>
    <x v="4"/>
    <n v="7"/>
    <n v="59229.79"/>
    <n v="414608.53"/>
    <s v="Mala Roy"/>
    <n v="41"/>
    <x v="1"/>
    <x v="1"/>
    <n v="5"/>
    <x v="0"/>
    <x v="11"/>
  </r>
  <r>
    <n v="2739"/>
    <x v="777"/>
    <n v="25"/>
    <n v="11"/>
    <x v="2"/>
    <x v="0"/>
    <x v="1"/>
    <x v="0"/>
    <x v="2"/>
    <n v="3"/>
    <n v="12682.42"/>
    <n v="38047.26"/>
    <s v="Rohan Deshmukh"/>
    <n v="55"/>
    <x v="8"/>
    <x v="1"/>
    <n v="3"/>
    <x v="1"/>
    <x v="4"/>
  </r>
  <r>
    <n v="2740"/>
    <x v="778"/>
    <n v="26"/>
    <n v="11"/>
    <x v="2"/>
    <x v="0"/>
    <x v="1"/>
    <x v="1"/>
    <x v="4"/>
    <n v="2"/>
    <n v="55325.87"/>
    <n v="110651.74"/>
    <s v="Pankaj Singh"/>
    <n v="29"/>
    <x v="1"/>
    <x v="3"/>
    <n v="5"/>
    <x v="0"/>
    <x v="14"/>
  </r>
  <r>
    <n v="2741"/>
    <x v="778"/>
    <n v="26"/>
    <n v="11"/>
    <x v="2"/>
    <x v="0"/>
    <x v="1"/>
    <x v="1"/>
    <x v="2"/>
    <n v="7"/>
    <n v="26024.32"/>
    <n v="182170.23999999999"/>
    <s v="Prashant Chatterjee"/>
    <n v="46"/>
    <x v="1"/>
    <x v="1"/>
    <n v="5"/>
    <x v="0"/>
    <x v="13"/>
  </r>
  <r>
    <n v="2742"/>
    <x v="778"/>
    <n v="26"/>
    <n v="11"/>
    <x v="2"/>
    <x v="0"/>
    <x v="1"/>
    <x v="1"/>
    <x v="1"/>
    <n v="5"/>
    <n v="38610.269999999997"/>
    <n v="193051.34999999998"/>
    <s v="Rohan Nambiar"/>
    <n v="39"/>
    <x v="1"/>
    <x v="1"/>
    <n v="2"/>
    <x v="2"/>
    <x v="9"/>
  </r>
  <r>
    <n v="2743"/>
    <x v="778"/>
    <n v="26"/>
    <n v="11"/>
    <x v="2"/>
    <x v="0"/>
    <x v="1"/>
    <x v="1"/>
    <x v="3"/>
    <n v="1"/>
    <n v="59358.18"/>
    <n v="59358.18"/>
    <s v="Sanjay Joshi"/>
    <n v="53"/>
    <x v="15"/>
    <x v="1"/>
    <n v="4"/>
    <x v="0"/>
    <x v="12"/>
  </r>
  <r>
    <n v="2744"/>
    <x v="779"/>
    <n v="27"/>
    <n v="11"/>
    <x v="2"/>
    <x v="0"/>
    <x v="1"/>
    <x v="2"/>
    <x v="1"/>
    <n v="1"/>
    <n v="26281.54"/>
    <n v="26281.54"/>
    <s v="Radha Kulkarni"/>
    <n v="18"/>
    <x v="9"/>
    <x v="1"/>
    <n v="4"/>
    <x v="0"/>
    <x v="1"/>
  </r>
  <r>
    <n v="2745"/>
    <x v="779"/>
    <n v="27"/>
    <n v="11"/>
    <x v="2"/>
    <x v="0"/>
    <x v="1"/>
    <x v="2"/>
    <x v="3"/>
    <n v="9"/>
    <n v="21112.45"/>
    <n v="190012.05000000002"/>
    <s v="Devendra Jain"/>
    <n v="57"/>
    <x v="0"/>
    <x v="1"/>
    <n v="5"/>
    <x v="0"/>
    <x v="12"/>
  </r>
  <r>
    <n v="2746"/>
    <x v="779"/>
    <n v="27"/>
    <n v="11"/>
    <x v="2"/>
    <x v="0"/>
    <x v="1"/>
    <x v="2"/>
    <x v="3"/>
    <n v="5"/>
    <n v="50878.79"/>
    <n v="254393.95"/>
    <s v="Rajesh Verma"/>
    <n v="51"/>
    <x v="11"/>
    <x v="0"/>
    <n v="4"/>
    <x v="0"/>
    <x v="5"/>
  </r>
  <r>
    <n v="2747"/>
    <x v="780"/>
    <n v="28"/>
    <n v="11"/>
    <x v="2"/>
    <x v="0"/>
    <x v="1"/>
    <x v="3"/>
    <x v="4"/>
    <n v="1"/>
    <n v="42003.69"/>
    <n v="42003.69"/>
    <s v="Manoj Sharma"/>
    <n v="51"/>
    <x v="1"/>
    <x v="0"/>
    <n v="4"/>
    <x v="0"/>
    <x v="14"/>
  </r>
  <r>
    <n v="2748"/>
    <x v="780"/>
    <n v="28"/>
    <n v="11"/>
    <x v="2"/>
    <x v="0"/>
    <x v="1"/>
    <x v="3"/>
    <x v="1"/>
    <n v="7"/>
    <n v="40864.230000000003"/>
    <n v="286049.61000000004"/>
    <s v="Rajesh Shah"/>
    <n v="50"/>
    <x v="5"/>
    <x v="1"/>
    <n v="5"/>
    <x v="0"/>
    <x v="9"/>
  </r>
  <r>
    <n v="2749"/>
    <x v="780"/>
    <n v="28"/>
    <n v="11"/>
    <x v="2"/>
    <x v="0"/>
    <x v="1"/>
    <x v="3"/>
    <x v="2"/>
    <n v="9"/>
    <n v="25406.17"/>
    <n v="228655.52999999997"/>
    <s v="Aditya Singh"/>
    <n v="21"/>
    <x v="2"/>
    <x v="1"/>
    <n v="4"/>
    <x v="0"/>
    <x v="6"/>
  </r>
  <r>
    <n v="2750"/>
    <x v="781"/>
    <n v="29"/>
    <n v="11"/>
    <x v="2"/>
    <x v="0"/>
    <x v="1"/>
    <x v="4"/>
    <x v="1"/>
    <n v="1"/>
    <n v="12092.82"/>
    <n v="12092.82"/>
    <s v="Tanuja Roy"/>
    <n v="55"/>
    <x v="2"/>
    <x v="3"/>
    <n v="4"/>
    <x v="0"/>
    <x v="9"/>
  </r>
  <r>
    <n v="2751"/>
    <x v="781"/>
    <n v="29"/>
    <n v="11"/>
    <x v="2"/>
    <x v="0"/>
    <x v="1"/>
    <x v="4"/>
    <x v="4"/>
    <n v="4"/>
    <n v="34616.15"/>
    <n v="138464.6"/>
    <s v="Prashant Mishra"/>
    <n v="47"/>
    <x v="9"/>
    <x v="1"/>
    <n v="5"/>
    <x v="0"/>
    <x v="14"/>
  </r>
  <r>
    <n v="2752"/>
    <x v="781"/>
    <n v="29"/>
    <n v="11"/>
    <x v="2"/>
    <x v="0"/>
    <x v="1"/>
    <x v="4"/>
    <x v="3"/>
    <n v="3"/>
    <n v="16393.57"/>
    <n v="49180.71"/>
    <s v="Nikhil Ahuja"/>
    <n v="37"/>
    <x v="4"/>
    <x v="2"/>
    <n v="4"/>
    <x v="0"/>
    <x v="8"/>
  </r>
  <r>
    <n v="2753"/>
    <x v="782"/>
    <n v="30"/>
    <n v="11"/>
    <x v="2"/>
    <x v="0"/>
    <x v="1"/>
    <x v="5"/>
    <x v="4"/>
    <n v="5"/>
    <n v="64359.35"/>
    <n v="321796.75"/>
    <s v="Sneha Rao"/>
    <n v="43"/>
    <x v="2"/>
    <x v="0"/>
    <n v="5"/>
    <x v="0"/>
    <x v="11"/>
  </r>
  <r>
    <n v="2754"/>
    <x v="782"/>
    <n v="30"/>
    <n v="11"/>
    <x v="2"/>
    <x v="0"/>
    <x v="1"/>
    <x v="5"/>
    <x v="0"/>
    <n v="7"/>
    <n v="12475.02"/>
    <n v="87325.14"/>
    <s v="Bina Kumar"/>
    <n v="32"/>
    <x v="17"/>
    <x v="1"/>
    <n v="2"/>
    <x v="2"/>
    <x v="3"/>
  </r>
  <r>
    <n v="2755"/>
    <x v="782"/>
    <n v="30"/>
    <n v="11"/>
    <x v="2"/>
    <x v="0"/>
    <x v="1"/>
    <x v="5"/>
    <x v="0"/>
    <n v="8"/>
    <n v="35899.050000000003"/>
    <n v="287192.40000000002"/>
    <s v="Vinod Sharma"/>
    <n v="24"/>
    <x v="9"/>
    <x v="0"/>
    <n v="4"/>
    <x v="0"/>
    <x v="10"/>
  </r>
  <r>
    <n v="2756"/>
    <x v="782"/>
    <n v="30"/>
    <n v="11"/>
    <x v="2"/>
    <x v="0"/>
    <x v="1"/>
    <x v="5"/>
    <x v="2"/>
    <n v="2"/>
    <n v="13134.74"/>
    <n v="26269.48"/>
    <s v="Priyanka Mishra"/>
    <n v="24"/>
    <x v="4"/>
    <x v="1"/>
    <n v="5"/>
    <x v="0"/>
    <x v="6"/>
  </r>
  <r>
    <n v="2757"/>
    <x v="783"/>
    <n v="1"/>
    <n v="12"/>
    <x v="2"/>
    <x v="0"/>
    <x v="2"/>
    <x v="6"/>
    <x v="4"/>
    <n v="7"/>
    <n v="15732.63"/>
    <n v="110128.40999999999"/>
    <s v="Neeta Nair"/>
    <n v="46"/>
    <x v="7"/>
    <x v="2"/>
    <n v="3"/>
    <x v="1"/>
    <x v="7"/>
  </r>
  <r>
    <n v="2758"/>
    <x v="783"/>
    <n v="1"/>
    <n v="12"/>
    <x v="2"/>
    <x v="0"/>
    <x v="2"/>
    <x v="6"/>
    <x v="2"/>
    <n v="1"/>
    <n v="49532"/>
    <n v="49532"/>
    <s v="Neeta Prasad"/>
    <n v="40"/>
    <x v="1"/>
    <x v="1"/>
    <n v="2"/>
    <x v="2"/>
    <x v="13"/>
  </r>
  <r>
    <n v="2759"/>
    <x v="783"/>
    <n v="1"/>
    <n v="12"/>
    <x v="2"/>
    <x v="0"/>
    <x v="2"/>
    <x v="6"/>
    <x v="2"/>
    <n v="7"/>
    <n v="48826.68"/>
    <n v="341786.76"/>
    <s v="Sneha Jain"/>
    <n v="51"/>
    <x v="16"/>
    <x v="0"/>
    <n v="4"/>
    <x v="0"/>
    <x v="6"/>
  </r>
  <r>
    <n v="2760"/>
    <x v="783"/>
    <n v="1"/>
    <n v="12"/>
    <x v="2"/>
    <x v="0"/>
    <x v="2"/>
    <x v="6"/>
    <x v="0"/>
    <n v="8"/>
    <n v="11983.13"/>
    <n v="95865.04"/>
    <s v="Prashant Gupta"/>
    <n v="37"/>
    <x v="13"/>
    <x v="0"/>
    <n v="5"/>
    <x v="0"/>
    <x v="3"/>
  </r>
  <r>
    <n v="2761"/>
    <x v="784"/>
    <n v="2"/>
    <n v="12"/>
    <x v="2"/>
    <x v="0"/>
    <x v="2"/>
    <x v="0"/>
    <x v="2"/>
    <n v="2"/>
    <n v="10067.89"/>
    <n v="20135.78"/>
    <s v="Anjali Das"/>
    <n v="32"/>
    <x v="1"/>
    <x v="0"/>
    <n v="3"/>
    <x v="1"/>
    <x v="4"/>
  </r>
  <r>
    <n v="2762"/>
    <x v="784"/>
    <n v="2"/>
    <n v="12"/>
    <x v="2"/>
    <x v="0"/>
    <x v="2"/>
    <x v="0"/>
    <x v="0"/>
    <n v="9"/>
    <n v="14729.08"/>
    <n v="132561.72"/>
    <s v="Anjali Desai"/>
    <n v="50"/>
    <x v="0"/>
    <x v="3"/>
    <n v="5"/>
    <x v="0"/>
    <x v="0"/>
  </r>
  <r>
    <n v="2763"/>
    <x v="784"/>
    <n v="2"/>
    <n v="12"/>
    <x v="2"/>
    <x v="0"/>
    <x v="2"/>
    <x v="0"/>
    <x v="3"/>
    <n v="1"/>
    <n v="55779.93"/>
    <n v="55779.93"/>
    <s v="Priyanka Nambiar"/>
    <n v="34"/>
    <x v="2"/>
    <x v="0"/>
    <n v="4"/>
    <x v="0"/>
    <x v="12"/>
  </r>
  <r>
    <n v="2764"/>
    <x v="784"/>
    <n v="2"/>
    <n v="12"/>
    <x v="2"/>
    <x v="0"/>
    <x v="2"/>
    <x v="0"/>
    <x v="4"/>
    <n v="6"/>
    <n v="45074.59"/>
    <n v="270447.53999999998"/>
    <s v="Anjali Kulkarni"/>
    <n v="37"/>
    <x v="1"/>
    <x v="1"/>
    <n v="5"/>
    <x v="0"/>
    <x v="11"/>
  </r>
  <r>
    <n v="2765"/>
    <x v="785"/>
    <n v="3"/>
    <n v="12"/>
    <x v="2"/>
    <x v="0"/>
    <x v="2"/>
    <x v="1"/>
    <x v="2"/>
    <n v="1"/>
    <n v="12287.09"/>
    <n v="12287.09"/>
    <s v="Ravi Kaur"/>
    <n v="30"/>
    <x v="0"/>
    <x v="2"/>
    <n v="2"/>
    <x v="2"/>
    <x v="4"/>
  </r>
  <r>
    <n v="2766"/>
    <x v="785"/>
    <n v="3"/>
    <n v="12"/>
    <x v="2"/>
    <x v="0"/>
    <x v="2"/>
    <x v="1"/>
    <x v="0"/>
    <n v="3"/>
    <n v="39285.82"/>
    <n v="117857.45999999999"/>
    <s v="Ravi Thakur"/>
    <n v="41"/>
    <x v="0"/>
    <x v="2"/>
    <n v="3"/>
    <x v="1"/>
    <x v="3"/>
  </r>
  <r>
    <n v="2767"/>
    <x v="785"/>
    <n v="3"/>
    <n v="12"/>
    <x v="2"/>
    <x v="0"/>
    <x v="2"/>
    <x v="1"/>
    <x v="1"/>
    <n v="6"/>
    <n v="52721.760000000002"/>
    <n v="316330.56"/>
    <s v="Kavita Teja"/>
    <n v="54"/>
    <x v="2"/>
    <x v="1"/>
    <n v="3"/>
    <x v="1"/>
    <x v="9"/>
  </r>
  <r>
    <n v="2768"/>
    <x v="786"/>
    <n v="4"/>
    <n v="12"/>
    <x v="2"/>
    <x v="0"/>
    <x v="2"/>
    <x v="2"/>
    <x v="2"/>
    <n v="3"/>
    <n v="62137.08"/>
    <n v="186411.24"/>
    <s v="Jyoti Bhattacharya"/>
    <n v="24"/>
    <x v="6"/>
    <x v="3"/>
    <n v="5"/>
    <x v="0"/>
    <x v="6"/>
  </r>
  <r>
    <n v="2769"/>
    <x v="786"/>
    <n v="4"/>
    <n v="12"/>
    <x v="2"/>
    <x v="0"/>
    <x v="2"/>
    <x v="2"/>
    <x v="3"/>
    <n v="8"/>
    <n v="66042.19"/>
    <n v="528337.52"/>
    <s v="Vinod Nair"/>
    <n v="25"/>
    <x v="11"/>
    <x v="1"/>
    <n v="5"/>
    <x v="0"/>
    <x v="12"/>
  </r>
  <r>
    <n v="2770"/>
    <x v="786"/>
    <n v="4"/>
    <n v="12"/>
    <x v="2"/>
    <x v="0"/>
    <x v="2"/>
    <x v="2"/>
    <x v="3"/>
    <n v="5"/>
    <n v="29646.43"/>
    <n v="148232.15"/>
    <s v="Rajesh Singh"/>
    <n v="40"/>
    <x v="1"/>
    <x v="0"/>
    <n v="2"/>
    <x v="2"/>
    <x v="8"/>
  </r>
  <r>
    <n v="2771"/>
    <x v="787"/>
    <n v="5"/>
    <n v="12"/>
    <x v="2"/>
    <x v="0"/>
    <x v="2"/>
    <x v="3"/>
    <x v="1"/>
    <n v="2"/>
    <n v="18149.95"/>
    <n v="36299.9"/>
    <s v="Lata Verma"/>
    <n v="31"/>
    <x v="16"/>
    <x v="3"/>
    <n v="5"/>
    <x v="0"/>
    <x v="1"/>
  </r>
  <r>
    <n v="2772"/>
    <x v="787"/>
    <n v="5"/>
    <n v="12"/>
    <x v="2"/>
    <x v="0"/>
    <x v="2"/>
    <x v="3"/>
    <x v="0"/>
    <n v="4"/>
    <n v="24215.56"/>
    <n v="96862.24"/>
    <s v="Priya Teja"/>
    <n v="21"/>
    <x v="1"/>
    <x v="1"/>
    <n v="4"/>
    <x v="0"/>
    <x v="0"/>
  </r>
  <r>
    <n v="2773"/>
    <x v="787"/>
    <n v="5"/>
    <n v="12"/>
    <x v="2"/>
    <x v="0"/>
    <x v="2"/>
    <x v="3"/>
    <x v="2"/>
    <n v="9"/>
    <n v="56570.29"/>
    <n v="509132.61"/>
    <s v="Pooja Srivastava"/>
    <n v="38"/>
    <x v="2"/>
    <x v="3"/>
    <n v="5"/>
    <x v="0"/>
    <x v="4"/>
  </r>
  <r>
    <n v="2774"/>
    <x v="787"/>
    <n v="5"/>
    <n v="12"/>
    <x v="2"/>
    <x v="0"/>
    <x v="2"/>
    <x v="3"/>
    <x v="0"/>
    <n v="4"/>
    <n v="68289.05"/>
    <n v="273156.2"/>
    <s v="Kiran Alva"/>
    <n v="27"/>
    <x v="4"/>
    <x v="2"/>
    <n v="3"/>
    <x v="1"/>
    <x v="3"/>
  </r>
  <r>
    <n v="2775"/>
    <x v="788"/>
    <n v="6"/>
    <n v="12"/>
    <x v="2"/>
    <x v="0"/>
    <x v="2"/>
    <x v="4"/>
    <x v="3"/>
    <n v="8"/>
    <n v="37983.620000000003"/>
    <n v="303868.96000000002"/>
    <s v="Kunal Malhotra"/>
    <n v="39"/>
    <x v="1"/>
    <x v="1"/>
    <n v="4"/>
    <x v="0"/>
    <x v="5"/>
  </r>
  <r>
    <n v="2776"/>
    <x v="788"/>
    <n v="6"/>
    <n v="12"/>
    <x v="2"/>
    <x v="0"/>
    <x v="2"/>
    <x v="4"/>
    <x v="0"/>
    <n v="5"/>
    <n v="28321.19"/>
    <n v="141605.94999999998"/>
    <s v="Rajesh Desai"/>
    <n v="47"/>
    <x v="1"/>
    <x v="1"/>
    <n v="2"/>
    <x v="2"/>
    <x v="10"/>
  </r>
  <r>
    <n v="2777"/>
    <x v="788"/>
    <n v="6"/>
    <n v="12"/>
    <x v="2"/>
    <x v="0"/>
    <x v="2"/>
    <x v="4"/>
    <x v="3"/>
    <n v="1"/>
    <n v="35751.43"/>
    <n v="35751.43"/>
    <s v="Yogesh Menon"/>
    <n v="47"/>
    <x v="1"/>
    <x v="2"/>
    <n v="5"/>
    <x v="0"/>
    <x v="12"/>
  </r>
  <r>
    <n v="2778"/>
    <x v="788"/>
    <n v="6"/>
    <n v="12"/>
    <x v="2"/>
    <x v="0"/>
    <x v="2"/>
    <x v="4"/>
    <x v="0"/>
    <n v="7"/>
    <n v="28288.79"/>
    <n v="198021.53"/>
    <s v="Vijay Rawat"/>
    <n v="33"/>
    <x v="8"/>
    <x v="3"/>
    <n v="5"/>
    <x v="0"/>
    <x v="0"/>
  </r>
  <r>
    <n v="2779"/>
    <x v="789"/>
    <n v="7"/>
    <n v="12"/>
    <x v="2"/>
    <x v="0"/>
    <x v="2"/>
    <x v="5"/>
    <x v="1"/>
    <n v="3"/>
    <n v="25389.25"/>
    <n v="76167.75"/>
    <s v="Sumit Verma"/>
    <n v="28"/>
    <x v="7"/>
    <x v="2"/>
    <n v="4"/>
    <x v="0"/>
    <x v="9"/>
  </r>
  <r>
    <n v="2780"/>
    <x v="789"/>
    <n v="7"/>
    <n v="12"/>
    <x v="2"/>
    <x v="0"/>
    <x v="2"/>
    <x v="5"/>
    <x v="4"/>
    <n v="8"/>
    <n v="45625.05"/>
    <n v="365000.4"/>
    <s v="Ayesha Patel"/>
    <n v="39"/>
    <x v="1"/>
    <x v="3"/>
    <n v="2"/>
    <x v="2"/>
    <x v="7"/>
  </r>
  <r>
    <n v="2781"/>
    <x v="789"/>
    <n v="7"/>
    <n v="12"/>
    <x v="2"/>
    <x v="0"/>
    <x v="2"/>
    <x v="5"/>
    <x v="1"/>
    <n v="3"/>
    <n v="10944.16"/>
    <n v="32832.479999999996"/>
    <s v="Namita Desai"/>
    <n v="46"/>
    <x v="4"/>
    <x v="1"/>
    <n v="2"/>
    <x v="2"/>
    <x v="1"/>
  </r>
  <r>
    <n v="2782"/>
    <x v="790"/>
    <n v="8"/>
    <n v="12"/>
    <x v="2"/>
    <x v="0"/>
    <x v="2"/>
    <x v="6"/>
    <x v="1"/>
    <n v="1"/>
    <n v="25573.13"/>
    <n v="25573.13"/>
    <s v="Bina Kumar"/>
    <n v="42"/>
    <x v="5"/>
    <x v="3"/>
    <n v="5"/>
    <x v="0"/>
    <x v="9"/>
  </r>
  <r>
    <n v="2783"/>
    <x v="790"/>
    <n v="8"/>
    <n v="12"/>
    <x v="2"/>
    <x v="0"/>
    <x v="2"/>
    <x v="6"/>
    <x v="4"/>
    <n v="5"/>
    <n v="49682.92"/>
    <n v="248414.59999999998"/>
    <s v="Vijay Mishra"/>
    <n v="31"/>
    <x v="17"/>
    <x v="3"/>
    <n v="5"/>
    <x v="0"/>
    <x v="7"/>
  </r>
  <r>
    <n v="2784"/>
    <x v="790"/>
    <n v="8"/>
    <n v="12"/>
    <x v="2"/>
    <x v="0"/>
    <x v="2"/>
    <x v="6"/>
    <x v="4"/>
    <n v="2"/>
    <n v="11923.76"/>
    <n v="23847.52"/>
    <s v="Sumit Arora"/>
    <n v="31"/>
    <x v="18"/>
    <x v="0"/>
    <n v="5"/>
    <x v="0"/>
    <x v="7"/>
  </r>
  <r>
    <n v="2785"/>
    <x v="790"/>
    <n v="8"/>
    <n v="12"/>
    <x v="2"/>
    <x v="0"/>
    <x v="2"/>
    <x v="6"/>
    <x v="2"/>
    <n v="4"/>
    <n v="14992.11"/>
    <n v="59968.44"/>
    <s v="Meena Thakur"/>
    <n v="19"/>
    <x v="1"/>
    <x v="0"/>
    <n v="4"/>
    <x v="0"/>
    <x v="6"/>
  </r>
  <r>
    <n v="2786"/>
    <x v="791"/>
    <n v="9"/>
    <n v="12"/>
    <x v="2"/>
    <x v="0"/>
    <x v="2"/>
    <x v="0"/>
    <x v="2"/>
    <n v="1"/>
    <n v="27603.77"/>
    <n v="27603.77"/>
    <s v="Umesh Kumar"/>
    <n v="30"/>
    <x v="18"/>
    <x v="0"/>
    <n v="2"/>
    <x v="2"/>
    <x v="6"/>
  </r>
  <r>
    <n v="2787"/>
    <x v="791"/>
    <n v="9"/>
    <n v="12"/>
    <x v="2"/>
    <x v="0"/>
    <x v="2"/>
    <x v="0"/>
    <x v="1"/>
    <n v="9"/>
    <n v="62668.29"/>
    <n v="564014.61"/>
    <s v="Monika Kumar"/>
    <n v="20"/>
    <x v="17"/>
    <x v="2"/>
    <n v="3"/>
    <x v="1"/>
    <x v="2"/>
  </r>
  <r>
    <n v="2788"/>
    <x v="791"/>
    <n v="9"/>
    <n v="12"/>
    <x v="2"/>
    <x v="0"/>
    <x v="2"/>
    <x v="0"/>
    <x v="1"/>
    <n v="6"/>
    <n v="55893.17"/>
    <n v="335359.02"/>
    <s v="Vivek Yadav"/>
    <n v="47"/>
    <x v="1"/>
    <x v="2"/>
    <n v="4"/>
    <x v="0"/>
    <x v="1"/>
  </r>
  <r>
    <n v="2789"/>
    <x v="791"/>
    <n v="9"/>
    <n v="12"/>
    <x v="2"/>
    <x v="0"/>
    <x v="2"/>
    <x v="0"/>
    <x v="3"/>
    <n v="8"/>
    <n v="11329.4"/>
    <n v="90635.199999999997"/>
    <s v="Kavita Srivastava"/>
    <n v="35"/>
    <x v="18"/>
    <x v="0"/>
    <n v="5"/>
    <x v="0"/>
    <x v="5"/>
  </r>
  <r>
    <n v="2790"/>
    <x v="792"/>
    <n v="10"/>
    <n v="12"/>
    <x v="2"/>
    <x v="0"/>
    <x v="2"/>
    <x v="1"/>
    <x v="3"/>
    <n v="4"/>
    <n v="40102.769999999997"/>
    <n v="160411.07999999999"/>
    <s v="Anand Pillai"/>
    <n v="53"/>
    <x v="2"/>
    <x v="1"/>
    <n v="4"/>
    <x v="0"/>
    <x v="5"/>
  </r>
  <r>
    <n v="2791"/>
    <x v="792"/>
    <n v="10"/>
    <n v="12"/>
    <x v="2"/>
    <x v="0"/>
    <x v="2"/>
    <x v="1"/>
    <x v="2"/>
    <n v="9"/>
    <n v="26481.25"/>
    <n v="238331.25"/>
    <s v="Anita Arora"/>
    <n v="38"/>
    <x v="7"/>
    <x v="1"/>
    <n v="5"/>
    <x v="0"/>
    <x v="4"/>
  </r>
  <r>
    <n v="2792"/>
    <x v="792"/>
    <n v="10"/>
    <n v="12"/>
    <x v="2"/>
    <x v="0"/>
    <x v="2"/>
    <x v="1"/>
    <x v="2"/>
    <n v="2"/>
    <n v="48918.74"/>
    <n v="97837.48"/>
    <s v="Aditya Prasad"/>
    <n v="36"/>
    <x v="0"/>
    <x v="1"/>
    <n v="4"/>
    <x v="0"/>
    <x v="4"/>
  </r>
  <r>
    <n v="2793"/>
    <x v="793"/>
    <n v="11"/>
    <n v="12"/>
    <x v="2"/>
    <x v="0"/>
    <x v="2"/>
    <x v="2"/>
    <x v="3"/>
    <n v="9"/>
    <n v="53293.23"/>
    <n v="479639.07"/>
    <s v="Yogesh Menon"/>
    <n v="33"/>
    <x v="2"/>
    <x v="2"/>
    <n v="4"/>
    <x v="0"/>
    <x v="5"/>
  </r>
  <r>
    <n v="2794"/>
    <x v="793"/>
    <n v="11"/>
    <n v="12"/>
    <x v="2"/>
    <x v="0"/>
    <x v="2"/>
    <x v="2"/>
    <x v="3"/>
    <n v="5"/>
    <n v="61771.75"/>
    <n v="308858.75"/>
    <s v="Sunita Mathur"/>
    <n v="45"/>
    <x v="18"/>
    <x v="3"/>
    <n v="4"/>
    <x v="0"/>
    <x v="8"/>
  </r>
  <r>
    <n v="2795"/>
    <x v="793"/>
    <n v="11"/>
    <n v="12"/>
    <x v="2"/>
    <x v="0"/>
    <x v="2"/>
    <x v="2"/>
    <x v="0"/>
    <n v="6"/>
    <n v="38524.97"/>
    <n v="231149.82"/>
    <s v="Vinod Srivastava"/>
    <n v="21"/>
    <x v="1"/>
    <x v="2"/>
    <n v="3"/>
    <x v="1"/>
    <x v="0"/>
  </r>
  <r>
    <n v="2796"/>
    <x v="793"/>
    <n v="11"/>
    <n v="12"/>
    <x v="2"/>
    <x v="0"/>
    <x v="2"/>
    <x v="2"/>
    <x v="0"/>
    <n v="3"/>
    <n v="69667.009999999995"/>
    <n v="209001.02999999997"/>
    <s v="Bhavana Malhotra"/>
    <n v="32"/>
    <x v="7"/>
    <x v="0"/>
    <n v="5"/>
    <x v="0"/>
    <x v="10"/>
  </r>
  <r>
    <n v="2797"/>
    <x v="794"/>
    <n v="12"/>
    <n v="12"/>
    <x v="2"/>
    <x v="0"/>
    <x v="2"/>
    <x v="3"/>
    <x v="3"/>
    <n v="4"/>
    <n v="68799.17"/>
    <n v="275196.68"/>
    <s v="Lalita Patel"/>
    <n v="18"/>
    <x v="1"/>
    <x v="3"/>
    <n v="4"/>
    <x v="0"/>
    <x v="12"/>
  </r>
  <r>
    <n v="2798"/>
    <x v="794"/>
    <n v="12"/>
    <n v="12"/>
    <x v="2"/>
    <x v="0"/>
    <x v="2"/>
    <x v="3"/>
    <x v="0"/>
    <n v="6"/>
    <n v="62930"/>
    <n v="377580"/>
    <s v="Anita Prasad"/>
    <n v="33"/>
    <x v="1"/>
    <x v="1"/>
    <n v="4"/>
    <x v="0"/>
    <x v="0"/>
  </r>
  <r>
    <n v="2799"/>
    <x v="794"/>
    <n v="12"/>
    <n v="12"/>
    <x v="2"/>
    <x v="0"/>
    <x v="2"/>
    <x v="3"/>
    <x v="4"/>
    <n v="7"/>
    <n v="44492.17"/>
    <n v="311445.19"/>
    <s v="Ayesha Ahuja"/>
    <n v="37"/>
    <x v="13"/>
    <x v="2"/>
    <n v="3"/>
    <x v="1"/>
    <x v="11"/>
  </r>
  <r>
    <n v="2800"/>
    <x v="795"/>
    <n v="13"/>
    <n v="12"/>
    <x v="2"/>
    <x v="0"/>
    <x v="2"/>
    <x v="4"/>
    <x v="2"/>
    <n v="1"/>
    <n v="33880.39"/>
    <n v="33880.39"/>
    <s v="Vijay Rawat"/>
    <n v="50"/>
    <x v="18"/>
    <x v="2"/>
    <n v="2"/>
    <x v="2"/>
    <x v="13"/>
  </r>
  <r>
    <n v="2801"/>
    <x v="795"/>
    <n v="13"/>
    <n v="12"/>
    <x v="2"/>
    <x v="0"/>
    <x v="2"/>
    <x v="4"/>
    <x v="2"/>
    <n v="7"/>
    <n v="31863.18"/>
    <n v="223042.26"/>
    <s v="Anita Sharma"/>
    <n v="34"/>
    <x v="1"/>
    <x v="0"/>
    <n v="4"/>
    <x v="0"/>
    <x v="6"/>
  </r>
  <r>
    <n v="2802"/>
    <x v="795"/>
    <n v="13"/>
    <n v="12"/>
    <x v="2"/>
    <x v="0"/>
    <x v="2"/>
    <x v="4"/>
    <x v="3"/>
    <n v="1"/>
    <n v="10727.49"/>
    <n v="10727.49"/>
    <s v="Sumit Malhotra"/>
    <n v="22"/>
    <x v="15"/>
    <x v="1"/>
    <n v="4"/>
    <x v="0"/>
    <x v="5"/>
  </r>
  <r>
    <n v="2803"/>
    <x v="796"/>
    <n v="14"/>
    <n v="12"/>
    <x v="2"/>
    <x v="0"/>
    <x v="2"/>
    <x v="5"/>
    <x v="1"/>
    <n v="5"/>
    <n v="24950.47"/>
    <n v="124752.35"/>
    <s v="Lata Mehta"/>
    <n v="22"/>
    <x v="3"/>
    <x v="2"/>
    <n v="2"/>
    <x v="2"/>
    <x v="1"/>
  </r>
  <r>
    <n v="2804"/>
    <x v="796"/>
    <n v="14"/>
    <n v="12"/>
    <x v="2"/>
    <x v="0"/>
    <x v="2"/>
    <x v="5"/>
    <x v="3"/>
    <n v="6"/>
    <n v="53128.49"/>
    <n v="318770.94"/>
    <s v="Reena Kulkarni"/>
    <n v="56"/>
    <x v="1"/>
    <x v="2"/>
    <n v="4"/>
    <x v="0"/>
    <x v="12"/>
  </r>
  <r>
    <n v="2805"/>
    <x v="796"/>
    <n v="14"/>
    <n v="12"/>
    <x v="2"/>
    <x v="0"/>
    <x v="2"/>
    <x v="5"/>
    <x v="0"/>
    <n v="2"/>
    <n v="46217.93"/>
    <n v="92435.86"/>
    <s v="Amit Goyal"/>
    <n v="30"/>
    <x v="18"/>
    <x v="3"/>
    <n v="4"/>
    <x v="0"/>
    <x v="0"/>
  </r>
  <r>
    <n v="2806"/>
    <x v="797"/>
    <n v="15"/>
    <n v="12"/>
    <x v="2"/>
    <x v="0"/>
    <x v="2"/>
    <x v="6"/>
    <x v="1"/>
    <n v="9"/>
    <n v="64985.33"/>
    <n v="584867.97"/>
    <s v="Kavita Rawat"/>
    <n v="53"/>
    <x v="1"/>
    <x v="2"/>
    <n v="4"/>
    <x v="0"/>
    <x v="9"/>
  </r>
  <r>
    <n v="2807"/>
    <x v="797"/>
    <n v="15"/>
    <n v="12"/>
    <x v="2"/>
    <x v="0"/>
    <x v="2"/>
    <x v="6"/>
    <x v="0"/>
    <n v="6"/>
    <n v="13001.34"/>
    <n v="78008.040000000008"/>
    <s v="Bina Rawat"/>
    <n v="47"/>
    <x v="2"/>
    <x v="3"/>
    <n v="5"/>
    <x v="0"/>
    <x v="3"/>
  </r>
  <r>
    <n v="2808"/>
    <x v="797"/>
    <n v="15"/>
    <n v="12"/>
    <x v="2"/>
    <x v="0"/>
    <x v="2"/>
    <x v="6"/>
    <x v="4"/>
    <n v="7"/>
    <n v="19316.599999999999"/>
    <n v="135216.19999999998"/>
    <s v="Sunita Iyer"/>
    <n v="21"/>
    <x v="1"/>
    <x v="2"/>
    <n v="2"/>
    <x v="2"/>
    <x v="14"/>
  </r>
  <r>
    <n v="2809"/>
    <x v="798"/>
    <n v="16"/>
    <n v="12"/>
    <x v="2"/>
    <x v="0"/>
    <x v="2"/>
    <x v="0"/>
    <x v="0"/>
    <n v="8"/>
    <n v="57354.63"/>
    <n v="458837.04"/>
    <s v="Sumit Teja"/>
    <n v="40"/>
    <x v="5"/>
    <x v="1"/>
    <n v="5"/>
    <x v="0"/>
    <x v="10"/>
  </r>
  <r>
    <n v="2810"/>
    <x v="798"/>
    <n v="16"/>
    <n v="12"/>
    <x v="2"/>
    <x v="0"/>
    <x v="2"/>
    <x v="0"/>
    <x v="4"/>
    <n v="1"/>
    <n v="31510.46"/>
    <n v="31510.46"/>
    <s v="Monika Solanki"/>
    <n v="38"/>
    <x v="15"/>
    <x v="0"/>
    <n v="2"/>
    <x v="2"/>
    <x v="7"/>
  </r>
  <r>
    <n v="2811"/>
    <x v="798"/>
    <n v="16"/>
    <n v="12"/>
    <x v="2"/>
    <x v="0"/>
    <x v="2"/>
    <x v="0"/>
    <x v="4"/>
    <n v="8"/>
    <n v="17100.72"/>
    <n v="136805.76000000001"/>
    <s v="Jyoti Pillai"/>
    <n v="38"/>
    <x v="2"/>
    <x v="1"/>
    <n v="5"/>
    <x v="0"/>
    <x v="7"/>
  </r>
  <r>
    <n v="2812"/>
    <x v="799"/>
    <n v="17"/>
    <n v="12"/>
    <x v="2"/>
    <x v="0"/>
    <x v="2"/>
    <x v="1"/>
    <x v="0"/>
    <n v="4"/>
    <n v="69787.03"/>
    <n v="279148.12"/>
    <s v="Vinod Nair"/>
    <n v="23"/>
    <x v="2"/>
    <x v="0"/>
    <n v="5"/>
    <x v="0"/>
    <x v="3"/>
  </r>
  <r>
    <n v="2813"/>
    <x v="799"/>
    <n v="17"/>
    <n v="12"/>
    <x v="2"/>
    <x v="0"/>
    <x v="2"/>
    <x v="1"/>
    <x v="0"/>
    <n v="8"/>
    <n v="57235.02"/>
    <n v="457880.16"/>
    <s v="Sanjay Ghosh"/>
    <n v="41"/>
    <x v="6"/>
    <x v="2"/>
    <n v="3"/>
    <x v="1"/>
    <x v="0"/>
  </r>
  <r>
    <n v="2814"/>
    <x v="799"/>
    <n v="17"/>
    <n v="12"/>
    <x v="2"/>
    <x v="0"/>
    <x v="2"/>
    <x v="1"/>
    <x v="4"/>
    <n v="6"/>
    <n v="34524.46"/>
    <n v="207146.76"/>
    <s v="Vijay Mishra"/>
    <n v="48"/>
    <x v="7"/>
    <x v="1"/>
    <n v="2"/>
    <x v="2"/>
    <x v="14"/>
  </r>
  <r>
    <n v="2815"/>
    <x v="800"/>
    <n v="18"/>
    <n v="12"/>
    <x v="2"/>
    <x v="0"/>
    <x v="2"/>
    <x v="2"/>
    <x v="1"/>
    <n v="9"/>
    <n v="59400.85"/>
    <n v="534607.65"/>
    <s v="Krishna Sharma"/>
    <n v="36"/>
    <x v="1"/>
    <x v="3"/>
    <n v="2"/>
    <x v="2"/>
    <x v="2"/>
  </r>
  <r>
    <n v="2816"/>
    <x v="800"/>
    <n v="18"/>
    <n v="12"/>
    <x v="2"/>
    <x v="0"/>
    <x v="2"/>
    <x v="2"/>
    <x v="4"/>
    <n v="4"/>
    <n v="50836.23"/>
    <n v="203344.92"/>
    <s v="Lata Reddy"/>
    <n v="55"/>
    <x v="2"/>
    <x v="0"/>
    <n v="2"/>
    <x v="2"/>
    <x v="11"/>
  </r>
  <r>
    <n v="2817"/>
    <x v="800"/>
    <n v="18"/>
    <n v="12"/>
    <x v="2"/>
    <x v="0"/>
    <x v="2"/>
    <x v="2"/>
    <x v="2"/>
    <n v="2"/>
    <n v="57398.49"/>
    <n v="114796.98"/>
    <s v="Prashant Luthra"/>
    <n v="29"/>
    <x v="15"/>
    <x v="0"/>
    <n v="5"/>
    <x v="0"/>
    <x v="4"/>
  </r>
  <r>
    <n v="2818"/>
    <x v="801"/>
    <n v="19"/>
    <n v="12"/>
    <x v="2"/>
    <x v="0"/>
    <x v="2"/>
    <x v="3"/>
    <x v="4"/>
    <n v="2"/>
    <n v="58912.38"/>
    <n v="117824.76"/>
    <s v="Rajesh Mathur"/>
    <n v="31"/>
    <x v="1"/>
    <x v="2"/>
    <n v="2"/>
    <x v="2"/>
    <x v="11"/>
  </r>
  <r>
    <n v="2819"/>
    <x v="801"/>
    <n v="19"/>
    <n v="12"/>
    <x v="2"/>
    <x v="0"/>
    <x v="2"/>
    <x v="3"/>
    <x v="1"/>
    <n v="5"/>
    <n v="15083.72"/>
    <n v="75418.599999999991"/>
    <s v="Vinod Arora"/>
    <n v="29"/>
    <x v="5"/>
    <x v="0"/>
    <n v="3"/>
    <x v="1"/>
    <x v="9"/>
  </r>
  <r>
    <n v="2820"/>
    <x v="801"/>
    <n v="19"/>
    <n v="12"/>
    <x v="2"/>
    <x v="0"/>
    <x v="2"/>
    <x v="3"/>
    <x v="2"/>
    <n v="9"/>
    <n v="47378.37"/>
    <n v="426405.33"/>
    <s v="Umesh Kaur"/>
    <n v="32"/>
    <x v="2"/>
    <x v="0"/>
    <n v="4"/>
    <x v="0"/>
    <x v="4"/>
  </r>
  <r>
    <n v="2821"/>
    <x v="801"/>
    <n v="19"/>
    <n v="12"/>
    <x v="2"/>
    <x v="0"/>
    <x v="2"/>
    <x v="3"/>
    <x v="3"/>
    <n v="3"/>
    <n v="10407.129999999999"/>
    <n v="31221.39"/>
    <s v="Radha Sharma"/>
    <n v="36"/>
    <x v="5"/>
    <x v="0"/>
    <n v="5"/>
    <x v="0"/>
    <x v="5"/>
  </r>
  <r>
    <n v="2822"/>
    <x v="802"/>
    <n v="20"/>
    <n v="12"/>
    <x v="2"/>
    <x v="0"/>
    <x v="2"/>
    <x v="4"/>
    <x v="3"/>
    <n v="8"/>
    <n v="12607.37"/>
    <n v="100858.96"/>
    <s v="Harish Patel"/>
    <n v="45"/>
    <x v="11"/>
    <x v="2"/>
    <n v="4"/>
    <x v="0"/>
    <x v="5"/>
  </r>
  <r>
    <n v="2823"/>
    <x v="802"/>
    <n v="20"/>
    <n v="12"/>
    <x v="2"/>
    <x v="0"/>
    <x v="2"/>
    <x v="4"/>
    <x v="1"/>
    <n v="4"/>
    <n v="64238.8"/>
    <n v="256955.2"/>
    <s v="Manoj Patel"/>
    <n v="57"/>
    <x v="13"/>
    <x v="1"/>
    <n v="4"/>
    <x v="0"/>
    <x v="9"/>
  </r>
  <r>
    <n v="2824"/>
    <x v="802"/>
    <n v="20"/>
    <n v="12"/>
    <x v="2"/>
    <x v="0"/>
    <x v="2"/>
    <x v="4"/>
    <x v="4"/>
    <n v="6"/>
    <n v="41653.82"/>
    <n v="249922.91999999998"/>
    <s v="Harish Mehta"/>
    <n v="58"/>
    <x v="1"/>
    <x v="2"/>
    <n v="5"/>
    <x v="0"/>
    <x v="11"/>
  </r>
  <r>
    <n v="2825"/>
    <x v="803"/>
    <n v="21"/>
    <n v="12"/>
    <x v="2"/>
    <x v="0"/>
    <x v="2"/>
    <x v="5"/>
    <x v="0"/>
    <n v="6"/>
    <n v="54154.12"/>
    <n v="324924.72000000003"/>
    <s v="Bhavana Varma"/>
    <n v="22"/>
    <x v="9"/>
    <x v="3"/>
    <n v="5"/>
    <x v="0"/>
    <x v="10"/>
  </r>
  <r>
    <n v="2826"/>
    <x v="803"/>
    <n v="21"/>
    <n v="12"/>
    <x v="2"/>
    <x v="0"/>
    <x v="2"/>
    <x v="5"/>
    <x v="1"/>
    <n v="3"/>
    <n v="60310.06"/>
    <n v="180930.18"/>
    <s v="Ravi Teja"/>
    <n v="22"/>
    <x v="15"/>
    <x v="0"/>
    <n v="2"/>
    <x v="2"/>
    <x v="9"/>
  </r>
  <r>
    <n v="2827"/>
    <x v="803"/>
    <n v="21"/>
    <n v="12"/>
    <x v="2"/>
    <x v="0"/>
    <x v="2"/>
    <x v="5"/>
    <x v="2"/>
    <n v="5"/>
    <n v="66975.210000000006"/>
    <n v="334876.05000000005"/>
    <s v="Anjali Desai"/>
    <n v="23"/>
    <x v="7"/>
    <x v="0"/>
    <n v="3"/>
    <x v="1"/>
    <x v="4"/>
  </r>
  <r>
    <n v="2828"/>
    <x v="804"/>
    <n v="22"/>
    <n v="12"/>
    <x v="2"/>
    <x v="0"/>
    <x v="2"/>
    <x v="6"/>
    <x v="2"/>
    <n v="3"/>
    <n v="62161.17"/>
    <n v="186483.51"/>
    <s v="Harish Mishra"/>
    <n v="40"/>
    <x v="8"/>
    <x v="1"/>
    <n v="5"/>
    <x v="0"/>
    <x v="6"/>
  </r>
  <r>
    <n v="2829"/>
    <x v="804"/>
    <n v="22"/>
    <n v="12"/>
    <x v="2"/>
    <x v="0"/>
    <x v="2"/>
    <x v="6"/>
    <x v="3"/>
    <n v="1"/>
    <n v="38998.69"/>
    <n v="38998.69"/>
    <s v="Meena Kumar"/>
    <n v="20"/>
    <x v="10"/>
    <x v="0"/>
    <n v="4"/>
    <x v="0"/>
    <x v="8"/>
  </r>
  <r>
    <n v="2830"/>
    <x v="804"/>
    <n v="22"/>
    <n v="12"/>
    <x v="2"/>
    <x v="0"/>
    <x v="2"/>
    <x v="6"/>
    <x v="2"/>
    <n v="7"/>
    <n v="30158.22"/>
    <n v="211107.54"/>
    <s v="Anita Mathur"/>
    <n v="54"/>
    <x v="9"/>
    <x v="1"/>
    <n v="5"/>
    <x v="0"/>
    <x v="13"/>
  </r>
  <r>
    <n v="2831"/>
    <x v="804"/>
    <n v="22"/>
    <n v="12"/>
    <x v="2"/>
    <x v="0"/>
    <x v="2"/>
    <x v="6"/>
    <x v="1"/>
    <n v="4"/>
    <n v="19269.59"/>
    <n v="77078.36"/>
    <s v="Harish Kaur"/>
    <n v="50"/>
    <x v="1"/>
    <x v="0"/>
    <n v="3"/>
    <x v="1"/>
    <x v="1"/>
  </r>
  <r>
    <n v="2832"/>
    <x v="805"/>
    <n v="23"/>
    <n v="12"/>
    <x v="2"/>
    <x v="0"/>
    <x v="2"/>
    <x v="0"/>
    <x v="2"/>
    <n v="7"/>
    <n v="34019.29"/>
    <n v="238135.03"/>
    <s v="Krishna Sharma"/>
    <n v="38"/>
    <x v="16"/>
    <x v="0"/>
    <n v="2"/>
    <x v="2"/>
    <x v="6"/>
  </r>
  <r>
    <n v="2833"/>
    <x v="805"/>
    <n v="23"/>
    <n v="12"/>
    <x v="2"/>
    <x v="0"/>
    <x v="2"/>
    <x v="0"/>
    <x v="1"/>
    <n v="3"/>
    <n v="31989.61"/>
    <n v="95968.83"/>
    <s v="Anand Reddy"/>
    <n v="37"/>
    <x v="14"/>
    <x v="2"/>
    <n v="4"/>
    <x v="0"/>
    <x v="1"/>
  </r>
  <r>
    <n v="2834"/>
    <x v="805"/>
    <n v="23"/>
    <n v="12"/>
    <x v="2"/>
    <x v="0"/>
    <x v="2"/>
    <x v="0"/>
    <x v="0"/>
    <n v="5"/>
    <n v="43574.49"/>
    <n v="217872.44999999998"/>
    <s v="Mala Chatterjee"/>
    <n v="18"/>
    <x v="7"/>
    <x v="2"/>
    <n v="2"/>
    <x v="2"/>
    <x v="3"/>
  </r>
  <r>
    <n v="2835"/>
    <x v="805"/>
    <n v="23"/>
    <n v="12"/>
    <x v="2"/>
    <x v="0"/>
    <x v="2"/>
    <x v="0"/>
    <x v="3"/>
    <n v="5"/>
    <n v="49930.559999999998"/>
    <n v="249652.8"/>
    <s v="Priya Varma"/>
    <n v="56"/>
    <x v="1"/>
    <x v="3"/>
    <n v="2"/>
    <x v="2"/>
    <x v="12"/>
  </r>
  <r>
    <n v="2836"/>
    <x v="806"/>
    <n v="24"/>
    <n v="12"/>
    <x v="2"/>
    <x v="0"/>
    <x v="2"/>
    <x v="1"/>
    <x v="2"/>
    <n v="2"/>
    <n v="68699.53"/>
    <n v="137399.06"/>
    <s v="Ramesh Dutta"/>
    <n v="34"/>
    <x v="3"/>
    <x v="1"/>
    <n v="3"/>
    <x v="1"/>
    <x v="13"/>
  </r>
  <r>
    <n v="2837"/>
    <x v="806"/>
    <n v="24"/>
    <n v="12"/>
    <x v="2"/>
    <x v="0"/>
    <x v="2"/>
    <x v="1"/>
    <x v="1"/>
    <n v="2"/>
    <n v="53703.17"/>
    <n v="107406.34"/>
    <s v="Jyoti Bhattacharya"/>
    <n v="46"/>
    <x v="16"/>
    <x v="3"/>
    <n v="5"/>
    <x v="0"/>
    <x v="1"/>
  </r>
  <r>
    <n v="2838"/>
    <x v="806"/>
    <n v="24"/>
    <n v="12"/>
    <x v="2"/>
    <x v="0"/>
    <x v="2"/>
    <x v="1"/>
    <x v="4"/>
    <n v="4"/>
    <n v="48624.91"/>
    <n v="194499.64"/>
    <s v="Reena Menon"/>
    <n v="25"/>
    <x v="6"/>
    <x v="2"/>
    <n v="2"/>
    <x v="2"/>
    <x v="7"/>
  </r>
  <r>
    <n v="2839"/>
    <x v="806"/>
    <n v="24"/>
    <n v="12"/>
    <x v="2"/>
    <x v="0"/>
    <x v="2"/>
    <x v="1"/>
    <x v="3"/>
    <n v="4"/>
    <n v="30105.55"/>
    <n v="120422.2"/>
    <s v="Amit Teja"/>
    <n v="43"/>
    <x v="10"/>
    <x v="1"/>
    <n v="2"/>
    <x v="2"/>
    <x v="8"/>
  </r>
  <r>
    <n v="2840"/>
    <x v="807"/>
    <n v="25"/>
    <n v="12"/>
    <x v="2"/>
    <x v="0"/>
    <x v="2"/>
    <x v="2"/>
    <x v="0"/>
    <n v="4"/>
    <n v="12070.23"/>
    <n v="48280.92"/>
    <s v="Kiran Joshi"/>
    <n v="45"/>
    <x v="1"/>
    <x v="2"/>
    <n v="5"/>
    <x v="0"/>
    <x v="3"/>
  </r>
  <r>
    <n v="2841"/>
    <x v="807"/>
    <n v="25"/>
    <n v="12"/>
    <x v="2"/>
    <x v="0"/>
    <x v="2"/>
    <x v="2"/>
    <x v="1"/>
    <n v="6"/>
    <n v="27287.51"/>
    <n v="163725.06"/>
    <s v="Ayesha Sheth"/>
    <n v="51"/>
    <x v="2"/>
    <x v="1"/>
    <n v="4"/>
    <x v="0"/>
    <x v="1"/>
  </r>
  <r>
    <n v="2842"/>
    <x v="807"/>
    <n v="25"/>
    <n v="12"/>
    <x v="2"/>
    <x v="0"/>
    <x v="2"/>
    <x v="2"/>
    <x v="0"/>
    <n v="2"/>
    <n v="56106.87"/>
    <n v="112213.74"/>
    <s v="Neeta Desai"/>
    <n v="43"/>
    <x v="14"/>
    <x v="0"/>
    <n v="5"/>
    <x v="0"/>
    <x v="10"/>
  </r>
  <r>
    <n v="2843"/>
    <x v="808"/>
    <n v="26"/>
    <n v="12"/>
    <x v="2"/>
    <x v="0"/>
    <x v="2"/>
    <x v="3"/>
    <x v="0"/>
    <n v="6"/>
    <n v="22316.32"/>
    <n v="133897.91999999998"/>
    <s v="Vijay Prasad"/>
    <n v="30"/>
    <x v="9"/>
    <x v="3"/>
    <n v="3"/>
    <x v="1"/>
    <x v="3"/>
  </r>
  <r>
    <n v="2844"/>
    <x v="808"/>
    <n v="26"/>
    <n v="12"/>
    <x v="2"/>
    <x v="0"/>
    <x v="2"/>
    <x v="3"/>
    <x v="2"/>
    <n v="7"/>
    <n v="52731.29"/>
    <n v="369119.03"/>
    <s v="Priyanka Yadav"/>
    <n v="54"/>
    <x v="3"/>
    <x v="3"/>
    <n v="3"/>
    <x v="1"/>
    <x v="6"/>
  </r>
  <r>
    <n v="2845"/>
    <x v="808"/>
    <n v="26"/>
    <n v="12"/>
    <x v="2"/>
    <x v="0"/>
    <x v="2"/>
    <x v="3"/>
    <x v="2"/>
    <n v="3"/>
    <n v="44786.79"/>
    <n v="134360.37"/>
    <s v="Radha Solanki"/>
    <n v="30"/>
    <x v="11"/>
    <x v="1"/>
    <n v="4"/>
    <x v="0"/>
    <x v="4"/>
  </r>
  <r>
    <n v="2846"/>
    <x v="808"/>
    <n v="26"/>
    <n v="12"/>
    <x v="2"/>
    <x v="0"/>
    <x v="2"/>
    <x v="3"/>
    <x v="1"/>
    <n v="8"/>
    <n v="20311.41"/>
    <n v="162491.28"/>
    <s v="Priya Prasad"/>
    <n v="55"/>
    <x v="0"/>
    <x v="3"/>
    <n v="4"/>
    <x v="0"/>
    <x v="2"/>
  </r>
  <r>
    <n v="2847"/>
    <x v="809"/>
    <n v="27"/>
    <n v="12"/>
    <x v="2"/>
    <x v="0"/>
    <x v="2"/>
    <x v="4"/>
    <x v="4"/>
    <n v="2"/>
    <n v="25697.49"/>
    <n v="51394.98"/>
    <s v="Radha Nair"/>
    <n v="42"/>
    <x v="9"/>
    <x v="2"/>
    <n v="4"/>
    <x v="0"/>
    <x v="11"/>
  </r>
  <r>
    <n v="2848"/>
    <x v="809"/>
    <n v="27"/>
    <n v="12"/>
    <x v="2"/>
    <x v="0"/>
    <x v="2"/>
    <x v="4"/>
    <x v="1"/>
    <n v="8"/>
    <n v="39778.22"/>
    <n v="318225.76"/>
    <s v="Navin Solanki"/>
    <n v="40"/>
    <x v="15"/>
    <x v="3"/>
    <n v="3"/>
    <x v="1"/>
    <x v="2"/>
  </r>
  <r>
    <n v="2849"/>
    <x v="809"/>
    <n v="27"/>
    <n v="12"/>
    <x v="2"/>
    <x v="0"/>
    <x v="2"/>
    <x v="4"/>
    <x v="4"/>
    <n v="5"/>
    <n v="35102.480000000003"/>
    <n v="175512.40000000002"/>
    <s v="Ravi Sharma"/>
    <n v="39"/>
    <x v="2"/>
    <x v="1"/>
    <n v="5"/>
    <x v="0"/>
    <x v="7"/>
  </r>
  <r>
    <n v="2850"/>
    <x v="810"/>
    <n v="28"/>
    <n v="12"/>
    <x v="2"/>
    <x v="0"/>
    <x v="2"/>
    <x v="5"/>
    <x v="0"/>
    <n v="2"/>
    <n v="56713.83"/>
    <n v="113427.66"/>
    <s v="Priyanka Sharma"/>
    <n v="38"/>
    <x v="16"/>
    <x v="3"/>
    <n v="2"/>
    <x v="2"/>
    <x v="10"/>
  </r>
  <r>
    <n v="2851"/>
    <x v="810"/>
    <n v="28"/>
    <n v="12"/>
    <x v="2"/>
    <x v="0"/>
    <x v="2"/>
    <x v="5"/>
    <x v="3"/>
    <n v="7"/>
    <n v="54064.28"/>
    <n v="378449.95999999996"/>
    <s v="Sunil Kapoor"/>
    <n v="47"/>
    <x v="14"/>
    <x v="3"/>
    <n v="2"/>
    <x v="2"/>
    <x v="8"/>
  </r>
  <r>
    <n v="2852"/>
    <x v="810"/>
    <n v="28"/>
    <n v="12"/>
    <x v="2"/>
    <x v="0"/>
    <x v="2"/>
    <x v="5"/>
    <x v="1"/>
    <n v="2"/>
    <n v="44474.47"/>
    <n v="88948.94"/>
    <s v="Namita Desai"/>
    <n v="28"/>
    <x v="1"/>
    <x v="2"/>
    <n v="2"/>
    <x v="2"/>
    <x v="9"/>
  </r>
  <r>
    <n v="2853"/>
    <x v="811"/>
    <n v="29"/>
    <n v="12"/>
    <x v="2"/>
    <x v="0"/>
    <x v="2"/>
    <x v="6"/>
    <x v="1"/>
    <n v="6"/>
    <n v="59336.480000000003"/>
    <n v="356018.88"/>
    <s v="Namita Teja"/>
    <n v="21"/>
    <x v="8"/>
    <x v="0"/>
    <n v="3"/>
    <x v="1"/>
    <x v="1"/>
  </r>
  <r>
    <n v="2854"/>
    <x v="811"/>
    <n v="29"/>
    <n v="12"/>
    <x v="2"/>
    <x v="0"/>
    <x v="2"/>
    <x v="6"/>
    <x v="4"/>
    <n v="3"/>
    <n v="43760.17"/>
    <n v="131280.51"/>
    <s v="Yogesh Menon"/>
    <n v="50"/>
    <x v="12"/>
    <x v="2"/>
    <n v="4"/>
    <x v="0"/>
    <x v="14"/>
  </r>
  <r>
    <n v="2855"/>
    <x v="811"/>
    <n v="29"/>
    <n v="12"/>
    <x v="2"/>
    <x v="0"/>
    <x v="2"/>
    <x v="6"/>
    <x v="0"/>
    <n v="9"/>
    <n v="67863.360000000001"/>
    <n v="610770.24"/>
    <s v="Gita Rao"/>
    <n v="29"/>
    <x v="0"/>
    <x v="3"/>
    <n v="5"/>
    <x v="0"/>
    <x v="10"/>
  </r>
  <r>
    <n v="2856"/>
    <x v="812"/>
    <n v="30"/>
    <n v="12"/>
    <x v="2"/>
    <x v="0"/>
    <x v="2"/>
    <x v="0"/>
    <x v="0"/>
    <n v="3"/>
    <n v="23033.45"/>
    <n v="69100.350000000006"/>
    <s v="Sanjay Jain"/>
    <n v="26"/>
    <x v="4"/>
    <x v="3"/>
    <n v="3"/>
    <x v="1"/>
    <x v="0"/>
  </r>
  <r>
    <n v="2857"/>
    <x v="812"/>
    <n v="30"/>
    <n v="12"/>
    <x v="2"/>
    <x v="0"/>
    <x v="2"/>
    <x v="0"/>
    <x v="4"/>
    <n v="3"/>
    <n v="52847.92"/>
    <n v="158543.76"/>
    <s v="Monika Chatterjee"/>
    <n v="49"/>
    <x v="10"/>
    <x v="0"/>
    <n v="2"/>
    <x v="2"/>
    <x v="7"/>
  </r>
  <r>
    <n v="2858"/>
    <x v="812"/>
    <n v="30"/>
    <n v="12"/>
    <x v="2"/>
    <x v="0"/>
    <x v="2"/>
    <x v="0"/>
    <x v="0"/>
    <n v="5"/>
    <n v="32196.65"/>
    <n v="160983.25"/>
    <s v="Umesh Nair"/>
    <n v="28"/>
    <x v="2"/>
    <x v="0"/>
    <n v="2"/>
    <x v="2"/>
    <x v="10"/>
  </r>
  <r>
    <n v="2859"/>
    <x v="813"/>
    <n v="31"/>
    <n v="12"/>
    <x v="2"/>
    <x v="0"/>
    <x v="2"/>
    <x v="1"/>
    <x v="2"/>
    <n v="7"/>
    <n v="26737.97"/>
    <n v="187165.79"/>
    <s v="Kavita Desai"/>
    <n v="54"/>
    <x v="6"/>
    <x v="2"/>
    <n v="5"/>
    <x v="0"/>
    <x v="6"/>
  </r>
  <r>
    <n v="2860"/>
    <x v="813"/>
    <n v="31"/>
    <n v="12"/>
    <x v="2"/>
    <x v="0"/>
    <x v="2"/>
    <x v="1"/>
    <x v="3"/>
    <n v="8"/>
    <n v="20823.25"/>
    <n v="166586"/>
    <s v="Arun Jain"/>
    <n v="41"/>
    <x v="5"/>
    <x v="0"/>
    <n v="2"/>
    <x v="2"/>
    <x v="5"/>
  </r>
  <r>
    <n v="2861"/>
    <x v="813"/>
    <n v="31"/>
    <n v="12"/>
    <x v="2"/>
    <x v="0"/>
    <x v="2"/>
    <x v="1"/>
    <x v="1"/>
    <n v="7"/>
    <n v="43150.21"/>
    <n v="302051.46999999997"/>
    <s v="Radha Mathur"/>
    <n v="24"/>
    <x v="18"/>
    <x v="2"/>
    <n v="5"/>
    <x v="0"/>
    <x v="1"/>
  </r>
  <r>
    <n v="2862"/>
    <x v="813"/>
    <n v="31"/>
    <n v="12"/>
    <x v="2"/>
    <x v="0"/>
    <x v="2"/>
    <x v="1"/>
    <x v="3"/>
    <n v="9"/>
    <n v="22928.17"/>
    <n v="206353.52999999997"/>
    <s v="Kiran Prasad"/>
    <n v="25"/>
    <x v="2"/>
    <x v="1"/>
    <n v="4"/>
    <x v="0"/>
    <x v="8"/>
  </r>
  <r>
    <n v="2863"/>
    <x v="814"/>
    <n v="1"/>
    <n v="1"/>
    <x v="3"/>
    <x v="1"/>
    <x v="3"/>
    <x v="2"/>
    <x v="1"/>
    <n v="5"/>
    <n v="22021.05"/>
    <n v="110105.25"/>
    <s v="Prashant Gupta"/>
    <n v="50"/>
    <x v="6"/>
    <x v="3"/>
    <n v="5"/>
    <x v="0"/>
    <x v="9"/>
  </r>
  <r>
    <n v="2864"/>
    <x v="814"/>
    <n v="1"/>
    <n v="1"/>
    <x v="3"/>
    <x v="1"/>
    <x v="3"/>
    <x v="2"/>
    <x v="2"/>
    <n v="3"/>
    <n v="69431.91"/>
    <n v="208295.73"/>
    <s v="Aditya Luthra"/>
    <n v="42"/>
    <x v="9"/>
    <x v="0"/>
    <n v="4"/>
    <x v="0"/>
    <x v="6"/>
  </r>
  <r>
    <n v="2865"/>
    <x v="814"/>
    <n v="1"/>
    <n v="1"/>
    <x v="3"/>
    <x v="1"/>
    <x v="3"/>
    <x v="2"/>
    <x v="0"/>
    <n v="6"/>
    <n v="58104.85"/>
    <n v="348629.1"/>
    <s v="Vivek Mathur"/>
    <n v="18"/>
    <x v="2"/>
    <x v="1"/>
    <n v="3"/>
    <x v="1"/>
    <x v="0"/>
  </r>
  <r>
    <n v="2866"/>
    <x v="814"/>
    <n v="1"/>
    <n v="1"/>
    <x v="3"/>
    <x v="1"/>
    <x v="3"/>
    <x v="2"/>
    <x v="4"/>
    <n v="5"/>
    <n v="54896.61"/>
    <n v="274483.05"/>
    <s v="Ramesh Mishra"/>
    <n v="20"/>
    <x v="1"/>
    <x v="1"/>
    <n v="2"/>
    <x v="2"/>
    <x v="14"/>
  </r>
  <r>
    <n v="2867"/>
    <x v="815"/>
    <n v="2"/>
    <n v="1"/>
    <x v="3"/>
    <x v="1"/>
    <x v="3"/>
    <x v="3"/>
    <x v="2"/>
    <n v="4"/>
    <n v="57643.64"/>
    <n v="230574.56"/>
    <s v="Anand Arora"/>
    <n v="57"/>
    <x v="1"/>
    <x v="2"/>
    <n v="5"/>
    <x v="0"/>
    <x v="6"/>
  </r>
  <r>
    <n v="2868"/>
    <x v="815"/>
    <n v="2"/>
    <n v="1"/>
    <x v="3"/>
    <x v="1"/>
    <x v="3"/>
    <x v="3"/>
    <x v="3"/>
    <n v="2"/>
    <n v="68135.37"/>
    <n v="136270.74"/>
    <s v="Manoj Mehta"/>
    <n v="45"/>
    <x v="5"/>
    <x v="2"/>
    <n v="5"/>
    <x v="0"/>
    <x v="12"/>
  </r>
  <r>
    <n v="2869"/>
    <x v="815"/>
    <n v="2"/>
    <n v="1"/>
    <x v="3"/>
    <x v="1"/>
    <x v="3"/>
    <x v="3"/>
    <x v="4"/>
    <n v="7"/>
    <n v="44396.6"/>
    <n v="310776.2"/>
    <s v="Krishna Iyer"/>
    <n v="50"/>
    <x v="17"/>
    <x v="0"/>
    <n v="2"/>
    <x v="2"/>
    <x v="14"/>
  </r>
  <r>
    <n v="2870"/>
    <x v="816"/>
    <n v="3"/>
    <n v="1"/>
    <x v="3"/>
    <x v="1"/>
    <x v="3"/>
    <x v="4"/>
    <x v="0"/>
    <n v="5"/>
    <n v="23214.63"/>
    <n v="116073.15000000001"/>
    <s v="Kiran Prasad"/>
    <n v="18"/>
    <x v="11"/>
    <x v="2"/>
    <n v="2"/>
    <x v="2"/>
    <x v="10"/>
  </r>
  <r>
    <n v="2871"/>
    <x v="816"/>
    <n v="3"/>
    <n v="1"/>
    <x v="3"/>
    <x v="1"/>
    <x v="3"/>
    <x v="4"/>
    <x v="2"/>
    <n v="4"/>
    <n v="61732.58"/>
    <n v="246930.32"/>
    <s v="Bina Das"/>
    <n v="55"/>
    <x v="2"/>
    <x v="1"/>
    <n v="3"/>
    <x v="1"/>
    <x v="6"/>
  </r>
  <r>
    <n v="2872"/>
    <x v="816"/>
    <n v="3"/>
    <n v="1"/>
    <x v="3"/>
    <x v="1"/>
    <x v="3"/>
    <x v="4"/>
    <x v="4"/>
    <n v="8"/>
    <n v="54563.839999999997"/>
    <n v="436510.71999999997"/>
    <s v="Shruti Alva"/>
    <n v="44"/>
    <x v="5"/>
    <x v="1"/>
    <n v="4"/>
    <x v="0"/>
    <x v="14"/>
  </r>
  <r>
    <n v="2873"/>
    <x v="817"/>
    <n v="4"/>
    <n v="1"/>
    <x v="3"/>
    <x v="1"/>
    <x v="3"/>
    <x v="5"/>
    <x v="2"/>
    <n v="9"/>
    <n v="34858.5"/>
    <n v="313726.5"/>
    <s v="Kavita Rawat"/>
    <n v="55"/>
    <x v="14"/>
    <x v="3"/>
    <n v="3"/>
    <x v="1"/>
    <x v="6"/>
  </r>
  <r>
    <n v="2874"/>
    <x v="817"/>
    <n v="4"/>
    <n v="1"/>
    <x v="3"/>
    <x v="1"/>
    <x v="3"/>
    <x v="5"/>
    <x v="2"/>
    <n v="9"/>
    <n v="38414.17"/>
    <n v="345727.52999999997"/>
    <s v="Vijay Singh"/>
    <n v="52"/>
    <x v="2"/>
    <x v="1"/>
    <n v="2"/>
    <x v="2"/>
    <x v="13"/>
  </r>
  <r>
    <n v="2875"/>
    <x v="817"/>
    <n v="4"/>
    <n v="1"/>
    <x v="3"/>
    <x v="1"/>
    <x v="3"/>
    <x v="5"/>
    <x v="0"/>
    <n v="3"/>
    <n v="34675.14"/>
    <n v="104025.42"/>
    <s v="Reena Sheth"/>
    <n v="27"/>
    <x v="8"/>
    <x v="0"/>
    <n v="3"/>
    <x v="1"/>
    <x v="0"/>
  </r>
  <r>
    <n v="2876"/>
    <x v="818"/>
    <n v="5"/>
    <n v="1"/>
    <x v="3"/>
    <x v="1"/>
    <x v="3"/>
    <x v="6"/>
    <x v="1"/>
    <n v="3"/>
    <n v="65796.53"/>
    <n v="197389.59"/>
    <s v="Vinod Pathak"/>
    <n v="29"/>
    <x v="15"/>
    <x v="3"/>
    <n v="4"/>
    <x v="0"/>
    <x v="2"/>
  </r>
  <r>
    <n v="2877"/>
    <x v="818"/>
    <n v="5"/>
    <n v="1"/>
    <x v="3"/>
    <x v="1"/>
    <x v="3"/>
    <x v="6"/>
    <x v="4"/>
    <n v="5"/>
    <n v="30611.9"/>
    <n v="153059.5"/>
    <s v="Ayesha Singh"/>
    <n v="27"/>
    <x v="2"/>
    <x v="2"/>
    <n v="2"/>
    <x v="2"/>
    <x v="14"/>
  </r>
  <r>
    <n v="2878"/>
    <x v="818"/>
    <n v="5"/>
    <n v="1"/>
    <x v="3"/>
    <x v="1"/>
    <x v="3"/>
    <x v="6"/>
    <x v="0"/>
    <n v="5"/>
    <n v="67809.06"/>
    <n v="339045.3"/>
    <s v="Rohan Prasad"/>
    <n v="51"/>
    <x v="17"/>
    <x v="3"/>
    <n v="2"/>
    <x v="2"/>
    <x v="3"/>
  </r>
  <r>
    <n v="2879"/>
    <x v="818"/>
    <n v="5"/>
    <n v="1"/>
    <x v="3"/>
    <x v="1"/>
    <x v="3"/>
    <x v="6"/>
    <x v="2"/>
    <n v="2"/>
    <n v="64616.31"/>
    <n v="129232.62"/>
    <s v="Umesh Kaur"/>
    <n v="41"/>
    <x v="13"/>
    <x v="1"/>
    <n v="5"/>
    <x v="0"/>
    <x v="4"/>
  </r>
  <r>
    <n v="2880"/>
    <x v="819"/>
    <n v="6"/>
    <n v="1"/>
    <x v="3"/>
    <x v="1"/>
    <x v="3"/>
    <x v="0"/>
    <x v="0"/>
    <n v="1"/>
    <n v="47831.27"/>
    <n v="47831.27"/>
    <s v="Sunil Malhotra"/>
    <n v="45"/>
    <x v="4"/>
    <x v="0"/>
    <n v="5"/>
    <x v="0"/>
    <x v="10"/>
  </r>
  <r>
    <n v="2881"/>
    <x v="819"/>
    <n v="6"/>
    <n v="1"/>
    <x v="3"/>
    <x v="1"/>
    <x v="3"/>
    <x v="0"/>
    <x v="1"/>
    <n v="8"/>
    <n v="44789.31"/>
    <n v="358314.48"/>
    <s v="Yogesh Kaur"/>
    <n v="39"/>
    <x v="3"/>
    <x v="2"/>
    <n v="2"/>
    <x v="2"/>
    <x v="1"/>
  </r>
  <r>
    <n v="2882"/>
    <x v="819"/>
    <n v="6"/>
    <n v="1"/>
    <x v="3"/>
    <x v="1"/>
    <x v="3"/>
    <x v="0"/>
    <x v="4"/>
    <n v="3"/>
    <n v="32205.360000000001"/>
    <n v="96616.08"/>
    <s v="Yogesh Dutta"/>
    <n v="33"/>
    <x v="0"/>
    <x v="2"/>
    <n v="3"/>
    <x v="1"/>
    <x v="14"/>
  </r>
  <r>
    <n v="2883"/>
    <x v="820"/>
    <n v="7"/>
    <n v="1"/>
    <x v="3"/>
    <x v="1"/>
    <x v="3"/>
    <x v="1"/>
    <x v="1"/>
    <n v="1"/>
    <n v="11100.3"/>
    <n v="11100.3"/>
    <s v="Arun Ghosh"/>
    <n v="30"/>
    <x v="8"/>
    <x v="1"/>
    <n v="5"/>
    <x v="0"/>
    <x v="1"/>
  </r>
  <r>
    <n v="2884"/>
    <x v="820"/>
    <n v="7"/>
    <n v="1"/>
    <x v="3"/>
    <x v="1"/>
    <x v="3"/>
    <x v="1"/>
    <x v="3"/>
    <n v="1"/>
    <n v="17657.39"/>
    <n v="17657.39"/>
    <s v="Nikhil Rathod"/>
    <n v="53"/>
    <x v="2"/>
    <x v="0"/>
    <n v="2"/>
    <x v="2"/>
    <x v="8"/>
  </r>
  <r>
    <n v="2885"/>
    <x v="820"/>
    <n v="7"/>
    <n v="1"/>
    <x v="3"/>
    <x v="1"/>
    <x v="3"/>
    <x v="1"/>
    <x v="4"/>
    <n v="2"/>
    <n v="55253.88"/>
    <n v="110507.76"/>
    <s v="Sumit Sheth"/>
    <n v="53"/>
    <x v="1"/>
    <x v="1"/>
    <n v="4"/>
    <x v="0"/>
    <x v="11"/>
  </r>
  <r>
    <n v="2886"/>
    <x v="821"/>
    <n v="8"/>
    <n v="1"/>
    <x v="3"/>
    <x v="1"/>
    <x v="3"/>
    <x v="2"/>
    <x v="1"/>
    <n v="6"/>
    <n v="38292.410000000003"/>
    <n v="229754.46000000002"/>
    <s v="Tapan Ahuja"/>
    <n v="40"/>
    <x v="2"/>
    <x v="1"/>
    <n v="3"/>
    <x v="1"/>
    <x v="9"/>
  </r>
  <r>
    <n v="2887"/>
    <x v="821"/>
    <n v="8"/>
    <n v="1"/>
    <x v="3"/>
    <x v="1"/>
    <x v="3"/>
    <x v="2"/>
    <x v="2"/>
    <n v="6"/>
    <n v="18990.29"/>
    <n v="113941.74"/>
    <s v="Sumit Chatterjee"/>
    <n v="31"/>
    <x v="10"/>
    <x v="0"/>
    <n v="4"/>
    <x v="0"/>
    <x v="4"/>
  </r>
  <r>
    <n v="2888"/>
    <x v="821"/>
    <n v="8"/>
    <n v="1"/>
    <x v="3"/>
    <x v="1"/>
    <x v="3"/>
    <x v="2"/>
    <x v="4"/>
    <n v="3"/>
    <n v="25837.65"/>
    <n v="77512.950000000012"/>
    <s v="Priya Varma"/>
    <n v="49"/>
    <x v="2"/>
    <x v="1"/>
    <n v="3"/>
    <x v="1"/>
    <x v="7"/>
  </r>
  <r>
    <n v="2889"/>
    <x v="821"/>
    <n v="8"/>
    <n v="1"/>
    <x v="3"/>
    <x v="1"/>
    <x v="3"/>
    <x v="2"/>
    <x v="4"/>
    <n v="4"/>
    <n v="66870.210000000006"/>
    <n v="267480.84000000003"/>
    <s v="Anita Mathur"/>
    <n v="20"/>
    <x v="6"/>
    <x v="0"/>
    <n v="2"/>
    <x v="2"/>
    <x v="11"/>
  </r>
  <r>
    <n v="2890"/>
    <x v="822"/>
    <n v="9"/>
    <n v="1"/>
    <x v="3"/>
    <x v="1"/>
    <x v="3"/>
    <x v="3"/>
    <x v="0"/>
    <n v="2"/>
    <n v="32027.97"/>
    <n v="64055.94"/>
    <s v="Harish Pillai"/>
    <n v="44"/>
    <x v="1"/>
    <x v="0"/>
    <n v="4"/>
    <x v="0"/>
    <x v="3"/>
  </r>
  <r>
    <n v="2891"/>
    <x v="822"/>
    <n v="9"/>
    <n v="1"/>
    <x v="3"/>
    <x v="1"/>
    <x v="3"/>
    <x v="3"/>
    <x v="2"/>
    <n v="2"/>
    <n v="64460.92"/>
    <n v="128921.84"/>
    <s v="Shruti Iyer"/>
    <n v="36"/>
    <x v="7"/>
    <x v="1"/>
    <n v="2"/>
    <x v="2"/>
    <x v="6"/>
  </r>
  <r>
    <n v="2892"/>
    <x v="822"/>
    <n v="9"/>
    <n v="1"/>
    <x v="3"/>
    <x v="1"/>
    <x v="3"/>
    <x v="3"/>
    <x v="3"/>
    <n v="7"/>
    <n v="28278.15"/>
    <n v="197947.05000000002"/>
    <s v="Rajesh Kapoor"/>
    <n v="39"/>
    <x v="1"/>
    <x v="1"/>
    <n v="4"/>
    <x v="0"/>
    <x v="8"/>
  </r>
  <r>
    <n v="2893"/>
    <x v="822"/>
    <n v="9"/>
    <n v="1"/>
    <x v="3"/>
    <x v="1"/>
    <x v="3"/>
    <x v="3"/>
    <x v="1"/>
    <n v="1"/>
    <n v="42593.21"/>
    <n v="42593.21"/>
    <s v="Bina Teja"/>
    <n v="18"/>
    <x v="1"/>
    <x v="3"/>
    <n v="3"/>
    <x v="1"/>
    <x v="2"/>
  </r>
  <r>
    <n v="2894"/>
    <x v="823"/>
    <n v="10"/>
    <n v="1"/>
    <x v="3"/>
    <x v="1"/>
    <x v="3"/>
    <x v="4"/>
    <x v="0"/>
    <n v="7"/>
    <n v="11228.63"/>
    <n v="78600.409999999989"/>
    <s v="Lata Rawat"/>
    <n v="22"/>
    <x v="1"/>
    <x v="2"/>
    <n v="2"/>
    <x v="2"/>
    <x v="0"/>
  </r>
  <r>
    <n v="2895"/>
    <x v="823"/>
    <n v="10"/>
    <n v="1"/>
    <x v="3"/>
    <x v="1"/>
    <x v="3"/>
    <x v="4"/>
    <x v="1"/>
    <n v="1"/>
    <n v="41312.51"/>
    <n v="41312.51"/>
    <s v="Deepika Pathak"/>
    <n v="50"/>
    <x v="16"/>
    <x v="2"/>
    <n v="3"/>
    <x v="1"/>
    <x v="1"/>
  </r>
  <r>
    <n v="2896"/>
    <x v="823"/>
    <n v="10"/>
    <n v="1"/>
    <x v="3"/>
    <x v="1"/>
    <x v="3"/>
    <x v="4"/>
    <x v="3"/>
    <n v="6"/>
    <n v="48216.52"/>
    <n v="289299.12"/>
    <s v="Monika Patel"/>
    <n v="36"/>
    <x v="2"/>
    <x v="0"/>
    <n v="3"/>
    <x v="1"/>
    <x v="8"/>
  </r>
  <r>
    <n v="2897"/>
    <x v="824"/>
    <n v="11"/>
    <n v="1"/>
    <x v="3"/>
    <x v="1"/>
    <x v="3"/>
    <x v="5"/>
    <x v="3"/>
    <n v="3"/>
    <n v="24058.31"/>
    <n v="72174.930000000008"/>
    <s v="Monika Goyal"/>
    <n v="53"/>
    <x v="1"/>
    <x v="3"/>
    <n v="4"/>
    <x v="0"/>
    <x v="12"/>
  </r>
  <r>
    <n v="2898"/>
    <x v="824"/>
    <n v="11"/>
    <n v="1"/>
    <x v="3"/>
    <x v="1"/>
    <x v="3"/>
    <x v="5"/>
    <x v="4"/>
    <n v="8"/>
    <n v="44736.23"/>
    <n v="357889.84"/>
    <s v="Lalita Verma"/>
    <n v="23"/>
    <x v="1"/>
    <x v="0"/>
    <n v="4"/>
    <x v="0"/>
    <x v="11"/>
  </r>
  <r>
    <n v="2899"/>
    <x v="824"/>
    <n v="11"/>
    <n v="1"/>
    <x v="3"/>
    <x v="1"/>
    <x v="3"/>
    <x v="5"/>
    <x v="3"/>
    <n v="6"/>
    <n v="48830.07"/>
    <n v="292980.42"/>
    <s v="Arun Shah"/>
    <n v="32"/>
    <x v="14"/>
    <x v="3"/>
    <n v="2"/>
    <x v="2"/>
    <x v="5"/>
  </r>
  <r>
    <n v="2900"/>
    <x v="824"/>
    <n v="11"/>
    <n v="1"/>
    <x v="3"/>
    <x v="1"/>
    <x v="3"/>
    <x v="5"/>
    <x v="1"/>
    <n v="2"/>
    <n v="51213.16"/>
    <n v="102426.32"/>
    <s v="Jyoti Menon"/>
    <n v="53"/>
    <x v="15"/>
    <x v="0"/>
    <n v="5"/>
    <x v="0"/>
    <x v="9"/>
  </r>
  <r>
    <n v="2901"/>
    <x v="825"/>
    <n v="12"/>
    <n v="1"/>
    <x v="3"/>
    <x v="1"/>
    <x v="3"/>
    <x v="6"/>
    <x v="2"/>
    <n v="8"/>
    <n v="56584.2"/>
    <n v="452673.6"/>
    <s v="Kavita Singh"/>
    <n v="50"/>
    <x v="9"/>
    <x v="2"/>
    <n v="2"/>
    <x v="2"/>
    <x v="6"/>
  </r>
  <r>
    <n v="2902"/>
    <x v="825"/>
    <n v="12"/>
    <n v="1"/>
    <x v="3"/>
    <x v="1"/>
    <x v="3"/>
    <x v="6"/>
    <x v="2"/>
    <n v="5"/>
    <n v="28680.35"/>
    <n v="143401.75"/>
    <s v="Sachin Jain"/>
    <n v="41"/>
    <x v="2"/>
    <x v="3"/>
    <n v="4"/>
    <x v="0"/>
    <x v="4"/>
  </r>
  <r>
    <n v="2903"/>
    <x v="825"/>
    <n v="12"/>
    <n v="1"/>
    <x v="3"/>
    <x v="1"/>
    <x v="3"/>
    <x v="6"/>
    <x v="4"/>
    <n v="8"/>
    <n v="44066.62"/>
    <n v="352532.96"/>
    <s v="Deepika Patel"/>
    <n v="44"/>
    <x v="13"/>
    <x v="1"/>
    <n v="3"/>
    <x v="1"/>
    <x v="14"/>
  </r>
  <r>
    <n v="2904"/>
    <x v="825"/>
    <n v="12"/>
    <n v="1"/>
    <x v="3"/>
    <x v="1"/>
    <x v="3"/>
    <x v="6"/>
    <x v="1"/>
    <n v="8"/>
    <n v="68894.740000000005"/>
    <n v="551157.92000000004"/>
    <s v="Krishna Alva"/>
    <n v="28"/>
    <x v="1"/>
    <x v="1"/>
    <n v="2"/>
    <x v="2"/>
    <x v="1"/>
  </r>
  <r>
    <n v="2905"/>
    <x v="826"/>
    <n v="13"/>
    <n v="1"/>
    <x v="3"/>
    <x v="1"/>
    <x v="3"/>
    <x v="0"/>
    <x v="1"/>
    <n v="6"/>
    <n v="63888.65"/>
    <n v="383331.9"/>
    <s v="Vivek Luthra"/>
    <n v="40"/>
    <x v="0"/>
    <x v="2"/>
    <n v="2"/>
    <x v="2"/>
    <x v="9"/>
  </r>
  <r>
    <n v="2906"/>
    <x v="826"/>
    <n v="13"/>
    <n v="1"/>
    <x v="3"/>
    <x v="1"/>
    <x v="3"/>
    <x v="0"/>
    <x v="3"/>
    <n v="2"/>
    <n v="67159.929999999993"/>
    <n v="134319.85999999999"/>
    <s v="Sanjay Sheth"/>
    <n v="50"/>
    <x v="1"/>
    <x v="3"/>
    <n v="2"/>
    <x v="2"/>
    <x v="8"/>
  </r>
  <r>
    <n v="2907"/>
    <x v="826"/>
    <n v="13"/>
    <n v="1"/>
    <x v="3"/>
    <x v="1"/>
    <x v="3"/>
    <x v="0"/>
    <x v="1"/>
    <n v="8"/>
    <n v="33168.18"/>
    <n v="265345.44"/>
    <s v="Ramesh Srivastava"/>
    <n v="58"/>
    <x v="1"/>
    <x v="1"/>
    <n v="2"/>
    <x v="2"/>
    <x v="1"/>
  </r>
  <r>
    <n v="2908"/>
    <x v="827"/>
    <n v="14"/>
    <n v="1"/>
    <x v="3"/>
    <x v="1"/>
    <x v="3"/>
    <x v="1"/>
    <x v="0"/>
    <n v="6"/>
    <n v="57215.69"/>
    <n v="343294.14"/>
    <s v="Vinod Nair"/>
    <n v="46"/>
    <x v="2"/>
    <x v="1"/>
    <n v="5"/>
    <x v="0"/>
    <x v="3"/>
  </r>
  <r>
    <n v="2909"/>
    <x v="827"/>
    <n v="14"/>
    <n v="1"/>
    <x v="3"/>
    <x v="1"/>
    <x v="3"/>
    <x v="1"/>
    <x v="3"/>
    <n v="6"/>
    <n v="47193.88"/>
    <n v="283163.27999999997"/>
    <s v="Sneha Deshmukh"/>
    <n v="48"/>
    <x v="17"/>
    <x v="1"/>
    <n v="5"/>
    <x v="0"/>
    <x v="8"/>
  </r>
  <r>
    <n v="2910"/>
    <x v="827"/>
    <n v="14"/>
    <n v="1"/>
    <x v="3"/>
    <x v="1"/>
    <x v="3"/>
    <x v="1"/>
    <x v="0"/>
    <n v="8"/>
    <n v="14964.1"/>
    <n v="119712.8"/>
    <s v="Devendra Menon"/>
    <n v="18"/>
    <x v="2"/>
    <x v="2"/>
    <n v="2"/>
    <x v="2"/>
    <x v="0"/>
  </r>
  <r>
    <n v="2911"/>
    <x v="827"/>
    <n v="14"/>
    <n v="1"/>
    <x v="3"/>
    <x v="1"/>
    <x v="3"/>
    <x v="1"/>
    <x v="4"/>
    <n v="1"/>
    <n v="59438.82"/>
    <n v="59438.82"/>
    <s v="Anjali Jain"/>
    <n v="51"/>
    <x v="0"/>
    <x v="0"/>
    <n v="5"/>
    <x v="0"/>
    <x v="7"/>
  </r>
  <r>
    <n v="2912"/>
    <x v="828"/>
    <n v="15"/>
    <n v="1"/>
    <x v="3"/>
    <x v="1"/>
    <x v="3"/>
    <x v="2"/>
    <x v="2"/>
    <n v="2"/>
    <n v="50626.080000000002"/>
    <n v="101252.16"/>
    <s v="Umesh Goyal"/>
    <n v="35"/>
    <x v="2"/>
    <x v="1"/>
    <n v="5"/>
    <x v="0"/>
    <x v="6"/>
  </r>
  <r>
    <n v="2913"/>
    <x v="828"/>
    <n v="15"/>
    <n v="1"/>
    <x v="3"/>
    <x v="1"/>
    <x v="3"/>
    <x v="2"/>
    <x v="4"/>
    <n v="9"/>
    <n v="21935.040000000001"/>
    <n v="197415.36000000002"/>
    <s v="Umesh Reddy"/>
    <n v="35"/>
    <x v="6"/>
    <x v="1"/>
    <n v="2"/>
    <x v="2"/>
    <x v="14"/>
  </r>
  <r>
    <n v="2914"/>
    <x v="828"/>
    <n v="15"/>
    <n v="1"/>
    <x v="3"/>
    <x v="1"/>
    <x v="3"/>
    <x v="2"/>
    <x v="2"/>
    <n v="8"/>
    <n v="14784.31"/>
    <n v="118274.48"/>
    <s v="Deepika Solanki"/>
    <n v="23"/>
    <x v="1"/>
    <x v="0"/>
    <n v="4"/>
    <x v="0"/>
    <x v="13"/>
  </r>
  <r>
    <n v="2915"/>
    <x v="829"/>
    <n v="16"/>
    <n v="1"/>
    <x v="3"/>
    <x v="1"/>
    <x v="3"/>
    <x v="3"/>
    <x v="4"/>
    <n v="7"/>
    <n v="60221.33"/>
    <n v="421549.31"/>
    <s v="Vivek Nair"/>
    <n v="57"/>
    <x v="1"/>
    <x v="1"/>
    <n v="5"/>
    <x v="0"/>
    <x v="11"/>
  </r>
  <r>
    <n v="2916"/>
    <x v="829"/>
    <n v="16"/>
    <n v="1"/>
    <x v="3"/>
    <x v="1"/>
    <x v="3"/>
    <x v="3"/>
    <x v="1"/>
    <n v="7"/>
    <n v="14734.11"/>
    <n v="103138.77"/>
    <s v="Anita Shah"/>
    <n v="18"/>
    <x v="11"/>
    <x v="3"/>
    <n v="2"/>
    <x v="2"/>
    <x v="2"/>
  </r>
  <r>
    <n v="2917"/>
    <x v="829"/>
    <n v="16"/>
    <n v="1"/>
    <x v="3"/>
    <x v="1"/>
    <x v="3"/>
    <x v="3"/>
    <x v="0"/>
    <n v="5"/>
    <n v="15481.23"/>
    <n v="77406.149999999994"/>
    <s v="Sunita Singh"/>
    <n v="59"/>
    <x v="2"/>
    <x v="1"/>
    <n v="4"/>
    <x v="0"/>
    <x v="0"/>
  </r>
  <r>
    <n v="2918"/>
    <x v="829"/>
    <n v="16"/>
    <n v="1"/>
    <x v="3"/>
    <x v="1"/>
    <x v="3"/>
    <x v="3"/>
    <x v="2"/>
    <n v="2"/>
    <n v="35644.5"/>
    <n v="71289"/>
    <s v="Lalita Verma"/>
    <n v="47"/>
    <x v="5"/>
    <x v="0"/>
    <n v="5"/>
    <x v="0"/>
    <x v="4"/>
  </r>
  <r>
    <n v="2919"/>
    <x v="830"/>
    <n v="17"/>
    <n v="1"/>
    <x v="3"/>
    <x v="1"/>
    <x v="3"/>
    <x v="4"/>
    <x v="3"/>
    <n v="6"/>
    <n v="18087.87"/>
    <n v="108527.22"/>
    <s v="Monika Mathur"/>
    <n v="21"/>
    <x v="1"/>
    <x v="2"/>
    <n v="2"/>
    <x v="2"/>
    <x v="8"/>
  </r>
  <r>
    <n v="2920"/>
    <x v="830"/>
    <n v="17"/>
    <n v="1"/>
    <x v="3"/>
    <x v="1"/>
    <x v="3"/>
    <x v="4"/>
    <x v="0"/>
    <n v="3"/>
    <n v="64820.18"/>
    <n v="194460.54"/>
    <s v="Amit Prasad"/>
    <n v="49"/>
    <x v="2"/>
    <x v="2"/>
    <n v="5"/>
    <x v="0"/>
    <x v="3"/>
  </r>
  <r>
    <n v="2921"/>
    <x v="830"/>
    <n v="17"/>
    <n v="1"/>
    <x v="3"/>
    <x v="1"/>
    <x v="3"/>
    <x v="4"/>
    <x v="3"/>
    <n v="4"/>
    <n v="38217.040000000001"/>
    <n v="152868.16"/>
    <s v="Tanuja Roy"/>
    <n v="27"/>
    <x v="1"/>
    <x v="3"/>
    <n v="4"/>
    <x v="0"/>
    <x v="12"/>
  </r>
  <r>
    <n v="2922"/>
    <x v="831"/>
    <n v="18"/>
    <n v="1"/>
    <x v="3"/>
    <x v="1"/>
    <x v="3"/>
    <x v="5"/>
    <x v="0"/>
    <n v="2"/>
    <n v="44149.06"/>
    <n v="88298.12"/>
    <s v="Mala Srivastava"/>
    <n v="22"/>
    <x v="1"/>
    <x v="1"/>
    <n v="2"/>
    <x v="2"/>
    <x v="10"/>
  </r>
  <r>
    <n v="2923"/>
    <x v="831"/>
    <n v="18"/>
    <n v="1"/>
    <x v="3"/>
    <x v="1"/>
    <x v="3"/>
    <x v="5"/>
    <x v="0"/>
    <n v="2"/>
    <n v="65686.37"/>
    <n v="131372.74"/>
    <s v="Sachin Kaur"/>
    <n v="26"/>
    <x v="2"/>
    <x v="1"/>
    <n v="4"/>
    <x v="0"/>
    <x v="3"/>
  </r>
  <r>
    <n v="2924"/>
    <x v="831"/>
    <n v="18"/>
    <n v="1"/>
    <x v="3"/>
    <x v="1"/>
    <x v="3"/>
    <x v="5"/>
    <x v="4"/>
    <n v="8"/>
    <n v="41815.79"/>
    <n v="334526.32"/>
    <s v="Gita Roy"/>
    <n v="22"/>
    <x v="0"/>
    <x v="0"/>
    <n v="3"/>
    <x v="1"/>
    <x v="7"/>
  </r>
  <r>
    <n v="2925"/>
    <x v="832"/>
    <n v="19"/>
    <n v="1"/>
    <x v="3"/>
    <x v="1"/>
    <x v="3"/>
    <x v="6"/>
    <x v="2"/>
    <n v="8"/>
    <n v="31215.47"/>
    <n v="249723.76"/>
    <s v="Pooja Deshmukh"/>
    <n v="28"/>
    <x v="1"/>
    <x v="0"/>
    <n v="2"/>
    <x v="2"/>
    <x v="6"/>
  </r>
  <r>
    <n v="2926"/>
    <x v="832"/>
    <n v="19"/>
    <n v="1"/>
    <x v="3"/>
    <x v="1"/>
    <x v="3"/>
    <x v="6"/>
    <x v="2"/>
    <n v="6"/>
    <n v="57829.31"/>
    <n v="346975.86"/>
    <s v="Sumit Siddiqui"/>
    <n v="52"/>
    <x v="1"/>
    <x v="3"/>
    <n v="3"/>
    <x v="1"/>
    <x v="6"/>
  </r>
  <r>
    <n v="2927"/>
    <x v="832"/>
    <n v="19"/>
    <n v="1"/>
    <x v="3"/>
    <x v="1"/>
    <x v="3"/>
    <x v="6"/>
    <x v="0"/>
    <n v="5"/>
    <n v="36571.01"/>
    <n v="182855.05000000002"/>
    <s v="Rohan Pathak"/>
    <n v="44"/>
    <x v="2"/>
    <x v="3"/>
    <n v="5"/>
    <x v="0"/>
    <x v="3"/>
  </r>
  <r>
    <n v="2928"/>
    <x v="833"/>
    <n v="20"/>
    <n v="1"/>
    <x v="3"/>
    <x v="1"/>
    <x v="3"/>
    <x v="0"/>
    <x v="1"/>
    <n v="8"/>
    <n v="29108.17"/>
    <n v="232865.36"/>
    <s v="Vivek Teja"/>
    <n v="21"/>
    <x v="2"/>
    <x v="1"/>
    <n v="4"/>
    <x v="0"/>
    <x v="1"/>
  </r>
  <r>
    <n v="2929"/>
    <x v="833"/>
    <n v="20"/>
    <n v="1"/>
    <x v="3"/>
    <x v="1"/>
    <x v="3"/>
    <x v="0"/>
    <x v="1"/>
    <n v="4"/>
    <n v="53393.77"/>
    <n v="213575.08"/>
    <s v="Vivek Nair"/>
    <n v="27"/>
    <x v="3"/>
    <x v="1"/>
    <n v="2"/>
    <x v="2"/>
    <x v="2"/>
  </r>
  <r>
    <n v="2930"/>
    <x v="833"/>
    <n v="20"/>
    <n v="1"/>
    <x v="3"/>
    <x v="1"/>
    <x v="3"/>
    <x v="0"/>
    <x v="3"/>
    <n v="4"/>
    <n v="58096.34"/>
    <n v="232385.36"/>
    <s v="Radha Ghosh"/>
    <n v="56"/>
    <x v="15"/>
    <x v="3"/>
    <n v="4"/>
    <x v="0"/>
    <x v="5"/>
  </r>
  <r>
    <n v="2931"/>
    <x v="833"/>
    <n v="20"/>
    <n v="1"/>
    <x v="3"/>
    <x v="1"/>
    <x v="3"/>
    <x v="0"/>
    <x v="3"/>
    <n v="5"/>
    <n v="57502.97"/>
    <n v="287514.84999999998"/>
    <s v="Vivek Mishra"/>
    <n v="50"/>
    <x v="0"/>
    <x v="2"/>
    <n v="5"/>
    <x v="0"/>
    <x v="8"/>
  </r>
  <r>
    <n v="2932"/>
    <x v="834"/>
    <n v="21"/>
    <n v="1"/>
    <x v="3"/>
    <x v="1"/>
    <x v="3"/>
    <x v="1"/>
    <x v="4"/>
    <n v="1"/>
    <n v="68660.460000000006"/>
    <n v="68660.460000000006"/>
    <s v="Vijay Rao"/>
    <n v="55"/>
    <x v="1"/>
    <x v="2"/>
    <n v="2"/>
    <x v="2"/>
    <x v="14"/>
  </r>
  <r>
    <n v="2933"/>
    <x v="834"/>
    <n v="21"/>
    <n v="1"/>
    <x v="3"/>
    <x v="1"/>
    <x v="3"/>
    <x v="1"/>
    <x v="0"/>
    <n v="1"/>
    <n v="57200.02"/>
    <n v="57200.02"/>
    <s v="Vivek Mehta"/>
    <n v="25"/>
    <x v="1"/>
    <x v="2"/>
    <n v="3"/>
    <x v="1"/>
    <x v="3"/>
  </r>
  <r>
    <n v="2934"/>
    <x v="834"/>
    <n v="21"/>
    <n v="1"/>
    <x v="3"/>
    <x v="1"/>
    <x v="3"/>
    <x v="1"/>
    <x v="3"/>
    <n v="2"/>
    <n v="56196.01"/>
    <n v="112392.02"/>
    <s v="Sunil Iyer"/>
    <n v="41"/>
    <x v="3"/>
    <x v="2"/>
    <n v="4"/>
    <x v="0"/>
    <x v="12"/>
  </r>
  <r>
    <n v="2935"/>
    <x v="835"/>
    <n v="22"/>
    <n v="1"/>
    <x v="3"/>
    <x v="1"/>
    <x v="3"/>
    <x v="2"/>
    <x v="3"/>
    <n v="8"/>
    <n v="61449.120000000003"/>
    <n v="491592.96000000002"/>
    <s v="Shruti Iyer"/>
    <n v="56"/>
    <x v="14"/>
    <x v="3"/>
    <n v="2"/>
    <x v="2"/>
    <x v="12"/>
  </r>
  <r>
    <n v="2936"/>
    <x v="835"/>
    <n v="22"/>
    <n v="1"/>
    <x v="3"/>
    <x v="1"/>
    <x v="3"/>
    <x v="2"/>
    <x v="0"/>
    <n v="7"/>
    <n v="10011.11"/>
    <n v="70077.77"/>
    <s v="Arun Jain"/>
    <n v="50"/>
    <x v="15"/>
    <x v="0"/>
    <n v="5"/>
    <x v="0"/>
    <x v="3"/>
  </r>
  <r>
    <n v="2937"/>
    <x v="835"/>
    <n v="22"/>
    <n v="1"/>
    <x v="3"/>
    <x v="1"/>
    <x v="3"/>
    <x v="2"/>
    <x v="4"/>
    <n v="9"/>
    <n v="31745.88"/>
    <n v="285712.92"/>
    <s v="Nikhil Solanki"/>
    <n v="58"/>
    <x v="1"/>
    <x v="2"/>
    <n v="5"/>
    <x v="0"/>
    <x v="11"/>
  </r>
  <r>
    <n v="2938"/>
    <x v="835"/>
    <n v="22"/>
    <n v="1"/>
    <x v="3"/>
    <x v="1"/>
    <x v="3"/>
    <x v="2"/>
    <x v="3"/>
    <n v="5"/>
    <n v="54256.19"/>
    <n v="271280.95"/>
    <s v="Reena Dutta"/>
    <n v="36"/>
    <x v="11"/>
    <x v="3"/>
    <n v="4"/>
    <x v="0"/>
    <x v="5"/>
  </r>
  <r>
    <n v="2939"/>
    <x v="836"/>
    <n v="23"/>
    <n v="1"/>
    <x v="3"/>
    <x v="1"/>
    <x v="3"/>
    <x v="3"/>
    <x v="4"/>
    <n v="2"/>
    <n v="45983.14"/>
    <n v="91966.28"/>
    <s v="Bhavana Dutta"/>
    <n v="19"/>
    <x v="1"/>
    <x v="2"/>
    <n v="3"/>
    <x v="1"/>
    <x v="7"/>
  </r>
  <r>
    <n v="2940"/>
    <x v="836"/>
    <n v="23"/>
    <n v="1"/>
    <x v="3"/>
    <x v="1"/>
    <x v="3"/>
    <x v="3"/>
    <x v="2"/>
    <n v="7"/>
    <n v="20654.32"/>
    <n v="144580.24"/>
    <s v="Ayesha Ahuja"/>
    <n v="28"/>
    <x v="1"/>
    <x v="1"/>
    <n v="3"/>
    <x v="1"/>
    <x v="6"/>
  </r>
  <r>
    <n v="2941"/>
    <x v="836"/>
    <n v="23"/>
    <n v="1"/>
    <x v="3"/>
    <x v="1"/>
    <x v="3"/>
    <x v="3"/>
    <x v="4"/>
    <n v="8"/>
    <n v="28223.99"/>
    <n v="225791.92"/>
    <s v="Sumit Sharma"/>
    <n v="52"/>
    <x v="15"/>
    <x v="2"/>
    <n v="2"/>
    <x v="2"/>
    <x v="14"/>
  </r>
  <r>
    <n v="2942"/>
    <x v="837"/>
    <n v="24"/>
    <n v="1"/>
    <x v="3"/>
    <x v="1"/>
    <x v="3"/>
    <x v="4"/>
    <x v="1"/>
    <n v="7"/>
    <n v="30207.56"/>
    <n v="211452.92"/>
    <s v="Gita Iyer"/>
    <n v="34"/>
    <x v="2"/>
    <x v="3"/>
    <n v="2"/>
    <x v="2"/>
    <x v="1"/>
  </r>
  <r>
    <n v="2943"/>
    <x v="837"/>
    <n v="24"/>
    <n v="1"/>
    <x v="3"/>
    <x v="1"/>
    <x v="3"/>
    <x v="4"/>
    <x v="1"/>
    <n v="7"/>
    <n v="44069.69"/>
    <n v="308487.83"/>
    <s v="Pankaj Arora"/>
    <n v="59"/>
    <x v="1"/>
    <x v="1"/>
    <n v="4"/>
    <x v="0"/>
    <x v="1"/>
  </r>
  <r>
    <n v="2944"/>
    <x v="837"/>
    <n v="24"/>
    <n v="1"/>
    <x v="3"/>
    <x v="1"/>
    <x v="3"/>
    <x v="4"/>
    <x v="4"/>
    <n v="5"/>
    <n v="59895.9"/>
    <n v="299479.5"/>
    <s v="Aditya Luthra"/>
    <n v="20"/>
    <x v="18"/>
    <x v="1"/>
    <n v="2"/>
    <x v="2"/>
    <x v="14"/>
  </r>
  <r>
    <n v="2945"/>
    <x v="838"/>
    <n v="25"/>
    <n v="1"/>
    <x v="3"/>
    <x v="1"/>
    <x v="3"/>
    <x v="5"/>
    <x v="1"/>
    <n v="2"/>
    <n v="65949.509999999995"/>
    <n v="131899.01999999999"/>
    <s v="Rohan Shah"/>
    <n v="39"/>
    <x v="1"/>
    <x v="2"/>
    <n v="3"/>
    <x v="1"/>
    <x v="9"/>
  </r>
  <r>
    <n v="2946"/>
    <x v="838"/>
    <n v="25"/>
    <n v="1"/>
    <x v="3"/>
    <x v="1"/>
    <x v="3"/>
    <x v="5"/>
    <x v="2"/>
    <n v="6"/>
    <n v="55005.54"/>
    <n v="330033.24"/>
    <s v="Anand Bhattacharya"/>
    <n v="52"/>
    <x v="1"/>
    <x v="2"/>
    <n v="2"/>
    <x v="2"/>
    <x v="4"/>
  </r>
  <r>
    <n v="2947"/>
    <x v="838"/>
    <n v="25"/>
    <n v="1"/>
    <x v="3"/>
    <x v="1"/>
    <x v="3"/>
    <x v="5"/>
    <x v="0"/>
    <n v="4"/>
    <n v="60577.02"/>
    <n v="242308.08"/>
    <s v="Sneha Sharma"/>
    <n v="38"/>
    <x v="6"/>
    <x v="1"/>
    <n v="2"/>
    <x v="2"/>
    <x v="0"/>
  </r>
  <r>
    <n v="2948"/>
    <x v="838"/>
    <n v="25"/>
    <n v="1"/>
    <x v="3"/>
    <x v="1"/>
    <x v="3"/>
    <x v="5"/>
    <x v="1"/>
    <n v="2"/>
    <n v="38205.760000000002"/>
    <n v="76411.520000000004"/>
    <s v="Neeta Yadav"/>
    <n v="42"/>
    <x v="2"/>
    <x v="0"/>
    <n v="4"/>
    <x v="0"/>
    <x v="9"/>
  </r>
  <r>
    <n v="2949"/>
    <x v="839"/>
    <n v="26"/>
    <n v="1"/>
    <x v="3"/>
    <x v="1"/>
    <x v="3"/>
    <x v="6"/>
    <x v="1"/>
    <n v="9"/>
    <n v="33386.519999999997"/>
    <n v="300478.68"/>
    <s v="Priya Kaur"/>
    <n v="56"/>
    <x v="1"/>
    <x v="3"/>
    <n v="2"/>
    <x v="2"/>
    <x v="2"/>
  </r>
  <r>
    <n v="2950"/>
    <x v="839"/>
    <n v="26"/>
    <n v="1"/>
    <x v="3"/>
    <x v="1"/>
    <x v="3"/>
    <x v="6"/>
    <x v="4"/>
    <n v="7"/>
    <n v="33562.51"/>
    <n v="234937.57"/>
    <s v="Mala Teja"/>
    <n v="19"/>
    <x v="13"/>
    <x v="3"/>
    <n v="2"/>
    <x v="2"/>
    <x v="11"/>
  </r>
  <r>
    <n v="2951"/>
    <x v="839"/>
    <n v="26"/>
    <n v="1"/>
    <x v="3"/>
    <x v="1"/>
    <x v="3"/>
    <x v="6"/>
    <x v="2"/>
    <n v="6"/>
    <n v="46962.31"/>
    <n v="281773.86"/>
    <s v="Pooja Pathak"/>
    <n v="18"/>
    <x v="8"/>
    <x v="3"/>
    <n v="4"/>
    <x v="0"/>
    <x v="6"/>
  </r>
  <r>
    <n v="2952"/>
    <x v="840"/>
    <n v="27"/>
    <n v="1"/>
    <x v="3"/>
    <x v="1"/>
    <x v="3"/>
    <x v="0"/>
    <x v="0"/>
    <n v="5"/>
    <n v="17454.2"/>
    <n v="87271"/>
    <s v="Rajesh Mishra"/>
    <n v="24"/>
    <x v="7"/>
    <x v="3"/>
    <n v="2"/>
    <x v="2"/>
    <x v="3"/>
  </r>
  <r>
    <n v="2953"/>
    <x v="840"/>
    <n v="27"/>
    <n v="1"/>
    <x v="3"/>
    <x v="1"/>
    <x v="3"/>
    <x v="0"/>
    <x v="4"/>
    <n v="3"/>
    <n v="44769.65"/>
    <n v="134308.95000000001"/>
    <s v="Neeta Arora"/>
    <n v="37"/>
    <x v="1"/>
    <x v="3"/>
    <n v="2"/>
    <x v="2"/>
    <x v="11"/>
  </r>
  <r>
    <n v="2954"/>
    <x v="840"/>
    <n v="27"/>
    <n v="1"/>
    <x v="3"/>
    <x v="1"/>
    <x v="3"/>
    <x v="0"/>
    <x v="4"/>
    <n v="4"/>
    <n v="49907.97"/>
    <n v="199631.88"/>
    <s v="Neeta Deshmukh"/>
    <n v="23"/>
    <x v="2"/>
    <x v="1"/>
    <n v="2"/>
    <x v="2"/>
    <x v="7"/>
  </r>
  <r>
    <n v="2955"/>
    <x v="841"/>
    <n v="28"/>
    <n v="1"/>
    <x v="3"/>
    <x v="1"/>
    <x v="3"/>
    <x v="1"/>
    <x v="2"/>
    <n v="3"/>
    <n v="36334.519999999997"/>
    <n v="109003.56"/>
    <s v="Anita Sharma"/>
    <n v="53"/>
    <x v="2"/>
    <x v="3"/>
    <n v="2"/>
    <x v="2"/>
    <x v="4"/>
  </r>
  <r>
    <n v="2956"/>
    <x v="841"/>
    <n v="28"/>
    <n v="1"/>
    <x v="3"/>
    <x v="1"/>
    <x v="3"/>
    <x v="1"/>
    <x v="0"/>
    <n v="8"/>
    <n v="67190.03"/>
    <n v="537520.24"/>
    <s v="Sachin Joshi"/>
    <n v="38"/>
    <x v="1"/>
    <x v="0"/>
    <n v="2"/>
    <x v="2"/>
    <x v="3"/>
  </r>
  <r>
    <n v="2957"/>
    <x v="841"/>
    <n v="28"/>
    <n v="1"/>
    <x v="3"/>
    <x v="1"/>
    <x v="3"/>
    <x v="1"/>
    <x v="2"/>
    <n v="3"/>
    <n v="46492.800000000003"/>
    <n v="139478.40000000002"/>
    <s v="Tanuja Roy"/>
    <n v="52"/>
    <x v="5"/>
    <x v="0"/>
    <n v="5"/>
    <x v="0"/>
    <x v="6"/>
  </r>
  <r>
    <n v="2958"/>
    <x v="841"/>
    <n v="28"/>
    <n v="1"/>
    <x v="3"/>
    <x v="1"/>
    <x v="3"/>
    <x v="1"/>
    <x v="0"/>
    <n v="7"/>
    <n v="23199.97"/>
    <n v="162399.79"/>
    <s v="Kiran Alva"/>
    <n v="53"/>
    <x v="10"/>
    <x v="2"/>
    <n v="5"/>
    <x v="0"/>
    <x v="3"/>
  </r>
  <r>
    <n v="2959"/>
    <x v="842"/>
    <n v="29"/>
    <n v="1"/>
    <x v="3"/>
    <x v="1"/>
    <x v="3"/>
    <x v="2"/>
    <x v="2"/>
    <n v="7"/>
    <n v="38752.980000000003"/>
    <n v="271270.86000000004"/>
    <s v="Manoj Mehta"/>
    <n v="25"/>
    <x v="1"/>
    <x v="2"/>
    <n v="4"/>
    <x v="0"/>
    <x v="13"/>
  </r>
  <r>
    <n v="2960"/>
    <x v="842"/>
    <n v="29"/>
    <n v="1"/>
    <x v="3"/>
    <x v="1"/>
    <x v="3"/>
    <x v="2"/>
    <x v="4"/>
    <n v="7"/>
    <n v="50524.27"/>
    <n v="353669.88999999996"/>
    <s v="Harish Prasad"/>
    <n v="21"/>
    <x v="2"/>
    <x v="2"/>
    <n v="4"/>
    <x v="0"/>
    <x v="11"/>
  </r>
  <r>
    <n v="2961"/>
    <x v="842"/>
    <n v="29"/>
    <n v="1"/>
    <x v="3"/>
    <x v="1"/>
    <x v="3"/>
    <x v="2"/>
    <x v="4"/>
    <n v="7"/>
    <n v="29417.75"/>
    <n v="205924.25"/>
    <s v="Krishna Patel"/>
    <n v="33"/>
    <x v="1"/>
    <x v="2"/>
    <n v="3"/>
    <x v="1"/>
    <x v="14"/>
  </r>
  <r>
    <n v="2962"/>
    <x v="843"/>
    <n v="30"/>
    <n v="1"/>
    <x v="3"/>
    <x v="1"/>
    <x v="3"/>
    <x v="3"/>
    <x v="3"/>
    <n v="2"/>
    <n v="14778.5"/>
    <n v="29557"/>
    <s v="Meena Chatterjee"/>
    <n v="20"/>
    <x v="9"/>
    <x v="1"/>
    <n v="5"/>
    <x v="0"/>
    <x v="8"/>
  </r>
  <r>
    <n v="2963"/>
    <x v="843"/>
    <n v="30"/>
    <n v="1"/>
    <x v="3"/>
    <x v="1"/>
    <x v="3"/>
    <x v="3"/>
    <x v="1"/>
    <n v="3"/>
    <n v="45006.14"/>
    <n v="135018.41999999998"/>
    <s v="Shruti Ahuja"/>
    <n v="24"/>
    <x v="1"/>
    <x v="0"/>
    <n v="2"/>
    <x v="2"/>
    <x v="2"/>
  </r>
  <r>
    <n v="2964"/>
    <x v="843"/>
    <n v="30"/>
    <n v="1"/>
    <x v="3"/>
    <x v="1"/>
    <x v="3"/>
    <x v="3"/>
    <x v="2"/>
    <n v="9"/>
    <n v="66872.210000000006"/>
    <n v="601849.89"/>
    <s v="Gita Kulkarni"/>
    <n v="19"/>
    <x v="11"/>
    <x v="1"/>
    <n v="5"/>
    <x v="0"/>
    <x v="13"/>
  </r>
  <r>
    <n v="2965"/>
    <x v="844"/>
    <n v="31"/>
    <n v="1"/>
    <x v="3"/>
    <x v="1"/>
    <x v="3"/>
    <x v="4"/>
    <x v="3"/>
    <n v="3"/>
    <n v="39104.32"/>
    <n v="117312.95999999999"/>
    <s v="Gita Mehta"/>
    <n v="18"/>
    <x v="3"/>
    <x v="0"/>
    <n v="4"/>
    <x v="0"/>
    <x v="12"/>
  </r>
  <r>
    <n v="2966"/>
    <x v="844"/>
    <n v="31"/>
    <n v="1"/>
    <x v="3"/>
    <x v="1"/>
    <x v="3"/>
    <x v="4"/>
    <x v="1"/>
    <n v="2"/>
    <n v="64366.54"/>
    <n v="128733.08"/>
    <s v="Bina Joshi"/>
    <n v="18"/>
    <x v="14"/>
    <x v="1"/>
    <n v="4"/>
    <x v="0"/>
    <x v="2"/>
  </r>
  <r>
    <n v="2967"/>
    <x v="844"/>
    <n v="31"/>
    <n v="1"/>
    <x v="3"/>
    <x v="1"/>
    <x v="3"/>
    <x v="4"/>
    <x v="2"/>
    <n v="9"/>
    <n v="60101.42"/>
    <n v="540912.78"/>
    <s v="Tapan Rathod"/>
    <n v="55"/>
    <x v="6"/>
    <x v="0"/>
    <n v="4"/>
    <x v="0"/>
    <x v="4"/>
  </r>
  <r>
    <n v="2968"/>
    <x v="845"/>
    <n v="1"/>
    <n v="2"/>
    <x v="3"/>
    <x v="1"/>
    <x v="4"/>
    <x v="5"/>
    <x v="0"/>
    <n v="9"/>
    <n v="18844.77"/>
    <n v="169602.93"/>
    <s v="Deepika Kulkarni"/>
    <n v="24"/>
    <x v="3"/>
    <x v="2"/>
    <n v="2"/>
    <x v="2"/>
    <x v="0"/>
  </r>
  <r>
    <n v="2969"/>
    <x v="845"/>
    <n v="1"/>
    <n v="2"/>
    <x v="3"/>
    <x v="1"/>
    <x v="4"/>
    <x v="5"/>
    <x v="1"/>
    <n v="4"/>
    <n v="52490.2"/>
    <n v="209960.8"/>
    <s v="Namita Bhatnagar"/>
    <n v="41"/>
    <x v="11"/>
    <x v="0"/>
    <n v="1"/>
    <x v="2"/>
    <x v="2"/>
  </r>
  <r>
    <n v="2970"/>
    <x v="845"/>
    <n v="1"/>
    <n v="2"/>
    <x v="3"/>
    <x v="1"/>
    <x v="4"/>
    <x v="5"/>
    <x v="4"/>
    <n v="9"/>
    <n v="36127.93"/>
    <n v="325151.37"/>
    <s v="Pooja Pillai"/>
    <n v="22"/>
    <x v="2"/>
    <x v="2"/>
    <n v="4"/>
    <x v="0"/>
    <x v="7"/>
  </r>
  <r>
    <n v="2971"/>
    <x v="846"/>
    <n v="2"/>
    <n v="2"/>
    <x v="3"/>
    <x v="1"/>
    <x v="4"/>
    <x v="6"/>
    <x v="3"/>
    <n v="3"/>
    <n v="25014.78"/>
    <n v="75044.34"/>
    <s v="Pankaj Mathur"/>
    <n v="38"/>
    <x v="2"/>
    <x v="0"/>
    <n v="5"/>
    <x v="0"/>
    <x v="5"/>
  </r>
  <r>
    <n v="2972"/>
    <x v="846"/>
    <n v="2"/>
    <n v="2"/>
    <x v="3"/>
    <x v="1"/>
    <x v="4"/>
    <x v="6"/>
    <x v="1"/>
    <n v="7"/>
    <n v="51216.3"/>
    <n v="358514.10000000003"/>
    <s v="Shruti Iyer"/>
    <n v="45"/>
    <x v="17"/>
    <x v="1"/>
    <n v="1"/>
    <x v="2"/>
    <x v="1"/>
  </r>
  <r>
    <n v="2973"/>
    <x v="846"/>
    <n v="2"/>
    <n v="2"/>
    <x v="3"/>
    <x v="1"/>
    <x v="4"/>
    <x v="6"/>
    <x v="1"/>
    <n v="7"/>
    <n v="54559.64"/>
    <n v="381917.48"/>
    <s v="Nikhil Arora"/>
    <n v="35"/>
    <x v="6"/>
    <x v="3"/>
    <n v="5"/>
    <x v="0"/>
    <x v="9"/>
  </r>
  <r>
    <n v="2974"/>
    <x v="846"/>
    <n v="2"/>
    <n v="2"/>
    <x v="3"/>
    <x v="1"/>
    <x v="4"/>
    <x v="6"/>
    <x v="4"/>
    <n v="8"/>
    <n v="20793.78"/>
    <n v="166350.24"/>
    <s v="Monika Mathur"/>
    <n v="41"/>
    <x v="11"/>
    <x v="0"/>
    <n v="4"/>
    <x v="0"/>
    <x v="14"/>
  </r>
  <r>
    <n v="2975"/>
    <x v="847"/>
    <n v="3"/>
    <n v="2"/>
    <x v="3"/>
    <x v="1"/>
    <x v="4"/>
    <x v="0"/>
    <x v="2"/>
    <n v="4"/>
    <n v="64866.68"/>
    <n v="259466.72"/>
    <s v="Bhavana Rawat"/>
    <n v="49"/>
    <x v="8"/>
    <x v="1"/>
    <n v="2"/>
    <x v="2"/>
    <x v="6"/>
  </r>
  <r>
    <n v="2976"/>
    <x v="847"/>
    <n v="3"/>
    <n v="2"/>
    <x v="3"/>
    <x v="1"/>
    <x v="4"/>
    <x v="0"/>
    <x v="0"/>
    <n v="3"/>
    <n v="55068.83"/>
    <n v="165206.49"/>
    <s v="Aditya Roy"/>
    <n v="50"/>
    <x v="1"/>
    <x v="3"/>
    <n v="1"/>
    <x v="2"/>
    <x v="10"/>
  </r>
  <r>
    <n v="2977"/>
    <x v="847"/>
    <n v="3"/>
    <n v="2"/>
    <x v="3"/>
    <x v="1"/>
    <x v="4"/>
    <x v="0"/>
    <x v="4"/>
    <n v="3"/>
    <n v="66002.53"/>
    <n v="198007.59"/>
    <s v="Neeta Mathur"/>
    <n v="27"/>
    <x v="13"/>
    <x v="1"/>
    <n v="1"/>
    <x v="2"/>
    <x v="7"/>
  </r>
  <r>
    <n v="2978"/>
    <x v="847"/>
    <n v="3"/>
    <n v="2"/>
    <x v="3"/>
    <x v="1"/>
    <x v="4"/>
    <x v="0"/>
    <x v="0"/>
    <n v="5"/>
    <n v="29024.39"/>
    <n v="145121.95000000001"/>
    <s v="Kiran Siddiqui"/>
    <n v="26"/>
    <x v="1"/>
    <x v="3"/>
    <n v="4"/>
    <x v="0"/>
    <x v="3"/>
  </r>
  <r>
    <n v="2979"/>
    <x v="848"/>
    <n v="4"/>
    <n v="2"/>
    <x v="3"/>
    <x v="1"/>
    <x v="4"/>
    <x v="1"/>
    <x v="2"/>
    <n v="1"/>
    <n v="66360.100000000006"/>
    <n v="66360.100000000006"/>
    <s v="Reena Chatterjee"/>
    <n v="50"/>
    <x v="2"/>
    <x v="2"/>
    <n v="4"/>
    <x v="0"/>
    <x v="4"/>
  </r>
  <r>
    <n v="2980"/>
    <x v="848"/>
    <n v="4"/>
    <n v="2"/>
    <x v="3"/>
    <x v="1"/>
    <x v="4"/>
    <x v="1"/>
    <x v="1"/>
    <n v="3"/>
    <n v="32111.06"/>
    <n v="96333.180000000008"/>
    <s v="Pooja Rao"/>
    <n v="50"/>
    <x v="18"/>
    <x v="0"/>
    <n v="4"/>
    <x v="0"/>
    <x v="1"/>
  </r>
  <r>
    <n v="2981"/>
    <x v="848"/>
    <n v="4"/>
    <n v="2"/>
    <x v="3"/>
    <x v="1"/>
    <x v="4"/>
    <x v="1"/>
    <x v="0"/>
    <n v="6"/>
    <n v="13238.19"/>
    <n v="79429.14"/>
    <s v="Meena Dutta"/>
    <n v="24"/>
    <x v="1"/>
    <x v="1"/>
    <n v="3"/>
    <x v="1"/>
    <x v="10"/>
  </r>
  <r>
    <n v="2982"/>
    <x v="849"/>
    <n v="5"/>
    <n v="2"/>
    <x v="3"/>
    <x v="1"/>
    <x v="4"/>
    <x v="2"/>
    <x v="3"/>
    <n v="3"/>
    <n v="55778.16"/>
    <n v="167334.48000000001"/>
    <s v="Sunita Ahuja"/>
    <n v="21"/>
    <x v="7"/>
    <x v="0"/>
    <n v="2"/>
    <x v="2"/>
    <x v="5"/>
  </r>
  <r>
    <n v="2983"/>
    <x v="849"/>
    <n v="5"/>
    <n v="2"/>
    <x v="3"/>
    <x v="1"/>
    <x v="4"/>
    <x v="2"/>
    <x v="3"/>
    <n v="5"/>
    <n v="52210.49"/>
    <n v="261052.44999999998"/>
    <s v="Rohan Shah"/>
    <n v="45"/>
    <x v="13"/>
    <x v="2"/>
    <n v="2"/>
    <x v="2"/>
    <x v="5"/>
  </r>
  <r>
    <n v="2984"/>
    <x v="849"/>
    <n v="5"/>
    <n v="2"/>
    <x v="3"/>
    <x v="1"/>
    <x v="4"/>
    <x v="2"/>
    <x v="4"/>
    <n v="9"/>
    <n v="45874.66"/>
    <n v="412871.94000000006"/>
    <s v="Lalita Dutta"/>
    <n v="40"/>
    <x v="17"/>
    <x v="2"/>
    <n v="4"/>
    <x v="0"/>
    <x v="7"/>
  </r>
  <r>
    <n v="2985"/>
    <x v="849"/>
    <n v="5"/>
    <n v="2"/>
    <x v="3"/>
    <x v="1"/>
    <x v="4"/>
    <x v="2"/>
    <x v="2"/>
    <n v="2"/>
    <n v="39393.620000000003"/>
    <n v="78787.240000000005"/>
    <s v="Yogesh Menon"/>
    <n v="49"/>
    <x v="1"/>
    <x v="0"/>
    <n v="3"/>
    <x v="1"/>
    <x v="6"/>
  </r>
  <r>
    <n v="2986"/>
    <x v="850"/>
    <n v="6"/>
    <n v="2"/>
    <x v="3"/>
    <x v="1"/>
    <x v="4"/>
    <x v="3"/>
    <x v="4"/>
    <n v="2"/>
    <n v="11929.92"/>
    <n v="23859.84"/>
    <s v="Pankaj Roy"/>
    <n v="33"/>
    <x v="1"/>
    <x v="1"/>
    <n v="4"/>
    <x v="0"/>
    <x v="14"/>
  </r>
  <r>
    <n v="2987"/>
    <x v="850"/>
    <n v="6"/>
    <n v="2"/>
    <x v="3"/>
    <x v="1"/>
    <x v="4"/>
    <x v="3"/>
    <x v="4"/>
    <n v="6"/>
    <n v="47475.839999999997"/>
    <n v="284855.03999999998"/>
    <s v="Vijay Das"/>
    <n v="27"/>
    <x v="2"/>
    <x v="1"/>
    <n v="4"/>
    <x v="0"/>
    <x v="11"/>
  </r>
  <r>
    <n v="2988"/>
    <x v="850"/>
    <n v="6"/>
    <n v="2"/>
    <x v="3"/>
    <x v="1"/>
    <x v="4"/>
    <x v="3"/>
    <x v="4"/>
    <n v="6"/>
    <n v="35010.080000000002"/>
    <n v="210060.48"/>
    <s v="Reena Kulkarni"/>
    <n v="31"/>
    <x v="10"/>
    <x v="1"/>
    <n v="2"/>
    <x v="2"/>
    <x v="14"/>
  </r>
  <r>
    <n v="2989"/>
    <x v="851"/>
    <n v="7"/>
    <n v="2"/>
    <x v="3"/>
    <x v="1"/>
    <x v="4"/>
    <x v="4"/>
    <x v="3"/>
    <n v="8"/>
    <n v="43612.56"/>
    <n v="348900.48"/>
    <s v="Yogesh Luthra"/>
    <n v="56"/>
    <x v="2"/>
    <x v="0"/>
    <n v="3"/>
    <x v="1"/>
    <x v="8"/>
  </r>
  <r>
    <n v="2990"/>
    <x v="851"/>
    <n v="7"/>
    <n v="2"/>
    <x v="3"/>
    <x v="1"/>
    <x v="4"/>
    <x v="4"/>
    <x v="3"/>
    <n v="2"/>
    <n v="35759.279999999999"/>
    <n v="71518.559999999998"/>
    <s v="Navin Verma"/>
    <n v="53"/>
    <x v="1"/>
    <x v="1"/>
    <n v="2"/>
    <x v="2"/>
    <x v="5"/>
  </r>
  <r>
    <n v="2991"/>
    <x v="851"/>
    <n v="7"/>
    <n v="2"/>
    <x v="3"/>
    <x v="1"/>
    <x v="4"/>
    <x v="4"/>
    <x v="4"/>
    <n v="9"/>
    <n v="67963.37"/>
    <n v="611670.32999999996"/>
    <s v="Pooja Patel"/>
    <n v="51"/>
    <x v="6"/>
    <x v="1"/>
    <n v="4"/>
    <x v="0"/>
    <x v="11"/>
  </r>
  <r>
    <n v="2992"/>
    <x v="851"/>
    <n v="7"/>
    <n v="2"/>
    <x v="3"/>
    <x v="1"/>
    <x v="4"/>
    <x v="4"/>
    <x v="3"/>
    <n v="2"/>
    <n v="46246.53"/>
    <n v="92493.06"/>
    <s v="Pooja Deshmukh"/>
    <n v="41"/>
    <x v="17"/>
    <x v="3"/>
    <n v="5"/>
    <x v="0"/>
    <x v="5"/>
  </r>
  <r>
    <n v="2993"/>
    <x v="852"/>
    <n v="8"/>
    <n v="2"/>
    <x v="3"/>
    <x v="1"/>
    <x v="4"/>
    <x v="5"/>
    <x v="2"/>
    <n v="1"/>
    <n v="54954.18"/>
    <n v="54954.18"/>
    <s v="Kavita Bhatnagar"/>
    <n v="35"/>
    <x v="14"/>
    <x v="1"/>
    <n v="1"/>
    <x v="2"/>
    <x v="6"/>
  </r>
  <r>
    <n v="2994"/>
    <x v="852"/>
    <n v="8"/>
    <n v="2"/>
    <x v="3"/>
    <x v="1"/>
    <x v="4"/>
    <x v="5"/>
    <x v="4"/>
    <n v="2"/>
    <n v="66180.820000000007"/>
    <n v="132361.64000000001"/>
    <s v="Vivek Nair"/>
    <n v="33"/>
    <x v="2"/>
    <x v="2"/>
    <n v="4"/>
    <x v="0"/>
    <x v="14"/>
  </r>
  <r>
    <n v="2995"/>
    <x v="852"/>
    <n v="8"/>
    <n v="2"/>
    <x v="3"/>
    <x v="1"/>
    <x v="4"/>
    <x v="5"/>
    <x v="3"/>
    <n v="7"/>
    <n v="45495.96"/>
    <n v="318471.71999999997"/>
    <s v="Sunil Dutta"/>
    <n v="58"/>
    <x v="18"/>
    <x v="1"/>
    <n v="3"/>
    <x v="1"/>
    <x v="5"/>
  </r>
  <r>
    <n v="2996"/>
    <x v="853"/>
    <n v="9"/>
    <n v="2"/>
    <x v="3"/>
    <x v="1"/>
    <x v="4"/>
    <x v="6"/>
    <x v="0"/>
    <n v="8"/>
    <n v="10723.75"/>
    <n v="85790"/>
    <s v="Manoj Gupta"/>
    <n v="54"/>
    <x v="4"/>
    <x v="0"/>
    <n v="5"/>
    <x v="0"/>
    <x v="10"/>
  </r>
  <r>
    <n v="2997"/>
    <x v="853"/>
    <n v="9"/>
    <n v="2"/>
    <x v="3"/>
    <x v="1"/>
    <x v="4"/>
    <x v="6"/>
    <x v="4"/>
    <n v="5"/>
    <n v="12057.5"/>
    <n v="60287.5"/>
    <s v="Pooja Roy"/>
    <n v="58"/>
    <x v="1"/>
    <x v="0"/>
    <n v="3"/>
    <x v="1"/>
    <x v="7"/>
  </r>
  <r>
    <n v="2998"/>
    <x v="853"/>
    <n v="9"/>
    <n v="2"/>
    <x v="3"/>
    <x v="1"/>
    <x v="4"/>
    <x v="6"/>
    <x v="4"/>
    <n v="6"/>
    <n v="52140.31"/>
    <n v="312841.86"/>
    <s v="Vinod Kaur"/>
    <n v="42"/>
    <x v="12"/>
    <x v="1"/>
    <n v="4"/>
    <x v="0"/>
    <x v="14"/>
  </r>
  <r>
    <n v="2999"/>
    <x v="854"/>
    <n v="10"/>
    <n v="2"/>
    <x v="3"/>
    <x v="1"/>
    <x v="4"/>
    <x v="0"/>
    <x v="2"/>
    <n v="1"/>
    <n v="26745.11"/>
    <n v="26745.11"/>
    <s v="Yogesh Luthra"/>
    <n v="25"/>
    <x v="1"/>
    <x v="0"/>
    <n v="4"/>
    <x v="0"/>
    <x v="13"/>
  </r>
  <r>
    <n v="3000"/>
    <x v="854"/>
    <n v="10"/>
    <n v="2"/>
    <x v="3"/>
    <x v="1"/>
    <x v="4"/>
    <x v="0"/>
    <x v="1"/>
    <n v="6"/>
    <n v="44762.78"/>
    <n v="268576.68"/>
    <s v="Isha Kaur"/>
    <n v="41"/>
    <x v="1"/>
    <x v="0"/>
    <n v="1"/>
    <x v="2"/>
    <x v="9"/>
  </r>
  <r>
    <n v="3001"/>
    <x v="854"/>
    <n v="10"/>
    <n v="2"/>
    <x v="3"/>
    <x v="1"/>
    <x v="4"/>
    <x v="0"/>
    <x v="1"/>
    <n v="8"/>
    <n v="22136.63"/>
    <n v="177093.04"/>
    <s v="Krishna Pillai"/>
    <n v="37"/>
    <x v="7"/>
    <x v="1"/>
    <n v="3"/>
    <x v="1"/>
    <x v="1"/>
  </r>
  <r>
    <n v="3002"/>
    <x v="855"/>
    <n v="11"/>
    <n v="2"/>
    <x v="3"/>
    <x v="1"/>
    <x v="4"/>
    <x v="1"/>
    <x v="2"/>
    <n v="3"/>
    <n v="26214.93"/>
    <n v="78644.790000000008"/>
    <s v="Ramesh Srivastava"/>
    <n v="47"/>
    <x v="11"/>
    <x v="3"/>
    <n v="5"/>
    <x v="0"/>
    <x v="6"/>
  </r>
  <r>
    <n v="3003"/>
    <x v="855"/>
    <n v="11"/>
    <n v="2"/>
    <x v="3"/>
    <x v="1"/>
    <x v="4"/>
    <x v="1"/>
    <x v="2"/>
    <n v="1"/>
    <n v="40278.46"/>
    <n v="40278.46"/>
    <s v="Kiran Joshi"/>
    <n v="37"/>
    <x v="0"/>
    <x v="3"/>
    <n v="1"/>
    <x v="2"/>
    <x v="4"/>
  </r>
  <r>
    <n v="3004"/>
    <x v="855"/>
    <n v="11"/>
    <n v="2"/>
    <x v="3"/>
    <x v="1"/>
    <x v="4"/>
    <x v="1"/>
    <x v="2"/>
    <n v="4"/>
    <n v="68534.17"/>
    <n v="274136.68"/>
    <s v="Arun Ghosh"/>
    <n v="35"/>
    <x v="4"/>
    <x v="3"/>
    <n v="3"/>
    <x v="1"/>
    <x v="13"/>
  </r>
  <r>
    <n v="3005"/>
    <x v="856"/>
    <n v="12"/>
    <n v="2"/>
    <x v="3"/>
    <x v="1"/>
    <x v="4"/>
    <x v="2"/>
    <x v="1"/>
    <n v="1"/>
    <n v="46976.23"/>
    <n v="46976.23"/>
    <s v="Anita Prasad"/>
    <n v="21"/>
    <x v="2"/>
    <x v="3"/>
    <n v="4"/>
    <x v="0"/>
    <x v="2"/>
  </r>
  <r>
    <n v="3006"/>
    <x v="856"/>
    <n v="12"/>
    <n v="2"/>
    <x v="3"/>
    <x v="1"/>
    <x v="4"/>
    <x v="2"/>
    <x v="2"/>
    <n v="8"/>
    <n v="66168.89"/>
    <n v="529351.12"/>
    <s v="Shruti Verma"/>
    <n v="53"/>
    <x v="11"/>
    <x v="2"/>
    <n v="1"/>
    <x v="2"/>
    <x v="6"/>
  </r>
  <r>
    <n v="3007"/>
    <x v="856"/>
    <n v="12"/>
    <n v="2"/>
    <x v="3"/>
    <x v="1"/>
    <x v="4"/>
    <x v="2"/>
    <x v="3"/>
    <n v="5"/>
    <n v="67562.789999999994"/>
    <n v="337813.94999999995"/>
    <s v="Pankaj Srivastava"/>
    <n v="23"/>
    <x v="2"/>
    <x v="1"/>
    <n v="4"/>
    <x v="0"/>
    <x v="12"/>
  </r>
  <r>
    <n v="3008"/>
    <x v="857"/>
    <n v="13"/>
    <n v="2"/>
    <x v="3"/>
    <x v="1"/>
    <x v="4"/>
    <x v="3"/>
    <x v="4"/>
    <n v="1"/>
    <n v="22486.6"/>
    <n v="22486.6"/>
    <s v="Meena Dutta"/>
    <n v="20"/>
    <x v="1"/>
    <x v="0"/>
    <n v="2"/>
    <x v="2"/>
    <x v="7"/>
  </r>
  <r>
    <n v="3009"/>
    <x v="857"/>
    <n v="13"/>
    <n v="2"/>
    <x v="3"/>
    <x v="1"/>
    <x v="4"/>
    <x v="3"/>
    <x v="4"/>
    <n v="8"/>
    <n v="28671.62"/>
    <n v="229372.96"/>
    <s v="Vinod Kumar"/>
    <n v="35"/>
    <x v="1"/>
    <x v="0"/>
    <n v="2"/>
    <x v="2"/>
    <x v="7"/>
  </r>
  <r>
    <n v="3010"/>
    <x v="857"/>
    <n v="13"/>
    <n v="2"/>
    <x v="3"/>
    <x v="1"/>
    <x v="4"/>
    <x v="3"/>
    <x v="0"/>
    <n v="9"/>
    <n v="56199.54"/>
    <n v="505795.86"/>
    <s v="Meena Malhotra"/>
    <n v="57"/>
    <x v="9"/>
    <x v="1"/>
    <n v="1"/>
    <x v="2"/>
    <x v="10"/>
  </r>
  <r>
    <n v="3011"/>
    <x v="858"/>
    <n v="14"/>
    <n v="2"/>
    <x v="3"/>
    <x v="1"/>
    <x v="4"/>
    <x v="4"/>
    <x v="0"/>
    <n v="2"/>
    <n v="62005.84"/>
    <n v="124011.68"/>
    <s v="Lalita Nambiar"/>
    <n v="35"/>
    <x v="7"/>
    <x v="0"/>
    <n v="1"/>
    <x v="2"/>
    <x v="3"/>
  </r>
  <r>
    <n v="3012"/>
    <x v="858"/>
    <n v="14"/>
    <n v="2"/>
    <x v="3"/>
    <x v="1"/>
    <x v="4"/>
    <x v="4"/>
    <x v="4"/>
    <n v="9"/>
    <n v="41153.599999999999"/>
    <n v="370382.39999999997"/>
    <s v="Manoj Nambiar"/>
    <n v="40"/>
    <x v="4"/>
    <x v="2"/>
    <n v="3"/>
    <x v="1"/>
    <x v="11"/>
  </r>
  <r>
    <n v="3013"/>
    <x v="858"/>
    <n v="14"/>
    <n v="2"/>
    <x v="3"/>
    <x v="1"/>
    <x v="4"/>
    <x v="4"/>
    <x v="3"/>
    <n v="8"/>
    <n v="69593.56"/>
    <n v="556748.48"/>
    <s v="Lalita Alva"/>
    <n v="52"/>
    <x v="2"/>
    <x v="3"/>
    <n v="5"/>
    <x v="0"/>
    <x v="8"/>
  </r>
  <r>
    <n v="3014"/>
    <x v="858"/>
    <n v="14"/>
    <n v="2"/>
    <x v="3"/>
    <x v="1"/>
    <x v="4"/>
    <x v="4"/>
    <x v="1"/>
    <n v="7"/>
    <n v="10694.33"/>
    <n v="74860.31"/>
    <s v="Tanuja Reddy"/>
    <n v="23"/>
    <x v="16"/>
    <x v="1"/>
    <n v="5"/>
    <x v="0"/>
    <x v="9"/>
  </r>
  <r>
    <n v="3015"/>
    <x v="859"/>
    <n v="15"/>
    <n v="2"/>
    <x v="3"/>
    <x v="1"/>
    <x v="4"/>
    <x v="5"/>
    <x v="1"/>
    <n v="3"/>
    <n v="27975.56"/>
    <n v="83926.680000000008"/>
    <s v="Kiran Alva"/>
    <n v="43"/>
    <x v="2"/>
    <x v="0"/>
    <n v="2"/>
    <x v="2"/>
    <x v="1"/>
  </r>
  <r>
    <n v="3016"/>
    <x v="859"/>
    <n v="15"/>
    <n v="2"/>
    <x v="3"/>
    <x v="1"/>
    <x v="4"/>
    <x v="5"/>
    <x v="3"/>
    <n v="2"/>
    <n v="47389.71"/>
    <n v="94779.42"/>
    <s v="Rajesh Arora"/>
    <n v="38"/>
    <x v="15"/>
    <x v="2"/>
    <n v="2"/>
    <x v="2"/>
    <x v="8"/>
  </r>
  <r>
    <n v="3017"/>
    <x v="859"/>
    <n v="15"/>
    <n v="2"/>
    <x v="3"/>
    <x v="1"/>
    <x v="4"/>
    <x v="5"/>
    <x v="1"/>
    <n v="7"/>
    <n v="38157.39"/>
    <n v="267101.73"/>
    <s v="Kavita Solanki"/>
    <n v="41"/>
    <x v="3"/>
    <x v="0"/>
    <n v="2"/>
    <x v="2"/>
    <x v="9"/>
  </r>
  <r>
    <n v="3018"/>
    <x v="860"/>
    <n v="16"/>
    <n v="2"/>
    <x v="3"/>
    <x v="1"/>
    <x v="4"/>
    <x v="6"/>
    <x v="2"/>
    <n v="5"/>
    <n v="16996.18"/>
    <n v="84980.9"/>
    <s v="Anjali Nambiar"/>
    <n v="32"/>
    <x v="2"/>
    <x v="2"/>
    <n v="4"/>
    <x v="0"/>
    <x v="4"/>
  </r>
  <r>
    <n v="3019"/>
    <x v="860"/>
    <n v="16"/>
    <n v="2"/>
    <x v="3"/>
    <x v="1"/>
    <x v="4"/>
    <x v="6"/>
    <x v="4"/>
    <n v="6"/>
    <n v="32067.23"/>
    <n v="192403.38"/>
    <s v="Mala Ghosh"/>
    <n v="44"/>
    <x v="13"/>
    <x v="0"/>
    <n v="5"/>
    <x v="0"/>
    <x v="14"/>
  </r>
  <r>
    <n v="3020"/>
    <x v="860"/>
    <n v="16"/>
    <n v="2"/>
    <x v="3"/>
    <x v="1"/>
    <x v="4"/>
    <x v="6"/>
    <x v="4"/>
    <n v="4"/>
    <n v="11526.83"/>
    <n v="46107.32"/>
    <s v="Monika Chatterjee"/>
    <n v="49"/>
    <x v="9"/>
    <x v="3"/>
    <n v="1"/>
    <x v="2"/>
    <x v="14"/>
  </r>
  <r>
    <n v="3021"/>
    <x v="860"/>
    <n v="16"/>
    <n v="2"/>
    <x v="3"/>
    <x v="1"/>
    <x v="4"/>
    <x v="6"/>
    <x v="3"/>
    <n v="2"/>
    <n v="48564.76"/>
    <n v="97129.52"/>
    <s v="Ravi Ghosh"/>
    <n v="29"/>
    <x v="2"/>
    <x v="1"/>
    <n v="2"/>
    <x v="2"/>
    <x v="12"/>
  </r>
  <r>
    <n v="3022"/>
    <x v="861"/>
    <n v="17"/>
    <n v="2"/>
    <x v="3"/>
    <x v="1"/>
    <x v="4"/>
    <x v="0"/>
    <x v="1"/>
    <n v="9"/>
    <n v="63564.55"/>
    <n v="572080.95000000007"/>
    <s v="Vijay Chatterjee"/>
    <n v="22"/>
    <x v="4"/>
    <x v="3"/>
    <n v="3"/>
    <x v="1"/>
    <x v="1"/>
  </r>
  <r>
    <n v="3023"/>
    <x v="861"/>
    <n v="17"/>
    <n v="2"/>
    <x v="3"/>
    <x v="1"/>
    <x v="4"/>
    <x v="0"/>
    <x v="0"/>
    <n v="3"/>
    <n v="63092.45"/>
    <n v="189277.34999999998"/>
    <s v="Reena Sharma"/>
    <n v="24"/>
    <x v="1"/>
    <x v="3"/>
    <n v="1"/>
    <x v="2"/>
    <x v="3"/>
  </r>
  <r>
    <n v="3024"/>
    <x v="861"/>
    <n v="17"/>
    <n v="2"/>
    <x v="3"/>
    <x v="1"/>
    <x v="4"/>
    <x v="0"/>
    <x v="0"/>
    <n v="7"/>
    <n v="51972.67"/>
    <n v="363808.69"/>
    <s v="Navin Chaudhary"/>
    <n v="39"/>
    <x v="12"/>
    <x v="0"/>
    <n v="1"/>
    <x v="2"/>
    <x v="10"/>
  </r>
  <r>
    <n v="3025"/>
    <x v="862"/>
    <n v="18"/>
    <n v="2"/>
    <x v="3"/>
    <x v="1"/>
    <x v="4"/>
    <x v="1"/>
    <x v="1"/>
    <n v="8"/>
    <n v="37946.21"/>
    <n v="303569.68"/>
    <s v="Vivek Ghosh"/>
    <n v="44"/>
    <x v="2"/>
    <x v="3"/>
    <n v="1"/>
    <x v="2"/>
    <x v="1"/>
  </r>
  <r>
    <n v="3026"/>
    <x v="862"/>
    <n v="18"/>
    <n v="2"/>
    <x v="3"/>
    <x v="1"/>
    <x v="4"/>
    <x v="1"/>
    <x v="0"/>
    <n v="2"/>
    <n v="40721.9"/>
    <n v="81443.8"/>
    <s v="Gita Sheth"/>
    <n v="32"/>
    <x v="4"/>
    <x v="1"/>
    <n v="5"/>
    <x v="0"/>
    <x v="0"/>
  </r>
  <r>
    <n v="3027"/>
    <x v="862"/>
    <n v="18"/>
    <n v="2"/>
    <x v="3"/>
    <x v="1"/>
    <x v="4"/>
    <x v="1"/>
    <x v="3"/>
    <n v="6"/>
    <n v="18215.13"/>
    <n v="109290.78"/>
    <s v="Nikhil Reddy"/>
    <n v="56"/>
    <x v="2"/>
    <x v="2"/>
    <n v="2"/>
    <x v="2"/>
    <x v="5"/>
  </r>
  <r>
    <n v="3028"/>
    <x v="862"/>
    <n v="18"/>
    <n v="2"/>
    <x v="3"/>
    <x v="1"/>
    <x v="4"/>
    <x v="1"/>
    <x v="3"/>
    <n v="8"/>
    <n v="30461.03"/>
    <n v="243688.24"/>
    <s v="Ramesh Kumar"/>
    <n v="52"/>
    <x v="11"/>
    <x v="2"/>
    <n v="3"/>
    <x v="1"/>
    <x v="8"/>
  </r>
  <r>
    <n v="3029"/>
    <x v="863"/>
    <n v="19"/>
    <n v="2"/>
    <x v="3"/>
    <x v="1"/>
    <x v="4"/>
    <x v="2"/>
    <x v="1"/>
    <n v="7"/>
    <n v="21263.68"/>
    <n v="148845.76000000001"/>
    <s v="Harish Prasad"/>
    <n v="43"/>
    <x v="1"/>
    <x v="0"/>
    <n v="4"/>
    <x v="0"/>
    <x v="1"/>
  </r>
  <r>
    <n v="3030"/>
    <x v="863"/>
    <n v="19"/>
    <n v="2"/>
    <x v="3"/>
    <x v="1"/>
    <x v="4"/>
    <x v="2"/>
    <x v="0"/>
    <n v="3"/>
    <n v="59272.01"/>
    <n v="177816.03"/>
    <s v="Vivek Nambiar"/>
    <n v="40"/>
    <x v="1"/>
    <x v="1"/>
    <n v="3"/>
    <x v="1"/>
    <x v="10"/>
  </r>
  <r>
    <n v="3031"/>
    <x v="863"/>
    <n v="19"/>
    <n v="2"/>
    <x v="3"/>
    <x v="1"/>
    <x v="4"/>
    <x v="2"/>
    <x v="3"/>
    <n v="1"/>
    <n v="64885.23"/>
    <n v="64885.23"/>
    <s v="Ravi Malhotra"/>
    <n v="30"/>
    <x v="10"/>
    <x v="1"/>
    <n v="3"/>
    <x v="1"/>
    <x v="5"/>
  </r>
  <r>
    <n v="3032"/>
    <x v="863"/>
    <n v="19"/>
    <n v="2"/>
    <x v="3"/>
    <x v="1"/>
    <x v="4"/>
    <x v="2"/>
    <x v="3"/>
    <n v="6"/>
    <n v="42215.4"/>
    <n v="253292.40000000002"/>
    <s v="Vijay Chatterjee"/>
    <n v="43"/>
    <x v="1"/>
    <x v="2"/>
    <n v="3"/>
    <x v="1"/>
    <x v="5"/>
  </r>
  <r>
    <n v="3033"/>
    <x v="864"/>
    <n v="20"/>
    <n v="2"/>
    <x v="3"/>
    <x v="1"/>
    <x v="4"/>
    <x v="3"/>
    <x v="2"/>
    <n v="8"/>
    <n v="53665.84"/>
    <n v="429326.72"/>
    <s v="Navin Sharma"/>
    <n v="20"/>
    <x v="6"/>
    <x v="2"/>
    <n v="4"/>
    <x v="0"/>
    <x v="4"/>
  </r>
  <r>
    <n v="3034"/>
    <x v="864"/>
    <n v="20"/>
    <n v="2"/>
    <x v="3"/>
    <x v="1"/>
    <x v="4"/>
    <x v="3"/>
    <x v="2"/>
    <n v="6"/>
    <n v="17287.89"/>
    <n v="103727.34"/>
    <s v="Ravi Ghosh"/>
    <n v="46"/>
    <x v="17"/>
    <x v="3"/>
    <n v="3"/>
    <x v="1"/>
    <x v="4"/>
  </r>
  <r>
    <n v="3035"/>
    <x v="864"/>
    <n v="20"/>
    <n v="2"/>
    <x v="3"/>
    <x v="1"/>
    <x v="4"/>
    <x v="3"/>
    <x v="3"/>
    <n v="5"/>
    <n v="46512.08"/>
    <n v="232560.40000000002"/>
    <s v="Aditya Kulkarni"/>
    <n v="19"/>
    <x v="12"/>
    <x v="0"/>
    <n v="3"/>
    <x v="1"/>
    <x v="5"/>
  </r>
  <r>
    <n v="3036"/>
    <x v="864"/>
    <n v="20"/>
    <n v="2"/>
    <x v="3"/>
    <x v="1"/>
    <x v="4"/>
    <x v="3"/>
    <x v="1"/>
    <n v="8"/>
    <n v="52167.46"/>
    <n v="417339.68"/>
    <s v="Arun Desai"/>
    <n v="45"/>
    <x v="12"/>
    <x v="2"/>
    <n v="2"/>
    <x v="2"/>
    <x v="1"/>
  </r>
  <r>
    <n v="3037"/>
    <x v="865"/>
    <n v="21"/>
    <n v="2"/>
    <x v="3"/>
    <x v="1"/>
    <x v="4"/>
    <x v="4"/>
    <x v="4"/>
    <n v="2"/>
    <n v="37166.089999999997"/>
    <n v="74332.179999999993"/>
    <s v="Isha Desai"/>
    <n v="40"/>
    <x v="14"/>
    <x v="2"/>
    <n v="2"/>
    <x v="2"/>
    <x v="11"/>
  </r>
  <r>
    <n v="3038"/>
    <x v="865"/>
    <n v="21"/>
    <n v="2"/>
    <x v="3"/>
    <x v="1"/>
    <x v="4"/>
    <x v="4"/>
    <x v="4"/>
    <n v="1"/>
    <n v="24596.39"/>
    <n v="24596.39"/>
    <s v="Navin Malhotra"/>
    <n v="53"/>
    <x v="1"/>
    <x v="1"/>
    <n v="2"/>
    <x v="2"/>
    <x v="11"/>
  </r>
  <r>
    <n v="3039"/>
    <x v="865"/>
    <n v="21"/>
    <n v="2"/>
    <x v="3"/>
    <x v="1"/>
    <x v="4"/>
    <x v="4"/>
    <x v="3"/>
    <n v="1"/>
    <n v="62642.47"/>
    <n v="62642.47"/>
    <s v="Kunal Singh"/>
    <n v="23"/>
    <x v="14"/>
    <x v="1"/>
    <n v="1"/>
    <x v="2"/>
    <x v="12"/>
  </r>
  <r>
    <n v="3040"/>
    <x v="866"/>
    <n v="22"/>
    <n v="2"/>
    <x v="3"/>
    <x v="1"/>
    <x v="4"/>
    <x v="5"/>
    <x v="3"/>
    <n v="4"/>
    <n v="54574.52"/>
    <n v="218298.08"/>
    <s v="Aditya Jain"/>
    <n v="28"/>
    <x v="11"/>
    <x v="1"/>
    <n v="3"/>
    <x v="1"/>
    <x v="5"/>
  </r>
  <r>
    <n v="3041"/>
    <x v="866"/>
    <n v="22"/>
    <n v="2"/>
    <x v="3"/>
    <x v="1"/>
    <x v="4"/>
    <x v="5"/>
    <x v="3"/>
    <n v="6"/>
    <n v="63991.44"/>
    <n v="383948.64"/>
    <s v="Shruti Pathak"/>
    <n v="55"/>
    <x v="1"/>
    <x v="2"/>
    <n v="5"/>
    <x v="0"/>
    <x v="5"/>
  </r>
  <r>
    <n v="3042"/>
    <x v="866"/>
    <n v="22"/>
    <n v="2"/>
    <x v="3"/>
    <x v="1"/>
    <x v="4"/>
    <x v="5"/>
    <x v="1"/>
    <n v="9"/>
    <n v="59104.160000000003"/>
    <n v="531937.44000000006"/>
    <s v="Sunita Iyer"/>
    <n v="51"/>
    <x v="8"/>
    <x v="0"/>
    <n v="5"/>
    <x v="0"/>
    <x v="2"/>
  </r>
  <r>
    <n v="3043"/>
    <x v="867"/>
    <n v="23"/>
    <n v="2"/>
    <x v="3"/>
    <x v="1"/>
    <x v="4"/>
    <x v="6"/>
    <x v="2"/>
    <n v="1"/>
    <n v="69422.47"/>
    <n v="69422.47"/>
    <s v="Nikhil Ahuja"/>
    <n v="34"/>
    <x v="1"/>
    <x v="3"/>
    <n v="5"/>
    <x v="0"/>
    <x v="13"/>
  </r>
  <r>
    <n v="3044"/>
    <x v="867"/>
    <n v="23"/>
    <n v="2"/>
    <x v="3"/>
    <x v="1"/>
    <x v="4"/>
    <x v="6"/>
    <x v="3"/>
    <n v="1"/>
    <n v="21530.36"/>
    <n v="21530.36"/>
    <s v="Pankaj Verma"/>
    <n v="20"/>
    <x v="1"/>
    <x v="0"/>
    <n v="4"/>
    <x v="0"/>
    <x v="5"/>
  </r>
  <r>
    <n v="3045"/>
    <x v="867"/>
    <n v="23"/>
    <n v="2"/>
    <x v="3"/>
    <x v="1"/>
    <x v="4"/>
    <x v="6"/>
    <x v="3"/>
    <n v="5"/>
    <n v="15204.87"/>
    <n v="76024.350000000006"/>
    <s v="Sneha Thakur"/>
    <n v="51"/>
    <x v="15"/>
    <x v="2"/>
    <n v="2"/>
    <x v="2"/>
    <x v="5"/>
  </r>
  <r>
    <n v="3046"/>
    <x v="867"/>
    <n v="23"/>
    <n v="2"/>
    <x v="3"/>
    <x v="1"/>
    <x v="4"/>
    <x v="6"/>
    <x v="0"/>
    <n v="5"/>
    <n v="30220.17"/>
    <n v="151100.84999999998"/>
    <s v="Krishna Ahuja"/>
    <n v="39"/>
    <x v="2"/>
    <x v="3"/>
    <n v="2"/>
    <x v="2"/>
    <x v="10"/>
  </r>
  <r>
    <n v="3047"/>
    <x v="868"/>
    <n v="24"/>
    <n v="2"/>
    <x v="3"/>
    <x v="1"/>
    <x v="4"/>
    <x v="0"/>
    <x v="1"/>
    <n v="5"/>
    <n v="17740.25"/>
    <n v="88701.25"/>
    <s v="Rajesh Kulkarni"/>
    <n v="46"/>
    <x v="18"/>
    <x v="0"/>
    <n v="2"/>
    <x v="2"/>
    <x v="2"/>
  </r>
  <r>
    <n v="3048"/>
    <x v="868"/>
    <n v="24"/>
    <n v="2"/>
    <x v="3"/>
    <x v="1"/>
    <x v="4"/>
    <x v="0"/>
    <x v="3"/>
    <n v="6"/>
    <n v="41387.81"/>
    <n v="248326.86"/>
    <s v="Shruti Shah"/>
    <n v="46"/>
    <x v="4"/>
    <x v="2"/>
    <n v="4"/>
    <x v="0"/>
    <x v="8"/>
  </r>
  <r>
    <n v="3049"/>
    <x v="868"/>
    <n v="24"/>
    <n v="2"/>
    <x v="3"/>
    <x v="1"/>
    <x v="4"/>
    <x v="0"/>
    <x v="0"/>
    <n v="8"/>
    <n v="47981.73"/>
    <n v="383853.84"/>
    <s v="Sachin Sheth"/>
    <n v="22"/>
    <x v="1"/>
    <x v="0"/>
    <n v="3"/>
    <x v="1"/>
    <x v="3"/>
  </r>
  <r>
    <n v="3050"/>
    <x v="869"/>
    <n v="25"/>
    <n v="2"/>
    <x v="3"/>
    <x v="1"/>
    <x v="4"/>
    <x v="1"/>
    <x v="4"/>
    <n v="3"/>
    <n v="44697.32"/>
    <n v="134091.96"/>
    <s v="Anita Dutta"/>
    <n v="27"/>
    <x v="12"/>
    <x v="2"/>
    <n v="1"/>
    <x v="2"/>
    <x v="11"/>
  </r>
  <r>
    <n v="3051"/>
    <x v="869"/>
    <n v="25"/>
    <n v="2"/>
    <x v="3"/>
    <x v="1"/>
    <x v="4"/>
    <x v="1"/>
    <x v="3"/>
    <n v="9"/>
    <n v="25554.41"/>
    <n v="229989.69"/>
    <s v="Pooja Deshmukh"/>
    <n v="27"/>
    <x v="2"/>
    <x v="1"/>
    <n v="2"/>
    <x v="2"/>
    <x v="12"/>
  </r>
  <r>
    <n v="3052"/>
    <x v="869"/>
    <n v="25"/>
    <n v="2"/>
    <x v="3"/>
    <x v="1"/>
    <x v="4"/>
    <x v="1"/>
    <x v="3"/>
    <n v="1"/>
    <n v="64529.440000000002"/>
    <n v="64529.440000000002"/>
    <s v="Pankaj Mathur"/>
    <n v="26"/>
    <x v="10"/>
    <x v="0"/>
    <n v="3"/>
    <x v="1"/>
    <x v="12"/>
  </r>
  <r>
    <n v="3053"/>
    <x v="869"/>
    <n v="25"/>
    <n v="2"/>
    <x v="3"/>
    <x v="1"/>
    <x v="4"/>
    <x v="1"/>
    <x v="0"/>
    <n v="4"/>
    <n v="11270.34"/>
    <n v="45081.36"/>
    <s v="Meena Patel"/>
    <n v="38"/>
    <x v="11"/>
    <x v="1"/>
    <n v="5"/>
    <x v="0"/>
    <x v="10"/>
  </r>
  <r>
    <n v="3054"/>
    <x v="870"/>
    <n v="26"/>
    <n v="2"/>
    <x v="3"/>
    <x v="1"/>
    <x v="4"/>
    <x v="2"/>
    <x v="1"/>
    <n v="9"/>
    <n v="30880.799999999999"/>
    <n v="277927.2"/>
    <s v="Devendra Varma"/>
    <n v="30"/>
    <x v="8"/>
    <x v="1"/>
    <n v="1"/>
    <x v="2"/>
    <x v="2"/>
  </r>
  <r>
    <n v="3055"/>
    <x v="870"/>
    <n v="26"/>
    <n v="2"/>
    <x v="3"/>
    <x v="1"/>
    <x v="4"/>
    <x v="2"/>
    <x v="3"/>
    <n v="8"/>
    <n v="53139.55"/>
    <n v="425116.4"/>
    <s v="Arun Mathur"/>
    <n v="27"/>
    <x v="9"/>
    <x v="3"/>
    <n v="5"/>
    <x v="0"/>
    <x v="5"/>
  </r>
  <r>
    <n v="3056"/>
    <x v="870"/>
    <n v="26"/>
    <n v="2"/>
    <x v="3"/>
    <x v="1"/>
    <x v="4"/>
    <x v="2"/>
    <x v="4"/>
    <n v="9"/>
    <n v="56015.74"/>
    <n v="504141.66"/>
    <s v="Manoj Kaur"/>
    <n v="55"/>
    <x v="10"/>
    <x v="3"/>
    <n v="3"/>
    <x v="1"/>
    <x v="11"/>
  </r>
  <r>
    <n v="3057"/>
    <x v="871"/>
    <n v="27"/>
    <n v="2"/>
    <x v="3"/>
    <x v="1"/>
    <x v="4"/>
    <x v="3"/>
    <x v="3"/>
    <n v="1"/>
    <n v="34967.11"/>
    <n v="34967.11"/>
    <s v="Vinod Malhotra"/>
    <n v="28"/>
    <x v="16"/>
    <x v="0"/>
    <n v="3"/>
    <x v="1"/>
    <x v="8"/>
  </r>
  <r>
    <n v="3058"/>
    <x v="871"/>
    <n v="27"/>
    <n v="2"/>
    <x v="3"/>
    <x v="1"/>
    <x v="4"/>
    <x v="3"/>
    <x v="4"/>
    <n v="9"/>
    <n v="11014.59"/>
    <n v="99131.31"/>
    <s v="Neeta Patel"/>
    <n v="21"/>
    <x v="12"/>
    <x v="2"/>
    <n v="5"/>
    <x v="0"/>
    <x v="7"/>
  </r>
  <r>
    <n v="3059"/>
    <x v="871"/>
    <n v="27"/>
    <n v="2"/>
    <x v="3"/>
    <x v="1"/>
    <x v="4"/>
    <x v="3"/>
    <x v="2"/>
    <n v="3"/>
    <n v="47082.62"/>
    <n v="141247.86000000002"/>
    <s v="Anita Dutta"/>
    <n v="48"/>
    <x v="6"/>
    <x v="3"/>
    <n v="1"/>
    <x v="2"/>
    <x v="4"/>
  </r>
  <r>
    <n v="3060"/>
    <x v="871"/>
    <n v="27"/>
    <n v="2"/>
    <x v="3"/>
    <x v="1"/>
    <x v="4"/>
    <x v="3"/>
    <x v="2"/>
    <n v="9"/>
    <n v="13785.68"/>
    <n v="124071.12"/>
    <s v="Krishna Reddy"/>
    <n v="51"/>
    <x v="2"/>
    <x v="3"/>
    <n v="5"/>
    <x v="0"/>
    <x v="4"/>
  </r>
  <r>
    <n v="3061"/>
    <x v="872"/>
    <n v="28"/>
    <n v="2"/>
    <x v="3"/>
    <x v="1"/>
    <x v="4"/>
    <x v="4"/>
    <x v="4"/>
    <n v="1"/>
    <n v="16471.349999999999"/>
    <n v="16471.349999999999"/>
    <s v="Pankaj Jain"/>
    <n v="59"/>
    <x v="2"/>
    <x v="1"/>
    <n v="5"/>
    <x v="0"/>
    <x v="7"/>
  </r>
  <r>
    <n v="3062"/>
    <x v="872"/>
    <n v="28"/>
    <n v="2"/>
    <x v="3"/>
    <x v="1"/>
    <x v="4"/>
    <x v="4"/>
    <x v="1"/>
    <n v="1"/>
    <n v="49015.040000000001"/>
    <n v="49015.040000000001"/>
    <s v="Bhavana Kapoor"/>
    <n v="52"/>
    <x v="13"/>
    <x v="1"/>
    <n v="5"/>
    <x v="0"/>
    <x v="2"/>
  </r>
  <r>
    <n v="3063"/>
    <x v="872"/>
    <n v="28"/>
    <n v="2"/>
    <x v="3"/>
    <x v="1"/>
    <x v="4"/>
    <x v="4"/>
    <x v="3"/>
    <n v="9"/>
    <n v="28749.3"/>
    <n v="258743.69999999998"/>
    <s v="Pankaj Patel"/>
    <n v="56"/>
    <x v="1"/>
    <x v="2"/>
    <n v="1"/>
    <x v="2"/>
    <x v="12"/>
  </r>
  <r>
    <n v="3064"/>
    <x v="872"/>
    <n v="28"/>
    <n v="2"/>
    <x v="3"/>
    <x v="1"/>
    <x v="4"/>
    <x v="4"/>
    <x v="3"/>
    <n v="6"/>
    <n v="30881.81"/>
    <n v="185290.86000000002"/>
    <s v="Tanuja Srivastava"/>
    <n v="56"/>
    <x v="1"/>
    <x v="3"/>
    <n v="4"/>
    <x v="0"/>
    <x v="5"/>
  </r>
  <r>
    <n v="3065"/>
    <x v="873"/>
    <n v="29"/>
    <n v="2"/>
    <x v="3"/>
    <x v="1"/>
    <x v="4"/>
    <x v="5"/>
    <x v="2"/>
    <n v="4"/>
    <n v="39208.42"/>
    <n v="156833.68"/>
    <s v="Prashant Luthra"/>
    <n v="50"/>
    <x v="1"/>
    <x v="3"/>
    <n v="1"/>
    <x v="2"/>
    <x v="13"/>
  </r>
  <r>
    <n v="3066"/>
    <x v="873"/>
    <n v="29"/>
    <n v="2"/>
    <x v="3"/>
    <x v="1"/>
    <x v="4"/>
    <x v="5"/>
    <x v="4"/>
    <n v="7"/>
    <n v="68714.7"/>
    <n v="481002.89999999997"/>
    <s v="Jyoti Alva"/>
    <n v="25"/>
    <x v="6"/>
    <x v="2"/>
    <n v="5"/>
    <x v="0"/>
    <x v="11"/>
  </r>
  <r>
    <n v="3067"/>
    <x v="873"/>
    <n v="29"/>
    <n v="2"/>
    <x v="3"/>
    <x v="1"/>
    <x v="4"/>
    <x v="5"/>
    <x v="3"/>
    <n v="5"/>
    <n v="67926.53"/>
    <n v="339632.65"/>
    <s v="Harish Kapoor"/>
    <n v="49"/>
    <x v="12"/>
    <x v="3"/>
    <n v="2"/>
    <x v="2"/>
    <x v="5"/>
  </r>
  <r>
    <n v="3068"/>
    <x v="874"/>
    <n v="1"/>
    <n v="3"/>
    <x v="3"/>
    <x v="1"/>
    <x v="5"/>
    <x v="6"/>
    <x v="3"/>
    <n v="7"/>
    <n v="34975.660000000003"/>
    <n v="244829.62000000002"/>
    <s v="Sumit Dutta"/>
    <n v="50"/>
    <x v="1"/>
    <x v="0"/>
    <n v="2"/>
    <x v="2"/>
    <x v="12"/>
  </r>
  <r>
    <n v="3069"/>
    <x v="874"/>
    <n v="1"/>
    <n v="3"/>
    <x v="3"/>
    <x v="1"/>
    <x v="5"/>
    <x v="6"/>
    <x v="1"/>
    <n v="8"/>
    <n v="25929.95"/>
    <n v="207439.6"/>
    <s v="Sachin Rawat"/>
    <n v="25"/>
    <x v="5"/>
    <x v="0"/>
    <n v="3"/>
    <x v="1"/>
    <x v="9"/>
  </r>
  <r>
    <n v="3070"/>
    <x v="874"/>
    <n v="1"/>
    <n v="3"/>
    <x v="3"/>
    <x v="1"/>
    <x v="5"/>
    <x v="6"/>
    <x v="0"/>
    <n v="8"/>
    <n v="28155.53"/>
    <n v="225244.24"/>
    <s v="Reena Goyal"/>
    <n v="31"/>
    <x v="1"/>
    <x v="2"/>
    <n v="4"/>
    <x v="0"/>
    <x v="3"/>
  </r>
  <r>
    <n v="3071"/>
    <x v="874"/>
    <n v="1"/>
    <n v="3"/>
    <x v="3"/>
    <x v="1"/>
    <x v="5"/>
    <x v="6"/>
    <x v="2"/>
    <n v="1"/>
    <n v="26126.880000000001"/>
    <n v="26126.880000000001"/>
    <s v="Kiran Ghosh"/>
    <n v="51"/>
    <x v="1"/>
    <x v="1"/>
    <n v="3"/>
    <x v="1"/>
    <x v="6"/>
  </r>
  <r>
    <n v="3072"/>
    <x v="875"/>
    <n v="2"/>
    <n v="3"/>
    <x v="3"/>
    <x v="1"/>
    <x v="5"/>
    <x v="0"/>
    <x v="2"/>
    <n v="8"/>
    <n v="41934.75"/>
    <n v="335478"/>
    <s v="Gita Mehta"/>
    <n v="25"/>
    <x v="2"/>
    <x v="2"/>
    <n v="3"/>
    <x v="1"/>
    <x v="4"/>
  </r>
  <r>
    <n v="3073"/>
    <x v="875"/>
    <n v="2"/>
    <n v="3"/>
    <x v="3"/>
    <x v="1"/>
    <x v="5"/>
    <x v="0"/>
    <x v="0"/>
    <n v="6"/>
    <n v="46411.59"/>
    <n v="278469.53999999998"/>
    <s v="Rajesh Pathak"/>
    <n v="59"/>
    <x v="18"/>
    <x v="0"/>
    <n v="2"/>
    <x v="2"/>
    <x v="0"/>
  </r>
  <r>
    <n v="3074"/>
    <x v="875"/>
    <n v="2"/>
    <n v="3"/>
    <x v="3"/>
    <x v="1"/>
    <x v="5"/>
    <x v="0"/>
    <x v="3"/>
    <n v="4"/>
    <n v="39326.76"/>
    <n v="157307.04"/>
    <s v="Priyanka Sharma"/>
    <n v="24"/>
    <x v="10"/>
    <x v="3"/>
    <n v="1"/>
    <x v="2"/>
    <x v="5"/>
  </r>
  <r>
    <n v="3075"/>
    <x v="876"/>
    <n v="3"/>
    <n v="3"/>
    <x v="3"/>
    <x v="1"/>
    <x v="5"/>
    <x v="1"/>
    <x v="1"/>
    <n v="8"/>
    <n v="34479.660000000003"/>
    <n v="275837.28000000003"/>
    <s v="Sumit Siddiqui"/>
    <n v="30"/>
    <x v="15"/>
    <x v="3"/>
    <n v="3"/>
    <x v="1"/>
    <x v="2"/>
  </r>
  <r>
    <n v="3076"/>
    <x v="876"/>
    <n v="3"/>
    <n v="3"/>
    <x v="3"/>
    <x v="1"/>
    <x v="5"/>
    <x v="1"/>
    <x v="1"/>
    <n v="3"/>
    <n v="22677.1"/>
    <n v="68031.299999999988"/>
    <s v="Priyanka Pathak"/>
    <n v="38"/>
    <x v="18"/>
    <x v="1"/>
    <n v="3"/>
    <x v="1"/>
    <x v="2"/>
  </r>
  <r>
    <n v="3077"/>
    <x v="876"/>
    <n v="3"/>
    <n v="3"/>
    <x v="3"/>
    <x v="1"/>
    <x v="5"/>
    <x v="1"/>
    <x v="2"/>
    <n v="4"/>
    <n v="38950.339999999997"/>
    <n v="155801.35999999999"/>
    <s v="Bhavana Kapoor"/>
    <n v="49"/>
    <x v="1"/>
    <x v="1"/>
    <n v="4"/>
    <x v="0"/>
    <x v="13"/>
  </r>
  <r>
    <n v="3078"/>
    <x v="876"/>
    <n v="3"/>
    <n v="3"/>
    <x v="3"/>
    <x v="1"/>
    <x v="5"/>
    <x v="1"/>
    <x v="1"/>
    <n v="6"/>
    <n v="30466.16"/>
    <n v="182796.96"/>
    <s v="Harish Kapoor"/>
    <n v="28"/>
    <x v="11"/>
    <x v="0"/>
    <n v="2"/>
    <x v="2"/>
    <x v="9"/>
  </r>
  <r>
    <n v="3079"/>
    <x v="877"/>
    <n v="4"/>
    <n v="3"/>
    <x v="3"/>
    <x v="1"/>
    <x v="5"/>
    <x v="2"/>
    <x v="0"/>
    <n v="7"/>
    <n v="42495.73"/>
    <n v="297470.11000000004"/>
    <s v="Ayesha Rathod"/>
    <n v="31"/>
    <x v="2"/>
    <x v="1"/>
    <n v="1"/>
    <x v="2"/>
    <x v="3"/>
  </r>
  <r>
    <n v="3080"/>
    <x v="877"/>
    <n v="4"/>
    <n v="3"/>
    <x v="3"/>
    <x v="1"/>
    <x v="5"/>
    <x v="2"/>
    <x v="3"/>
    <n v="4"/>
    <n v="50511.360000000001"/>
    <n v="202045.44"/>
    <s v="Sunil Menon"/>
    <n v="28"/>
    <x v="9"/>
    <x v="2"/>
    <n v="4"/>
    <x v="0"/>
    <x v="5"/>
  </r>
  <r>
    <n v="3081"/>
    <x v="877"/>
    <n v="4"/>
    <n v="3"/>
    <x v="3"/>
    <x v="1"/>
    <x v="5"/>
    <x v="2"/>
    <x v="0"/>
    <n v="4"/>
    <n v="47998.73"/>
    <n v="191994.92"/>
    <s v="Aditya Patel"/>
    <n v="19"/>
    <x v="13"/>
    <x v="0"/>
    <n v="1"/>
    <x v="2"/>
    <x v="3"/>
  </r>
  <r>
    <n v="3082"/>
    <x v="877"/>
    <n v="4"/>
    <n v="3"/>
    <x v="3"/>
    <x v="1"/>
    <x v="5"/>
    <x v="2"/>
    <x v="4"/>
    <n v="7"/>
    <n v="37749.410000000003"/>
    <n v="264245.87"/>
    <s v="Aditya Jain"/>
    <n v="51"/>
    <x v="3"/>
    <x v="3"/>
    <n v="1"/>
    <x v="2"/>
    <x v="7"/>
  </r>
  <r>
    <n v="3083"/>
    <x v="878"/>
    <n v="5"/>
    <n v="3"/>
    <x v="3"/>
    <x v="1"/>
    <x v="5"/>
    <x v="3"/>
    <x v="2"/>
    <n v="6"/>
    <n v="43363.15"/>
    <n v="260178.90000000002"/>
    <s v="Prashant Arora"/>
    <n v="34"/>
    <x v="3"/>
    <x v="3"/>
    <n v="3"/>
    <x v="1"/>
    <x v="4"/>
  </r>
  <r>
    <n v="3084"/>
    <x v="878"/>
    <n v="5"/>
    <n v="3"/>
    <x v="3"/>
    <x v="1"/>
    <x v="5"/>
    <x v="3"/>
    <x v="1"/>
    <n v="8"/>
    <n v="27091.37"/>
    <n v="216730.96"/>
    <s v="Mala Das"/>
    <n v="31"/>
    <x v="13"/>
    <x v="3"/>
    <n v="4"/>
    <x v="0"/>
    <x v="1"/>
  </r>
  <r>
    <n v="3085"/>
    <x v="878"/>
    <n v="5"/>
    <n v="3"/>
    <x v="3"/>
    <x v="1"/>
    <x v="5"/>
    <x v="3"/>
    <x v="4"/>
    <n v="1"/>
    <n v="11454.42"/>
    <n v="11454.42"/>
    <s v="Neeta Patel"/>
    <n v="42"/>
    <x v="9"/>
    <x v="1"/>
    <n v="3"/>
    <x v="1"/>
    <x v="11"/>
  </r>
  <r>
    <n v="3086"/>
    <x v="879"/>
    <n v="6"/>
    <n v="3"/>
    <x v="3"/>
    <x v="1"/>
    <x v="5"/>
    <x v="4"/>
    <x v="1"/>
    <n v="7"/>
    <n v="47501.17"/>
    <n v="332508.19"/>
    <s v="Vijay Sheth"/>
    <n v="44"/>
    <x v="2"/>
    <x v="0"/>
    <n v="5"/>
    <x v="0"/>
    <x v="1"/>
  </r>
  <r>
    <n v="3087"/>
    <x v="879"/>
    <n v="6"/>
    <n v="3"/>
    <x v="3"/>
    <x v="1"/>
    <x v="5"/>
    <x v="4"/>
    <x v="3"/>
    <n v="7"/>
    <n v="25154.11"/>
    <n v="176078.77000000002"/>
    <s v="Isha Ghosh"/>
    <n v="25"/>
    <x v="1"/>
    <x v="1"/>
    <n v="1"/>
    <x v="2"/>
    <x v="12"/>
  </r>
  <r>
    <n v="3088"/>
    <x v="879"/>
    <n v="6"/>
    <n v="3"/>
    <x v="3"/>
    <x v="1"/>
    <x v="5"/>
    <x v="4"/>
    <x v="3"/>
    <n v="7"/>
    <n v="50137.22"/>
    <n v="350960.54000000004"/>
    <s v="Ayesha Thakur"/>
    <n v="34"/>
    <x v="9"/>
    <x v="2"/>
    <n v="4"/>
    <x v="0"/>
    <x v="8"/>
  </r>
  <r>
    <n v="3089"/>
    <x v="880"/>
    <n v="7"/>
    <n v="3"/>
    <x v="3"/>
    <x v="1"/>
    <x v="5"/>
    <x v="5"/>
    <x v="3"/>
    <n v="7"/>
    <n v="54820.51"/>
    <n v="383743.57"/>
    <s v="Prashant Gupta"/>
    <n v="22"/>
    <x v="1"/>
    <x v="0"/>
    <n v="2"/>
    <x v="2"/>
    <x v="8"/>
  </r>
  <r>
    <n v="3090"/>
    <x v="880"/>
    <n v="7"/>
    <n v="3"/>
    <x v="3"/>
    <x v="1"/>
    <x v="5"/>
    <x v="5"/>
    <x v="1"/>
    <n v="8"/>
    <n v="64955.66"/>
    <n v="519645.28"/>
    <s v="Pooja Chatterjee"/>
    <n v="29"/>
    <x v="12"/>
    <x v="1"/>
    <n v="3"/>
    <x v="1"/>
    <x v="9"/>
  </r>
  <r>
    <n v="3091"/>
    <x v="880"/>
    <n v="7"/>
    <n v="3"/>
    <x v="3"/>
    <x v="1"/>
    <x v="5"/>
    <x v="5"/>
    <x v="4"/>
    <n v="9"/>
    <n v="67487.37"/>
    <n v="607386.32999999996"/>
    <s v="Meena Prasad"/>
    <n v="55"/>
    <x v="13"/>
    <x v="3"/>
    <n v="5"/>
    <x v="0"/>
    <x v="7"/>
  </r>
  <r>
    <n v="3092"/>
    <x v="881"/>
    <n v="8"/>
    <n v="3"/>
    <x v="3"/>
    <x v="1"/>
    <x v="5"/>
    <x v="6"/>
    <x v="3"/>
    <n v="9"/>
    <n v="10631.56"/>
    <n v="95684.04"/>
    <s v="Bhavana Siddiqui"/>
    <n v="35"/>
    <x v="13"/>
    <x v="3"/>
    <n v="5"/>
    <x v="0"/>
    <x v="5"/>
  </r>
  <r>
    <n v="3093"/>
    <x v="881"/>
    <n v="8"/>
    <n v="3"/>
    <x v="3"/>
    <x v="1"/>
    <x v="5"/>
    <x v="6"/>
    <x v="4"/>
    <n v="2"/>
    <n v="69422.45"/>
    <n v="138844.9"/>
    <s v="Vivek Alva"/>
    <n v="43"/>
    <x v="1"/>
    <x v="2"/>
    <n v="5"/>
    <x v="0"/>
    <x v="7"/>
  </r>
  <r>
    <n v="3094"/>
    <x v="881"/>
    <n v="8"/>
    <n v="3"/>
    <x v="3"/>
    <x v="1"/>
    <x v="5"/>
    <x v="6"/>
    <x v="1"/>
    <n v="7"/>
    <n v="50981.1"/>
    <n v="356867.7"/>
    <s v="Kavita Desai"/>
    <n v="48"/>
    <x v="10"/>
    <x v="2"/>
    <n v="3"/>
    <x v="1"/>
    <x v="2"/>
  </r>
  <r>
    <n v="3095"/>
    <x v="881"/>
    <n v="8"/>
    <n v="3"/>
    <x v="3"/>
    <x v="1"/>
    <x v="5"/>
    <x v="6"/>
    <x v="4"/>
    <n v="7"/>
    <n v="48611.45"/>
    <n v="340280.14999999997"/>
    <s v="Anjali Jain"/>
    <n v="54"/>
    <x v="1"/>
    <x v="2"/>
    <n v="2"/>
    <x v="2"/>
    <x v="14"/>
  </r>
  <r>
    <n v="3096"/>
    <x v="882"/>
    <n v="9"/>
    <n v="3"/>
    <x v="3"/>
    <x v="1"/>
    <x v="5"/>
    <x v="0"/>
    <x v="1"/>
    <n v="4"/>
    <n v="10912.79"/>
    <n v="43651.16"/>
    <s v="Arun Luthra"/>
    <n v="23"/>
    <x v="2"/>
    <x v="3"/>
    <n v="4"/>
    <x v="0"/>
    <x v="1"/>
  </r>
  <r>
    <n v="3097"/>
    <x v="882"/>
    <n v="9"/>
    <n v="3"/>
    <x v="3"/>
    <x v="1"/>
    <x v="5"/>
    <x v="0"/>
    <x v="1"/>
    <n v="9"/>
    <n v="61674"/>
    <n v="555066"/>
    <s v="Meena Malhotra"/>
    <n v="58"/>
    <x v="10"/>
    <x v="1"/>
    <n v="1"/>
    <x v="2"/>
    <x v="2"/>
  </r>
  <r>
    <n v="3098"/>
    <x v="882"/>
    <n v="9"/>
    <n v="3"/>
    <x v="3"/>
    <x v="1"/>
    <x v="5"/>
    <x v="0"/>
    <x v="2"/>
    <n v="8"/>
    <n v="18729.490000000002"/>
    <n v="149835.92000000001"/>
    <s v="Anita Ghosh"/>
    <n v="32"/>
    <x v="14"/>
    <x v="3"/>
    <n v="2"/>
    <x v="2"/>
    <x v="4"/>
  </r>
  <r>
    <n v="3099"/>
    <x v="883"/>
    <n v="10"/>
    <n v="3"/>
    <x v="3"/>
    <x v="1"/>
    <x v="5"/>
    <x v="1"/>
    <x v="1"/>
    <n v="1"/>
    <n v="60239.81"/>
    <n v="60239.81"/>
    <s v="Priya Roy"/>
    <n v="59"/>
    <x v="0"/>
    <x v="3"/>
    <n v="3"/>
    <x v="1"/>
    <x v="1"/>
  </r>
  <r>
    <n v="3100"/>
    <x v="883"/>
    <n v="10"/>
    <n v="3"/>
    <x v="3"/>
    <x v="1"/>
    <x v="5"/>
    <x v="1"/>
    <x v="1"/>
    <n v="2"/>
    <n v="10933.75"/>
    <n v="21867.5"/>
    <s v="Nikhil Pathak"/>
    <n v="43"/>
    <x v="15"/>
    <x v="3"/>
    <n v="4"/>
    <x v="0"/>
    <x v="2"/>
  </r>
  <r>
    <n v="3101"/>
    <x v="883"/>
    <n v="10"/>
    <n v="3"/>
    <x v="3"/>
    <x v="1"/>
    <x v="5"/>
    <x v="1"/>
    <x v="0"/>
    <n v="2"/>
    <n v="48757.86"/>
    <n v="97515.72"/>
    <s v="Ayesha Dutta"/>
    <n v="29"/>
    <x v="14"/>
    <x v="1"/>
    <n v="1"/>
    <x v="2"/>
    <x v="10"/>
  </r>
  <r>
    <n v="3102"/>
    <x v="883"/>
    <n v="10"/>
    <n v="3"/>
    <x v="3"/>
    <x v="1"/>
    <x v="5"/>
    <x v="1"/>
    <x v="3"/>
    <n v="8"/>
    <n v="36088.089999999997"/>
    <n v="288704.71999999997"/>
    <s v="Bhavana Mathur"/>
    <n v="58"/>
    <x v="2"/>
    <x v="3"/>
    <n v="4"/>
    <x v="0"/>
    <x v="8"/>
  </r>
  <r>
    <n v="3103"/>
    <x v="884"/>
    <n v="11"/>
    <n v="3"/>
    <x v="3"/>
    <x v="1"/>
    <x v="5"/>
    <x v="2"/>
    <x v="2"/>
    <n v="1"/>
    <n v="22046"/>
    <n v="22046"/>
    <s v="Sumit Goyal"/>
    <n v="31"/>
    <x v="1"/>
    <x v="2"/>
    <n v="1"/>
    <x v="2"/>
    <x v="4"/>
  </r>
  <r>
    <n v="3104"/>
    <x v="884"/>
    <n v="11"/>
    <n v="3"/>
    <x v="3"/>
    <x v="1"/>
    <x v="5"/>
    <x v="2"/>
    <x v="2"/>
    <n v="4"/>
    <n v="16453.68"/>
    <n v="65814.720000000001"/>
    <s v="Manoj Shah"/>
    <n v="18"/>
    <x v="8"/>
    <x v="2"/>
    <n v="1"/>
    <x v="2"/>
    <x v="4"/>
  </r>
  <r>
    <n v="3105"/>
    <x v="884"/>
    <n v="11"/>
    <n v="3"/>
    <x v="3"/>
    <x v="1"/>
    <x v="5"/>
    <x v="2"/>
    <x v="2"/>
    <n v="5"/>
    <n v="36407.660000000003"/>
    <n v="182038.30000000002"/>
    <s v="Shruti Menon"/>
    <n v="34"/>
    <x v="2"/>
    <x v="2"/>
    <n v="5"/>
    <x v="0"/>
    <x v="4"/>
  </r>
  <r>
    <n v="3106"/>
    <x v="884"/>
    <n v="11"/>
    <n v="3"/>
    <x v="3"/>
    <x v="1"/>
    <x v="5"/>
    <x v="2"/>
    <x v="0"/>
    <n v="9"/>
    <n v="17398.349999999999"/>
    <n v="156585.15"/>
    <s v="Amit Prasad"/>
    <n v="50"/>
    <x v="18"/>
    <x v="2"/>
    <n v="3"/>
    <x v="1"/>
    <x v="0"/>
  </r>
  <r>
    <n v="3107"/>
    <x v="885"/>
    <n v="12"/>
    <n v="3"/>
    <x v="3"/>
    <x v="1"/>
    <x v="5"/>
    <x v="3"/>
    <x v="1"/>
    <n v="7"/>
    <n v="39186.800000000003"/>
    <n v="274307.60000000003"/>
    <s v="Vivek Deshmukh"/>
    <n v="46"/>
    <x v="1"/>
    <x v="3"/>
    <n v="2"/>
    <x v="2"/>
    <x v="2"/>
  </r>
  <r>
    <n v="3108"/>
    <x v="885"/>
    <n v="12"/>
    <n v="3"/>
    <x v="3"/>
    <x v="1"/>
    <x v="5"/>
    <x v="3"/>
    <x v="3"/>
    <n v="8"/>
    <n v="47513.02"/>
    <n v="380104.16"/>
    <s v="Aditya Luthra"/>
    <n v="48"/>
    <x v="17"/>
    <x v="3"/>
    <n v="5"/>
    <x v="0"/>
    <x v="5"/>
  </r>
  <r>
    <n v="3109"/>
    <x v="885"/>
    <n v="12"/>
    <n v="3"/>
    <x v="3"/>
    <x v="1"/>
    <x v="5"/>
    <x v="3"/>
    <x v="4"/>
    <n v="9"/>
    <n v="59643.05"/>
    <n v="536787.45000000007"/>
    <s v="Amit Teja"/>
    <n v="25"/>
    <x v="15"/>
    <x v="3"/>
    <n v="5"/>
    <x v="0"/>
    <x v="11"/>
  </r>
  <r>
    <n v="3110"/>
    <x v="886"/>
    <n v="13"/>
    <n v="3"/>
    <x v="3"/>
    <x v="1"/>
    <x v="5"/>
    <x v="4"/>
    <x v="1"/>
    <n v="7"/>
    <n v="50718.97"/>
    <n v="355032.79000000004"/>
    <s v="Mala Malhotra"/>
    <n v="47"/>
    <x v="1"/>
    <x v="2"/>
    <n v="4"/>
    <x v="0"/>
    <x v="1"/>
  </r>
  <r>
    <n v="3111"/>
    <x v="886"/>
    <n v="13"/>
    <n v="3"/>
    <x v="3"/>
    <x v="1"/>
    <x v="5"/>
    <x v="4"/>
    <x v="0"/>
    <n v="5"/>
    <n v="13911.99"/>
    <n v="69559.95"/>
    <s v="Pankaj Bhattacharya"/>
    <n v="30"/>
    <x v="2"/>
    <x v="1"/>
    <n v="1"/>
    <x v="2"/>
    <x v="3"/>
  </r>
  <r>
    <n v="3112"/>
    <x v="886"/>
    <n v="13"/>
    <n v="3"/>
    <x v="3"/>
    <x v="1"/>
    <x v="5"/>
    <x v="4"/>
    <x v="1"/>
    <n v="5"/>
    <n v="28445.95"/>
    <n v="142229.75"/>
    <s v="Devendra Mathur"/>
    <n v="33"/>
    <x v="1"/>
    <x v="0"/>
    <n v="1"/>
    <x v="2"/>
    <x v="1"/>
  </r>
  <r>
    <n v="3113"/>
    <x v="887"/>
    <n v="14"/>
    <n v="3"/>
    <x v="3"/>
    <x v="1"/>
    <x v="5"/>
    <x v="5"/>
    <x v="1"/>
    <n v="6"/>
    <n v="27278.720000000001"/>
    <n v="163672.32000000001"/>
    <s v="Harish Kaur"/>
    <n v="19"/>
    <x v="10"/>
    <x v="0"/>
    <n v="4"/>
    <x v="0"/>
    <x v="9"/>
  </r>
  <r>
    <n v="3114"/>
    <x v="887"/>
    <n v="14"/>
    <n v="3"/>
    <x v="3"/>
    <x v="1"/>
    <x v="5"/>
    <x v="5"/>
    <x v="0"/>
    <n v="5"/>
    <n v="64901.95"/>
    <n v="324509.75"/>
    <s v="Pankaj Varma"/>
    <n v="35"/>
    <x v="1"/>
    <x v="0"/>
    <n v="3"/>
    <x v="1"/>
    <x v="10"/>
  </r>
  <r>
    <n v="3115"/>
    <x v="887"/>
    <n v="14"/>
    <n v="3"/>
    <x v="3"/>
    <x v="1"/>
    <x v="5"/>
    <x v="5"/>
    <x v="2"/>
    <n v="9"/>
    <n v="62066.92"/>
    <n v="558602.28"/>
    <s v="Anita Mathur"/>
    <n v="52"/>
    <x v="6"/>
    <x v="1"/>
    <n v="1"/>
    <x v="2"/>
    <x v="13"/>
  </r>
  <r>
    <n v="3116"/>
    <x v="887"/>
    <n v="14"/>
    <n v="3"/>
    <x v="3"/>
    <x v="1"/>
    <x v="5"/>
    <x v="5"/>
    <x v="2"/>
    <n v="3"/>
    <n v="32208.880000000001"/>
    <n v="96626.64"/>
    <s v="Priyanka Dutta"/>
    <n v="36"/>
    <x v="2"/>
    <x v="3"/>
    <n v="5"/>
    <x v="0"/>
    <x v="6"/>
  </r>
  <r>
    <n v="3117"/>
    <x v="888"/>
    <n v="15"/>
    <n v="3"/>
    <x v="3"/>
    <x v="1"/>
    <x v="5"/>
    <x v="6"/>
    <x v="3"/>
    <n v="3"/>
    <n v="14269.32"/>
    <n v="42807.96"/>
    <s v="Priyanka Teja"/>
    <n v="30"/>
    <x v="16"/>
    <x v="0"/>
    <n v="5"/>
    <x v="0"/>
    <x v="12"/>
  </r>
  <r>
    <n v="3118"/>
    <x v="888"/>
    <n v="15"/>
    <n v="3"/>
    <x v="3"/>
    <x v="1"/>
    <x v="5"/>
    <x v="6"/>
    <x v="3"/>
    <n v="7"/>
    <n v="63646.44"/>
    <n v="445525.08"/>
    <s v="Nikhil Menon"/>
    <n v="21"/>
    <x v="1"/>
    <x v="0"/>
    <n v="1"/>
    <x v="2"/>
    <x v="5"/>
  </r>
  <r>
    <n v="3119"/>
    <x v="888"/>
    <n v="15"/>
    <n v="3"/>
    <x v="3"/>
    <x v="1"/>
    <x v="5"/>
    <x v="6"/>
    <x v="2"/>
    <n v="7"/>
    <n v="63291.4"/>
    <n v="443039.8"/>
    <s v="Kavita Teja"/>
    <n v="36"/>
    <x v="1"/>
    <x v="3"/>
    <n v="1"/>
    <x v="2"/>
    <x v="4"/>
  </r>
  <r>
    <n v="3120"/>
    <x v="888"/>
    <n v="15"/>
    <n v="3"/>
    <x v="3"/>
    <x v="1"/>
    <x v="5"/>
    <x v="6"/>
    <x v="4"/>
    <n v="6"/>
    <n v="61284.77"/>
    <n v="367708.62"/>
    <s v="Rohan Dutta"/>
    <n v="42"/>
    <x v="3"/>
    <x v="0"/>
    <n v="3"/>
    <x v="1"/>
    <x v="7"/>
  </r>
  <r>
    <n v="3121"/>
    <x v="889"/>
    <n v="16"/>
    <n v="3"/>
    <x v="3"/>
    <x v="1"/>
    <x v="5"/>
    <x v="0"/>
    <x v="1"/>
    <n v="3"/>
    <n v="60704.9"/>
    <n v="182114.7"/>
    <s v="Namita Reddy"/>
    <n v="55"/>
    <x v="2"/>
    <x v="3"/>
    <n v="1"/>
    <x v="2"/>
    <x v="2"/>
  </r>
  <r>
    <n v="3122"/>
    <x v="889"/>
    <n v="16"/>
    <n v="3"/>
    <x v="3"/>
    <x v="1"/>
    <x v="5"/>
    <x v="0"/>
    <x v="4"/>
    <n v="7"/>
    <n v="38815.24"/>
    <n v="271706.68"/>
    <s v="Monika Nambiar"/>
    <n v="48"/>
    <x v="1"/>
    <x v="0"/>
    <n v="3"/>
    <x v="1"/>
    <x v="14"/>
  </r>
  <r>
    <n v="3123"/>
    <x v="889"/>
    <n v="16"/>
    <n v="3"/>
    <x v="3"/>
    <x v="1"/>
    <x v="5"/>
    <x v="0"/>
    <x v="1"/>
    <n v="5"/>
    <n v="20645.900000000001"/>
    <n v="103229.5"/>
    <s v="Ravi Dutta"/>
    <n v="53"/>
    <x v="18"/>
    <x v="3"/>
    <n v="5"/>
    <x v="0"/>
    <x v="9"/>
  </r>
  <r>
    <n v="3124"/>
    <x v="890"/>
    <n v="17"/>
    <n v="3"/>
    <x v="3"/>
    <x v="1"/>
    <x v="5"/>
    <x v="1"/>
    <x v="2"/>
    <n v="7"/>
    <n v="38649.279999999999"/>
    <n v="270544.95999999996"/>
    <s v="Anita Pillai"/>
    <n v="21"/>
    <x v="2"/>
    <x v="2"/>
    <n v="3"/>
    <x v="1"/>
    <x v="6"/>
  </r>
  <r>
    <n v="3125"/>
    <x v="890"/>
    <n v="17"/>
    <n v="3"/>
    <x v="3"/>
    <x v="1"/>
    <x v="5"/>
    <x v="1"/>
    <x v="3"/>
    <n v="2"/>
    <n v="39675.870000000003"/>
    <n v="79351.740000000005"/>
    <s v="Priya Thakur"/>
    <n v="56"/>
    <x v="1"/>
    <x v="1"/>
    <n v="1"/>
    <x v="2"/>
    <x v="5"/>
  </r>
  <r>
    <n v="3126"/>
    <x v="890"/>
    <n v="17"/>
    <n v="3"/>
    <x v="3"/>
    <x v="1"/>
    <x v="5"/>
    <x v="1"/>
    <x v="3"/>
    <n v="6"/>
    <n v="39395.910000000003"/>
    <n v="236375.46000000002"/>
    <s v="Harish Mishra"/>
    <n v="24"/>
    <x v="4"/>
    <x v="0"/>
    <n v="2"/>
    <x v="2"/>
    <x v="5"/>
  </r>
  <r>
    <n v="3127"/>
    <x v="891"/>
    <n v="18"/>
    <n v="3"/>
    <x v="3"/>
    <x v="1"/>
    <x v="5"/>
    <x v="2"/>
    <x v="4"/>
    <n v="8"/>
    <n v="42326.36"/>
    <n v="338610.88"/>
    <s v="Bhavana Luthra"/>
    <n v="33"/>
    <x v="1"/>
    <x v="3"/>
    <n v="1"/>
    <x v="2"/>
    <x v="7"/>
  </r>
  <r>
    <n v="3128"/>
    <x v="891"/>
    <n v="18"/>
    <n v="3"/>
    <x v="3"/>
    <x v="1"/>
    <x v="5"/>
    <x v="2"/>
    <x v="3"/>
    <n v="1"/>
    <n v="25459.42"/>
    <n v="25459.42"/>
    <s v="Monika Ahuja"/>
    <n v="22"/>
    <x v="6"/>
    <x v="2"/>
    <n v="2"/>
    <x v="2"/>
    <x v="12"/>
  </r>
  <r>
    <n v="3129"/>
    <x v="891"/>
    <n v="18"/>
    <n v="3"/>
    <x v="3"/>
    <x v="1"/>
    <x v="5"/>
    <x v="2"/>
    <x v="2"/>
    <n v="4"/>
    <n v="31974.47"/>
    <n v="127897.88"/>
    <s v="Vijay Rawat"/>
    <n v="40"/>
    <x v="1"/>
    <x v="3"/>
    <n v="5"/>
    <x v="0"/>
    <x v="4"/>
  </r>
  <r>
    <n v="3130"/>
    <x v="892"/>
    <n v="19"/>
    <n v="3"/>
    <x v="3"/>
    <x v="1"/>
    <x v="5"/>
    <x v="3"/>
    <x v="4"/>
    <n v="1"/>
    <n v="36051.199999999997"/>
    <n v="36051.199999999997"/>
    <s v="Arun Gupta"/>
    <n v="53"/>
    <x v="6"/>
    <x v="0"/>
    <n v="4"/>
    <x v="0"/>
    <x v="7"/>
  </r>
  <r>
    <n v="3131"/>
    <x v="892"/>
    <n v="19"/>
    <n v="3"/>
    <x v="3"/>
    <x v="1"/>
    <x v="5"/>
    <x v="3"/>
    <x v="1"/>
    <n v="1"/>
    <n v="17867.27"/>
    <n v="17867.27"/>
    <s v="Radha Sheth"/>
    <n v="49"/>
    <x v="1"/>
    <x v="0"/>
    <n v="5"/>
    <x v="0"/>
    <x v="1"/>
  </r>
  <r>
    <n v="3132"/>
    <x v="892"/>
    <n v="19"/>
    <n v="3"/>
    <x v="3"/>
    <x v="1"/>
    <x v="5"/>
    <x v="3"/>
    <x v="3"/>
    <n v="8"/>
    <n v="37321.85"/>
    <n v="298574.8"/>
    <s v="Nikhil Arora"/>
    <n v="41"/>
    <x v="12"/>
    <x v="0"/>
    <n v="5"/>
    <x v="0"/>
    <x v="12"/>
  </r>
  <r>
    <n v="3133"/>
    <x v="893"/>
    <n v="20"/>
    <n v="3"/>
    <x v="3"/>
    <x v="1"/>
    <x v="5"/>
    <x v="4"/>
    <x v="0"/>
    <n v="7"/>
    <n v="58628.18"/>
    <n v="410397.26"/>
    <s v="Meena Prasad"/>
    <n v="42"/>
    <x v="2"/>
    <x v="0"/>
    <n v="5"/>
    <x v="0"/>
    <x v="0"/>
  </r>
  <r>
    <n v="3134"/>
    <x v="893"/>
    <n v="20"/>
    <n v="3"/>
    <x v="3"/>
    <x v="1"/>
    <x v="5"/>
    <x v="4"/>
    <x v="3"/>
    <n v="1"/>
    <n v="59683.57"/>
    <n v="59683.57"/>
    <s v="Umesh Nair"/>
    <n v="45"/>
    <x v="1"/>
    <x v="0"/>
    <n v="3"/>
    <x v="1"/>
    <x v="12"/>
  </r>
  <r>
    <n v="3135"/>
    <x v="893"/>
    <n v="20"/>
    <n v="3"/>
    <x v="3"/>
    <x v="1"/>
    <x v="5"/>
    <x v="4"/>
    <x v="1"/>
    <n v="2"/>
    <n v="34693.83"/>
    <n v="69387.66"/>
    <s v="Harish Mehta"/>
    <n v="36"/>
    <x v="7"/>
    <x v="2"/>
    <n v="5"/>
    <x v="0"/>
    <x v="1"/>
  </r>
  <r>
    <n v="3136"/>
    <x v="894"/>
    <n v="21"/>
    <n v="3"/>
    <x v="3"/>
    <x v="1"/>
    <x v="5"/>
    <x v="5"/>
    <x v="4"/>
    <n v="4"/>
    <n v="41128.5"/>
    <n v="164514"/>
    <s v="Sunita Singh"/>
    <n v="24"/>
    <x v="1"/>
    <x v="3"/>
    <n v="4"/>
    <x v="0"/>
    <x v="11"/>
  </r>
  <r>
    <n v="3137"/>
    <x v="894"/>
    <n v="21"/>
    <n v="3"/>
    <x v="3"/>
    <x v="1"/>
    <x v="5"/>
    <x v="5"/>
    <x v="1"/>
    <n v="1"/>
    <n v="12019.02"/>
    <n v="12019.02"/>
    <s v="Nikhil Luthra"/>
    <n v="58"/>
    <x v="16"/>
    <x v="3"/>
    <n v="1"/>
    <x v="2"/>
    <x v="2"/>
  </r>
  <r>
    <n v="3138"/>
    <x v="894"/>
    <n v="21"/>
    <n v="3"/>
    <x v="3"/>
    <x v="1"/>
    <x v="5"/>
    <x v="5"/>
    <x v="0"/>
    <n v="3"/>
    <n v="50465.95"/>
    <n v="151397.84999999998"/>
    <s v="Priyanka Patel"/>
    <n v="34"/>
    <x v="5"/>
    <x v="0"/>
    <n v="2"/>
    <x v="2"/>
    <x v="3"/>
  </r>
  <r>
    <n v="3139"/>
    <x v="894"/>
    <n v="21"/>
    <n v="3"/>
    <x v="3"/>
    <x v="1"/>
    <x v="5"/>
    <x v="5"/>
    <x v="2"/>
    <n v="8"/>
    <n v="34276.35"/>
    <n v="274210.8"/>
    <s v="Shruti Sharma"/>
    <n v="19"/>
    <x v="2"/>
    <x v="3"/>
    <n v="5"/>
    <x v="0"/>
    <x v="6"/>
  </r>
  <r>
    <n v="3140"/>
    <x v="895"/>
    <n v="22"/>
    <n v="3"/>
    <x v="3"/>
    <x v="1"/>
    <x v="5"/>
    <x v="6"/>
    <x v="3"/>
    <n v="8"/>
    <n v="36728.660000000003"/>
    <n v="293829.28000000003"/>
    <s v="Priyanka Pillai"/>
    <n v="33"/>
    <x v="1"/>
    <x v="2"/>
    <n v="2"/>
    <x v="2"/>
    <x v="5"/>
  </r>
  <r>
    <n v="3141"/>
    <x v="895"/>
    <n v="22"/>
    <n v="3"/>
    <x v="3"/>
    <x v="1"/>
    <x v="5"/>
    <x v="6"/>
    <x v="4"/>
    <n v="8"/>
    <n v="62420.36"/>
    <n v="499362.88"/>
    <s v="Ravi Sharma"/>
    <n v="56"/>
    <x v="2"/>
    <x v="0"/>
    <n v="5"/>
    <x v="0"/>
    <x v="7"/>
  </r>
  <r>
    <n v="3142"/>
    <x v="895"/>
    <n v="22"/>
    <n v="3"/>
    <x v="3"/>
    <x v="1"/>
    <x v="5"/>
    <x v="6"/>
    <x v="2"/>
    <n v="6"/>
    <n v="37710.07"/>
    <n v="226260.41999999998"/>
    <s v="Reena Dutta"/>
    <n v="35"/>
    <x v="1"/>
    <x v="1"/>
    <n v="3"/>
    <x v="1"/>
    <x v="6"/>
  </r>
  <r>
    <n v="3143"/>
    <x v="895"/>
    <n v="22"/>
    <n v="3"/>
    <x v="3"/>
    <x v="1"/>
    <x v="5"/>
    <x v="6"/>
    <x v="1"/>
    <n v="6"/>
    <n v="11271.53"/>
    <n v="67629.180000000008"/>
    <s v="Arun Deshmukh"/>
    <n v="56"/>
    <x v="2"/>
    <x v="2"/>
    <n v="2"/>
    <x v="2"/>
    <x v="1"/>
  </r>
  <r>
    <n v="3144"/>
    <x v="896"/>
    <n v="23"/>
    <n v="3"/>
    <x v="3"/>
    <x v="1"/>
    <x v="5"/>
    <x v="0"/>
    <x v="4"/>
    <n v="5"/>
    <n v="23649.45"/>
    <n v="118247.25"/>
    <s v="Harish Solanki"/>
    <n v="18"/>
    <x v="2"/>
    <x v="0"/>
    <n v="5"/>
    <x v="0"/>
    <x v="14"/>
  </r>
  <r>
    <n v="3145"/>
    <x v="896"/>
    <n v="23"/>
    <n v="3"/>
    <x v="3"/>
    <x v="1"/>
    <x v="5"/>
    <x v="0"/>
    <x v="2"/>
    <n v="9"/>
    <n v="38537.24"/>
    <n v="346835.16"/>
    <s v="Harish Teja"/>
    <n v="20"/>
    <x v="1"/>
    <x v="3"/>
    <n v="5"/>
    <x v="0"/>
    <x v="4"/>
  </r>
  <r>
    <n v="3146"/>
    <x v="896"/>
    <n v="23"/>
    <n v="3"/>
    <x v="3"/>
    <x v="1"/>
    <x v="5"/>
    <x v="0"/>
    <x v="4"/>
    <n v="4"/>
    <n v="35463.78"/>
    <n v="141855.12"/>
    <s v="Tapan Kulkarni"/>
    <n v="38"/>
    <x v="11"/>
    <x v="2"/>
    <n v="4"/>
    <x v="0"/>
    <x v="14"/>
  </r>
  <r>
    <n v="3147"/>
    <x v="896"/>
    <n v="23"/>
    <n v="3"/>
    <x v="3"/>
    <x v="1"/>
    <x v="5"/>
    <x v="0"/>
    <x v="0"/>
    <n v="7"/>
    <n v="61622.21"/>
    <n v="431355.47"/>
    <s v="Rajesh Mathur"/>
    <n v="47"/>
    <x v="8"/>
    <x v="0"/>
    <n v="4"/>
    <x v="0"/>
    <x v="10"/>
  </r>
  <r>
    <n v="3148"/>
    <x v="897"/>
    <n v="24"/>
    <n v="3"/>
    <x v="3"/>
    <x v="1"/>
    <x v="5"/>
    <x v="1"/>
    <x v="0"/>
    <n v="1"/>
    <n v="42528.25"/>
    <n v="42528.25"/>
    <s v="Monika Rawat"/>
    <n v="28"/>
    <x v="1"/>
    <x v="3"/>
    <n v="4"/>
    <x v="0"/>
    <x v="0"/>
  </r>
  <r>
    <n v="3149"/>
    <x v="897"/>
    <n v="24"/>
    <n v="3"/>
    <x v="3"/>
    <x v="1"/>
    <x v="5"/>
    <x v="1"/>
    <x v="3"/>
    <n v="9"/>
    <n v="51378.14"/>
    <n v="462403.26"/>
    <s v="Sunita Teja"/>
    <n v="39"/>
    <x v="12"/>
    <x v="3"/>
    <n v="3"/>
    <x v="1"/>
    <x v="5"/>
  </r>
  <r>
    <n v="3150"/>
    <x v="897"/>
    <n v="24"/>
    <n v="3"/>
    <x v="3"/>
    <x v="1"/>
    <x v="5"/>
    <x v="1"/>
    <x v="3"/>
    <n v="7"/>
    <n v="38159.4"/>
    <n v="267115.8"/>
    <s v="Monika Rathod"/>
    <n v="42"/>
    <x v="2"/>
    <x v="0"/>
    <n v="2"/>
    <x v="2"/>
    <x v="12"/>
  </r>
  <r>
    <n v="3151"/>
    <x v="897"/>
    <n v="24"/>
    <n v="3"/>
    <x v="3"/>
    <x v="1"/>
    <x v="5"/>
    <x v="1"/>
    <x v="0"/>
    <n v="9"/>
    <n v="36379.339999999997"/>
    <n v="327414.05999999994"/>
    <s v="Lalita Ahuja"/>
    <n v="20"/>
    <x v="1"/>
    <x v="2"/>
    <n v="3"/>
    <x v="1"/>
    <x v="3"/>
  </r>
  <r>
    <n v="3152"/>
    <x v="898"/>
    <n v="25"/>
    <n v="3"/>
    <x v="3"/>
    <x v="1"/>
    <x v="5"/>
    <x v="2"/>
    <x v="4"/>
    <n v="7"/>
    <n v="36777.199999999997"/>
    <n v="257440.39999999997"/>
    <s v="Yogesh Malhotra"/>
    <n v="47"/>
    <x v="16"/>
    <x v="0"/>
    <n v="1"/>
    <x v="2"/>
    <x v="11"/>
  </r>
  <r>
    <n v="3153"/>
    <x v="898"/>
    <n v="25"/>
    <n v="3"/>
    <x v="3"/>
    <x v="1"/>
    <x v="5"/>
    <x v="2"/>
    <x v="0"/>
    <n v="2"/>
    <n v="34655.29"/>
    <n v="69310.58"/>
    <s v="Aditya Jain"/>
    <n v="41"/>
    <x v="1"/>
    <x v="0"/>
    <n v="5"/>
    <x v="0"/>
    <x v="10"/>
  </r>
  <r>
    <n v="3154"/>
    <x v="898"/>
    <n v="25"/>
    <n v="3"/>
    <x v="3"/>
    <x v="1"/>
    <x v="5"/>
    <x v="2"/>
    <x v="3"/>
    <n v="6"/>
    <n v="42315"/>
    <n v="253890"/>
    <s v="Deepika Desai"/>
    <n v="53"/>
    <x v="12"/>
    <x v="0"/>
    <n v="5"/>
    <x v="0"/>
    <x v="12"/>
  </r>
  <r>
    <n v="3155"/>
    <x v="899"/>
    <n v="26"/>
    <n v="3"/>
    <x v="3"/>
    <x v="1"/>
    <x v="5"/>
    <x v="3"/>
    <x v="0"/>
    <n v="4"/>
    <n v="25026.6"/>
    <n v="100106.4"/>
    <s v="Devendra Arora"/>
    <n v="40"/>
    <x v="14"/>
    <x v="0"/>
    <n v="5"/>
    <x v="0"/>
    <x v="3"/>
  </r>
  <r>
    <n v="3156"/>
    <x v="899"/>
    <n v="26"/>
    <n v="3"/>
    <x v="3"/>
    <x v="1"/>
    <x v="5"/>
    <x v="3"/>
    <x v="0"/>
    <n v="3"/>
    <n v="63463.31"/>
    <n v="190389.93"/>
    <s v="Devendra Rao"/>
    <n v="25"/>
    <x v="2"/>
    <x v="0"/>
    <n v="4"/>
    <x v="0"/>
    <x v="0"/>
  </r>
  <r>
    <n v="3157"/>
    <x v="899"/>
    <n v="26"/>
    <n v="3"/>
    <x v="3"/>
    <x v="1"/>
    <x v="5"/>
    <x v="3"/>
    <x v="4"/>
    <n v="2"/>
    <n v="29985.13"/>
    <n v="59970.26"/>
    <s v="Arun Dutta"/>
    <n v="21"/>
    <x v="10"/>
    <x v="3"/>
    <n v="5"/>
    <x v="0"/>
    <x v="7"/>
  </r>
  <r>
    <n v="3158"/>
    <x v="900"/>
    <n v="27"/>
    <n v="3"/>
    <x v="3"/>
    <x v="1"/>
    <x v="5"/>
    <x v="4"/>
    <x v="2"/>
    <n v="6"/>
    <n v="18851.43"/>
    <n v="113108.58"/>
    <s v="Bhavana Siddiqui"/>
    <n v="56"/>
    <x v="2"/>
    <x v="0"/>
    <n v="4"/>
    <x v="0"/>
    <x v="6"/>
  </r>
  <r>
    <n v="3159"/>
    <x v="900"/>
    <n v="27"/>
    <n v="3"/>
    <x v="3"/>
    <x v="1"/>
    <x v="5"/>
    <x v="4"/>
    <x v="3"/>
    <n v="8"/>
    <n v="15793.03"/>
    <n v="126344.24"/>
    <s v="Aditya Patel"/>
    <n v="48"/>
    <x v="1"/>
    <x v="2"/>
    <n v="1"/>
    <x v="2"/>
    <x v="12"/>
  </r>
  <r>
    <n v="3160"/>
    <x v="900"/>
    <n v="27"/>
    <n v="3"/>
    <x v="3"/>
    <x v="1"/>
    <x v="5"/>
    <x v="4"/>
    <x v="4"/>
    <n v="6"/>
    <n v="10805.37"/>
    <n v="64832.22"/>
    <s v="Monika Rathod"/>
    <n v="46"/>
    <x v="13"/>
    <x v="1"/>
    <n v="3"/>
    <x v="1"/>
    <x v="14"/>
  </r>
  <r>
    <n v="3161"/>
    <x v="901"/>
    <n v="28"/>
    <n v="3"/>
    <x v="3"/>
    <x v="1"/>
    <x v="5"/>
    <x v="5"/>
    <x v="0"/>
    <n v="9"/>
    <n v="35371.360000000001"/>
    <n v="318342.24"/>
    <s v="Nikhil Bhatnagar"/>
    <n v="53"/>
    <x v="3"/>
    <x v="0"/>
    <n v="3"/>
    <x v="1"/>
    <x v="10"/>
  </r>
  <r>
    <n v="3162"/>
    <x v="901"/>
    <n v="28"/>
    <n v="3"/>
    <x v="3"/>
    <x v="1"/>
    <x v="5"/>
    <x v="5"/>
    <x v="0"/>
    <n v="5"/>
    <n v="21256.66"/>
    <n v="106283.3"/>
    <s v="Sneha Kaur"/>
    <n v="30"/>
    <x v="3"/>
    <x v="2"/>
    <n v="3"/>
    <x v="1"/>
    <x v="3"/>
  </r>
  <r>
    <n v="3163"/>
    <x v="901"/>
    <n v="28"/>
    <n v="3"/>
    <x v="3"/>
    <x v="1"/>
    <x v="5"/>
    <x v="5"/>
    <x v="2"/>
    <n v="2"/>
    <n v="11298.87"/>
    <n v="22597.74"/>
    <s v="Umesh Dutta"/>
    <n v="58"/>
    <x v="1"/>
    <x v="1"/>
    <n v="4"/>
    <x v="0"/>
    <x v="4"/>
  </r>
  <r>
    <n v="3164"/>
    <x v="901"/>
    <n v="28"/>
    <n v="3"/>
    <x v="3"/>
    <x v="1"/>
    <x v="5"/>
    <x v="5"/>
    <x v="3"/>
    <n v="8"/>
    <n v="41201.17"/>
    <n v="329609.36"/>
    <s v="Arun Iyer"/>
    <n v="26"/>
    <x v="8"/>
    <x v="2"/>
    <n v="2"/>
    <x v="2"/>
    <x v="8"/>
  </r>
  <r>
    <n v="3165"/>
    <x v="902"/>
    <n v="29"/>
    <n v="3"/>
    <x v="3"/>
    <x v="1"/>
    <x v="5"/>
    <x v="6"/>
    <x v="3"/>
    <n v="9"/>
    <n v="50798.71"/>
    <n v="457188.39"/>
    <s v="Anand Chatterjee"/>
    <n v="38"/>
    <x v="8"/>
    <x v="3"/>
    <n v="2"/>
    <x v="2"/>
    <x v="5"/>
  </r>
  <r>
    <n v="3166"/>
    <x v="902"/>
    <n v="29"/>
    <n v="3"/>
    <x v="3"/>
    <x v="1"/>
    <x v="5"/>
    <x v="6"/>
    <x v="1"/>
    <n v="4"/>
    <n v="15145.06"/>
    <n v="60580.24"/>
    <s v="Kiran Solanki"/>
    <n v="20"/>
    <x v="1"/>
    <x v="3"/>
    <n v="1"/>
    <x v="2"/>
    <x v="1"/>
  </r>
  <r>
    <n v="3167"/>
    <x v="902"/>
    <n v="29"/>
    <n v="3"/>
    <x v="3"/>
    <x v="1"/>
    <x v="5"/>
    <x v="6"/>
    <x v="3"/>
    <n v="6"/>
    <n v="37655.25"/>
    <n v="225931.5"/>
    <s v="Ramesh Chatterjee"/>
    <n v="42"/>
    <x v="5"/>
    <x v="1"/>
    <n v="2"/>
    <x v="2"/>
    <x v="12"/>
  </r>
  <r>
    <n v="3168"/>
    <x v="902"/>
    <n v="29"/>
    <n v="3"/>
    <x v="3"/>
    <x v="1"/>
    <x v="5"/>
    <x v="6"/>
    <x v="2"/>
    <n v="8"/>
    <n v="54617.72"/>
    <n v="436941.76"/>
    <s v="Lalita Desai"/>
    <n v="42"/>
    <x v="18"/>
    <x v="1"/>
    <n v="1"/>
    <x v="2"/>
    <x v="13"/>
  </r>
  <r>
    <n v="3169"/>
    <x v="903"/>
    <n v="30"/>
    <n v="3"/>
    <x v="3"/>
    <x v="1"/>
    <x v="5"/>
    <x v="0"/>
    <x v="1"/>
    <n v="9"/>
    <n v="69148.41"/>
    <n v="622335.69000000006"/>
    <s v="Kiran Malhotra"/>
    <n v="29"/>
    <x v="1"/>
    <x v="1"/>
    <n v="5"/>
    <x v="0"/>
    <x v="9"/>
  </r>
  <r>
    <n v="3170"/>
    <x v="903"/>
    <n v="30"/>
    <n v="3"/>
    <x v="3"/>
    <x v="1"/>
    <x v="5"/>
    <x v="0"/>
    <x v="1"/>
    <n v="5"/>
    <n v="50031.42"/>
    <n v="250157.09999999998"/>
    <s v="Bhavana Rawat"/>
    <n v="46"/>
    <x v="4"/>
    <x v="3"/>
    <n v="3"/>
    <x v="1"/>
    <x v="9"/>
  </r>
  <r>
    <n v="3171"/>
    <x v="903"/>
    <n v="30"/>
    <n v="3"/>
    <x v="3"/>
    <x v="1"/>
    <x v="5"/>
    <x v="0"/>
    <x v="0"/>
    <n v="6"/>
    <n v="24690.37"/>
    <n v="148142.22"/>
    <s v="Nikhil Bhattacharya"/>
    <n v="28"/>
    <x v="2"/>
    <x v="3"/>
    <n v="4"/>
    <x v="0"/>
    <x v="0"/>
  </r>
  <r>
    <n v="3172"/>
    <x v="904"/>
    <n v="31"/>
    <n v="3"/>
    <x v="3"/>
    <x v="1"/>
    <x v="5"/>
    <x v="1"/>
    <x v="0"/>
    <n v="4"/>
    <n v="52993.22"/>
    <n v="211972.88"/>
    <s v="Pooja Sharma"/>
    <n v="28"/>
    <x v="1"/>
    <x v="2"/>
    <n v="1"/>
    <x v="2"/>
    <x v="0"/>
  </r>
  <r>
    <n v="3173"/>
    <x v="904"/>
    <n v="31"/>
    <n v="3"/>
    <x v="3"/>
    <x v="1"/>
    <x v="5"/>
    <x v="1"/>
    <x v="3"/>
    <n v="5"/>
    <n v="45875.77"/>
    <n v="229378.84999999998"/>
    <s v="Manoj Jain"/>
    <n v="43"/>
    <x v="1"/>
    <x v="3"/>
    <n v="4"/>
    <x v="0"/>
    <x v="8"/>
  </r>
  <r>
    <n v="3174"/>
    <x v="904"/>
    <n v="31"/>
    <n v="3"/>
    <x v="3"/>
    <x v="1"/>
    <x v="5"/>
    <x v="1"/>
    <x v="1"/>
    <n v="7"/>
    <n v="22707.96"/>
    <n v="158955.72"/>
    <s v="Aditya Nair"/>
    <n v="31"/>
    <x v="5"/>
    <x v="1"/>
    <n v="4"/>
    <x v="0"/>
    <x v="1"/>
  </r>
  <r>
    <n v="3175"/>
    <x v="905"/>
    <n v="1"/>
    <n v="4"/>
    <x v="3"/>
    <x v="2"/>
    <x v="6"/>
    <x v="2"/>
    <x v="0"/>
    <n v="9"/>
    <n v="61066.65"/>
    <n v="549599.85"/>
    <s v="Jyoti Ghosh"/>
    <n v="33"/>
    <x v="6"/>
    <x v="0"/>
    <n v="3"/>
    <x v="1"/>
    <x v="3"/>
  </r>
  <r>
    <n v="3176"/>
    <x v="905"/>
    <n v="1"/>
    <n v="4"/>
    <x v="3"/>
    <x v="2"/>
    <x v="6"/>
    <x v="2"/>
    <x v="2"/>
    <n v="6"/>
    <n v="35644.269999999997"/>
    <n v="213865.62"/>
    <s v="Namita Mehta"/>
    <n v="27"/>
    <x v="12"/>
    <x v="0"/>
    <n v="5"/>
    <x v="0"/>
    <x v="6"/>
  </r>
  <r>
    <n v="3177"/>
    <x v="905"/>
    <n v="1"/>
    <n v="4"/>
    <x v="3"/>
    <x v="2"/>
    <x v="6"/>
    <x v="2"/>
    <x v="0"/>
    <n v="6"/>
    <n v="67718.66"/>
    <n v="406311.96"/>
    <s v="Reena Deshmukh"/>
    <n v="48"/>
    <x v="1"/>
    <x v="1"/>
    <n v="5"/>
    <x v="0"/>
    <x v="0"/>
  </r>
  <r>
    <n v="3178"/>
    <x v="905"/>
    <n v="1"/>
    <n v="4"/>
    <x v="3"/>
    <x v="2"/>
    <x v="6"/>
    <x v="2"/>
    <x v="0"/>
    <n v="8"/>
    <n v="53374.06"/>
    <n v="426992.48"/>
    <s v="Tanuja Dutta"/>
    <n v="48"/>
    <x v="1"/>
    <x v="3"/>
    <n v="2"/>
    <x v="2"/>
    <x v="0"/>
  </r>
  <r>
    <n v="3179"/>
    <x v="906"/>
    <n v="2"/>
    <n v="4"/>
    <x v="3"/>
    <x v="2"/>
    <x v="6"/>
    <x v="3"/>
    <x v="1"/>
    <n v="4"/>
    <n v="48673.79"/>
    <n v="194695.16"/>
    <s v="Neeta Patel"/>
    <n v="53"/>
    <x v="2"/>
    <x v="1"/>
    <n v="5"/>
    <x v="0"/>
    <x v="9"/>
  </r>
  <r>
    <n v="3180"/>
    <x v="906"/>
    <n v="2"/>
    <n v="4"/>
    <x v="3"/>
    <x v="2"/>
    <x v="6"/>
    <x v="3"/>
    <x v="1"/>
    <n v="3"/>
    <n v="53701.17"/>
    <n v="161103.51"/>
    <s v="Mala Kulkarni"/>
    <n v="27"/>
    <x v="5"/>
    <x v="3"/>
    <n v="3"/>
    <x v="1"/>
    <x v="9"/>
  </r>
  <r>
    <n v="3181"/>
    <x v="906"/>
    <n v="2"/>
    <n v="4"/>
    <x v="3"/>
    <x v="2"/>
    <x v="6"/>
    <x v="3"/>
    <x v="4"/>
    <n v="7"/>
    <n v="38685.82"/>
    <n v="270800.74"/>
    <s v="Vinod Dutta"/>
    <n v="43"/>
    <x v="0"/>
    <x v="0"/>
    <n v="4"/>
    <x v="0"/>
    <x v="11"/>
  </r>
  <r>
    <n v="3182"/>
    <x v="906"/>
    <n v="2"/>
    <n v="4"/>
    <x v="3"/>
    <x v="2"/>
    <x v="6"/>
    <x v="3"/>
    <x v="2"/>
    <n v="5"/>
    <n v="40313.589999999997"/>
    <n v="201567.94999999998"/>
    <s v="Umesh Patel"/>
    <n v="37"/>
    <x v="11"/>
    <x v="2"/>
    <n v="1"/>
    <x v="2"/>
    <x v="13"/>
  </r>
  <r>
    <n v="3183"/>
    <x v="907"/>
    <n v="3"/>
    <n v="4"/>
    <x v="3"/>
    <x v="2"/>
    <x v="6"/>
    <x v="4"/>
    <x v="1"/>
    <n v="2"/>
    <n v="61072.44"/>
    <n v="122144.88"/>
    <s v="Pooja Menon"/>
    <n v="26"/>
    <x v="3"/>
    <x v="3"/>
    <n v="1"/>
    <x v="2"/>
    <x v="9"/>
  </r>
  <r>
    <n v="3184"/>
    <x v="907"/>
    <n v="3"/>
    <n v="4"/>
    <x v="3"/>
    <x v="2"/>
    <x v="6"/>
    <x v="4"/>
    <x v="3"/>
    <n v="2"/>
    <n v="50855.71"/>
    <n v="101711.42"/>
    <s v="Sumit Goyal"/>
    <n v="32"/>
    <x v="14"/>
    <x v="2"/>
    <n v="5"/>
    <x v="0"/>
    <x v="12"/>
  </r>
  <r>
    <n v="3185"/>
    <x v="907"/>
    <n v="3"/>
    <n v="4"/>
    <x v="3"/>
    <x v="2"/>
    <x v="6"/>
    <x v="4"/>
    <x v="2"/>
    <n v="6"/>
    <n v="63834.6"/>
    <n v="383007.6"/>
    <s v="Nikhil Menon"/>
    <n v="26"/>
    <x v="1"/>
    <x v="0"/>
    <n v="2"/>
    <x v="2"/>
    <x v="4"/>
  </r>
  <r>
    <n v="3186"/>
    <x v="908"/>
    <n v="4"/>
    <n v="4"/>
    <x v="3"/>
    <x v="2"/>
    <x v="6"/>
    <x v="5"/>
    <x v="2"/>
    <n v="8"/>
    <n v="63449.61"/>
    <n v="507596.88"/>
    <s v="Sumit Goyal"/>
    <n v="24"/>
    <x v="9"/>
    <x v="2"/>
    <n v="1"/>
    <x v="2"/>
    <x v="13"/>
  </r>
  <r>
    <n v="3187"/>
    <x v="908"/>
    <n v="4"/>
    <n v="4"/>
    <x v="3"/>
    <x v="2"/>
    <x v="6"/>
    <x v="5"/>
    <x v="1"/>
    <n v="1"/>
    <n v="68589.399999999994"/>
    <n v="68589.399999999994"/>
    <s v="Aditya Alva"/>
    <n v="43"/>
    <x v="1"/>
    <x v="2"/>
    <n v="2"/>
    <x v="2"/>
    <x v="1"/>
  </r>
  <r>
    <n v="3188"/>
    <x v="908"/>
    <n v="4"/>
    <n v="4"/>
    <x v="3"/>
    <x v="2"/>
    <x v="6"/>
    <x v="5"/>
    <x v="2"/>
    <n v="6"/>
    <n v="52012.88"/>
    <n v="312077.27999999997"/>
    <s v="Bhavana Malhotra"/>
    <n v="41"/>
    <x v="9"/>
    <x v="1"/>
    <n v="1"/>
    <x v="2"/>
    <x v="6"/>
  </r>
  <r>
    <n v="3189"/>
    <x v="909"/>
    <n v="5"/>
    <n v="4"/>
    <x v="3"/>
    <x v="2"/>
    <x v="6"/>
    <x v="6"/>
    <x v="1"/>
    <n v="2"/>
    <n v="40138.1"/>
    <n v="80276.2"/>
    <s v="Kavita Kapoor"/>
    <n v="29"/>
    <x v="2"/>
    <x v="2"/>
    <n v="2"/>
    <x v="2"/>
    <x v="1"/>
  </r>
  <r>
    <n v="3190"/>
    <x v="909"/>
    <n v="5"/>
    <n v="4"/>
    <x v="3"/>
    <x v="2"/>
    <x v="6"/>
    <x v="6"/>
    <x v="0"/>
    <n v="2"/>
    <n v="19978.7"/>
    <n v="39957.4"/>
    <s v="Arun Kaur"/>
    <n v="37"/>
    <x v="2"/>
    <x v="0"/>
    <n v="2"/>
    <x v="2"/>
    <x v="3"/>
  </r>
  <r>
    <n v="3191"/>
    <x v="909"/>
    <n v="5"/>
    <n v="4"/>
    <x v="3"/>
    <x v="2"/>
    <x v="6"/>
    <x v="6"/>
    <x v="4"/>
    <n v="7"/>
    <n v="52322.83"/>
    <n v="366259.81"/>
    <s v="Pooja Goyal"/>
    <n v="31"/>
    <x v="18"/>
    <x v="3"/>
    <n v="4"/>
    <x v="0"/>
    <x v="7"/>
  </r>
  <r>
    <n v="3192"/>
    <x v="909"/>
    <n v="5"/>
    <n v="4"/>
    <x v="3"/>
    <x v="2"/>
    <x v="6"/>
    <x v="6"/>
    <x v="0"/>
    <n v="1"/>
    <n v="27494.66"/>
    <n v="27494.66"/>
    <s v="Anita Varma"/>
    <n v="39"/>
    <x v="2"/>
    <x v="2"/>
    <n v="3"/>
    <x v="1"/>
    <x v="3"/>
  </r>
  <r>
    <n v="3193"/>
    <x v="910"/>
    <n v="6"/>
    <n v="4"/>
    <x v="3"/>
    <x v="2"/>
    <x v="6"/>
    <x v="0"/>
    <x v="1"/>
    <n v="6"/>
    <n v="26976.85"/>
    <n v="161861.09999999998"/>
    <s v="Shruti Thakur"/>
    <n v="33"/>
    <x v="2"/>
    <x v="3"/>
    <n v="1"/>
    <x v="2"/>
    <x v="9"/>
  </r>
  <r>
    <n v="3194"/>
    <x v="910"/>
    <n v="6"/>
    <n v="4"/>
    <x v="3"/>
    <x v="2"/>
    <x v="6"/>
    <x v="0"/>
    <x v="1"/>
    <n v="7"/>
    <n v="24297.27"/>
    <n v="170080.89"/>
    <s v="Lalita Desai"/>
    <n v="46"/>
    <x v="6"/>
    <x v="1"/>
    <n v="5"/>
    <x v="0"/>
    <x v="2"/>
  </r>
  <r>
    <n v="3195"/>
    <x v="910"/>
    <n v="6"/>
    <n v="4"/>
    <x v="3"/>
    <x v="2"/>
    <x v="6"/>
    <x v="0"/>
    <x v="0"/>
    <n v="8"/>
    <n v="62507.32"/>
    <n v="500058.56"/>
    <s v="Sunil Kumar"/>
    <n v="49"/>
    <x v="4"/>
    <x v="0"/>
    <n v="3"/>
    <x v="1"/>
    <x v="0"/>
  </r>
  <r>
    <n v="3196"/>
    <x v="911"/>
    <n v="7"/>
    <n v="4"/>
    <x v="3"/>
    <x v="2"/>
    <x v="6"/>
    <x v="1"/>
    <x v="3"/>
    <n v="7"/>
    <n v="62077.87"/>
    <n v="434545.09"/>
    <s v="Navin Mathur"/>
    <n v="36"/>
    <x v="2"/>
    <x v="0"/>
    <n v="4"/>
    <x v="0"/>
    <x v="8"/>
  </r>
  <r>
    <n v="3197"/>
    <x v="911"/>
    <n v="7"/>
    <n v="4"/>
    <x v="3"/>
    <x v="2"/>
    <x v="6"/>
    <x v="1"/>
    <x v="3"/>
    <n v="6"/>
    <n v="47858.23"/>
    <n v="287149.38"/>
    <s v="Ramesh Solanki"/>
    <n v="52"/>
    <x v="2"/>
    <x v="3"/>
    <n v="4"/>
    <x v="0"/>
    <x v="5"/>
  </r>
  <r>
    <n v="3198"/>
    <x v="911"/>
    <n v="7"/>
    <n v="4"/>
    <x v="3"/>
    <x v="2"/>
    <x v="6"/>
    <x v="1"/>
    <x v="3"/>
    <n v="9"/>
    <n v="38378.86"/>
    <n v="345409.74"/>
    <s v="Vivek Luthra"/>
    <n v="49"/>
    <x v="7"/>
    <x v="0"/>
    <n v="4"/>
    <x v="0"/>
    <x v="8"/>
  </r>
  <r>
    <n v="3199"/>
    <x v="912"/>
    <n v="8"/>
    <n v="4"/>
    <x v="3"/>
    <x v="2"/>
    <x v="6"/>
    <x v="2"/>
    <x v="1"/>
    <n v="3"/>
    <n v="50326.87"/>
    <n v="150980.61000000002"/>
    <s v="Navin Pathak"/>
    <n v="37"/>
    <x v="8"/>
    <x v="1"/>
    <n v="5"/>
    <x v="0"/>
    <x v="9"/>
  </r>
  <r>
    <n v="3200"/>
    <x v="912"/>
    <n v="8"/>
    <n v="4"/>
    <x v="3"/>
    <x v="2"/>
    <x v="6"/>
    <x v="2"/>
    <x v="2"/>
    <n v="6"/>
    <n v="46433.77"/>
    <n v="278602.62"/>
    <s v="Rajesh Siddiqui"/>
    <n v="57"/>
    <x v="0"/>
    <x v="3"/>
    <n v="1"/>
    <x v="2"/>
    <x v="13"/>
  </r>
  <r>
    <n v="3201"/>
    <x v="912"/>
    <n v="8"/>
    <n v="4"/>
    <x v="3"/>
    <x v="2"/>
    <x v="6"/>
    <x v="2"/>
    <x v="1"/>
    <n v="4"/>
    <n v="34944.050000000003"/>
    <n v="139776.20000000001"/>
    <s v="Rajesh Kulkarni"/>
    <n v="37"/>
    <x v="1"/>
    <x v="0"/>
    <n v="1"/>
    <x v="2"/>
    <x v="1"/>
  </r>
  <r>
    <n v="3202"/>
    <x v="913"/>
    <n v="9"/>
    <n v="4"/>
    <x v="3"/>
    <x v="2"/>
    <x v="6"/>
    <x v="3"/>
    <x v="2"/>
    <n v="2"/>
    <n v="32777.85"/>
    <n v="65555.7"/>
    <s v="Pankaj Jain"/>
    <n v="25"/>
    <x v="1"/>
    <x v="1"/>
    <n v="2"/>
    <x v="2"/>
    <x v="4"/>
  </r>
  <r>
    <n v="3203"/>
    <x v="913"/>
    <n v="9"/>
    <n v="4"/>
    <x v="3"/>
    <x v="2"/>
    <x v="6"/>
    <x v="3"/>
    <x v="0"/>
    <n v="1"/>
    <n v="32967.660000000003"/>
    <n v="32967.660000000003"/>
    <s v="Manoj Mehta"/>
    <n v="52"/>
    <x v="1"/>
    <x v="1"/>
    <n v="2"/>
    <x v="2"/>
    <x v="3"/>
  </r>
  <r>
    <n v="3204"/>
    <x v="913"/>
    <n v="9"/>
    <n v="4"/>
    <x v="3"/>
    <x v="2"/>
    <x v="6"/>
    <x v="3"/>
    <x v="4"/>
    <n v="1"/>
    <n v="45348"/>
    <n v="45348"/>
    <s v="Namita Roy"/>
    <n v="59"/>
    <x v="16"/>
    <x v="2"/>
    <n v="2"/>
    <x v="2"/>
    <x v="7"/>
  </r>
  <r>
    <n v="3205"/>
    <x v="913"/>
    <n v="9"/>
    <n v="4"/>
    <x v="3"/>
    <x v="2"/>
    <x v="6"/>
    <x v="3"/>
    <x v="2"/>
    <n v="3"/>
    <n v="48860.160000000003"/>
    <n v="146580.48000000001"/>
    <s v="Sumit Nambiar"/>
    <n v="30"/>
    <x v="1"/>
    <x v="0"/>
    <n v="5"/>
    <x v="0"/>
    <x v="6"/>
  </r>
  <r>
    <n v="3206"/>
    <x v="914"/>
    <n v="10"/>
    <n v="4"/>
    <x v="3"/>
    <x v="2"/>
    <x v="6"/>
    <x v="4"/>
    <x v="3"/>
    <n v="4"/>
    <n v="37104.51"/>
    <n v="148418.04"/>
    <s v="Radha Pathak"/>
    <n v="58"/>
    <x v="1"/>
    <x v="3"/>
    <n v="3"/>
    <x v="1"/>
    <x v="8"/>
  </r>
  <r>
    <n v="3207"/>
    <x v="914"/>
    <n v="10"/>
    <n v="4"/>
    <x v="3"/>
    <x v="2"/>
    <x v="6"/>
    <x v="4"/>
    <x v="1"/>
    <n v="2"/>
    <n v="68121.490000000005"/>
    <n v="136242.98000000001"/>
    <s v="Krishna Jain"/>
    <n v="23"/>
    <x v="1"/>
    <x v="2"/>
    <n v="1"/>
    <x v="2"/>
    <x v="1"/>
  </r>
  <r>
    <n v="3208"/>
    <x v="914"/>
    <n v="10"/>
    <n v="4"/>
    <x v="3"/>
    <x v="2"/>
    <x v="6"/>
    <x v="4"/>
    <x v="0"/>
    <n v="1"/>
    <n v="15030.74"/>
    <n v="15030.74"/>
    <s v="Sachin Sheth"/>
    <n v="33"/>
    <x v="10"/>
    <x v="3"/>
    <n v="2"/>
    <x v="2"/>
    <x v="0"/>
  </r>
  <r>
    <n v="3209"/>
    <x v="914"/>
    <n v="10"/>
    <n v="4"/>
    <x v="3"/>
    <x v="2"/>
    <x v="6"/>
    <x v="4"/>
    <x v="3"/>
    <n v="4"/>
    <n v="30822.82"/>
    <n v="123291.28"/>
    <s v="Sumit Malhotra"/>
    <n v="22"/>
    <x v="9"/>
    <x v="2"/>
    <n v="5"/>
    <x v="0"/>
    <x v="12"/>
  </r>
  <r>
    <n v="3210"/>
    <x v="915"/>
    <n v="11"/>
    <n v="4"/>
    <x v="3"/>
    <x v="2"/>
    <x v="6"/>
    <x v="5"/>
    <x v="0"/>
    <n v="7"/>
    <n v="35144.480000000003"/>
    <n v="246011.36000000002"/>
    <s v="Pankaj Sheth"/>
    <n v="51"/>
    <x v="1"/>
    <x v="1"/>
    <n v="5"/>
    <x v="0"/>
    <x v="10"/>
  </r>
  <r>
    <n v="3211"/>
    <x v="915"/>
    <n v="11"/>
    <n v="4"/>
    <x v="3"/>
    <x v="2"/>
    <x v="6"/>
    <x v="5"/>
    <x v="4"/>
    <n v="6"/>
    <n v="11015.28"/>
    <n v="66091.680000000008"/>
    <s v="Deepika Desai"/>
    <n v="23"/>
    <x v="12"/>
    <x v="2"/>
    <n v="2"/>
    <x v="2"/>
    <x v="7"/>
  </r>
  <r>
    <n v="3212"/>
    <x v="915"/>
    <n v="11"/>
    <n v="4"/>
    <x v="3"/>
    <x v="2"/>
    <x v="6"/>
    <x v="5"/>
    <x v="1"/>
    <n v="6"/>
    <n v="31897.43"/>
    <n v="191384.58000000002"/>
    <s v="Lata Chatterjee"/>
    <n v="50"/>
    <x v="11"/>
    <x v="2"/>
    <n v="4"/>
    <x v="0"/>
    <x v="1"/>
  </r>
  <r>
    <n v="3213"/>
    <x v="915"/>
    <n v="11"/>
    <n v="4"/>
    <x v="3"/>
    <x v="2"/>
    <x v="6"/>
    <x v="5"/>
    <x v="1"/>
    <n v="9"/>
    <n v="26422.6"/>
    <n v="237803.4"/>
    <s v="Meena Menon"/>
    <n v="32"/>
    <x v="15"/>
    <x v="2"/>
    <n v="4"/>
    <x v="0"/>
    <x v="1"/>
  </r>
  <r>
    <n v="3214"/>
    <x v="916"/>
    <n v="12"/>
    <n v="4"/>
    <x v="3"/>
    <x v="2"/>
    <x v="6"/>
    <x v="6"/>
    <x v="4"/>
    <n v="2"/>
    <n v="40362.18"/>
    <n v="80724.36"/>
    <s v="Prashant Verma"/>
    <n v="32"/>
    <x v="1"/>
    <x v="0"/>
    <n v="4"/>
    <x v="0"/>
    <x v="11"/>
  </r>
  <r>
    <n v="3215"/>
    <x v="916"/>
    <n v="12"/>
    <n v="4"/>
    <x v="3"/>
    <x v="2"/>
    <x v="6"/>
    <x v="6"/>
    <x v="1"/>
    <n v="4"/>
    <n v="30184.63"/>
    <n v="120738.52"/>
    <s v="Harish Kaur"/>
    <n v="31"/>
    <x v="10"/>
    <x v="2"/>
    <n v="2"/>
    <x v="2"/>
    <x v="9"/>
  </r>
  <r>
    <n v="3216"/>
    <x v="916"/>
    <n v="12"/>
    <n v="4"/>
    <x v="3"/>
    <x v="2"/>
    <x v="6"/>
    <x v="6"/>
    <x v="2"/>
    <n v="5"/>
    <n v="53570.93"/>
    <n v="267854.65000000002"/>
    <s v="Nikhil Chaudhary"/>
    <n v="56"/>
    <x v="8"/>
    <x v="1"/>
    <n v="5"/>
    <x v="0"/>
    <x v="13"/>
  </r>
  <r>
    <n v="3217"/>
    <x v="916"/>
    <n v="12"/>
    <n v="4"/>
    <x v="3"/>
    <x v="2"/>
    <x v="6"/>
    <x v="6"/>
    <x v="0"/>
    <n v="1"/>
    <n v="40595.949999999997"/>
    <n v="40595.949999999997"/>
    <s v="Pankaj Roy"/>
    <n v="22"/>
    <x v="16"/>
    <x v="3"/>
    <n v="5"/>
    <x v="0"/>
    <x v="3"/>
  </r>
  <r>
    <n v="3218"/>
    <x v="917"/>
    <n v="13"/>
    <n v="4"/>
    <x v="3"/>
    <x v="2"/>
    <x v="6"/>
    <x v="0"/>
    <x v="3"/>
    <n v="8"/>
    <n v="17785.73"/>
    <n v="142285.84"/>
    <s v="Priyanka Jain"/>
    <n v="43"/>
    <x v="2"/>
    <x v="0"/>
    <n v="1"/>
    <x v="2"/>
    <x v="5"/>
  </r>
  <r>
    <n v="3219"/>
    <x v="917"/>
    <n v="13"/>
    <n v="4"/>
    <x v="3"/>
    <x v="2"/>
    <x v="6"/>
    <x v="0"/>
    <x v="4"/>
    <n v="8"/>
    <n v="55003.68"/>
    <n v="440029.44"/>
    <s v="Bina Das"/>
    <n v="34"/>
    <x v="2"/>
    <x v="1"/>
    <n v="4"/>
    <x v="0"/>
    <x v="7"/>
  </r>
  <r>
    <n v="3220"/>
    <x v="917"/>
    <n v="13"/>
    <n v="4"/>
    <x v="3"/>
    <x v="2"/>
    <x v="6"/>
    <x v="0"/>
    <x v="2"/>
    <n v="6"/>
    <n v="15953.73"/>
    <n v="95722.38"/>
    <s v="Aditya Rao"/>
    <n v="33"/>
    <x v="16"/>
    <x v="0"/>
    <n v="2"/>
    <x v="2"/>
    <x v="6"/>
  </r>
  <r>
    <n v="3221"/>
    <x v="917"/>
    <n v="13"/>
    <n v="4"/>
    <x v="3"/>
    <x v="2"/>
    <x v="6"/>
    <x v="0"/>
    <x v="3"/>
    <n v="5"/>
    <n v="60342.95"/>
    <n v="301714.75"/>
    <s v="Pooja Goyal"/>
    <n v="52"/>
    <x v="2"/>
    <x v="3"/>
    <n v="1"/>
    <x v="2"/>
    <x v="8"/>
  </r>
  <r>
    <n v="3222"/>
    <x v="918"/>
    <n v="14"/>
    <n v="4"/>
    <x v="3"/>
    <x v="2"/>
    <x v="6"/>
    <x v="1"/>
    <x v="3"/>
    <n v="8"/>
    <n v="65885.33"/>
    <n v="527082.64"/>
    <s v="Isha Singh"/>
    <n v="55"/>
    <x v="1"/>
    <x v="3"/>
    <n v="5"/>
    <x v="0"/>
    <x v="5"/>
  </r>
  <r>
    <n v="3223"/>
    <x v="918"/>
    <n v="14"/>
    <n v="4"/>
    <x v="3"/>
    <x v="2"/>
    <x v="6"/>
    <x v="1"/>
    <x v="4"/>
    <n v="3"/>
    <n v="29346.720000000001"/>
    <n v="88040.16"/>
    <s v="Tapan Ahuja"/>
    <n v="40"/>
    <x v="3"/>
    <x v="3"/>
    <n v="1"/>
    <x v="2"/>
    <x v="11"/>
  </r>
  <r>
    <n v="3224"/>
    <x v="918"/>
    <n v="14"/>
    <n v="4"/>
    <x v="3"/>
    <x v="2"/>
    <x v="6"/>
    <x v="1"/>
    <x v="2"/>
    <n v="3"/>
    <n v="65568.56"/>
    <n v="196705.68"/>
    <s v="Ramesh Sharma"/>
    <n v="30"/>
    <x v="9"/>
    <x v="0"/>
    <n v="4"/>
    <x v="0"/>
    <x v="13"/>
  </r>
  <r>
    <n v="3225"/>
    <x v="918"/>
    <n v="14"/>
    <n v="4"/>
    <x v="3"/>
    <x v="2"/>
    <x v="6"/>
    <x v="1"/>
    <x v="3"/>
    <n v="2"/>
    <n v="57580.49"/>
    <n v="115160.98"/>
    <s v="Sunil Das"/>
    <n v="50"/>
    <x v="9"/>
    <x v="0"/>
    <n v="3"/>
    <x v="1"/>
    <x v="5"/>
  </r>
  <r>
    <n v="3226"/>
    <x v="919"/>
    <n v="15"/>
    <n v="4"/>
    <x v="3"/>
    <x v="2"/>
    <x v="6"/>
    <x v="2"/>
    <x v="3"/>
    <n v="5"/>
    <n v="65346.14"/>
    <n v="326730.7"/>
    <s v="Tanuja Malhotra"/>
    <n v="46"/>
    <x v="18"/>
    <x v="3"/>
    <n v="4"/>
    <x v="0"/>
    <x v="12"/>
  </r>
  <r>
    <n v="3227"/>
    <x v="919"/>
    <n v="15"/>
    <n v="4"/>
    <x v="3"/>
    <x v="2"/>
    <x v="6"/>
    <x v="2"/>
    <x v="2"/>
    <n v="3"/>
    <n v="49976.21"/>
    <n v="149928.63"/>
    <s v="Lalita Shah"/>
    <n v="51"/>
    <x v="11"/>
    <x v="3"/>
    <n v="4"/>
    <x v="0"/>
    <x v="13"/>
  </r>
  <r>
    <n v="3228"/>
    <x v="919"/>
    <n v="15"/>
    <n v="4"/>
    <x v="3"/>
    <x v="2"/>
    <x v="6"/>
    <x v="2"/>
    <x v="1"/>
    <n v="3"/>
    <n v="24138.639999999999"/>
    <n v="72415.92"/>
    <s v="Pankaj Verma"/>
    <n v="51"/>
    <x v="5"/>
    <x v="1"/>
    <n v="2"/>
    <x v="2"/>
    <x v="1"/>
  </r>
  <r>
    <n v="3229"/>
    <x v="919"/>
    <n v="15"/>
    <n v="4"/>
    <x v="3"/>
    <x v="2"/>
    <x v="6"/>
    <x v="2"/>
    <x v="3"/>
    <n v="6"/>
    <n v="63671.39"/>
    <n v="382028.33999999997"/>
    <s v="Mala Menon"/>
    <n v="44"/>
    <x v="15"/>
    <x v="3"/>
    <n v="3"/>
    <x v="1"/>
    <x v="12"/>
  </r>
  <r>
    <n v="3230"/>
    <x v="920"/>
    <n v="16"/>
    <n v="4"/>
    <x v="3"/>
    <x v="2"/>
    <x v="6"/>
    <x v="3"/>
    <x v="0"/>
    <n v="8"/>
    <n v="21055.9"/>
    <n v="168447.2"/>
    <s v="Priyanka Sharma"/>
    <n v="32"/>
    <x v="13"/>
    <x v="2"/>
    <n v="3"/>
    <x v="1"/>
    <x v="0"/>
  </r>
  <r>
    <n v="3231"/>
    <x v="920"/>
    <n v="16"/>
    <n v="4"/>
    <x v="3"/>
    <x v="2"/>
    <x v="6"/>
    <x v="3"/>
    <x v="2"/>
    <n v="2"/>
    <n v="22783.63"/>
    <n v="45567.26"/>
    <s v="Deepika Gupta"/>
    <n v="26"/>
    <x v="13"/>
    <x v="0"/>
    <n v="3"/>
    <x v="1"/>
    <x v="6"/>
  </r>
  <r>
    <n v="3232"/>
    <x v="920"/>
    <n v="16"/>
    <n v="4"/>
    <x v="3"/>
    <x v="2"/>
    <x v="6"/>
    <x v="3"/>
    <x v="3"/>
    <n v="4"/>
    <n v="26263.78"/>
    <n v="105055.12"/>
    <s v="Radha Mathur"/>
    <n v="43"/>
    <x v="2"/>
    <x v="1"/>
    <n v="5"/>
    <x v="0"/>
    <x v="12"/>
  </r>
  <r>
    <n v="3233"/>
    <x v="921"/>
    <n v="17"/>
    <n v="4"/>
    <x v="3"/>
    <x v="2"/>
    <x v="6"/>
    <x v="4"/>
    <x v="4"/>
    <n v="7"/>
    <n v="28254.78"/>
    <n v="197783.46"/>
    <s v="Lalita Rathod"/>
    <n v="20"/>
    <x v="6"/>
    <x v="0"/>
    <n v="1"/>
    <x v="2"/>
    <x v="14"/>
  </r>
  <r>
    <n v="3234"/>
    <x v="921"/>
    <n v="17"/>
    <n v="4"/>
    <x v="3"/>
    <x v="2"/>
    <x v="6"/>
    <x v="4"/>
    <x v="0"/>
    <n v="1"/>
    <n v="40868.78"/>
    <n v="40868.78"/>
    <s v="Prashant Mishra"/>
    <n v="53"/>
    <x v="0"/>
    <x v="3"/>
    <n v="5"/>
    <x v="0"/>
    <x v="0"/>
  </r>
  <r>
    <n v="3235"/>
    <x v="921"/>
    <n v="17"/>
    <n v="4"/>
    <x v="3"/>
    <x v="2"/>
    <x v="6"/>
    <x v="4"/>
    <x v="3"/>
    <n v="1"/>
    <n v="52807.44"/>
    <n v="52807.44"/>
    <s v="Ravi Teja"/>
    <n v="22"/>
    <x v="2"/>
    <x v="2"/>
    <n v="3"/>
    <x v="1"/>
    <x v="12"/>
  </r>
  <r>
    <n v="3236"/>
    <x v="922"/>
    <n v="18"/>
    <n v="4"/>
    <x v="3"/>
    <x v="2"/>
    <x v="6"/>
    <x v="5"/>
    <x v="0"/>
    <n v="7"/>
    <n v="65572.490000000005"/>
    <n v="459007.43000000005"/>
    <s v="Ravi Teja"/>
    <n v="37"/>
    <x v="10"/>
    <x v="3"/>
    <n v="2"/>
    <x v="2"/>
    <x v="10"/>
  </r>
  <r>
    <n v="3237"/>
    <x v="922"/>
    <n v="18"/>
    <n v="4"/>
    <x v="3"/>
    <x v="2"/>
    <x v="6"/>
    <x v="5"/>
    <x v="0"/>
    <n v="7"/>
    <n v="15306.26"/>
    <n v="107143.82"/>
    <s v="Kavita Singh"/>
    <n v="37"/>
    <x v="8"/>
    <x v="0"/>
    <n v="4"/>
    <x v="0"/>
    <x v="0"/>
  </r>
  <r>
    <n v="3238"/>
    <x v="922"/>
    <n v="18"/>
    <n v="4"/>
    <x v="3"/>
    <x v="2"/>
    <x v="6"/>
    <x v="5"/>
    <x v="1"/>
    <n v="1"/>
    <n v="67262.16"/>
    <n v="67262.16"/>
    <s v="Vinod Kulkarni"/>
    <n v="22"/>
    <x v="18"/>
    <x v="1"/>
    <n v="4"/>
    <x v="0"/>
    <x v="1"/>
  </r>
  <r>
    <n v="3239"/>
    <x v="923"/>
    <n v="19"/>
    <n v="4"/>
    <x v="3"/>
    <x v="2"/>
    <x v="6"/>
    <x v="6"/>
    <x v="0"/>
    <n v="1"/>
    <n v="65279.38"/>
    <n v="65279.38"/>
    <s v="Ayesha Ahuja"/>
    <n v="27"/>
    <x v="6"/>
    <x v="0"/>
    <n v="5"/>
    <x v="0"/>
    <x v="3"/>
  </r>
  <r>
    <n v="3240"/>
    <x v="923"/>
    <n v="19"/>
    <n v="4"/>
    <x v="3"/>
    <x v="2"/>
    <x v="6"/>
    <x v="6"/>
    <x v="1"/>
    <n v="4"/>
    <n v="13239.96"/>
    <n v="52959.839999999997"/>
    <s v="Jyoti Kumar"/>
    <n v="33"/>
    <x v="7"/>
    <x v="1"/>
    <n v="5"/>
    <x v="0"/>
    <x v="1"/>
  </r>
  <r>
    <n v="3241"/>
    <x v="923"/>
    <n v="19"/>
    <n v="4"/>
    <x v="3"/>
    <x v="2"/>
    <x v="6"/>
    <x v="6"/>
    <x v="2"/>
    <n v="5"/>
    <n v="31619.27"/>
    <n v="158096.35"/>
    <s v="Manoj Dutta"/>
    <n v="42"/>
    <x v="12"/>
    <x v="2"/>
    <n v="2"/>
    <x v="2"/>
    <x v="4"/>
  </r>
  <r>
    <n v="3242"/>
    <x v="924"/>
    <n v="20"/>
    <n v="4"/>
    <x v="3"/>
    <x v="2"/>
    <x v="6"/>
    <x v="0"/>
    <x v="1"/>
    <n v="5"/>
    <n v="58788.6"/>
    <n v="293943"/>
    <s v="Namita Gupta"/>
    <n v="42"/>
    <x v="1"/>
    <x v="3"/>
    <n v="4"/>
    <x v="0"/>
    <x v="9"/>
  </r>
  <r>
    <n v="3243"/>
    <x v="924"/>
    <n v="20"/>
    <n v="4"/>
    <x v="3"/>
    <x v="2"/>
    <x v="6"/>
    <x v="0"/>
    <x v="4"/>
    <n v="4"/>
    <n v="46694.59"/>
    <n v="186778.36"/>
    <s v="Nikhil Solanki"/>
    <n v="47"/>
    <x v="7"/>
    <x v="3"/>
    <n v="5"/>
    <x v="0"/>
    <x v="14"/>
  </r>
  <r>
    <n v="3244"/>
    <x v="924"/>
    <n v="20"/>
    <n v="4"/>
    <x v="3"/>
    <x v="2"/>
    <x v="6"/>
    <x v="0"/>
    <x v="3"/>
    <n v="8"/>
    <n v="56745.64"/>
    <n v="453965.12"/>
    <s v="Pooja Solanki"/>
    <n v="31"/>
    <x v="8"/>
    <x v="2"/>
    <n v="1"/>
    <x v="2"/>
    <x v="12"/>
  </r>
  <r>
    <n v="3245"/>
    <x v="925"/>
    <n v="21"/>
    <n v="4"/>
    <x v="3"/>
    <x v="2"/>
    <x v="6"/>
    <x v="1"/>
    <x v="2"/>
    <n v="7"/>
    <n v="53142"/>
    <n v="371994"/>
    <s v="Sumit Sheth"/>
    <n v="39"/>
    <x v="0"/>
    <x v="0"/>
    <n v="5"/>
    <x v="0"/>
    <x v="6"/>
  </r>
  <r>
    <n v="3246"/>
    <x v="925"/>
    <n v="21"/>
    <n v="4"/>
    <x v="3"/>
    <x v="2"/>
    <x v="6"/>
    <x v="1"/>
    <x v="2"/>
    <n v="9"/>
    <n v="39806.21"/>
    <n v="358255.89"/>
    <s v="Krishna Bhattacharya"/>
    <n v="45"/>
    <x v="2"/>
    <x v="2"/>
    <n v="5"/>
    <x v="0"/>
    <x v="6"/>
  </r>
  <r>
    <n v="3247"/>
    <x v="925"/>
    <n v="21"/>
    <n v="4"/>
    <x v="3"/>
    <x v="2"/>
    <x v="6"/>
    <x v="1"/>
    <x v="4"/>
    <n v="7"/>
    <n v="12473.08"/>
    <n v="87311.56"/>
    <s v="Ayesha Bhattacharya"/>
    <n v="47"/>
    <x v="2"/>
    <x v="3"/>
    <n v="3"/>
    <x v="1"/>
    <x v="11"/>
  </r>
  <r>
    <n v="3248"/>
    <x v="926"/>
    <n v="22"/>
    <n v="4"/>
    <x v="3"/>
    <x v="2"/>
    <x v="6"/>
    <x v="2"/>
    <x v="1"/>
    <n v="1"/>
    <n v="45056.09"/>
    <n v="45056.09"/>
    <s v="Vivek Mishra"/>
    <n v="36"/>
    <x v="0"/>
    <x v="1"/>
    <n v="1"/>
    <x v="2"/>
    <x v="2"/>
  </r>
  <r>
    <n v="3249"/>
    <x v="926"/>
    <n v="22"/>
    <n v="4"/>
    <x v="3"/>
    <x v="2"/>
    <x v="6"/>
    <x v="2"/>
    <x v="3"/>
    <n v="7"/>
    <n v="12914"/>
    <n v="90398"/>
    <s v="Priya Ahuja"/>
    <n v="55"/>
    <x v="1"/>
    <x v="3"/>
    <n v="1"/>
    <x v="2"/>
    <x v="5"/>
  </r>
  <r>
    <n v="3250"/>
    <x v="926"/>
    <n v="22"/>
    <n v="4"/>
    <x v="3"/>
    <x v="2"/>
    <x v="6"/>
    <x v="2"/>
    <x v="1"/>
    <n v="1"/>
    <n v="46223.6"/>
    <n v="46223.6"/>
    <s v="Vijay Rao"/>
    <n v="59"/>
    <x v="2"/>
    <x v="0"/>
    <n v="2"/>
    <x v="2"/>
    <x v="9"/>
  </r>
  <r>
    <n v="3251"/>
    <x v="927"/>
    <n v="23"/>
    <n v="4"/>
    <x v="3"/>
    <x v="2"/>
    <x v="6"/>
    <x v="3"/>
    <x v="0"/>
    <n v="7"/>
    <n v="58024.65"/>
    <n v="406172.55"/>
    <s v="Priya Ahuja"/>
    <n v="37"/>
    <x v="14"/>
    <x v="1"/>
    <n v="3"/>
    <x v="1"/>
    <x v="10"/>
  </r>
  <r>
    <n v="3252"/>
    <x v="927"/>
    <n v="23"/>
    <n v="4"/>
    <x v="3"/>
    <x v="2"/>
    <x v="6"/>
    <x v="3"/>
    <x v="1"/>
    <n v="8"/>
    <n v="45099.5"/>
    <n v="360796"/>
    <s v="Lata Rawat"/>
    <n v="52"/>
    <x v="8"/>
    <x v="0"/>
    <n v="1"/>
    <x v="2"/>
    <x v="1"/>
  </r>
  <r>
    <n v="3253"/>
    <x v="927"/>
    <n v="23"/>
    <n v="4"/>
    <x v="3"/>
    <x v="2"/>
    <x v="6"/>
    <x v="3"/>
    <x v="2"/>
    <n v="9"/>
    <n v="69821.31"/>
    <n v="628391.79"/>
    <s v="Prashant Verma"/>
    <n v="39"/>
    <x v="3"/>
    <x v="3"/>
    <n v="3"/>
    <x v="1"/>
    <x v="6"/>
  </r>
  <r>
    <n v="3254"/>
    <x v="927"/>
    <n v="23"/>
    <n v="4"/>
    <x v="3"/>
    <x v="2"/>
    <x v="6"/>
    <x v="3"/>
    <x v="3"/>
    <n v="3"/>
    <n v="37351.99"/>
    <n v="112055.97"/>
    <s v="Sunil Kapoor"/>
    <n v="32"/>
    <x v="12"/>
    <x v="3"/>
    <n v="3"/>
    <x v="1"/>
    <x v="12"/>
  </r>
  <r>
    <n v="3255"/>
    <x v="928"/>
    <n v="24"/>
    <n v="4"/>
    <x v="3"/>
    <x v="2"/>
    <x v="6"/>
    <x v="4"/>
    <x v="1"/>
    <n v="4"/>
    <n v="54929.65"/>
    <n v="219718.6"/>
    <s v="Bhavana Varma"/>
    <n v="28"/>
    <x v="9"/>
    <x v="1"/>
    <n v="4"/>
    <x v="0"/>
    <x v="2"/>
  </r>
  <r>
    <n v="3256"/>
    <x v="928"/>
    <n v="24"/>
    <n v="4"/>
    <x v="3"/>
    <x v="2"/>
    <x v="6"/>
    <x v="4"/>
    <x v="3"/>
    <n v="4"/>
    <n v="50032.800000000003"/>
    <n v="200131.20000000001"/>
    <s v="Ramesh Nambiar"/>
    <n v="51"/>
    <x v="2"/>
    <x v="0"/>
    <n v="1"/>
    <x v="2"/>
    <x v="8"/>
  </r>
  <r>
    <n v="3257"/>
    <x v="928"/>
    <n v="24"/>
    <n v="4"/>
    <x v="3"/>
    <x v="2"/>
    <x v="6"/>
    <x v="4"/>
    <x v="3"/>
    <n v="9"/>
    <n v="69485.899999999994"/>
    <n v="625373.1"/>
    <s v="Gita Dutta"/>
    <n v="41"/>
    <x v="1"/>
    <x v="1"/>
    <n v="4"/>
    <x v="0"/>
    <x v="8"/>
  </r>
  <r>
    <n v="3258"/>
    <x v="928"/>
    <n v="24"/>
    <n v="4"/>
    <x v="3"/>
    <x v="2"/>
    <x v="6"/>
    <x v="4"/>
    <x v="0"/>
    <n v="7"/>
    <n v="52793.14"/>
    <n v="369551.98"/>
    <s v="Isha Gupta"/>
    <n v="23"/>
    <x v="18"/>
    <x v="1"/>
    <n v="5"/>
    <x v="0"/>
    <x v="10"/>
  </r>
  <r>
    <n v="3259"/>
    <x v="929"/>
    <n v="25"/>
    <n v="4"/>
    <x v="3"/>
    <x v="2"/>
    <x v="6"/>
    <x v="5"/>
    <x v="0"/>
    <n v="3"/>
    <n v="19841.84"/>
    <n v="59525.520000000004"/>
    <s v="Kiran Gupta"/>
    <n v="34"/>
    <x v="1"/>
    <x v="0"/>
    <n v="5"/>
    <x v="0"/>
    <x v="0"/>
  </r>
  <r>
    <n v="3260"/>
    <x v="929"/>
    <n v="25"/>
    <n v="4"/>
    <x v="3"/>
    <x v="2"/>
    <x v="6"/>
    <x v="5"/>
    <x v="2"/>
    <n v="5"/>
    <n v="67331.06"/>
    <n v="336655.3"/>
    <s v="Manoj Siddiqui"/>
    <n v="45"/>
    <x v="11"/>
    <x v="1"/>
    <n v="4"/>
    <x v="0"/>
    <x v="13"/>
  </r>
  <r>
    <n v="3261"/>
    <x v="929"/>
    <n v="25"/>
    <n v="4"/>
    <x v="3"/>
    <x v="2"/>
    <x v="6"/>
    <x v="5"/>
    <x v="4"/>
    <n v="7"/>
    <n v="50066.63"/>
    <n v="350466.41"/>
    <s v="Mala Pathak"/>
    <n v="48"/>
    <x v="2"/>
    <x v="2"/>
    <n v="5"/>
    <x v="0"/>
    <x v="11"/>
  </r>
  <r>
    <n v="3262"/>
    <x v="930"/>
    <n v="26"/>
    <n v="4"/>
    <x v="3"/>
    <x v="2"/>
    <x v="6"/>
    <x v="6"/>
    <x v="3"/>
    <n v="8"/>
    <n v="13560.29"/>
    <n v="108482.32"/>
    <s v="Mala Roy"/>
    <n v="53"/>
    <x v="15"/>
    <x v="1"/>
    <n v="4"/>
    <x v="0"/>
    <x v="5"/>
  </r>
  <r>
    <n v="3263"/>
    <x v="930"/>
    <n v="26"/>
    <n v="4"/>
    <x v="3"/>
    <x v="2"/>
    <x v="6"/>
    <x v="6"/>
    <x v="4"/>
    <n v="1"/>
    <n v="49454.1"/>
    <n v="49454.1"/>
    <s v="Nikhil Menon"/>
    <n v="26"/>
    <x v="3"/>
    <x v="3"/>
    <n v="2"/>
    <x v="2"/>
    <x v="7"/>
  </r>
  <r>
    <n v="3264"/>
    <x v="930"/>
    <n v="26"/>
    <n v="4"/>
    <x v="3"/>
    <x v="2"/>
    <x v="6"/>
    <x v="6"/>
    <x v="2"/>
    <n v="2"/>
    <n v="62987.16"/>
    <n v="125974.32"/>
    <s v="Meena Mathur"/>
    <n v="27"/>
    <x v="2"/>
    <x v="0"/>
    <n v="3"/>
    <x v="1"/>
    <x v="4"/>
  </r>
  <r>
    <n v="3265"/>
    <x v="931"/>
    <n v="27"/>
    <n v="4"/>
    <x v="3"/>
    <x v="2"/>
    <x v="6"/>
    <x v="0"/>
    <x v="3"/>
    <n v="7"/>
    <n v="44622.51"/>
    <n v="312357.57"/>
    <s v="Kiran Singh"/>
    <n v="38"/>
    <x v="17"/>
    <x v="3"/>
    <n v="2"/>
    <x v="2"/>
    <x v="8"/>
  </r>
  <r>
    <n v="3266"/>
    <x v="931"/>
    <n v="27"/>
    <n v="4"/>
    <x v="3"/>
    <x v="2"/>
    <x v="6"/>
    <x v="0"/>
    <x v="3"/>
    <n v="2"/>
    <n v="31241.18"/>
    <n v="62482.36"/>
    <s v="Priyanka Menon"/>
    <n v="51"/>
    <x v="6"/>
    <x v="2"/>
    <n v="1"/>
    <x v="2"/>
    <x v="5"/>
  </r>
  <r>
    <n v="3267"/>
    <x v="931"/>
    <n v="27"/>
    <n v="4"/>
    <x v="3"/>
    <x v="2"/>
    <x v="6"/>
    <x v="0"/>
    <x v="4"/>
    <n v="7"/>
    <n v="59254.58"/>
    <n v="414782.06"/>
    <s v="Nikhil Ahuja"/>
    <n v="48"/>
    <x v="1"/>
    <x v="2"/>
    <n v="2"/>
    <x v="2"/>
    <x v="11"/>
  </r>
  <r>
    <n v="3268"/>
    <x v="931"/>
    <n v="27"/>
    <n v="4"/>
    <x v="3"/>
    <x v="2"/>
    <x v="6"/>
    <x v="0"/>
    <x v="1"/>
    <n v="9"/>
    <n v="56950.720000000001"/>
    <n v="512556.48"/>
    <s v="Ayesha Roy"/>
    <n v="46"/>
    <x v="18"/>
    <x v="1"/>
    <n v="2"/>
    <x v="2"/>
    <x v="9"/>
  </r>
  <r>
    <n v="3269"/>
    <x v="932"/>
    <n v="28"/>
    <n v="4"/>
    <x v="3"/>
    <x v="2"/>
    <x v="6"/>
    <x v="1"/>
    <x v="0"/>
    <n v="2"/>
    <n v="42650.93"/>
    <n v="85301.86"/>
    <s v="Sunil Dutta"/>
    <n v="28"/>
    <x v="15"/>
    <x v="3"/>
    <n v="5"/>
    <x v="0"/>
    <x v="10"/>
  </r>
  <r>
    <n v="3270"/>
    <x v="932"/>
    <n v="28"/>
    <n v="4"/>
    <x v="3"/>
    <x v="2"/>
    <x v="6"/>
    <x v="1"/>
    <x v="1"/>
    <n v="7"/>
    <n v="19261.71"/>
    <n v="134831.97"/>
    <s v="Priya Patel"/>
    <n v="50"/>
    <x v="1"/>
    <x v="1"/>
    <n v="4"/>
    <x v="0"/>
    <x v="2"/>
  </r>
  <r>
    <n v="3271"/>
    <x v="932"/>
    <n v="28"/>
    <n v="4"/>
    <x v="3"/>
    <x v="2"/>
    <x v="6"/>
    <x v="1"/>
    <x v="4"/>
    <n v="4"/>
    <n v="25059.19"/>
    <n v="100236.76"/>
    <s v="Anita Malhotra"/>
    <n v="18"/>
    <x v="13"/>
    <x v="1"/>
    <n v="1"/>
    <x v="2"/>
    <x v="14"/>
  </r>
  <r>
    <n v="3272"/>
    <x v="933"/>
    <n v="29"/>
    <n v="4"/>
    <x v="3"/>
    <x v="2"/>
    <x v="6"/>
    <x v="2"/>
    <x v="0"/>
    <n v="2"/>
    <n v="54309.04"/>
    <n v="108618.08"/>
    <s v="Anita Joshi"/>
    <n v="38"/>
    <x v="5"/>
    <x v="3"/>
    <n v="5"/>
    <x v="0"/>
    <x v="0"/>
  </r>
  <r>
    <n v="3273"/>
    <x v="933"/>
    <n v="29"/>
    <n v="4"/>
    <x v="3"/>
    <x v="2"/>
    <x v="6"/>
    <x v="2"/>
    <x v="1"/>
    <n v="7"/>
    <n v="58364.93"/>
    <n v="408554.51"/>
    <s v="Sunil Dutta"/>
    <n v="40"/>
    <x v="16"/>
    <x v="2"/>
    <n v="1"/>
    <x v="2"/>
    <x v="2"/>
  </r>
  <r>
    <n v="3274"/>
    <x v="933"/>
    <n v="29"/>
    <n v="4"/>
    <x v="3"/>
    <x v="2"/>
    <x v="6"/>
    <x v="2"/>
    <x v="0"/>
    <n v="5"/>
    <n v="26755.919999999998"/>
    <n v="133779.59999999998"/>
    <s v="Pankaj Pathak"/>
    <n v="26"/>
    <x v="7"/>
    <x v="2"/>
    <n v="3"/>
    <x v="1"/>
    <x v="10"/>
  </r>
  <r>
    <n v="3275"/>
    <x v="934"/>
    <n v="30"/>
    <n v="4"/>
    <x v="3"/>
    <x v="2"/>
    <x v="6"/>
    <x v="3"/>
    <x v="3"/>
    <n v="1"/>
    <n v="32079.1"/>
    <n v="32079.1"/>
    <s v="Manoj Jain"/>
    <n v="18"/>
    <x v="9"/>
    <x v="2"/>
    <n v="4"/>
    <x v="0"/>
    <x v="8"/>
  </r>
  <r>
    <n v="3276"/>
    <x v="934"/>
    <n v="30"/>
    <n v="4"/>
    <x v="3"/>
    <x v="2"/>
    <x v="6"/>
    <x v="3"/>
    <x v="1"/>
    <n v="5"/>
    <n v="14657.91"/>
    <n v="73289.55"/>
    <s v="Bhavana Rathod"/>
    <n v="38"/>
    <x v="1"/>
    <x v="0"/>
    <n v="5"/>
    <x v="0"/>
    <x v="1"/>
  </r>
  <r>
    <n v="3277"/>
    <x v="934"/>
    <n v="30"/>
    <n v="4"/>
    <x v="3"/>
    <x v="2"/>
    <x v="6"/>
    <x v="3"/>
    <x v="0"/>
    <n v="3"/>
    <n v="52807.72"/>
    <n v="158423.16"/>
    <s v="Rajesh Mishra"/>
    <n v="39"/>
    <x v="2"/>
    <x v="0"/>
    <n v="2"/>
    <x v="2"/>
    <x v="0"/>
  </r>
  <r>
    <n v="3278"/>
    <x v="934"/>
    <n v="30"/>
    <n v="4"/>
    <x v="3"/>
    <x v="2"/>
    <x v="6"/>
    <x v="3"/>
    <x v="0"/>
    <n v="7"/>
    <n v="10214.65"/>
    <n v="71502.55"/>
    <s v="Namita Mehta"/>
    <n v="21"/>
    <x v="1"/>
    <x v="1"/>
    <n v="3"/>
    <x v="1"/>
    <x v="10"/>
  </r>
  <r>
    <n v="3279"/>
    <x v="935"/>
    <n v="1"/>
    <n v="5"/>
    <x v="3"/>
    <x v="2"/>
    <x v="7"/>
    <x v="4"/>
    <x v="0"/>
    <n v="6"/>
    <n v="12792.49"/>
    <n v="76754.94"/>
    <s v="Neeta Mathur"/>
    <n v="18"/>
    <x v="2"/>
    <x v="0"/>
    <n v="2"/>
    <x v="2"/>
    <x v="10"/>
  </r>
  <r>
    <n v="3280"/>
    <x v="935"/>
    <n v="1"/>
    <n v="5"/>
    <x v="3"/>
    <x v="2"/>
    <x v="7"/>
    <x v="4"/>
    <x v="1"/>
    <n v="8"/>
    <n v="10260.64"/>
    <n v="82085.119999999995"/>
    <s v="Rajesh Singh"/>
    <n v="27"/>
    <x v="18"/>
    <x v="0"/>
    <n v="1"/>
    <x v="2"/>
    <x v="2"/>
  </r>
  <r>
    <n v="3281"/>
    <x v="935"/>
    <n v="1"/>
    <n v="5"/>
    <x v="3"/>
    <x v="2"/>
    <x v="7"/>
    <x v="4"/>
    <x v="2"/>
    <n v="5"/>
    <n v="48719.18"/>
    <n v="243595.9"/>
    <s v="Sunita Das"/>
    <n v="32"/>
    <x v="8"/>
    <x v="3"/>
    <n v="3"/>
    <x v="1"/>
    <x v="4"/>
  </r>
  <r>
    <n v="3282"/>
    <x v="936"/>
    <n v="2"/>
    <n v="5"/>
    <x v="3"/>
    <x v="2"/>
    <x v="7"/>
    <x v="5"/>
    <x v="1"/>
    <n v="2"/>
    <n v="35043.230000000003"/>
    <n v="70086.460000000006"/>
    <s v="Krishna Reddy"/>
    <n v="53"/>
    <x v="2"/>
    <x v="1"/>
    <n v="5"/>
    <x v="0"/>
    <x v="1"/>
  </r>
  <r>
    <n v="3283"/>
    <x v="936"/>
    <n v="2"/>
    <n v="5"/>
    <x v="3"/>
    <x v="2"/>
    <x v="7"/>
    <x v="5"/>
    <x v="4"/>
    <n v="9"/>
    <n v="27852.81"/>
    <n v="250675.29"/>
    <s v="Vijay Siddiqui"/>
    <n v="46"/>
    <x v="1"/>
    <x v="1"/>
    <n v="2"/>
    <x v="2"/>
    <x v="14"/>
  </r>
  <r>
    <n v="3284"/>
    <x v="936"/>
    <n v="2"/>
    <n v="5"/>
    <x v="3"/>
    <x v="2"/>
    <x v="7"/>
    <x v="5"/>
    <x v="1"/>
    <n v="8"/>
    <n v="64762.06"/>
    <n v="518096.48"/>
    <s v="Sunita Teja"/>
    <n v="22"/>
    <x v="2"/>
    <x v="3"/>
    <n v="2"/>
    <x v="2"/>
    <x v="2"/>
  </r>
  <r>
    <n v="3285"/>
    <x v="936"/>
    <n v="2"/>
    <n v="5"/>
    <x v="3"/>
    <x v="2"/>
    <x v="7"/>
    <x v="5"/>
    <x v="0"/>
    <n v="6"/>
    <n v="21568.17"/>
    <n v="129409.01999999999"/>
    <s v="Devendra Thakur"/>
    <n v="46"/>
    <x v="1"/>
    <x v="2"/>
    <n v="1"/>
    <x v="2"/>
    <x v="10"/>
  </r>
  <r>
    <n v="3286"/>
    <x v="937"/>
    <n v="3"/>
    <n v="5"/>
    <x v="3"/>
    <x v="2"/>
    <x v="7"/>
    <x v="6"/>
    <x v="3"/>
    <n v="7"/>
    <n v="33362.080000000002"/>
    <n v="233534.56"/>
    <s v="Namita Siddiqui"/>
    <n v="44"/>
    <x v="8"/>
    <x v="3"/>
    <n v="1"/>
    <x v="2"/>
    <x v="5"/>
  </r>
  <r>
    <n v="3287"/>
    <x v="937"/>
    <n v="3"/>
    <n v="5"/>
    <x v="3"/>
    <x v="2"/>
    <x v="7"/>
    <x v="6"/>
    <x v="1"/>
    <n v="9"/>
    <n v="66418.710000000006"/>
    <n v="597768.39"/>
    <s v="Kiran Mishra"/>
    <n v="42"/>
    <x v="13"/>
    <x v="2"/>
    <n v="4"/>
    <x v="0"/>
    <x v="1"/>
  </r>
  <r>
    <n v="3288"/>
    <x v="937"/>
    <n v="3"/>
    <n v="5"/>
    <x v="3"/>
    <x v="2"/>
    <x v="7"/>
    <x v="6"/>
    <x v="1"/>
    <n v="7"/>
    <n v="35626.39"/>
    <n v="249384.72999999998"/>
    <s v="Aditya Singh"/>
    <n v="33"/>
    <x v="4"/>
    <x v="1"/>
    <n v="4"/>
    <x v="0"/>
    <x v="1"/>
  </r>
  <r>
    <n v="3289"/>
    <x v="938"/>
    <n v="4"/>
    <n v="5"/>
    <x v="3"/>
    <x v="2"/>
    <x v="7"/>
    <x v="0"/>
    <x v="0"/>
    <n v="3"/>
    <n v="43281.62"/>
    <n v="129844.86000000002"/>
    <s v="Priyanka Joshi"/>
    <n v="33"/>
    <x v="7"/>
    <x v="1"/>
    <n v="1"/>
    <x v="2"/>
    <x v="10"/>
  </r>
  <r>
    <n v="3290"/>
    <x v="938"/>
    <n v="4"/>
    <n v="5"/>
    <x v="3"/>
    <x v="2"/>
    <x v="7"/>
    <x v="0"/>
    <x v="3"/>
    <n v="6"/>
    <n v="14820.21"/>
    <n v="88921.26"/>
    <s v="Pankaj Singh"/>
    <n v="53"/>
    <x v="1"/>
    <x v="0"/>
    <n v="4"/>
    <x v="0"/>
    <x v="8"/>
  </r>
  <r>
    <n v="3291"/>
    <x v="938"/>
    <n v="4"/>
    <n v="5"/>
    <x v="3"/>
    <x v="2"/>
    <x v="7"/>
    <x v="0"/>
    <x v="3"/>
    <n v="7"/>
    <n v="57409.98"/>
    <n v="401869.86000000004"/>
    <s v="Sunita Prasad"/>
    <n v="42"/>
    <x v="11"/>
    <x v="0"/>
    <n v="2"/>
    <x v="2"/>
    <x v="5"/>
  </r>
  <r>
    <n v="3292"/>
    <x v="938"/>
    <n v="4"/>
    <n v="5"/>
    <x v="3"/>
    <x v="2"/>
    <x v="7"/>
    <x v="0"/>
    <x v="4"/>
    <n v="2"/>
    <n v="35365.53"/>
    <n v="70731.06"/>
    <s v="Radha Solanki"/>
    <n v="58"/>
    <x v="13"/>
    <x v="3"/>
    <n v="1"/>
    <x v="2"/>
    <x v="14"/>
  </r>
  <r>
    <n v="3293"/>
    <x v="939"/>
    <n v="5"/>
    <n v="5"/>
    <x v="3"/>
    <x v="2"/>
    <x v="7"/>
    <x v="1"/>
    <x v="1"/>
    <n v="3"/>
    <n v="58030.91"/>
    <n v="174092.73"/>
    <s v="Arun Shah"/>
    <n v="18"/>
    <x v="16"/>
    <x v="0"/>
    <n v="3"/>
    <x v="1"/>
    <x v="9"/>
  </r>
  <r>
    <n v="3294"/>
    <x v="939"/>
    <n v="5"/>
    <n v="5"/>
    <x v="3"/>
    <x v="2"/>
    <x v="7"/>
    <x v="1"/>
    <x v="3"/>
    <n v="4"/>
    <n v="25227.86"/>
    <n v="100911.44"/>
    <s v="Reena Bhatnagar"/>
    <n v="22"/>
    <x v="2"/>
    <x v="1"/>
    <n v="1"/>
    <x v="2"/>
    <x v="8"/>
  </r>
  <r>
    <n v="3295"/>
    <x v="939"/>
    <n v="5"/>
    <n v="5"/>
    <x v="3"/>
    <x v="2"/>
    <x v="7"/>
    <x v="1"/>
    <x v="3"/>
    <n v="6"/>
    <n v="35348.730000000003"/>
    <n v="212092.38"/>
    <s v="Lata Chatterjee"/>
    <n v="58"/>
    <x v="2"/>
    <x v="1"/>
    <n v="5"/>
    <x v="0"/>
    <x v="12"/>
  </r>
  <r>
    <n v="3296"/>
    <x v="939"/>
    <n v="5"/>
    <n v="5"/>
    <x v="3"/>
    <x v="2"/>
    <x v="7"/>
    <x v="1"/>
    <x v="2"/>
    <n v="1"/>
    <n v="57192.94"/>
    <n v="57192.94"/>
    <s v="Rohan Sheth"/>
    <n v="37"/>
    <x v="14"/>
    <x v="2"/>
    <n v="5"/>
    <x v="0"/>
    <x v="13"/>
  </r>
  <r>
    <n v="3297"/>
    <x v="940"/>
    <n v="6"/>
    <n v="5"/>
    <x v="3"/>
    <x v="2"/>
    <x v="7"/>
    <x v="2"/>
    <x v="2"/>
    <n v="9"/>
    <n v="68432.67"/>
    <n v="615894.03"/>
    <s v="Kiran Pathak"/>
    <n v="22"/>
    <x v="2"/>
    <x v="0"/>
    <n v="1"/>
    <x v="2"/>
    <x v="6"/>
  </r>
  <r>
    <n v="3298"/>
    <x v="940"/>
    <n v="6"/>
    <n v="5"/>
    <x v="3"/>
    <x v="2"/>
    <x v="7"/>
    <x v="2"/>
    <x v="3"/>
    <n v="5"/>
    <n v="13577.53"/>
    <n v="67887.650000000009"/>
    <s v="Amit Pillai"/>
    <n v="53"/>
    <x v="2"/>
    <x v="2"/>
    <n v="3"/>
    <x v="1"/>
    <x v="8"/>
  </r>
  <r>
    <n v="3299"/>
    <x v="940"/>
    <n v="6"/>
    <n v="5"/>
    <x v="3"/>
    <x v="2"/>
    <x v="7"/>
    <x v="2"/>
    <x v="4"/>
    <n v="7"/>
    <n v="58747.37"/>
    <n v="411231.59"/>
    <s v="Lalita Patel"/>
    <n v="46"/>
    <x v="1"/>
    <x v="1"/>
    <n v="1"/>
    <x v="2"/>
    <x v="7"/>
  </r>
  <r>
    <n v="3300"/>
    <x v="940"/>
    <n v="6"/>
    <n v="5"/>
    <x v="3"/>
    <x v="2"/>
    <x v="7"/>
    <x v="2"/>
    <x v="3"/>
    <n v="9"/>
    <n v="28041.34"/>
    <n v="252372.06"/>
    <s v="Sanjay Patel"/>
    <n v="51"/>
    <x v="1"/>
    <x v="0"/>
    <n v="3"/>
    <x v="1"/>
    <x v="12"/>
  </r>
  <r>
    <n v="3301"/>
    <x v="941"/>
    <n v="7"/>
    <n v="5"/>
    <x v="3"/>
    <x v="2"/>
    <x v="7"/>
    <x v="3"/>
    <x v="0"/>
    <n v="9"/>
    <n v="43044.6"/>
    <n v="387401.39999999997"/>
    <s v="Pankaj Patel"/>
    <n v="35"/>
    <x v="1"/>
    <x v="2"/>
    <n v="2"/>
    <x v="2"/>
    <x v="0"/>
  </r>
  <r>
    <n v="3302"/>
    <x v="941"/>
    <n v="7"/>
    <n v="5"/>
    <x v="3"/>
    <x v="2"/>
    <x v="7"/>
    <x v="3"/>
    <x v="1"/>
    <n v="1"/>
    <n v="27405.54"/>
    <n v="27405.54"/>
    <s v="Anjali Nambiar"/>
    <n v="19"/>
    <x v="6"/>
    <x v="1"/>
    <n v="2"/>
    <x v="2"/>
    <x v="9"/>
  </r>
  <r>
    <n v="3303"/>
    <x v="941"/>
    <n v="7"/>
    <n v="5"/>
    <x v="3"/>
    <x v="2"/>
    <x v="7"/>
    <x v="3"/>
    <x v="4"/>
    <n v="1"/>
    <n v="46806.73"/>
    <n v="46806.73"/>
    <s v="Monika Sharma"/>
    <n v="33"/>
    <x v="3"/>
    <x v="2"/>
    <n v="3"/>
    <x v="1"/>
    <x v="11"/>
  </r>
  <r>
    <n v="3304"/>
    <x v="942"/>
    <n v="8"/>
    <n v="5"/>
    <x v="3"/>
    <x v="2"/>
    <x v="7"/>
    <x v="4"/>
    <x v="0"/>
    <n v="3"/>
    <n v="31228.17"/>
    <n v="93684.51"/>
    <s v="Meena Kaur"/>
    <n v="46"/>
    <x v="10"/>
    <x v="0"/>
    <n v="4"/>
    <x v="0"/>
    <x v="3"/>
  </r>
  <r>
    <n v="3305"/>
    <x v="942"/>
    <n v="8"/>
    <n v="5"/>
    <x v="3"/>
    <x v="2"/>
    <x v="7"/>
    <x v="4"/>
    <x v="4"/>
    <n v="6"/>
    <n v="30016.89"/>
    <n v="180101.34"/>
    <s v="Sachin Rao"/>
    <n v="50"/>
    <x v="4"/>
    <x v="2"/>
    <n v="2"/>
    <x v="2"/>
    <x v="14"/>
  </r>
  <r>
    <n v="3306"/>
    <x v="942"/>
    <n v="8"/>
    <n v="5"/>
    <x v="3"/>
    <x v="2"/>
    <x v="7"/>
    <x v="4"/>
    <x v="0"/>
    <n v="2"/>
    <n v="12276.3"/>
    <n v="24552.6"/>
    <s v="Sanjay Jain"/>
    <n v="33"/>
    <x v="1"/>
    <x v="2"/>
    <n v="5"/>
    <x v="0"/>
    <x v="3"/>
  </r>
  <r>
    <n v="3307"/>
    <x v="942"/>
    <n v="8"/>
    <n v="5"/>
    <x v="3"/>
    <x v="2"/>
    <x v="7"/>
    <x v="4"/>
    <x v="1"/>
    <n v="1"/>
    <n v="18817.62"/>
    <n v="18817.62"/>
    <s v="Vivek Sharma"/>
    <n v="52"/>
    <x v="4"/>
    <x v="1"/>
    <n v="1"/>
    <x v="2"/>
    <x v="9"/>
  </r>
  <r>
    <n v="3308"/>
    <x v="943"/>
    <n v="9"/>
    <n v="5"/>
    <x v="3"/>
    <x v="2"/>
    <x v="7"/>
    <x v="5"/>
    <x v="1"/>
    <n v="1"/>
    <n v="65024.69"/>
    <n v="65024.69"/>
    <s v="Anjali Thakur"/>
    <n v="59"/>
    <x v="10"/>
    <x v="0"/>
    <n v="4"/>
    <x v="0"/>
    <x v="1"/>
  </r>
  <r>
    <n v="3309"/>
    <x v="943"/>
    <n v="9"/>
    <n v="5"/>
    <x v="3"/>
    <x v="2"/>
    <x v="7"/>
    <x v="5"/>
    <x v="2"/>
    <n v="5"/>
    <n v="69896.649999999994"/>
    <n v="349483.25"/>
    <s v="Bhavana Rawat"/>
    <n v="34"/>
    <x v="1"/>
    <x v="3"/>
    <n v="5"/>
    <x v="0"/>
    <x v="4"/>
  </r>
  <r>
    <n v="3310"/>
    <x v="943"/>
    <n v="9"/>
    <n v="5"/>
    <x v="3"/>
    <x v="2"/>
    <x v="7"/>
    <x v="5"/>
    <x v="0"/>
    <n v="4"/>
    <n v="56831.23"/>
    <n v="227324.92"/>
    <s v="Radha Sharma"/>
    <n v="21"/>
    <x v="18"/>
    <x v="3"/>
    <n v="1"/>
    <x v="2"/>
    <x v="0"/>
  </r>
  <r>
    <n v="3311"/>
    <x v="944"/>
    <n v="10"/>
    <n v="5"/>
    <x v="3"/>
    <x v="2"/>
    <x v="7"/>
    <x v="6"/>
    <x v="2"/>
    <n v="1"/>
    <n v="27208.76"/>
    <n v="27208.76"/>
    <s v="Yogesh Bhattacharya"/>
    <n v="21"/>
    <x v="2"/>
    <x v="2"/>
    <n v="5"/>
    <x v="0"/>
    <x v="13"/>
  </r>
  <r>
    <n v="3312"/>
    <x v="944"/>
    <n v="10"/>
    <n v="5"/>
    <x v="3"/>
    <x v="2"/>
    <x v="7"/>
    <x v="6"/>
    <x v="0"/>
    <n v="4"/>
    <n v="34146.71"/>
    <n v="136586.84"/>
    <s v="Tapan Siddiqui"/>
    <n v="42"/>
    <x v="0"/>
    <x v="1"/>
    <n v="4"/>
    <x v="0"/>
    <x v="3"/>
  </r>
  <r>
    <n v="3313"/>
    <x v="944"/>
    <n v="10"/>
    <n v="5"/>
    <x v="3"/>
    <x v="2"/>
    <x v="7"/>
    <x v="6"/>
    <x v="2"/>
    <n v="3"/>
    <n v="54370.21"/>
    <n v="163110.63"/>
    <s v="Manoj Ahuja"/>
    <n v="50"/>
    <x v="2"/>
    <x v="0"/>
    <n v="3"/>
    <x v="1"/>
    <x v="13"/>
  </r>
  <r>
    <n v="3314"/>
    <x v="945"/>
    <n v="11"/>
    <n v="5"/>
    <x v="3"/>
    <x v="2"/>
    <x v="7"/>
    <x v="0"/>
    <x v="1"/>
    <n v="2"/>
    <n v="68110.81"/>
    <n v="136221.62"/>
    <s v="Namita Goyal"/>
    <n v="31"/>
    <x v="2"/>
    <x v="1"/>
    <n v="1"/>
    <x v="2"/>
    <x v="2"/>
  </r>
  <r>
    <n v="3315"/>
    <x v="945"/>
    <n v="11"/>
    <n v="5"/>
    <x v="3"/>
    <x v="2"/>
    <x v="7"/>
    <x v="0"/>
    <x v="4"/>
    <n v="9"/>
    <n v="37328.269999999997"/>
    <n v="335954.43"/>
    <s v="Harish Prasad"/>
    <n v="41"/>
    <x v="17"/>
    <x v="0"/>
    <n v="5"/>
    <x v="0"/>
    <x v="7"/>
  </r>
  <r>
    <n v="3316"/>
    <x v="945"/>
    <n v="11"/>
    <n v="5"/>
    <x v="3"/>
    <x v="2"/>
    <x v="7"/>
    <x v="0"/>
    <x v="2"/>
    <n v="1"/>
    <n v="59771.34"/>
    <n v="59771.34"/>
    <s v="Pankaj Pathak"/>
    <n v="28"/>
    <x v="5"/>
    <x v="1"/>
    <n v="5"/>
    <x v="0"/>
    <x v="6"/>
  </r>
  <r>
    <n v="3317"/>
    <x v="946"/>
    <n v="12"/>
    <n v="5"/>
    <x v="3"/>
    <x v="2"/>
    <x v="7"/>
    <x v="1"/>
    <x v="0"/>
    <n v="7"/>
    <n v="68504.14"/>
    <n v="479528.98"/>
    <s v="Aditya Roy"/>
    <n v="42"/>
    <x v="1"/>
    <x v="3"/>
    <n v="4"/>
    <x v="0"/>
    <x v="3"/>
  </r>
  <r>
    <n v="3318"/>
    <x v="946"/>
    <n v="12"/>
    <n v="5"/>
    <x v="3"/>
    <x v="2"/>
    <x v="7"/>
    <x v="1"/>
    <x v="0"/>
    <n v="4"/>
    <n v="62408.39"/>
    <n v="249633.56"/>
    <s v="Vijay Varma"/>
    <n v="45"/>
    <x v="1"/>
    <x v="3"/>
    <n v="4"/>
    <x v="0"/>
    <x v="10"/>
  </r>
  <r>
    <n v="3319"/>
    <x v="946"/>
    <n v="12"/>
    <n v="5"/>
    <x v="3"/>
    <x v="2"/>
    <x v="7"/>
    <x v="1"/>
    <x v="1"/>
    <n v="5"/>
    <n v="23628.98"/>
    <n v="118144.9"/>
    <s v="Arun Mehta"/>
    <n v="24"/>
    <x v="3"/>
    <x v="3"/>
    <n v="4"/>
    <x v="0"/>
    <x v="2"/>
  </r>
  <r>
    <n v="3320"/>
    <x v="947"/>
    <n v="13"/>
    <n v="5"/>
    <x v="3"/>
    <x v="2"/>
    <x v="7"/>
    <x v="2"/>
    <x v="0"/>
    <n v="5"/>
    <n v="10481.91"/>
    <n v="52409.55"/>
    <s v="Tapan Singh"/>
    <n v="53"/>
    <x v="2"/>
    <x v="1"/>
    <n v="3"/>
    <x v="1"/>
    <x v="3"/>
  </r>
  <r>
    <n v="3321"/>
    <x v="947"/>
    <n v="13"/>
    <n v="5"/>
    <x v="3"/>
    <x v="2"/>
    <x v="7"/>
    <x v="2"/>
    <x v="3"/>
    <n v="1"/>
    <n v="39524.9"/>
    <n v="39524.9"/>
    <s v="Sumit Sheth"/>
    <n v="27"/>
    <x v="10"/>
    <x v="1"/>
    <n v="2"/>
    <x v="2"/>
    <x v="5"/>
  </r>
  <r>
    <n v="3322"/>
    <x v="947"/>
    <n v="13"/>
    <n v="5"/>
    <x v="3"/>
    <x v="2"/>
    <x v="7"/>
    <x v="2"/>
    <x v="4"/>
    <n v="6"/>
    <n v="41881.65"/>
    <n v="251289.90000000002"/>
    <s v="Anita Luthra"/>
    <n v="53"/>
    <x v="4"/>
    <x v="2"/>
    <n v="5"/>
    <x v="0"/>
    <x v="7"/>
  </r>
  <r>
    <n v="3323"/>
    <x v="947"/>
    <n v="13"/>
    <n v="5"/>
    <x v="3"/>
    <x v="2"/>
    <x v="7"/>
    <x v="2"/>
    <x v="2"/>
    <n v="9"/>
    <n v="22075.02"/>
    <n v="198675.18"/>
    <s v="Prashant Gupta"/>
    <n v="48"/>
    <x v="10"/>
    <x v="3"/>
    <n v="3"/>
    <x v="1"/>
    <x v="4"/>
  </r>
  <r>
    <n v="3324"/>
    <x v="948"/>
    <n v="14"/>
    <n v="5"/>
    <x v="3"/>
    <x v="2"/>
    <x v="7"/>
    <x v="3"/>
    <x v="4"/>
    <n v="2"/>
    <n v="27080.46"/>
    <n v="54160.92"/>
    <s v="Amit Ahuja"/>
    <n v="36"/>
    <x v="17"/>
    <x v="2"/>
    <n v="5"/>
    <x v="0"/>
    <x v="11"/>
  </r>
  <r>
    <n v="3325"/>
    <x v="948"/>
    <n v="14"/>
    <n v="5"/>
    <x v="3"/>
    <x v="2"/>
    <x v="7"/>
    <x v="3"/>
    <x v="1"/>
    <n v="7"/>
    <n v="55909.19"/>
    <n v="391364.33"/>
    <s v="Sanjay Mehta"/>
    <n v="35"/>
    <x v="14"/>
    <x v="1"/>
    <n v="3"/>
    <x v="1"/>
    <x v="1"/>
  </r>
  <r>
    <n v="3326"/>
    <x v="948"/>
    <n v="14"/>
    <n v="5"/>
    <x v="3"/>
    <x v="2"/>
    <x v="7"/>
    <x v="3"/>
    <x v="2"/>
    <n v="6"/>
    <n v="38220.839999999997"/>
    <n v="229325.03999999998"/>
    <s v="Yogesh Rao"/>
    <n v="23"/>
    <x v="16"/>
    <x v="0"/>
    <n v="1"/>
    <x v="2"/>
    <x v="4"/>
  </r>
  <r>
    <n v="3327"/>
    <x v="948"/>
    <n v="14"/>
    <n v="5"/>
    <x v="3"/>
    <x v="2"/>
    <x v="7"/>
    <x v="3"/>
    <x v="2"/>
    <n v="5"/>
    <n v="29041.25"/>
    <n v="145206.25"/>
    <s v="Tanuja Mathur"/>
    <n v="45"/>
    <x v="14"/>
    <x v="3"/>
    <n v="2"/>
    <x v="2"/>
    <x v="4"/>
  </r>
  <r>
    <n v="3328"/>
    <x v="949"/>
    <n v="15"/>
    <n v="5"/>
    <x v="3"/>
    <x v="2"/>
    <x v="7"/>
    <x v="4"/>
    <x v="3"/>
    <n v="4"/>
    <n v="47357.56"/>
    <n v="189430.24"/>
    <s v="Tapan Kumar"/>
    <n v="24"/>
    <x v="4"/>
    <x v="3"/>
    <n v="5"/>
    <x v="0"/>
    <x v="8"/>
  </r>
  <r>
    <n v="3329"/>
    <x v="949"/>
    <n v="15"/>
    <n v="5"/>
    <x v="3"/>
    <x v="2"/>
    <x v="7"/>
    <x v="4"/>
    <x v="1"/>
    <n v="4"/>
    <n v="49165.59"/>
    <n v="196662.36"/>
    <s v="Pankaj Sheth"/>
    <n v="55"/>
    <x v="12"/>
    <x v="3"/>
    <n v="4"/>
    <x v="0"/>
    <x v="2"/>
  </r>
  <r>
    <n v="3330"/>
    <x v="949"/>
    <n v="15"/>
    <n v="5"/>
    <x v="3"/>
    <x v="2"/>
    <x v="7"/>
    <x v="4"/>
    <x v="0"/>
    <n v="6"/>
    <n v="56163.75"/>
    <n v="336982.5"/>
    <s v="Umesh Reddy"/>
    <n v="29"/>
    <x v="2"/>
    <x v="3"/>
    <n v="2"/>
    <x v="2"/>
    <x v="10"/>
  </r>
  <r>
    <n v="3331"/>
    <x v="950"/>
    <n v="16"/>
    <n v="5"/>
    <x v="3"/>
    <x v="2"/>
    <x v="7"/>
    <x v="5"/>
    <x v="3"/>
    <n v="4"/>
    <n v="19402.560000000001"/>
    <n v="77610.240000000005"/>
    <s v="Radha Kumar"/>
    <n v="58"/>
    <x v="1"/>
    <x v="3"/>
    <n v="5"/>
    <x v="0"/>
    <x v="5"/>
  </r>
  <r>
    <n v="3332"/>
    <x v="950"/>
    <n v="16"/>
    <n v="5"/>
    <x v="3"/>
    <x v="2"/>
    <x v="7"/>
    <x v="5"/>
    <x v="3"/>
    <n v="5"/>
    <n v="54491.040000000001"/>
    <n v="272455.2"/>
    <s v="Lata Rathod"/>
    <n v="51"/>
    <x v="12"/>
    <x v="1"/>
    <n v="1"/>
    <x v="2"/>
    <x v="12"/>
  </r>
  <r>
    <n v="3333"/>
    <x v="950"/>
    <n v="16"/>
    <n v="5"/>
    <x v="3"/>
    <x v="2"/>
    <x v="7"/>
    <x v="5"/>
    <x v="4"/>
    <n v="6"/>
    <n v="45965.7"/>
    <n v="275794.19999999995"/>
    <s v="Isha Dutta"/>
    <n v="42"/>
    <x v="15"/>
    <x v="3"/>
    <n v="5"/>
    <x v="0"/>
    <x v="7"/>
  </r>
  <r>
    <n v="3334"/>
    <x v="951"/>
    <n v="17"/>
    <n v="5"/>
    <x v="3"/>
    <x v="2"/>
    <x v="7"/>
    <x v="6"/>
    <x v="4"/>
    <n v="5"/>
    <n v="13454.31"/>
    <n v="67271.55"/>
    <s v="Arun Mehta"/>
    <n v="34"/>
    <x v="1"/>
    <x v="3"/>
    <n v="5"/>
    <x v="0"/>
    <x v="7"/>
  </r>
  <r>
    <n v="3335"/>
    <x v="951"/>
    <n v="17"/>
    <n v="5"/>
    <x v="3"/>
    <x v="2"/>
    <x v="7"/>
    <x v="6"/>
    <x v="4"/>
    <n v="7"/>
    <n v="56646.74"/>
    <n v="396527.18"/>
    <s v="Manoj Kulkarni"/>
    <n v="50"/>
    <x v="2"/>
    <x v="2"/>
    <n v="5"/>
    <x v="0"/>
    <x v="11"/>
  </r>
  <r>
    <n v="3336"/>
    <x v="951"/>
    <n v="17"/>
    <n v="5"/>
    <x v="3"/>
    <x v="2"/>
    <x v="7"/>
    <x v="6"/>
    <x v="3"/>
    <n v="9"/>
    <n v="32984.82"/>
    <n v="296863.38"/>
    <s v="Krishna Iyer"/>
    <n v="40"/>
    <x v="13"/>
    <x v="0"/>
    <n v="2"/>
    <x v="2"/>
    <x v="5"/>
  </r>
  <r>
    <n v="3337"/>
    <x v="951"/>
    <n v="17"/>
    <n v="5"/>
    <x v="3"/>
    <x v="2"/>
    <x v="7"/>
    <x v="6"/>
    <x v="0"/>
    <n v="7"/>
    <n v="29822.86"/>
    <n v="208760.02000000002"/>
    <s v="Sunil Reddy"/>
    <n v="26"/>
    <x v="16"/>
    <x v="3"/>
    <n v="5"/>
    <x v="0"/>
    <x v="10"/>
  </r>
  <r>
    <n v="3338"/>
    <x v="952"/>
    <n v="18"/>
    <n v="5"/>
    <x v="3"/>
    <x v="2"/>
    <x v="7"/>
    <x v="0"/>
    <x v="2"/>
    <n v="7"/>
    <n v="36884.51"/>
    <n v="258191.57"/>
    <s v="Neeta Mishra"/>
    <n v="23"/>
    <x v="10"/>
    <x v="2"/>
    <n v="4"/>
    <x v="0"/>
    <x v="6"/>
  </r>
  <r>
    <n v="3339"/>
    <x v="952"/>
    <n v="18"/>
    <n v="5"/>
    <x v="3"/>
    <x v="2"/>
    <x v="7"/>
    <x v="0"/>
    <x v="4"/>
    <n v="4"/>
    <n v="30770.5"/>
    <n v="123082"/>
    <s v="Radha Kumar"/>
    <n v="19"/>
    <x v="13"/>
    <x v="1"/>
    <n v="3"/>
    <x v="1"/>
    <x v="14"/>
  </r>
  <r>
    <n v="3340"/>
    <x v="952"/>
    <n v="18"/>
    <n v="5"/>
    <x v="3"/>
    <x v="2"/>
    <x v="7"/>
    <x v="0"/>
    <x v="0"/>
    <n v="1"/>
    <n v="30297.14"/>
    <n v="30297.14"/>
    <s v="Deepika Das"/>
    <n v="55"/>
    <x v="2"/>
    <x v="2"/>
    <n v="4"/>
    <x v="0"/>
    <x v="3"/>
  </r>
  <r>
    <n v="3341"/>
    <x v="953"/>
    <n v="19"/>
    <n v="5"/>
    <x v="3"/>
    <x v="2"/>
    <x v="7"/>
    <x v="1"/>
    <x v="1"/>
    <n v="8"/>
    <n v="58484.66"/>
    <n v="467877.28"/>
    <s v="Radha Sharma"/>
    <n v="26"/>
    <x v="1"/>
    <x v="3"/>
    <n v="1"/>
    <x v="2"/>
    <x v="2"/>
  </r>
  <r>
    <n v="3342"/>
    <x v="953"/>
    <n v="19"/>
    <n v="5"/>
    <x v="3"/>
    <x v="2"/>
    <x v="7"/>
    <x v="1"/>
    <x v="4"/>
    <n v="4"/>
    <n v="17470.32"/>
    <n v="69881.279999999999"/>
    <s v="Harish Mishra"/>
    <n v="20"/>
    <x v="2"/>
    <x v="2"/>
    <n v="2"/>
    <x v="2"/>
    <x v="14"/>
  </r>
  <r>
    <n v="3343"/>
    <x v="953"/>
    <n v="19"/>
    <n v="5"/>
    <x v="3"/>
    <x v="2"/>
    <x v="7"/>
    <x v="1"/>
    <x v="2"/>
    <n v="1"/>
    <n v="68236"/>
    <n v="68236"/>
    <s v="Nikhil Kapoor"/>
    <n v="33"/>
    <x v="11"/>
    <x v="2"/>
    <n v="3"/>
    <x v="1"/>
    <x v="6"/>
  </r>
  <r>
    <n v="3344"/>
    <x v="953"/>
    <n v="19"/>
    <n v="5"/>
    <x v="3"/>
    <x v="2"/>
    <x v="7"/>
    <x v="1"/>
    <x v="1"/>
    <n v="5"/>
    <n v="43295.9"/>
    <n v="216479.5"/>
    <s v="Navin Pathak"/>
    <n v="42"/>
    <x v="1"/>
    <x v="1"/>
    <n v="2"/>
    <x v="2"/>
    <x v="9"/>
  </r>
  <r>
    <n v="3345"/>
    <x v="954"/>
    <n v="20"/>
    <n v="5"/>
    <x v="3"/>
    <x v="2"/>
    <x v="7"/>
    <x v="2"/>
    <x v="1"/>
    <n v="8"/>
    <n v="20975.439999999999"/>
    <n v="167803.51999999999"/>
    <s v="Ayesha Sheth"/>
    <n v="41"/>
    <x v="18"/>
    <x v="2"/>
    <n v="2"/>
    <x v="2"/>
    <x v="1"/>
  </r>
  <r>
    <n v="3346"/>
    <x v="954"/>
    <n v="20"/>
    <n v="5"/>
    <x v="3"/>
    <x v="2"/>
    <x v="7"/>
    <x v="2"/>
    <x v="2"/>
    <n v="4"/>
    <n v="17872.93"/>
    <n v="71491.72"/>
    <s v="Tanuja Malhotra"/>
    <n v="46"/>
    <x v="0"/>
    <x v="1"/>
    <n v="5"/>
    <x v="0"/>
    <x v="4"/>
  </r>
  <r>
    <n v="3347"/>
    <x v="954"/>
    <n v="20"/>
    <n v="5"/>
    <x v="3"/>
    <x v="2"/>
    <x v="7"/>
    <x v="2"/>
    <x v="4"/>
    <n v="8"/>
    <n v="45490.57"/>
    <n v="363924.56"/>
    <s v="Radha Kapoor"/>
    <n v="57"/>
    <x v="16"/>
    <x v="1"/>
    <n v="4"/>
    <x v="0"/>
    <x v="14"/>
  </r>
  <r>
    <n v="3348"/>
    <x v="955"/>
    <n v="21"/>
    <n v="5"/>
    <x v="3"/>
    <x v="2"/>
    <x v="7"/>
    <x v="3"/>
    <x v="3"/>
    <n v="8"/>
    <n v="47979.97"/>
    <n v="383839.76"/>
    <s v="Priyanka Patel"/>
    <n v="43"/>
    <x v="11"/>
    <x v="2"/>
    <n v="3"/>
    <x v="1"/>
    <x v="8"/>
  </r>
  <r>
    <n v="3349"/>
    <x v="955"/>
    <n v="21"/>
    <n v="5"/>
    <x v="3"/>
    <x v="2"/>
    <x v="7"/>
    <x v="3"/>
    <x v="2"/>
    <n v="3"/>
    <n v="13181.55"/>
    <n v="39544.649999999994"/>
    <s v="Priyanka Dutta"/>
    <n v="55"/>
    <x v="2"/>
    <x v="3"/>
    <n v="5"/>
    <x v="0"/>
    <x v="6"/>
  </r>
  <r>
    <n v="3350"/>
    <x v="955"/>
    <n v="21"/>
    <n v="5"/>
    <x v="3"/>
    <x v="2"/>
    <x v="7"/>
    <x v="3"/>
    <x v="2"/>
    <n v="9"/>
    <n v="24580.11"/>
    <n v="221220.99"/>
    <s v="Umesh Patel"/>
    <n v="52"/>
    <x v="10"/>
    <x v="0"/>
    <n v="3"/>
    <x v="1"/>
    <x v="6"/>
  </r>
  <r>
    <n v="3351"/>
    <x v="956"/>
    <n v="22"/>
    <n v="5"/>
    <x v="3"/>
    <x v="2"/>
    <x v="7"/>
    <x v="4"/>
    <x v="2"/>
    <n v="3"/>
    <n v="57727.72"/>
    <n v="173183.16"/>
    <s v="Prashant Das"/>
    <n v="40"/>
    <x v="14"/>
    <x v="2"/>
    <n v="4"/>
    <x v="0"/>
    <x v="6"/>
  </r>
  <r>
    <n v="3352"/>
    <x v="956"/>
    <n v="22"/>
    <n v="5"/>
    <x v="3"/>
    <x v="2"/>
    <x v="7"/>
    <x v="4"/>
    <x v="1"/>
    <n v="1"/>
    <n v="12977.48"/>
    <n v="12977.48"/>
    <s v="Vinod Ahuja"/>
    <n v="21"/>
    <x v="10"/>
    <x v="2"/>
    <n v="5"/>
    <x v="0"/>
    <x v="2"/>
  </r>
  <r>
    <n v="3353"/>
    <x v="956"/>
    <n v="22"/>
    <n v="5"/>
    <x v="3"/>
    <x v="2"/>
    <x v="7"/>
    <x v="4"/>
    <x v="0"/>
    <n v="2"/>
    <n v="61305.32"/>
    <n v="122610.64"/>
    <s v="Anjali Nambiar"/>
    <n v="59"/>
    <x v="2"/>
    <x v="2"/>
    <n v="3"/>
    <x v="1"/>
    <x v="10"/>
  </r>
  <r>
    <n v="3354"/>
    <x v="956"/>
    <n v="22"/>
    <n v="5"/>
    <x v="3"/>
    <x v="2"/>
    <x v="7"/>
    <x v="4"/>
    <x v="3"/>
    <n v="6"/>
    <n v="49489.75"/>
    <n v="296938.5"/>
    <s v="Radha Pathak"/>
    <n v="31"/>
    <x v="8"/>
    <x v="0"/>
    <n v="5"/>
    <x v="0"/>
    <x v="5"/>
  </r>
  <r>
    <n v="3355"/>
    <x v="957"/>
    <n v="23"/>
    <n v="5"/>
    <x v="3"/>
    <x v="2"/>
    <x v="7"/>
    <x v="5"/>
    <x v="4"/>
    <n v="2"/>
    <n v="36065.4"/>
    <n v="72130.8"/>
    <s v="Ravi Reddy"/>
    <n v="56"/>
    <x v="2"/>
    <x v="0"/>
    <n v="2"/>
    <x v="2"/>
    <x v="14"/>
  </r>
  <r>
    <n v="3356"/>
    <x v="957"/>
    <n v="23"/>
    <n v="5"/>
    <x v="3"/>
    <x v="2"/>
    <x v="7"/>
    <x v="5"/>
    <x v="4"/>
    <n v="6"/>
    <n v="30785.97"/>
    <n v="184715.82"/>
    <s v="Ravi Jain"/>
    <n v="24"/>
    <x v="0"/>
    <x v="1"/>
    <n v="1"/>
    <x v="2"/>
    <x v="7"/>
  </r>
  <r>
    <n v="3357"/>
    <x v="957"/>
    <n v="23"/>
    <n v="5"/>
    <x v="3"/>
    <x v="2"/>
    <x v="7"/>
    <x v="5"/>
    <x v="0"/>
    <n v="1"/>
    <n v="11154.94"/>
    <n v="11154.94"/>
    <s v="Lalita Ahuja"/>
    <n v="25"/>
    <x v="5"/>
    <x v="0"/>
    <n v="3"/>
    <x v="1"/>
    <x v="3"/>
  </r>
  <r>
    <n v="3358"/>
    <x v="958"/>
    <n v="24"/>
    <n v="5"/>
    <x v="3"/>
    <x v="2"/>
    <x v="7"/>
    <x v="6"/>
    <x v="2"/>
    <n v="1"/>
    <n v="59512.9"/>
    <n v="59512.9"/>
    <s v="Priyanka Mishra"/>
    <n v="59"/>
    <x v="10"/>
    <x v="0"/>
    <n v="4"/>
    <x v="0"/>
    <x v="13"/>
  </r>
  <r>
    <n v="3359"/>
    <x v="958"/>
    <n v="24"/>
    <n v="5"/>
    <x v="3"/>
    <x v="2"/>
    <x v="7"/>
    <x v="6"/>
    <x v="3"/>
    <n v="5"/>
    <n v="18563.310000000001"/>
    <n v="92816.55"/>
    <s v="Vinod Srivastava"/>
    <n v="36"/>
    <x v="15"/>
    <x v="2"/>
    <n v="3"/>
    <x v="1"/>
    <x v="12"/>
  </r>
  <r>
    <n v="3360"/>
    <x v="958"/>
    <n v="24"/>
    <n v="5"/>
    <x v="3"/>
    <x v="2"/>
    <x v="7"/>
    <x v="6"/>
    <x v="4"/>
    <n v="9"/>
    <n v="28572.52"/>
    <n v="257152.68"/>
    <s v="Anita Srivastava"/>
    <n v="19"/>
    <x v="1"/>
    <x v="1"/>
    <n v="1"/>
    <x v="2"/>
    <x v="7"/>
  </r>
  <r>
    <n v="3361"/>
    <x v="958"/>
    <n v="24"/>
    <n v="5"/>
    <x v="3"/>
    <x v="2"/>
    <x v="7"/>
    <x v="6"/>
    <x v="4"/>
    <n v="8"/>
    <n v="44146.42"/>
    <n v="353171.36"/>
    <s v="Neeta Ghosh"/>
    <n v="18"/>
    <x v="9"/>
    <x v="3"/>
    <n v="3"/>
    <x v="1"/>
    <x v="11"/>
  </r>
  <r>
    <n v="3362"/>
    <x v="959"/>
    <n v="25"/>
    <n v="5"/>
    <x v="3"/>
    <x v="2"/>
    <x v="7"/>
    <x v="0"/>
    <x v="2"/>
    <n v="3"/>
    <n v="24759.56"/>
    <n v="74278.680000000008"/>
    <s v="Gita Bhattacharya"/>
    <n v="59"/>
    <x v="8"/>
    <x v="1"/>
    <n v="3"/>
    <x v="1"/>
    <x v="4"/>
  </r>
  <r>
    <n v="3363"/>
    <x v="959"/>
    <n v="25"/>
    <n v="5"/>
    <x v="3"/>
    <x v="2"/>
    <x v="7"/>
    <x v="0"/>
    <x v="0"/>
    <n v="3"/>
    <n v="39828.43"/>
    <n v="119485.29000000001"/>
    <s v="Nikhil Bhattacharya"/>
    <n v="55"/>
    <x v="1"/>
    <x v="0"/>
    <n v="3"/>
    <x v="1"/>
    <x v="0"/>
  </r>
  <r>
    <n v="3364"/>
    <x v="959"/>
    <n v="25"/>
    <n v="5"/>
    <x v="3"/>
    <x v="2"/>
    <x v="7"/>
    <x v="0"/>
    <x v="3"/>
    <n v="1"/>
    <n v="58560.57"/>
    <n v="58560.57"/>
    <s v="Umesh Dutta"/>
    <n v="30"/>
    <x v="12"/>
    <x v="0"/>
    <n v="4"/>
    <x v="0"/>
    <x v="5"/>
  </r>
  <r>
    <n v="3365"/>
    <x v="960"/>
    <n v="26"/>
    <n v="5"/>
    <x v="3"/>
    <x v="2"/>
    <x v="7"/>
    <x v="1"/>
    <x v="0"/>
    <n v="3"/>
    <n v="38232.28"/>
    <n v="114696.84"/>
    <s v="Jyoti Menon"/>
    <n v="59"/>
    <x v="1"/>
    <x v="2"/>
    <n v="1"/>
    <x v="2"/>
    <x v="10"/>
  </r>
  <r>
    <n v="3366"/>
    <x v="960"/>
    <n v="26"/>
    <n v="5"/>
    <x v="3"/>
    <x v="2"/>
    <x v="7"/>
    <x v="1"/>
    <x v="0"/>
    <n v="1"/>
    <n v="66938.64"/>
    <n v="66938.64"/>
    <s v="Jyoti Mishra"/>
    <n v="41"/>
    <x v="11"/>
    <x v="3"/>
    <n v="1"/>
    <x v="2"/>
    <x v="0"/>
  </r>
  <r>
    <n v="3367"/>
    <x v="960"/>
    <n v="26"/>
    <n v="5"/>
    <x v="3"/>
    <x v="2"/>
    <x v="7"/>
    <x v="1"/>
    <x v="3"/>
    <n v="8"/>
    <n v="60850.04"/>
    <n v="486800.32"/>
    <s v="Krishna Iyer"/>
    <n v="49"/>
    <x v="2"/>
    <x v="3"/>
    <n v="4"/>
    <x v="0"/>
    <x v="8"/>
  </r>
  <r>
    <n v="3368"/>
    <x v="961"/>
    <n v="27"/>
    <n v="5"/>
    <x v="3"/>
    <x v="2"/>
    <x v="7"/>
    <x v="2"/>
    <x v="3"/>
    <n v="1"/>
    <n v="29982.35"/>
    <n v="29982.35"/>
    <s v="Tanuja Srivastava"/>
    <n v="47"/>
    <x v="11"/>
    <x v="3"/>
    <n v="3"/>
    <x v="1"/>
    <x v="8"/>
  </r>
  <r>
    <n v="3369"/>
    <x v="961"/>
    <n v="27"/>
    <n v="5"/>
    <x v="3"/>
    <x v="2"/>
    <x v="7"/>
    <x v="2"/>
    <x v="4"/>
    <n v="5"/>
    <n v="33997.730000000003"/>
    <n v="169988.65000000002"/>
    <s v="Tapan Rawat"/>
    <n v="23"/>
    <x v="13"/>
    <x v="0"/>
    <n v="3"/>
    <x v="1"/>
    <x v="7"/>
  </r>
  <r>
    <n v="3370"/>
    <x v="961"/>
    <n v="27"/>
    <n v="5"/>
    <x v="3"/>
    <x v="2"/>
    <x v="7"/>
    <x v="2"/>
    <x v="4"/>
    <n v="9"/>
    <n v="35399.599999999999"/>
    <n v="318596.39999999997"/>
    <s v="Aditya Sheth"/>
    <n v="55"/>
    <x v="6"/>
    <x v="0"/>
    <n v="1"/>
    <x v="2"/>
    <x v="7"/>
  </r>
  <r>
    <n v="3371"/>
    <x v="962"/>
    <n v="28"/>
    <n v="5"/>
    <x v="3"/>
    <x v="2"/>
    <x v="7"/>
    <x v="3"/>
    <x v="3"/>
    <n v="7"/>
    <n v="47570.77"/>
    <n v="332995.38999999996"/>
    <s v="Yogesh Mishra"/>
    <n v="50"/>
    <x v="8"/>
    <x v="1"/>
    <n v="3"/>
    <x v="1"/>
    <x v="12"/>
  </r>
  <r>
    <n v="3372"/>
    <x v="962"/>
    <n v="28"/>
    <n v="5"/>
    <x v="3"/>
    <x v="2"/>
    <x v="7"/>
    <x v="3"/>
    <x v="1"/>
    <n v="4"/>
    <n v="27207.74"/>
    <n v="108830.96"/>
    <s v="Vivek Nair"/>
    <n v="40"/>
    <x v="6"/>
    <x v="0"/>
    <n v="2"/>
    <x v="2"/>
    <x v="9"/>
  </r>
  <r>
    <n v="3373"/>
    <x v="962"/>
    <n v="28"/>
    <n v="5"/>
    <x v="3"/>
    <x v="2"/>
    <x v="7"/>
    <x v="3"/>
    <x v="4"/>
    <n v="9"/>
    <n v="68154.95"/>
    <n v="613394.54999999993"/>
    <s v="Namita Siddiqui"/>
    <n v="27"/>
    <x v="1"/>
    <x v="3"/>
    <n v="3"/>
    <x v="1"/>
    <x v="11"/>
  </r>
  <r>
    <n v="3374"/>
    <x v="962"/>
    <n v="28"/>
    <n v="5"/>
    <x v="3"/>
    <x v="2"/>
    <x v="7"/>
    <x v="3"/>
    <x v="1"/>
    <n v="9"/>
    <n v="46521.05"/>
    <n v="418689.45"/>
    <s v="Isha Sheth"/>
    <n v="32"/>
    <x v="2"/>
    <x v="3"/>
    <n v="3"/>
    <x v="1"/>
    <x v="1"/>
  </r>
  <r>
    <n v="3375"/>
    <x v="963"/>
    <n v="29"/>
    <n v="5"/>
    <x v="3"/>
    <x v="2"/>
    <x v="7"/>
    <x v="4"/>
    <x v="3"/>
    <n v="2"/>
    <n v="33964.1"/>
    <n v="67928.2"/>
    <s v="Prashant Nair"/>
    <n v="40"/>
    <x v="17"/>
    <x v="3"/>
    <n v="5"/>
    <x v="0"/>
    <x v="8"/>
  </r>
  <r>
    <n v="3376"/>
    <x v="963"/>
    <n v="29"/>
    <n v="5"/>
    <x v="3"/>
    <x v="2"/>
    <x v="7"/>
    <x v="4"/>
    <x v="4"/>
    <n v="6"/>
    <n v="48700.59"/>
    <n v="292203.53999999998"/>
    <s v="Vivek Mehta"/>
    <n v="53"/>
    <x v="7"/>
    <x v="2"/>
    <n v="1"/>
    <x v="2"/>
    <x v="11"/>
  </r>
  <r>
    <n v="3377"/>
    <x v="963"/>
    <n v="29"/>
    <n v="5"/>
    <x v="3"/>
    <x v="2"/>
    <x v="7"/>
    <x v="4"/>
    <x v="0"/>
    <n v="4"/>
    <n v="33724.300000000003"/>
    <n v="134897.20000000001"/>
    <s v="Reena Chatterjee"/>
    <n v="18"/>
    <x v="13"/>
    <x v="1"/>
    <n v="1"/>
    <x v="2"/>
    <x v="10"/>
  </r>
  <r>
    <n v="3378"/>
    <x v="964"/>
    <n v="30"/>
    <n v="5"/>
    <x v="3"/>
    <x v="2"/>
    <x v="7"/>
    <x v="5"/>
    <x v="3"/>
    <n v="8"/>
    <n v="59067.74"/>
    <n v="472541.92"/>
    <s v="Deepika Gupta"/>
    <n v="25"/>
    <x v="1"/>
    <x v="1"/>
    <n v="2"/>
    <x v="2"/>
    <x v="12"/>
  </r>
  <r>
    <n v="3379"/>
    <x v="964"/>
    <n v="30"/>
    <n v="5"/>
    <x v="3"/>
    <x v="2"/>
    <x v="7"/>
    <x v="5"/>
    <x v="2"/>
    <n v="7"/>
    <n v="44070.46"/>
    <n v="308493.21999999997"/>
    <s v="Rohan Roy"/>
    <n v="20"/>
    <x v="9"/>
    <x v="0"/>
    <n v="2"/>
    <x v="2"/>
    <x v="4"/>
  </r>
  <r>
    <n v="3380"/>
    <x v="964"/>
    <n v="30"/>
    <n v="5"/>
    <x v="3"/>
    <x v="2"/>
    <x v="7"/>
    <x v="5"/>
    <x v="1"/>
    <n v="7"/>
    <n v="12518.23"/>
    <n v="87627.61"/>
    <s v="Aditya Iyer"/>
    <n v="31"/>
    <x v="13"/>
    <x v="2"/>
    <n v="2"/>
    <x v="2"/>
    <x v="1"/>
  </r>
  <r>
    <n v="3381"/>
    <x v="965"/>
    <n v="31"/>
    <n v="5"/>
    <x v="3"/>
    <x v="2"/>
    <x v="7"/>
    <x v="6"/>
    <x v="3"/>
    <n v="9"/>
    <n v="20605.41"/>
    <n v="185448.69"/>
    <s v="Priya Teja"/>
    <n v="34"/>
    <x v="1"/>
    <x v="1"/>
    <n v="1"/>
    <x v="2"/>
    <x v="5"/>
  </r>
  <r>
    <n v="3382"/>
    <x v="965"/>
    <n v="31"/>
    <n v="5"/>
    <x v="3"/>
    <x v="2"/>
    <x v="7"/>
    <x v="6"/>
    <x v="3"/>
    <n v="5"/>
    <n v="61899.64"/>
    <n v="309498.2"/>
    <s v="Pooja Srivastava"/>
    <n v="51"/>
    <x v="8"/>
    <x v="2"/>
    <n v="5"/>
    <x v="0"/>
    <x v="5"/>
  </r>
  <r>
    <n v="3383"/>
    <x v="965"/>
    <n v="31"/>
    <n v="5"/>
    <x v="3"/>
    <x v="2"/>
    <x v="7"/>
    <x v="6"/>
    <x v="4"/>
    <n v="6"/>
    <n v="43773.99"/>
    <n v="262643.94"/>
    <s v="Priyanka Chatterjee"/>
    <n v="23"/>
    <x v="6"/>
    <x v="2"/>
    <n v="5"/>
    <x v="0"/>
    <x v="11"/>
  </r>
  <r>
    <n v="3384"/>
    <x v="966"/>
    <n v="1"/>
    <n v="6"/>
    <x v="3"/>
    <x v="2"/>
    <x v="8"/>
    <x v="0"/>
    <x v="4"/>
    <n v="1"/>
    <n v="67020.61"/>
    <n v="67020.61"/>
    <s v="Mala Srivastava"/>
    <n v="22"/>
    <x v="2"/>
    <x v="0"/>
    <n v="4"/>
    <x v="0"/>
    <x v="14"/>
  </r>
  <r>
    <n v="3385"/>
    <x v="966"/>
    <n v="1"/>
    <n v="6"/>
    <x v="3"/>
    <x v="2"/>
    <x v="8"/>
    <x v="0"/>
    <x v="4"/>
    <n v="6"/>
    <n v="14345.34"/>
    <n v="86072.040000000008"/>
    <s v="Radha Gupta"/>
    <n v="58"/>
    <x v="3"/>
    <x v="2"/>
    <n v="1"/>
    <x v="2"/>
    <x v="11"/>
  </r>
  <r>
    <n v="3386"/>
    <x v="966"/>
    <n v="1"/>
    <n v="6"/>
    <x v="3"/>
    <x v="2"/>
    <x v="8"/>
    <x v="0"/>
    <x v="2"/>
    <n v="2"/>
    <n v="27715.64"/>
    <n v="55431.28"/>
    <s v="Priya Reddy"/>
    <n v="57"/>
    <x v="13"/>
    <x v="1"/>
    <n v="4"/>
    <x v="0"/>
    <x v="4"/>
  </r>
  <r>
    <n v="3387"/>
    <x v="967"/>
    <n v="2"/>
    <n v="6"/>
    <x v="3"/>
    <x v="2"/>
    <x v="8"/>
    <x v="1"/>
    <x v="4"/>
    <n v="6"/>
    <n v="21612.6"/>
    <n v="129675.59999999999"/>
    <s v="Ayesha Rathod"/>
    <n v="46"/>
    <x v="2"/>
    <x v="0"/>
    <n v="3"/>
    <x v="1"/>
    <x v="11"/>
  </r>
  <r>
    <n v="3388"/>
    <x v="967"/>
    <n v="2"/>
    <n v="6"/>
    <x v="3"/>
    <x v="2"/>
    <x v="8"/>
    <x v="1"/>
    <x v="3"/>
    <n v="9"/>
    <n v="43230.42"/>
    <n v="389073.77999999997"/>
    <s v="Nikhil Varma"/>
    <n v="52"/>
    <x v="0"/>
    <x v="1"/>
    <n v="2"/>
    <x v="2"/>
    <x v="12"/>
  </r>
  <r>
    <n v="3389"/>
    <x v="967"/>
    <n v="2"/>
    <n v="6"/>
    <x v="3"/>
    <x v="2"/>
    <x v="8"/>
    <x v="1"/>
    <x v="4"/>
    <n v="8"/>
    <n v="32967.57"/>
    <n v="263740.56"/>
    <s v="Vivek Rawat"/>
    <n v="35"/>
    <x v="15"/>
    <x v="2"/>
    <n v="4"/>
    <x v="0"/>
    <x v="7"/>
  </r>
  <r>
    <n v="3390"/>
    <x v="967"/>
    <n v="2"/>
    <n v="6"/>
    <x v="3"/>
    <x v="2"/>
    <x v="8"/>
    <x v="1"/>
    <x v="0"/>
    <n v="9"/>
    <n v="19436.41"/>
    <n v="174927.69"/>
    <s v="Ravi Prasad"/>
    <n v="57"/>
    <x v="1"/>
    <x v="2"/>
    <n v="4"/>
    <x v="0"/>
    <x v="3"/>
  </r>
  <r>
    <n v="3391"/>
    <x v="968"/>
    <n v="3"/>
    <n v="6"/>
    <x v="3"/>
    <x v="2"/>
    <x v="8"/>
    <x v="2"/>
    <x v="4"/>
    <n v="8"/>
    <n v="48565.11"/>
    <n v="388520.88"/>
    <s v="Neeta Sharma"/>
    <n v="47"/>
    <x v="17"/>
    <x v="3"/>
    <n v="5"/>
    <x v="0"/>
    <x v="7"/>
  </r>
  <r>
    <n v="3392"/>
    <x v="968"/>
    <n v="3"/>
    <n v="6"/>
    <x v="3"/>
    <x v="2"/>
    <x v="8"/>
    <x v="2"/>
    <x v="2"/>
    <n v="3"/>
    <n v="42177.9"/>
    <n v="126533.70000000001"/>
    <s v="Sachin Shah"/>
    <n v="32"/>
    <x v="5"/>
    <x v="0"/>
    <n v="2"/>
    <x v="2"/>
    <x v="13"/>
  </r>
  <r>
    <n v="3393"/>
    <x v="968"/>
    <n v="3"/>
    <n v="6"/>
    <x v="3"/>
    <x v="2"/>
    <x v="8"/>
    <x v="2"/>
    <x v="0"/>
    <n v="8"/>
    <n v="26484.18"/>
    <n v="211873.44"/>
    <s v="Sanjay Jain"/>
    <n v="32"/>
    <x v="1"/>
    <x v="0"/>
    <n v="2"/>
    <x v="2"/>
    <x v="3"/>
  </r>
  <r>
    <n v="3394"/>
    <x v="968"/>
    <n v="3"/>
    <n v="6"/>
    <x v="3"/>
    <x v="2"/>
    <x v="8"/>
    <x v="2"/>
    <x v="3"/>
    <n v="6"/>
    <n v="38786.28"/>
    <n v="232717.68"/>
    <s v="Vivek Mathur"/>
    <n v="33"/>
    <x v="2"/>
    <x v="3"/>
    <n v="5"/>
    <x v="0"/>
    <x v="5"/>
  </r>
  <r>
    <n v="3395"/>
    <x v="969"/>
    <n v="4"/>
    <n v="6"/>
    <x v="3"/>
    <x v="2"/>
    <x v="8"/>
    <x v="3"/>
    <x v="3"/>
    <n v="6"/>
    <n v="54744.3"/>
    <n v="328465.80000000005"/>
    <s v="Kavita Rawat"/>
    <n v="50"/>
    <x v="1"/>
    <x v="1"/>
    <n v="4"/>
    <x v="0"/>
    <x v="8"/>
  </r>
  <r>
    <n v="3396"/>
    <x v="969"/>
    <n v="4"/>
    <n v="6"/>
    <x v="3"/>
    <x v="2"/>
    <x v="8"/>
    <x v="3"/>
    <x v="1"/>
    <n v="6"/>
    <n v="22316.3"/>
    <n v="133897.79999999999"/>
    <s v="Bina Kumar"/>
    <n v="27"/>
    <x v="13"/>
    <x v="1"/>
    <n v="5"/>
    <x v="0"/>
    <x v="1"/>
  </r>
  <r>
    <n v="3397"/>
    <x v="969"/>
    <n v="4"/>
    <n v="6"/>
    <x v="3"/>
    <x v="2"/>
    <x v="8"/>
    <x v="3"/>
    <x v="0"/>
    <n v="3"/>
    <n v="27574.34"/>
    <n v="82723.02"/>
    <s v="Amit Sheth"/>
    <n v="36"/>
    <x v="16"/>
    <x v="2"/>
    <n v="4"/>
    <x v="0"/>
    <x v="3"/>
  </r>
  <r>
    <n v="3398"/>
    <x v="970"/>
    <n v="5"/>
    <n v="6"/>
    <x v="3"/>
    <x v="2"/>
    <x v="8"/>
    <x v="4"/>
    <x v="1"/>
    <n v="1"/>
    <n v="30766.66"/>
    <n v="30766.66"/>
    <s v="Sachin Ghosh"/>
    <n v="54"/>
    <x v="1"/>
    <x v="0"/>
    <n v="5"/>
    <x v="0"/>
    <x v="9"/>
  </r>
  <r>
    <n v="3399"/>
    <x v="970"/>
    <n v="5"/>
    <n v="6"/>
    <x v="3"/>
    <x v="2"/>
    <x v="8"/>
    <x v="4"/>
    <x v="0"/>
    <n v="4"/>
    <n v="54803.59"/>
    <n v="219214.36"/>
    <s v="Monika Rawat"/>
    <n v="20"/>
    <x v="2"/>
    <x v="2"/>
    <n v="5"/>
    <x v="0"/>
    <x v="10"/>
  </r>
  <r>
    <n v="3400"/>
    <x v="970"/>
    <n v="5"/>
    <n v="6"/>
    <x v="3"/>
    <x v="2"/>
    <x v="8"/>
    <x v="4"/>
    <x v="0"/>
    <n v="6"/>
    <n v="60815.360000000001"/>
    <n v="364892.16000000003"/>
    <s v="Lalita Bhatnagar"/>
    <n v="53"/>
    <x v="2"/>
    <x v="3"/>
    <n v="3"/>
    <x v="1"/>
    <x v="3"/>
  </r>
  <r>
    <n v="3401"/>
    <x v="970"/>
    <n v="5"/>
    <n v="6"/>
    <x v="3"/>
    <x v="2"/>
    <x v="8"/>
    <x v="4"/>
    <x v="2"/>
    <n v="2"/>
    <n v="32583.31"/>
    <n v="65166.62"/>
    <s v="Namita Kumar"/>
    <n v="21"/>
    <x v="11"/>
    <x v="2"/>
    <n v="4"/>
    <x v="0"/>
    <x v="13"/>
  </r>
  <r>
    <n v="3402"/>
    <x v="971"/>
    <n v="6"/>
    <n v="6"/>
    <x v="3"/>
    <x v="2"/>
    <x v="8"/>
    <x v="5"/>
    <x v="1"/>
    <n v="7"/>
    <n v="27797.25"/>
    <n v="194580.75"/>
    <s v="Kavita Bhattacharya"/>
    <n v="28"/>
    <x v="1"/>
    <x v="1"/>
    <n v="4"/>
    <x v="0"/>
    <x v="1"/>
  </r>
  <r>
    <n v="3403"/>
    <x v="971"/>
    <n v="6"/>
    <n v="6"/>
    <x v="3"/>
    <x v="2"/>
    <x v="8"/>
    <x v="5"/>
    <x v="2"/>
    <n v="7"/>
    <n v="63366.81"/>
    <n v="443567.67"/>
    <s v="Mala Menon"/>
    <n v="58"/>
    <x v="15"/>
    <x v="1"/>
    <n v="2"/>
    <x v="2"/>
    <x v="4"/>
  </r>
  <r>
    <n v="3404"/>
    <x v="971"/>
    <n v="6"/>
    <n v="6"/>
    <x v="3"/>
    <x v="2"/>
    <x v="8"/>
    <x v="5"/>
    <x v="0"/>
    <n v="4"/>
    <n v="69961.899999999994"/>
    <n v="279847.59999999998"/>
    <s v="Devendra Arora"/>
    <n v="50"/>
    <x v="10"/>
    <x v="3"/>
    <n v="2"/>
    <x v="2"/>
    <x v="0"/>
  </r>
  <r>
    <n v="3405"/>
    <x v="972"/>
    <n v="7"/>
    <n v="6"/>
    <x v="3"/>
    <x v="2"/>
    <x v="8"/>
    <x v="6"/>
    <x v="3"/>
    <n v="4"/>
    <n v="50221.22"/>
    <n v="200884.88"/>
    <s v="Vijay Shah"/>
    <n v="45"/>
    <x v="11"/>
    <x v="1"/>
    <n v="5"/>
    <x v="0"/>
    <x v="12"/>
  </r>
  <r>
    <n v="3406"/>
    <x v="972"/>
    <n v="7"/>
    <n v="6"/>
    <x v="3"/>
    <x v="2"/>
    <x v="8"/>
    <x v="6"/>
    <x v="0"/>
    <n v="1"/>
    <n v="69398.84"/>
    <n v="69398.84"/>
    <s v="Prashant Nair"/>
    <n v="49"/>
    <x v="18"/>
    <x v="3"/>
    <n v="3"/>
    <x v="1"/>
    <x v="3"/>
  </r>
  <r>
    <n v="3407"/>
    <x v="972"/>
    <n v="7"/>
    <n v="6"/>
    <x v="3"/>
    <x v="2"/>
    <x v="8"/>
    <x v="6"/>
    <x v="2"/>
    <n v="2"/>
    <n v="49597.98"/>
    <n v="99195.96"/>
    <s v="Sunil Varma"/>
    <n v="33"/>
    <x v="1"/>
    <x v="0"/>
    <n v="5"/>
    <x v="0"/>
    <x v="13"/>
  </r>
  <r>
    <n v="3408"/>
    <x v="973"/>
    <n v="8"/>
    <n v="6"/>
    <x v="3"/>
    <x v="2"/>
    <x v="8"/>
    <x v="0"/>
    <x v="1"/>
    <n v="9"/>
    <n v="54007.62"/>
    <n v="486068.58"/>
    <s v="Nikhil Pathak"/>
    <n v="26"/>
    <x v="8"/>
    <x v="3"/>
    <n v="4"/>
    <x v="0"/>
    <x v="1"/>
  </r>
  <r>
    <n v="3409"/>
    <x v="973"/>
    <n v="8"/>
    <n v="6"/>
    <x v="3"/>
    <x v="2"/>
    <x v="8"/>
    <x v="0"/>
    <x v="1"/>
    <n v="8"/>
    <n v="33319.360000000001"/>
    <n v="266554.88"/>
    <s v="Gita Iyer"/>
    <n v="28"/>
    <x v="0"/>
    <x v="3"/>
    <n v="5"/>
    <x v="0"/>
    <x v="1"/>
  </r>
  <r>
    <n v="3410"/>
    <x v="973"/>
    <n v="8"/>
    <n v="6"/>
    <x v="3"/>
    <x v="2"/>
    <x v="8"/>
    <x v="0"/>
    <x v="2"/>
    <n v="8"/>
    <n v="35978.050000000003"/>
    <n v="287824.40000000002"/>
    <s v="Jyoti Srivastava"/>
    <n v="23"/>
    <x v="6"/>
    <x v="3"/>
    <n v="3"/>
    <x v="1"/>
    <x v="13"/>
  </r>
  <r>
    <n v="3411"/>
    <x v="974"/>
    <n v="9"/>
    <n v="6"/>
    <x v="3"/>
    <x v="2"/>
    <x v="8"/>
    <x v="1"/>
    <x v="1"/>
    <n v="9"/>
    <n v="18648.14"/>
    <n v="167833.26"/>
    <s v="Shruti Bhatnagar"/>
    <n v="44"/>
    <x v="12"/>
    <x v="1"/>
    <n v="2"/>
    <x v="2"/>
    <x v="9"/>
  </r>
  <r>
    <n v="3412"/>
    <x v="974"/>
    <n v="9"/>
    <n v="6"/>
    <x v="3"/>
    <x v="2"/>
    <x v="8"/>
    <x v="1"/>
    <x v="4"/>
    <n v="7"/>
    <n v="59365"/>
    <n v="415555"/>
    <s v="Kiran Malhotra"/>
    <n v="29"/>
    <x v="8"/>
    <x v="0"/>
    <n v="3"/>
    <x v="1"/>
    <x v="14"/>
  </r>
  <r>
    <n v="3413"/>
    <x v="974"/>
    <n v="9"/>
    <n v="6"/>
    <x v="3"/>
    <x v="2"/>
    <x v="8"/>
    <x v="1"/>
    <x v="3"/>
    <n v="9"/>
    <n v="65863.539999999994"/>
    <n v="592771.86"/>
    <s v="Isha Reddy"/>
    <n v="39"/>
    <x v="2"/>
    <x v="2"/>
    <n v="5"/>
    <x v="0"/>
    <x v="8"/>
  </r>
  <r>
    <n v="3414"/>
    <x v="974"/>
    <n v="9"/>
    <n v="6"/>
    <x v="3"/>
    <x v="2"/>
    <x v="8"/>
    <x v="1"/>
    <x v="3"/>
    <n v="2"/>
    <n v="47406.29"/>
    <n v="94812.58"/>
    <s v="Isha Sheth"/>
    <n v="57"/>
    <x v="4"/>
    <x v="0"/>
    <n v="5"/>
    <x v="0"/>
    <x v="5"/>
  </r>
  <r>
    <n v="3415"/>
    <x v="975"/>
    <n v="10"/>
    <n v="6"/>
    <x v="3"/>
    <x v="2"/>
    <x v="8"/>
    <x v="2"/>
    <x v="3"/>
    <n v="6"/>
    <n v="30618.84"/>
    <n v="183713.04"/>
    <s v="Meena Desai"/>
    <n v="54"/>
    <x v="16"/>
    <x v="1"/>
    <n v="2"/>
    <x v="2"/>
    <x v="12"/>
  </r>
  <r>
    <n v="3416"/>
    <x v="975"/>
    <n v="10"/>
    <n v="6"/>
    <x v="3"/>
    <x v="2"/>
    <x v="8"/>
    <x v="2"/>
    <x v="1"/>
    <n v="3"/>
    <n v="19240.98"/>
    <n v="57722.94"/>
    <s v="Lalita Rathod"/>
    <n v="38"/>
    <x v="7"/>
    <x v="0"/>
    <n v="2"/>
    <x v="2"/>
    <x v="1"/>
  </r>
  <r>
    <n v="3417"/>
    <x v="975"/>
    <n v="10"/>
    <n v="6"/>
    <x v="3"/>
    <x v="2"/>
    <x v="8"/>
    <x v="2"/>
    <x v="1"/>
    <n v="6"/>
    <n v="25909.37"/>
    <n v="155456.22"/>
    <s v="Sanjay Thakur"/>
    <n v="50"/>
    <x v="17"/>
    <x v="0"/>
    <n v="5"/>
    <x v="0"/>
    <x v="2"/>
  </r>
  <r>
    <n v="3418"/>
    <x v="975"/>
    <n v="10"/>
    <n v="6"/>
    <x v="3"/>
    <x v="2"/>
    <x v="8"/>
    <x v="2"/>
    <x v="0"/>
    <n v="3"/>
    <n v="25324.63"/>
    <n v="75973.89"/>
    <s v="Manoj Goyal"/>
    <n v="34"/>
    <x v="2"/>
    <x v="3"/>
    <n v="2"/>
    <x v="2"/>
    <x v="3"/>
  </r>
  <r>
    <n v="3419"/>
    <x v="976"/>
    <n v="11"/>
    <n v="6"/>
    <x v="3"/>
    <x v="2"/>
    <x v="8"/>
    <x v="3"/>
    <x v="0"/>
    <n v="8"/>
    <n v="46811.67"/>
    <n v="374493.36"/>
    <s v="Anita Deshmukh"/>
    <n v="46"/>
    <x v="15"/>
    <x v="3"/>
    <n v="5"/>
    <x v="0"/>
    <x v="10"/>
  </r>
  <r>
    <n v="3420"/>
    <x v="976"/>
    <n v="11"/>
    <n v="6"/>
    <x v="3"/>
    <x v="2"/>
    <x v="8"/>
    <x v="3"/>
    <x v="3"/>
    <n v="4"/>
    <n v="66702.25"/>
    <n v="266809"/>
    <s v="Anand Nair"/>
    <n v="57"/>
    <x v="16"/>
    <x v="1"/>
    <n v="2"/>
    <x v="2"/>
    <x v="8"/>
  </r>
  <r>
    <n v="3421"/>
    <x v="976"/>
    <n v="11"/>
    <n v="6"/>
    <x v="3"/>
    <x v="2"/>
    <x v="8"/>
    <x v="3"/>
    <x v="4"/>
    <n v="6"/>
    <n v="12896.31"/>
    <n v="77377.86"/>
    <s v="Sumit Goyal"/>
    <n v="27"/>
    <x v="1"/>
    <x v="3"/>
    <n v="4"/>
    <x v="0"/>
    <x v="7"/>
  </r>
  <r>
    <n v="3422"/>
    <x v="976"/>
    <n v="11"/>
    <n v="6"/>
    <x v="3"/>
    <x v="2"/>
    <x v="8"/>
    <x v="3"/>
    <x v="0"/>
    <n v="9"/>
    <n v="10061.34"/>
    <n v="90552.06"/>
    <s v="Anjali Srivastava"/>
    <n v="35"/>
    <x v="1"/>
    <x v="1"/>
    <n v="3"/>
    <x v="1"/>
    <x v="10"/>
  </r>
  <r>
    <n v="3423"/>
    <x v="977"/>
    <n v="12"/>
    <n v="6"/>
    <x v="3"/>
    <x v="2"/>
    <x v="8"/>
    <x v="4"/>
    <x v="0"/>
    <n v="2"/>
    <n v="46010.92"/>
    <n v="92021.84"/>
    <s v="Prashant Jain"/>
    <n v="30"/>
    <x v="2"/>
    <x v="2"/>
    <n v="5"/>
    <x v="0"/>
    <x v="3"/>
  </r>
  <r>
    <n v="3424"/>
    <x v="977"/>
    <n v="12"/>
    <n v="6"/>
    <x v="3"/>
    <x v="2"/>
    <x v="8"/>
    <x v="4"/>
    <x v="1"/>
    <n v="2"/>
    <n v="27043.63"/>
    <n v="54087.26"/>
    <s v="Kavita Rawat"/>
    <n v="44"/>
    <x v="18"/>
    <x v="0"/>
    <n v="5"/>
    <x v="0"/>
    <x v="2"/>
  </r>
  <r>
    <n v="3425"/>
    <x v="977"/>
    <n v="12"/>
    <n v="6"/>
    <x v="3"/>
    <x v="2"/>
    <x v="8"/>
    <x v="4"/>
    <x v="4"/>
    <n v="7"/>
    <n v="62832.9"/>
    <n v="439830.3"/>
    <s v="Anita Sharma"/>
    <n v="27"/>
    <x v="5"/>
    <x v="2"/>
    <n v="5"/>
    <x v="0"/>
    <x v="14"/>
  </r>
  <r>
    <n v="3426"/>
    <x v="977"/>
    <n v="12"/>
    <n v="6"/>
    <x v="3"/>
    <x v="2"/>
    <x v="8"/>
    <x v="4"/>
    <x v="3"/>
    <n v="2"/>
    <n v="29635.02"/>
    <n v="59270.04"/>
    <s v="Jyoti Ghosh"/>
    <n v="49"/>
    <x v="0"/>
    <x v="2"/>
    <n v="4"/>
    <x v="0"/>
    <x v="5"/>
  </r>
  <r>
    <n v="3427"/>
    <x v="978"/>
    <n v="13"/>
    <n v="6"/>
    <x v="3"/>
    <x v="2"/>
    <x v="8"/>
    <x v="5"/>
    <x v="0"/>
    <n v="2"/>
    <n v="27384.26"/>
    <n v="54768.52"/>
    <s v="Yogesh Menon"/>
    <n v="58"/>
    <x v="17"/>
    <x v="0"/>
    <n v="2"/>
    <x v="2"/>
    <x v="3"/>
  </r>
  <r>
    <n v="3428"/>
    <x v="978"/>
    <n v="13"/>
    <n v="6"/>
    <x v="3"/>
    <x v="2"/>
    <x v="8"/>
    <x v="5"/>
    <x v="4"/>
    <n v="4"/>
    <n v="26170.639999999999"/>
    <n v="104682.56"/>
    <s v="Neeta Arora"/>
    <n v="20"/>
    <x v="3"/>
    <x v="3"/>
    <n v="2"/>
    <x v="2"/>
    <x v="14"/>
  </r>
  <r>
    <n v="3429"/>
    <x v="978"/>
    <n v="13"/>
    <n v="6"/>
    <x v="3"/>
    <x v="2"/>
    <x v="8"/>
    <x v="5"/>
    <x v="4"/>
    <n v="9"/>
    <n v="18691.169999999998"/>
    <n v="168220.52999999997"/>
    <s v="Isha Thakur"/>
    <n v="39"/>
    <x v="3"/>
    <x v="2"/>
    <n v="5"/>
    <x v="0"/>
    <x v="7"/>
  </r>
  <r>
    <n v="3430"/>
    <x v="978"/>
    <n v="13"/>
    <n v="6"/>
    <x v="3"/>
    <x v="2"/>
    <x v="8"/>
    <x v="5"/>
    <x v="3"/>
    <n v="8"/>
    <n v="44891.83"/>
    <n v="359134.64"/>
    <s v="Navin Pathak"/>
    <n v="44"/>
    <x v="18"/>
    <x v="0"/>
    <n v="2"/>
    <x v="2"/>
    <x v="5"/>
  </r>
  <r>
    <n v="3431"/>
    <x v="979"/>
    <n v="14"/>
    <n v="6"/>
    <x v="3"/>
    <x v="2"/>
    <x v="8"/>
    <x v="6"/>
    <x v="4"/>
    <n v="2"/>
    <n v="20092.82"/>
    <n v="40185.64"/>
    <s v="Sanjay Das"/>
    <n v="20"/>
    <x v="0"/>
    <x v="2"/>
    <n v="2"/>
    <x v="2"/>
    <x v="7"/>
  </r>
  <r>
    <n v="3432"/>
    <x v="979"/>
    <n v="14"/>
    <n v="6"/>
    <x v="3"/>
    <x v="2"/>
    <x v="8"/>
    <x v="6"/>
    <x v="4"/>
    <n v="8"/>
    <n v="35477.870000000003"/>
    <n v="283822.96000000002"/>
    <s v="Kavita Goyal"/>
    <n v="50"/>
    <x v="4"/>
    <x v="2"/>
    <n v="4"/>
    <x v="0"/>
    <x v="11"/>
  </r>
  <r>
    <n v="3433"/>
    <x v="979"/>
    <n v="14"/>
    <n v="6"/>
    <x v="3"/>
    <x v="2"/>
    <x v="8"/>
    <x v="6"/>
    <x v="4"/>
    <n v="4"/>
    <n v="37658.32"/>
    <n v="150633.28"/>
    <s v="Shruti Pathak"/>
    <n v="19"/>
    <x v="2"/>
    <x v="0"/>
    <n v="5"/>
    <x v="0"/>
    <x v="14"/>
  </r>
  <r>
    <n v="3434"/>
    <x v="979"/>
    <n v="14"/>
    <n v="6"/>
    <x v="3"/>
    <x v="2"/>
    <x v="8"/>
    <x v="6"/>
    <x v="0"/>
    <n v="2"/>
    <n v="11229.52"/>
    <n v="22459.040000000001"/>
    <s v="Kavita Kaur"/>
    <n v="28"/>
    <x v="15"/>
    <x v="3"/>
    <n v="3"/>
    <x v="1"/>
    <x v="10"/>
  </r>
  <r>
    <n v="3435"/>
    <x v="980"/>
    <n v="15"/>
    <n v="6"/>
    <x v="3"/>
    <x v="2"/>
    <x v="8"/>
    <x v="0"/>
    <x v="3"/>
    <n v="7"/>
    <n v="11008.44"/>
    <n v="77059.08"/>
    <s v="Rajesh Singh"/>
    <n v="27"/>
    <x v="4"/>
    <x v="1"/>
    <n v="5"/>
    <x v="0"/>
    <x v="12"/>
  </r>
  <r>
    <n v="3436"/>
    <x v="980"/>
    <n v="15"/>
    <n v="6"/>
    <x v="3"/>
    <x v="2"/>
    <x v="8"/>
    <x v="0"/>
    <x v="4"/>
    <n v="6"/>
    <n v="41212.76"/>
    <n v="247276.56"/>
    <s v="Devendra Singh"/>
    <n v="56"/>
    <x v="12"/>
    <x v="0"/>
    <n v="5"/>
    <x v="0"/>
    <x v="14"/>
  </r>
  <r>
    <n v="3437"/>
    <x v="980"/>
    <n v="15"/>
    <n v="6"/>
    <x v="3"/>
    <x v="2"/>
    <x v="8"/>
    <x v="0"/>
    <x v="4"/>
    <n v="5"/>
    <n v="51762.080000000002"/>
    <n v="258810.40000000002"/>
    <s v="Sneha Yadav"/>
    <n v="50"/>
    <x v="2"/>
    <x v="1"/>
    <n v="3"/>
    <x v="1"/>
    <x v="14"/>
  </r>
  <r>
    <n v="3438"/>
    <x v="980"/>
    <n v="15"/>
    <n v="6"/>
    <x v="3"/>
    <x v="2"/>
    <x v="8"/>
    <x v="0"/>
    <x v="0"/>
    <n v="1"/>
    <n v="66528.55"/>
    <n v="66528.55"/>
    <s v="Mala Das"/>
    <n v="24"/>
    <x v="5"/>
    <x v="0"/>
    <n v="5"/>
    <x v="0"/>
    <x v="0"/>
  </r>
  <r>
    <n v="3439"/>
    <x v="981"/>
    <n v="16"/>
    <n v="6"/>
    <x v="3"/>
    <x v="2"/>
    <x v="8"/>
    <x v="1"/>
    <x v="3"/>
    <n v="2"/>
    <n v="20747.16"/>
    <n v="41494.32"/>
    <s v="Bina Teja"/>
    <n v="32"/>
    <x v="1"/>
    <x v="0"/>
    <n v="5"/>
    <x v="0"/>
    <x v="8"/>
  </r>
  <r>
    <n v="3440"/>
    <x v="981"/>
    <n v="16"/>
    <n v="6"/>
    <x v="3"/>
    <x v="2"/>
    <x v="8"/>
    <x v="1"/>
    <x v="1"/>
    <n v="8"/>
    <n v="16195.53"/>
    <n v="129564.24"/>
    <s v="Pankaj Mehta"/>
    <n v="43"/>
    <x v="13"/>
    <x v="1"/>
    <n v="4"/>
    <x v="0"/>
    <x v="9"/>
  </r>
  <r>
    <n v="3441"/>
    <x v="981"/>
    <n v="16"/>
    <n v="6"/>
    <x v="3"/>
    <x v="2"/>
    <x v="8"/>
    <x v="1"/>
    <x v="0"/>
    <n v="1"/>
    <n v="13125.27"/>
    <n v="13125.27"/>
    <s v="Lata Dutta"/>
    <n v="28"/>
    <x v="8"/>
    <x v="1"/>
    <n v="4"/>
    <x v="0"/>
    <x v="10"/>
  </r>
  <r>
    <n v="3442"/>
    <x v="981"/>
    <n v="16"/>
    <n v="6"/>
    <x v="3"/>
    <x v="2"/>
    <x v="8"/>
    <x v="1"/>
    <x v="3"/>
    <n v="3"/>
    <n v="36162.49"/>
    <n v="108487.47"/>
    <s v="Neeta Solanki"/>
    <n v="55"/>
    <x v="18"/>
    <x v="3"/>
    <n v="4"/>
    <x v="0"/>
    <x v="8"/>
  </r>
  <r>
    <n v="3443"/>
    <x v="982"/>
    <n v="17"/>
    <n v="6"/>
    <x v="3"/>
    <x v="2"/>
    <x v="8"/>
    <x v="2"/>
    <x v="4"/>
    <n v="2"/>
    <n v="47388.84"/>
    <n v="94777.68"/>
    <s v="Lata Shah"/>
    <n v="44"/>
    <x v="12"/>
    <x v="0"/>
    <n v="5"/>
    <x v="0"/>
    <x v="11"/>
  </r>
  <r>
    <n v="3444"/>
    <x v="982"/>
    <n v="17"/>
    <n v="6"/>
    <x v="3"/>
    <x v="2"/>
    <x v="8"/>
    <x v="2"/>
    <x v="3"/>
    <n v="5"/>
    <n v="60433.2"/>
    <n v="302166"/>
    <s v="Radha Rao"/>
    <n v="56"/>
    <x v="8"/>
    <x v="0"/>
    <n v="5"/>
    <x v="0"/>
    <x v="5"/>
  </r>
  <r>
    <n v="3445"/>
    <x v="982"/>
    <n v="17"/>
    <n v="6"/>
    <x v="3"/>
    <x v="2"/>
    <x v="8"/>
    <x v="2"/>
    <x v="3"/>
    <n v="4"/>
    <n v="50958.69"/>
    <n v="203834.76"/>
    <s v="Manoj Shah"/>
    <n v="24"/>
    <x v="3"/>
    <x v="0"/>
    <n v="2"/>
    <x v="2"/>
    <x v="12"/>
  </r>
  <r>
    <n v="3446"/>
    <x v="982"/>
    <n v="17"/>
    <n v="6"/>
    <x v="3"/>
    <x v="2"/>
    <x v="8"/>
    <x v="2"/>
    <x v="3"/>
    <n v="7"/>
    <n v="22501.65"/>
    <n v="157511.55000000002"/>
    <s v="Rajesh Yadav"/>
    <n v="18"/>
    <x v="6"/>
    <x v="3"/>
    <n v="2"/>
    <x v="2"/>
    <x v="5"/>
  </r>
  <r>
    <n v="3447"/>
    <x v="983"/>
    <n v="18"/>
    <n v="6"/>
    <x v="3"/>
    <x v="2"/>
    <x v="8"/>
    <x v="3"/>
    <x v="1"/>
    <n v="5"/>
    <n v="37706.22"/>
    <n v="188531.1"/>
    <s v="Nikhil Jain"/>
    <n v="27"/>
    <x v="6"/>
    <x v="1"/>
    <n v="4"/>
    <x v="0"/>
    <x v="9"/>
  </r>
  <r>
    <n v="3448"/>
    <x v="983"/>
    <n v="18"/>
    <n v="6"/>
    <x v="3"/>
    <x v="2"/>
    <x v="8"/>
    <x v="3"/>
    <x v="3"/>
    <n v="8"/>
    <n v="64620.78"/>
    <n v="516966.24"/>
    <s v="Isha Menon"/>
    <n v="38"/>
    <x v="2"/>
    <x v="0"/>
    <n v="5"/>
    <x v="0"/>
    <x v="8"/>
  </r>
  <r>
    <n v="3449"/>
    <x v="983"/>
    <n v="18"/>
    <n v="6"/>
    <x v="3"/>
    <x v="2"/>
    <x v="8"/>
    <x v="3"/>
    <x v="1"/>
    <n v="4"/>
    <n v="29604.46"/>
    <n v="118417.84"/>
    <s v="Pankaj Bhattacharya"/>
    <n v="32"/>
    <x v="3"/>
    <x v="1"/>
    <n v="2"/>
    <x v="2"/>
    <x v="1"/>
  </r>
  <r>
    <n v="3450"/>
    <x v="984"/>
    <n v="19"/>
    <n v="6"/>
    <x v="3"/>
    <x v="2"/>
    <x v="8"/>
    <x v="4"/>
    <x v="4"/>
    <n v="6"/>
    <n v="39923.82"/>
    <n v="239542.91999999998"/>
    <s v="Mala Roy"/>
    <n v="47"/>
    <x v="1"/>
    <x v="3"/>
    <n v="5"/>
    <x v="0"/>
    <x v="14"/>
  </r>
  <r>
    <n v="3451"/>
    <x v="984"/>
    <n v="19"/>
    <n v="6"/>
    <x v="3"/>
    <x v="2"/>
    <x v="8"/>
    <x v="4"/>
    <x v="1"/>
    <n v="4"/>
    <n v="67513.919999999998"/>
    <n v="270055.67999999999"/>
    <s v="Monika Ahuja"/>
    <n v="47"/>
    <x v="1"/>
    <x v="2"/>
    <n v="5"/>
    <x v="0"/>
    <x v="1"/>
  </r>
  <r>
    <n v="3452"/>
    <x v="984"/>
    <n v="19"/>
    <n v="6"/>
    <x v="3"/>
    <x v="2"/>
    <x v="8"/>
    <x v="4"/>
    <x v="4"/>
    <n v="2"/>
    <n v="54082.48"/>
    <n v="108164.96"/>
    <s v="Neeta Solanki"/>
    <n v="25"/>
    <x v="1"/>
    <x v="1"/>
    <n v="4"/>
    <x v="0"/>
    <x v="11"/>
  </r>
  <r>
    <n v="3453"/>
    <x v="984"/>
    <n v="19"/>
    <n v="6"/>
    <x v="3"/>
    <x v="2"/>
    <x v="8"/>
    <x v="4"/>
    <x v="4"/>
    <n v="1"/>
    <n v="54864.42"/>
    <n v="54864.42"/>
    <s v="Anjali Varma"/>
    <n v="41"/>
    <x v="0"/>
    <x v="3"/>
    <n v="3"/>
    <x v="1"/>
    <x v="7"/>
  </r>
  <r>
    <n v="3454"/>
    <x v="985"/>
    <n v="20"/>
    <n v="6"/>
    <x v="3"/>
    <x v="2"/>
    <x v="8"/>
    <x v="5"/>
    <x v="1"/>
    <n v="1"/>
    <n v="25140.04"/>
    <n v="25140.04"/>
    <s v="Gita Roy"/>
    <n v="36"/>
    <x v="13"/>
    <x v="2"/>
    <n v="4"/>
    <x v="0"/>
    <x v="2"/>
  </r>
  <r>
    <n v="3455"/>
    <x v="985"/>
    <n v="20"/>
    <n v="6"/>
    <x v="3"/>
    <x v="2"/>
    <x v="8"/>
    <x v="5"/>
    <x v="0"/>
    <n v="8"/>
    <n v="34881.89"/>
    <n v="279055.12"/>
    <s v="Sumit Malhotra"/>
    <n v="20"/>
    <x v="18"/>
    <x v="0"/>
    <n v="3"/>
    <x v="1"/>
    <x v="3"/>
  </r>
  <r>
    <n v="3456"/>
    <x v="985"/>
    <n v="20"/>
    <n v="6"/>
    <x v="3"/>
    <x v="2"/>
    <x v="8"/>
    <x v="5"/>
    <x v="2"/>
    <n v="4"/>
    <n v="14940.53"/>
    <n v="59762.12"/>
    <s v="Vivek Mehta"/>
    <n v="32"/>
    <x v="1"/>
    <x v="0"/>
    <n v="2"/>
    <x v="2"/>
    <x v="13"/>
  </r>
  <r>
    <n v="3457"/>
    <x v="985"/>
    <n v="20"/>
    <n v="6"/>
    <x v="3"/>
    <x v="2"/>
    <x v="8"/>
    <x v="5"/>
    <x v="3"/>
    <n v="5"/>
    <n v="46391.55"/>
    <n v="231957.75"/>
    <s v="Bhavana Bhatnagar"/>
    <n v="53"/>
    <x v="2"/>
    <x v="1"/>
    <n v="3"/>
    <x v="1"/>
    <x v="8"/>
  </r>
  <r>
    <n v="3458"/>
    <x v="986"/>
    <n v="21"/>
    <n v="6"/>
    <x v="3"/>
    <x v="2"/>
    <x v="8"/>
    <x v="6"/>
    <x v="2"/>
    <n v="8"/>
    <n v="16223.81"/>
    <n v="129790.48"/>
    <s v="Devendra Rao"/>
    <n v="23"/>
    <x v="14"/>
    <x v="2"/>
    <n v="5"/>
    <x v="0"/>
    <x v="13"/>
  </r>
  <r>
    <n v="3459"/>
    <x v="986"/>
    <n v="21"/>
    <n v="6"/>
    <x v="3"/>
    <x v="2"/>
    <x v="8"/>
    <x v="6"/>
    <x v="3"/>
    <n v="7"/>
    <n v="60154.57"/>
    <n v="421081.99"/>
    <s v="Pankaj Sheth"/>
    <n v="59"/>
    <x v="14"/>
    <x v="3"/>
    <n v="3"/>
    <x v="1"/>
    <x v="5"/>
  </r>
  <r>
    <n v="3460"/>
    <x v="986"/>
    <n v="21"/>
    <n v="6"/>
    <x v="3"/>
    <x v="2"/>
    <x v="8"/>
    <x v="6"/>
    <x v="3"/>
    <n v="8"/>
    <n v="58873.23"/>
    <n v="470985.84"/>
    <s v="Tanuja Teja"/>
    <n v="35"/>
    <x v="1"/>
    <x v="0"/>
    <n v="2"/>
    <x v="2"/>
    <x v="12"/>
  </r>
  <r>
    <n v="3461"/>
    <x v="986"/>
    <n v="21"/>
    <n v="6"/>
    <x v="3"/>
    <x v="2"/>
    <x v="8"/>
    <x v="6"/>
    <x v="4"/>
    <n v="8"/>
    <n v="42016.31"/>
    <n v="336130.48"/>
    <s v="Sunita Verma"/>
    <n v="55"/>
    <x v="14"/>
    <x v="0"/>
    <n v="2"/>
    <x v="2"/>
    <x v="7"/>
  </r>
  <r>
    <n v="3462"/>
    <x v="987"/>
    <n v="22"/>
    <n v="6"/>
    <x v="3"/>
    <x v="2"/>
    <x v="8"/>
    <x v="0"/>
    <x v="3"/>
    <n v="6"/>
    <n v="18469.96"/>
    <n v="110819.76"/>
    <s v="Sunita Mehta"/>
    <n v="36"/>
    <x v="2"/>
    <x v="2"/>
    <n v="4"/>
    <x v="0"/>
    <x v="12"/>
  </r>
  <r>
    <n v="3463"/>
    <x v="987"/>
    <n v="22"/>
    <n v="6"/>
    <x v="3"/>
    <x v="2"/>
    <x v="8"/>
    <x v="0"/>
    <x v="3"/>
    <n v="2"/>
    <n v="11534.74"/>
    <n v="23069.48"/>
    <s v="Anjali Gupta"/>
    <n v="47"/>
    <x v="18"/>
    <x v="3"/>
    <n v="2"/>
    <x v="2"/>
    <x v="12"/>
  </r>
  <r>
    <n v="3464"/>
    <x v="987"/>
    <n v="22"/>
    <n v="6"/>
    <x v="3"/>
    <x v="2"/>
    <x v="8"/>
    <x v="0"/>
    <x v="1"/>
    <n v="6"/>
    <n v="57802.52"/>
    <n v="346815.12"/>
    <s v="Sumit Goyal"/>
    <n v="30"/>
    <x v="1"/>
    <x v="0"/>
    <n v="5"/>
    <x v="0"/>
    <x v="9"/>
  </r>
  <r>
    <n v="3465"/>
    <x v="987"/>
    <n v="22"/>
    <n v="6"/>
    <x v="3"/>
    <x v="2"/>
    <x v="8"/>
    <x v="0"/>
    <x v="2"/>
    <n v="1"/>
    <n v="46008.43"/>
    <n v="46008.43"/>
    <s v="Rohan Roy"/>
    <n v="56"/>
    <x v="15"/>
    <x v="0"/>
    <n v="3"/>
    <x v="1"/>
    <x v="4"/>
  </r>
  <r>
    <n v="3466"/>
    <x v="988"/>
    <n v="23"/>
    <n v="6"/>
    <x v="3"/>
    <x v="2"/>
    <x v="8"/>
    <x v="1"/>
    <x v="1"/>
    <n v="1"/>
    <n v="52655.78"/>
    <n v="52655.78"/>
    <s v="Yogesh Pathak"/>
    <n v="29"/>
    <x v="2"/>
    <x v="1"/>
    <n v="5"/>
    <x v="0"/>
    <x v="1"/>
  </r>
  <r>
    <n v="3467"/>
    <x v="988"/>
    <n v="23"/>
    <n v="6"/>
    <x v="3"/>
    <x v="2"/>
    <x v="8"/>
    <x v="1"/>
    <x v="3"/>
    <n v="3"/>
    <n v="28228.43"/>
    <n v="84685.290000000008"/>
    <s v="Pankaj Sheth"/>
    <n v="51"/>
    <x v="2"/>
    <x v="3"/>
    <n v="2"/>
    <x v="2"/>
    <x v="5"/>
  </r>
  <r>
    <n v="3468"/>
    <x v="988"/>
    <n v="23"/>
    <n v="6"/>
    <x v="3"/>
    <x v="2"/>
    <x v="8"/>
    <x v="1"/>
    <x v="4"/>
    <n v="3"/>
    <n v="40568.959999999999"/>
    <n v="121706.88"/>
    <s v="Kavita Teja"/>
    <n v="29"/>
    <x v="15"/>
    <x v="0"/>
    <n v="3"/>
    <x v="1"/>
    <x v="7"/>
  </r>
  <r>
    <n v="3469"/>
    <x v="988"/>
    <n v="23"/>
    <n v="6"/>
    <x v="3"/>
    <x v="2"/>
    <x v="8"/>
    <x v="1"/>
    <x v="1"/>
    <n v="5"/>
    <n v="54830.45"/>
    <n v="274152.25"/>
    <s v="Krishna Patel"/>
    <n v="41"/>
    <x v="1"/>
    <x v="2"/>
    <n v="4"/>
    <x v="0"/>
    <x v="2"/>
  </r>
  <r>
    <n v="3470"/>
    <x v="989"/>
    <n v="24"/>
    <n v="6"/>
    <x v="3"/>
    <x v="2"/>
    <x v="8"/>
    <x v="2"/>
    <x v="1"/>
    <n v="1"/>
    <n v="37753.800000000003"/>
    <n v="37753.800000000003"/>
    <s v="Sunita Mathur"/>
    <n v="21"/>
    <x v="9"/>
    <x v="0"/>
    <n v="5"/>
    <x v="0"/>
    <x v="9"/>
  </r>
  <r>
    <n v="3471"/>
    <x v="989"/>
    <n v="24"/>
    <n v="6"/>
    <x v="3"/>
    <x v="2"/>
    <x v="8"/>
    <x v="2"/>
    <x v="0"/>
    <n v="6"/>
    <n v="46083.05"/>
    <n v="276498.30000000005"/>
    <s v="Lata Dutta"/>
    <n v="53"/>
    <x v="5"/>
    <x v="3"/>
    <n v="4"/>
    <x v="0"/>
    <x v="3"/>
  </r>
  <r>
    <n v="3472"/>
    <x v="989"/>
    <n v="24"/>
    <n v="6"/>
    <x v="3"/>
    <x v="2"/>
    <x v="8"/>
    <x v="2"/>
    <x v="3"/>
    <n v="7"/>
    <n v="57383.7"/>
    <n v="401685.89999999997"/>
    <s v="Ramesh Mishra"/>
    <n v="31"/>
    <x v="2"/>
    <x v="1"/>
    <n v="5"/>
    <x v="0"/>
    <x v="8"/>
  </r>
  <r>
    <n v="3473"/>
    <x v="989"/>
    <n v="24"/>
    <n v="6"/>
    <x v="3"/>
    <x v="2"/>
    <x v="8"/>
    <x v="2"/>
    <x v="4"/>
    <n v="3"/>
    <n v="22913.24"/>
    <n v="68739.72"/>
    <s v="Krishna Rao"/>
    <n v="34"/>
    <x v="12"/>
    <x v="0"/>
    <n v="4"/>
    <x v="0"/>
    <x v="11"/>
  </r>
  <r>
    <n v="3474"/>
    <x v="990"/>
    <n v="25"/>
    <n v="6"/>
    <x v="3"/>
    <x v="2"/>
    <x v="8"/>
    <x v="3"/>
    <x v="1"/>
    <n v="4"/>
    <n v="13955.73"/>
    <n v="55822.92"/>
    <s v="Sunita Luthra"/>
    <n v="20"/>
    <x v="12"/>
    <x v="2"/>
    <n v="3"/>
    <x v="1"/>
    <x v="2"/>
  </r>
  <r>
    <n v="3475"/>
    <x v="990"/>
    <n v="25"/>
    <n v="6"/>
    <x v="3"/>
    <x v="2"/>
    <x v="8"/>
    <x v="3"/>
    <x v="1"/>
    <n v="3"/>
    <n v="41909.410000000003"/>
    <n v="125728.23000000001"/>
    <s v="Bhavana Mehta"/>
    <n v="55"/>
    <x v="9"/>
    <x v="0"/>
    <n v="5"/>
    <x v="0"/>
    <x v="1"/>
  </r>
  <r>
    <n v="3476"/>
    <x v="990"/>
    <n v="25"/>
    <n v="6"/>
    <x v="3"/>
    <x v="2"/>
    <x v="8"/>
    <x v="3"/>
    <x v="4"/>
    <n v="1"/>
    <n v="13727.55"/>
    <n v="13727.55"/>
    <s v="Lata Joshi"/>
    <n v="40"/>
    <x v="9"/>
    <x v="2"/>
    <n v="4"/>
    <x v="0"/>
    <x v="11"/>
  </r>
  <r>
    <n v="3477"/>
    <x v="990"/>
    <n v="25"/>
    <n v="6"/>
    <x v="3"/>
    <x v="2"/>
    <x v="8"/>
    <x v="3"/>
    <x v="3"/>
    <n v="8"/>
    <n v="55993.440000000002"/>
    <n v="447947.52000000002"/>
    <s v="Anjali Kulkarni"/>
    <n v="30"/>
    <x v="2"/>
    <x v="3"/>
    <n v="4"/>
    <x v="0"/>
    <x v="5"/>
  </r>
  <r>
    <n v="3478"/>
    <x v="991"/>
    <n v="26"/>
    <n v="6"/>
    <x v="3"/>
    <x v="2"/>
    <x v="8"/>
    <x v="4"/>
    <x v="0"/>
    <n v="2"/>
    <n v="53152.69"/>
    <n v="106305.38"/>
    <s v="Rajesh Kapoor"/>
    <n v="26"/>
    <x v="1"/>
    <x v="1"/>
    <n v="5"/>
    <x v="0"/>
    <x v="3"/>
  </r>
  <r>
    <n v="3479"/>
    <x v="991"/>
    <n v="26"/>
    <n v="6"/>
    <x v="3"/>
    <x v="2"/>
    <x v="8"/>
    <x v="4"/>
    <x v="1"/>
    <n v="1"/>
    <n v="62902.76"/>
    <n v="62902.76"/>
    <s v="Nikhil Patel"/>
    <n v="38"/>
    <x v="16"/>
    <x v="3"/>
    <n v="3"/>
    <x v="1"/>
    <x v="9"/>
  </r>
  <r>
    <n v="3480"/>
    <x v="991"/>
    <n v="26"/>
    <n v="6"/>
    <x v="3"/>
    <x v="2"/>
    <x v="8"/>
    <x v="4"/>
    <x v="0"/>
    <n v="8"/>
    <n v="48373.73"/>
    <n v="386989.84"/>
    <s v="Amit Ghosh"/>
    <n v="58"/>
    <x v="1"/>
    <x v="0"/>
    <n v="4"/>
    <x v="0"/>
    <x v="3"/>
  </r>
  <r>
    <n v="3481"/>
    <x v="991"/>
    <n v="26"/>
    <n v="6"/>
    <x v="3"/>
    <x v="2"/>
    <x v="8"/>
    <x v="4"/>
    <x v="2"/>
    <n v="7"/>
    <n v="14031.85"/>
    <n v="98222.95"/>
    <s v="Kiran Chaudhary"/>
    <n v="25"/>
    <x v="1"/>
    <x v="0"/>
    <n v="3"/>
    <x v="1"/>
    <x v="6"/>
  </r>
  <r>
    <n v="3482"/>
    <x v="992"/>
    <n v="27"/>
    <n v="6"/>
    <x v="3"/>
    <x v="2"/>
    <x v="8"/>
    <x v="5"/>
    <x v="3"/>
    <n v="7"/>
    <n v="25189.13"/>
    <n v="176323.91"/>
    <s v="Anand Joshi"/>
    <n v="34"/>
    <x v="3"/>
    <x v="1"/>
    <n v="2"/>
    <x v="2"/>
    <x v="5"/>
  </r>
  <r>
    <n v="3483"/>
    <x v="992"/>
    <n v="27"/>
    <n v="6"/>
    <x v="3"/>
    <x v="2"/>
    <x v="8"/>
    <x v="5"/>
    <x v="2"/>
    <n v="4"/>
    <n v="58475.91"/>
    <n v="233903.64"/>
    <s v="Nikhil Menon"/>
    <n v="33"/>
    <x v="2"/>
    <x v="2"/>
    <n v="5"/>
    <x v="0"/>
    <x v="13"/>
  </r>
  <r>
    <n v="3484"/>
    <x v="992"/>
    <n v="27"/>
    <n v="6"/>
    <x v="3"/>
    <x v="2"/>
    <x v="8"/>
    <x v="5"/>
    <x v="2"/>
    <n v="9"/>
    <n v="20027.95"/>
    <n v="180251.55000000002"/>
    <s v="Tapan Mishra"/>
    <n v="33"/>
    <x v="11"/>
    <x v="3"/>
    <n v="5"/>
    <x v="0"/>
    <x v="4"/>
  </r>
  <r>
    <n v="3485"/>
    <x v="992"/>
    <n v="27"/>
    <n v="6"/>
    <x v="3"/>
    <x v="2"/>
    <x v="8"/>
    <x v="5"/>
    <x v="2"/>
    <n v="6"/>
    <n v="51908.83"/>
    <n v="311452.98"/>
    <s v="Vivek Shah"/>
    <n v="45"/>
    <x v="2"/>
    <x v="2"/>
    <n v="5"/>
    <x v="0"/>
    <x v="4"/>
  </r>
  <r>
    <n v="3486"/>
    <x v="993"/>
    <n v="28"/>
    <n v="6"/>
    <x v="3"/>
    <x v="2"/>
    <x v="8"/>
    <x v="6"/>
    <x v="3"/>
    <n v="2"/>
    <n v="56815.56"/>
    <n v="113631.12"/>
    <s v="Priyanka Sharma"/>
    <n v="33"/>
    <x v="10"/>
    <x v="0"/>
    <n v="3"/>
    <x v="1"/>
    <x v="5"/>
  </r>
  <r>
    <n v="3487"/>
    <x v="993"/>
    <n v="28"/>
    <n v="6"/>
    <x v="3"/>
    <x v="2"/>
    <x v="8"/>
    <x v="6"/>
    <x v="3"/>
    <n v="1"/>
    <n v="29806.71"/>
    <n v="29806.71"/>
    <s v="Shruti Mehta"/>
    <n v="31"/>
    <x v="17"/>
    <x v="2"/>
    <n v="4"/>
    <x v="0"/>
    <x v="5"/>
  </r>
  <r>
    <n v="3488"/>
    <x v="993"/>
    <n v="28"/>
    <n v="6"/>
    <x v="3"/>
    <x v="2"/>
    <x v="8"/>
    <x v="6"/>
    <x v="4"/>
    <n v="1"/>
    <n v="29337.85"/>
    <n v="29337.85"/>
    <s v="Sneha Mehta"/>
    <n v="55"/>
    <x v="7"/>
    <x v="3"/>
    <n v="4"/>
    <x v="0"/>
    <x v="14"/>
  </r>
  <r>
    <n v="3489"/>
    <x v="993"/>
    <n v="28"/>
    <n v="6"/>
    <x v="3"/>
    <x v="2"/>
    <x v="8"/>
    <x v="6"/>
    <x v="0"/>
    <n v="9"/>
    <n v="43468.160000000003"/>
    <n v="391213.44000000006"/>
    <s v="Rohan Kapoor"/>
    <n v="37"/>
    <x v="11"/>
    <x v="2"/>
    <n v="3"/>
    <x v="1"/>
    <x v="0"/>
  </r>
  <r>
    <n v="3490"/>
    <x v="994"/>
    <n v="29"/>
    <n v="6"/>
    <x v="3"/>
    <x v="2"/>
    <x v="8"/>
    <x v="0"/>
    <x v="0"/>
    <n v="4"/>
    <n v="61677.18"/>
    <n v="246708.72"/>
    <s v="Umesh Goyal"/>
    <n v="58"/>
    <x v="2"/>
    <x v="0"/>
    <n v="3"/>
    <x v="1"/>
    <x v="0"/>
  </r>
  <r>
    <n v="3491"/>
    <x v="994"/>
    <n v="29"/>
    <n v="6"/>
    <x v="3"/>
    <x v="2"/>
    <x v="8"/>
    <x v="0"/>
    <x v="4"/>
    <n v="5"/>
    <n v="23434.37"/>
    <n v="117171.84999999999"/>
    <s v="Gita Rathod"/>
    <n v="51"/>
    <x v="2"/>
    <x v="3"/>
    <n v="2"/>
    <x v="2"/>
    <x v="11"/>
  </r>
  <r>
    <n v="3492"/>
    <x v="994"/>
    <n v="29"/>
    <n v="6"/>
    <x v="3"/>
    <x v="2"/>
    <x v="8"/>
    <x v="0"/>
    <x v="4"/>
    <n v="3"/>
    <n v="66475.490000000005"/>
    <n v="199426.47000000003"/>
    <s v="Deepika Patel"/>
    <n v="46"/>
    <x v="1"/>
    <x v="2"/>
    <n v="5"/>
    <x v="0"/>
    <x v="11"/>
  </r>
  <r>
    <n v="3493"/>
    <x v="994"/>
    <n v="29"/>
    <n v="6"/>
    <x v="3"/>
    <x v="2"/>
    <x v="8"/>
    <x v="0"/>
    <x v="2"/>
    <n v="4"/>
    <n v="45947.12"/>
    <n v="183788.48"/>
    <s v="Devendra Yadav"/>
    <n v="20"/>
    <x v="14"/>
    <x v="2"/>
    <n v="5"/>
    <x v="0"/>
    <x v="6"/>
  </r>
  <r>
    <n v="3494"/>
    <x v="995"/>
    <n v="30"/>
    <n v="6"/>
    <x v="3"/>
    <x v="2"/>
    <x v="8"/>
    <x v="1"/>
    <x v="4"/>
    <n v="8"/>
    <n v="69527.59"/>
    <n v="556220.72"/>
    <s v="Sunita Luthra"/>
    <n v="27"/>
    <x v="2"/>
    <x v="3"/>
    <n v="5"/>
    <x v="0"/>
    <x v="11"/>
  </r>
  <r>
    <n v="3495"/>
    <x v="995"/>
    <n v="30"/>
    <n v="6"/>
    <x v="3"/>
    <x v="2"/>
    <x v="8"/>
    <x v="1"/>
    <x v="1"/>
    <n v="4"/>
    <n v="15376.82"/>
    <n v="61507.28"/>
    <s v="Anita Kulkarni"/>
    <n v="37"/>
    <x v="17"/>
    <x v="0"/>
    <n v="4"/>
    <x v="0"/>
    <x v="9"/>
  </r>
  <r>
    <n v="3496"/>
    <x v="995"/>
    <n v="30"/>
    <n v="6"/>
    <x v="3"/>
    <x v="2"/>
    <x v="8"/>
    <x v="1"/>
    <x v="0"/>
    <n v="9"/>
    <n v="17593.73"/>
    <n v="158343.57"/>
    <s v="Sanjay Ghosh"/>
    <n v="19"/>
    <x v="1"/>
    <x v="3"/>
    <n v="5"/>
    <x v="0"/>
    <x v="0"/>
  </r>
  <r>
    <n v="3497"/>
    <x v="996"/>
    <n v="1"/>
    <n v="7"/>
    <x v="3"/>
    <x v="3"/>
    <x v="9"/>
    <x v="2"/>
    <x v="4"/>
    <n v="9"/>
    <n v="59598.51"/>
    <n v="536386.59"/>
    <s v="Neeta Arora"/>
    <n v="44"/>
    <x v="3"/>
    <x v="0"/>
    <n v="4"/>
    <x v="0"/>
    <x v="14"/>
  </r>
  <r>
    <n v="3498"/>
    <x v="996"/>
    <n v="1"/>
    <n v="7"/>
    <x v="3"/>
    <x v="3"/>
    <x v="9"/>
    <x v="2"/>
    <x v="1"/>
    <n v="6"/>
    <n v="61885.35"/>
    <n v="371312.1"/>
    <s v="Isha Gupta"/>
    <n v="49"/>
    <x v="1"/>
    <x v="2"/>
    <n v="4"/>
    <x v="0"/>
    <x v="2"/>
  </r>
  <r>
    <n v="3499"/>
    <x v="996"/>
    <n v="1"/>
    <n v="7"/>
    <x v="3"/>
    <x v="3"/>
    <x v="9"/>
    <x v="2"/>
    <x v="1"/>
    <n v="2"/>
    <n v="36727.519999999997"/>
    <n v="73455.039999999994"/>
    <s v="Rohan Dutta"/>
    <n v="27"/>
    <x v="7"/>
    <x v="3"/>
    <n v="2"/>
    <x v="2"/>
    <x v="1"/>
  </r>
  <r>
    <n v="3500"/>
    <x v="997"/>
    <n v="2"/>
    <n v="7"/>
    <x v="3"/>
    <x v="3"/>
    <x v="9"/>
    <x v="3"/>
    <x v="1"/>
    <n v="7"/>
    <n v="52844.27"/>
    <n v="369909.88999999996"/>
    <s v="Umesh Reddy"/>
    <n v="57"/>
    <x v="0"/>
    <x v="0"/>
    <n v="3"/>
    <x v="1"/>
    <x v="1"/>
  </r>
  <r>
    <n v="3501"/>
    <x v="997"/>
    <n v="2"/>
    <n v="7"/>
    <x v="3"/>
    <x v="3"/>
    <x v="9"/>
    <x v="3"/>
    <x v="1"/>
    <n v="9"/>
    <n v="62053.440000000002"/>
    <n v="558480.96"/>
    <s v="Isha Desai"/>
    <n v="34"/>
    <x v="1"/>
    <x v="3"/>
    <n v="3"/>
    <x v="1"/>
    <x v="9"/>
  </r>
  <r>
    <n v="3502"/>
    <x v="997"/>
    <n v="2"/>
    <n v="7"/>
    <x v="3"/>
    <x v="3"/>
    <x v="9"/>
    <x v="3"/>
    <x v="2"/>
    <n v="6"/>
    <n v="12587.67"/>
    <n v="75526.02"/>
    <s v="Priyanka Verma"/>
    <n v="50"/>
    <x v="1"/>
    <x v="2"/>
    <n v="3"/>
    <x v="1"/>
    <x v="13"/>
  </r>
  <r>
    <n v="3503"/>
    <x v="997"/>
    <n v="2"/>
    <n v="7"/>
    <x v="3"/>
    <x v="3"/>
    <x v="9"/>
    <x v="3"/>
    <x v="1"/>
    <n v="3"/>
    <n v="44437.03"/>
    <n v="133311.09"/>
    <s v="Monika Mehta"/>
    <n v="23"/>
    <x v="7"/>
    <x v="3"/>
    <n v="5"/>
    <x v="0"/>
    <x v="1"/>
  </r>
  <r>
    <n v="3504"/>
    <x v="998"/>
    <n v="3"/>
    <n v="7"/>
    <x v="3"/>
    <x v="3"/>
    <x v="9"/>
    <x v="4"/>
    <x v="2"/>
    <n v="7"/>
    <n v="61208.84"/>
    <n v="428461.88"/>
    <s v="Reena Das"/>
    <n v="56"/>
    <x v="2"/>
    <x v="2"/>
    <n v="3"/>
    <x v="1"/>
    <x v="4"/>
  </r>
  <r>
    <n v="3505"/>
    <x v="998"/>
    <n v="3"/>
    <n v="7"/>
    <x v="3"/>
    <x v="3"/>
    <x v="9"/>
    <x v="4"/>
    <x v="2"/>
    <n v="5"/>
    <n v="33889.300000000003"/>
    <n v="169446.5"/>
    <s v="Krishna Patel"/>
    <n v="35"/>
    <x v="18"/>
    <x v="2"/>
    <n v="5"/>
    <x v="0"/>
    <x v="4"/>
  </r>
  <r>
    <n v="3506"/>
    <x v="998"/>
    <n v="3"/>
    <n v="7"/>
    <x v="3"/>
    <x v="3"/>
    <x v="9"/>
    <x v="4"/>
    <x v="1"/>
    <n v="1"/>
    <n v="28143.02"/>
    <n v="28143.02"/>
    <s v="Rohan Sheth"/>
    <n v="26"/>
    <x v="1"/>
    <x v="2"/>
    <n v="5"/>
    <x v="0"/>
    <x v="9"/>
  </r>
  <r>
    <n v="3507"/>
    <x v="998"/>
    <n v="3"/>
    <n v="7"/>
    <x v="3"/>
    <x v="3"/>
    <x v="9"/>
    <x v="4"/>
    <x v="0"/>
    <n v="3"/>
    <n v="57742.400000000001"/>
    <n v="173227.2"/>
    <s v="Navin Kaur"/>
    <n v="25"/>
    <x v="9"/>
    <x v="0"/>
    <n v="5"/>
    <x v="0"/>
    <x v="0"/>
  </r>
  <r>
    <n v="3508"/>
    <x v="999"/>
    <n v="4"/>
    <n v="7"/>
    <x v="3"/>
    <x v="3"/>
    <x v="9"/>
    <x v="5"/>
    <x v="1"/>
    <n v="5"/>
    <n v="30147.200000000001"/>
    <n v="150736"/>
    <s v="Arun Teja"/>
    <n v="42"/>
    <x v="11"/>
    <x v="0"/>
    <n v="4"/>
    <x v="0"/>
    <x v="2"/>
  </r>
  <r>
    <n v="3509"/>
    <x v="999"/>
    <n v="4"/>
    <n v="7"/>
    <x v="3"/>
    <x v="3"/>
    <x v="9"/>
    <x v="5"/>
    <x v="1"/>
    <n v="7"/>
    <n v="10190.459999999999"/>
    <n v="71333.22"/>
    <s v="Sachin Kaur"/>
    <n v="48"/>
    <x v="16"/>
    <x v="1"/>
    <n v="2"/>
    <x v="2"/>
    <x v="2"/>
  </r>
  <r>
    <n v="3510"/>
    <x v="999"/>
    <n v="4"/>
    <n v="7"/>
    <x v="3"/>
    <x v="3"/>
    <x v="9"/>
    <x v="5"/>
    <x v="1"/>
    <n v="3"/>
    <n v="67574.36"/>
    <n v="202723.08000000002"/>
    <s v="Rohan Patel"/>
    <n v="59"/>
    <x v="0"/>
    <x v="0"/>
    <n v="2"/>
    <x v="2"/>
    <x v="2"/>
  </r>
  <r>
    <n v="3511"/>
    <x v="1000"/>
    <n v="5"/>
    <n v="7"/>
    <x v="3"/>
    <x v="3"/>
    <x v="9"/>
    <x v="6"/>
    <x v="0"/>
    <n v="6"/>
    <n v="45527.39"/>
    <n v="273164.33999999997"/>
    <s v="Pooja Arora"/>
    <n v="21"/>
    <x v="8"/>
    <x v="1"/>
    <n v="4"/>
    <x v="0"/>
    <x v="3"/>
  </r>
  <r>
    <n v="3512"/>
    <x v="1000"/>
    <n v="5"/>
    <n v="7"/>
    <x v="3"/>
    <x v="3"/>
    <x v="9"/>
    <x v="6"/>
    <x v="3"/>
    <n v="5"/>
    <n v="59171.08"/>
    <n v="295855.40000000002"/>
    <s v="Lata Shah"/>
    <n v="37"/>
    <x v="11"/>
    <x v="3"/>
    <n v="5"/>
    <x v="0"/>
    <x v="8"/>
  </r>
  <r>
    <n v="3513"/>
    <x v="1000"/>
    <n v="5"/>
    <n v="7"/>
    <x v="3"/>
    <x v="3"/>
    <x v="9"/>
    <x v="6"/>
    <x v="3"/>
    <n v="1"/>
    <n v="59518.09"/>
    <n v="59518.09"/>
    <s v="Nikhil Luthra"/>
    <n v="45"/>
    <x v="12"/>
    <x v="2"/>
    <n v="2"/>
    <x v="2"/>
    <x v="12"/>
  </r>
  <r>
    <n v="3514"/>
    <x v="1000"/>
    <n v="5"/>
    <n v="7"/>
    <x v="3"/>
    <x v="3"/>
    <x v="9"/>
    <x v="6"/>
    <x v="2"/>
    <n v="6"/>
    <n v="13984.63"/>
    <n v="83907.78"/>
    <s v="Rajesh Siddiqui"/>
    <n v="57"/>
    <x v="16"/>
    <x v="0"/>
    <n v="4"/>
    <x v="0"/>
    <x v="6"/>
  </r>
  <r>
    <n v="3515"/>
    <x v="1001"/>
    <n v="6"/>
    <n v="7"/>
    <x v="3"/>
    <x v="3"/>
    <x v="9"/>
    <x v="0"/>
    <x v="2"/>
    <n v="8"/>
    <n v="20251.61"/>
    <n v="162012.88"/>
    <s v="Rajesh Nambiar"/>
    <n v="18"/>
    <x v="7"/>
    <x v="2"/>
    <n v="2"/>
    <x v="2"/>
    <x v="4"/>
  </r>
  <r>
    <n v="3516"/>
    <x v="1001"/>
    <n v="6"/>
    <n v="7"/>
    <x v="3"/>
    <x v="3"/>
    <x v="9"/>
    <x v="0"/>
    <x v="0"/>
    <n v="1"/>
    <n v="28667.24"/>
    <n v="28667.24"/>
    <s v="Anita Mehta"/>
    <n v="57"/>
    <x v="13"/>
    <x v="1"/>
    <n v="5"/>
    <x v="0"/>
    <x v="10"/>
  </r>
  <r>
    <n v="3517"/>
    <x v="1001"/>
    <n v="6"/>
    <n v="7"/>
    <x v="3"/>
    <x v="3"/>
    <x v="9"/>
    <x v="0"/>
    <x v="4"/>
    <n v="2"/>
    <n v="29241.96"/>
    <n v="58483.92"/>
    <s v="Jyoti Jain"/>
    <n v="40"/>
    <x v="1"/>
    <x v="0"/>
    <n v="2"/>
    <x v="2"/>
    <x v="11"/>
  </r>
  <r>
    <n v="3518"/>
    <x v="1002"/>
    <n v="7"/>
    <n v="7"/>
    <x v="3"/>
    <x v="3"/>
    <x v="9"/>
    <x v="1"/>
    <x v="3"/>
    <n v="4"/>
    <n v="49527.17"/>
    <n v="198108.68"/>
    <s v="Vijay Rao"/>
    <n v="30"/>
    <x v="1"/>
    <x v="0"/>
    <n v="5"/>
    <x v="0"/>
    <x v="12"/>
  </r>
  <r>
    <n v="3519"/>
    <x v="1002"/>
    <n v="7"/>
    <n v="7"/>
    <x v="3"/>
    <x v="3"/>
    <x v="9"/>
    <x v="1"/>
    <x v="2"/>
    <n v="2"/>
    <n v="47387.98"/>
    <n v="94775.96"/>
    <s v="Ravi Siddiqui"/>
    <n v="33"/>
    <x v="1"/>
    <x v="0"/>
    <n v="5"/>
    <x v="0"/>
    <x v="4"/>
  </r>
  <r>
    <n v="3520"/>
    <x v="1002"/>
    <n v="7"/>
    <n v="7"/>
    <x v="3"/>
    <x v="3"/>
    <x v="9"/>
    <x v="1"/>
    <x v="3"/>
    <n v="9"/>
    <n v="39675.39"/>
    <n v="357078.51"/>
    <s v="Vivek Sheth"/>
    <n v="43"/>
    <x v="14"/>
    <x v="0"/>
    <n v="2"/>
    <x v="2"/>
    <x v="5"/>
  </r>
  <r>
    <n v="3521"/>
    <x v="1003"/>
    <n v="8"/>
    <n v="7"/>
    <x v="3"/>
    <x v="3"/>
    <x v="9"/>
    <x v="2"/>
    <x v="0"/>
    <n v="8"/>
    <n v="22675.82"/>
    <n v="181406.56"/>
    <s v="Manoj Luthra"/>
    <n v="48"/>
    <x v="10"/>
    <x v="2"/>
    <n v="2"/>
    <x v="2"/>
    <x v="3"/>
  </r>
  <r>
    <n v="3522"/>
    <x v="1003"/>
    <n v="8"/>
    <n v="7"/>
    <x v="3"/>
    <x v="3"/>
    <x v="9"/>
    <x v="2"/>
    <x v="0"/>
    <n v="8"/>
    <n v="32919.01"/>
    <n v="263352.08"/>
    <s v="Vivek Prasad"/>
    <n v="18"/>
    <x v="7"/>
    <x v="0"/>
    <n v="5"/>
    <x v="0"/>
    <x v="3"/>
  </r>
  <r>
    <n v="3523"/>
    <x v="1003"/>
    <n v="8"/>
    <n v="7"/>
    <x v="3"/>
    <x v="3"/>
    <x v="9"/>
    <x v="2"/>
    <x v="4"/>
    <n v="4"/>
    <n v="42615.64"/>
    <n v="170462.56"/>
    <s v="Bina Das"/>
    <n v="34"/>
    <x v="6"/>
    <x v="1"/>
    <n v="2"/>
    <x v="2"/>
    <x v="11"/>
  </r>
  <r>
    <n v="3524"/>
    <x v="1004"/>
    <n v="9"/>
    <n v="7"/>
    <x v="3"/>
    <x v="3"/>
    <x v="9"/>
    <x v="3"/>
    <x v="4"/>
    <n v="5"/>
    <n v="38079.120000000003"/>
    <n v="190395.6"/>
    <s v="Bina Roy"/>
    <n v="33"/>
    <x v="1"/>
    <x v="0"/>
    <n v="5"/>
    <x v="0"/>
    <x v="11"/>
  </r>
  <r>
    <n v="3525"/>
    <x v="1004"/>
    <n v="9"/>
    <n v="7"/>
    <x v="3"/>
    <x v="3"/>
    <x v="9"/>
    <x v="3"/>
    <x v="0"/>
    <n v="4"/>
    <n v="17637.55"/>
    <n v="70550.2"/>
    <s v="Prashant Arora"/>
    <n v="54"/>
    <x v="2"/>
    <x v="1"/>
    <n v="3"/>
    <x v="1"/>
    <x v="0"/>
  </r>
  <r>
    <n v="3526"/>
    <x v="1004"/>
    <n v="9"/>
    <n v="7"/>
    <x v="3"/>
    <x v="3"/>
    <x v="9"/>
    <x v="3"/>
    <x v="2"/>
    <n v="9"/>
    <n v="48970.63"/>
    <n v="440735.67"/>
    <s v="Gita Rao"/>
    <n v="27"/>
    <x v="6"/>
    <x v="1"/>
    <n v="3"/>
    <x v="1"/>
    <x v="4"/>
  </r>
  <r>
    <n v="3527"/>
    <x v="1005"/>
    <n v="10"/>
    <n v="7"/>
    <x v="3"/>
    <x v="3"/>
    <x v="9"/>
    <x v="4"/>
    <x v="3"/>
    <n v="2"/>
    <n v="14383.11"/>
    <n v="28766.22"/>
    <s v="Anita Kumar"/>
    <n v="55"/>
    <x v="2"/>
    <x v="2"/>
    <n v="4"/>
    <x v="0"/>
    <x v="5"/>
  </r>
  <r>
    <n v="3528"/>
    <x v="1005"/>
    <n v="10"/>
    <n v="7"/>
    <x v="3"/>
    <x v="3"/>
    <x v="9"/>
    <x v="4"/>
    <x v="1"/>
    <n v="8"/>
    <n v="32691.68"/>
    <n v="261533.44"/>
    <s v="Sneha Patel"/>
    <n v="48"/>
    <x v="1"/>
    <x v="0"/>
    <n v="3"/>
    <x v="1"/>
    <x v="9"/>
  </r>
  <r>
    <n v="3529"/>
    <x v="1005"/>
    <n v="10"/>
    <n v="7"/>
    <x v="3"/>
    <x v="3"/>
    <x v="9"/>
    <x v="4"/>
    <x v="4"/>
    <n v="2"/>
    <n v="52601.760000000002"/>
    <n v="105203.52"/>
    <s v="Reena Arora"/>
    <n v="27"/>
    <x v="13"/>
    <x v="1"/>
    <n v="5"/>
    <x v="0"/>
    <x v="11"/>
  </r>
  <r>
    <n v="3530"/>
    <x v="1006"/>
    <n v="11"/>
    <n v="7"/>
    <x v="3"/>
    <x v="3"/>
    <x v="9"/>
    <x v="5"/>
    <x v="1"/>
    <n v="1"/>
    <n v="11201.41"/>
    <n v="11201.41"/>
    <s v="Reena Das"/>
    <n v="51"/>
    <x v="18"/>
    <x v="0"/>
    <n v="3"/>
    <x v="1"/>
    <x v="9"/>
  </r>
  <r>
    <n v="3531"/>
    <x v="1006"/>
    <n v="11"/>
    <n v="7"/>
    <x v="3"/>
    <x v="3"/>
    <x v="9"/>
    <x v="5"/>
    <x v="2"/>
    <n v="3"/>
    <n v="44198.97"/>
    <n v="132596.91"/>
    <s v="Harish Pillai"/>
    <n v="23"/>
    <x v="9"/>
    <x v="2"/>
    <n v="3"/>
    <x v="1"/>
    <x v="4"/>
  </r>
  <r>
    <n v="3532"/>
    <x v="1006"/>
    <n v="11"/>
    <n v="7"/>
    <x v="3"/>
    <x v="3"/>
    <x v="9"/>
    <x v="5"/>
    <x v="4"/>
    <n v="9"/>
    <n v="30071.26"/>
    <n v="270641.33999999997"/>
    <s v="Namita Patel"/>
    <n v="45"/>
    <x v="8"/>
    <x v="2"/>
    <n v="5"/>
    <x v="0"/>
    <x v="7"/>
  </r>
  <r>
    <n v="3533"/>
    <x v="1006"/>
    <n v="11"/>
    <n v="7"/>
    <x v="3"/>
    <x v="3"/>
    <x v="9"/>
    <x v="5"/>
    <x v="1"/>
    <n v="3"/>
    <n v="10529.91"/>
    <n v="31589.73"/>
    <s v="Radha Pathak"/>
    <n v="45"/>
    <x v="1"/>
    <x v="0"/>
    <n v="5"/>
    <x v="0"/>
    <x v="9"/>
  </r>
  <r>
    <n v="3534"/>
    <x v="1007"/>
    <n v="12"/>
    <n v="7"/>
    <x v="3"/>
    <x v="3"/>
    <x v="9"/>
    <x v="6"/>
    <x v="2"/>
    <n v="9"/>
    <n v="21423"/>
    <n v="192807"/>
    <s v="Neeta Ghosh"/>
    <n v="30"/>
    <x v="11"/>
    <x v="1"/>
    <n v="3"/>
    <x v="1"/>
    <x v="4"/>
  </r>
  <r>
    <n v="3535"/>
    <x v="1007"/>
    <n v="12"/>
    <n v="7"/>
    <x v="3"/>
    <x v="3"/>
    <x v="9"/>
    <x v="6"/>
    <x v="3"/>
    <n v="7"/>
    <n v="66456.77"/>
    <n v="465197.39"/>
    <s v="Sumit Sharma"/>
    <n v="58"/>
    <x v="1"/>
    <x v="3"/>
    <n v="4"/>
    <x v="0"/>
    <x v="5"/>
  </r>
  <r>
    <n v="3536"/>
    <x v="1007"/>
    <n v="12"/>
    <n v="7"/>
    <x v="3"/>
    <x v="3"/>
    <x v="9"/>
    <x v="6"/>
    <x v="2"/>
    <n v="1"/>
    <n v="41268.93"/>
    <n v="41268.93"/>
    <s v="Vivek Kaur"/>
    <n v="29"/>
    <x v="14"/>
    <x v="3"/>
    <n v="3"/>
    <x v="1"/>
    <x v="13"/>
  </r>
  <r>
    <n v="3537"/>
    <x v="1008"/>
    <n v="13"/>
    <n v="7"/>
    <x v="3"/>
    <x v="3"/>
    <x v="9"/>
    <x v="0"/>
    <x v="4"/>
    <n v="5"/>
    <n v="69833.63"/>
    <n v="349168.15"/>
    <s v="Rajesh Sheth"/>
    <n v="57"/>
    <x v="10"/>
    <x v="2"/>
    <n v="3"/>
    <x v="1"/>
    <x v="11"/>
  </r>
  <r>
    <n v="3538"/>
    <x v="1008"/>
    <n v="13"/>
    <n v="7"/>
    <x v="3"/>
    <x v="3"/>
    <x v="9"/>
    <x v="0"/>
    <x v="0"/>
    <n v="9"/>
    <n v="41489.01"/>
    <n v="373401.09"/>
    <s v="Manoj Thakur"/>
    <n v="19"/>
    <x v="5"/>
    <x v="1"/>
    <n v="5"/>
    <x v="0"/>
    <x v="3"/>
  </r>
  <r>
    <n v="3539"/>
    <x v="1008"/>
    <n v="13"/>
    <n v="7"/>
    <x v="3"/>
    <x v="3"/>
    <x v="9"/>
    <x v="0"/>
    <x v="3"/>
    <n v="3"/>
    <n v="42636.18"/>
    <n v="127908.54000000001"/>
    <s v="Yogesh Rao"/>
    <n v="25"/>
    <x v="8"/>
    <x v="3"/>
    <n v="5"/>
    <x v="0"/>
    <x v="12"/>
  </r>
  <r>
    <n v="3540"/>
    <x v="1008"/>
    <n v="13"/>
    <n v="7"/>
    <x v="3"/>
    <x v="3"/>
    <x v="9"/>
    <x v="0"/>
    <x v="1"/>
    <n v="9"/>
    <n v="33510.58"/>
    <n v="301595.22000000003"/>
    <s v="Aditya Jain"/>
    <n v="59"/>
    <x v="1"/>
    <x v="1"/>
    <n v="4"/>
    <x v="0"/>
    <x v="1"/>
  </r>
  <r>
    <n v="3541"/>
    <x v="1009"/>
    <n v="14"/>
    <n v="7"/>
    <x v="3"/>
    <x v="3"/>
    <x v="9"/>
    <x v="1"/>
    <x v="4"/>
    <n v="5"/>
    <n v="28602.43"/>
    <n v="143012.15"/>
    <s v="Yogesh Dutta"/>
    <n v="26"/>
    <x v="15"/>
    <x v="0"/>
    <n v="2"/>
    <x v="2"/>
    <x v="11"/>
  </r>
  <r>
    <n v="3542"/>
    <x v="1009"/>
    <n v="14"/>
    <n v="7"/>
    <x v="3"/>
    <x v="3"/>
    <x v="9"/>
    <x v="1"/>
    <x v="0"/>
    <n v="9"/>
    <n v="25092.73"/>
    <n v="225834.57"/>
    <s v="Sneha Arora"/>
    <n v="25"/>
    <x v="1"/>
    <x v="2"/>
    <n v="5"/>
    <x v="0"/>
    <x v="3"/>
  </r>
  <r>
    <n v="3543"/>
    <x v="1009"/>
    <n v="14"/>
    <n v="7"/>
    <x v="3"/>
    <x v="3"/>
    <x v="9"/>
    <x v="1"/>
    <x v="2"/>
    <n v="6"/>
    <n v="30605.24"/>
    <n v="183631.44"/>
    <s v="Rajesh Desai"/>
    <n v="20"/>
    <x v="10"/>
    <x v="0"/>
    <n v="2"/>
    <x v="2"/>
    <x v="6"/>
  </r>
  <r>
    <n v="3544"/>
    <x v="1009"/>
    <n v="14"/>
    <n v="7"/>
    <x v="3"/>
    <x v="3"/>
    <x v="9"/>
    <x v="1"/>
    <x v="0"/>
    <n v="9"/>
    <n v="37591.06"/>
    <n v="338319.54"/>
    <s v="Kiran Srivastava"/>
    <n v="26"/>
    <x v="10"/>
    <x v="0"/>
    <n v="4"/>
    <x v="0"/>
    <x v="10"/>
  </r>
  <r>
    <n v="3545"/>
    <x v="1010"/>
    <n v="15"/>
    <n v="7"/>
    <x v="3"/>
    <x v="3"/>
    <x v="9"/>
    <x v="2"/>
    <x v="4"/>
    <n v="7"/>
    <n v="21519.52"/>
    <n v="150636.64000000001"/>
    <s v="Sanjay Sheth"/>
    <n v="30"/>
    <x v="0"/>
    <x v="0"/>
    <n v="3"/>
    <x v="1"/>
    <x v="11"/>
  </r>
  <r>
    <n v="3546"/>
    <x v="1010"/>
    <n v="15"/>
    <n v="7"/>
    <x v="3"/>
    <x v="3"/>
    <x v="9"/>
    <x v="2"/>
    <x v="4"/>
    <n v="7"/>
    <n v="23492.51"/>
    <n v="164447.56999999998"/>
    <s v="Ravi Bhattacharya"/>
    <n v="26"/>
    <x v="11"/>
    <x v="1"/>
    <n v="3"/>
    <x v="1"/>
    <x v="7"/>
  </r>
  <r>
    <n v="3547"/>
    <x v="1010"/>
    <n v="15"/>
    <n v="7"/>
    <x v="3"/>
    <x v="3"/>
    <x v="9"/>
    <x v="2"/>
    <x v="0"/>
    <n v="8"/>
    <n v="26292.69"/>
    <n v="210341.52"/>
    <s v="Manoj Kaur"/>
    <n v="48"/>
    <x v="17"/>
    <x v="3"/>
    <n v="2"/>
    <x v="2"/>
    <x v="10"/>
  </r>
  <r>
    <n v="3548"/>
    <x v="1011"/>
    <n v="16"/>
    <n v="7"/>
    <x v="3"/>
    <x v="3"/>
    <x v="9"/>
    <x v="3"/>
    <x v="2"/>
    <n v="7"/>
    <n v="36955.589999999997"/>
    <n v="258689.12999999998"/>
    <s v="Ravi Gupta"/>
    <n v="42"/>
    <x v="5"/>
    <x v="0"/>
    <n v="4"/>
    <x v="0"/>
    <x v="13"/>
  </r>
  <r>
    <n v="3549"/>
    <x v="1011"/>
    <n v="16"/>
    <n v="7"/>
    <x v="3"/>
    <x v="3"/>
    <x v="9"/>
    <x v="3"/>
    <x v="0"/>
    <n v="9"/>
    <n v="49168.800000000003"/>
    <n v="442519.2"/>
    <s v="Kavita Nair"/>
    <n v="25"/>
    <x v="11"/>
    <x v="2"/>
    <n v="4"/>
    <x v="0"/>
    <x v="3"/>
  </r>
  <r>
    <n v="3550"/>
    <x v="1011"/>
    <n v="16"/>
    <n v="7"/>
    <x v="3"/>
    <x v="3"/>
    <x v="9"/>
    <x v="3"/>
    <x v="4"/>
    <n v="9"/>
    <n v="61368.77"/>
    <n v="552318.92999999993"/>
    <s v="Anita Kumar"/>
    <n v="48"/>
    <x v="2"/>
    <x v="1"/>
    <n v="5"/>
    <x v="0"/>
    <x v="14"/>
  </r>
  <r>
    <n v="3551"/>
    <x v="1012"/>
    <n v="17"/>
    <n v="7"/>
    <x v="3"/>
    <x v="3"/>
    <x v="9"/>
    <x v="4"/>
    <x v="4"/>
    <n v="6"/>
    <n v="27227.91"/>
    <n v="163367.46"/>
    <s v="Anjali Desai"/>
    <n v="48"/>
    <x v="1"/>
    <x v="3"/>
    <n v="2"/>
    <x v="2"/>
    <x v="11"/>
  </r>
  <r>
    <n v="3552"/>
    <x v="1012"/>
    <n v="17"/>
    <n v="7"/>
    <x v="3"/>
    <x v="3"/>
    <x v="9"/>
    <x v="4"/>
    <x v="1"/>
    <n v="7"/>
    <n v="21023.7"/>
    <n v="147165.9"/>
    <s v="Namita Goyal"/>
    <n v="34"/>
    <x v="10"/>
    <x v="0"/>
    <n v="5"/>
    <x v="0"/>
    <x v="2"/>
  </r>
  <r>
    <n v="3553"/>
    <x v="1012"/>
    <n v="17"/>
    <n v="7"/>
    <x v="3"/>
    <x v="3"/>
    <x v="9"/>
    <x v="4"/>
    <x v="1"/>
    <n v="2"/>
    <n v="32730.85"/>
    <n v="65461.7"/>
    <s v="Vivek Ghosh"/>
    <n v="36"/>
    <x v="1"/>
    <x v="2"/>
    <n v="2"/>
    <x v="2"/>
    <x v="9"/>
  </r>
  <r>
    <n v="3554"/>
    <x v="1012"/>
    <n v="17"/>
    <n v="7"/>
    <x v="3"/>
    <x v="3"/>
    <x v="9"/>
    <x v="4"/>
    <x v="3"/>
    <n v="9"/>
    <n v="63662.98"/>
    <n v="572966.82000000007"/>
    <s v="Meena Desai"/>
    <n v="20"/>
    <x v="13"/>
    <x v="0"/>
    <n v="5"/>
    <x v="0"/>
    <x v="8"/>
  </r>
  <r>
    <n v="3555"/>
    <x v="1013"/>
    <n v="18"/>
    <n v="7"/>
    <x v="3"/>
    <x v="3"/>
    <x v="9"/>
    <x v="5"/>
    <x v="4"/>
    <n v="1"/>
    <n v="10591.64"/>
    <n v="10591.64"/>
    <s v="Lalita Sheth"/>
    <n v="47"/>
    <x v="1"/>
    <x v="3"/>
    <n v="5"/>
    <x v="0"/>
    <x v="14"/>
  </r>
  <r>
    <n v="3556"/>
    <x v="1013"/>
    <n v="18"/>
    <n v="7"/>
    <x v="3"/>
    <x v="3"/>
    <x v="9"/>
    <x v="5"/>
    <x v="1"/>
    <n v="1"/>
    <n v="50672.12"/>
    <n v="50672.12"/>
    <s v="Ramesh Sharma"/>
    <n v="27"/>
    <x v="15"/>
    <x v="3"/>
    <n v="4"/>
    <x v="0"/>
    <x v="9"/>
  </r>
  <r>
    <n v="3557"/>
    <x v="1013"/>
    <n v="18"/>
    <n v="7"/>
    <x v="3"/>
    <x v="3"/>
    <x v="9"/>
    <x v="5"/>
    <x v="0"/>
    <n v="3"/>
    <n v="38629.599999999999"/>
    <n v="115888.79999999999"/>
    <s v="Monika Bhatnagar"/>
    <n v="46"/>
    <x v="16"/>
    <x v="0"/>
    <n v="4"/>
    <x v="0"/>
    <x v="3"/>
  </r>
  <r>
    <n v="3558"/>
    <x v="1014"/>
    <n v="19"/>
    <n v="7"/>
    <x v="3"/>
    <x v="3"/>
    <x v="9"/>
    <x v="6"/>
    <x v="2"/>
    <n v="6"/>
    <n v="19662.77"/>
    <n v="117976.62"/>
    <s v="Anjali Jain"/>
    <n v="57"/>
    <x v="1"/>
    <x v="0"/>
    <n v="3"/>
    <x v="1"/>
    <x v="4"/>
  </r>
  <r>
    <n v="3559"/>
    <x v="1014"/>
    <n v="19"/>
    <n v="7"/>
    <x v="3"/>
    <x v="3"/>
    <x v="9"/>
    <x v="6"/>
    <x v="0"/>
    <n v="5"/>
    <n v="29261.29"/>
    <n v="146306.45000000001"/>
    <s v="Bhavana Mehta"/>
    <n v="35"/>
    <x v="1"/>
    <x v="1"/>
    <n v="3"/>
    <x v="1"/>
    <x v="10"/>
  </r>
  <r>
    <n v="3560"/>
    <x v="1014"/>
    <n v="19"/>
    <n v="7"/>
    <x v="3"/>
    <x v="3"/>
    <x v="9"/>
    <x v="6"/>
    <x v="2"/>
    <n v="2"/>
    <n v="23497"/>
    <n v="46994"/>
    <s v="Vijay Varma"/>
    <n v="29"/>
    <x v="2"/>
    <x v="3"/>
    <n v="4"/>
    <x v="0"/>
    <x v="4"/>
  </r>
  <r>
    <n v="3561"/>
    <x v="1015"/>
    <n v="20"/>
    <n v="7"/>
    <x v="3"/>
    <x v="3"/>
    <x v="9"/>
    <x v="0"/>
    <x v="1"/>
    <n v="9"/>
    <n v="62669.93"/>
    <n v="564029.37"/>
    <s v="Pooja Rao"/>
    <n v="40"/>
    <x v="6"/>
    <x v="3"/>
    <n v="4"/>
    <x v="0"/>
    <x v="2"/>
  </r>
  <r>
    <n v="3562"/>
    <x v="1015"/>
    <n v="20"/>
    <n v="7"/>
    <x v="3"/>
    <x v="3"/>
    <x v="9"/>
    <x v="0"/>
    <x v="3"/>
    <n v="4"/>
    <n v="38912.400000000001"/>
    <n v="155649.60000000001"/>
    <s v="Vivek Patel"/>
    <n v="28"/>
    <x v="1"/>
    <x v="0"/>
    <n v="5"/>
    <x v="0"/>
    <x v="8"/>
  </r>
  <r>
    <n v="3563"/>
    <x v="1015"/>
    <n v="20"/>
    <n v="7"/>
    <x v="3"/>
    <x v="3"/>
    <x v="9"/>
    <x v="0"/>
    <x v="0"/>
    <n v="4"/>
    <n v="43785.66"/>
    <n v="175142.64"/>
    <s v="Aditya Nair"/>
    <n v="26"/>
    <x v="1"/>
    <x v="2"/>
    <n v="3"/>
    <x v="1"/>
    <x v="3"/>
  </r>
  <r>
    <n v="3564"/>
    <x v="1015"/>
    <n v="20"/>
    <n v="7"/>
    <x v="3"/>
    <x v="3"/>
    <x v="9"/>
    <x v="0"/>
    <x v="0"/>
    <n v="5"/>
    <n v="45621.26"/>
    <n v="228106.30000000002"/>
    <s v="Umesh Kulkarni"/>
    <n v="41"/>
    <x v="2"/>
    <x v="0"/>
    <n v="4"/>
    <x v="0"/>
    <x v="10"/>
  </r>
  <r>
    <n v="3565"/>
    <x v="1016"/>
    <n v="21"/>
    <n v="7"/>
    <x v="3"/>
    <x v="3"/>
    <x v="9"/>
    <x v="1"/>
    <x v="0"/>
    <n v="8"/>
    <n v="48377.03"/>
    <n v="387016.24"/>
    <s v="Sunil Sheth"/>
    <n v="42"/>
    <x v="2"/>
    <x v="0"/>
    <n v="2"/>
    <x v="2"/>
    <x v="10"/>
  </r>
  <r>
    <n v="3566"/>
    <x v="1016"/>
    <n v="21"/>
    <n v="7"/>
    <x v="3"/>
    <x v="3"/>
    <x v="9"/>
    <x v="1"/>
    <x v="2"/>
    <n v="4"/>
    <n v="39733.339999999997"/>
    <n v="158933.35999999999"/>
    <s v="Harish Solanki"/>
    <n v="42"/>
    <x v="10"/>
    <x v="3"/>
    <n v="2"/>
    <x v="2"/>
    <x v="6"/>
  </r>
  <r>
    <n v="3567"/>
    <x v="1016"/>
    <n v="21"/>
    <n v="7"/>
    <x v="3"/>
    <x v="3"/>
    <x v="9"/>
    <x v="1"/>
    <x v="1"/>
    <n v="5"/>
    <n v="11072.41"/>
    <n v="55362.05"/>
    <s v="Namita Das"/>
    <n v="26"/>
    <x v="1"/>
    <x v="1"/>
    <n v="3"/>
    <x v="1"/>
    <x v="1"/>
  </r>
  <r>
    <n v="3568"/>
    <x v="1016"/>
    <n v="21"/>
    <n v="7"/>
    <x v="3"/>
    <x v="3"/>
    <x v="9"/>
    <x v="1"/>
    <x v="0"/>
    <n v="4"/>
    <n v="30083.360000000001"/>
    <n v="120333.44"/>
    <s v="Vijay Rawat"/>
    <n v="29"/>
    <x v="14"/>
    <x v="0"/>
    <n v="2"/>
    <x v="2"/>
    <x v="10"/>
  </r>
  <r>
    <n v="3569"/>
    <x v="1017"/>
    <n v="22"/>
    <n v="7"/>
    <x v="3"/>
    <x v="3"/>
    <x v="9"/>
    <x v="2"/>
    <x v="0"/>
    <n v="6"/>
    <n v="21032.39"/>
    <n v="126194.34"/>
    <s v="Lalita Luthra"/>
    <n v="28"/>
    <x v="2"/>
    <x v="2"/>
    <n v="5"/>
    <x v="0"/>
    <x v="3"/>
  </r>
  <r>
    <n v="3570"/>
    <x v="1017"/>
    <n v="22"/>
    <n v="7"/>
    <x v="3"/>
    <x v="3"/>
    <x v="9"/>
    <x v="2"/>
    <x v="3"/>
    <n v="3"/>
    <n v="50808.57"/>
    <n v="152425.71"/>
    <s v="Ayesha Patel"/>
    <n v="55"/>
    <x v="1"/>
    <x v="2"/>
    <n v="3"/>
    <x v="1"/>
    <x v="12"/>
  </r>
  <r>
    <n v="3571"/>
    <x v="1017"/>
    <n v="22"/>
    <n v="7"/>
    <x v="3"/>
    <x v="3"/>
    <x v="9"/>
    <x v="2"/>
    <x v="3"/>
    <n v="8"/>
    <n v="13402.28"/>
    <n v="107218.24000000001"/>
    <s v="Meena Chatterjee"/>
    <n v="45"/>
    <x v="4"/>
    <x v="0"/>
    <n v="4"/>
    <x v="0"/>
    <x v="5"/>
  </r>
  <r>
    <n v="3572"/>
    <x v="1018"/>
    <n v="23"/>
    <n v="7"/>
    <x v="3"/>
    <x v="3"/>
    <x v="9"/>
    <x v="3"/>
    <x v="1"/>
    <n v="6"/>
    <n v="43828.2"/>
    <n v="262969.19999999995"/>
    <s v="Deepika Kulkarni"/>
    <n v="25"/>
    <x v="1"/>
    <x v="2"/>
    <n v="2"/>
    <x v="2"/>
    <x v="1"/>
  </r>
  <r>
    <n v="3573"/>
    <x v="1018"/>
    <n v="23"/>
    <n v="7"/>
    <x v="3"/>
    <x v="3"/>
    <x v="9"/>
    <x v="3"/>
    <x v="1"/>
    <n v="5"/>
    <n v="22637.9"/>
    <n v="113189.5"/>
    <s v="Arun Teja"/>
    <n v="27"/>
    <x v="7"/>
    <x v="2"/>
    <n v="5"/>
    <x v="0"/>
    <x v="2"/>
  </r>
  <r>
    <n v="3574"/>
    <x v="1018"/>
    <n v="23"/>
    <n v="7"/>
    <x v="3"/>
    <x v="3"/>
    <x v="9"/>
    <x v="3"/>
    <x v="4"/>
    <n v="2"/>
    <n v="66930.75"/>
    <n v="133861.5"/>
    <s v="Sanjay Ghosh"/>
    <n v="42"/>
    <x v="2"/>
    <x v="0"/>
    <n v="4"/>
    <x v="0"/>
    <x v="14"/>
  </r>
  <r>
    <n v="3575"/>
    <x v="1018"/>
    <n v="23"/>
    <n v="7"/>
    <x v="3"/>
    <x v="3"/>
    <x v="9"/>
    <x v="3"/>
    <x v="3"/>
    <n v="7"/>
    <n v="30132.46"/>
    <n v="210927.22"/>
    <s v="Devendra Varma"/>
    <n v="53"/>
    <x v="1"/>
    <x v="2"/>
    <n v="5"/>
    <x v="0"/>
    <x v="12"/>
  </r>
  <r>
    <n v="3576"/>
    <x v="1019"/>
    <n v="24"/>
    <n v="7"/>
    <x v="3"/>
    <x v="3"/>
    <x v="9"/>
    <x v="4"/>
    <x v="4"/>
    <n v="2"/>
    <n v="29513.27"/>
    <n v="59026.54"/>
    <s v="Yogesh Ahuja"/>
    <n v="26"/>
    <x v="16"/>
    <x v="2"/>
    <n v="5"/>
    <x v="0"/>
    <x v="14"/>
  </r>
  <r>
    <n v="3577"/>
    <x v="1019"/>
    <n v="24"/>
    <n v="7"/>
    <x v="3"/>
    <x v="3"/>
    <x v="9"/>
    <x v="4"/>
    <x v="2"/>
    <n v="1"/>
    <n v="65403.08"/>
    <n v="65403.08"/>
    <s v="Mala Ghosh"/>
    <n v="58"/>
    <x v="14"/>
    <x v="0"/>
    <n v="2"/>
    <x v="2"/>
    <x v="6"/>
  </r>
  <r>
    <n v="3578"/>
    <x v="1019"/>
    <n v="24"/>
    <n v="7"/>
    <x v="3"/>
    <x v="3"/>
    <x v="9"/>
    <x v="4"/>
    <x v="4"/>
    <n v="7"/>
    <n v="35040.879999999997"/>
    <n v="245286.15999999997"/>
    <s v="Priya Bhattacharya"/>
    <n v="25"/>
    <x v="1"/>
    <x v="3"/>
    <n v="5"/>
    <x v="0"/>
    <x v="7"/>
  </r>
  <r>
    <n v="3579"/>
    <x v="1020"/>
    <n v="25"/>
    <n v="7"/>
    <x v="3"/>
    <x v="3"/>
    <x v="9"/>
    <x v="5"/>
    <x v="0"/>
    <n v="5"/>
    <n v="67771.740000000005"/>
    <n v="338858.7"/>
    <s v="Vivek Pathak"/>
    <n v="20"/>
    <x v="1"/>
    <x v="1"/>
    <n v="5"/>
    <x v="0"/>
    <x v="10"/>
  </r>
  <r>
    <n v="3580"/>
    <x v="1020"/>
    <n v="25"/>
    <n v="7"/>
    <x v="3"/>
    <x v="3"/>
    <x v="9"/>
    <x v="5"/>
    <x v="4"/>
    <n v="1"/>
    <n v="11450.22"/>
    <n v="11450.22"/>
    <s v="Meena Verma"/>
    <n v="35"/>
    <x v="13"/>
    <x v="1"/>
    <n v="5"/>
    <x v="0"/>
    <x v="11"/>
  </r>
  <r>
    <n v="3581"/>
    <x v="1020"/>
    <n v="25"/>
    <n v="7"/>
    <x v="3"/>
    <x v="3"/>
    <x v="9"/>
    <x v="5"/>
    <x v="1"/>
    <n v="4"/>
    <n v="28380.67"/>
    <n v="113522.68"/>
    <s v="Anita Mehta"/>
    <n v="52"/>
    <x v="2"/>
    <x v="3"/>
    <n v="5"/>
    <x v="0"/>
    <x v="1"/>
  </r>
  <r>
    <n v="3582"/>
    <x v="1021"/>
    <n v="26"/>
    <n v="7"/>
    <x v="3"/>
    <x v="3"/>
    <x v="9"/>
    <x v="6"/>
    <x v="2"/>
    <n v="4"/>
    <n v="49971.58"/>
    <n v="199886.32"/>
    <s v="Priya Prasad"/>
    <n v="34"/>
    <x v="7"/>
    <x v="0"/>
    <n v="4"/>
    <x v="0"/>
    <x v="6"/>
  </r>
  <r>
    <n v="3583"/>
    <x v="1021"/>
    <n v="26"/>
    <n v="7"/>
    <x v="3"/>
    <x v="3"/>
    <x v="9"/>
    <x v="6"/>
    <x v="0"/>
    <n v="7"/>
    <n v="63451.42"/>
    <n v="444159.94"/>
    <s v="Kiran Joshi"/>
    <n v="53"/>
    <x v="2"/>
    <x v="3"/>
    <n v="4"/>
    <x v="0"/>
    <x v="0"/>
  </r>
  <r>
    <n v="3584"/>
    <x v="1021"/>
    <n v="26"/>
    <n v="7"/>
    <x v="3"/>
    <x v="3"/>
    <x v="9"/>
    <x v="6"/>
    <x v="4"/>
    <n v="9"/>
    <n v="25384.34"/>
    <n v="228459.06"/>
    <s v="Radha Kaur"/>
    <n v="45"/>
    <x v="1"/>
    <x v="1"/>
    <n v="5"/>
    <x v="0"/>
    <x v="7"/>
  </r>
  <r>
    <n v="3585"/>
    <x v="1022"/>
    <n v="27"/>
    <n v="7"/>
    <x v="3"/>
    <x v="3"/>
    <x v="9"/>
    <x v="0"/>
    <x v="2"/>
    <n v="2"/>
    <n v="65828.66"/>
    <n v="131657.32"/>
    <s v="Namita Patel"/>
    <n v="32"/>
    <x v="15"/>
    <x v="1"/>
    <n v="3"/>
    <x v="1"/>
    <x v="4"/>
  </r>
  <r>
    <n v="3586"/>
    <x v="1022"/>
    <n v="27"/>
    <n v="7"/>
    <x v="3"/>
    <x v="3"/>
    <x v="9"/>
    <x v="0"/>
    <x v="2"/>
    <n v="1"/>
    <n v="45647.29"/>
    <n v="45647.29"/>
    <s v="Anjali Pathak"/>
    <n v="36"/>
    <x v="5"/>
    <x v="1"/>
    <n v="3"/>
    <x v="1"/>
    <x v="4"/>
  </r>
  <r>
    <n v="3587"/>
    <x v="1022"/>
    <n v="27"/>
    <n v="7"/>
    <x v="3"/>
    <x v="3"/>
    <x v="9"/>
    <x v="0"/>
    <x v="0"/>
    <n v="2"/>
    <n v="58060.49"/>
    <n v="116120.98"/>
    <s v="Ravi Bhattacharya"/>
    <n v="39"/>
    <x v="15"/>
    <x v="1"/>
    <n v="4"/>
    <x v="0"/>
    <x v="3"/>
  </r>
  <r>
    <n v="3588"/>
    <x v="1022"/>
    <n v="27"/>
    <n v="7"/>
    <x v="3"/>
    <x v="3"/>
    <x v="9"/>
    <x v="0"/>
    <x v="4"/>
    <n v="7"/>
    <n v="33832.44"/>
    <n v="236827.08000000002"/>
    <s v="Bhavana Bhatnagar"/>
    <n v="23"/>
    <x v="1"/>
    <x v="0"/>
    <n v="3"/>
    <x v="1"/>
    <x v="7"/>
  </r>
  <r>
    <n v="3589"/>
    <x v="1023"/>
    <n v="28"/>
    <n v="7"/>
    <x v="3"/>
    <x v="3"/>
    <x v="9"/>
    <x v="1"/>
    <x v="2"/>
    <n v="6"/>
    <n v="22730.82"/>
    <n v="136384.91999999998"/>
    <s v="Bina Jain"/>
    <n v="24"/>
    <x v="7"/>
    <x v="1"/>
    <n v="4"/>
    <x v="0"/>
    <x v="13"/>
  </r>
  <r>
    <n v="3590"/>
    <x v="1023"/>
    <n v="28"/>
    <n v="7"/>
    <x v="3"/>
    <x v="3"/>
    <x v="9"/>
    <x v="1"/>
    <x v="2"/>
    <n v="4"/>
    <n v="64674.12"/>
    <n v="258696.48"/>
    <s v="Rohan Roy"/>
    <n v="26"/>
    <x v="10"/>
    <x v="1"/>
    <n v="2"/>
    <x v="2"/>
    <x v="6"/>
  </r>
  <r>
    <n v="3591"/>
    <x v="1023"/>
    <n v="28"/>
    <n v="7"/>
    <x v="3"/>
    <x v="3"/>
    <x v="9"/>
    <x v="1"/>
    <x v="3"/>
    <n v="1"/>
    <n v="65988.149999999994"/>
    <n v="65988.149999999994"/>
    <s v="Mala Siddiqui"/>
    <n v="37"/>
    <x v="1"/>
    <x v="0"/>
    <n v="4"/>
    <x v="0"/>
    <x v="8"/>
  </r>
  <r>
    <n v="3592"/>
    <x v="1023"/>
    <n v="28"/>
    <n v="7"/>
    <x v="3"/>
    <x v="3"/>
    <x v="9"/>
    <x v="1"/>
    <x v="2"/>
    <n v="1"/>
    <n v="39854.51"/>
    <n v="39854.51"/>
    <s v="Prashant Arora"/>
    <n v="54"/>
    <x v="1"/>
    <x v="3"/>
    <n v="2"/>
    <x v="2"/>
    <x v="13"/>
  </r>
  <r>
    <n v="3593"/>
    <x v="1024"/>
    <n v="29"/>
    <n v="7"/>
    <x v="3"/>
    <x v="3"/>
    <x v="9"/>
    <x v="2"/>
    <x v="3"/>
    <n v="5"/>
    <n v="10389.700000000001"/>
    <n v="51948.5"/>
    <s v="Ayesha Rathod"/>
    <n v="28"/>
    <x v="14"/>
    <x v="0"/>
    <n v="5"/>
    <x v="0"/>
    <x v="8"/>
  </r>
  <r>
    <n v="3594"/>
    <x v="1024"/>
    <n v="29"/>
    <n v="7"/>
    <x v="3"/>
    <x v="3"/>
    <x v="9"/>
    <x v="2"/>
    <x v="4"/>
    <n v="1"/>
    <n v="16586.98"/>
    <n v="16586.98"/>
    <s v="Sunil Menon"/>
    <n v="19"/>
    <x v="13"/>
    <x v="1"/>
    <n v="3"/>
    <x v="1"/>
    <x v="11"/>
  </r>
  <r>
    <n v="3595"/>
    <x v="1024"/>
    <n v="29"/>
    <n v="7"/>
    <x v="3"/>
    <x v="3"/>
    <x v="9"/>
    <x v="2"/>
    <x v="4"/>
    <n v="7"/>
    <n v="44381.68"/>
    <n v="310671.76"/>
    <s v="Kiran Malhotra"/>
    <n v="39"/>
    <x v="1"/>
    <x v="2"/>
    <n v="5"/>
    <x v="0"/>
    <x v="7"/>
  </r>
  <r>
    <n v="3596"/>
    <x v="1024"/>
    <n v="29"/>
    <n v="7"/>
    <x v="3"/>
    <x v="3"/>
    <x v="9"/>
    <x v="2"/>
    <x v="4"/>
    <n v="1"/>
    <n v="11426.6"/>
    <n v="11426.6"/>
    <s v="Sachin Singh"/>
    <n v="53"/>
    <x v="12"/>
    <x v="0"/>
    <n v="5"/>
    <x v="0"/>
    <x v="11"/>
  </r>
  <r>
    <n v="3597"/>
    <x v="1025"/>
    <n v="30"/>
    <n v="7"/>
    <x v="3"/>
    <x v="3"/>
    <x v="9"/>
    <x v="3"/>
    <x v="1"/>
    <n v="1"/>
    <n v="33814.720000000001"/>
    <n v="33814.720000000001"/>
    <s v="Anjali Chatterjee"/>
    <n v="22"/>
    <x v="8"/>
    <x v="0"/>
    <n v="5"/>
    <x v="0"/>
    <x v="2"/>
  </r>
  <r>
    <n v="3598"/>
    <x v="1025"/>
    <n v="30"/>
    <n v="7"/>
    <x v="3"/>
    <x v="3"/>
    <x v="9"/>
    <x v="3"/>
    <x v="4"/>
    <n v="2"/>
    <n v="28202.2"/>
    <n v="56404.4"/>
    <s v="Yogesh Patel"/>
    <n v="24"/>
    <x v="2"/>
    <x v="3"/>
    <n v="5"/>
    <x v="0"/>
    <x v="14"/>
  </r>
  <r>
    <n v="3599"/>
    <x v="1025"/>
    <n v="30"/>
    <n v="7"/>
    <x v="3"/>
    <x v="3"/>
    <x v="9"/>
    <x v="3"/>
    <x v="2"/>
    <n v="3"/>
    <n v="52860.9"/>
    <n v="158582.70000000001"/>
    <s v="Ravi Kulkarni"/>
    <n v="23"/>
    <x v="9"/>
    <x v="1"/>
    <n v="4"/>
    <x v="0"/>
    <x v="4"/>
  </r>
  <r>
    <n v="3600"/>
    <x v="1025"/>
    <n v="30"/>
    <n v="7"/>
    <x v="3"/>
    <x v="3"/>
    <x v="9"/>
    <x v="3"/>
    <x v="0"/>
    <n v="1"/>
    <n v="13334.72"/>
    <n v="13334.72"/>
    <s v="Pooja Arora"/>
    <n v="39"/>
    <x v="5"/>
    <x v="2"/>
    <n v="4"/>
    <x v="0"/>
    <x v="10"/>
  </r>
  <r>
    <n v="3601"/>
    <x v="1026"/>
    <n v="31"/>
    <n v="7"/>
    <x v="3"/>
    <x v="3"/>
    <x v="9"/>
    <x v="4"/>
    <x v="3"/>
    <n v="9"/>
    <n v="39323.879999999997"/>
    <n v="353914.92"/>
    <s v="Radha Sharma"/>
    <n v="27"/>
    <x v="1"/>
    <x v="0"/>
    <n v="3"/>
    <x v="1"/>
    <x v="8"/>
  </r>
  <r>
    <n v="3602"/>
    <x v="1026"/>
    <n v="31"/>
    <n v="7"/>
    <x v="3"/>
    <x v="3"/>
    <x v="9"/>
    <x v="4"/>
    <x v="1"/>
    <n v="8"/>
    <n v="44746.86"/>
    <n v="357974.88"/>
    <s v="Bhavana Desai"/>
    <n v="57"/>
    <x v="7"/>
    <x v="0"/>
    <n v="5"/>
    <x v="0"/>
    <x v="1"/>
  </r>
  <r>
    <n v="3603"/>
    <x v="1026"/>
    <n v="31"/>
    <n v="7"/>
    <x v="3"/>
    <x v="3"/>
    <x v="9"/>
    <x v="4"/>
    <x v="4"/>
    <n v="5"/>
    <n v="47037.46"/>
    <n v="235187.3"/>
    <s v="Anjali Nambiar"/>
    <n v="37"/>
    <x v="1"/>
    <x v="0"/>
    <n v="5"/>
    <x v="0"/>
    <x v="11"/>
  </r>
  <r>
    <n v="3604"/>
    <x v="1026"/>
    <n v="31"/>
    <n v="7"/>
    <x v="3"/>
    <x v="3"/>
    <x v="9"/>
    <x v="4"/>
    <x v="4"/>
    <n v="2"/>
    <n v="34309.46"/>
    <n v="68618.92"/>
    <s v="Neeta Desai"/>
    <n v="45"/>
    <x v="2"/>
    <x v="2"/>
    <n v="5"/>
    <x v="0"/>
    <x v="7"/>
  </r>
  <r>
    <n v="3605"/>
    <x v="1027"/>
    <n v="1"/>
    <n v="8"/>
    <x v="3"/>
    <x v="3"/>
    <x v="10"/>
    <x v="5"/>
    <x v="0"/>
    <n v="5"/>
    <n v="28262.07"/>
    <n v="141310.35"/>
    <s v="Anita Luthra"/>
    <n v="40"/>
    <x v="1"/>
    <x v="0"/>
    <n v="5"/>
    <x v="0"/>
    <x v="0"/>
  </r>
  <r>
    <n v="3606"/>
    <x v="1027"/>
    <n v="1"/>
    <n v="8"/>
    <x v="3"/>
    <x v="3"/>
    <x v="10"/>
    <x v="5"/>
    <x v="0"/>
    <n v="6"/>
    <n v="50949.58"/>
    <n v="305697.48"/>
    <s v="Reena Mehta"/>
    <n v="52"/>
    <x v="11"/>
    <x v="0"/>
    <n v="3"/>
    <x v="1"/>
    <x v="0"/>
  </r>
  <r>
    <n v="3607"/>
    <x v="1027"/>
    <n v="1"/>
    <n v="8"/>
    <x v="3"/>
    <x v="3"/>
    <x v="10"/>
    <x v="5"/>
    <x v="1"/>
    <n v="1"/>
    <n v="60854.14"/>
    <n v="60854.14"/>
    <s v="Lalita Bhatnagar"/>
    <n v="18"/>
    <x v="2"/>
    <x v="2"/>
    <n v="4"/>
    <x v="0"/>
    <x v="1"/>
  </r>
  <r>
    <n v="3608"/>
    <x v="1028"/>
    <n v="2"/>
    <n v="8"/>
    <x v="3"/>
    <x v="3"/>
    <x v="10"/>
    <x v="6"/>
    <x v="3"/>
    <n v="4"/>
    <n v="51617.06"/>
    <n v="206468.24"/>
    <s v="Kavita Teja"/>
    <n v="46"/>
    <x v="18"/>
    <x v="0"/>
    <n v="5"/>
    <x v="0"/>
    <x v="12"/>
  </r>
  <r>
    <n v="3609"/>
    <x v="1028"/>
    <n v="2"/>
    <n v="8"/>
    <x v="3"/>
    <x v="3"/>
    <x v="10"/>
    <x v="6"/>
    <x v="4"/>
    <n v="9"/>
    <n v="65926.14"/>
    <n v="593335.26"/>
    <s v="Lata Chaudhary"/>
    <n v="26"/>
    <x v="12"/>
    <x v="2"/>
    <n v="3"/>
    <x v="1"/>
    <x v="7"/>
  </r>
  <r>
    <n v="3610"/>
    <x v="1028"/>
    <n v="2"/>
    <n v="8"/>
    <x v="3"/>
    <x v="3"/>
    <x v="10"/>
    <x v="6"/>
    <x v="1"/>
    <n v="2"/>
    <n v="53035.81"/>
    <n v="106071.62"/>
    <s v="Pooja Pathak"/>
    <n v="26"/>
    <x v="2"/>
    <x v="3"/>
    <n v="5"/>
    <x v="0"/>
    <x v="9"/>
  </r>
  <r>
    <n v="3611"/>
    <x v="1029"/>
    <n v="3"/>
    <n v="8"/>
    <x v="3"/>
    <x v="3"/>
    <x v="10"/>
    <x v="0"/>
    <x v="2"/>
    <n v="5"/>
    <n v="55877.120000000003"/>
    <n v="279385.60000000003"/>
    <s v="Navin Kapoor"/>
    <n v="39"/>
    <x v="12"/>
    <x v="2"/>
    <n v="5"/>
    <x v="0"/>
    <x v="4"/>
  </r>
  <r>
    <n v="3612"/>
    <x v="1029"/>
    <n v="3"/>
    <n v="8"/>
    <x v="3"/>
    <x v="3"/>
    <x v="10"/>
    <x v="0"/>
    <x v="2"/>
    <n v="1"/>
    <n v="20074.189999999999"/>
    <n v="20074.189999999999"/>
    <s v="Anita Kumar"/>
    <n v="19"/>
    <x v="2"/>
    <x v="3"/>
    <n v="4"/>
    <x v="0"/>
    <x v="4"/>
  </r>
  <r>
    <n v="3613"/>
    <x v="1029"/>
    <n v="3"/>
    <n v="8"/>
    <x v="3"/>
    <x v="3"/>
    <x v="10"/>
    <x v="0"/>
    <x v="1"/>
    <n v="4"/>
    <n v="35172.379999999997"/>
    <n v="140689.51999999999"/>
    <s v="Reena Menon"/>
    <n v="33"/>
    <x v="13"/>
    <x v="2"/>
    <n v="4"/>
    <x v="0"/>
    <x v="9"/>
  </r>
  <r>
    <n v="3614"/>
    <x v="1030"/>
    <n v="4"/>
    <n v="8"/>
    <x v="3"/>
    <x v="3"/>
    <x v="10"/>
    <x v="1"/>
    <x v="4"/>
    <n v="4"/>
    <n v="39103.32"/>
    <n v="156413.28"/>
    <s v="Tapan Luthra"/>
    <n v="57"/>
    <x v="1"/>
    <x v="1"/>
    <n v="3"/>
    <x v="1"/>
    <x v="14"/>
  </r>
  <r>
    <n v="3615"/>
    <x v="1030"/>
    <n v="4"/>
    <n v="8"/>
    <x v="3"/>
    <x v="3"/>
    <x v="10"/>
    <x v="1"/>
    <x v="1"/>
    <n v="6"/>
    <n v="25377.59"/>
    <n v="152265.54"/>
    <s v="Devendra Menon"/>
    <n v="23"/>
    <x v="12"/>
    <x v="0"/>
    <n v="2"/>
    <x v="2"/>
    <x v="9"/>
  </r>
  <r>
    <n v="3616"/>
    <x v="1030"/>
    <n v="4"/>
    <n v="8"/>
    <x v="3"/>
    <x v="3"/>
    <x v="10"/>
    <x v="1"/>
    <x v="4"/>
    <n v="9"/>
    <n v="41712.39"/>
    <n v="375411.51"/>
    <s v="Umesh Nair"/>
    <n v="30"/>
    <x v="14"/>
    <x v="3"/>
    <n v="3"/>
    <x v="1"/>
    <x v="11"/>
  </r>
  <r>
    <n v="3617"/>
    <x v="1031"/>
    <n v="5"/>
    <n v="8"/>
    <x v="3"/>
    <x v="3"/>
    <x v="10"/>
    <x v="2"/>
    <x v="0"/>
    <n v="3"/>
    <n v="27447.52"/>
    <n v="82342.559999999998"/>
    <s v="Anand Thakur"/>
    <n v="50"/>
    <x v="1"/>
    <x v="0"/>
    <n v="3"/>
    <x v="1"/>
    <x v="3"/>
  </r>
  <r>
    <n v="3618"/>
    <x v="1031"/>
    <n v="5"/>
    <n v="8"/>
    <x v="3"/>
    <x v="3"/>
    <x v="10"/>
    <x v="2"/>
    <x v="1"/>
    <n v="9"/>
    <n v="51250.13"/>
    <n v="461251.17"/>
    <s v="Anand Siddiqui"/>
    <n v="36"/>
    <x v="1"/>
    <x v="0"/>
    <n v="2"/>
    <x v="2"/>
    <x v="2"/>
  </r>
  <r>
    <n v="3619"/>
    <x v="1031"/>
    <n v="5"/>
    <n v="8"/>
    <x v="3"/>
    <x v="3"/>
    <x v="10"/>
    <x v="2"/>
    <x v="4"/>
    <n v="6"/>
    <n v="38217.31"/>
    <n v="229303.86"/>
    <s v="Prashant Mishra"/>
    <n v="32"/>
    <x v="11"/>
    <x v="2"/>
    <n v="5"/>
    <x v="0"/>
    <x v="11"/>
  </r>
  <r>
    <n v="3620"/>
    <x v="1031"/>
    <n v="5"/>
    <n v="8"/>
    <x v="3"/>
    <x v="3"/>
    <x v="10"/>
    <x v="2"/>
    <x v="1"/>
    <n v="7"/>
    <n v="37528.42"/>
    <n v="262698.94"/>
    <s v="Amit Chatterjee"/>
    <n v="50"/>
    <x v="16"/>
    <x v="1"/>
    <n v="5"/>
    <x v="0"/>
    <x v="9"/>
  </r>
  <r>
    <n v="3621"/>
    <x v="1032"/>
    <n v="6"/>
    <n v="8"/>
    <x v="3"/>
    <x v="3"/>
    <x v="10"/>
    <x v="3"/>
    <x v="1"/>
    <n v="2"/>
    <n v="69018.55"/>
    <n v="138037.1"/>
    <s v="Kunal Malhotra"/>
    <n v="27"/>
    <x v="1"/>
    <x v="2"/>
    <n v="2"/>
    <x v="2"/>
    <x v="2"/>
  </r>
  <r>
    <n v="3622"/>
    <x v="1032"/>
    <n v="6"/>
    <n v="8"/>
    <x v="3"/>
    <x v="3"/>
    <x v="10"/>
    <x v="3"/>
    <x v="4"/>
    <n v="6"/>
    <n v="33546.69"/>
    <n v="201280.14"/>
    <s v="Bina Nair"/>
    <n v="18"/>
    <x v="2"/>
    <x v="0"/>
    <n v="5"/>
    <x v="0"/>
    <x v="11"/>
  </r>
  <r>
    <n v="3623"/>
    <x v="1032"/>
    <n v="6"/>
    <n v="8"/>
    <x v="3"/>
    <x v="3"/>
    <x v="10"/>
    <x v="3"/>
    <x v="4"/>
    <n v="6"/>
    <n v="31737.73"/>
    <n v="190426.38"/>
    <s v="Priyanka Joshi"/>
    <n v="29"/>
    <x v="1"/>
    <x v="2"/>
    <n v="5"/>
    <x v="0"/>
    <x v="11"/>
  </r>
  <r>
    <n v="3624"/>
    <x v="1033"/>
    <n v="7"/>
    <n v="8"/>
    <x v="3"/>
    <x v="3"/>
    <x v="10"/>
    <x v="4"/>
    <x v="3"/>
    <n v="2"/>
    <n v="29116.26"/>
    <n v="58232.52"/>
    <s v="Kunal Chaudhary"/>
    <n v="46"/>
    <x v="2"/>
    <x v="3"/>
    <n v="2"/>
    <x v="2"/>
    <x v="12"/>
  </r>
  <r>
    <n v="3625"/>
    <x v="1033"/>
    <n v="7"/>
    <n v="8"/>
    <x v="3"/>
    <x v="3"/>
    <x v="10"/>
    <x v="4"/>
    <x v="1"/>
    <n v="2"/>
    <n v="63684.95"/>
    <n v="127369.9"/>
    <s v="Meena Rathod"/>
    <n v="34"/>
    <x v="11"/>
    <x v="1"/>
    <n v="4"/>
    <x v="0"/>
    <x v="9"/>
  </r>
  <r>
    <n v="3626"/>
    <x v="1033"/>
    <n v="7"/>
    <n v="8"/>
    <x v="3"/>
    <x v="3"/>
    <x v="10"/>
    <x v="4"/>
    <x v="2"/>
    <n v="2"/>
    <n v="39803.43"/>
    <n v="79606.86"/>
    <s v="Arun Kumar"/>
    <n v="21"/>
    <x v="7"/>
    <x v="0"/>
    <n v="3"/>
    <x v="1"/>
    <x v="4"/>
  </r>
  <r>
    <n v="3627"/>
    <x v="1033"/>
    <n v="7"/>
    <n v="8"/>
    <x v="3"/>
    <x v="3"/>
    <x v="10"/>
    <x v="4"/>
    <x v="1"/>
    <n v="1"/>
    <n v="46000.87"/>
    <n v="46000.87"/>
    <s v="Prashant Teja"/>
    <n v="46"/>
    <x v="18"/>
    <x v="2"/>
    <n v="2"/>
    <x v="2"/>
    <x v="1"/>
  </r>
  <r>
    <n v="3628"/>
    <x v="1034"/>
    <n v="8"/>
    <n v="8"/>
    <x v="3"/>
    <x v="3"/>
    <x v="10"/>
    <x v="5"/>
    <x v="1"/>
    <n v="5"/>
    <n v="20849.11"/>
    <n v="104245.55"/>
    <s v="Rohan Shah"/>
    <n v="24"/>
    <x v="4"/>
    <x v="3"/>
    <n v="2"/>
    <x v="2"/>
    <x v="9"/>
  </r>
  <r>
    <n v="3629"/>
    <x v="1034"/>
    <n v="8"/>
    <n v="8"/>
    <x v="3"/>
    <x v="3"/>
    <x v="10"/>
    <x v="5"/>
    <x v="4"/>
    <n v="8"/>
    <n v="42456.54"/>
    <n v="339652.32"/>
    <s v="Ayesha Patel"/>
    <n v="30"/>
    <x v="2"/>
    <x v="1"/>
    <n v="5"/>
    <x v="0"/>
    <x v="7"/>
  </r>
  <r>
    <n v="3630"/>
    <x v="1034"/>
    <n v="8"/>
    <n v="8"/>
    <x v="3"/>
    <x v="3"/>
    <x v="10"/>
    <x v="5"/>
    <x v="1"/>
    <n v="2"/>
    <n v="26478.89"/>
    <n v="52957.78"/>
    <s v="Vijay Varma"/>
    <n v="22"/>
    <x v="0"/>
    <x v="2"/>
    <n v="4"/>
    <x v="0"/>
    <x v="2"/>
  </r>
  <r>
    <n v="3631"/>
    <x v="1035"/>
    <n v="9"/>
    <n v="8"/>
    <x v="3"/>
    <x v="3"/>
    <x v="10"/>
    <x v="6"/>
    <x v="1"/>
    <n v="5"/>
    <n v="53838.22"/>
    <n v="269191.09999999998"/>
    <s v="Anita Bhattacharya"/>
    <n v="23"/>
    <x v="1"/>
    <x v="2"/>
    <n v="2"/>
    <x v="2"/>
    <x v="9"/>
  </r>
  <r>
    <n v="3632"/>
    <x v="1035"/>
    <n v="9"/>
    <n v="8"/>
    <x v="3"/>
    <x v="3"/>
    <x v="10"/>
    <x v="6"/>
    <x v="2"/>
    <n v="8"/>
    <n v="59951.7"/>
    <n v="479613.6"/>
    <s v="Lalita Alva"/>
    <n v="51"/>
    <x v="6"/>
    <x v="0"/>
    <n v="4"/>
    <x v="0"/>
    <x v="6"/>
  </r>
  <r>
    <n v="3633"/>
    <x v="1035"/>
    <n v="9"/>
    <n v="8"/>
    <x v="3"/>
    <x v="3"/>
    <x v="10"/>
    <x v="6"/>
    <x v="4"/>
    <n v="5"/>
    <n v="52888.639999999999"/>
    <n v="264443.2"/>
    <s v="Yogesh Menon"/>
    <n v="24"/>
    <x v="6"/>
    <x v="3"/>
    <n v="5"/>
    <x v="0"/>
    <x v="7"/>
  </r>
  <r>
    <n v="3634"/>
    <x v="1035"/>
    <n v="9"/>
    <n v="8"/>
    <x v="3"/>
    <x v="3"/>
    <x v="10"/>
    <x v="6"/>
    <x v="1"/>
    <n v="2"/>
    <n v="53814.65"/>
    <n v="107629.3"/>
    <s v="Kunal Patel"/>
    <n v="45"/>
    <x v="10"/>
    <x v="1"/>
    <n v="2"/>
    <x v="2"/>
    <x v="9"/>
  </r>
  <r>
    <n v="3635"/>
    <x v="1036"/>
    <n v="10"/>
    <n v="8"/>
    <x v="3"/>
    <x v="3"/>
    <x v="10"/>
    <x v="0"/>
    <x v="0"/>
    <n v="3"/>
    <n v="40748.480000000003"/>
    <n v="122245.44"/>
    <s v="Aditya Nair"/>
    <n v="27"/>
    <x v="11"/>
    <x v="2"/>
    <n v="4"/>
    <x v="0"/>
    <x v="0"/>
  </r>
  <r>
    <n v="3636"/>
    <x v="1036"/>
    <n v="10"/>
    <n v="8"/>
    <x v="3"/>
    <x v="3"/>
    <x v="10"/>
    <x v="0"/>
    <x v="3"/>
    <n v="6"/>
    <n v="52727.08"/>
    <n v="316362.48"/>
    <s v="Amit Ahuja"/>
    <n v="21"/>
    <x v="16"/>
    <x v="1"/>
    <n v="3"/>
    <x v="1"/>
    <x v="12"/>
  </r>
  <r>
    <n v="3637"/>
    <x v="1036"/>
    <n v="10"/>
    <n v="8"/>
    <x v="3"/>
    <x v="3"/>
    <x v="10"/>
    <x v="0"/>
    <x v="2"/>
    <n v="5"/>
    <n v="35361.22"/>
    <n v="176806.1"/>
    <s v="Tanuja Gupta"/>
    <n v="20"/>
    <x v="2"/>
    <x v="3"/>
    <n v="5"/>
    <x v="0"/>
    <x v="4"/>
  </r>
  <r>
    <n v="3638"/>
    <x v="1036"/>
    <n v="10"/>
    <n v="8"/>
    <x v="3"/>
    <x v="3"/>
    <x v="10"/>
    <x v="0"/>
    <x v="1"/>
    <n v="4"/>
    <n v="49089.35"/>
    <n v="196357.4"/>
    <s v="Rohan Goyal"/>
    <n v="42"/>
    <x v="2"/>
    <x v="0"/>
    <n v="4"/>
    <x v="0"/>
    <x v="9"/>
  </r>
  <r>
    <n v="3639"/>
    <x v="1037"/>
    <n v="11"/>
    <n v="8"/>
    <x v="3"/>
    <x v="3"/>
    <x v="10"/>
    <x v="1"/>
    <x v="0"/>
    <n v="4"/>
    <n v="25542.35"/>
    <n v="102169.4"/>
    <s v="Anita Kulkarni"/>
    <n v="40"/>
    <x v="3"/>
    <x v="0"/>
    <n v="5"/>
    <x v="0"/>
    <x v="0"/>
  </r>
  <r>
    <n v="3640"/>
    <x v="1037"/>
    <n v="11"/>
    <n v="8"/>
    <x v="3"/>
    <x v="3"/>
    <x v="10"/>
    <x v="1"/>
    <x v="1"/>
    <n v="5"/>
    <n v="14185.42"/>
    <n v="70927.100000000006"/>
    <s v="Manoj Iyer"/>
    <n v="44"/>
    <x v="18"/>
    <x v="0"/>
    <n v="2"/>
    <x v="2"/>
    <x v="2"/>
  </r>
  <r>
    <n v="3641"/>
    <x v="1037"/>
    <n v="11"/>
    <n v="8"/>
    <x v="3"/>
    <x v="3"/>
    <x v="10"/>
    <x v="1"/>
    <x v="1"/>
    <n v="2"/>
    <n v="34808.400000000001"/>
    <n v="69616.800000000003"/>
    <s v="Kavita Goyal"/>
    <n v="31"/>
    <x v="5"/>
    <x v="1"/>
    <n v="2"/>
    <x v="2"/>
    <x v="1"/>
  </r>
  <r>
    <n v="3642"/>
    <x v="1038"/>
    <n v="12"/>
    <n v="8"/>
    <x v="3"/>
    <x v="3"/>
    <x v="10"/>
    <x v="2"/>
    <x v="4"/>
    <n v="9"/>
    <n v="37706.69"/>
    <n v="339360.21"/>
    <s v="Nikhil Chaudhary"/>
    <n v="55"/>
    <x v="1"/>
    <x v="1"/>
    <n v="5"/>
    <x v="0"/>
    <x v="14"/>
  </r>
  <r>
    <n v="3643"/>
    <x v="1038"/>
    <n v="12"/>
    <n v="8"/>
    <x v="3"/>
    <x v="3"/>
    <x v="10"/>
    <x v="2"/>
    <x v="4"/>
    <n v="2"/>
    <n v="25384.43"/>
    <n v="50768.86"/>
    <s v="Sunil Kumar"/>
    <n v="49"/>
    <x v="2"/>
    <x v="2"/>
    <n v="5"/>
    <x v="0"/>
    <x v="7"/>
  </r>
  <r>
    <n v="3644"/>
    <x v="1038"/>
    <n v="12"/>
    <n v="8"/>
    <x v="3"/>
    <x v="3"/>
    <x v="10"/>
    <x v="2"/>
    <x v="4"/>
    <n v="2"/>
    <n v="53662.57"/>
    <n v="107325.14"/>
    <s v="Umesh Srivastava"/>
    <n v="40"/>
    <x v="1"/>
    <x v="3"/>
    <n v="3"/>
    <x v="1"/>
    <x v="14"/>
  </r>
  <r>
    <n v="3645"/>
    <x v="1039"/>
    <n v="13"/>
    <n v="8"/>
    <x v="3"/>
    <x v="3"/>
    <x v="10"/>
    <x v="3"/>
    <x v="0"/>
    <n v="9"/>
    <n v="14413.03"/>
    <n v="129717.27"/>
    <s v="Isha Nair"/>
    <n v="57"/>
    <x v="2"/>
    <x v="3"/>
    <n v="3"/>
    <x v="1"/>
    <x v="10"/>
  </r>
  <r>
    <n v="3646"/>
    <x v="1039"/>
    <n v="13"/>
    <n v="8"/>
    <x v="3"/>
    <x v="3"/>
    <x v="10"/>
    <x v="3"/>
    <x v="1"/>
    <n v="3"/>
    <n v="23364.9"/>
    <n v="70094.700000000012"/>
    <s v="Neeta Arora"/>
    <n v="54"/>
    <x v="2"/>
    <x v="3"/>
    <n v="4"/>
    <x v="0"/>
    <x v="2"/>
  </r>
  <r>
    <n v="3647"/>
    <x v="1039"/>
    <n v="13"/>
    <n v="8"/>
    <x v="3"/>
    <x v="3"/>
    <x v="10"/>
    <x v="3"/>
    <x v="3"/>
    <n v="7"/>
    <n v="54913.88"/>
    <n v="384397.16"/>
    <s v="Lalita Shah"/>
    <n v="20"/>
    <x v="18"/>
    <x v="1"/>
    <n v="3"/>
    <x v="1"/>
    <x v="8"/>
  </r>
  <r>
    <n v="3648"/>
    <x v="1040"/>
    <n v="14"/>
    <n v="8"/>
    <x v="3"/>
    <x v="3"/>
    <x v="10"/>
    <x v="4"/>
    <x v="2"/>
    <n v="4"/>
    <n v="36227.46"/>
    <n v="144909.84"/>
    <s v="Anand Thakur"/>
    <n v="52"/>
    <x v="13"/>
    <x v="0"/>
    <n v="5"/>
    <x v="0"/>
    <x v="13"/>
  </r>
  <r>
    <n v="3649"/>
    <x v="1040"/>
    <n v="14"/>
    <n v="8"/>
    <x v="3"/>
    <x v="3"/>
    <x v="10"/>
    <x v="4"/>
    <x v="4"/>
    <n v="6"/>
    <n v="52317.02"/>
    <n v="313902.12"/>
    <s v="Vinod Pathak"/>
    <n v="30"/>
    <x v="1"/>
    <x v="3"/>
    <n v="2"/>
    <x v="2"/>
    <x v="14"/>
  </r>
  <r>
    <n v="3650"/>
    <x v="1040"/>
    <n v="14"/>
    <n v="8"/>
    <x v="3"/>
    <x v="3"/>
    <x v="10"/>
    <x v="4"/>
    <x v="4"/>
    <n v="4"/>
    <n v="44049.15"/>
    <n v="176196.6"/>
    <s v="Ravi Siddiqui"/>
    <n v="51"/>
    <x v="9"/>
    <x v="2"/>
    <n v="5"/>
    <x v="0"/>
    <x v="14"/>
  </r>
  <r>
    <n v="3651"/>
    <x v="1041"/>
    <n v="15"/>
    <n v="8"/>
    <x v="3"/>
    <x v="3"/>
    <x v="10"/>
    <x v="5"/>
    <x v="1"/>
    <n v="7"/>
    <n v="67042.759999999995"/>
    <n v="469299.31999999995"/>
    <s v="Lata Verma"/>
    <n v="41"/>
    <x v="2"/>
    <x v="1"/>
    <n v="5"/>
    <x v="0"/>
    <x v="9"/>
  </r>
  <r>
    <n v="3652"/>
    <x v="1041"/>
    <n v="15"/>
    <n v="8"/>
    <x v="3"/>
    <x v="3"/>
    <x v="10"/>
    <x v="5"/>
    <x v="1"/>
    <n v="1"/>
    <n v="45867.75"/>
    <n v="45867.75"/>
    <s v="Anand Mehta"/>
    <n v="18"/>
    <x v="11"/>
    <x v="0"/>
    <n v="2"/>
    <x v="2"/>
    <x v="2"/>
  </r>
  <r>
    <n v="3653"/>
    <x v="1041"/>
    <n v="15"/>
    <n v="8"/>
    <x v="3"/>
    <x v="3"/>
    <x v="10"/>
    <x v="5"/>
    <x v="0"/>
    <n v="3"/>
    <n v="10892.14"/>
    <n v="32676.42"/>
    <s v="Meena Sheth"/>
    <n v="29"/>
    <x v="1"/>
    <x v="3"/>
    <n v="5"/>
    <x v="0"/>
    <x v="10"/>
  </r>
  <r>
    <n v="3654"/>
    <x v="1041"/>
    <n v="15"/>
    <n v="8"/>
    <x v="3"/>
    <x v="3"/>
    <x v="10"/>
    <x v="5"/>
    <x v="0"/>
    <n v="3"/>
    <n v="31172.639999999999"/>
    <n v="93517.92"/>
    <s v="Devendra Yadav"/>
    <n v="25"/>
    <x v="1"/>
    <x v="0"/>
    <n v="3"/>
    <x v="1"/>
    <x v="0"/>
  </r>
  <r>
    <n v="3655"/>
    <x v="1042"/>
    <n v="16"/>
    <n v="8"/>
    <x v="3"/>
    <x v="3"/>
    <x v="10"/>
    <x v="6"/>
    <x v="4"/>
    <n v="1"/>
    <n v="18583.64"/>
    <n v="18583.64"/>
    <s v="Vivek Srivastava"/>
    <n v="36"/>
    <x v="1"/>
    <x v="2"/>
    <n v="4"/>
    <x v="0"/>
    <x v="14"/>
  </r>
  <r>
    <n v="3656"/>
    <x v="1042"/>
    <n v="16"/>
    <n v="8"/>
    <x v="3"/>
    <x v="3"/>
    <x v="10"/>
    <x v="6"/>
    <x v="1"/>
    <n v="6"/>
    <n v="65478.02"/>
    <n v="392868.12"/>
    <s v="Bhavana Kapoor"/>
    <n v="26"/>
    <x v="3"/>
    <x v="3"/>
    <n v="4"/>
    <x v="0"/>
    <x v="2"/>
  </r>
  <r>
    <n v="3657"/>
    <x v="1042"/>
    <n v="16"/>
    <n v="8"/>
    <x v="3"/>
    <x v="3"/>
    <x v="10"/>
    <x v="6"/>
    <x v="3"/>
    <n v="9"/>
    <n v="16240.75"/>
    <n v="146166.75"/>
    <s v="Tapan Ahuja"/>
    <n v="45"/>
    <x v="2"/>
    <x v="3"/>
    <n v="5"/>
    <x v="0"/>
    <x v="5"/>
  </r>
  <r>
    <n v="3658"/>
    <x v="1043"/>
    <n v="17"/>
    <n v="8"/>
    <x v="3"/>
    <x v="3"/>
    <x v="10"/>
    <x v="0"/>
    <x v="2"/>
    <n v="8"/>
    <n v="33262.400000000001"/>
    <n v="266099.20000000001"/>
    <s v="Lalita Shah"/>
    <n v="31"/>
    <x v="6"/>
    <x v="0"/>
    <n v="2"/>
    <x v="2"/>
    <x v="4"/>
  </r>
  <r>
    <n v="3659"/>
    <x v="1043"/>
    <n v="17"/>
    <n v="8"/>
    <x v="3"/>
    <x v="3"/>
    <x v="10"/>
    <x v="0"/>
    <x v="1"/>
    <n v="7"/>
    <n v="23565.95"/>
    <n v="164961.65"/>
    <s v="Rohan Sheth"/>
    <n v="44"/>
    <x v="16"/>
    <x v="1"/>
    <n v="5"/>
    <x v="0"/>
    <x v="1"/>
  </r>
  <r>
    <n v="3660"/>
    <x v="1043"/>
    <n v="17"/>
    <n v="8"/>
    <x v="3"/>
    <x v="3"/>
    <x v="10"/>
    <x v="0"/>
    <x v="1"/>
    <n v="8"/>
    <n v="60803.32"/>
    <n v="486426.56"/>
    <s v="Ravi Kaur"/>
    <n v="35"/>
    <x v="4"/>
    <x v="0"/>
    <n v="5"/>
    <x v="0"/>
    <x v="9"/>
  </r>
  <r>
    <n v="3661"/>
    <x v="1044"/>
    <n v="18"/>
    <n v="8"/>
    <x v="3"/>
    <x v="3"/>
    <x v="10"/>
    <x v="1"/>
    <x v="0"/>
    <n v="6"/>
    <n v="28513.99"/>
    <n v="171083.94"/>
    <s v="Pooja Deshmukh"/>
    <n v="59"/>
    <x v="1"/>
    <x v="2"/>
    <n v="5"/>
    <x v="0"/>
    <x v="3"/>
  </r>
  <r>
    <n v="3662"/>
    <x v="1044"/>
    <n v="18"/>
    <n v="8"/>
    <x v="3"/>
    <x v="3"/>
    <x v="10"/>
    <x v="1"/>
    <x v="2"/>
    <n v="9"/>
    <n v="69513.61"/>
    <n v="625622.49"/>
    <s v="Sneha Reddy"/>
    <n v="58"/>
    <x v="1"/>
    <x v="0"/>
    <n v="5"/>
    <x v="0"/>
    <x v="4"/>
  </r>
  <r>
    <n v="3663"/>
    <x v="1044"/>
    <n v="18"/>
    <n v="8"/>
    <x v="3"/>
    <x v="3"/>
    <x v="10"/>
    <x v="1"/>
    <x v="4"/>
    <n v="3"/>
    <n v="12317"/>
    <n v="36951"/>
    <s v="Aditya Joshi"/>
    <n v="23"/>
    <x v="2"/>
    <x v="0"/>
    <n v="4"/>
    <x v="0"/>
    <x v="11"/>
  </r>
  <r>
    <n v="3664"/>
    <x v="1044"/>
    <n v="18"/>
    <n v="8"/>
    <x v="3"/>
    <x v="3"/>
    <x v="10"/>
    <x v="1"/>
    <x v="1"/>
    <n v="9"/>
    <n v="17696.61"/>
    <n v="159269.49"/>
    <s v="Lata Shah"/>
    <n v="50"/>
    <x v="14"/>
    <x v="3"/>
    <n v="4"/>
    <x v="0"/>
    <x v="9"/>
  </r>
  <r>
    <n v="3665"/>
    <x v="1045"/>
    <n v="19"/>
    <n v="8"/>
    <x v="3"/>
    <x v="3"/>
    <x v="10"/>
    <x v="2"/>
    <x v="4"/>
    <n v="4"/>
    <n v="23478.33"/>
    <n v="93913.32"/>
    <s v="Priya Varma"/>
    <n v="54"/>
    <x v="18"/>
    <x v="1"/>
    <n v="5"/>
    <x v="0"/>
    <x v="14"/>
  </r>
  <r>
    <n v="3666"/>
    <x v="1045"/>
    <n v="19"/>
    <n v="8"/>
    <x v="3"/>
    <x v="3"/>
    <x v="10"/>
    <x v="2"/>
    <x v="1"/>
    <n v="7"/>
    <n v="58666.36"/>
    <n v="410664.52"/>
    <s v="Deepika Deshmukh"/>
    <n v="59"/>
    <x v="7"/>
    <x v="1"/>
    <n v="2"/>
    <x v="2"/>
    <x v="2"/>
  </r>
  <r>
    <n v="3667"/>
    <x v="1045"/>
    <n v="19"/>
    <n v="8"/>
    <x v="3"/>
    <x v="3"/>
    <x v="10"/>
    <x v="2"/>
    <x v="4"/>
    <n v="9"/>
    <n v="62711.03"/>
    <n v="564399.27"/>
    <s v="Umesh Kaur"/>
    <n v="42"/>
    <x v="1"/>
    <x v="1"/>
    <n v="5"/>
    <x v="0"/>
    <x v="14"/>
  </r>
  <r>
    <n v="3668"/>
    <x v="1046"/>
    <n v="20"/>
    <n v="8"/>
    <x v="3"/>
    <x v="3"/>
    <x v="10"/>
    <x v="3"/>
    <x v="2"/>
    <n v="2"/>
    <n v="14287.08"/>
    <n v="28574.16"/>
    <s v="Sachin Sheth"/>
    <n v="30"/>
    <x v="2"/>
    <x v="1"/>
    <n v="3"/>
    <x v="1"/>
    <x v="13"/>
  </r>
  <r>
    <n v="3669"/>
    <x v="1046"/>
    <n v="20"/>
    <n v="8"/>
    <x v="3"/>
    <x v="3"/>
    <x v="10"/>
    <x v="3"/>
    <x v="0"/>
    <n v="2"/>
    <n v="11947.61"/>
    <n v="23895.22"/>
    <s v="Umesh Ghosh"/>
    <n v="40"/>
    <x v="5"/>
    <x v="0"/>
    <n v="4"/>
    <x v="0"/>
    <x v="0"/>
  </r>
  <r>
    <n v="3670"/>
    <x v="1046"/>
    <n v="20"/>
    <n v="8"/>
    <x v="3"/>
    <x v="3"/>
    <x v="10"/>
    <x v="3"/>
    <x v="2"/>
    <n v="9"/>
    <n v="54673.41"/>
    <n v="492060.69000000006"/>
    <s v="Sumit Rathod"/>
    <n v="53"/>
    <x v="1"/>
    <x v="3"/>
    <n v="4"/>
    <x v="0"/>
    <x v="4"/>
  </r>
  <r>
    <n v="3671"/>
    <x v="1047"/>
    <n v="21"/>
    <n v="8"/>
    <x v="3"/>
    <x v="3"/>
    <x v="10"/>
    <x v="4"/>
    <x v="3"/>
    <n v="3"/>
    <n v="18001.12"/>
    <n v="54003.360000000001"/>
    <s v="Vijay Varma"/>
    <n v="50"/>
    <x v="5"/>
    <x v="3"/>
    <n v="4"/>
    <x v="0"/>
    <x v="5"/>
  </r>
  <r>
    <n v="3672"/>
    <x v="1047"/>
    <n v="21"/>
    <n v="8"/>
    <x v="3"/>
    <x v="3"/>
    <x v="10"/>
    <x v="4"/>
    <x v="0"/>
    <n v="9"/>
    <n v="17979.919999999998"/>
    <n v="161819.27999999997"/>
    <s v="Priyanka Roy"/>
    <n v="38"/>
    <x v="2"/>
    <x v="1"/>
    <n v="2"/>
    <x v="2"/>
    <x v="0"/>
  </r>
  <r>
    <n v="3673"/>
    <x v="1047"/>
    <n v="21"/>
    <n v="8"/>
    <x v="3"/>
    <x v="3"/>
    <x v="10"/>
    <x v="4"/>
    <x v="2"/>
    <n v="5"/>
    <n v="11341.99"/>
    <n v="56709.95"/>
    <s v="Manoj Mehta"/>
    <n v="51"/>
    <x v="17"/>
    <x v="0"/>
    <n v="5"/>
    <x v="0"/>
    <x v="13"/>
  </r>
  <r>
    <n v="3674"/>
    <x v="1048"/>
    <n v="22"/>
    <n v="8"/>
    <x v="3"/>
    <x v="3"/>
    <x v="10"/>
    <x v="5"/>
    <x v="3"/>
    <n v="6"/>
    <n v="12988.47"/>
    <n v="77930.819999999992"/>
    <s v="Pooja Rao"/>
    <n v="53"/>
    <x v="2"/>
    <x v="1"/>
    <n v="2"/>
    <x v="2"/>
    <x v="12"/>
  </r>
  <r>
    <n v="3675"/>
    <x v="1048"/>
    <n v="22"/>
    <n v="8"/>
    <x v="3"/>
    <x v="3"/>
    <x v="10"/>
    <x v="5"/>
    <x v="1"/>
    <n v="2"/>
    <n v="25820.53"/>
    <n v="51641.06"/>
    <s v="Tanuja Ahuja"/>
    <n v="34"/>
    <x v="3"/>
    <x v="1"/>
    <n v="4"/>
    <x v="0"/>
    <x v="9"/>
  </r>
  <r>
    <n v="3676"/>
    <x v="1048"/>
    <n v="22"/>
    <n v="8"/>
    <x v="3"/>
    <x v="3"/>
    <x v="10"/>
    <x v="5"/>
    <x v="1"/>
    <n v="8"/>
    <n v="13900.33"/>
    <n v="111202.64"/>
    <s v="Bhavana Srivastava"/>
    <n v="27"/>
    <x v="9"/>
    <x v="3"/>
    <n v="5"/>
    <x v="0"/>
    <x v="1"/>
  </r>
  <r>
    <n v="3677"/>
    <x v="1049"/>
    <n v="23"/>
    <n v="8"/>
    <x v="3"/>
    <x v="3"/>
    <x v="10"/>
    <x v="6"/>
    <x v="4"/>
    <n v="9"/>
    <n v="32132.75"/>
    <n v="289194.75"/>
    <s v="Gita Bhattacharya"/>
    <n v="40"/>
    <x v="1"/>
    <x v="3"/>
    <n v="4"/>
    <x v="0"/>
    <x v="11"/>
  </r>
  <r>
    <n v="3678"/>
    <x v="1049"/>
    <n v="23"/>
    <n v="8"/>
    <x v="3"/>
    <x v="3"/>
    <x v="10"/>
    <x v="6"/>
    <x v="0"/>
    <n v="2"/>
    <n v="59966.5"/>
    <n v="119933"/>
    <s v="Umesh Patel"/>
    <n v="19"/>
    <x v="0"/>
    <x v="1"/>
    <n v="5"/>
    <x v="0"/>
    <x v="0"/>
  </r>
  <r>
    <n v="3679"/>
    <x v="1049"/>
    <n v="23"/>
    <n v="8"/>
    <x v="3"/>
    <x v="3"/>
    <x v="10"/>
    <x v="6"/>
    <x v="1"/>
    <n v="6"/>
    <n v="29579.22"/>
    <n v="177475.32"/>
    <s v="Arun Shah"/>
    <n v="52"/>
    <x v="17"/>
    <x v="0"/>
    <n v="5"/>
    <x v="0"/>
    <x v="1"/>
  </r>
  <r>
    <n v="3680"/>
    <x v="1050"/>
    <n v="24"/>
    <n v="8"/>
    <x v="3"/>
    <x v="3"/>
    <x v="10"/>
    <x v="0"/>
    <x v="0"/>
    <n v="6"/>
    <n v="53670.05"/>
    <n v="322020.30000000005"/>
    <s v="Kunal Deshmukh"/>
    <n v="31"/>
    <x v="12"/>
    <x v="1"/>
    <n v="4"/>
    <x v="0"/>
    <x v="10"/>
  </r>
  <r>
    <n v="3681"/>
    <x v="1050"/>
    <n v="24"/>
    <n v="8"/>
    <x v="3"/>
    <x v="3"/>
    <x v="10"/>
    <x v="0"/>
    <x v="1"/>
    <n v="8"/>
    <n v="15634.6"/>
    <n v="125076.8"/>
    <s v="Rohan Pathak"/>
    <n v="58"/>
    <x v="1"/>
    <x v="3"/>
    <n v="4"/>
    <x v="0"/>
    <x v="9"/>
  </r>
  <r>
    <n v="3682"/>
    <x v="1050"/>
    <n v="24"/>
    <n v="8"/>
    <x v="3"/>
    <x v="3"/>
    <x v="10"/>
    <x v="0"/>
    <x v="4"/>
    <n v="5"/>
    <n v="49562.51"/>
    <n v="247812.55000000002"/>
    <s v="Radha Bhatnagar"/>
    <n v="19"/>
    <x v="18"/>
    <x v="3"/>
    <n v="5"/>
    <x v="0"/>
    <x v="7"/>
  </r>
  <r>
    <n v="3683"/>
    <x v="1050"/>
    <n v="24"/>
    <n v="8"/>
    <x v="3"/>
    <x v="3"/>
    <x v="10"/>
    <x v="0"/>
    <x v="2"/>
    <n v="9"/>
    <n v="29004.83"/>
    <n v="261043.47000000003"/>
    <s v="Rajesh Desai"/>
    <n v="36"/>
    <x v="2"/>
    <x v="0"/>
    <n v="2"/>
    <x v="2"/>
    <x v="13"/>
  </r>
  <r>
    <n v="3684"/>
    <x v="1051"/>
    <n v="25"/>
    <n v="8"/>
    <x v="3"/>
    <x v="3"/>
    <x v="10"/>
    <x v="1"/>
    <x v="4"/>
    <n v="1"/>
    <n v="54985.17"/>
    <n v="54985.17"/>
    <s v="Nikhil Bhattacharya"/>
    <n v="33"/>
    <x v="7"/>
    <x v="1"/>
    <n v="2"/>
    <x v="2"/>
    <x v="7"/>
  </r>
  <r>
    <n v="3685"/>
    <x v="1051"/>
    <n v="25"/>
    <n v="8"/>
    <x v="3"/>
    <x v="3"/>
    <x v="10"/>
    <x v="1"/>
    <x v="3"/>
    <n v="9"/>
    <n v="18175.12"/>
    <n v="163576.07999999999"/>
    <s v="Rohan Deshmukh"/>
    <n v="42"/>
    <x v="2"/>
    <x v="1"/>
    <n v="2"/>
    <x v="2"/>
    <x v="5"/>
  </r>
  <r>
    <n v="3686"/>
    <x v="1051"/>
    <n v="25"/>
    <n v="8"/>
    <x v="3"/>
    <x v="3"/>
    <x v="10"/>
    <x v="1"/>
    <x v="1"/>
    <n v="7"/>
    <n v="63873"/>
    <n v="447111"/>
    <s v="Anand Thakur"/>
    <n v="18"/>
    <x v="17"/>
    <x v="2"/>
    <n v="3"/>
    <x v="1"/>
    <x v="1"/>
  </r>
  <r>
    <n v="3687"/>
    <x v="1052"/>
    <n v="26"/>
    <n v="8"/>
    <x v="3"/>
    <x v="3"/>
    <x v="10"/>
    <x v="2"/>
    <x v="3"/>
    <n v="4"/>
    <n v="24554.63"/>
    <n v="98218.52"/>
    <s v="Sneha Teja"/>
    <n v="19"/>
    <x v="1"/>
    <x v="1"/>
    <n v="5"/>
    <x v="0"/>
    <x v="12"/>
  </r>
  <r>
    <n v="3688"/>
    <x v="1052"/>
    <n v="26"/>
    <n v="8"/>
    <x v="3"/>
    <x v="3"/>
    <x v="10"/>
    <x v="2"/>
    <x v="3"/>
    <n v="3"/>
    <n v="31188.27"/>
    <n v="93564.81"/>
    <s v="Rajesh Mathur"/>
    <n v="44"/>
    <x v="1"/>
    <x v="0"/>
    <n v="3"/>
    <x v="1"/>
    <x v="8"/>
  </r>
  <r>
    <n v="3689"/>
    <x v="1052"/>
    <n v="26"/>
    <n v="8"/>
    <x v="3"/>
    <x v="3"/>
    <x v="10"/>
    <x v="2"/>
    <x v="0"/>
    <n v="6"/>
    <n v="67010.84"/>
    <n v="402065.04"/>
    <s v="Amit Pillai"/>
    <n v="19"/>
    <x v="1"/>
    <x v="3"/>
    <n v="3"/>
    <x v="1"/>
    <x v="0"/>
  </r>
  <r>
    <n v="3690"/>
    <x v="1053"/>
    <n v="27"/>
    <n v="8"/>
    <x v="3"/>
    <x v="3"/>
    <x v="10"/>
    <x v="3"/>
    <x v="1"/>
    <n v="1"/>
    <n v="44708.94"/>
    <n v="44708.94"/>
    <s v="Pankaj Varma"/>
    <n v="47"/>
    <x v="2"/>
    <x v="2"/>
    <n v="5"/>
    <x v="0"/>
    <x v="2"/>
  </r>
  <r>
    <n v="3691"/>
    <x v="1053"/>
    <n v="27"/>
    <n v="8"/>
    <x v="3"/>
    <x v="3"/>
    <x v="10"/>
    <x v="3"/>
    <x v="3"/>
    <n v="3"/>
    <n v="31946.29"/>
    <n v="95838.87"/>
    <s v="Pankaj Pathak"/>
    <n v="27"/>
    <x v="17"/>
    <x v="0"/>
    <n v="3"/>
    <x v="1"/>
    <x v="12"/>
  </r>
  <r>
    <n v="3692"/>
    <x v="1053"/>
    <n v="27"/>
    <n v="8"/>
    <x v="3"/>
    <x v="3"/>
    <x v="10"/>
    <x v="3"/>
    <x v="2"/>
    <n v="2"/>
    <n v="66976.13"/>
    <n v="133952.26"/>
    <s v="Anand Reddy"/>
    <n v="36"/>
    <x v="0"/>
    <x v="0"/>
    <n v="5"/>
    <x v="0"/>
    <x v="6"/>
  </r>
  <r>
    <n v="3693"/>
    <x v="1054"/>
    <n v="28"/>
    <n v="8"/>
    <x v="3"/>
    <x v="3"/>
    <x v="10"/>
    <x v="4"/>
    <x v="3"/>
    <n v="9"/>
    <n v="29744.65"/>
    <n v="267701.85000000003"/>
    <s v="Rohan Kapoor"/>
    <n v="59"/>
    <x v="9"/>
    <x v="2"/>
    <n v="5"/>
    <x v="0"/>
    <x v="12"/>
  </r>
  <r>
    <n v="3694"/>
    <x v="1054"/>
    <n v="28"/>
    <n v="8"/>
    <x v="3"/>
    <x v="3"/>
    <x v="10"/>
    <x v="4"/>
    <x v="2"/>
    <n v="3"/>
    <n v="15692.24"/>
    <n v="47076.72"/>
    <s v="Tanuja Bhattacharya"/>
    <n v="33"/>
    <x v="1"/>
    <x v="1"/>
    <n v="5"/>
    <x v="0"/>
    <x v="6"/>
  </r>
  <r>
    <n v="3695"/>
    <x v="1054"/>
    <n v="28"/>
    <n v="8"/>
    <x v="3"/>
    <x v="3"/>
    <x v="10"/>
    <x v="4"/>
    <x v="0"/>
    <n v="2"/>
    <n v="69810.929999999993"/>
    <n v="139621.85999999999"/>
    <s v="Aditya Deshmukh"/>
    <n v="30"/>
    <x v="8"/>
    <x v="2"/>
    <n v="5"/>
    <x v="0"/>
    <x v="10"/>
  </r>
  <r>
    <n v="3696"/>
    <x v="1055"/>
    <n v="29"/>
    <n v="8"/>
    <x v="3"/>
    <x v="3"/>
    <x v="10"/>
    <x v="5"/>
    <x v="3"/>
    <n v="4"/>
    <n v="26070.7"/>
    <n v="104282.8"/>
    <s v="Shruti Menon"/>
    <n v="25"/>
    <x v="2"/>
    <x v="0"/>
    <n v="5"/>
    <x v="0"/>
    <x v="12"/>
  </r>
  <r>
    <n v="3697"/>
    <x v="1055"/>
    <n v="29"/>
    <n v="8"/>
    <x v="3"/>
    <x v="3"/>
    <x v="10"/>
    <x v="5"/>
    <x v="4"/>
    <n v="2"/>
    <n v="61075.47"/>
    <n v="122150.94"/>
    <s v="Sumit Joshi"/>
    <n v="48"/>
    <x v="2"/>
    <x v="1"/>
    <n v="5"/>
    <x v="0"/>
    <x v="7"/>
  </r>
  <r>
    <n v="3698"/>
    <x v="1055"/>
    <n v="29"/>
    <n v="8"/>
    <x v="3"/>
    <x v="3"/>
    <x v="10"/>
    <x v="5"/>
    <x v="0"/>
    <n v="1"/>
    <n v="19932.45"/>
    <n v="19932.45"/>
    <s v="Namita Desai"/>
    <n v="42"/>
    <x v="2"/>
    <x v="3"/>
    <n v="2"/>
    <x v="2"/>
    <x v="3"/>
  </r>
  <r>
    <n v="3699"/>
    <x v="1056"/>
    <n v="30"/>
    <n v="8"/>
    <x v="3"/>
    <x v="3"/>
    <x v="10"/>
    <x v="6"/>
    <x v="2"/>
    <n v="6"/>
    <n v="53881.24"/>
    <n v="323287.44"/>
    <s v="Ravi Thakur"/>
    <n v="56"/>
    <x v="3"/>
    <x v="2"/>
    <n v="5"/>
    <x v="0"/>
    <x v="6"/>
  </r>
  <r>
    <n v="3700"/>
    <x v="1056"/>
    <n v="30"/>
    <n v="8"/>
    <x v="3"/>
    <x v="3"/>
    <x v="10"/>
    <x v="6"/>
    <x v="0"/>
    <n v="8"/>
    <n v="41466.959999999999"/>
    <n v="331735.67999999999"/>
    <s v="Nikhil Menon"/>
    <n v="38"/>
    <x v="16"/>
    <x v="0"/>
    <n v="4"/>
    <x v="0"/>
    <x v="0"/>
  </r>
  <r>
    <n v="3701"/>
    <x v="1056"/>
    <n v="30"/>
    <n v="8"/>
    <x v="3"/>
    <x v="3"/>
    <x v="10"/>
    <x v="6"/>
    <x v="3"/>
    <n v="2"/>
    <n v="68854.39"/>
    <n v="137708.78"/>
    <s v="Arun Gupta"/>
    <n v="55"/>
    <x v="1"/>
    <x v="1"/>
    <n v="5"/>
    <x v="0"/>
    <x v="5"/>
  </r>
  <r>
    <n v="3702"/>
    <x v="1056"/>
    <n v="30"/>
    <n v="8"/>
    <x v="3"/>
    <x v="3"/>
    <x v="10"/>
    <x v="6"/>
    <x v="1"/>
    <n v="9"/>
    <n v="43169.82"/>
    <n v="388528.38"/>
    <s v="Lalita Alva"/>
    <n v="58"/>
    <x v="1"/>
    <x v="0"/>
    <n v="5"/>
    <x v="0"/>
    <x v="9"/>
  </r>
  <r>
    <n v="3703"/>
    <x v="1057"/>
    <n v="31"/>
    <n v="8"/>
    <x v="3"/>
    <x v="3"/>
    <x v="10"/>
    <x v="0"/>
    <x v="1"/>
    <n v="3"/>
    <n v="11500.91"/>
    <n v="34502.729999999996"/>
    <s v="Pankaj Deshmukh"/>
    <n v="46"/>
    <x v="5"/>
    <x v="1"/>
    <n v="5"/>
    <x v="0"/>
    <x v="2"/>
  </r>
  <r>
    <n v="3704"/>
    <x v="1057"/>
    <n v="31"/>
    <n v="8"/>
    <x v="3"/>
    <x v="3"/>
    <x v="10"/>
    <x v="0"/>
    <x v="2"/>
    <n v="8"/>
    <n v="46232.68"/>
    <n v="369861.44"/>
    <s v="Kavita Desai"/>
    <n v="23"/>
    <x v="13"/>
    <x v="1"/>
    <n v="5"/>
    <x v="0"/>
    <x v="4"/>
  </r>
  <r>
    <n v="3705"/>
    <x v="1057"/>
    <n v="31"/>
    <n v="8"/>
    <x v="3"/>
    <x v="3"/>
    <x v="10"/>
    <x v="0"/>
    <x v="2"/>
    <n v="8"/>
    <n v="18718.990000000002"/>
    <n v="149751.92000000001"/>
    <s v="Anjali Gupta"/>
    <n v="35"/>
    <x v="1"/>
    <x v="2"/>
    <n v="5"/>
    <x v="0"/>
    <x v="4"/>
  </r>
  <r>
    <n v="3706"/>
    <x v="1058"/>
    <n v="1"/>
    <n v="9"/>
    <x v="3"/>
    <x v="3"/>
    <x v="11"/>
    <x v="1"/>
    <x v="1"/>
    <n v="3"/>
    <n v="57912.45"/>
    <n v="173737.34999999998"/>
    <s v="Anita Bhattacharya"/>
    <n v="52"/>
    <x v="1"/>
    <x v="3"/>
    <n v="5"/>
    <x v="0"/>
    <x v="1"/>
  </r>
  <r>
    <n v="3707"/>
    <x v="1058"/>
    <n v="1"/>
    <n v="9"/>
    <x v="3"/>
    <x v="3"/>
    <x v="11"/>
    <x v="1"/>
    <x v="2"/>
    <n v="3"/>
    <n v="61394.09"/>
    <n v="184182.27"/>
    <s v="Bhavana Luthra"/>
    <n v="44"/>
    <x v="13"/>
    <x v="1"/>
    <n v="5"/>
    <x v="0"/>
    <x v="4"/>
  </r>
  <r>
    <n v="3708"/>
    <x v="1058"/>
    <n v="1"/>
    <n v="9"/>
    <x v="3"/>
    <x v="3"/>
    <x v="11"/>
    <x v="1"/>
    <x v="0"/>
    <n v="6"/>
    <n v="38925.61"/>
    <n v="233553.66"/>
    <s v="Meena Kulkarni"/>
    <n v="22"/>
    <x v="2"/>
    <x v="0"/>
    <n v="5"/>
    <x v="0"/>
    <x v="3"/>
  </r>
  <r>
    <n v="3709"/>
    <x v="1058"/>
    <n v="1"/>
    <n v="9"/>
    <x v="3"/>
    <x v="3"/>
    <x v="11"/>
    <x v="1"/>
    <x v="4"/>
    <n v="1"/>
    <n v="56993.29"/>
    <n v="56993.29"/>
    <s v="Rohan Rao"/>
    <n v="24"/>
    <x v="1"/>
    <x v="1"/>
    <n v="4"/>
    <x v="0"/>
    <x v="11"/>
  </r>
  <r>
    <n v="3710"/>
    <x v="1059"/>
    <n v="2"/>
    <n v="9"/>
    <x v="3"/>
    <x v="3"/>
    <x v="11"/>
    <x v="2"/>
    <x v="4"/>
    <n v="4"/>
    <n v="18706.64"/>
    <n v="74826.559999999998"/>
    <s v="Jyoti Sheth"/>
    <n v="27"/>
    <x v="1"/>
    <x v="3"/>
    <n v="3"/>
    <x v="1"/>
    <x v="11"/>
  </r>
  <r>
    <n v="3711"/>
    <x v="1059"/>
    <n v="2"/>
    <n v="9"/>
    <x v="3"/>
    <x v="3"/>
    <x v="11"/>
    <x v="2"/>
    <x v="0"/>
    <n v="1"/>
    <n v="39524.69"/>
    <n v="39524.69"/>
    <s v="Isha Kaur"/>
    <n v="27"/>
    <x v="2"/>
    <x v="0"/>
    <n v="4"/>
    <x v="0"/>
    <x v="0"/>
  </r>
  <r>
    <n v="3712"/>
    <x v="1059"/>
    <n v="2"/>
    <n v="9"/>
    <x v="3"/>
    <x v="3"/>
    <x v="11"/>
    <x v="2"/>
    <x v="4"/>
    <n v="3"/>
    <n v="33636.660000000003"/>
    <n v="100909.98000000001"/>
    <s v="Pooja Sharma"/>
    <n v="45"/>
    <x v="13"/>
    <x v="1"/>
    <n v="4"/>
    <x v="0"/>
    <x v="14"/>
  </r>
  <r>
    <n v="3713"/>
    <x v="1059"/>
    <n v="2"/>
    <n v="9"/>
    <x v="3"/>
    <x v="3"/>
    <x v="11"/>
    <x v="2"/>
    <x v="3"/>
    <n v="9"/>
    <n v="46679.040000000001"/>
    <n v="420111.35999999999"/>
    <s v="Meena Menon"/>
    <n v="53"/>
    <x v="5"/>
    <x v="1"/>
    <n v="5"/>
    <x v="0"/>
    <x v="8"/>
  </r>
  <r>
    <n v="3714"/>
    <x v="1060"/>
    <n v="3"/>
    <n v="9"/>
    <x v="3"/>
    <x v="3"/>
    <x v="11"/>
    <x v="3"/>
    <x v="0"/>
    <n v="5"/>
    <n v="12668.63"/>
    <n v="63343.149999999994"/>
    <s v="Tapan Chatterjee"/>
    <n v="27"/>
    <x v="14"/>
    <x v="2"/>
    <n v="4"/>
    <x v="0"/>
    <x v="0"/>
  </r>
  <r>
    <n v="3715"/>
    <x v="1060"/>
    <n v="3"/>
    <n v="9"/>
    <x v="3"/>
    <x v="3"/>
    <x v="11"/>
    <x v="3"/>
    <x v="2"/>
    <n v="5"/>
    <n v="55127.37"/>
    <n v="275636.85000000003"/>
    <s v="Mala Thakur"/>
    <n v="52"/>
    <x v="6"/>
    <x v="3"/>
    <n v="5"/>
    <x v="0"/>
    <x v="4"/>
  </r>
  <r>
    <n v="3716"/>
    <x v="1060"/>
    <n v="3"/>
    <n v="9"/>
    <x v="3"/>
    <x v="3"/>
    <x v="11"/>
    <x v="3"/>
    <x v="0"/>
    <n v="4"/>
    <n v="14747.76"/>
    <n v="58991.040000000001"/>
    <s v="Anjali Roy"/>
    <n v="52"/>
    <x v="16"/>
    <x v="1"/>
    <n v="2"/>
    <x v="2"/>
    <x v="0"/>
  </r>
  <r>
    <n v="3717"/>
    <x v="1061"/>
    <n v="4"/>
    <n v="9"/>
    <x v="3"/>
    <x v="3"/>
    <x v="11"/>
    <x v="4"/>
    <x v="1"/>
    <n v="3"/>
    <n v="49388.29"/>
    <n v="148164.87"/>
    <s v="Pooja Rao"/>
    <n v="54"/>
    <x v="4"/>
    <x v="3"/>
    <n v="5"/>
    <x v="0"/>
    <x v="9"/>
  </r>
  <r>
    <n v="3718"/>
    <x v="1061"/>
    <n v="4"/>
    <n v="9"/>
    <x v="3"/>
    <x v="3"/>
    <x v="11"/>
    <x v="4"/>
    <x v="2"/>
    <n v="5"/>
    <n v="11107.43"/>
    <n v="55537.15"/>
    <s v="Meena Yadav"/>
    <n v="37"/>
    <x v="14"/>
    <x v="1"/>
    <n v="3"/>
    <x v="1"/>
    <x v="4"/>
  </r>
  <r>
    <n v="3719"/>
    <x v="1061"/>
    <n v="4"/>
    <n v="9"/>
    <x v="3"/>
    <x v="3"/>
    <x v="11"/>
    <x v="4"/>
    <x v="1"/>
    <n v="4"/>
    <n v="59913.279999999999"/>
    <n v="239653.12"/>
    <s v="Ayesha Rathod"/>
    <n v="30"/>
    <x v="12"/>
    <x v="0"/>
    <n v="2"/>
    <x v="2"/>
    <x v="1"/>
  </r>
  <r>
    <n v="3720"/>
    <x v="1062"/>
    <n v="5"/>
    <n v="9"/>
    <x v="3"/>
    <x v="3"/>
    <x v="11"/>
    <x v="5"/>
    <x v="2"/>
    <n v="8"/>
    <n v="20481.98"/>
    <n v="163855.84"/>
    <s v="Deepika Menon"/>
    <n v="28"/>
    <x v="2"/>
    <x v="3"/>
    <n v="5"/>
    <x v="0"/>
    <x v="4"/>
  </r>
  <r>
    <n v="3721"/>
    <x v="1062"/>
    <n v="5"/>
    <n v="9"/>
    <x v="3"/>
    <x v="3"/>
    <x v="11"/>
    <x v="5"/>
    <x v="4"/>
    <n v="4"/>
    <n v="40929.85"/>
    <n v="163719.4"/>
    <s v="Deepika Pathak"/>
    <n v="36"/>
    <x v="1"/>
    <x v="0"/>
    <n v="5"/>
    <x v="0"/>
    <x v="7"/>
  </r>
  <r>
    <n v="3722"/>
    <x v="1062"/>
    <n v="5"/>
    <n v="9"/>
    <x v="3"/>
    <x v="3"/>
    <x v="11"/>
    <x v="5"/>
    <x v="0"/>
    <n v="8"/>
    <n v="25689.57"/>
    <n v="205516.56"/>
    <s v="Vivek Mishra"/>
    <n v="45"/>
    <x v="2"/>
    <x v="3"/>
    <n v="3"/>
    <x v="1"/>
    <x v="0"/>
  </r>
  <r>
    <n v="3723"/>
    <x v="1063"/>
    <n v="6"/>
    <n v="9"/>
    <x v="3"/>
    <x v="3"/>
    <x v="11"/>
    <x v="6"/>
    <x v="3"/>
    <n v="6"/>
    <n v="53358.83"/>
    <n v="320152.98"/>
    <s v="Rajesh Ahuja"/>
    <n v="55"/>
    <x v="1"/>
    <x v="0"/>
    <n v="4"/>
    <x v="0"/>
    <x v="12"/>
  </r>
  <r>
    <n v="3724"/>
    <x v="1063"/>
    <n v="6"/>
    <n v="9"/>
    <x v="3"/>
    <x v="3"/>
    <x v="11"/>
    <x v="6"/>
    <x v="2"/>
    <n v="5"/>
    <n v="29281.07"/>
    <n v="146405.35"/>
    <s v="Harish Kumar"/>
    <n v="21"/>
    <x v="3"/>
    <x v="1"/>
    <n v="5"/>
    <x v="0"/>
    <x v="4"/>
  </r>
  <r>
    <n v="3725"/>
    <x v="1063"/>
    <n v="6"/>
    <n v="9"/>
    <x v="3"/>
    <x v="3"/>
    <x v="11"/>
    <x v="6"/>
    <x v="2"/>
    <n v="4"/>
    <n v="53476.55"/>
    <n v="213906.2"/>
    <s v="Mala Teja"/>
    <n v="54"/>
    <x v="1"/>
    <x v="0"/>
    <n v="3"/>
    <x v="1"/>
    <x v="4"/>
  </r>
  <r>
    <n v="3726"/>
    <x v="1064"/>
    <n v="7"/>
    <n v="9"/>
    <x v="3"/>
    <x v="3"/>
    <x v="11"/>
    <x v="0"/>
    <x v="1"/>
    <n v="4"/>
    <n v="27092.27"/>
    <n v="108369.08"/>
    <s v="Amit Ahuja"/>
    <n v="36"/>
    <x v="1"/>
    <x v="0"/>
    <n v="5"/>
    <x v="0"/>
    <x v="9"/>
  </r>
  <r>
    <n v="3727"/>
    <x v="1064"/>
    <n v="7"/>
    <n v="9"/>
    <x v="3"/>
    <x v="3"/>
    <x v="11"/>
    <x v="0"/>
    <x v="4"/>
    <n v="4"/>
    <n v="55148.39"/>
    <n v="220593.56"/>
    <s v="Mala Thakur"/>
    <n v="54"/>
    <x v="3"/>
    <x v="1"/>
    <n v="5"/>
    <x v="0"/>
    <x v="11"/>
  </r>
  <r>
    <n v="3728"/>
    <x v="1064"/>
    <n v="7"/>
    <n v="9"/>
    <x v="3"/>
    <x v="3"/>
    <x v="11"/>
    <x v="0"/>
    <x v="1"/>
    <n v="9"/>
    <n v="11836.33"/>
    <n v="106526.97"/>
    <s v="Ayesha Rathod"/>
    <n v="31"/>
    <x v="14"/>
    <x v="3"/>
    <n v="5"/>
    <x v="0"/>
    <x v="2"/>
  </r>
  <r>
    <n v="3729"/>
    <x v="1064"/>
    <n v="7"/>
    <n v="9"/>
    <x v="3"/>
    <x v="3"/>
    <x v="11"/>
    <x v="0"/>
    <x v="1"/>
    <n v="4"/>
    <n v="26998.68"/>
    <n v="107994.72"/>
    <s v="Mala Arora"/>
    <n v="48"/>
    <x v="18"/>
    <x v="0"/>
    <n v="4"/>
    <x v="0"/>
    <x v="9"/>
  </r>
  <r>
    <n v="3730"/>
    <x v="1065"/>
    <n v="8"/>
    <n v="9"/>
    <x v="3"/>
    <x v="3"/>
    <x v="11"/>
    <x v="1"/>
    <x v="4"/>
    <n v="9"/>
    <n v="39918.01"/>
    <n v="359262.09"/>
    <s v="Jyoti Varma"/>
    <n v="45"/>
    <x v="7"/>
    <x v="2"/>
    <n v="4"/>
    <x v="0"/>
    <x v="14"/>
  </r>
  <r>
    <n v="3731"/>
    <x v="1065"/>
    <n v="8"/>
    <n v="9"/>
    <x v="3"/>
    <x v="3"/>
    <x v="11"/>
    <x v="1"/>
    <x v="3"/>
    <n v="6"/>
    <n v="12703.57"/>
    <n v="76221.42"/>
    <s v="Sunita Iyer"/>
    <n v="53"/>
    <x v="2"/>
    <x v="2"/>
    <n v="5"/>
    <x v="0"/>
    <x v="12"/>
  </r>
  <r>
    <n v="3732"/>
    <x v="1065"/>
    <n v="8"/>
    <n v="9"/>
    <x v="3"/>
    <x v="3"/>
    <x v="11"/>
    <x v="1"/>
    <x v="1"/>
    <n v="7"/>
    <n v="21162.04"/>
    <n v="148134.28"/>
    <s v="Sachin Joshi"/>
    <n v="55"/>
    <x v="1"/>
    <x v="0"/>
    <n v="5"/>
    <x v="0"/>
    <x v="1"/>
  </r>
  <r>
    <n v="3733"/>
    <x v="1066"/>
    <n v="9"/>
    <n v="9"/>
    <x v="3"/>
    <x v="3"/>
    <x v="11"/>
    <x v="2"/>
    <x v="1"/>
    <n v="3"/>
    <n v="66072.22"/>
    <n v="198216.66"/>
    <s v="Lalita Rathod"/>
    <n v="36"/>
    <x v="14"/>
    <x v="0"/>
    <n v="4"/>
    <x v="0"/>
    <x v="1"/>
  </r>
  <r>
    <n v="3734"/>
    <x v="1066"/>
    <n v="9"/>
    <n v="9"/>
    <x v="3"/>
    <x v="3"/>
    <x v="11"/>
    <x v="2"/>
    <x v="2"/>
    <n v="8"/>
    <n v="68610.06"/>
    <n v="548880.48"/>
    <s v="Radha Ghosh"/>
    <n v="59"/>
    <x v="11"/>
    <x v="0"/>
    <n v="3"/>
    <x v="1"/>
    <x v="13"/>
  </r>
  <r>
    <n v="3735"/>
    <x v="1066"/>
    <n v="9"/>
    <n v="9"/>
    <x v="3"/>
    <x v="3"/>
    <x v="11"/>
    <x v="2"/>
    <x v="4"/>
    <n v="3"/>
    <n v="54385"/>
    <n v="163155"/>
    <s v="Priyanka Pillai"/>
    <n v="18"/>
    <x v="2"/>
    <x v="3"/>
    <n v="5"/>
    <x v="0"/>
    <x v="14"/>
  </r>
  <r>
    <n v="3736"/>
    <x v="1067"/>
    <n v="10"/>
    <n v="9"/>
    <x v="3"/>
    <x v="3"/>
    <x v="11"/>
    <x v="3"/>
    <x v="0"/>
    <n v="1"/>
    <n v="25132"/>
    <n v="25132"/>
    <s v="Harish Kaur"/>
    <n v="40"/>
    <x v="1"/>
    <x v="1"/>
    <n v="3"/>
    <x v="1"/>
    <x v="3"/>
  </r>
  <r>
    <n v="3737"/>
    <x v="1067"/>
    <n v="10"/>
    <n v="9"/>
    <x v="3"/>
    <x v="3"/>
    <x v="11"/>
    <x v="3"/>
    <x v="3"/>
    <n v="5"/>
    <n v="25631.05"/>
    <n v="128155.25"/>
    <s v="Lata Shah"/>
    <n v="45"/>
    <x v="1"/>
    <x v="2"/>
    <n v="2"/>
    <x v="2"/>
    <x v="8"/>
  </r>
  <r>
    <n v="3738"/>
    <x v="1067"/>
    <n v="10"/>
    <n v="9"/>
    <x v="3"/>
    <x v="3"/>
    <x v="11"/>
    <x v="3"/>
    <x v="3"/>
    <n v="2"/>
    <n v="48747.42"/>
    <n v="97494.84"/>
    <s v="Mala Roy"/>
    <n v="21"/>
    <x v="18"/>
    <x v="2"/>
    <n v="5"/>
    <x v="0"/>
    <x v="12"/>
  </r>
  <r>
    <n v="3739"/>
    <x v="1068"/>
    <n v="11"/>
    <n v="9"/>
    <x v="3"/>
    <x v="3"/>
    <x v="11"/>
    <x v="4"/>
    <x v="4"/>
    <n v="6"/>
    <n v="17055.98"/>
    <n v="102335.88"/>
    <s v="Radha Ghosh"/>
    <n v="58"/>
    <x v="3"/>
    <x v="3"/>
    <n v="4"/>
    <x v="0"/>
    <x v="11"/>
  </r>
  <r>
    <n v="3740"/>
    <x v="1068"/>
    <n v="11"/>
    <n v="9"/>
    <x v="3"/>
    <x v="3"/>
    <x v="11"/>
    <x v="4"/>
    <x v="2"/>
    <n v="9"/>
    <n v="66898.559999999998"/>
    <n v="602087.04"/>
    <s v="Ramesh Nambiar"/>
    <n v="35"/>
    <x v="1"/>
    <x v="0"/>
    <n v="2"/>
    <x v="2"/>
    <x v="6"/>
  </r>
  <r>
    <n v="3741"/>
    <x v="1068"/>
    <n v="11"/>
    <n v="9"/>
    <x v="3"/>
    <x v="3"/>
    <x v="11"/>
    <x v="4"/>
    <x v="2"/>
    <n v="1"/>
    <n v="23488.77"/>
    <n v="23488.77"/>
    <s v="Arun Desai"/>
    <n v="56"/>
    <x v="16"/>
    <x v="0"/>
    <n v="4"/>
    <x v="0"/>
    <x v="4"/>
  </r>
  <r>
    <n v="3742"/>
    <x v="1069"/>
    <n v="12"/>
    <n v="9"/>
    <x v="3"/>
    <x v="3"/>
    <x v="11"/>
    <x v="5"/>
    <x v="4"/>
    <n v="4"/>
    <n v="69978.14"/>
    <n v="279912.56"/>
    <s v="Sachin Arora"/>
    <n v="42"/>
    <x v="16"/>
    <x v="1"/>
    <n v="2"/>
    <x v="2"/>
    <x v="11"/>
  </r>
  <r>
    <n v="3743"/>
    <x v="1069"/>
    <n v="12"/>
    <n v="9"/>
    <x v="3"/>
    <x v="3"/>
    <x v="11"/>
    <x v="5"/>
    <x v="2"/>
    <n v="1"/>
    <n v="39744.03"/>
    <n v="39744.03"/>
    <s v="Sunil Varma"/>
    <n v="35"/>
    <x v="2"/>
    <x v="1"/>
    <n v="4"/>
    <x v="0"/>
    <x v="4"/>
  </r>
  <r>
    <n v="3744"/>
    <x v="1069"/>
    <n v="12"/>
    <n v="9"/>
    <x v="3"/>
    <x v="3"/>
    <x v="11"/>
    <x v="5"/>
    <x v="3"/>
    <n v="1"/>
    <n v="56285.8"/>
    <n v="56285.8"/>
    <s v="Sachin Ghosh"/>
    <n v="23"/>
    <x v="7"/>
    <x v="2"/>
    <n v="5"/>
    <x v="0"/>
    <x v="12"/>
  </r>
  <r>
    <n v="3745"/>
    <x v="1070"/>
    <n v="13"/>
    <n v="9"/>
    <x v="3"/>
    <x v="3"/>
    <x v="11"/>
    <x v="6"/>
    <x v="3"/>
    <n v="8"/>
    <n v="10131.049999999999"/>
    <n v="81048.399999999994"/>
    <s v="Vivek Sheth"/>
    <n v="36"/>
    <x v="2"/>
    <x v="1"/>
    <n v="5"/>
    <x v="0"/>
    <x v="12"/>
  </r>
  <r>
    <n v="3746"/>
    <x v="1070"/>
    <n v="13"/>
    <n v="9"/>
    <x v="3"/>
    <x v="3"/>
    <x v="11"/>
    <x v="6"/>
    <x v="0"/>
    <n v="2"/>
    <n v="63324.78"/>
    <n v="126649.56"/>
    <s v="Anita Desai"/>
    <n v="29"/>
    <x v="1"/>
    <x v="2"/>
    <n v="3"/>
    <x v="1"/>
    <x v="0"/>
  </r>
  <r>
    <n v="3747"/>
    <x v="1070"/>
    <n v="13"/>
    <n v="9"/>
    <x v="3"/>
    <x v="3"/>
    <x v="11"/>
    <x v="6"/>
    <x v="4"/>
    <n v="1"/>
    <n v="26200.12"/>
    <n v="26200.12"/>
    <s v="Gita Rathod"/>
    <n v="42"/>
    <x v="15"/>
    <x v="3"/>
    <n v="2"/>
    <x v="2"/>
    <x v="14"/>
  </r>
  <r>
    <n v="3748"/>
    <x v="1071"/>
    <n v="14"/>
    <n v="9"/>
    <x v="3"/>
    <x v="3"/>
    <x v="11"/>
    <x v="0"/>
    <x v="1"/>
    <n v="8"/>
    <n v="50076.2"/>
    <n v="400609.6"/>
    <s v="Bhavana Arora"/>
    <n v="52"/>
    <x v="1"/>
    <x v="0"/>
    <n v="3"/>
    <x v="1"/>
    <x v="1"/>
  </r>
  <r>
    <n v="3749"/>
    <x v="1071"/>
    <n v="14"/>
    <n v="9"/>
    <x v="3"/>
    <x v="3"/>
    <x v="11"/>
    <x v="0"/>
    <x v="1"/>
    <n v="4"/>
    <n v="58381.32"/>
    <n v="233525.28"/>
    <s v="Sneha Kaur"/>
    <n v="18"/>
    <x v="18"/>
    <x v="0"/>
    <n v="3"/>
    <x v="1"/>
    <x v="2"/>
  </r>
  <r>
    <n v="3750"/>
    <x v="1071"/>
    <n v="14"/>
    <n v="9"/>
    <x v="3"/>
    <x v="3"/>
    <x v="11"/>
    <x v="0"/>
    <x v="0"/>
    <n v="3"/>
    <n v="19848.86"/>
    <n v="59546.58"/>
    <s v="Pankaj Teja"/>
    <n v="22"/>
    <x v="1"/>
    <x v="2"/>
    <n v="4"/>
    <x v="0"/>
    <x v="0"/>
  </r>
  <r>
    <n v="3751"/>
    <x v="1071"/>
    <n v="14"/>
    <n v="9"/>
    <x v="3"/>
    <x v="3"/>
    <x v="11"/>
    <x v="0"/>
    <x v="0"/>
    <n v="4"/>
    <n v="36550.57"/>
    <n v="146202.28"/>
    <s v="Priya Siddiqui"/>
    <n v="18"/>
    <x v="4"/>
    <x v="0"/>
    <n v="5"/>
    <x v="0"/>
    <x v="0"/>
  </r>
  <r>
    <n v="3752"/>
    <x v="1072"/>
    <n v="15"/>
    <n v="9"/>
    <x v="3"/>
    <x v="3"/>
    <x v="11"/>
    <x v="1"/>
    <x v="2"/>
    <n v="5"/>
    <n v="39630.160000000003"/>
    <n v="198150.80000000002"/>
    <s v="Tapan Nair"/>
    <n v="25"/>
    <x v="1"/>
    <x v="3"/>
    <n v="4"/>
    <x v="0"/>
    <x v="4"/>
  </r>
  <r>
    <n v="3753"/>
    <x v="1072"/>
    <n v="15"/>
    <n v="9"/>
    <x v="3"/>
    <x v="3"/>
    <x v="11"/>
    <x v="1"/>
    <x v="0"/>
    <n v="1"/>
    <n v="28727.17"/>
    <n v="28727.17"/>
    <s v="Namita Teja"/>
    <n v="56"/>
    <x v="2"/>
    <x v="1"/>
    <n v="3"/>
    <x v="1"/>
    <x v="0"/>
  </r>
  <r>
    <n v="3754"/>
    <x v="1072"/>
    <n v="15"/>
    <n v="9"/>
    <x v="3"/>
    <x v="3"/>
    <x v="11"/>
    <x v="1"/>
    <x v="0"/>
    <n v="1"/>
    <n v="38905.35"/>
    <n v="38905.35"/>
    <s v="Anjali Ahuja"/>
    <n v="35"/>
    <x v="10"/>
    <x v="3"/>
    <n v="5"/>
    <x v="0"/>
    <x v="3"/>
  </r>
  <r>
    <n v="3755"/>
    <x v="1072"/>
    <n v="15"/>
    <n v="9"/>
    <x v="3"/>
    <x v="3"/>
    <x v="11"/>
    <x v="1"/>
    <x v="1"/>
    <n v="3"/>
    <n v="29052.74"/>
    <n v="87158.22"/>
    <s v="Sumit Sharma"/>
    <n v="26"/>
    <x v="4"/>
    <x v="0"/>
    <n v="5"/>
    <x v="0"/>
    <x v="1"/>
  </r>
  <r>
    <n v="3756"/>
    <x v="1073"/>
    <n v="16"/>
    <n v="9"/>
    <x v="3"/>
    <x v="3"/>
    <x v="11"/>
    <x v="2"/>
    <x v="2"/>
    <n v="6"/>
    <n v="31644.86"/>
    <n v="189869.16"/>
    <s v="Yogesh Kaur"/>
    <n v="22"/>
    <x v="10"/>
    <x v="3"/>
    <n v="5"/>
    <x v="0"/>
    <x v="13"/>
  </r>
  <r>
    <n v="3757"/>
    <x v="1073"/>
    <n v="16"/>
    <n v="9"/>
    <x v="3"/>
    <x v="3"/>
    <x v="11"/>
    <x v="2"/>
    <x v="0"/>
    <n v="1"/>
    <n v="50159.87"/>
    <n v="50159.87"/>
    <s v="Sanjay Bhattacharya"/>
    <n v="21"/>
    <x v="1"/>
    <x v="0"/>
    <n v="3"/>
    <x v="1"/>
    <x v="10"/>
  </r>
  <r>
    <n v="3758"/>
    <x v="1073"/>
    <n v="16"/>
    <n v="9"/>
    <x v="3"/>
    <x v="3"/>
    <x v="11"/>
    <x v="2"/>
    <x v="0"/>
    <n v="2"/>
    <n v="47955.6"/>
    <n v="95911.2"/>
    <s v="Kunal Deshmukh"/>
    <n v="46"/>
    <x v="9"/>
    <x v="2"/>
    <n v="4"/>
    <x v="0"/>
    <x v="0"/>
  </r>
  <r>
    <n v="3759"/>
    <x v="1074"/>
    <n v="17"/>
    <n v="9"/>
    <x v="3"/>
    <x v="3"/>
    <x v="11"/>
    <x v="3"/>
    <x v="2"/>
    <n v="7"/>
    <n v="23935.94"/>
    <n v="167551.57999999999"/>
    <s v="Lalita Alva"/>
    <n v="18"/>
    <x v="1"/>
    <x v="1"/>
    <n v="5"/>
    <x v="0"/>
    <x v="13"/>
  </r>
  <r>
    <n v="3760"/>
    <x v="1074"/>
    <n v="17"/>
    <n v="9"/>
    <x v="3"/>
    <x v="3"/>
    <x v="11"/>
    <x v="3"/>
    <x v="4"/>
    <n v="1"/>
    <n v="63848.97"/>
    <n v="63848.97"/>
    <s v="Neeta Malhotra"/>
    <n v="47"/>
    <x v="7"/>
    <x v="1"/>
    <n v="2"/>
    <x v="2"/>
    <x v="14"/>
  </r>
  <r>
    <n v="3761"/>
    <x v="1074"/>
    <n v="17"/>
    <n v="9"/>
    <x v="3"/>
    <x v="3"/>
    <x v="11"/>
    <x v="3"/>
    <x v="2"/>
    <n v="7"/>
    <n v="61767.31"/>
    <n v="432371.17"/>
    <s v="Rajesh Mathur"/>
    <n v="18"/>
    <x v="1"/>
    <x v="0"/>
    <n v="4"/>
    <x v="0"/>
    <x v="4"/>
  </r>
  <r>
    <n v="3762"/>
    <x v="1075"/>
    <n v="18"/>
    <n v="9"/>
    <x v="3"/>
    <x v="3"/>
    <x v="11"/>
    <x v="4"/>
    <x v="1"/>
    <n v="4"/>
    <n v="40545"/>
    <n v="162180"/>
    <s v="Manoj Rao"/>
    <n v="20"/>
    <x v="1"/>
    <x v="0"/>
    <n v="5"/>
    <x v="0"/>
    <x v="1"/>
  </r>
  <r>
    <n v="3763"/>
    <x v="1075"/>
    <n v="18"/>
    <n v="9"/>
    <x v="3"/>
    <x v="3"/>
    <x v="11"/>
    <x v="4"/>
    <x v="4"/>
    <n v="6"/>
    <n v="35995.040000000001"/>
    <n v="215970.24"/>
    <s v="Neeta Sharma"/>
    <n v="39"/>
    <x v="11"/>
    <x v="1"/>
    <n v="4"/>
    <x v="0"/>
    <x v="7"/>
  </r>
  <r>
    <n v="3764"/>
    <x v="1075"/>
    <n v="18"/>
    <n v="9"/>
    <x v="3"/>
    <x v="3"/>
    <x v="11"/>
    <x v="4"/>
    <x v="3"/>
    <n v="8"/>
    <n v="32611.360000000001"/>
    <n v="260890.88"/>
    <s v="Sachin Shah"/>
    <n v="25"/>
    <x v="1"/>
    <x v="3"/>
    <n v="2"/>
    <x v="2"/>
    <x v="12"/>
  </r>
  <r>
    <n v="3765"/>
    <x v="1076"/>
    <n v="19"/>
    <n v="9"/>
    <x v="3"/>
    <x v="3"/>
    <x v="11"/>
    <x v="5"/>
    <x v="2"/>
    <n v="9"/>
    <n v="52436.08"/>
    <n v="471924.72000000003"/>
    <s v="Deepika Iyer"/>
    <n v="35"/>
    <x v="13"/>
    <x v="3"/>
    <n v="5"/>
    <x v="0"/>
    <x v="13"/>
  </r>
  <r>
    <n v="3766"/>
    <x v="1076"/>
    <n v="19"/>
    <n v="9"/>
    <x v="3"/>
    <x v="3"/>
    <x v="11"/>
    <x v="5"/>
    <x v="1"/>
    <n v="6"/>
    <n v="50299.96"/>
    <n v="301799.76"/>
    <s v="Vijay Das"/>
    <n v="42"/>
    <x v="1"/>
    <x v="3"/>
    <n v="5"/>
    <x v="0"/>
    <x v="2"/>
  </r>
  <r>
    <n v="3767"/>
    <x v="1076"/>
    <n v="19"/>
    <n v="9"/>
    <x v="3"/>
    <x v="3"/>
    <x v="11"/>
    <x v="5"/>
    <x v="4"/>
    <n v="9"/>
    <n v="21770.84"/>
    <n v="195937.56"/>
    <s v="Isha Arora"/>
    <n v="37"/>
    <x v="5"/>
    <x v="1"/>
    <n v="2"/>
    <x v="2"/>
    <x v="7"/>
  </r>
  <r>
    <n v="3768"/>
    <x v="1076"/>
    <n v="19"/>
    <n v="9"/>
    <x v="3"/>
    <x v="3"/>
    <x v="11"/>
    <x v="5"/>
    <x v="2"/>
    <n v="4"/>
    <n v="50287.48"/>
    <n v="201149.92"/>
    <s v="Manoj Sharma"/>
    <n v="48"/>
    <x v="4"/>
    <x v="2"/>
    <n v="2"/>
    <x v="2"/>
    <x v="6"/>
  </r>
  <r>
    <n v="3769"/>
    <x v="1077"/>
    <n v="20"/>
    <n v="9"/>
    <x v="3"/>
    <x v="3"/>
    <x v="11"/>
    <x v="6"/>
    <x v="0"/>
    <n v="6"/>
    <n v="25145.87"/>
    <n v="150875.22"/>
    <s v="Ayesha Ghosh"/>
    <n v="47"/>
    <x v="9"/>
    <x v="0"/>
    <n v="3"/>
    <x v="1"/>
    <x v="3"/>
  </r>
  <r>
    <n v="3770"/>
    <x v="1077"/>
    <n v="20"/>
    <n v="9"/>
    <x v="3"/>
    <x v="3"/>
    <x v="11"/>
    <x v="6"/>
    <x v="2"/>
    <n v="8"/>
    <n v="11113.5"/>
    <n v="88908"/>
    <s v="Tapan Joshi"/>
    <n v="33"/>
    <x v="7"/>
    <x v="0"/>
    <n v="5"/>
    <x v="0"/>
    <x v="4"/>
  </r>
  <r>
    <n v="3771"/>
    <x v="1077"/>
    <n v="20"/>
    <n v="9"/>
    <x v="3"/>
    <x v="3"/>
    <x v="11"/>
    <x v="6"/>
    <x v="3"/>
    <n v="9"/>
    <n v="51952.52"/>
    <n v="467572.68"/>
    <s v="Navin Solanki"/>
    <n v="19"/>
    <x v="16"/>
    <x v="1"/>
    <n v="3"/>
    <x v="1"/>
    <x v="12"/>
  </r>
  <r>
    <n v="3772"/>
    <x v="1078"/>
    <n v="21"/>
    <n v="9"/>
    <x v="3"/>
    <x v="3"/>
    <x v="11"/>
    <x v="0"/>
    <x v="2"/>
    <n v="3"/>
    <n v="48687.62"/>
    <n v="146062.86000000002"/>
    <s v="Prashant Roy"/>
    <n v="34"/>
    <x v="1"/>
    <x v="2"/>
    <n v="4"/>
    <x v="0"/>
    <x v="13"/>
  </r>
  <r>
    <n v="3773"/>
    <x v="1078"/>
    <n v="21"/>
    <n v="9"/>
    <x v="3"/>
    <x v="3"/>
    <x v="11"/>
    <x v="0"/>
    <x v="4"/>
    <n v="2"/>
    <n v="34648.559999999998"/>
    <n v="69297.119999999995"/>
    <s v="Sneha Teja"/>
    <n v="27"/>
    <x v="2"/>
    <x v="1"/>
    <n v="2"/>
    <x v="2"/>
    <x v="11"/>
  </r>
  <r>
    <n v="3774"/>
    <x v="1078"/>
    <n v="21"/>
    <n v="9"/>
    <x v="3"/>
    <x v="3"/>
    <x v="11"/>
    <x v="0"/>
    <x v="4"/>
    <n v="6"/>
    <n v="41541.160000000003"/>
    <n v="249246.96000000002"/>
    <s v="Priyanka Verma"/>
    <n v="24"/>
    <x v="0"/>
    <x v="3"/>
    <n v="3"/>
    <x v="1"/>
    <x v="14"/>
  </r>
  <r>
    <n v="3775"/>
    <x v="1078"/>
    <n v="21"/>
    <n v="9"/>
    <x v="3"/>
    <x v="3"/>
    <x v="11"/>
    <x v="0"/>
    <x v="2"/>
    <n v="4"/>
    <n v="66830.149999999994"/>
    <n v="267320.59999999998"/>
    <s v="Sunil Chaudhary"/>
    <n v="59"/>
    <x v="13"/>
    <x v="3"/>
    <n v="5"/>
    <x v="0"/>
    <x v="13"/>
  </r>
  <r>
    <n v="3776"/>
    <x v="1079"/>
    <n v="22"/>
    <n v="9"/>
    <x v="3"/>
    <x v="3"/>
    <x v="11"/>
    <x v="1"/>
    <x v="4"/>
    <n v="1"/>
    <n v="45712.01"/>
    <n v="45712.01"/>
    <s v="Priya Patel"/>
    <n v="26"/>
    <x v="13"/>
    <x v="0"/>
    <n v="5"/>
    <x v="0"/>
    <x v="14"/>
  </r>
  <r>
    <n v="3777"/>
    <x v="1079"/>
    <n v="22"/>
    <n v="9"/>
    <x v="3"/>
    <x v="3"/>
    <x v="11"/>
    <x v="1"/>
    <x v="0"/>
    <n v="8"/>
    <n v="49473.04"/>
    <n v="395784.32"/>
    <s v="Kavita Dutta"/>
    <n v="34"/>
    <x v="2"/>
    <x v="0"/>
    <n v="2"/>
    <x v="2"/>
    <x v="10"/>
  </r>
  <r>
    <n v="3778"/>
    <x v="1079"/>
    <n v="22"/>
    <n v="9"/>
    <x v="3"/>
    <x v="3"/>
    <x v="11"/>
    <x v="1"/>
    <x v="2"/>
    <n v="9"/>
    <n v="13834.68"/>
    <n v="124512.12"/>
    <s v="Lalita Shah"/>
    <n v="26"/>
    <x v="2"/>
    <x v="0"/>
    <n v="3"/>
    <x v="1"/>
    <x v="4"/>
  </r>
  <r>
    <n v="3779"/>
    <x v="1080"/>
    <n v="23"/>
    <n v="9"/>
    <x v="3"/>
    <x v="3"/>
    <x v="11"/>
    <x v="2"/>
    <x v="0"/>
    <n v="9"/>
    <n v="19959.669999999998"/>
    <n v="179637.02999999997"/>
    <s v="Rohan Sheth"/>
    <n v="26"/>
    <x v="9"/>
    <x v="0"/>
    <n v="5"/>
    <x v="0"/>
    <x v="0"/>
  </r>
  <r>
    <n v="3780"/>
    <x v="1080"/>
    <n v="23"/>
    <n v="9"/>
    <x v="3"/>
    <x v="3"/>
    <x v="11"/>
    <x v="2"/>
    <x v="0"/>
    <n v="2"/>
    <n v="28057.14"/>
    <n v="56114.28"/>
    <s v="Sachin Desai"/>
    <n v="54"/>
    <x v="1"/>
    <x v="3"/>
    <n v="2"/>
    <x v="2"/>
    <x v="3"/>
  </r>
  <r>
    <n v="3781"/>
    <x v="1080"/>
    <n v="23"/>
    <n v="9"/>
    <x v="3"/>
    <x v="3"/>
    <x v="11"/>
    <x v="2"/>
    <x v="1"/>
    <n v="9"/>
    <n v="42362.76"/>
    <n v="381264.84"/>
    <s v="Bina Mishra"/>
    <n v="41"/>
    <x v="9"/>
    <x v="3"/>
    <n v="4"/>
    <x v="0"/>
    <x v="1"/>
  </r>
  <r>
    <n v="3782"/>
    <x v="1081"/>
    <n v="24"/>
    <n v="9"/>
    <x v="3"/>
    <x v="3"/>
    <x v="11"/>
    <x v="3"/>
    <x v="2"/>
    <n v="7"/>
    <n v="56595.45"/>
    <n v="396168.14999999997"/>
    <s v="Ramesh Varma"/>
    <n v="56"/>
    <x v="7"/>
    <x v="2"/>
    <n v="3"/>
    <x v="1"/>
    <x v="6"/>
  </r>
  <r>
    <n v="3783"/>
    <x v="1081"/>
    <n v="24"/>
    <n v="9"/>
    <x v="3"/>
    <x v="3"/>
    <x v="11"/>
    <x v="3"/>
    <x v="4"/>
    <n v="5"/>
    <n v="29274.45"/>
    <n v="146372.25"/>
    <s v="Monika Chatterjee"/>
    <n v="28"/>
    <x v="10"/>
    <x v="0"/>
    <n v="3"/>
    <x v="1"/>
    <x v="14"/>
  </r>
  <r>
    <n v="3784"/>
    <x v="1081"/>
    <n v="24"/>
    <n v="9"/>
    <x v="3"/>
    <x v="3"/>
    <x v="11"/>
    <x v="3"/>
    <x v="0"/>
    <n v="7"/>
    <n v="31382.95"/>
    <n v="219680.65"/>
    <s v="Monika Goyal"/>
    <n v="25"/>
    <x v="10"/>
    <x v="1"/>
    <n v="2"/>
    <x v="2"/>
    <x v="10"/>
  </r>
  <r>
    <n v="3785"/>
    <x v="1082"/>
    <n v="25"/>
    <n v="9"/>
    <x v="3"/>
    <x v="3"/>
    <x v="11"/>
    <x v="4"/>
    <x v="1"/>
    <n v="9"/>
    <n v="25369.05"/>
    <n v="228321.44999999998"/>
    <s v="Deepika Desai"/>
    <n v="42"/>
    <x v="1"/>
    <x v="2"/>
    <n v="3"/>
    <x v="1"/>
    <x v="2"/>
  </r>
  <r>
    <n v="3786"/>
    <x v="1082"/>
    <n v="25"/>
    <n v="9"/>
    <x v="3"/>
    <x v="3"/>
    <x v="11"/>
    <x v="4"/>
    <x v="2"/>
    <n v="8"/>
    <n v="25276.560000000001"/>
    <n v="202212.48000000001"/>
    <s v="Sumit Siddiqui"/>
    <n v="19"/>
    <x v="1"/>
    <x v="2"/>
    <n v="3"/>
    <x v="1"/>
    <x v="6"/>
  </r>
  <r>
    <n v="3787"/>
    <x v="1082"/>
    <n v="25"/>
    <n v="9"/>
    <x v="3"/>
    <x v="3"/>
    <x v="11"/>
    <x v="4"/>
    <x v="2"/>
    <n v="6"/>
    <n v="66931.83"/>
    <n v="401590.98"/>
    <s v="Shruti Dutta"/>
    <n v="27"/>
    <x v="1"/>
    <x v="3"/>
    <n v="4"/>
    <x v="0"/>
    <x v="13"/>
  </r>
  <r>
    <n v="3788"/>
    <x v="1083"/>
    <n v="26"/>
    <n v="9"/>
    <x v="3"/>
    <x v="3"/>
    <x v="11"/>
    <x v="5"/>
    <x v="3"/>
    <n v="4"/>
    <n v="48127.43"/>
    <n v="192509.72"/>
    <s v="Bhavana Rathod"/>
    <n v="41"/>
    <x v="2"/>
    <x v="0"/>
    <n v="4"/>
    <x v="0"/>
    <x v="12"/>
  </r>
  <r>
    <n v="3789"/>
    <x v="1083"/>
    <n v="26"/>
    <n v="9"/>
    <x v="3"/>
    <x v="3"/>
    <x v="11"/>
    <x v="5"/>
    <x v="3"/>
    <n v="1"/>
    <n v="19354.07"/>
    <n v="19354.07"/>
    <s v="Sanjay Srivastava"/>
    <n v="33"/>
    <x v="2"/>
    <x v="2"/>
    <n v="5"/>
    <x v="0"/>
    <x v="8"/>
  </r>
  <r>
    <n v="3790"/>
    <x v="1083"/>
    <n v="26"/>
    <n v="9"/>
    <x v="3"/>
    <x v="3"/>
    <x v="11"/>
    <x v="5"/>
    <x v="0"/>
    <n v="6"/>
    <n v="53334.91"/>
    <n v="320009.46000000002"/>
    <s v="Vinod Prasad"/>
    <n v="36"/>
    <x v="2"/>
    <x v="0"/>
    <n v="4"/>
    <x v="0"/>
    <x v="0"/>
  </r>
  <r>
    <n v="3791"/>
    <x v="1083"/>
    <n v="26"/>
    <n v="9"/>
    <x v="3"/>
    <x v="3"/>
    <x v="11"/>
    <x v="5"/>
    <x v="3"/>
    <n v="3"/>
    <n v="53321.27"/>
    <n v="159963.81"/>
    <s v="Lalita Alva"/>
    <n v="48"/>
    <x v="6"/>
    <x v="3"/>
    <n v="5"/>
    <x v="0"/>
    <x v="8"/>
  </r>
  <r>
    <n v="3792"/>
    <x v="1084"/>
    <n v="27"/>
    <n v="9"/>
    <x v="3"/>
    <x v="3"/>
    <x v="11"/>
    <x v="6"/>
    <x v="0"/>
    <n v="6"/>
    <n v="49988.21"/>
    <n v="299929.26"/>
    <s v="Monika Kumar"/>
    <n v="28"/>
    <x v="1"/>
    <x v="2"/>
    <n v="4"/>
    <x v="0"/>
    <x v="3"/>
  </r>
  <r>
    <n v="3793"/>
    <x v="1084"/>
    <n v="27"/>
    <n v="9"/>
    <x v="3"/>
    <x v="3"/>
    <x v="11"/>
    <x v="6"/>
    <x v="4"/>
    <n v="6"/>
    <n v="18083.23"/>
    <n v="108499.38"/>
    <s v="Anita Shah"/>
    <n v="23"/>
    <x v="1"/>
    <x v="2"/>
    <n v="5"/>
    <x v="0"/>
    <x v="11"/>
  </r>
  <r>
    <n v="3794"/>
    <x v="1084"/>
    <n v="27"/>
    <n v="9"/>
    <x v="3"/>
    <x v="3"/>
    <x v="11"/>
    <x v="6"/>
    <x v="0"/>
    <n v="4"/>
    <n v="34479.49"/>
    <n v="137917.96"/>
    <s v="Sumit Malhotra"/>
    <n v="23"/>
    <x v="17"/>
    <x v="1"/>
    <n v="4"/>
    <x v="0"/>
    <x v="10"/>
  </r>
  <r>
    <n v="3795"/>
    <x v="1084"/>
    <n v="27"/>
    <n v="9"/>
    <x v="3"/>
    <x v="3"/>
    <x v="11"/>
    <x v="6"/>
    <x v="3"/>
    <n v="2"/>
    <n v="16405.38"/>
    <n v="32810.76"/>
    <s v="Harish Kapoor"/>
    <n v="49"/>
    <x v="5"/>
    <x v="3"/>
    <n v="4"/>
    <x v="0"/>
    <x v="12"/>
  </r>
  <r>
    <n v="3796"/>
    <x v="1085"/>
    <n v="28"/>
    <n v="9"/>
    <x v="3"/>
    <x v="3"/>
    <x v="11"/>
    <x v="0"/>
    <x v="4"/>
    <n v="9"/>
    <n v="58997.23"/>
    <n v="530975.07000000007"/>
    <s v="Gita Bhattacharya"/>
    <n v="56"/>
    <x v="11"/>
    <x v="1"/>
    <n v="2"/>
    <x v="2"/>
    <x v="14"/>
  </r>
  <r>
    <n v="3797"/>
    <x v="1085"/>
    <n v="28"/>
    <n v="9"/>
    <x v="3"/>
    <x v="3"/>
    <x v="11"/>
    <x v="0"/>
    <x v="3"/>
    <n v="2"/>
    <n v="49310.33"/>
    <n v="98620.66"/>
    <s v="Sumit Reddy"/>
    <n v="30"/>
    <x v="1"/>
    <x v="3"/>
    <n v="4"/>
    <x v="0"/>
    <x v="8"/>
  </r>
  <r>
    <n v="3798"/>
    <x v="1085"/>
    <n v="28"/>
    <n v="9"/>
    <x v="3"/>
    <x v="3"/>
    <x v="11"/>
    <x v="0"/>
    <x v="0"/>
    <n v="3"/>
    <n v="40432.239999999998"/>
    <n v="121296.72"/>
    <s v="Harish Malhotra"/>
    <n v="20"/>
    <x v="1"/>
    <x v="1"/>
    <n v="5"/>
    <x v="0"/>
    <x v="3"/>
  </r>
  <r>
    <n v="3799"/>
    <x v="1086"/>
    <n v="29"/>
    <n v="9"/>
    <x v="3"/>
    <x v="3"/>
    <x v="11"/>
    <x v="1"/>
    <x v="1"/>
    <n v="1"/>
    <n v="30580.93"/>
    <n v="30580.93"/>
    <s v="Yogesh Ahuja"/>
    <n v="58"/>
    <x v="3"/>
    <x v="3"/>
    <n v="2"/>
    <x v="2"/>
    <x v="9"/>
  </r>
  <r>
    <n v="3800"/>
    <x v="1086"/>
    <n v="29"/>
    <n v="9"/>
    <x v="3"/>
    <x v="3"/>
    <x v="11"/>
    <x v="1"/>
    <x v="2"/>
    <n v="7"/>
    <n v="21054.97"/>
    <n v="147384.79"/>
    <s v="Priyanka Goyal"/>
    <n v="52"/>
    <x v="10"/>
    <x v="3"/>
    <n v="5"/>
    <x v="0"/>
    <x v="13"/>
  </r>
  <r>
    <n v="3801"/>
    <x v="1086"/>
    <n v="29"/>
    <n v="9"/>
    <x v="3"/>
    <x v="3"/>
    <x v="11"/>
    <x v="1"/>
    <x v="3"/>
    <n v="1"/>
    <n v="16386.86"/>
    <n v="16386.86"/>
    <s v="Anand Bhattacharya"/>
    <n v="55"/>
    <x v="2"/>
    <x v="2"/>
    <n v="4"/>
    <x v="0"/>
    <x v="5"/>
  </r>
  <r>
    <n v="3802"/>
    <x v="1087"/>
    <n v="30"/>
    <n v="9"/>
    <x v="3"/>
    <x v="3"/>
    <x v="11"/>
    <x v="2"/>
    <x v="0"/>
    <n v="9"/>
    <n v="68154.44"/>
    <n v="613389.96"/>
    <s v="Monika Rathod"/>
    <n v="34"/>
    <x v="12"/>
    <x v="1"/>
    <n v="4"/>
    <x v="0"/>
    <x v="0"/>
  </r>
  <r>
    <n v="3803"/>
    <x v="1087"/>
    <n v="30"/>
    <n v="9"/>
    <x v="3"/>
    <x v="3"/>
    <x v="11"/>
    <x v="2"/>
    <x v="4"/>
    <n v="1"/>
    <n v="21978.92"/>
    <n v="21978.92"/>
    <s v="Sachin Kaur"/>
    <n v="20"/>
    <x v="1"/>
    <x v="1"/>
    <n v="5"/>
    <x v="0"/>
    <x v="11"/>
  </r>
  <r>
    <n v="3804"/>
    <x v="1087"/>
    <n v="30"/>
    <n v="9"/>
    <x v="3"/>
    <x v="3"/>
    <x v="11"/>
    <x v="2"/>
    <x v="3"/>
    <n v="5"/>
    <n v="13592.48"/>
    <n v="67962.399999999994"/>
    <s v="Kiran Mishra"/>
    <n v="51"/>
    <x v="5"/>
    <x v="1"/>
    <n v="3"/>
    <x v="1"/>
    <x v="8"/>
  </r>
  <r>
    <n v="3805"/>
    <x v="1087"/>
    <n v="30"/>
    <n v="9"/>
    <x v="3"/>
    <x v="3"/>
    <x v="11"/>
    <x v="2"/>
    <x v="3"/>
    <n v="7"/>
    <n v="67700.009999999995"/>
    <n v="473900.06999999995"/>
    <s v="Priya Sharma"/>
    <n v="29"/>
    <x v="2"/>
    <x v="2"/>
    <n v="2"/>
    <x v="2"/>
    <x v="5"/>
  </r>
  <r>
    <n v="3806"/>
    <x v="1088"/>
    <n v="1"/>
    <n v="10"/>
    <x v="3"/>
    <x v="0"/>
    <x v="0"/>
    <x v="3"/>
    <x v="2"/>
    <n v="3"/>
    <n v="42937.1"/>
    <n v="128811.29999999999"/>
    <s v="Lata Bhattacharya"/>
    <n v="41"/>
    <x v="17"/>
    <x v="0"/>
    <n v="2"/>
    <x v="2"/>
    <x v="6"/>
  </r>
  <r>
    <n v="3807"/>
    <x v="1088"/>
    <n v="1"/>
    <n v="10"/>
    <x v="3"/>
    <x v="0"/>
    <x v="0"/>
    <x v="3"/>
    <x v="0"/>
    <n v="9"/>
    <n v="57799.4"/>
    <n v="520194.60000000003"/>
    <s v="Jyoti Jain"/>
    <n v="23"/>
    <x v="18"/>
    <x v="3"/>
    <n v="4"/>
    <x v="0"/>
    <x v="0"/>
  </r>
  <r>
    <n v="3808"/>
    <x v="1088"/>
    <n v="1"/>
    <n v="10"/>
    <x v="3"/>
    <x v="0"/>
    <x v="0"/>
    <x v="3"/>
    <x v="1"/>
    <n v="8"/>
    <n v="12625.95"/>
    <n v="101007.6"/>
    <s v="Anand Rao"/>
    <n v="59"/>
    <x v="1"/>
    <x v="1"/>
    <n v="2"/>
    <x v="2"/>
    <x v="1"/>
  </r>
  <r>
    <n v="3809"/>
    <x v="1088"/>
    <n v="1"/>
    <n v="10"/>
    <x v="3"/>
    <x v="0"/>
    <x v="0"/>
    <x v="3"/>
    <x v="4"/>
    <n v="3"/>
    <n v="44016.75"/>
    <n v="132050.25"/>
    <s v="Sunita Roy"/>
    <n v="28"/>
    <x v="1"/>
    <x v="3"/>
    <n v="5"/>
    <x v="0"/>
    <x v="14"/>
  </r>
  <r>
    <n v="3810"/>
    <x v="1089"/>
    <n v="2"/>
    <n v="10"/>
    <x v="3"/>
    <x v="0"/>
    <x v="0"/>
    <x v="4"/>
    <x v="0"/>
    <n v="5"/>
    <n v="33892.6"/>
    <n v="169463"/>
    <s v="Reena Arora"/>
    <n v="44"/>
    <x v="4"/>
    <x v="2"/>
    <n v="4"/>
    <x v="0"/>
    <x v="10"/>
  </r>
  <r>
    <n v="3811"/>
    <x v="1089"/>
    <n v="2"/>
    <n v="10"/>
    <x v="3"/>
    <x v="0"/>
    <x v="0"/>
    <x v="4"/>
    <x v="4"/>
    <n v="7"/>
    <n v="56317.87"/>
    <n v="394225.09"/>
    <s v="Ramesh Solanki"/>
    <n v="41"/>
    <x v="9"/>
    <x v="3"/>
    <n v="2"/>
    <x v="2"/>
    <x v="11"/>
  </r>
  <r>
    <n v="3812"/>
    <x v="1089"/>
    <n v="2"/>
    <n v="10"/>
    <x v="3"/>
    <x v="0"/>
    <x v="0"/>
    <x v="4"/>
    <x v="3"/>
    <n v="4"/>
    <n v="12305.54"/>
    <n v="49222.16"/>
    <s v="Ramesh Kumar"/>
    <n v="35"/>
    <x v="12"/>
    <x v="2"/>
    <n v="5"/>
    <x v="0"/>
    <x v="8"/>
  </r>
  <r>
    <n v="3813"/>
    <x v="1089"/>
    <n v="2"/>
    <n v="10"/>
    <x v="3"/>
    <x v="0"/>
    <x v="0"/>
    <x v="4"/>
    <x v="2"/>
    <n v="5"/>
    <n v="34101.43"/>
    <n v="170507.15"/>
    <s v="Arun Kumar"/>
    <n v="44"/>
    <x v="1"/>
    <x v="0"/>
    <n v="2"/>
    <x v="2"/>
    <x v="13"/>
  </r>
  <r>
    <n v="3814"/>
    <x v="1090"/>
    <n v="3"/>
    <n v="10"/>
    <x v="3"/>
    <x v="0"/>
    <x v="0"/>
    <x v="5"/>
    <x v="2"/>
    <n v="3"/>
    <n v="57944.41"/>
    <n v="173833.23"/>
    <s v="Kiran Singh"/>
    <n v="58"/>
    <x v="12"/>
    <x v="1"/>
    <n v="5"/>
    <x v="0"/>
    <x v="6"/>
  </r>
  <r>
    <n v="3815"/>
    <x v="1090"/>
    <n v="3"/>
    <n v="10"/>
    <x v="3"/>
    <x v="0"/>
    <x v="0"/>
    <x v="5"/>
    <x v="1"/>
    <n v="9"/>
    <n v="41361.839999999997"/>
    <n v="372256.55999999994"/>
    <s v="Sumit Sheth"/>
    <n v="38"/>
    <x v="1"/>
    <x v="2"/>
    <n v="2"/>
    <x v="2"/>
    <x v="1"/>
  </r>
  <r>
    <n v="3816"/>
    <x v="1090"/>
    <n v="3"/>
    <n v="10"/>
    <x v="3"/>
    <x v="0"/>
    <x v="0"/>
    <x v="5"/>
    <x v="2"/>
    <n v="9"/>
    <n v="43002.32"/>
    <n v="387020.88"/>
    <s v="Kiran Rathod"/>
    <n v="51"/>
    <x v="1"/>
    <x v="3"/>
    <n v="3"/>
    <x v="1"/>
    <x v="6"/>
  </r>
  <r>
    <n v="3817"/>
    <x v="1090"/>
    <n v="3"/>
    <n v="10"/>
    <x v="3"/>
    <x v="0"/>
    <x v="0"/>
    <x v="5"/>
    <x v="3"/>
    <n v="7"/>
    <n v="15829.88"/>
    <n v="110809.15999999999"/>
    <s v="Pankaj Alva"/>
    <n v="50"/>
    <x v="7"/>
    <x v="2"/>
    <n v="3"/>
    <x v="1"/>
    <x v="5"/>
  </r>
  <r>
    <n v="3818"/>
    <x v="1091"/>
    <n v="4"/>
    <n v="10"/>
    <x v="3"/>
    <x v="0"/>
    <x v="0"/>
    <x v="6"/>
    <x v="1"/>
    <n v="2"/>
    <n v="17939.830000000002"/>
    <n v="35879.660000000003"/>
    <s v="Tanuja Teja"/>
    <n v="35"/>
    <x v="1"/>
    <x v="2"/>
    <n v="4"/>
    <x v="0"/>
    <x v="1"/>
  </r>
  <r>
    <n v="3819"/>
    <x v="1091"/>
    <n v="4"/>
    <n v="10"/>
    <x v="3"/>
    <x v="0"/>
    <x v="0"/>
    <x v="6"/>
    <x v="0"/>
    <n v="7"/>
    <n v="50619.98"/>
    <n v="354339.86000000004"/>
    <s v="Arun Shah"/>
    <n v="20"/>
    <x v="2"/>
    <x v="0"/>
    <n v="3"/>
    <x v="1"/>
    <x v="3"/>
  </r>
  <r>
    <n v="3820"/>
    <x v="1091"/>
    <n v="4"/>
    <n v="10"/>
    <x v="3"/>
    <x v="0"/>
    <x v="0"/>
    <x v="6"/>
    <x v="2"/>
    <n v="7"/>
    <n v="50502.8"/>
    <n v="353519.60000000003"/>
    <s v="Lalita Sheth"/>
    <n v="41"/>
    <x v="8"/>
    <x v="1"/>
    <n v="5"/>
    <x v="0"/>
    <x v="6"/>
  </r>
  <r>
    <n v="3821"/>
    <x v="1092"/>
    <n v="5"/>
    <n v="10"/>
    <x v="3"/>
    <x v="0"/>
    <x v="0"/>
    <x v="0"/>
    <x v="1"/>
    <n v="5"/>
    <n v="68746.2"/>
    <n v="343731"/>
    <s v="Vivek Shah"/>
    <n v="18"/>
    <x v="1"/>
    <x v="2"/>
    <n v="5"/>
    <x v="0"/>
    <x v="2"/>
  </r>
  <r>
    <n v="3822"/>
    <x v="1092"/>
    <n v="5"/>
    <n v="10"/>
    <x v="3"/>
    <x v="0"/>
    <x v="0"/>
    <x v="0"/>
    <x v="3"/>
    <n v="9"/>
    <n v="52717.18"/>
    <n v="474454.62"/>
    <s v="Lata Alva"/>
    <n v="23"/>
    <x v="13"/>
    <x v="2"/>
    <n v="5"/>
    <x v="0"/>
    <x v="12"/>
  </r>
  <r>
    <n v="3823"/>
    <x v="1092"/>
    <n v="5"/>
    <n v="10"/>
    <x v="3"/>
    <x v="0"/>
    <x v="0"/>
    <x v="0"/>
    <x v="4"/>
    <n v="3"/>
    <n v="39594.61"/>
    <n v="118783.83"/>
    <s v="Rajesh Ghosh"/>
    <n v="36"/>
    <x v="7"/>
    <x v="3"/>
    <n v="4"/>
    <x v="0"/>
    <x v="14"/>
  </r>
  <r>
    <n v="3824"/>
    <x v="1092"/>
    <n v="5"/>
    <n v="10"/>
    <x v="3"/>
    <x v="0"/>
    <x v="0"/>
    <x v="0"/>
    <x v="4"/>
    <n v="4"/>
    <n v="61439.67"/>
    <n v="245758.68"/>
    <s v="Namita Patel"/>
    <n v="39"/>
    <x v="12"/>
    <x v="2"/>
    <n v="4"/>
    <x v="0"/>
    <x v="11"/>
  </r>
  <r>
    <n v="3825"/>
    <x v="1093"/>
    <n v="6"/>
    <n v="10"/>
    <x v="3"/>
    <x v="0"/>
    <x v="0"/>
    <x v="1"/>
    <x v="3"/>
    <n v="1"/>
    <n v="16268.38"/>
    <n v="16268.38"/>
    <s v="Tapan Singh"/>
    <n v="25"/>
    <x v="12"/>
    <x v="2"/>
    <n v="3"/>
    <x v="1"/>
    <x v="12"/>
  </r>
  <r>
    <n v="3826"/>
    <x v="1093"/>
    <n v="6"/>
    <n v="10"/>
    <x v="3"/>
    <x v="0"/>
    <x v="0"/>
    <x v="1"/>
    <x v="3"/>
    <n v="6"/>
    <n v="36957.75"/>
    <n v="221746.5"/>
    <s v="Radha Kumar"/>
    <n v="22"/>
    <x v="1"/>
    <x v="1"/>
    <n v="5"/>
    <x v="0"/>
    <x v="12"/>
  </r>
  <r>
    <n v="3827"/>
    <x v="1093"/>
    <n v="6"/>
    <n v="10"/>
    <x v="3"/>
    <x v="0"/>
    <x v="0"/>
    <x v="1"/>
    <x v="4"/>
    <n v="4"/>
    <n v="27226.55"/>
    <n v="108906.2"/>
    <s v="Navin Solanki"/>
    <n v="26"/>
    <x v="15"/>
    <x v="1"/>
    <n v="3"/>
    <x v="1"/>
    <x v="11"/>
  </r>
  <r>
    <n v="3828"/>
    <x v="1094"/>
    <n v="7"/>
    <n v="10"/>
    <x v="3"/>
    <x v="0"/>
    <x v="0"/>
    <x v="2"/>
    <x v="1"/>
    <n v="1"/>
    <n v="16278.27"/>
    <n v="16278.27"/>
    <s v="Sumit Ghosh"/>
    <n v="38"/>
    <x v="14"/>
    <x v="3"/>
    <n v="5"/>
    <x v="0"/>
    <x v="1"/>
  </r>
  <r>
    <n v="3829"/>
    <x v="1094"/>
    <n v="7"/>
    <n v="10"/>
    <x v="3"/>
    <x v="0"/>
    <x v="0"/>
    <x v="2"/>
    <x v="4"/>
    <n v="2"/>
    <n v="55810.13"/>
    <n v="111620.26"/>
    <s v="Rajesh Singh"/>
    <n v="45"/>
    <x v="11"/>
    <x v="2"/>
    <n v="5"/>
    <x v="0"/>
    <x v="7"/>
  </r>
  <r>
    <n v="3830"/>
    <x v="1094"/>
    <n v="7"/>
    <n v="10"/>
    <x v="3"/>
    <x v="0"/>
    <x v="0"/>
    <x v="2"/>
    <x v="3"/>
    <n v="3"/>
    <n v="40647.519999999997"/>
    <n v="121942.56"/>
    <s v="Meena Sheth"/>
    <n v="21"/>
    <x v="1"/>
    <x v="2"/>
    <n v="5"/>
    <x v="0"/>
    <x v="12"/>
  </r>
  <r>
    <n v="3831"/>
    <x v="1094"/>
    <n v="7"/>
    <n v="10"/>
    <x v="3"/>
    <x v="0"/>
    <x v="0"/>
    <x v="2"/>
    <x v="2"/>
    <n v="9"/>
    <n v="43406.12"/>
    <n v="390655.08"/>
    <s v="Kavita Bhatnagar"/>
    <n v="41"/>
    <x v="2"/>
    <x v="2"/>
    <n v="5"/>
    <x v="0"/>
    <x v="13"/>
  </r>
  <r>
    <n v="3832"/>
    <x v="1095"/>
    <n v="8"/>
    <n v="10"/>
    <x v="3"/>
    <x v="0"/>
    <x v="0"/>
    <x v="3"/>
    <x v="0"/>
    <n v="8"/>
    <n v="34675.31"/>
    <n v="277402.48"/>
    <s v="Vivek Sheth"/>
    <n v="25"/>
    <x v="4"/>
    <x v="0"/>
    <n v="2"/>
    <x v="2"/>
    <x v="10"/>
  </r>
  <r>
    <n v="3833"/>
    <x v="1095"/>
    <n v="8"/>
    <n v="10"/>
    <x v="3"/>
    <x v="0"/>
    <x v="0"/>
    <x v="3"/>
    <x v="2"/>
    <n v="7"/>
    <n v="37620.230000000003"/>
    <n v="263341.61000000004"/>
    <s v="Anita Desai"/>
    <n v="34"/>
    <x v="5"/>
    <x v="0"/>
    <n v="5"/>
    <x v="0"/>
    <x v="13"/>
  </r>
  <r>
    <n v="3834"/>
    <x v="1095"/>
    <n v="8"/>
    <n v="10"/>
    <x v="3"/>
    <x v="0"/>
    <x v="0"/>
    <x v="3"/>
    <x v="2"/>
    <n v="4"/>
    <n v="16961.04"/>
    <n v="67844.160000000003"/>
    <s v="Ayesha Rathod"/>
    <n v="51"/>
    <x v="2"/>
    <x v="3"/>
    <n v="5"/>
    <x v="0"/>
    <x v="13"/>
  </r>
  <r>
    <n v="3835"/>
    <x v="1095"/>
    <n v="8"/>
    <n v="10"/>
    <x v="3"/>
    <x v="0"/>
    <x v="0"/>
    <x v="3"/>
    <x v="3"/>
    <n v="1"/>
    <n v="50375.07"/>
    <n v="50375.07"/>
    <s v="Sanjay Malhotra"/>
    <n v="37"/>
    <x v="17"/>
    <x v="0"/>
    <n v="3"/>
    <x v="1"/>
    <x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otal_Sales by Citie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5" rowHeaderCaption="City">
  <location ref="F3:G14" firstHeaderRow="1" firstDataRow="1" firstDataCol="1"/>
  <pivotFields count="19">
    <pivotField showAll="0"/>
    <pivotField numFmtId="14" showAll="0">
      <items count="7">
        <item x="0"/>
        <item x="1"/>
        <item x="2"/>
        <item x="3"/>
        <item x="4"/>
        <item x="5"/>
        <item t="default"/>
      </items>
    </pivotField>
    <pivotField showAll="0"/>
    <pivotField showAll="0"/>
    <pivotField showAll="0"/>
    <pivotField showAll="0" defaultSubtotal="0"/>
    <pivotField showAll="0">
      <items count="13">
        <item x="6"/>
        <item x="7"/>
        <item x="8"/>
        <item x="9"/>
        <item x="10"/>
        <item x="11"/>
        <item x="0"/>
        <item x="1"/>
        <item x="2"/>
        <item x="3"/>
        <item x="4"/>
        <item x="5"/>
        <item t="default"/>
      </items>
    </pivotField>
    <pivotField showAll="0" defaultSubtotal="0"/>
    <pivotField showAll="0">
      <items count="6">
        <item x="4"/>
        <item x="2"/>
        <item x="3"/>
        <item x="1"/>
        <item x="0"/>
        <item t="default"/>
      </items>
    </pivotField>
    <pivotField showAll="0"/>
    <pivotField showAll="0"/>
    <pivotField dataField="1" showAll="0"/>
    <pivotField showAll="0"/>
    <pivotField showAll="0"/>
    <pivotField axis="axisRow" showAll="0" measureFilter="1" sortType="ascending">
      <items count="20">
        <item x="18"/>
        <item x="13"/>
        <item x="8"/>
        <item x="9"/>
        <item x="1"/>
        <item x="3"/>
        <item x="7"/>
        <item x="16"/>
        <item x="4"/>
        <item x="12"/>
        <item x="10"/>
        <item x="15"/>
        <item x="0"/>
        <item x="6"/>
        <item x="2"/>
        <item x="17"/>
        <item x="11"/>
        <item x="14"/>
        <item x="5"/>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numFmtId="1" showAll="0"/>
    <pivotField showAll="0"/>
    <pivotField showAll="0">
      <items count="16">
        <item x="8"/>
        <item x="5"/>
        <item x="12"/>
        <item x="14"/>
        <item x="7"/>
        <item x="11"/>
        <item x="3"/>
        <item x="13"/>
        <item x="4"/>
        <item x="6"/>
        <item x="10"/>
        <item x="0"/>
        <item x="2"/>
        <item x="9"/>
        <item x="1"/>
        <item t="default"/>
      </items>
    </pivotField>
  </pivotFields>
  <rowFields count="1">
    <field x="14"/>
  </rowFields>
  <rowItems count="11">
    <i>
      <x v="5"/>
    </i>
    <i>
      <x v="13"/>
    </i>
    <i>
      <x v="11"/>
    </i>
    <i>
      <x/>
    </i>
    <i>
      <x v="8"/>
    </i>
    <i>
      <x v="16"/>
    </i>
    <i>
      <x v="2"/>
    </i>
    <i>
      <x v="17"/>
    </i>
    <i>
      <x v="14"/>
    </i>
    <i>
      <x v="4"/>
    </i>
    <i t="grand">
      <x/>
    </i>
  </rowItems>
  <colItems count="1">
    <i/>
  </colItems>
  <dataFields count="1">
    <dataField name="Total_Sales" fld="11" baseField="0" baseItem="0"/>
  </dataFields>
  <formats count="4">
    <format dxfId="24">
      <pivotArea dataOnly="0" labelOnly="1" outline="0" axis="axisValues" fieldPosition="0"/>
    </format>
    <format dxfId="23">
      <pivotArea field="14" type="button" dataOnly="0" labelOnly="1" outline="0" axis="axisRow" fieldPosition="0"/>
    </format>
    <format dxfId="22">
      <pivotArea grandRow="1" outline="0" collapsedLevelsAreSubtotals="1" fieldPosition="0"/>
    </format>
    <format dxfId="21">
      <pivotArea dataOnly="0" labelOnly="1" grandRow="1" outline="0" fieldPosition="0"/>
    </format>
  </formats>
  <chartFormats count="3">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4" count="1" selected="0">
            <x v="4"/>
          </reference>
        </references>
      </pivotArea>
    </chartFormat>
  </chartFormats>
  <pivotTableStyleInfo name="PivotStyleLight16" showRowHeaders="1" showColHeaders="1" showRowStripes="0" showColStripes="0" showLastColumn="1"/>
  <filters count="1">
    <filter fld="1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Total_Sale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3:A4" firstHeaderRow="1" firstDataRow="1" firstDataCol="0"/>
  <pivotFields count="19">
    <pivotField showAll="0"/>
    <pivotField numFmtId="14" showAll="0">
      <items count="7">
        <item x="0"/>
        <item x="1"/>
        <item x="2"/>
        <item x="3"/>
        <item x="4"/>
        <item x="5"/>
        <item t="default"/>
      </items>
    </pivotField>
    <pivotField showAll="0"/>
    <pivotField showAll="0"/>
    <pivotField showAll="0"/>
    <pivotField showAll="0" defaultSubtotal="0"/>
    <pivotField showAll="0">
      <items count="13">
        <item x="6"/>
        <item x="7"/>
        <item x="8"/>
        <item x="9"/>
        <item x="10"/>
        <item x="11"/>
        <item x="0"/>
        <item x="1"/>
        <item x="2"/>
        <item x="3"/>
        <item x="4"/>
        <item x="5"/>
        <item t="default"/>
      </items>
    </pivotField>
    <pivotField showAll="0" defaultSubtotal="0"/>
    <pivotField showAll="0">
      <items count="6">
        <item x="4"/>
        <item x="2"/>
        <item x="3"/>
        <item x="1"/>
        <item x="0"/>
        <item t="default"/>
      </items>
    </pivotField>
    <pivotField showAll="0"/>
    <pivotField showAll="0"/>
    <pivotField dataField="1" showAll="0"/>
    <pivotField showAll="0"/>
    <pivotField showAll="0"/>
    <pivotField showAll="0"/>
    <pivotField showAll="0">
      <items count="5">
        <item x="2"/>
        <item x="1"/>
        <item x="3"/>
        <item x="0"/>
        <item t="default"/>
      </items>
    </pivotField>
    <pivotField numFmtId="1" showAll="0"/>
    <pivotField showAll="0"/>
    <pivotField showAll="0">
      <items count="16">
        <item x="8"/>
        <item x="5"/>
        <item x="12"/>
        <item x="14"/>
        <item x="7"/>
        <item x="11"/>
        <item x="3"/>
        <item x="13"/>
        <item x="4"/>
        <item x="6"/>
        <item x="10"/>
        <item x="0"/>
        <item x="2"/>
        <item x="9"/>
        <item x="1"/>
        <item t="default"/>
      </items>
    </pivotField>
  </pivotFields>
  <rowItems count="1">
    <i/>
  </rowItems>
  <colItems count="1">
    <i/>
  </colItems>
  <dataFields count="1">
    <dataField name="Sum of Sales" fld="11" baseField="0" baseItem="0"/>
  </dataFields>
  <formats count="1">
    <format dxfId="2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Total_Sales by Mobile_Model"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5" rowHeaderCaption="Mobile_Model">
  <location ref="R3:S7" firstHeaderRow="1" firstDataRow="1" firstDataCol="1"/>
  <pivotFields count="19">
    <pivotField showAll="0"/>
    <pivotField numFmtId="14" showAll="0">
      <items count="7">
        <item x="0"/>
        <item x="1"/>
        <item x="2"/>
        <item x="3"/>
        <item x="4"/>
        <item x="5"/>
        <item t="default"/>
      </items>
    </pivotField>
    <pivotField showAll="0"/>
    <pivotField showAll="0"/>
    <pivotField showAll="0"/>
    <pivotField showAll="0" defaultSubtotal="0"/>
    <pivotField showAll="0" nonAutoSortDefault="1">
      <items count="13">
        <item x="3"/>
        <item x="4"/>
        <item x="5"/>
        <item x="6"/>
        <item x="7"/>
        <item x="8"/>
        <item x="9"/>
        <item x="10"/>
        <item x="11"/>
        <item x="0"/>
        <item x="1"/>
        <item x="2"/>
        <item t="default"/>
      </items>
    </pivotField>
    <pivotField showAll="0" defaultSubtotal="0"/>
    <pivotField showAll="0">
      <items count="6">
        <item x="4"/>
        <item x="2"/>
        <item x="3"/>
        <item x="1"/>
        <item x="0"/>
        <item t="default"/>
      </items>
    </pivotField>
    <pivotField showAll="0"/>
    <pivotField showAll="0"/>
    <pivotField dataField="1" showAll="0"/>
    <pivotField showAll="0"/>
    <pivotField showAll="0"/>
    <pivotField showAll="0">
      <items count="20">
        <item x="18"/>
        <item x="13"/>
        <item x="8"/>
        <item x="9"/>
        <item x="1"/>
        <item x="3"/>
        <item x="7"/>
        <item x="16"/>
        <item x="4"/>
        <item x="12"/>
        <item x="10"/>
        <item x="15"/>
        <item x="0"/>
        <item x="6"/>
        <item x="2"/>
        <item x="17"/>
        <item x="11"/>
        <item x="14"/>
        <item x="5"/>
        <item t="default"/>
      </items>
    </pivotField>
    <pivotField showAll="0">
      <items count="5">
        <item x="2"/>
        <item x="1"/>
        <item x="3"/>
        <item x="0"/>
        <item t="default"/>
      </items>
    </pivotField>
    <pivotField numFmtId="1" showAll="0"/>
    <pivotField showAll="0">
      <items count="4">
        <item x="1"/>
        <item x="0"/>
        <item x="2"/>
        <item t="default"/>
      </items>
    </pivotField>
    <pivotField axis="axisRow" showAll="0" measureFilter="1" sortType="ascending">
      <items count="16">
        <item x="8"/>
        <item x="5"/>
        <item x="12"/>
        <item x="14"/>
        <item x="7"/>
        <item x="11"/>
        <item x="3"/>
        <item x="13"/>
        <item x="4"/>
        <item x="6"/>
        <item x="10"/>
        <item x="0"/>
        <item x="2"/>
        <item x="9"/>
        <item x="1"/>
        <item t="default"/>
      </items>
      <autoSortScope>
        <pivotArea dataOnly="0" outline="0" fieldPosition="0">
          <references count="1">
            <reference field="4294967294" count="1" selected="0">
              <x v="0"/>
            </reference>
          </references>
        </pivotArea>
      </autoSortScope>
    </pivotField>
  </pivotFields>
  <rowFields count="1">
    <field x="18"/>
  </rowFields>
  <rowItems count="4">
    <i>
      <x v="1"/>
    </i>
    <i>
      <x v="9"/>
    </i>
    <i>
      <x v="5"/>
    </i>
    <i t="grand">
      <x/>
    </i>
  </rowItems>
  <colItems count="1">
    <i/>
  </colItems>
  <dataFields count="1">
    <dataField name="Total_Sales" fld="11" baseField="0" baseItem="0"/>
  </dataFields>
  <formats count="8">
    <format dxfId="33">
      <pivotArea dataOnly="0" labelOnly="1" outline="0" axis="axisValues" fieldPosition="0"/>
    </format>
    <format dxfId="32">
      <pivotArea field="14" type="button" dataOnly="0" labelOnly="1" outline="0"/>
    </format>
    <format dxfId="31">
      <pivotArea grandRow="1" outline="0" collapsedLevelsAreSubtotals="1" fieldPosition="0"/>
    </format>
    <format dxfId="30">
      <pivotArea dataOnly="0" labelOnly="1" grandRow="1" outline="0" fieldPosition="0"/>
    </format>
    <format dxfId="29">
      <pivotArea field="6" type="button" dataOnly="0" labelOnly="1" outline="0"/>
    </format>
    <format dxfId="28">
      <pivotArea field="17" type="button" dataOnly="0" labelOnly="1" outline="0"/>
    </format>
    <format dxfId="27">
      <pivotArea field="15" type="button" dataOnly="0" labelOnly="1" outline="0"/>
    </format>
    <format dxfId="26">
      <pivotArea field="18" type="button" dataOnly="0" labelOnly="1" outline="0" axis="axisRow"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2"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Average_Pric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21:A22" firstHeaderRow="1" firstDataRow="1" firstDataCol="0"/>
  <pivotFields count="19">
    <pivotField showAll="0"/>
    <pivotField numFmtId="14" showAll="0">
      <items count="7">
        <item x="0"/>
        <item x="1"/>
        <item x="2"/>
        <item x="3"/>
        <item x="4"/>
        <item x="5"/>
        <item t="default"/>
      </items>
    </pivotField>
    <pivotField showAll="0"/>
    <pivotField showAll="0"/>
    <pivotField showAll="0"/>
    <pivotField showAll="0" defaultSubtotal="0"/>
    <pivotField showAll="0">
      <items count="13">
        <item x="6"/>
        <item x="7"/>
        <item x="8"/>
        <item x="9"/>
        <item x="10"/>
        <item x="11"/>
        <item x="0"/>
        <item x="1"/>
        <item x="2"/>
        <item x="3"/>
        <item x="4"/>
        <item x="5"/>
        <item t="default"/>
      </items>
    </pivotField>
    <pivotField showAll="0" defaultSubtotal="0"/>
    <pivotField showAll="0">
      <items count="6">
        <item x="4"/>
        <item x="2"/>
        <item x="3"/>
        <item x="1"/>
        <item x="0"/>
        <item t="default"/>
      </items>
    </pivotField>
    <pivotField showAll="0"/>
    <pivotField dataField="1" showAll="0"/>
    <pivotField showAll="0"/>
    <pivotField showAll="0"/>
    <pivotField showAll="0"/>
    <pivotField showAll="0"/>
    <pivotField showAll="0">
      <items count="5">
        <item x="2"/>
        <item x="1"/>
        <item x="3"/>
        <item x="0"/>
        <item t="default"/>
      </items>
    </pivotField>
    <pivotField numFmtId="1" showAll="0"/>
    <pivotField showAll="0"/>
    <pivotField showAll="0">
      <items count="16">
        <item x="8"/>
        <item x="5"/>
        <item x="12"/>
        <item x="14"/>
        <item x="7"/>
        <item x="11"/>
        <item x="3"/>
        <item x="13"/>
        <item x="4"/>
        <item x="6"/>
        <item x="10"/>
        <item x="0"/>
        <item x="2"/>
        <item x="9"/>
        <item x="1"/>
        <item t="default"/>
      </items>
    </pivotField>
  </pivotFields>
  <rowItems count="1">
    <i/>
  </rowItems>
  <colItems count="1">
    <i/>
  </colItems>
  <dataFields count="1">
    <dataField name="Average of Price Per Unit" fld="10" subtotal="average" baseField="0" baseItem="3600456"/>
  </dataFields>
  <formats count="1">
    <format dxfId="3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Total_Sales by Day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5" rowHeaderCaption="Days">
  <location ref="U3:V11" firstHeaderRow="1" firstDataRow="1" firstDataCol="1"/>
  <pivotFields count="19">
    <pivotField showAll="0"/>
    <pivotField numFmtId="14" showAll="0">
      <items count="7">
        <item x="0"/>
        <item x="1"/>
        <item x="2"/>
        <item x="3"/>
        <item x="4"/>
        <item x="5"/>
        <item t="default"/>
      </items>
    </pivotField>
    <pivotField showAll="0"/>
    <pivotField showAll="0"/>
    <pivotField showAll="0"/>
    <pivotField showAll="0" defaultSubtotal="0"/>
    <pivotField showAll="0" nonAutoSortDefault="1">
      <items count="13">
        <item x="3"/>
        <item x="4"/>
        <item x="5"/>
        <item x="6"/>
        <item x="7"/>
        <item x="8"/>
        <item x="9"/>
        <item x="10"/>
        <item x="11"/>
        <item x="0"/>
        <item x="1"/>
        <item x="2"/>
        <item t="default"/>
      </items>
    </pivotField>
    <pivotField axis="axisRow" showAll="0" defaultSubtotal="0">
      <items count="7">
        <item x="2"/>
        <item x="3"/>
        <item x="4"/>
        <item x="5"/>
        <item x="6"/>
        <item x="0"/>
        <item x="1"/>
      </items>
    </pivotField>
    <pivotField showAll="0">
      <items count="6">
        <item x="4"/>
        <item x="2"/>
        <item x="3"/>
        <item x="1"/>
        <item x="0"/>
        <item t="default"/>
      </items>
    </pivotField>
    <pivotField showAll="0"/>
    <pivotField showAll="0"/>
    <pivotField dataField="1" showAll="0"/>
    <pivotField showAll="0"/>
    <pivotField showAll="0"/>
    <pivotField showAll="0">
      <items count="20">
        <item x="18"/>
        <item x="13"/>
        <item x="8"/>
        <item x="9"/>
        <item x="1"/>
        <item x="3"/>
        <item x="7"/>
        <item x="16"/>
        <item x="4"/>
        <item x="12"/>
        <item x="10"/>
        <item x="15"/>
        <item x="0"/>
        <item x="6"/>
        <item x="2"/>
        <item x="17"/>
        <item x="11"/>
        <item x="14"/>
        <item x="5"/>
        <item t="default"/>
      </items>
    </pivotField>
    <pivotField showAll="0">
      <items count="5">
        <item x="2"/>
        <item x="1"/>
        <item x="3"/>
        <item x="0"/>
        <item t="default"/>
      </items>
    </pivotField>
    <pivotField numFmtId="1" showAll="0"/>
    <pivotField showAll="0">
      <items count="4">
        <item x="1"/>
        <item x="0"/>
        <item x="2"/>
        <item t="default"/>
      </items>
    </pivotField>
    <pivotField showAll="0">
      <items count="16">
        <item x="8"/>
        <item x="5"/>
        <item x="12"/>
        <item x="14"/>
        <item x="7"/>
        <item x="11"/>
        <item x="3"/>
        <item x="13"/>
        <item x="4"/>
        <item x="6"/>
        <item x="10"/>
        <item x="0"/>
        <item x="2"/>
        <item x="9"/>
        <item x="1"/>
        <item t="default"/>
      </items>
    </pivotField>
  </pivotFields>
  <rowFields count="1">
    <field x="7"/>
  </rowFields>
  <rowItems count="8">
    <i>
      <x/>
    </i>
    <i>
      <x v="1"/>
    </i>
    <i>
      <x v="2"/>
    </i>
    <i>
      <x v="3"/>
    </i>
    <i>
      <x v="4"/>
    </i>
    <i>
      <x v="5"/>
    </i>
    <i>
      <x v="6"/>
    </i>
    <i t="grand">
      <x/>
    </i>
  </rowItems>
  <colItems count="1">
    <i/>
  </colItems>
  <dataFields count="1">
    <dataField name="Total_Sales" fld="11" baseField="0" baseItem="0"/>
  </dataFields>
  <formats count="9">
    <format dxfId="43">
      <pivotArea dataOnly="0" labelOnly="1" outline="0" axis="axisValues" fieldPosition="0"/>
    </format>
    <format dxfId="42">
      <pivotArea field="14" type="button" dataOnly="0" labelOnly="1" outline="0"/>
    </format>
    <format dxfId="41">
      <pivotArea grandRow="1" outline="0" collapsedLevelsAreSubtotals="1" fieldPosition="0"/>
    </format>
    <format dxfId="40">
      <pivotArea dataOnly="0" labelOnly="1" grandRow="1" outline="0" fieldPosition="0"/>
    </format>
    <format dxfId="39">
      <pivotArea field="6" type="button" dataOnly="0" labelOnly="1" outline="0"/>
    </format>
    <format dxfId="38">
      <pivotArea field="17" type="button" dataOnly="0" labelOnly="1" outline="0"/>
    </format>
    <format dxfId="37">
      <pivotArea field="15" type="button" dataOnly="0" labelOnly="1" outline="0"/>
    </format>
    <format dxfId="36">
      <pivotArea field="18" type="button" dataOnly="0" labelOnly="1" outline="0"/>
    </format>
    <format dxfId="35">
      <pivotArea field="7" type="button" dataOnly="0" labelOnly="1" outline="0" axis="axisRow" fieldPosition="0"/>
    </format>
  </formats>
  <chartFormats count="17">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7" count="1" selected="0">
            <x v="0"/>
          </reference>
        </references>
      </pivotArea>
    </chartFormat>
    <chartFormat chart="2" format="4">
      <pivotArea type="data" outline="0" fieldPosition="0">
        <references count="2">
          <reference field="4294967294" count="1" selected="0">
            <x v="0"/>
          </reference>
          <reference field="7" count="1" selected="0">
            <x v="1"/>
          </reference>
        </references>
      </pivotArea>
    </chartFormat>
    <chartFormat chart="2" format="5">
      <pivotArea type="data" outline="0" fieldPosition="0">
        <references count="2">
          <reference field="4294967294" count="1" selected="0">
            <x v="0"/>
          </reference>
          <reference field="7" count="1" selected="0">
            <x v="2"/>
          </reference>
        </references>
      </pivotArea>
    </chartFormat>
    <chartFormat chart="2" format="6">
      <pivotArea type="data" outline="0" fieldPosition="0">
        <references count="2">
          <reference field="4294967294" count="1" selected="0">
            <x v="0"/>
          </reference>
          <reference field="7" count="1" selected="0">
            <x v="3"/>
          </reference>
        </references>
      </pivotArea>
    </chartFormat>
    <chartFormat chart="2" format="7">
      <pivotArea type="data" outline="0" fieldPosition="0">
        <references count="2">
          <reference field="4294967294" count="1" selected="0">
            <x v="0"/>
          </reference>
          <reference field="7" count="1" selected="0">
            <x v="4"/>
          </reference>
        </references>
      </pivotArea>
    </chartFormat>
    <chartFormat chart="2" format="8">
      <pivotArea type="data" outline="0" fieldPosition="0">
        <references count="2">
          <reference field="4294967294" count="1" selected="0">
            <x v="0"/>
          </reference>
          <reference field="7" count="1" selected="0">
            <x v="5"/>
          </reference>
        </references>
      </pivotArea>
    </chartFormat>
    <chartFormat chart="2" format="9">
      <pivotArea type="data" outline="0" fieldPosition="0">
        <references count="2">
          <reference field="4294967294" count="1" selected="0">
            <x v="0"/>
          </reference>
          <reference field="7" count="1" selected="0">
            <x v="6"/>
          </reference>
        </references>
      </pivotArea>
    </chartFormat>
    <chartFormat chart="4" format="18" series="1">
      <pivotArea type="data" outline="0" fieldPosition="0">
        <references count="1">
          <reference field="4294967294" count="1" selected="0">
            <x v="0"/>
          </reference>
        </references>
      </pivotArea>
    </chartFormat>
    <chartFormat chart="4" format="19">
      <pivotArea type="data" outline="0" fieldPosition="0">
        <references count="2">
          <reference field="4294967294" count="1" selected="0">
            <x v="0"/>
          </reference>
          <reference field="7" count="1" selected="0">
            <x v="0"/>
          </reference>
        </references>
      </pivotArea>
    </chartFormat>
    <chartFormat chart="4" format="20">
      <pivotArea type="data" outline="0" fieldPosition="0">
        <references count="2">
          <reference field="4294967294" count="1" selected="0">
            <x v="0"/>
          </reference>
          <reference field="7" count="1" selected="0">
            <x v="1"/>
          </reference>
        </references>
      </pivotArea>
    </chartFormat>
    <chartFormat chart="4" format="21">
      <pivotArea type="data" outline="0" fieldPosition="0">
        <references count="2">
          <reference field="4294967294" count="1" selected="0">
            <x v="0"/>
          </reference>
          <reference field="7" count="1" selected="0">
            <x v="2"/>
          </reference>
        </references>
      </pivotArea>
    </chartFormat>
    <chartFormat chart="4" format="22">
      <pivotArea type="data" outline="0" fieldPosition="0">
        <references count="2">
          <reference field="4294967294" count="1" selected="0">
            <x v="0"/>
          </reference>
          <reference field="7" count="1" selected="0">
            <x v="3"/>
          </reference>
        </references>
      </pivotArea>
    </chartFormat>
    <chartFormat chart="4" format="23">
      <pivotArea type="data" outline="0" fieldPosition="0">
        <references count="2">
          <reference field="4294967294" count="1" selected="0">
            <x v="0"/>
          </reference>
          <reference field="7" count="1" selected="0">
            <x v="4"/>
          </reference>
        </references>
      </pivotArea>
    </chartFormat>
    <chartFormat chart="4" format="24">
      <pivotArea type="data" outline="0" fieldPosition="0">
        <references count="2">
          <reference field="4294967294" count="1" selected="0">
            <x v="0"/>
          </reference>
          <reference field="7" count="1" selected="0">
            <x v="5"/>
          </reference>
        </references>
      </pivotArea>
    </chartFormat>
    <chartFormat chart="4" format="25">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Total_Quantity by Month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5" rowHeaderCaption="Months">
  <location ref="I3:J16" firstHeaderRow="1" firstDataRow="1" firstDataCol="1"/>
  <pivotFields count="19">
    <pivotField showAll="0"/>
    <pivotField numFmtId="14" showAll="0">
      <items count="7">
        <item x="0"/>
        <item x="1"/>
        <item x="2"/>
        <item x="3"/>
        <item x="4"/>
        <item x="5"/>
        <item t="default"/>
      </items>
    </pivotField>
    <pivotField showAll="0"/>
    <pivotField showAll="0"/>
    <pivotField showAll="0"/>
    <pivotField showAll="0" defaultSubtotal="0"/>
    <pivotField axis="axisRow" showAll="0" nonAutoSortDefault="1">
      <items count="13">
        <item x="3"/>
        <item x="4"/>
        <item x="5"/>
        <item x="6"/>
        <item x="7"/>
        <item x="8"/>
        <item x="9"/>
        <item x="10"/>
        <item x="11"/>
        <item x="0"/>
        <item x="1"/>
        <item x="2"/>
        <item t="default"/>
      </items>
    </pivotField>
    <pivotField showAll="0" defaultSubtotal="0"/>
    <pivotField showAll="0">
      <items count="6">
        <item x="4"/>
        <item x="2"/>
        <item x="3"/>
        <item x="1"/>
        <item x="0"/>
        <item t="default"/>
      </items>
    </pivotField>
    <pivotField dataField="1" showAll="0"/>
    <pivotField showAll="0"/>
    <pivotField showAll="0"/>
    <pivotField showAll="0"/>
    <pivotField showAll="0"/>
    <pivotField showAll="0">
      <items count="20">
        <item x="18"/>
        <item x="13"/>
        <item x="8"/>
        <item x="9"/>
        <item x="1"/>
        <item x="3"/>
        <item x="7"/>
        <item x="16"/>
        <item x="4"/>
        <item x="12"/>
        <item x="10"/>
        <item x="15"/>
        <item x="0"/>
        <item x="6"/>
        <item x="2"/>
        <item x="17"/>
        <item x="11"/>
        <item x="14"/>
        <item x="5"/>
        <item t="default"/>
      </items>
    </pivotField>
    <pivotField showAll="0">
      <items count="5">
        <item x="2"/>
        <item x="1"/>
        <item x="3"/>
        <item x="0"/>
        <item t="default"/>
      </items>
    </pivotField>
    <pivotField numFmtId="1" showAll="0"/>
    <pivotField showAll="0"/>
    <pivotField showAll="0">
      <items count="16">
        <item x="8"/>
        <item x="5"/>
        <item x="12"/>
        <item x="14"/>
        <item x="7"/>
        <item x="11"/>
        <item x="3"/>
        <item x="13"/>
        <item x="4"/>
        <item x="6"/>
        <item x="10"/>
        <item x="0"/>
        <item x="2"/>
        <item x="9"/>
        <item x="1"/>
        <item t="default"/>
      </items>
    </pivotField>
  </pivotFields>
  <rowFields count="1">
    <field x="6"/>
  </rowFields>
  <rowItems count="13">
    <i>
      <x/>
    </i>
    <i>
      <x v="1"/>
    </i>
    <i>
      <x v="2"/>
    </i>
    <i>
      <x v="3"/>
    </i>
    <i>
      <x v="4"/>
    </i>
    <i>
      <x v="5"/>
    </i>
    <i>
      <x v="6"/>
    </i>
    <i>
      <x v="7"/>
    </i>
    <i>
      <x v="8"/>
    </i>
    <i>
      <x v="9"/>
    </i>
    <i>
      <x v="10"/>
    </i>
    <i>
      <x v="11"/>
    </i>
    <i t="grand">
      <x/>
    </i>
  </rowItems>
  <colItems count="1">
    <i/>
  </colItems>
  <dataFields count="1">
    <dataField name="Total_Quantity" fld="9" baseField="0" baseItem="0"/>
  </dataFields>
  <formats count="5">
    <format dxfId="48">
      <pivotArea dataOnly="0" labelOnly="1" outline="0" axis="axisValues" fieldPosition="0"/>
    </format>
    <format dxfId="47">
      <pivotArea field="14" type="button" dataOnly="0" labelOnly="1" outline="0"/>
    </format>
    <format dxfId="46">
      <pivotArea grandRow="1" outline="0" collapsedLevelsAreSubtotals="1" fieldPosition="0"/>
    </format>
    <format dxfId="45">
      <pivotArea dataOnly="0" labelOnly="1" grandRow="1" outline="0" fieldPosition="0"/>
    </format>
    <format dxfId="44">
      <pivotArea field="6" type="button" dataOnly="0" labelOnly="1" outline="0" axis="axisRow" fieldPosition="0"/>
    </format>
  </formats>
  <chartFormats count="26">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6" count="1" selected="0">
            <x v="11"/>
          </reference>
        </references>
      </pivotArea>
    </chartFormat>
    <chartFormat chart="2" format="4">
      <pivotArea type="data" outline="0" fieldPosition="0">
        <references count="2">
          <reference field="4294967294" count="1" selected="0">
            <x v="0"/>
          </reference>
          <reference field="6" count="1" selected="0">
            <x v="10"/>
          </reference>
        </references>
      </pivotArea>
    </chartFormat>
    <chartFormat chart="2" format="5">
      <pivotArea type="data" outline="0" fieldPosition="0">
        <references count="2">
          <reference field="4294967294" count="1" selected="0">
            <x v="0"/>
          </reference>
          <reference field="6" count="1" selected="0">
            <x v="9"/>
          </reference>
        </references>
      </pivotArea>
    </chartFormat>
    <chartFormat chart="2" format="6">
      <pivotArea type="data" outline="0" fieldPosition="0">
        <references count="2">
          <reference field="4294967294" count="1" selected="0">
            <x v="0"/>
          </reference>
          <reference field="6" count="1" selected="0">
            <x v="8"/>
          </reference>
        </references>
      </pivotArea>
    </chartFormat>
    <chartFormat chart="2" format="7">
      <pivotArea type="data" outline="0" fieldPosition="0">
        <references count="2">
          <reference field="4294967294" count="1" selected="0">
            <x v="0"/>
          </reference>
          <reference field="6" count="1" selected="0">
            <x v="7"/>
          </reference>
        </references>
      </pivotArea>
    </chartFormat>
    <chartFormat chart="2" format="8">
      <pivotArea type="data" outline="0" fieldPosition="0">
        <references count="2">
          <reference field="4294967294" count="1" selected="0">
            <x v="0"/>
          </reference>
          <reference field="6" count="1" selected="0">
            <x v="6"/>
          </reference>
        </references>
      </pivotArea>
    </chartFormat>
    <chartFormat chart="2" format="9">
      <pivotArea type="data" outline="0" fieldPosition="0">
        <references count="2">
          <reference field="4294967294" count="1" selected="0">
            <x v="0"/>
          </reference>
          <reference field="6" count="1" selected="0">
            <x v="5"/>
          </reference>
        </references>
      </pivotArea>
    </chartFormat>
    <chartFormat chart="2" format="10">
      <pivotArea type="data" outline="0" fieldPosition="0">
        <references count="2">
          <reference field="4294967294" count="1" selected="0">
            <x v="0"/>
          </reference>
          <reference field="6" count="1" selected="0">
            <x v="4"/>
          </reference>
        </references>
      </pivotArea>
    </chartFormat>
    <chartFormat chart="2" format="11">
      <pivotArea type="data" outline="0" fieldPosition="0">
        <references count="2">
          <reference field="4294967294" count="1" selected="0">
            <x v="0"/>
          </reference>
          <reference field="6" count="1" selected="0">
            <x v="3"/>
          </reference>
        </references>
      </pivotArea>
    </chartFormat>
    <chartFormat chart="2" format="12">
      <pivotArea type="data" outline="0" fieldPosition="0">
        <references count="2">
          <reference field="4294967294" count="1" selected="0">
            <x v="0"/>
          </reference>
          <reference field="6" count="1" selected="0">
            <x v="2"/>
          </reference>
        </references>
      </pivotArea>
    </chartFormat>
    <chartFormat chart="2" format="13">
      <pivotArea type="data" outline="0" fieldPosition="0">
        <references count="2">
          <reference field="4294967294" count="1" selected="0">
            <x v="0"/>
          </reference>
          <reference field="6" count="1" selected="0">
            <x v="1"/>
          </reference>
        </references>
      </pivotArea>
    </chartFormat>
    <chartFormat chart="2" format="14">
      <pivotArea type="data" outline="0" fieldPosition="0">
        <references count="2">
          <reference field="4294967294" count="1" selected="0">
            <x v="0"/>
          </reference>
          <reference field="6" count="1" selected="0">
            <x v="0"/>
          </reference>
        </references>
      </pivotArea>
    </chartFormat>
    <chartFormat chart="4" format="28" series="1">
      <pivotArea type="data" outline="0" fieldPosition="0">
        <references count="1">
          <reference field="4294967294" count="1" selected="0">
            <x v="0"/>
          </reference>
        </references>
      </pivotArea>
    </chartFormat>
    <chartFormat chart="4" format="29">
      <pivotArea type="data" outline="0" fieldPosition="0">
        <references count="2">
          <reference field="4294967294" count="1" selected="0">
            <x v="0"/>
          </reference>
          <reference field="6" count="1" selected="0">
            <x v="0"/>
          </reference>
        </references>
      </pivotArea>
    </chartFormat>
    <chartFormat chart="4" format="30">
      <pivotArea type="data" outline="0" fieldPosition="0">
        <references count="2">
          <reference field="4294967294" count="1" selected="0">
            <x v="0"/>
          </reference>
          <reference field="6" count="1" selected="0">
            <x v="1"/>
          </reference>
        </references>
      </pivotArea>
    </chartFormat>
    <chartFormat chart="4" format="31">
      <pivotArea type="data" outline="0" fieldPosition="0">
        <references count="2">
          <reference field="4294967294" count="1" selected="0">
            <x v="0"/>
          </reference>
          <reference field="6" count="1" selected="0">
            <x v="2"/>
          </reference>
        </references>
      </pivotArea>
    </chartFormat>
    <chartFormat chart="4" format="32">
      <pivotArea type="data" outline="0" fieldPosition="0">
        <references count="2">
          <reference field="4294967294" count="1" selected="0">
            <x v="0"/>
          </reference>
          <reference field="6" count="1" selected="0">
            <x v="3"/>
          </reference>
        </references>
      </pivotArea>
    </chartFormat>
    <chartFormat chart="4" format="33">
      <pivotArea type="data" outline="0" fieldPosition="0">
        <references count="2">
          <reference field="4294967294" count="1" selected="0">
            <x v="0"/>
          </reference>
          <reference field="6" count="1" selected="0">
            <x v="4"/>
          </reference>
        </references>
      </pivotArea>
    </chartFormat>
    <chartFormat chart="4" format="34">
      <pivotArea type="data" outline="0" fieldPosition="0">
        <references count="2">
          <reference field="4294967294" count="1" selected="0">
            <x v="0"/>
          </reference>
          <reference field="6" count="1" selected="0">
            <x v="5"/>
          </reference>
        </references>
      </pivotArea>
    </chartFormat>
    <chartFormat chart="4" format="35">
      <pivotArea type="data" outline="0" fieldPosition="0">
        <references count="2">
          <reference field="4294967294" count="1" selected="0">
            <x v="0"/>
          </reference>
          <reference field="6" count="1" selected="0">
            <x v="6"/>
          </reference>
        </references>
      </pivotArea>
    </chartFormat>
    <chartFormat chart="4" format="36">
      <pivotArea type="data" outline="0" fieldPosition="0">
        <references count="2">
          <reference field="4294967294" count="1" selected="0">
            <x v="0"/>
          </reference>
          <reference field="6" count="1" selected="0">
            <x v="7"/>
          </reference>
        </references>
      </pivotArea>
    </chartFormat>
    <chartFormat chart="4" format="37">
      <pivotArea type="data" outline="0" fieldPosition="0">
        <references count="2">
          <reference field="4294967294" count="1" selected="0">
            <x v="0"/>
          </reference>
          <reference field="6" count="1" selected="0">
            <x v="8"/>
          </reference>
        </references>
      </pivotArea>
    </chartFormat>
    <chartFormat chart="4" format="38">
      <pivotArea type="data" outline="0" fieldPosition="0">
        <references count="2">
          <reference field="4294967294" count="1" selected="0">
            <x v="0"/>
          </reference>
          <reference field="6" count="1" selected="0">
            <x v="9"/>
          </reference>
        </references>
      </pivotArea>
    </chartFormat>
    <chartFormat chart="4" format="39">
      <pivotArea type="data" outline="0" fieldPosition="0">
        <references count="2">
          <reference field="4294967294" count="1" selected="0">
            <x v="0"/>
          </reference>
          <reference field="6" count="1" selected="0">
            <x v="10"/>
          </reference>
        </references>
      </pivotArea>
    </chartFormat>
    <chartFormat chart="4" format="40">
      <pivotArea type="data" outline="0" fieldPosition="0">
        <references count="2">
          <reference field="4294967294" count="1" selected="0">
            <x v="0"/>
          </reference>
          <reference field="6"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Transaction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15:A16" firstHeaderRow="1" firstDataRow="1" firstDataCol="0"/>
  <pivotFields count="19">
    <pivotField dataField="1" showAll="0"/>
    <pivotField numFmtId="14" showAll="0">
      <items count="7">
        <item x="0"/>
        <item x="1"/>
        <item x="2"/>
        <item x="3"/>
        <item x="4"/>
        <item x="5"/>
        <item t="default"/>
      </items>
    </pivotField>
    <pivotField showAll="0"/>
    <pivotField showAll="0"/>
    <pivotField showAll="0"/>
    <pivotField showAll="0" defaultSubtotal="0"/>
    <pivotField showAll="0">
      <items count="13">
        <item x="6"/>
        <item x="7"/>
        <item x="8"/>
        <item x="9"/>
        <item x="10"/>
        <item x="11"/>
        <item x="0"/>
        <item x="1"/>
        <item x="2"/>
        <item x="3"/>
        <item x="4"/>
        <item x="5"/>
        <item t="default"/>
      </items>
    </pivotField>
    <pivotField showAll="0" defaultSubtotal="0"/>
    <pivotField showAll="0">
      <items count="6">
        <item x="4"/>
        <item x="2"/>
        <item x="3"/>
        <item x="1"/>
        <item x="0"/>
        <item t="default"/>
      </items>
    </pivotField>
    <pivotField showAll="0"/>
    <pivotField showAll="0"/>
    <pivotField showAll="0"/>
    <pivotField showAll="0"/>
    <pivotField showAll="0"/>
    <pivotField showAll="0"/>
    <pivotField showAll="0">
      <items count="5">
        <item x="2"/>
        <item x="1"/>
        <item x="3"/>
        <item x="0"/>
        <item t="default"/>
      </items>
    </pivotField>
    <pivotField numFmtId="1" showAll="0"/>
    <pivotField showAll="0"/>
    <pivotField showAll="0">
      <items count="16">
        <item x="8"/>
        <item x="5"/>
        <item x="12"/>
        <item x="14"/>
        <item x="7"/>
        <item x="11"/>
        <item x="3"/>
        <item x="13"/>
        <item x="4"/>
        <item x="6"/>
        <item x="10"/>
        <item x="0"/>
        <item x="2"/>
        <item x="9"/>
        <item x="1"/>
        <item t="default"/>
      </items>
    </pivotField>
  </pivotFields>
  <rowItems count="1">
    <i/>
  </rowItems>
  <colItems count="1">
    <i/>
  </colItems>
  <dataFields count="1">
    <dataField name="Count of Transaction ID" fld="0" subtotal="count" baseField="0" baseItem="3600456"/>
  </dataFields>
  <formats count="1">
    <format dxfId="4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Customer_Ratings by Rating_Statu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5" rowHeaderCaption="Rating_Status">
  <location ref="L3:M7" firstHeaderRow="1" firstDataRow="1" firstDataCol="1"/>
  <pivotFields count="19">
    <pivotField showAll="0"/>
    <pivotField numFmtId="14" showAll="0">
      <items count="7">
        <item x="0"/>
        <item x="1"/>
        <item x="2"/>
        <item x="3"/>
        <item x="4"/>
        <item x="5"/>
        <item t="default"/>
      </items>
    </pivotField>
    <pivotField showAll="0"/>
    <pivotField showAll="0"/>
    <pivotField showAll="0"/>
    <pivotField showAll="0" defaultSubtotal="0"/>
    <pivotField showAll="0" nonAutoSortDefault="1">
      <items count="13">
        <item x="3"/>
        <item x="4"/>
        <item x="5"/>
        <item x="6"/>
        <item x="7"/>
        <item x="8"/>
        <item x="9"/>
        <item x="10"/>
        <item x="11"/>
        <item x="0"/>
        <item x="1"/>
        <item x="2"/>
        <item t="default"/>
      </items>
    </pivotField>
    <pivotField showAll="0" defaultSubtotal="0"/>
    <pivotField showAll="0">
      <items count="6">
        <item x="4"/>
        <item x="2"/>
        <item x="3"/>
        <item x="1"/>
        <item x="0"/>
        <item t="default"/>
      </items>
    </pivotField>
    <pivotField showAll="0"/>
    <pivotField showAll="0"/>
    <pivotField showAll="0"/>
    <pivotField showAll="0"/>
    <pivotField showAll="0"/>
    <pivotField showAll="0">
      <items count="20">
        <item x="18"/>
        <item x="13"/>
        <item x="8"/>
        <item x="9"/>
        <item x="1"/>
        <item x="3"/>
        <item x="7"/>
        <item x="16"/>
        <item x="4"/>
        <item x="12"/>
        <item x="10"/>
        <item x="15"/>
        <item x="0"/>
        <item x="6"/>
        <item x="2"/>
        <item x="17"/>
        <item x="11"/>
        <item x="14"/>
        <item x="5"/>
        <item t="default"/>
      </items>
    </pivotField>
    <pivotField showAll="0">
      <items count="5">
        <item x="2"/>
        <item x="1"/>
        <item x="3"/>
        <item x="0"/>
        <item t="default"/>
      </items>
    </pivotField>
    <pivotField dataField="1" numFmtId="1" showAll="0"/>
    <pivotField axis="axisRow" showAll="0" sortType="ascending">
      <items count="4">
        <item x="1"/>
        <item x="0"/>
        <item x="2"/>
        <item t="default"/>
      </items>
      <autoSortScope>
        <pivotArea dataOnly="0" outline="0" fieldPosition="0">
          <references count="1">
            <reference field="4294967294" count="1" selected="0">
              <x v="0"/>
            </reference>
          </references>
        </pivotArea>
      </autoSortScope>
    </pivotField>
    <pivotField showAll="0">
      <items count="16">
        <item x="8"/>
        <item x="5"/>
        <item x="12"/>
        <item x="14"/>
        <item x="7"/>
        <item x="11"/>
        <item x="3"/>
        <item x="13"/>
        <item x="4"/>
        <item x="6"/>
        <item x="10"/>
        <item x="0"/>
        <item x="2"/>
        <item x="9"/>
        <item x="1"/>
        <item t="default"/>
      </items>
    </pivotField>
  </pivotFields>
  <rowFields count="1">
    <field x="17"/>
  </rowFields>
  <rowItems count="4">
    <i>
      <x/>
    </i>
    <i>
      <x v="2"/>
    </i>
    <i>
      <x v="1"/>
    </i>
    <i t="grand">
      <x/>
    </i>
  </rowItems>
  <colItems count="1">
    <i/>
  </colItems>
  <dataFields count="1">
    <dataField name="Customer_Ratings" fld="16" subtotal="count" baseField="16" baseItem="0"/>
  </dataFields>
  <formats count="6">
    <format dxfId="55">
      <pivotArea dataOnly="0" labelOnly="1" outline="0" axis="axisValues" fieldPosition="0"/>
    </format>
    <format dxfId="54">
      <pivotArea field="14" type="button" dataOnly="0" labelOnly="1" outline="0"/>
    </format>
    <format dxfId="53">
      <pivotArea grandRow="1" outline="0" collapsedLevelsAreSubtotals="1" fieldPosition="0"/>
    </format>
    <format dxfId="52">
      <pivotArea dataOnly="0" labelOnly="1" grandRow="1" outline="0" fieldPosition="0"/>
    </format>
    <format dxfId="51">
      <pivotArea field="6" type="button" dataOnly="0" labelOnly="1" outline="0"/>
    </format>
    <format dxfId="50">
      <pivotArea field="17" type="button" dataOnly="0" labelOnly="1" outline="0" axis="axisRow"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Total_Sales &amp; Total_Transactions by Brands (Data_Tabl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rowHeaderCaption="Brands">
  <location ref="X3:Z9" firstHeaderRow="0" firstDataRow="1" firstDataCol="1"/>
  <pivotFields count="19">
    <pivotField showAll="0"/>
    <pivotField dataField="1" numFmtId="14" showAll="0">
      <items count="7">
        <item x="0"/>
        <item x="1"/>
        <item x="2"/>
        <item x="3"/>
        <item x="4"/>
        <item x="5"/>
        <item t="default"/>
      </items>
    </pivotField>
    <pivotField showAll="0"/>
    <pivotField showAll="0"/>
    <pivotField showAll="0"/>
    <pivotField showAll="0" defaultSubtotal="0"/>
    <pivotField showAll="0" nonAutoSortDefault="1">
      <items count="13">
        <item x="3"/>
        <item x="4"/>
        <item x="5"/>
        <item x="6"/>
        <item x="7"/>
        <item x="8"/>
        <item x="9"/>
        <item x="10"/>
        <item x="11"/>
        <item x="0"/>
        <item x="1"/>
        <item x="2"/>
        <item t="default"/>
      </items>
    </pivotField>
    <pivotField showAll="0" defaultSubtotal="0"/>
    <pivotField axis="axisRow" showAll="0">
      <items count="6">
        <item x="4"/>
        <item x="2"/>
        <item x="3"/>
        <item x="1"/>
        <item x="0"/>
        <item t="default"/>
      </items>
    </pivotField>
    <pivotField showAll="0"/>
    <pivotField showAll="0"/>
    <pivotField dataField="1" showAll="0"/>
    <pivotField showAll="0"/>
    <pivotField showAll="0"/>
    <pivotField showAll="0">
      <items count="20">
        <item x="18"/>
        <item x="13"/>
        <item x="8"/>
        <item x="9"/>
        <item x="1"/>
        <item x="3"/>
        <item x="7"/>
        <item x="16"/>
        <item x="4"/>
        <item x="12"/>
        <item x="10"/>
        <item x="15"/>
        <item x="0"/>
        <item x="6"/>
        <item x="2"/>
        <item x="17"/>
        <item x="11"/>
        <item x="14"/>
        <item x="5"/>
        <item t="default"/>
      </items>
    </pivotField>
    <pivotField showAll="0">
      <items count="5">
        <item x="2"/>
        <item x="1"/>
        <item x="3"/>
        <item x="0"/>
        <item t="default"/>
      </items>
    </pivotField>
    <pivotField numFmtId="1" showAll="0"/>
    <pivotField showAll="0">
      <items count="4">
        <item x="1"/>
        <item x="0"/>
        <item x="2"/>
        <item t="default"/>
      </items>
    </pivotField>
    <pivotField showAll="0">
      <items count="16">
        <item x="8"/>
        <item x="5"/>
        <item x="12"/>
        <item x="14"/>
        <item x="7"/>
        <item x="11"/>
        <item x="3"/>
        <item x="13"/>
        <item x="4"/>
        <item x="6"/>
        <item x="10"/>
        <item x="0"/>
        <item x="2"/>
        <item x="9"/>
        <item x="1"/>
        <item t="default"/>
      </items>
    </pivotField>
  </pivotFields>
  <rowFields count="1">
    <field x="8"/>
  </rowFields>
  <rowItems count="6">
    <i>
      <x/>
    </i>
    <i>
      <x v="1"/>
    </i>
    <i>
      <x v="2"/>
    </i>
    <i>
      <x v="3"/>
    </i>
    <i>
      <x v="4"/>
    </i>
    <i t="grand">
      <x/>
    </i>
  </rowItems>
  <colFields count="1">
    <field x="-2"/>
  </colFields>
  <colItems count="2">
    <i>
      <x/>
    </i>
    <i i="1">
      <x v="1"/>
    </i>
  </colItems>
  <dataFields count="2">
    <dataField name="Total_Sales" fld="11" baseField="0" baseItem="0" numFmtId="168"/>
    <dataField name="Transactions" fld="1" subtotal="count" baseField="0" baseItem="0"/>
  </dataFields>
  <formats count="11">
    <format dxfId="66">
      <pivotArea dataOnly="0" labelOnly="1" outline="0" axis="axisValues" fieldPosition="0"/>
    </format>
    <format dxfId="65">
      <pivotArea field="14" type="button" dataOnly="0" labelOnly="1" outline="0"/>
    </format>
    <format dxfId="64">
      <pivotArea grandRow="1" outline="0" collapsedLevelsAreSubtotals="1" fieldPosition="0"/>
    </format>
    <format dxfId="63">
      <pivotArea dataOnly="0" labelOnly="1" grandRow="1" outline="0" fieldPosition="0"/>
    </format>
    <format dxfId="62">
      <pivotArea field="6" type="button" dataOnly="0" labelOnly="1" outline="0"/>
    </format>
    <format dxfId="61">
      <pivotArea field="17" type="button" dataOnly="0" labelOnly="1" outline="0"/>
    </format>
    <format dxfId="60">
      <pivotArea field="15" type="button" dataOnly="0" labelOnly="1" outline="0"/>
    </format>
    <format dxfId="59">
      <pivotArea field="18" type="button" dataOnly="0" labelOnly="1" outline="0"/>
    </format>
    <format dxfId="58">
      <pivotArea field="8" type="button" dataOnly="0" labelOnly="1" outline="0" axis="axisRow" fieldPosition="0"/>
    </format>
    <format dxfId="57">
      <pivotArea dataOnly="0" labelOnly="1" outline="0" fieldPosition="0">
        <references count="1">
          <reference field="4294967294" count="2">
            <x v="0"/>
            <x v="1"/>
          </reference>
        </references>
      </pivotArea>
    </format>
    <format dxfId="56">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Total_Quantity"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9:A10" firstHeaderRow="1" firstDataRow="1" firstDataCol="0"/>
  <pivotFields count="19">
    <pivotField showAll="0"/>
    <pivotField numFmtId="14" showAll="0">
      <items count="7">
        <item x="0"/>
        <item x="1"/>
        <item x="2"/>
        <item x="3"/>
        <item x="4"/>
        <item x="5"/>
        <item t="default"/>
      </items>
    </pivotField>
    <pivotField showAll="0"/>
    <pivotField showAll="0"/>
    <pivotField showAll="0"/>
    <pivotField showAll="0" defaultSubtotal="0"/>
    <pivotField showAll="0">
      <items count="13">
        <item x="6"/>
        <item x="7"/>
        <item x="8"/>
        <item x="9"/>
        <item x="10"/>
        <item x="11"/>
        <item x="0"/>
        <item x="1"/>
        <item x="2"/>
        <item x="3"/>
        <item x="4"/>
        <item x="5"/>
        <item t="default"/>
      </items>
    </pivotField>
    <pivotField showAll="0" defaultSubtotal="0"/>
    <pivotField showAll="0">
      <items count="6">
        <item x="4"/>
        <item x="2"/>
        <item x="3"/>
        <item x="1"/>
        <item x="0"/>
        <item t="default"/>
      </items>
    </pivotField>
    <pivotField dataField="1" showAll="0"/>
    <pivotField showAll="0"/>
    <pivotField showAll="0"/>
    <pivotField showAll="0"/>
    <pivotField showAll="0"/>
    <pivotField showAll="0"/>
    <pivotField showAll="0">
      <items count="5">
        <item x="2"/>
        <item x="1"/>
        <item x="3"/>
        <item x="0"/>
        <item t="default"/>
      </items>
    </pivotField>
    <pivotField numFmtId="1" showAll="0"/>
    <pivotField showAll="0"/>
    <pivotField showAll="0">
      <items count="16">
        <item x="8"/>
        <item x="5"/>
        <item x="12"/>
        <item x="14"/>
        <item x="7"/>
        <item x="11"/>
        <item x="3"/>
        <item x="13"/>
        <item x="4"/>
        <item x="6"/>
        <item x="10"/>
        <item x="0"/>
        <item x="2"/>
        <item x="9"/>
        <item x="1"/>
        <item t="default"/>
      </items>
    </pivotField>
  </pivotFields>
  <rowItems count="1">
    <i/>
  </rowItems>
  <colItems count="1">
    <i/>
  </colItems>
  <dataFields count="1">
    <dataField name="Sum of Units Sold" fld="9" baseField="0" baseItem="0"/>
  </dataFields>
  <formats count="1">
    <format dxfId="6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Total_Transcations by Payment_Metho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5" rowHeaderCaption="Payment_Method">
  <location ref="O3:P8" firstHeaderRow="1" firstDataRow="1" firstDataCol="1"/>
  <pivotFields count="19">
    <pivotField dataField="1" showAll="0"/>
    <pivotField numFmtId="14" showAll="0">
      <items count="7">
        <item x="0"/>
        <item x="1"/>
        <item x="2"/>
        <item x="3"/>
        <item x="4"/>
        <item x="5"/>
        <item t="default"/>
      </items>
    </pivotField>
    <pivotField showAll="0"/>
    <pivotField showAll="0"/>
    <pivotField showAll="0"/>
    <pivotField showAll="0" defaultSubtotal="0"/>
    <pivotField showAll="0" nonAutoSortDefault="1">
      <items count="13">
        <item x="3"/>
        <item x="4"/>
        <item x="5"/>
        <item x="6"/>
        <item x="7"/>
        <item x="8"/>
        <item x="9"/>
        <item x="10"/>
        <item x="11"/>
        <item x="0"/>
        <item x="1"/>
        <item x="2"/>
        <item t="default"/>
      </items>
    </pivotField>
    <pivotField showAll="0" defaultSubtotal="0"/>
    <pivotField showAll="0">
      <items count="6">
        <item x="4"/>
        <item x="2"/>
        <item x="3"/>
        <item x="1"/>
        <item x="0"/>
        <item t="default"/>
      </items>
    </pivotField>
    <pivotField showAll="0"/>
    <pivotField showAll="0"/>
    <pivotField showAll="0"/>
    <pivotField showAll="0"/>
    <pivotField showAll="0"/>
    <pivotField showAll="0">
      <items count="20">
        <item x="18"/>
        <item x="13"/>
        <item x="8"/>
        <item x="9"/>
        <item x="1"/>
        <item x="3"/>
        <item x="7"/>
        <item x="16"/>
        <item x="4"/>
        <item x="12"/>
        <item x="10"/>
        <item x="15"/>
        <item x="0"/>
        <item x="6"/>
        <item x="2"/>
        <item x="17"/>
        <item x="11"/>
        <item x="14"/>
        <item x="5"/>
        <item t="default"/>
      </items>
    </pivotField>
    <pivotField axis="axisRow" showAll="0">
      <items count="5">
        <item x="2"/>
        <item x="1"/>
        <item x="3"/>
        <item x="0"/>
        <item t="default"/>
      </items>
    </pivotField>
    <pivotField numFmtId="1" showAll="0"/>
    <pivotField showAll="0">
      <items count="4">
        <item x="1"/>
        <item x="0"/>
        <item x="2"/>
        <item t="default"/>
      </items>
    </pivotField>
    <pivotField showAll="0">
      <items count="16">
        <item x="8"/>
        <item x="5"/>
        <item x="12"/>
        <item x="14"/>
        <item x="7"/>
        <item x="11"/>
        <item x="3"/>
        <item x="13"/>
        <item x="4"/>
        <item x="6"/>
        <item x="10"/>
        <item x="0"/>
        <item x="2"/>
        <item x="9"/>
        <item x="1"/>
        <item t="default"/>
      </items>
    </pivotField>
  </pivotFields>
  <rowFields count="1">
    <field x="15"/>
  </rowFields>
  <rowItems count="5">
    <i>
      <x/>
    </i>
    <i>
      <x v="1"/>
    </i>
    <i>
      <x v="2"/>
    </i>
    <i>
      <x v="3"/>
    </i>
    <i t="grand">
      <x/>
    </i>
  </rowItems>
  <colItems count="1">
    <i/>
  </colItems>
  <dataFields count="1">
    <dataField name="Transactions" fld="0" subtotal="count" baseField="15" baseItem="0"/>
  </dataFields>
  <formats count="7">
    <format dxfId="74">
      <pivotArea dataOnly="0" labelOnly="1" outline="0" axis="axisValues" fieldPosition="0"/>
    </format>
    <format dxfId="73">
      <pivotArea field="14" type="button" dataOnly="0" labelOnly="1" outline="0"/>
    </format>
    <format dxfId="72">
      <pivotArea grandRow="1" outline="0" collapsedLevelsAreSubtotals="1" fieldPosition="0"/>
    </format>
    <format dxfId="71">
      <pivotArea dataOnly="0" labelOnly="1" grandRow="1" outline="0" fieldPosition="0"/>
    </format>
    <format dxfId="70">
      <pivotArea field="6" type="button" dataOnly="0" labelOnly="1" outline="0"/>
    </format>
    <format dxfId="69">
      <pivotArea field="17" type="button" dataOnly="0" labelOnly="1" outline="0"/>
    </format>
    <format dxfId="68">
      <pivotArea field="15" type="button" dataOnly="0" labelOnly="1" outline="0" axis="axisRow" fieldPosition="0"/>
    </format>
  </format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obile_Model" sourceName="Mobile Model">
  <pivotTables>
    <pivotTable tabId="2" name="Total_Sales"/>
    <pivotTable tabId="2" name="Average_Price"/>
    <pivotTable tabId="2" name="Customer_Ratings by Rating_Status"/>
    <pivotTable tabId="2" name="Total_Quantity"/>
    <pivotTable tabId="2" name="Total_Quantity by Months"/>
    <pivotTable tabId="2" name="Total_Sales &amp; Total_Transactions by Brands (Data_Table)"/>
    <pivotTable tabId="2" name="Total_Sales by Cities"/>
    <pivotTable tabId="2" name="Total_Sales by Days"/>
    <pivotTable tabId="2" name="Total_Transcations by Payment_Method"/>
    <pivotTable tabId="2" name="Transactions"/>
  </pivotTables>
  <data>
    <tabular pivotCacheId="1">
      <items count="15">
        <i x="8" s="1"/>
        <i x="5" s="1"/>
        <i x="12" s="1"/>
        <i x="14" s="1"/>
        <i x="7" s="1"/>
        <i x="11" s="1"/>
        <i x="3" s="1"/>
        <i x="13" s="1"/>
        <i x="4" s="1"/>
        <i x="6" s="1"/>
        <i x="10" s="1"/>
        <i x="0" s="1"/>
        <i x="2" s="1"/>
        <i x="9"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Brand" sourceName="Brand">
  <pivotTables>
    <pivotTable tabId="2" name="Total_Sales"/>
    <pivotTable tabId="2" name="Average_Price"/>
    <pivotTable tabId="2" name="Customer_Ratings by Rating_Status"/>
    <pivotTable tabId="2" name="Total_Quantity"/>
    <pivotTable tabId="2" name="Total_Quantity by Months"/>
    <pivotTable tabId="2" name="Total_Sales by Cities"/>
    <pivotTable tabId="2" name="Total_Sales by Days"/>
    <pivotTable tabId="2" name="Total_Sales by Mobile_Model"/>
    <pivotTable tabId="2" name="Total_Transcations by Payment_Method"/>
    <pivotTable tabId="2" name="Transactions"/>
  </pivotTables>
  <data>
    <tabular pivotCacheId="1">
      <items count="5">
        <i x="4" s="1"/>
        <i x="2" s="1"/>
        <i x="3"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ayment_Method" sourceName="Payment Method">
  <pivotTables>
    <pivotTable tabId="2" name="Total_Sales"/>
    <pivotTable tabId="2" name="Average_Price"/>
    <pivotTable tabId="2" name="Customer_Ratings by Rating_Status"/>
    <pivotTable tabId="2" name="Total_Quantity"/>
    <pivotTable tabId="2" name="Total_Quantity by Months"/>
    <pivotTable tabId="2" name="Total_Sales &amp; Total_Transactions by Brands (Data_Table)"/>
    <pivotTable tabId="2" name="Total_Sales by Cities"/>
    <pivotTable tabId="2" name="Total_Sales by Days"/>
    <pivotTable tabId="2" name="Total_Sales by Mobile_Model"/>
    <pivotTable tabId="2" name="Transactions"/>
  </pivotTables>
  <data>
    <tabular pivotCacheId="1">
      <items count="4">
        <i x="2"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Month_Name" sourceName="Month Name">
  <pivotTables>
    <pivotTable tabId="2" name="Total_Sales"/>
    <pivotTable tabId="2" name="Average_Price"/>
    <pivotTable tabId="2" name="Customer_Ratings by Rating_Status"/>
    <pivotTable tabId="2" name="Total_Quantity"/>
    <pivotTable tabId="2" name="Total_Sales &amp; Total_Transactions by Brands (Data_Table)"/>
    <pivotTable tabId="2" name="Total_Sales by Cities"/>
    <pivotTable tabId="2" name="Total_Sales by Days"/>
    <pivotTable tabId="2" name="Total_Sales by Mobile_Model"/>
    <pivotTable tabId="2" name="Total_Transcations by Payment_Method"/>
    <pivotTable tabId="2" name="Transactions"/>
  </pivotTables>
  <data>
    <tabular pivotCacheId="1">
      <items count="12">
        <i x="6" s="1"/>
        <i x="7" s="1"/>
        <i x="8" s="1"/>
        <i x="9" s="1"/>
        <i x="10" s="1"/>
        <i x="11" s="1"/>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obile Model" cache="Slicer_Mobile_Model" caption="Mobile Model" style="Mobile Sales" rowHeight="274320"/>
  <slicer name="Brand" cache="Slicer_Brand" caption="Brand" startItem="2" style="Mobile Sales" rowHeight="274320"/>
  <slicer name="Payment Method" cache="Slicer_Payment_Method" caption="Payment Method" startItem="2" style="Mobile Sales" rowHeight="274320"/>
  <slicer name="Month Name" cache="Slicer_Month_Name" caption="Months" style="Mobile Sales" rowHeight="329184"/>
</slicers>
</file>

<file path=xl/tables/table1.xml><?xml version="1.0" encoding="utf-8"?>
<table xmlns="http://schemas.openxmlformats.org/spreadsheetml/2006/main" id="1" name="Table1" displayName="Table1" ref="A1:S3836" totalsRowShown="0" headerRowDxfId="20" dataDxfId="19">
  <autoFilter ref="A1:S3836"/>
  <tableColumns count="19">
    <tableColumn id="1" name="Transaction ID" dataDxfId="18"/>
    <tableColumn id="15" name="Date" dataDxfId="17">
      <calculatedColumnFormula>DATE(Table1[[#This Row],[Year]],Table1[[#This Row],[Month]],Table1[[#This Row],[Day]])</calculatedColumnFormula>
    </tableColumn>
    <tableColumn id="2" name="Day" dataDxfId="16"/>
    <tableColumn id="3" name="Month" dataDxfId="15"/>
    <tableColumn id="4" name="Year" dataDxfId="14"/>
    <tableColumn id="5" name="Quarter" dataDxfId="13">
      <calculatedColumnFormula>"Qtr"&amp; " " &amp;CHOOSE(MONTH(Table1[[#This Row],[Date]]),1,1,1,2,2,2,3,3,3,4,4,4)</calculatedColumnFormula>
    </tableColumn>
    <tableColumn id="16" name="Month Name" dataDxfId="12">
      <calculatedColumnFormula>TEXT(Table1[[#This Row],[Date]],"mmmm")</calculatedColumnFormula>
    </tableColumn>
    <tableColumn id="19" name="Day_Name" dataDxfId="11"/>
    <tableColumn id="6" name="Brand" dataDxfId="10"/>
    <tableColumn id="7" name="Units Sold" dataDxfId="9"/>
    <tableColumn id="8" name="Price Per Unit" dataDxfId="8"/>
    <tableColumn id="17" name="Sales" dataDxfId="7">
      <calculatedColumnFormula>Table1[[#This Row],[Price Per Unit]]*Table1[[#This Row],[Units Sold]]</calculatedColumnFormula>
    </tableColumn>
    <tableColumn id="9" name="Customer Name" dataDxfId="6"/>
    <tableColumn id="10" name="Customer Age" dataDxfId="5"/>
    <tableColumn id="11" name="City" dataDxfId="4"/>
    <tableColumn id="12" name="Payment Method" dataDxfId="3"/>
    <tableColumn id="13" name="Customer Ratings" dataDxfId="2"/>
    <tableColumn id="18" name="Rating Status" dataDxfId="1">
      <calculatedColumnFormula>IF(Table1[[#This Row],[Customer Ratings]]&gt;=4, "Good",IF(Table1[[#This Row],[Customer Ratings]]=3, "Average","Poor"))</calculatedColumnFormula>
    </tableColumn>
    <tableColumn id="14" name="Mobile Model"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E7"/>
  <sheetViews>
    <sheetView showGridLines="0" tabSelected="1" workbookViewId="0">
      <selection activeCell="E35" sqref="E35"/>
    </sheetView>
  </sheetViews>
  <sheetFormatPr defaultRowHeight="15" x14ac:dyDescent="0.25"/>
  <cols>
    <col min="1" max="16384" width="9.140625" style="8"/>
  </cols>
  <sheetData>
    <row r="7" spans="5:5" x14ac:dyDescent="0.25">
      <c r="E7" s="11"/>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Z22"/>
  <sheetViews>
    <sheetView showGridLines="0" topLeftCell="N1" workbookViewId="0">
      <selection activeCell="P4" sqref="P4"/>
    </sheetView>
  </sheetViews>
  <sheetFormatPr defaultRowHeight="15" x14ac:dyDescent="0.25"/>
  <cols>
    <col min="1" max="1" width="23.5703125" bestFit="1" customWidth="1"/>
    <col min="3" max="3" width="14.28515625" bestFit="1" customWidth="1"/>
    <col min="4" max="4" width="9.140625" customWidth="1"/>
    <col min="6" max="6" width="11.28515625" customWidth="1"/>
    <col min="7" max="7" width="12" bestFit="1" customWidth="1"/>
    <col min="9" max="9" width="11.28515625" customWidth="1"/>
    <col min="10" max="10" width="14.28515625" customWidth="1"/>
    <col min="12" max="12" width="15.42578125" bestFit="1" customWidth="1"/>
    <col min="13" max="13" width="17.28515625" bestFit="1" customWidth="1"/>
    <col min="15" max="15" width="19.5703125" bestFit="1" customWidth="1"/>
    <col min="16" max="16" width="12" bestFit="1" customWidth="1"/>
    <col min="18" max="18" width="16.7109375" customWidth="1"/>
    <col min="19" max="19" width="12" bestFit="1" customWidth="1"/>
    <col min="21" max="21" width="11.28515625" customWidth="1"/>
    <col min="22" max="22" width="12" bestFit="1" customWidth="1"/>
    <col min="24" max="24" width="11.28515625" bestFit="1" customWidth="1"/>
    <col min="25" max="25" width="12" bestFit="1" customWidth="1"/>
    <col min="26" max="26" width="12" customWidth="1"/>
  </cols>
  <sheetData>
    <row r="3" spans="1:26" x14ac:dyDescent="0.25">
      <c r="A3" s="8" t="s">
        <v>1048</v>
      </c>
      <c r="C3" s="7" t="s">
        <v>1052</v>
      </c>
      <c r="F3" s="8" t="s">
        <v>9</v>
      </c>
      <c r="G3" s="8" t="s">
        <v>1052</v>
      </c>
      <c r="I3" s="8" t="s">
        <v>1077</v>
      </c>
      <c r="J3" s="8" t="s">
        <v>1053</v>
      </c>
      <c r="L3" s="8" t="s">
        <v>1072</v>
      </c>
      <c r="M3" s="8" t="s">
        <v>1073</v>
      </c>
      <c r="O3" s="8" t="s">
        <v>1074</v>
      </c>
      <c r="P3" s="8" t="s">
        <v>1054</v>
      </c>
      <c r="R3" s="8" t="s">
        <v>1075</v>
      </c>
      <c r="S3" s="8" t="s">
        <v>1052</v>
      </c>
      <c r="U3" s="8" t="s">
        <v>1076</v>
      </c>
      <c r="V3" s="8" t="s">
        <v>1052</v>
      </c>
      <c r="X3" s="8" t="s">
        <v>1078</v>
      </c>
      <c r="Y3" s="8" t="s">
        <v>1052</v>
      </c>
      <c r="Z3" s="8" t="s">
        <v>1054</v>
      </c>
    </row>
    <row r="4" spans="1:26" x14ac:dyDescent="0.25">
      <c r="A4" s="6">
        <v>769204987.96999967</v>
      </c>
      <c r="C4" s="19">
        <f>GETPIVOTDATA("Sales",$A$3)</f>
        <v>769204987.96999967</v>
      </c>
      <c r="F4" s="3" t="s">
        <v>30</v>
      </c>
      <c r="G4" s="6">
        <v>25663158.940000001</v>
      </c>
      <c r="I4" s="3" t="s">
        <v>1066</v>
      </c>
      <c r="J4" s="6">
        <v>1672</v>
      </c>
      <c r="L4" s="3" t="s">
        <v>1069</v>
      </c>
      <c r="M4" s="6">
        <v>652</v>
      </c>
      <c r="O4" s="3" t="s">
        <v>31</v>
      </c>
      <c r="P4" s="6">
        <v>929</v>
      </c>
      <c r="R4" s="3" t="s">
        <v>36</v>
      </c>
      <c r="S4" s="6">
        <v>56005282.170000024</v>
      </c>
      <c r="U4" s="3" t="s">
        <v>1081</v>
      </c>
      <c r="V4" s="6">
        <v>113543379.95000011</v>
      </c>
      <c r="X4" s="3" t="s">
        <v>39</v>
      </c>
      <c r="Y4" s="21">
        <v>161615729.97000012</v>
      </c>
      <c r="Z4" s="6">
        <v>783</v>
      </c>
    </row>
    <row r="5" spans="1:26" x14ac:dyDescent="0.25">
      <c r="F5" s="3" t="s">
        <v>48</v>
      </c>
      <c r="G5" s="6">
        <v>26674256.780000001</v>
      </c>
      <c r="I5" s="3" t="s">
        <v>1067</v>
      </c>
      <c r="J5" s="6">
        <v>1451</v>
      </c>
      <c r="L5" s="3" t="s">
        <v>1071</v>
      </c>
      <c r="M5" s="6">
        <v>852</v>
      </c>
      <c r="O5" s="3" t="s">
        <v>21</v>
      </c>
      <c r="P5" s="6">
        <v>947</v>
      </c>
      <c r="R5" s="3" t="s">
        <v>38</v>
      </c>
      <c r="S5" s="6">
        <v>57888590.529999986</v>
      </c>
      <c r="U5" s="3" t="s">
        <v>1082</v>
      </c>
      <c r="V5" s="6">
        <v>109566845.13000004</v>
      </c>
      <c r="X5" s="3" t="s">
        <v>28</v>
      </c>
      <c r="Y5" s="21">
        <v>153719438.84000006</v>
      </c>
      <c r="Z5" s="6">
        <v>768</v>
      </c>
    </row>
    <row r="6" spans="1:26" x14ac:dyDescent="0.25">
      <c r="F6" s="3" t="s">
        <v>105</v>
      </c>
      <c r="G6" s="6">
        <v>26843792.04999999</v>
      </c>
      <c r="I6" s="3" t="s">
        <v>1068</v>
      </c>
      <c r="J6" s="6">
        <v>1696</v>
      </c>
      <c r="L6" s="3" t="s">
        <v>1070</v>
      </c>
      <c r="M6" s="6">
        <v>2331</v>
      </c>
      <c r="O6" s="3" t="s">
        <v>45</v>
      </c>
      <c r="P6" s="6">
        <v>948</v>
      </c>
      <c r="R6" s="3" t="s">
        <v>76</v>
      </c>
      <c r="S6" s="6">
        <v>59572003.520000026</v>
      </c>
      <c r="U6" s="3" t="s">
        <v>1083</v>
      </c>
      <c r="V6" s="6">
        <v>104914665.53000008</v>
      </c>
      <c r="X6" s="3" t="s">
        <v>33</v>
      </c>
      <c r="Y6" s="21">
        <v>160038054.50000006</v>
      </c>
      <c r="Z6" s="6">
        <v>775</v>
      </c>
    </row>
    <row r="7" spans="1:26" x14ac:dyDescent="0.25">
      <c r="F7" s="3" t="s">
        <v>137</v>
      </c>
      <c r="G7" s="6">
        <v>26994947.780000005</v>
      </c>
      <c r="I7" s="3" t="s">
        <v>1057</v>
      </c>
      <c r="J7" s="6">
        <v>1528</v>
      </c>
      <c r="L7" s="9" t="s">
        <v>1056</v>
      </c>
      <c r="M7" s="10">
        <v>3835</v>
      </c>
      <c r="O7" s="3" t="s">
        <v>16</v>
      </c>
      <c r="P7" s="6">
        <v>1011</v>
      </c>
      <c r="R7" s="9" t="s">
        <v>1056</v>
      </c>
      <c r="S7" s="10">
        <v>173465876.22000003</v>
      </c>
      <c r="U7" s="3" t="s">
        <v>1084</v>
      </c>
      <c r="V7" s="6">
        <v>106724167.28</v>
      </c>
      <c r="X7" s="3" t="s">
        <v>18</v>
      </c>
      <c r="Y7" s="21">
        <v>150078427.83000004</v>
      </c>
      <c r="Z7" s="6">
        <v>766</v>
      </c>
    </row>
    <row r="8" spans="1:26" x14ac:dyDescent="0.25">
      <c r="F8" s="3" t="s">
        <v>35</v>
      </c>
      <c r="G8" s="6">
        <v>27172939.039999988</v>
      </c>
      <c r="I8" s="3" t="s">
        <v>1058</v>
      </c>
      <c r="J8" s="6">
        <v>1625</v>
      </c>
      <c r="O8" s="9" t="s">
        <v>1056</v>
      </c>
      <c r="P8" s="10">
        <v>3835</v>
      </c>
      <c r="U8" s="3" t="s">
        <v>1085</v>
      </c>
      <c r="V8" s="6">
        <v>111750250.55</v>
      </c>
      <c r="X8" s="3" t="s">
        <v>13</v>
      </c>
      <c r="Y8" s="21">
        <v>143753336.82999986</v>
      </c>
      <c r="Z8" s="6">
        <v>743</v>
      </c>
    </row>
    <row r="9" spans="1:26" x14ac:dyDescent="0.25">
      <c r="A9" s="8" t="s">
        <v>1049</v>
      </c>
      <c r="C9" s="7" t="s">
        <v>1053</v>
      </c>
      <c r="F9" s="3" t="s">
        <v>78</v>
      </c>
      <c r="G9" s="6">
        <v>27326700.549999993</v>
      </c>
      <c r="I9" s="3" t="s">
        <v>1059</v>
      </c>
      <c r="J9" s="6">
        <v>1597</v>
      </c>
      <c r="U9" s="3" t="s">
        <v>1079</v>
      </c>
      <c r="V9" s="6">
        <v>114621857.79999998</v>
      </c>
      <c r="X9" s="9" t="s">
        <v>1056</v>
      </c>
      <c r="Y9" s="24">
        <v>769204987.96999967</v>
      </c>
      <c r="Z9" s="10">
        <v>3835</v>
      </c>
    </row>
    <row r="10" spans="1:26" x14ac:dyDescent="0.25">
      <c r="A10" s="6">
        <v>19150</v>
      </c>
      <c r="C10" s="12">
        <f>GETPIVOTDATA("Units Sold",$A$9)</f>
        <v>19150</v>
      </c>
      <c r="F10" s="3" t="s">
        <v>54</v>
      </c>
      <c r="G10" s="6">
        <v>30759533.52999999</v>
      </c>
      <c r="I10" s="3" t="s">
        <v>1060</v>
      </c>
      <c r="J10" s="6">
        <v>1700</v>
      </c>
      <c r="U10" s="3" t="s">
        <v>1080</v>
      </c>
      <c r="V10" s="6">
        <v>108083821.73000002</v>
      </c>
    </row>
    <row r="11" spans="1:26" x14ac:dyDescent="0.25">
      <c r="F11" s="3" t="s">
        <v>102</v>
      </c>
      <c r="G11" s="6">
        <v>31018767.249999985</v>
      </c>
      <c r="I11" s="3" t="s">
        <v>1061</v>
      </c>
      <c r="J11" s="6">
        <v>1592</v>
      </c>
      <c r="U11" s="9" t="s">
        <v>1056</v>
      </c>
      <c r="V11" s="10">
        <v>769204987.97000015</v>
      </c>
    </row>
    <row r="12" spans="1:26" x14ac:dyDescent="0.25">
      <c r="F12" s="3" t="s">
        <v>24</v>
      </c>
      <c r="G12" s="6">
        <v>127191279.70999998</v>
      </c>
      <c r="I12" s="3" t="s">
        <v>1062</v>
      </c>
      <c r="J12" s="6">
        <v>1521</v>
      </c>
    </row>
    <row r="13" spans="1:26" x14ac:dyDescent="0.25">
      <c r="F13" s="3" t="s">
        <v>20</v>
      </c>
      <c r="G13" s="6">
        <v>203883475.84999999</v>
      </c>
      <c r="I13" s="3" t="s">
        <v>1063</v>
      </c>
      <c r="J13" s="6">
        <v>1577</v>
      </c>
    </row>
    <row r="14" spans="1:26" x14ac:dyDescent="0.25">
      <c r="F14" s="9" t="s">
        <v>1056</v>
      </c>
      <c r="G14" s="10">
        <v>553528851.48000002</v>
      </c>
      <c r="I14" s="3" t="s">
        <v>1064</v>
      </c>
      <c r="J14" s="6">
        <v>1582</v>
      </c>
    </row>
    <row r="15" spans="1:26" x14ac:dyDescent="0.25">
      <c r="A15" s="8" t="s">
        <v>1050</v>
      </c>
      <c r="C15" s="7" t="s">
        <v>1054</v>
      </c>
      <c r="I15" s="3" t="s">
        <v>1065</v>
      </c>
      <c r="J15" s="6">
        <v>1609</v>
      </c>
      <c r="X15" s="16" t="str">
        <f>X3</f>
        <v>Brands</v>
      </c>
      <c r="Y15" s="25" t="str">
        <f t="shared" ref="Y15:Z15" si="0">Y3</f>
        <v>Total_Sales</v>
      </c>
      <c r="Z15" s="25" t="str">
        <f t="shared" si="0"/>
        <v>Transactions</v>
      </c>
    </row>
    <row r="16" spans="1:26" x14ac:dyDescent="0.25">
      <c r="A16" s="6">
        <v>3835</v>
      </c>
      <c r="C16" s="13">
        <f>GETPIVOTDATA("Transaction ID",$A$15)</f>
        <v>3835</v>
      </c>
      <c r="I16" s="9" t="s">
        <v>1056</v>
      </c>
      <c r="J16" s="10">
        <v>19150</v>
      </c>
      <c r="X16" s="3" t="str">
        <f t="shared" ref="X16:Z16" si="1">X4</f>
        <v>Apple</v>
      </c>
      <c r="Y16" s="21">
        <f t="shared" si="1"/>
        <v>161615729.97000012</v>
      </c>
      <c r="Z16" s="6">
        <f t="shared" si="1"/>
        <v>783</v>
      </c>
    </row>
    <row r="17" spans="1:26" x14ac:dyDescent="0.25">
      <c r="X17" s="14" t="str">
        <f t="shared" ref="X17:Z17" si="2">X5</f>
        <v>OnePlus</v>
      </c>
      <c r="Y17" s="22">
        <f t="shared" si="2"/>
        <v>153719438.84000006</v>
      </c>
      <c r="Z17" s="15">
        <f t="shared" si="2"/>
        <v>768</v>
      </c>
    </row>
    <row r="18" spans="1:26" x14ac:dyDescent="0.25">
      <c r="X18" s="3" t="str">
        <f t="shared" ref="X18:Z18" si="3">X6</f>
        <v>Samsung</v>
      </c>
      <c r="Y18" s="21">
        <f t="shared" si="3"/>
        <v>160038054.50000006</v>
      </c>
      <c r="Z18" s="6">
        <f t="shared" si="3"/>
        <v>775</v>
      </c>
    </row>
    <row r="19" spans="1:26" x14ac:dyDescent="0.25">
      <c r="X19" s="14" t="str">
        <f t="shared" ref="X19:Z19" si="4">X7</f>
        <v>Vivo</v>
      </c>
      <c r="Y19" s="22">
        <f t="shared" si="4"/>
        <v>150078427.83000004</v>
      </c>
      <c r="Z19" s="15">
        <f t="shared" si="4"/>
        <v>766</v>
      </c>
    </row>
    <row r="20" spans="1:26" x14ac:dyDescent="0.25">
      <c r="X20" s="3" t="str">
        <f t="shared" ref="X20:Z20" si="5">X8</f>
        <v>Xiaomi</v>
      </c>
      <c r="Y20" s="21">
        <f t="shared" si="5"/>
        <v>143753336.82999986</v>
      </c>
      <c r="Z20" s="6">
        <f t="shared" si="5"/>
        <v>743</v>
      </c>
    </row>
    <row r="21" spans="1:26" x14ac:dyDescent="0.25">
      <c r="A21" s="8" t="s">
        <v>1051</v>
      </c>
      <c r="C21" s="7" t="s">
        <v>1055</v>
      </c>
      <c r="X21" s="17" t="str">
        <f t="shared" ref="X21:Z21" si="6">X9</f>
        <v>Grand Total</v>
      </c>
      <c r="Y21" s="23">
        <f t="shared" si="6"/>
        <v>769204987.96999967</v>
      </c>
      <c r="Z21" s="18">
        <f t="shared" si="6"/>
        <v>3835</v>
      </c>
    </row>
    <row r="22" spans="1:26" x14ac:dyDescent="0.25">
      <c r="A22" s="6">
        <v>40114.036816166867</v>
      </c>
      <c r="C22" s="20">
        <f>GETPIVOTDATA("Price Per Unit",$A$21)</f>
        <v>40114.036816166867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836"/>
  <sheetViews>
    <sheetView topLeftCell="H1" workbookViewId="0">
      <selection activeCell="H21" sqref="A2:S3836"/>
    </sheetView>
  </sheetViews>
  <sheetFormatPr defaultRowHeight="15" x14ac:dyDescent="0.25"/>
  <cols>
    <col min="1" max="1" width="15.85546875" style="3" bestFit="1" customWidth="1"/>
    <col min="2" max="2" width="8.42578125" style="3" bestFit="1" customWidth="1"/>
    <col min="3" max="3" width="6.5703125" style="3" bestFit="1" customWidth="1"/>
    <col min="4" max="4" width="9.28515625" style="3" bestFit="1" customWidth="1"/>
    <col min="5" max="5" width="7.28515625" style="3" bestFit="1" customWidth="1"/>
    <col min="6" max="6" width="10.140625" style="3" bestFit="1" customWidth="1"/>
    <col min="7" max="7" width="15" style="3" bestFit="1" customWidth="1"/>
    <col min="8" max="8" width="12.28515625" style="3" customWidth="1"/>
    <col min="9" max="9" width="8.85546875" style="3" bestFit="1" customWidth="1"/>
    <col min="10" max="10" width="12.28515625" style="3" bestFit="1" customWidth="1"/>
    <col min="11" max="11" width="15.5703125" style="3" bestFit="1" customWidth="1"/>
    <col min="12" max="12" width="10" style="3" bestFit="1" customWidth="1"/>
    <col min="13" max="13" width="19.7109375" style="3" bestFit="1" customWidth="1"/>
    <col min="14" max="14" width="15.85546875" style="3" bestFit="1" customWidth="1"/>
    <col min="15" max="15" width="11.42578125" style="3" bestFit="1" customWidth="1"/>
    <col min="16" max="17" width="18.85546875" style="3" bestFit="1" customWidth="1"/>
    <col min="18" max="18" width="14.7109375" style="3" bestFit="1" customWidth="1"/>
    <col min="19" max="19" width="16.140625" style="3" bestFit="1" customWidth="1"/>
    <col min="20" max="20" width="9.140625" style="3"/>
    <col min="21" max="21" width="10" style="3" bestFit="1" customWidth="1"/>
    <col min="22" max="16384" width="9.140625" style="3"/>
  </cols>
  <sheetData>
    <row r="1" spans="1:19" x14ac:dyDescent="0.25">
      <c r="A1" s="1" t="s">
        <v>0</v>
      </c>
      <c r="B1" s="1" t="s">
        <v>1044</v>
      </c>
      <c r="C1" s="2" t="s">
        <v>1</v>
      </c>
      <c r="D1" s="2" t="s">
        <v>2</v>
      </c>
      <c r="E1" s="2" t="s">
        <v>3</v>
      </c>
      <c r="F1" s="2" t="s">
        <v>1087</v>
      </c>
      <c r="G1" s="2" t="s">
        <v>1045</v>
      </c>
      <c r="H1" s="2" t="s">
        <v>1086</v>
      </c>
      <c r="I1" s="1" t="s">
        <v>4</v>
      </c>
      <c r="J1" s="1" t="s">
        <v>5</v>
      </c>
      <c r="K1" s="1" t="s">
        <v>6</v>
      </c>
      <c r="L1" s="1" t="s">
        <v>1046</v>
      </c>
      <c r="M1" s="1" t="s">
        <v>7</v>
      </c>
      <c r="N1" s="1" t="s">
        <v>8</v>
      </c>
      <c r="O1" s="1" t="s">
        <v>9</v>
      </c>
      <c r="P1" s="1" t="s">
        <v>10</v>
      </c>
      <c r="Q1" s="1" t="s">
        <v>11</v>
      </c>
      <c r="R1" s="1" t="s">
        <v>1047</v>
      </c>
      <c r="S1" s="1" t="s">
        <v>12</v>
      </c>
    </row>
    <row r="2" spans="1:19" x14ac:dyDescent="0.25">
      <c r="A2" s="3">
        <v>1</v>
      </c>
      <c r="B2" s="5">
        <f>DATE(Table1[[#This Row],[Year]],Table1[[#This Row],[Month]],Table1[[#This Row],[Day]])</f>
        <v>44478</v>
      </c>
      <c r="C2" s="3">
        <v>9</v>
      </c>
      <c r="D2" s="3">
        <v>10</v>
      </c>
      <c r="E2" s="3">
        <v>2021</v>
      </c>
      <c r="F2" s="3" t="str">
        <f>"Qtr"&amp; " " &amp;CHOOSE(MONTH(Table1[[#This Row],[Date]]),1,1,1,2,2,2,3,3,3,4,4,4)</f>
        <v>Qtr 4</v>
      </c>
      <c r="G2" s="3" t="str">
        <f>TEXT(Table1[[#This Row],[Date]],"mmmm")</f>
        <v>October</v>
      </c>
      <c r="H2" s="3" t="s">
        <v>1079</v>
      </c>
      <c r="I2" s="3" t="s">
        <v>13</v>
      </c>
      <c r="J2" s="3">
        <v>6</v>
      </c>
      <c r="K2" s="3">
        <v>10174.700000000001</v>
      </c>
      <c r="L2" s="3">
        <f>Table1[[#This Row],[Price Per Unit]]*Table1[[#This Row],[Units Sold]]</f>
        <v>61048.200000000004</v>
      </c>
      <c r="M2" s="3" t="s">
        <v>14</v>
      </c>
      <c r="N2" s="3">
        <v>38</v>
      </c>
      <c r="O2" s="3" t="s">
        <v>15</v>
      </c>
      <c r="P2" s="3" t="s">
        <v>16</v>
      </c>
      <c r="Q2" s="4">
        <v>5</v>
      </c>
      <c r="R2" s="4" t="str">
        <f>IF(Table1[[#This Row],[Customer Ratings]]&gt;=4, "Good",IF(Table1[[#This Row],[Customer Ratings]]=3, "Average","Poor"))</f>
        <v>Good</v>
      </c>
      <c r="S2" s="3" t="s">
        <v>17</v>
      </c>
    </row>
    <row r="3" spans="1:19" x14ac:dyDescent="0.25">
      <c r="A3" s="3">
        <v>2</v>
      </c>
      <c r="B3" s="5">
        <f>DATE(Table1[[#This Row],[Year]],Table1[[#This Row],[Month]],Table1[[#This Row],[Day]])</f>
        <v>44478</v>
      </c>
      <c r="C3" s="3">
        <v>9</v>
      </c>
      <c r="D3" s="3">
        <v>10</v>
      </c>
      <c r="E3" s="3">
        <v>2021</v>
      </c>
      <c r="F3" s="3" t="str">
        <f>"Qtr"&amp; " " &amp;CHOOSE(MONTH(Table1[[#This Row],[Date]]),1,1,1,2,2,2,3,3,3,4,4,4)</f>
        <v>Qtr 4</v>
      </c>
      <c r="G3" s="3" t="str">
        <f>TEXT(Table1[[#This Row],[Date]],"mmmm")</f>
        <v>October</v>
      </c>
      <c r="H3" s="3" t="s">
        <v>1079</v>
      </c>
      <c r="I3" s="3" t="s">
        <v>18</v>
      </c>
      <c r="J3" s="3">
        <v>6</v>
      </c>
      <c r="K3" s="3">
        <v>10565.19</v>
      </c>
      <c r="L3" s="3">
        <f>Table1[[#This Row],[Price Per Unit]]*Table1[[#This Row],[Units Sold]]</f>
        <v>63391.14</v>
      </c>
      <c r="M3" s="3" t="s">
        <v>19</v>
      </c>
      <c r="N3" s="3">
        <v>37</v>
      </c>
      <c r="O3" s="3" t="s">
        <v>20</v>
      </c>
      <c r="P3" s="3" t="s">
        <v>21</v>
      </c>
      <c r="Q3" s="4">
        <v>3</v>
      </c>
      <c r="R3" s="4" t="str">
        <f>IF(Table1[[#This Row],[Customer Ratings]]&gt;=4, "Good",IF(Table1[[#This Row],[Customer Ratings]]=3, "Average","Poor"))</f>
        <v>Average</v>
      </c>
      <c r="S3" s="3" t="s">
        <v>22</v>
      </c>
    </row>
    <row r="4" spans="1:19" x14ac:dyDescent="0.25">
      <c r="A4" s="3">
        <v>3</v>
      </c>
      <c r="B4" s="5">
        <f>DATE(Table1[[#This Row],[Year]],Table1[[#This Row],[Month]],Table1[[#This Row],[Day]])</f>
        <v>44478</v>
      </c>
      <c r="C4" s="3">
        <v>9</v>
      </c>
      <c r="D4" s="3">
        <v>10</v>
      </c>
      <c r="E4" s="3">
        <v>2021</v>
      </c>
      <c r="F4" s="3" t="str">
        <f>"Qtr"&amp; " " &amp;CHOOSE(MONTH(Table1[[#This Row],[Date]]),1,1,1,2,2,2,3,3,3,4,4,4)</f>
        <v>Qtr 4</v>
      </c>
      <c r="G4" s="3" t="str">
        <f>TEXT(Table1[[#This Row],[Date]],"mmmm")</f>
        <v>October</v>
      </c>
      <c r="H4" s="3" t="s">
        <v>1079</v>
      </c>
      <c r="I4" s="3" t="s">
        <v>18</v>
      </c>
      <c r="J4" s="3">
        <v>8</v>
      </c>
      <c r="K4" s="3">
        <v>58527.58</v>
      </c>
      <c r="L4" s="3">
        <f>Table1[[#This Row],[Price Per Unit]]*Table1[[#This Row],[Units Sold]]</f>
        <v>468220.64</v>
      </c>
      <c r="M4" s="3" t="s">
        <v>23</v>
      </c>
      <c r="N4" s="3">
        <v>40</v>
      </c>
      <c r="O4" s="3" t="s">
        <v>24</v>
      </c>
      <c r="P4" s="3" t="s">
        <v>16</v>
      </c>
      <c r="Q4" s="4">
        <v>5</v>
      </c>
      <c r="R4" s="4" t="str">
        <f>IF(Table1[[#This Row],[Customer Ratings]]&gt;=4, "Good",IF(Table1[[#This Row],[Customer Ratings]]=3, "Average","Poor"))</f>
        <v>Good</v>
      </c>
      <c r="S4" s="3" t="s">
        <v>25</v>
      </c>
    </row>
    <row r="5" spans="1:19" x14ac:dyDescent="0.25">
      <c r="A5" s="3">
        <v>4</v>
      </c>
      <c r="B5" s="5">
        <f>DATE(Table1[[#This Row],[Year]],Table1[[#This Row],[Month]],Table1[[#This Row],[Day]])</f>
        <v>44479</v>
      </c>
      <c r="C5" s="3">
        <v>10</v>
      </c>
      <c r="D5" s="3">
        <v>10</v>
      </c>
      <c r="E5" s="3">
        <v>2021</v>
      </c>
      <c r="F5" s="3" t="str">
        <f>"Qtr"&amp; " " &amp;CHOOSE(MONTH(Table1[[#This Row],[Date]]),1,1,1,2,2,2,3,3,3,4,4,4)</f>
        <v>Qtr 4</v>
      </c>
      <c r="G5" s="3" t="str">
        <f>TEXT(Table1[[#This Row],[Date]],"mmmm")</f>
        <v>October</v>
      </c>
      <c r="H5" s="3" t="s">
        <v>1080</v>
      </c>
      <c r="I5" s="3" t="s">
        <v>13</v>
      </c>
      <c r="J5" s="3">
        <v>5</v>
      </c>
      <c r="K5" s="3">
        <v>25563.98</v>
      </c>
      <c r="L5" s="3">
        <f>Table1[[#This Row],[Price Per Unit]]*Table1[[#This Row],[Units Sold]]</f>
        <v>127819.9</v>
      </c>
      <c r="M5" s="3" t="s">
        <v>26</v>
      </c>
      <c r="N5" s="3">
        <v>21</v>
      </c>
      <c r="O5" s="3" t="s">
        <v>24</v>
      </c>
      <c r="P5" s="3" t="s">
        <v>21</v>
      </c>
      <c r="Q5" s="4">
        <v>4</v>
      </c>
      <c r="R5" s="4" t="str">
        <f>IF(Table1[[#This Row],[Customer Ratings]]&gt;=4, "Good",IF(Table1[[#This Row],[Customer Ratings]]=3, "Average","Poor"))</f>
        <v>Good</v>
      </c>
      <c r="S5" s="3" t="s">
        <v>27</v>
      </c>
    </row>
    <row r="6" spans="1:19" x14ac:dyDescent="0.25">
      <c r="A6" s="3">
        <v>5</v>
      </c>
      <c r="B6" s="5">
        <f>DATE(Table1[[#This Row],[Year]],Table1[[#This Row],[Month]],Table1[[#This Row],[Day]])</f>
        <v>44479</v>
      </c>
      <c r="C6" s="3">
        <v>10</v>
      </c>
      <c r="D6" s="3">
        <v>10</v>
      </c>
      <c r="E6" s="3">
        <v>2021</v>
      </c>
      <c r="F6" s="3" t="str">
        <f>"Qtr"&amp; " " &amp;CHOOSE(MONTH(Table1[[#This Row],[Date]]),1,1,1,2,2,2,3,3,3,4,4,4)</f>
        <v>Qtr 4</v>
      </c>
      <c r="G6" s="3" t="str">
        <f>TEXT(Table1[[#This Row],[Date]],"mmmm")</f>
        <v>October</v>
      </c>
      <c r="H6" s="3" t="s">
        <v>1080</v>
      </c>
      <c r="I6" s="3" t="s">
        <v>28</v>
      </c>
      <c r="J6" s="3">
        <v>3</v>
      </c>
      <c r="K6" s="3">
        <v>48168.02</v>
      </c>
      <c r="L6" s="3">
        <f>Table1[[#This Row],[Price Per Unit]]*Table1[[#This Row],[Units Sold]]</f>
        <v>144504.06</v>
      </c>
      <c r="M6" s="3" t="s">
        <v>29</v>
      </c>
      <c r="N6" s="3">
        <v>38</v>
      </c>
      <c r="O6" s="3" t="s">
        <v>30</v>
      </c>
      <c r="P6" s="3" t="s">
        <v>31</v>
      </c>
      <c r="Q6" s="4">
        <v>5</v>
      </c>
      <c r="R6" s="4" t="str">
        <f>IF(Table1[[#This Row],[Customer Ratings]]&gt;=4, "Good",IF(Table1[[#This Row],[Customer Ratings]]=3, "Average","Poor"))</f>
        <v>Good</v>
      </c>
      <c r="S6" s="3" t="s">
        <v>32</v>
      </c>
    </row>
    <row r="7" spans="1:19" x14ac:dyDescent="0.25">
      <c r="A7" s="3">
        <v>6</v>
      </c>
      <c r="B7" s="5">
        <f>DATE(Table1[[#This Row],[Year]],Table1[[#This Row],[Month]],Table1[[#This Row],[Day]])</f>
        <v>44479</v>
      </c>
      <c r="C7" s="3">
        <v>10</v>
      </c>
      <c r="D7" s="3">
        <v>10</v>
      </c>
      <c r="E7" s="3">
        <v>2021</v>
      </c>
      <c r="F7" s="3" t="str">
        <f>"Qtr"&amp; " " &amp;CHOOSE(MONTH(Table1[[#This Row],[Date]]),1,1,1,2,2,2,3,3,3,4,4,4)</f>
        <v>Qtr 4</v>
      </c>
      <c r="G7" s="3" t="str">
        <f>TEXT(Table1[[#This Row],[Date]],"mmmm")</f>
        <v>October</v>
      </c>
      <c r="H7" s="3" t="s">
        <v>1080</v>
      </c>
      <c r="I7" s="3" t="s">
        <v>33</v>
      </c>
      <c r="J7" s="3">
        <v>3</v>
      </c>
      <c r="K7" s="3">
        <v>37252.870000000003</v>
      </c>
      <c r="L7" s="3">
        <f>Table1[[#This Row],[Price Per Unit]]*Table1[[#This Row],[Units Sold]]</f>
        <v>111758.61000000002</v>
      </c>
      <c r="M7" s="3" t="s">
        <v>34</v>
      </c>
      <c r="N7" s="3">
        <v>38</v>
      </c>
      <c r="O7" s="3" t="s">
        <v>35</v>
      </c>
      <c r="P7" s="3" t="s">
        <v>16</v>
      </c>
      <c r="Q7" s="4">
        <v>3</v>
      </c>
      <c r="R7" s="4" t="str">
        <f>IF(Table1[[#This Row],[Customer Ratings]]&gt;=4, "Good",IF(Table1[[#This Row],[Customer Ratings]]=3, "Average","Poor"))</f>
        <v>Average</v>
      </c>
      <c r="S7" s="3" t="s">
        <v>36</v>
      </c>
    </row>
    <row r="8" spans="1:19" x14ac:dyDescent="0.25">
      <c r="A8" s="3">
        <v>7</v>
      </c>
      <c r="B8" s="5">
        <f>DATE(Table1[[#This Row],[Year]],Table1[[#This Row],[Month]],Table1[[#This Row],[Day]])</f>
        <v>44479</v>
      </c>
      <c r="C8" s="3">
        <v>10</v>
      </c>
      <c r="D8" s="3">
        <v>10</v>
      </c>
      <c r="E8" s="3">
        <v>2021</v>
      </c>
      <c r="F8" s="3" t="str">
        <f>"Qtr"&amp; " " &amp;CHOOSE(MONTH(Table1[[#This Row],[Date]]),1,1,1,2,2,2,3,3,3,4,4,4)</f>
        <v>Qtr 4</v>
      </c>
      <c r="G8" s="3" t="str">
        <f>TEXT(Table1[[#This Row],[Date]],"mmmm")</f>
        <v>October</v>
      </c>
      <c r="H8" s="3" t="s">
        <v>1080</v>
      </c>
      <c r="I8" s="3" t="s">
        <v>28</v>
      </c>
      <c r="J8" s="3">
        <v>6</v>
      </c>
      <c r="K8" s="3">
        <v>61805.8</v>
      </c>
      <c r="L8" s="3">
        <f>Table1[[#This Row],[Price Per Unit]]*Table1[[#This Row],[Units Sold]]</f>
        <v>370834.80000000005</v>
      </c>
      <c r="M8" s="3" t="s">
        <v>37</v>
      </c>
      <c r="N8" s="3">
        <v>18</v>
      </c>
      <c r="O8" s="3" t="s">
        <v>20</v>
      </c>
      <c r="P8" s="3" t="s">
        <v>31</v>
      </c>
      <c r="Q8" s="4">
        <v>4</v>
      </c>
      <c r="R8" s="4" t="str">
        <f>IF(Table1[[#This Row],[Customer Ratings]]&gt;=4, "Good",IF(Table1[[#This Row],[Customer Ratings]]=3, "Average","Poor"))</f>
        <v>Good</v>
      </c>
      <c r="S8" s="3" t="s">
        <v>38</v>
      </c>
    </row>
    <row r="9" spans="1:19" x14ac:dyDescent="0.25">
      <c r="A9" s="3">
        <v>8</v>
      </c>
      <c r="B9" s="5">
        <f>DATE(Table1[[#This Row],[Year]],Table1[[#This Row],[Month]],Table1[[#This Row],[Day]])</f>
        <v>44480</v>
      </c>
      <c r="C9" s="3">
        <v>11</v>
      </c>
      <c r="D9" s="3">
        <v>10</v>
      </c>
      <c r="E9" s="3">
        <v>2021</v>
      </c>
      <c r="F9" s="3" t="str">
        <f>"Qtr"&amp; " " &amp;CHOOSE(MONTH(Table1[[#This Row],[Date]]),1,1,1,2,2,2,3,3,3,4,4,4)</f>
        <v>Qtr 4</v>
      </c>
      <c r="G9" s="3" t="str">
        <f>TEXT(Table1[[#This Row],[Date]],"mmmm")</f>
        <v>October</v>
      </c>
      <c r="H9" s="3" t="s">
        <v>1081</v>
      </c>
      <c r="I9" s="3" t="s">
        <v>39</v>
      </c>
      <c r="J9" s="3">
        <v>2</v>
      </c>
      <c r="K9" s="3">
        <v>65017.67</v>
      </c>
      <c r="L9" s="3">
        <f>Table1[[#This Row],[Price Per Unit]]*Table1[[#This Row],[Units Sold]]</f>
        <v>130035.34</v>
      </c>
      <c r="M9" s="3" t="s">
        <v>40</v>
      </c>
      <c r="N9" s="3">
        <v>32</v>
      </c>
      <c r="O9" s="3" t="s">
        <v>41</v>
      </c>
      <c r="P9" s="3" t="s">
        <v>31</v>
      </c>
      <c r="Q9" s="4">
        <v>3</v>
      </c>
      <c r="R9" s="4" t="str">
        <f>IF(Table1[[#This Row],[Customer Ratings]]&gt;=4, "Good",IF(Table1[[#This Row],[Customer Ratings]]=3, "Average","Poor"))</f>
        <v>Average</v>
      </c>
      <c r="S9" s="3" t="s">
        <v>42</v>
      </c>
    </row>
    <row r="10" spans="1:19" x14ac:dyDescent="0.25">
      <c r="A10" s="3">
        <v>9</v>
      </c>
      <c r="B10" s="5">
        <f>DATE(Table1[[#This Row],[Year]],Table1[[#This Row],[Month]],Table1[[#This Row],[Day]])</f>
        <v>44480</v>
      </c>
      <c r="C10" s="3">
        <v>11</v>
      </c>
      <c r="D10" s="3">
        <v>10</v>
      </c>
      <c r="E10" s="3">
        <v>2021</v>
      </c>
      <c r="F10" s="3" t="str">
        <f>"Qtr"&amp; " " &amp;CHOOSE(MONTH(Table1[[#This Row],[Date]]),1,1,1,2,2,2,3,3,3,4,4,4)</f>
        <v>Qtr 4</v>
      </c>
      <c r="G10" s="3" t="str">
        <f>TEXT(Table1[[#This Row],[Date]],"mmmm")</f>
        <v>October</v>
      </c>
      <c r="H10" s="3" t="s">
        <v>1081</v>
      </c>
      <c r="I10" s="3" t="s">
        <v>18</v>
      </c>
      <c r="J10" s="3">
        <v>6</v>
      </c>
      <c r="K10" s="3">
        <v>69808.460000000006</v>
      </c>
      <c r="L10" s="3">
        <f>Table1[[#This Row],[Price Per Unit]]*Table1[[#This Row],[Units Sold]]</f>
        <v>418850.76</v>
      </c>
      <c r="M10" s="3" t="s">
        <v>43</v>
      </c>
      <c r="N10" s="3">
        <v>34</v>
      </c>
      <c r="O10" s="3" t="s">
        <v>20</v>
      </c>
      <c r="P10" s="3" t="s">
        <v>16</v>
      </c>
      <c r="Q10" s="4">
        <v>5</v>
      </c>
      <c r="R10" s="4" t="str">
        <f>IF(Table1[[#This Row],[Customer Ratings]]&gt;=4, "Good",IF(Table1[[#This Row],[Customer Ratings]]=3, "Average","Poor"))</f>
        <v>Good</v>
      </c>
      <c r="S10" s="3" t="s">
        <v>22</v>
      </c>
    </row>
    <row r="11" spans="1:19" x14ac:dyDescent="0.25">
      <c r="A11" s="3">
        <v>10</v>
      </c>
      <c r="B11" s="5">
        <f>DATE(Table1[[#This Row],[Year]],Table1[[#This Row],[Month]],Table1[[#This Row],[Day]])</f>
        <v>44480</v>
      </c>
      <c r="C11" s="3">
        <v>11</v>
      </c>
      <c r="D11" s="3">
        <v>10</v>
      </c>
      <c r="E11" s="3">
        <v>2021</v>
      </c>
      <c r="F11" s="3" t="str">
        <f>"Qtr"&amp; " " &amp;CHOOSE(MONTH(Table1[[#This Row],[Date]]),1,1,1,2,2,2,3,3,3,4,4,4)</f>
        <v>Qtr 4</v>
      </c>
      <c r="G11" s="3" t="str">
        <f>TEXT(Table1[[#This Row],[Date]],"mmmm")</f>
        <v>October</v>
      </c>
      <c r="H11" s="3" t="s">
        <v>1081</v>
      </c>
      <c r="I11" s="3" t="s">
        <v>33</v>
      </c>
      <c r="J11" s="3">
        <v>6</v>
      </c>
      <c r="K11" s="3">
        <v>19221.05</v>
      </c>
      <c r="L11" s="3">
        <f>Table1[[#This Row],[Price Per Unit]]*Table1[[#This Row],[Units Sold]]</f>
        <v>115326.29999999999</v>
      </c>
      <c r="M11" s="3" t="s">
        <v>44</v>
      </c>
      <c r="N11" s="3">
        <v>31</v>
      </c>
      <c r="O11" s="3" t="s">
        <v>24</v>
      </c>
      <c r="P11" s="3" t="s">
        <v>45</v>
      </c>
      <c r="Q11" s="4">
        <v>2</v>
      </c>
      <c r="R11" s="4" t="str">
        <f>IF(Table1[[#This Row],[Customer Ratings]]&gt;=4, "Good",IF(Table1[[#This Row],[Customer Ratings]]=3, "Average","Poor"))</f>
        <v>Poor</v>
      </c>
      <c r="S11" s="3" t="s">
        <v>46</v>
      </c>
    </row>
    <row r="12" spans="1:19" x14ac:dyDescent="0.25">
      <c r="A12" s="3">
        <v>11</v>
      </c>
      <c r="B12" s="5">
        <f>DATE(Table1[[#This Row],[Year]],Table1[[#This Row],[Month]],Table1[[#This Row],[Day]])</f>
        <v>44481</v>
      </c>
      <c r="C12" s="3">
        <v>12</v>
      </c>
      <c r="D12" s="3">
        <v>10</v>
      </c>
      <c r="E12" s="3">
        <v>2021</v>
      </c>
      <c r="F12" s="3" t="str">
        <f>"Qtr"&amp; " " &amp;CHOOSE(MONTH(Table1[[#This Row],[Date]]),1,1,1,2,2,2,3,3,3,4,4,4)</f>
        <v>Qtr 4</v>
      </c>
      <c r="G12" s="3" t="str">
        <f>TEXT(Table1[[#This Row],[Date]],"mmmm")</f>
        <v>October</v>
      </c>
      <c r="H12" s="3" t="s">
        <v>1082</v>
      </c>
      <c r="I12" s="3" t="s">
        <v>33</v>
      </c>
      <c r="J12" s="3">
        <v>8</v>
      </c>
      <c r="K12" s="3">
        <v>61777.84</v>
      </c>
      <c r="L12" s="3">
        <f>Table1[[#This Row],[Price Per Unit]]*Table1[[#This Row],[Units Sold]]</f>
        <v>494222.72</v>
      </c>
      <c r="M12" s="3" t="s">
        <v>47</v>
      </c>
      <c r="N12" s="3">
        <v>36</v>
      </c>
      <c r="O12" s="3" t="s">
        <v>48</v>
      </c>
      <c r="P12" s="3" t="s">
        <v>21</v>
      </c>
      <c r="Q12" s="4">
        <v>5</v>
      </c>
      <c r="R12" s="4" t="str">
        <f>IF(Table1[[#This Row],[Customer Ratings]]&gt;=4, "Good",IF(Table1[[#This Row],[Customer Ratings]]=3, "Average","Poor"))</f>
        <v>Good</v>
      </c>
      <c r="S12" s="3" t="s">
        <v>46</v>
      </c>
    </row>
    <row r="13" spans="1:19" x14ac:dyDescent="0.25">
      <c r="A13" s="3">
        <v>12</v>
      </c>
      <c r="B13" s="5">
        <f>DATE(Table1[[#This Row],[Year]],Table1[[#This Row],[Month]],Table1[[#This Row],[Day]])</f>
        <v>44481</v>
      </c>
      <c r="C13" s="3">
        <v>12</v>
      </c>
      <c r="D13" s="3">
        <v>10</v>
      </c>
      <c r="E13" s="3">
        <v>2021</v>
      </c>
      <c r="F13" s="3" t="str">
        <f>"Qtr"&amp; " " &amp;CHOOSE(MONTH(Table1[[#This Row],[Date]]),1,1,1,2,2,2,3,3,3,4,4,4)</f>
        <v>Qtr 4</v>
      </c>
      <c r="G13" s="3" t="str">
        <f>TEXT(Table1[[#This Row],[Date]],"mmmm")</f>
        <v>October</v>
      </c>
      <c r="H13" s="3" t="s">
        <v>1082</v>
      </c>
      <c r="I13" s="3" t="s">
        <v>39</v>
      </c>
      <c r="J13" s="3">
        <v>7</v>
      </c>
      <c r="K13" s="3">
        <v>25961.279999999999</v>
      </c>
      <c r="L13" s="3">
        <f>Table1[[#This Row],[Price Per Unit]]*Table1[[#This Row],[Units Sold]]</f>
        <v>181728.96</v>
      </c>
      <c r="M13" s="3" t="s">
        <v>49</v>
      </c>
      <c r="N13" s="3">
        <v>51</v>
      </c>
      <c r="O13" s="3" t="s">
        <v>20</v>
      </c>
      <c r="P13" s="3" t="s">
        <v>16</v>
      </c>
      <c r="Q13" s="4">
        <v>4</v>
      </c>
      <c r="R13" s="4" t="str">
        <f>IF(Table1[[#This Row],[Customer Ratings]]&gt;=4, "Good",IF(Table1[[#This Row],[Customer Ratings]]=3, "Average","Poor"))</f>
        <v>Good</v>
      </c>
      <c r="S13" s="3" t="s">
        <v>42</v>
      </c>
    </row>
    <row r="14" spans="1:19" x14ac:dyDescent="0.25">
      <c r="A14" s="3">
        <v>13</v>
      </c>
      <c r="B14" s="5">
        <f>DATE(Table1[[#This Row],[Year]],Table1[[#This Row],[Month]],Table1[[#This Row],[Day]])</f>
        <v>44481</v>
      </c>
      <c r="C14" s="3">
        <v>12</v>
      </c>
      <c r="D14" s="3">
        <v>10</v>
      </c>
      <c r="E14" s="3">
        <v>2021</v>
      </c>
      <c r="F14" s="3" t="str">
        <f>"Qtr"&amp; " " &amp;CHOOSE(MONTH(Table1[[#This Row],[Date]]),1,1,1,2,2,2,3,3,3,4,4,4)</f>
        <v>Qtr 4</v>
      </c>
      <c r="G14" s="3" t="str">
        <f>TEXT(Table1[[#This Row],[Date]],"mmmm")</f>
        <v>October</v>
      </c>
      <c r="H14" s="3" t="s">
        <v>1082</v>
      </c>
      <c r="I14" s="3" t="s">
        <v>39</v>
      </c>
      <c r="J14" s="3">
        <v>8</v>
      </c>
      <c r="K14" s="3">
        <v>45448.95</v>
      </c>
      <c r="L14" s="3">
        <f>Table1[[#This Row],[Price Per Unit]]*Table1[[#This Row],[Units Sold]]</f>
        <v>363591.6</v>
      </c>
      <c r="M14" s="3" t="s">
        <v>50</v>
      </c>
      <c r="N14" s="3">
        <v>23</v>
      </c>
      <c r="O14" s="3" t="s">
        <v>24</v>
      </c>
      <c r="P14" s="3" t="s">
        <v>31</v>
      </c>
      <c r="Q14" s="4">
        <v>5</v>
      </c>
      <c r="R14" s="4" t="str">
        <f>IF(Table1[[#This Row],[Customer Ratings]]&gt;=4, "Good",IF(Table1[[#This Row],[Customer Ratings]]=3, "Average","Poor"))</f>
        <v>Good</v>
      </c>
      <c r="S14" s="3" t="s">
        <v>42</v>
      </c>
    </row>
    <row r="15" spans="1:19" x14ac:dyDescent="0.25">
      <c r="A15" s="3">
        <v>14</v>
      </c>
      <c r="B15" s="5">
        <f>DATE(Table1[[#This Row],[Year]],Table1[[#This Row],[Month]],Table1[[#This Row],[Day]])</f>
        <v>44482</v>
      </c>
      <c r="C15" s="3">
        <v>13</v>
      </c>
      <c r="D15" s="3">
        <v>10</v>
      </c>
      <c r="E15" s="3">
        <v>2021</v>
      </c>
      <c r="F15" s="3" t="str">
        <f>"Qtr"&amp; " " &amp;CHOOSE(MONTH(Table1[[#This Row],[Date]]),1,1,1,2,2,2,3,3,3,4,4,4)</f>
        <v>Qtr 4</v>
      </c>
      <c r="G15" s="3" t="str">
        <f>TEXT(Table1[[#This Row],[Date]],"mmmm")</f>
        <v>October</v>
      </c>
      <c r="H15" s="3" t="s">
        <v>1083</v>
      </c>
      <c r="I15" s="3" t="s">
        <v>13</v>
      </c>
      <c r="J15" s="3">
        <v>9</v>
      </c>
      <c r="K15" s="3">
        <v>40346.370000000003</v>
      </c>
      <c r="L15" s="3">
        <f>Table1[[#This Row],[Price Per Unit]]*Table1[[#This Row],[Units Sold]]</f>
        <v>363117.33</v>
      </c>
      <c r="M15" s="3" t="s">
        <v>51</v>
      </c>
      <c r="N15" s="3">
        <v>23</v>
      </c>
      <c r="O15" s="3" t="s">
        <v>52</v>
      </c>
      <c r="P15" s="3" t="s">
        <v>21</v>
      </c>
      <c r="Q15" s="4">
        <v>2</v>
      </c>
      <c r="R15" s="4" t="str">
        <f>IF(Table1[[#This Row],[Customer Ratings]]&gt;=4, "Good",IF(Table1[[#This Row],[Customer Ratings]]=3, "Average","Poor"))</f>
        <v>Poor</v>
      </c>
      <c r="S15" s="3" t="s">
        <v>17</v>
      </c>
    </row>
    <row r="16" spans="1:19" x14ac:dyDescent="0.25">
      <c r="A16" s="3">
        <v>15</v>
      </c>
      <c r="B16" s="5">
        <f>DATE(Table1[[#This Row],[Year]],Table1[[#This Row],[Month]],Table1[[#This Row],[Day]])</f>
        <v>44482</v>
      </c>
      <c r="C16" s="3">
        <v>13</v>
      </c>
      <c r="D16" s="3">
        <v>10</v>
      </c>
      <c r="E16" s="3">
        <v>2021</v>
      </c>
      <c r="F16" s="3" t="str">
        <f>"Qtr"&amp; " " &amp;CHOOSE(MONTH(Table1[[#This Row],[Date]]),1,1,1,2,2,2,3,3,3,4,4,4)</f>
        <v>Qtr 4</v>
      </c>
      <c r="G16" s="3" t="str">
        <f>TEXT(Table1[[#This Row],[Date]],"mmmm")</f>
        <v>October</v>
      </c>
      <c r="H16" s="3" t="s">
        <v>1083</v>
      </c>
      <c r="I16" s="3" t="s">
        <v>18</v>
      </c>
      <c r="J16" s="3">
        <v>6</v>
      </c>
      <c r="K16" s="3">
        <v>11079.29</v>
      </c>
      <c r="L16" s="3">
        <f>Table1[[#This Row],[Price Per Unit]]*Table1[[#This Row],[Units Sold]]</f>
        <v>66475.740000000005</v>
      </c>
      <c r="M16" s="3" t="s">
        <v>53</v>
      </c>
      <c r="N16" s="3">
        <v>22</v>
      </c>
      <c r="O16" s="3" t="s">
        <v>54</v>
      </c>
      <c r="P16" s="3" t="s">
        <v>31</v>
      </c>
      <c r="Q16" s="4">
        <v>5</v>
      </c>
      <c r="R16" s="4" t="str">
        <f>IF(Table1[[#This Row],[Customer Ratings]]&gt;=4, "Good",IF(Table1[[#This Row],[Customer Ratings]]=3, "Average","Poor"))</f>
        <v>Good</v>
      </c>
      <c r="S16" s="3" t="s">
        <v>55</v>
      </c>
    </row>
    <row r="17" spans="1:19" x14ac:dyDescent="0.25">
      <c r="A17" s="3">
        <v>16</v>
      </c>
      <c r="B17" s="5">
        <f>DATE(Table1[[#This Row],[Year]],Table1[[#This Row],[Month]],Table1[[#This Row],[Day]])</f>
        <v>44482</v>
      </c>
      <c r="C17" s="3">
        <v>13</v>
      </c>
      <c r="D17" s="3">
        <v>10</v>
      </c>
      <c r="E17" s="3">
        <v>2021</v>
      </c>
      <c r="F17" s="3" t="str">
        <f>"Qtr"&amp; " " &amp;CHOOSE(MONTH(Table1[[#This Row],[Date]]),1,1,1,2,2,2,3,3,3,4,4,4)</f>
        <v>Qtr 4</v>
      </c>
      <c r="G17" s="3" t="str">
        <f>TEXT(Table1[[#This Row],[Date]],"mmmm")</f>
        <v>October</v>
      </c>
      <c r="H17" s="3" t="s">
        <v>1083</v>
      </c>
      <c r="I17" s="3" t="s">
        <v>18</v>
      </c>
      <c r="J17" s="3">
        <v>3</v>
      </c>
      <c r="K17" s="3">
        <v>65966.28</v>
      </c>
      <c r="L17" s="3">
        <f>Table1[[#This Row],[Price Per Unit]]*Table1[[#This Row],[Units Sold]]</f>
        <v>197898.84</v>
      </c>
      <c r="M17" s="3" t="s">
        <v>56</v>
      </c>
      <c r="N17" s="3">
        <v>24</v>
      </c>
      <c r="O17" s="3" t="s">
        <v>24</v>
      </c>
      <c r="P17" s="3" t="s">
        <v>21</v>
      </c>
      <c r="Q17" s="4">
        <v>2</v>
      </c>
      <c r="R17" s="4" t="str">
        <f>IF(Table1[[#This Row],[Customer Ratings]]&gt;=4, "Good",IF(Table1[[#This Row],[Customer Ratings]]=3, "Average","Poor"))</f>
        <v>Poor</v>
      </c>
      <c r="S17" s="3" t="s">
        <v>22</v>
      </c>
    </row>
    <row r="18" spans="1:19" x14ac:dyDescent="0.25">
      <c r="A18" s="3">
        <v>17</v>
      </c>
      <c r="B18" s="5">
        <f>DATE(Table1[[#This Row],[Year]],Table1[[#This Row],[Month]],Table1[[#This Row],[Day]])</f>
        <v>44483</v>
      </c>
      <c r="C18" s="3">
        <v>14</v>
      </c>
      <c r="D18" s="3">
        <v>10</v>
      </c>
      <c r="E18" s="3">
        <v>2021</v>
      </c>
      <c r="F18" s="3" t="str">
        <f>"Qtr"&amp; " " &amp;CHOOSE(MONTH(Table1[[#This Row],[Date]]),1,1,1,2,2,2,3,3,3,4,4,4)</f>
        <v>Qtr 4</v>
      </c>
      <c r="G18" s="3" t="str">
        <f>TEXT(Table1[[#This Row],[Date]],"mmmm")</f>
        <v>October</v>
      </c>
      <c r="H18" s="3" t="s">
        <v>1084</v>
      </c>
      <c r="I18" s="3" t="s">
        <v>28</v>
      </c>
      <c r="J18" s="3">
        <v>3</v>
      </c>
      <c r="K18" s="3">
        <v>14699.62</v>
      </c>
      <c r="L18" s="3">
        <f>Table1[[#This Row],[Price Per Unit]]*Table1[[#This Row],[Units Sold]]</f>
        <v>44098.86</v>
      </c>
      <c r="M18" s="3" t="s">
        <v>57</v>
      </c>
      <c r="N18" s="3">
        <v>50</v>
      </c>
      <c r="O18" s="3" t="s">
        <v>58</v>
      </c>
      <c r="P18" s="3" t="s">
        <v>16</v>
      </c>
      <c r="Q18" s="4">
        <v>4</v>
      </c>
      <c r="R18" s="4" t="str">
        <f>IF(Table1[[#This Row],[Customer Ratings]]&gt;=4, "Good",IF(Table1[[#This Row],[Customer Ratings]]=3, "Average","Poor"))</f>
        <v>Good</v>
      </c>
      <c r="S18" s="3" t="s">
        <v>38</v>
      </c>
    </row>
    <row r="19" spans="1:19" x14ac:dyDescent="0.25">
      <c r="A19" s="3">
        <v>18</v>
      </c>
      <c r="B19" s="5">
        <f>DATE(Table1[[#This Row],[Year]],Table1[[#This Row],[Month]],Table1[[#This Row],[Day]])</f>
        <v>44483</v>
      </c>
      <c r="C19" s="3">
        <v>14</v>
      </c>
      <c r="D19" s="3">
        <v>10</v>
      </c>
      <c r="E19" s="3">
        <v>2021</v>
      </c>
      <c r="F19" s="3" t="str">
        <f>"Qtr"&amp; " " &amp;CHOOSE(MONTH(Table1[[#This Row],[Date]]),1,1,1,2,2,2,3,3,3,4,4,4)</f>
        <v>Qtr 4</v>
      </c>
      <c r="G19" s="3" t="str">
        <f>TEXT(Table1[[#This Row],[Date]],"mmmm")</f>
        <v>October</v>
      </c>
      <c r="H19" s="3" t="s">
        <v>1084</v>
      </c>
      <c r="I19" s="3" t="s">
        <v>13</v>
      </c>
      <c r="J19" s="3">
        <v>1</v>
      </c>
      <c r="K19" s="3">
        <v>51293.14</v>
      </c>
      <c r="L19" s="3">
        <f>Table1[[#This Row],[Price Per Unit]]*Table1[[#This Row],[Units Sold]]</f>
        <v>51293.14</v>
      </c>
      <c r="M19" s="3" t="s">
        <v>59</v>
      </c>
      <c r="N19" s="3">
        <v>30</v>
      </c>
      <c r="O19" s="3" t="s">
        <v>20</v>
      </c>
      <c r="P19" s="3" t="s">
        <v>31</v>
      </c>
      <c r="Q19" s="4">
        <v>3</v>
      </c>
      <c r="R19" s="4" t="str">
        <f>IF(Table1[[#This Row],[Customer Ratings]]&gt;=4, "Good",IF(Table1[[#This Row],[Customer Ratings]]=3, "Average","Poor"))</f>
        <v>Average</v>
      </c>
      <c r="S19" s="3" t="s">
        <v>17</v>
      </c>
    </row>
    <row r="20" spans="1:19" x14ac:dyDescent="0.25">
      <c r="A20" s="3">
        <v>19</v>
      </c>
      <c r="B20" s="5">
        <f>DATE(Table1[[#This Row],[Year]],Table1[[#This Row],[Month]],Table1[[#This Row],[Day]])</f>
        <v>44483</v>
      </c>
      <c r="C20" s="3">
        <v>14</v>
      </c>
      <c r="D20" s="3">
        <v>10</v>
      </c>
      <c r="E20" s="3">
        <v>2021</v>
      </c>
      <c r="F20" s="3" t="str">
        <f>"Qtr"&amp; " " &amp;CHOOSE(MONTH(Table1[[#This Row],[Date]]),1,1,1,2,2,2,3,3,3,4,4,4)</f>
        <v>Qtr 4</v>
      </c>
      <c r="G20" s="3" t="str">
        <f>TEXT(Table1[[#This Row],[Date]],"mmmm")</f>
        <v>October</v>
      </c>
      <c r="H20" s="3" t="s">
        <v>1084</v>
      </c>
      <c r="I20" s="3" t="s">
        <v>13</v>
      </c>
      <c r="J20" s="3">
        <v>5</v>
      </c>
      <c r="K20" s="3">
        <v>57100.41</v>
      </c>
      <c r="L20" s="3">
        <f>Table1[[#This Row],[Price Per Unit]]*Table1[[#This Row],[Units Sold]]</f>
        <v>285502.05000000005</v>
      </c>
      <c r="M20" s="3" t="s">
        <v>60</v>
      </c>
      <c r="N20" s="3">
        <v>18</v>
      </c>
      <c r="O20" s="3" t="s">
        <v>24</v>
      </c>
      <c r="P20" s="3" t="s">
        <v>21</v>
      </c>
      <c r="Q20" s="4">
        <v>4</v>
      </c>
      <c r="R20" s="4" t="str">
        <f>IF(Table1[[#This Row],[Customer Ratings]]&gt;=4, "Good",IF(Table1[[#This Row],[Customer Ratings]]=3, "Average","Poor"))</f>
        <v>Good</v>
      </c>
      <c r="S20" s="3" t="s">
        <v>17</v>
      </c>
    </row>
    <row r="21" spans="1:19" x14ac:dyDescent="0.25">
      <c r="A21" s="3">
        <v>20</v>
      </c>
      <c r="B21" s="5">
        <f>DATE(Table1[[#This Row],[Year]],Table1[[#This Row],[Month]],Table1[[#This Row],[Day]])</f>
        <v>44483</v>
      </c>
      <c r="C21" s="3">
        <v>14</v>
      </c>
      <c r="D21" s="3">
        <v>10</v>
      </c>
      <c r="E21" s="3">
        <v>2021</v>
      </c>
      <c r="F21" s="3" t="str">
        <f>"Qtr"&amp; " " &amp;CHOOSE(MONTH(Table1[[#This Row],[Date]]),1,1,1,2,2,2,3,3,3,4,4,4)</f>
        <v>Qtr 4</v>
      </c>
      <c r="G21" s="3" t="str">
        <f>TEXT(Table1[[#This Row],[Date]],"mmmm")</f>
        <v>October</v>
      </c>
      <c r="H21" s="3" t="s">
        <v>1084</v>
      </c>
      <c r="I21" s="3" t="s">
        <v>13</v>
      </c>
      <c r="J21" s="3">
        <v>4</v>
      </c>
      <c r="K21" s="3">
        <v>57717.27</v>
      </c>
      <c r="L21" s="3">
        <f>Table1[[#This Row],[Price Per Unit]]*Table1[[#This Row],[Units Sold]]</f>
        <v>230869.08</v>
      </c>
      <c r="M21" s="3" t="s">
        <v>61</v>
      </c>
      <c r="N21" s="3">
        <v>30</v>
      </c>
      <c r="O21" s="3" t="s">
        <v>24</v>
      </c>
      <c r="P21" s="3" t="s">
        <v>21</v>
      </c>
      <c r="Q21" s="4">
        <v>5</v>
      </c>
      <c r="R21" s="4" t="str">
        <f>IF(Table1[[#This Row],[Customer Ratings]]&gt;=4, "Good",IF(Table1[[#This Row],[Customer Ratings]]=3, "Average","Poor"))</f>
        <v>Good</v>
      </c>
      <c r="S21" s="3" t="s">
        <v>17</v>
      </c>
    </row>
    <row r="22" spans="1:19" x14ac:dyDescent="0.25">
      <c r="A22" s="3">
        <v>21</v>
      </c>
      <c r="B22" s="5">
        <f>DATE(Table1[[#This Row],[Year]],Table1[[#This Row],[Month]],Table1[[#This Row],[Day]])</f>
        <v>44484</v>
      </c>
      <c r="C22" s="3">
        <v>15</v>
      </c>
      <c r="D22" s="3">
        <v>10</v>
      </c>
      <c r="E22" s="3">
        <v>2021</v>
      </c>
      <c r="F22" s="3" t="str">
        <f>"Qtr"&amp; " " &amp;CHOOSE(MONTH(Table1[[#This Row],[Date]]),1,1,1,2,2,2,3,3,3,4,4,4)</f>
        <v>Qtr 4</v>
      </c>
      <c r="G22" s="3" t="str">
        <f>TEXT(Table1[[#This Row],[Date]],"mmmm")</f>
        <v>October</v>
      </c>
      <c r="H22" s="3" t="s">
        <v>1085</v>
      </c>
      <c r="I22" s="3" t="s">
        <v>13</v>
      </c>
      <c r="J22" s="3">
        <v>9</v>
      </c>
      <c r="K22" s="3">
        <v>18129.669999999998</v>
      </c>
      <c r="L22" s="3">
        <f>Table1[[#This Row],[Price Per Unit]]*Table1[[#This Row],[Units Sold]]</f>
        <v>163167.02999999997</v>
      </c>
      <c r="M22" s="3" t="s">
        <v>62</v>
      </c>
      <c r="N22" s="3">
        <v>44</v>
      </c>
      <c r="O22" s="3" t="s">
        <v>58</v>
      </c>
      <c r="P22" s="3" t="s">
        <v>16</v>
      </c>
      <c r="Q22" s="4">
        <v>4</v>
      </c>
      <c r="R22" s="4" t="str">
        <f>IF(Table1[[#This Row],[Customer Ratings]]&gt;=4, "Good",IF(Table1[[#This Row],[Customer Ratings]]=3, "Average","Poor"))</f>
        <v>Good</v>
      </c>
      <c r="S22" s="3" t="s">
        <v>27</v>
      </c>
    </row>
    <row r="23" spans="1:19" x14ac:dyDescent="0.25">
      <c r="A23" s="3">
        <v>22</v>
      </c>
      <c r="B23" s="5">
        <f>DATE(Table1[[#This Row],[Year]],Table1[[#This Row],[Month]],Table1[[#This Row],[Day]])</f>
        <v>44484</v>
      </c>
      <c r="C23" s="3">
        <v>15</v>
      </c>
      <c r="D23" s="3">
        <v>10</v>
      </c>
      <c r="E23" s="3">
        <v>2021</v>
      </c>
      <c r="F23" s="3" t="str">
        <f>"Qtr"&amp; " " &amp;CHOOSE(MONTH(Table1[[#This Row],[Date]]),1,1,1,2,2,2,3,3,3,4,4,4)</f>
        <v>Qtr 4</v>
      </c>
      <c r="G23" s="3" t="str">
        <f>TEXT(Table1[[#This Row],[Date]],"mmmm")</f>
        <v>October</v>
      </c>
      <c r="H23" s="3" t="s">
        <v>1085</v>
      </c>
      <c r="I23" s="3" t="s">
        <v>18</v>
      </c>
      <c r="J23" s="3">
        <v>9</v>
      </c>
      <c r="K23" s="3">
        <v>36854.199999999997</v>
      </c>
      <c r="L23" s="3">
        <f>Table1[[#This Row],[Price Per Unit]]*Table1[[#This Row],[Units Sold]]</f>
        <v>331687.8</v>
      </c>
      <c r="M23" s="3" t="s">
        <v>63</v>
      </c>
      <c r="N23" s="3">
        <v>24</v>
      </c>
      <c r="O23" s="3" t="s">
        <v>41</v>
      </c>
      <c r="P23" s="3" t="s">
        <v>21</v>
      </c>
      <c r="Q23" s="4">
        <v>5</v>
      </c>
      <c r="R23" s="4" t="str">
        <f>IF(Table1[[#This Row],[Customer Ratings]]&gt;=4, "Good",IF(Table1[[#This Row],[Customer Ratings]]=3, "Average","Poor"))</f>
        <v>Good</v>
      </c>
      <c r="S23" s="3" t="s">
        <v>25</v>
      </c>
    </row>
    <row r="24" spans="1:19" x14ac:dyDescent="0.25">
      <c r="A24" s="3">
        <v>23</v>
      </c>
      <c r="B24" s="5">
        <f>DATE(Table1[[#This Row],[Year]],Table1[[#This Row],[Month]],Table1[[#This Row],[Day]])</f>
        <v>44484</v>
      </c>
      <c r="C24" s="3">
        <v>15</v>
      </c>
      <c r="D24" s="3">
        <v>10</v>
      </c>
      <c r="E24" s="3">
        <v>2021</v>
      </c>
      <c r="F24" s="3" t="str">
        <f>"Qtr"&amp; " " &amp;CHOOSE(MONTH(Table1[[#This Row],[Date]]),1,1,1,2,2,2,3,3,3,4,4,4)</f>
        <v>Qtr 4</v>
      </c>
      <c r="G24" s="3" t="str">
        <f>TEXT(Table1[[#This Row],[Date]],"mmmm")</f>
        <v>October</v>
      </c>
      <c r="H24" s="3" t="s">
        <v>1085</v>
      </c>
      <c r="I24" s="3" t="s">
        <v>18</v>
      </c>
      <c r="J24" s="3">
        <v>5</v>
      </c>
      <c r="K24" s="3">
        <v>59765.73</v>
      </c>
      <c r="L24" s="3">
        <f>Table1[[#This Row],[Price Per Unit]]*Table1[[#This Row],[Units Sold]]</f>
        <v>298828.65000000002</v>
      </c>
      <c r="M24" s="3" t="s">
        <v>64</v>
      </c>
      <c r="N24" s="3">
        <v>20</v>
      </c>
      <c r="O24" s="3" t="s">
        <v>65</v>
      </c>
      <c r="P24" s="3" t="s">
        <v>21</v>
      </c>
      <c r="Q24" s="4">
        <v>5</v>
      </c>
      <c r="R24" s="4" t="str">
        <f>IF(Table1[[#This Row],[Customer Ratings]]&gt;=4, "Good",IF(Table1[[#This Row],[Customer Ratings]]=3, "Average","Poor"))</f>
        <v>Good</v>
      </c>
      <c r="S24" s="3" t="s">
        <v>25</v>
      </c>
    </row>
    <row r="25" spans="1:19" x14ac:dyDescent="0.25">
      <c r="A25" s="3">
        <v>24</v>
      </c>
      <c r="B25" s="5">
        <f>DATE(Table1[[#This Row],[Year]],Table1[[#This Row],[Month]],Table1[[#This Row],[Day]])</f>
        <v>44485</v>
      </c>
      <c r="C25" s="3">
        <v>16</v>
      </c>
      <c r="D25" s="3">
        <v>10</v>
      </c>
      <c r="E25" s="3">
        <v>2021</v>
      </c>
      <c r="F25" s="3" t="str">
        <f>"Qtr"&amp; " " &amp;CHOOSE(MONTH(Table1[[#This Row],[Date]]),1,1,1,2,2,2,3,3,3,4,4,4)</f>
        <v>Qtr 4</v>
      </c>
      <c r="G25" s="3" t="str">
        <f>TEXT(Table1[[#This Row],[Date]],"mmmm")</f>
        <v>October</v>
      </c>
      <c r="H25" s="3" t="s">
        <v>1079</v>
      </c>
      <c r="I25" s="3" t="s">
        <v>13</v>
      </c>
      <c r="J25" s="3">
        <v>4</v>
      </c>
      <c r="K25" s="3">
        <v>28160.75</v>
      </c>
      <c r="L25" s="3">
        <f>Table1[[#This Row],[Price Per Unit]]*Table1[[#This Row],[Units Sold]]</f>
        <v>112643</v>
      </c>
      <c r="M25" s="3" t="s">
        <v>66</v>
      </c>
      <c r="N25" s="3">
        <v>42</v>
      </c>
      <c r="O25" s="3" t="s">
        <v>24</v>
      </c>
      <c r="P25" s="3" t="s">
        <v>31</v>
      </c>
      <c r="Q25" s="4">
        <v>5</v>
      </c>
      <c r="R25" s="4" t="str">
        <f>IF(Table1[[#This Row],[Customer Ratings]]&gt;=4, "Good",IF(Table1[[#This Row],[Customer Ratings]]=3, "Average","Poor"))</f>
        <v>Good</v>
      </c>
      <c r="S25" s="3" t="s">
        <v>17</v>
      </c>
    </row>
    <row r="26" spans="1:19" x14ac:dyDescent="0.25">
      <c r="A26" s="3">
        <v>25</v>
      </c>
      <c r="B26" s="5">
        <f>DATE(Table1[[#This Row],[Year]],Table1[[#This Row],[Month]],Table1[[#This Row],[Day]])</f>
        <v>44485</v>
      </c>
      <c r="C26" s="3">
        <v>16</v>
      </c>
      <c r="D26" s="3">
        <v>10</v>
      </c>
      <c r="E26" s="3">
        <v>2021</v>
      </c>
      <c r="F26" s="3" t="str">
        <f>"Qtr"&amp; " " &amp;CHOOSE(MONTH(Table1[[#This Row],[Date]]),1,1,1,2,2,2,3,3,3,4,4,4)</f>
        <v>Qtr 4</v>
      </c>
      <c r="G26" s="3" t="str">
        <f>TEXT(Table1[[#This Row],[Date]],"mmmm")</f>
        <v>October</v>
      </c>
      <c r="H26" s="3" t="s">
        <v>1079</v>
      </c>
      <c r="I26" s="3" t="s">
        <v>28</v>
      </c>
      <c r="J26" s="3">
        <v>7</v>
      </c>
      <c r="K26" s="3">
        <v>38064.92</v>
      </c>
      <c r="L26" s="3">
        <f>Table1[[#This Row],[Price Per Unit]]*Table1[[#This Row],[Units Sold]]</f>
        <v>266454.44</v>
      </c>
      <c r="M26" s="3" t="s">
        <v>67</v>
      </c>
      <c r="N26" s="3">
        <v>50</v>
      </c>
      <c r="O26" s="3" t="s">
        <v>20</v>
      </c>
      <c r="P26" s="3" t="s">
        <v>16</v>
      </c>
      <c r="Q26" s="4">
        <v>2</v>
      </c>
      <c r="R26" s="4" t="str">
        <f>IF(Table1[[#This Row],[Customer Ratings]]&gt;=4, "Good",IF(Table1[[#This Row],[Customer Ratings]]=3, "Average","Poor"))</f>
        <v>Poor</v>
      </c>
      <c r="S26" s="3" t="s">
        <v>38</v>
      </c>
    </row>
    <row r="27" spans="1:19" x14ac:dyDescent="0.25">
      <c r="A27" s="3">
        <v>26</v>
      </c>
      <c r="B27" s="5">
        <f>DATE(Table1[[#This Row],[Year]],Table1[[#This Row],[Month]],Table1[[#This Row],[Day]])</f>
        <v>44485</v>
      </c>
      <c r="C27" s="3">
        <v>16</v>
      </c>
      <c r="D27" s="3">
        <v>10</v>
      </c>
      <c r="E27" s="3">
        <v>2021</v>
      </c>
      <c r="F27" s="3" t="str">
        <f>"Qtr"&amp; " " &amp;CHOOSE(MONTH(Table1[[#This Row],[Date]]),1,1,1,2,2,2,3,3,3,4,4,4)</f>
        <v>Qtr 4</v>
      </c>
      <c r="G27" s="3" t="str">
        <f>TEXT(Table1[[#This Row],[Date]],"mmmm")</f>
        <v>October</v>
      </c>
      <c r="H27" s="3" t="s">
        <v>1079</v>
      </c>
      <c r="I27" s="3" t="s">
        <v>33</v>
      </c>
      <c r="J27" s="3">
        <v>6</v>
      </c>
      <c r="K27" s="3">
        <v>26367.63</v>
      </c>
      <c r="L27" s="3">
        <f>Table1[[#This Row],[Price Per Unit]]*Table1[[#This Row],[Units Sold]]</f>
        <v>158205.78</v>
      </c>
      <c r="M27" s="3" t="s">
        <v>68</v>
      </c>
      <c r="N27" s="3">
        <v>57</v>
      </c>
      <c r="O27" s="3" t="s">
        <v>20</v>
      </c>
      <c r="P27" s="3" t="s">
        <v>16</v>
      </c>
      <c r="Q27" s="4">
        <v>5</v>
      </c>
      <c r="R27" s="4" t="str">
        <f>IF(Table1[[#This Row],[Customer Ratings]]&gt;=4, "Good",IF(Table1[[#This Row],[Customer Ratings]]=3, "Average","Poor"))</f>
        <v>Good</v>
      </c>
      <c r="S27" s="3" t="s">
        <v>36</v>
      </c>
    </row>
    <row r="28" spans="1:19" x14ac:dyDescent="0.25">
      <c r="A28" s="3">
        <v>27</v>
      </c>
      <c r="B28" s="5">
        <f>DATE(Table1[[#This Row],[Year]],Table1[[#This Row],[Month]],Table1[[#This Row],[Day]])</f>
        <v>44486</v>
      </c>
      <c r="C28" s="3">
        <v>17</v>
      </c>
      <c r="D28" s="3">
        <v>10</v>
      </c>
      <c r="E28" s="3">
        <v>2021</v>
      </c>
      <c r="F28" s="3" t="str">
        <f>"Qtr"&amp; " " &amp;CHOOSE(MONTH(Table1[[#This Row],[Date]]),1,1,1,2,2,2,3,3,3,4,4,4)</f>
        <v>Qtr 4</v>
      </c>
      <c r="G28" s="3" t="str">
        <f>TEXT(Table1[[#This Row],[Date]],"mmmm")</f>
        <v>October</v>
      </c>
      <c r="H28" s="3" t="s">
        <v>1080</v>
      </c>
      <c r="I28" s="3" t="s">
        <v>33</v>
      </c>
      <c r="J28" s="3">
        <v>4</v>
      </c>
      <c r="K28" s="3">
        <v>37813.089999999997</v>
      </c>
      <c r="L28" s="3">
        <f>Table1[[#This Row],[Price Per Unit]]*Table1[[#This Row],[Units Sold]]</f>
        <v>151252.35999999999</v>
      </c>
      <c r="M28" s="3" t="s">
        <v>69</v>
      </c>
      <c r="N28" s="3">
        <v>34</v>
      </c>
      <c r="O28" s="3" t="s">
        <v>20</v>
      </c>
      <c r="P28" s="3" t="s">
        <v>31</v>
      </c>
      <c r="Q28" s="4">
        <v>4</v>
      </c>
      <c r="R28" s="4" t="str">
        <f>IF(Table1[[#This Row],[Customer Ratings]]&gt;=4, "Good",IF(Table1[[#This Row],[Customer Ratings]]=3, "Average","Poor"))</f>
        <v>Good</v>
      </c>
      <c r="S28" s="3" t="s">
        <v>46</v>
      </c>
    </row>
    <row r="29" spans="1:19" x14ac:dyDescent="0.25">
      <c r="A29" s="3">
        <v>28</v>
      </c>
      <c r="B29" s="5">
        <f>DATE(Table1[[#This Row],[Year]],Table1[[#This Row],[Month]],Table1[[#This Row],[Day]])</f>
        <v>44486</v>
      </c>
      <c r="C29" s="3">
        <v>17</v>
      </c>
      <c r="D29" s="3">
        <v>10</v>
      </c>
      <c r="E29" s="3">
        <v>2021</v>
      </c>
      <c r="F29" s="3" t="str">
        <f>"Qtr"&amp; " " &amp;CHOOSE(MONTH(Table1[[#This Row],[Date]]),1,1,1,2,2,2,3,3,3,4,4,4)</f>
        <v>Qtr 4</v>
      </c>
      <c r="G29" s="3" t="str">
        <f>TEXT(Table1[[#This Row],[Date]],"mmmm")</f>
        <v>October</v>
      </c>
      <c r="H29" s="3" t="s">
        <v>1080</v>
      </c>
      <c r="I29" s="3" t="s">
        <v>28</v>
      </c>
      <c r="J29" s="3">
        <v>2</v>
      </c>
      <c r="K29" s="3">
        <v>63270.28</v>
      </c>
      <c r="L29" s="3">
        <f>Table1[[#This Row],[Price Per Unit]]*Table1[[#This Row],[Units Sold]]</f>
        <v>126540.56</v>
      </c>
      <c r="M29" s="3" t="s">
        <v>70</v>
      </c>
      <c r="N29" s="3">
        <v>31</v>
      </c>
      <c r="O29" s="3" t="s">
        <v>41</v>
      </c>
      <c r="P29" s="3" t="s">
        <v>45</v>
      </c>
      <c r="Q29" s="4">
        <v>4</v>
      </c>
      <c r="R29" s="4" t="str">
        <f>IF(Table1[[#This Row],[Customer Ratings]]&gt;=4, "Good",IF(Table1[[#This Row],[Customer Ratings]]=3, "Average","Poor"))</f>
        <v>Good</v>
      </c>
      <c r="S29" s="3" t="s">
        <v>32</v>
      </c>
    </row>
    <row r="30" spans="1:19" x14ac:dyDescent="0.25">
      <c r="A30" s="3">
        <v>29</v>
      </c>
      <c r="B30" s="5">
        <f>DATE(Table1[[#This Row],[Year]],Table1[[#This Row],[Month]],Table1[[#This Row],[Day]])</f>
        <v>44486</v>
      </c>
      <c r="C30" s="3">
        <v>17</v>
      </c>
      <c r="D30" s="3">
        <v>10</v>
      </c>
      <c r="E30" s="3">
        <v>2021</v>
      </c>
      <c r="F30" s="3" t="str">
        <f>"Qtr"&amp; " " &amp;CHOOSE(MONTH(Table1[[#This Row],[Date]]),1,1,1,2,2,2,3,3,3,4,4,4)</f>
        <v>Qtr 4</v>
      </c>
      <c r="G30" s="3" t="str">
        <f>TEXT(Table1[[#This Row],[Date]],"mmmm")</f>
        <v>October</v>
      </c>
      <c r="H30" s="3" t="s">
        <v>1080</v>
      </c>
      <c r="I30" s="3" t="s">
        <v>13</v>
      </c>
      <c r="J30" s="3">
        <v>1</v>
      </c>
      <c r="K30" s="3">
        <v>37307.449999999997</v>
      </c>
      <c r="L30" s="3">
        <f>Table1[[#This Row],[Price Per Unit]]*Table1[[#This Row],[Units Sold]]</f>
        <v>37307.449999999997</v>
      </c>
      <c r="M30" s="3" t="s">
        <v>71</v>
      </c>
      <c r="N30" s="3">
        <v>54</v>
      </c>
      <c r="O30" s="3" t="s">
        <v>20</v>
      </c>
      <c r="P30" s="3" t="s">
        <v>31</v>
      </c>
      <c r="Q30" s="4">
        <v>4</v>
      </c>
      <c r="R30" s="4" t="str">
        <f>IF(Table1[[#This Row],[Customer Ratings]]&gt;=4, "Good",IF(Table1[[#This Row],[Customer Ratings]]=3, "Average","Poor"))</f>
        <v>Good</v>
      </c>
      <c r="S30" s="3" t="s">
        <v>72</v>
      </c>
    </row>
    <row r="31" spans="1:19" x14ac:dyDescent="0.25">
      <c r="A31" s="3">
        <v>30</v>
      </c>
      <c r="B31" s="5">
        <f>DATE(Table1[[#This Row],[Year]],Table1[[#This Row],[Month]],Table1[[#This Row],[Day]])</f>
        <v>44487</v>
      </c>
      <c r="C31" s="3">
        <v>18</v>
      </c>
      <c r="D31" s="3">
        <v>10</v>
      </c>
      <c r="E31" s="3">
        <v>2021</v>
      </c>
      <c r="F31" s="3" t="str">
        <f>"Qtr"&amp; " " &amp;CHOOSE(MONTH(Table1[[#This Row],[Date]]),1,1,1,2,2,2,3,3,3,4,4,4)</f>
        <v>Qtr 4</v>
      </c>
      <c r="G31" s="3" t="str">
        <f>TEXT(Table1[[#This Row],[Date]],"mmmm")</f>
        <v>October</v>
      </c>
      <c r="H31" s="3" t="s">
        <v>1081</v>
      </c>
      <c r="I31" s="3" t="s">
        <v>18</v>
      </c>
      <c r="J31" s="3">
        <v>4</v>
      </c>
      <c r="K31" s="3">
        <v>43354.720000000001</v>
      </c>
      <c r="L31" s="3">
        <f>Table1[[#This Row],[Price Per Unit]]*Table1[[#This Row],[Units Sold]]</f>
        <v>173418.88</v>
      </c>
      <c r="M31" s="3" t="s">
        <v>73</v>
      </c>
      <c r="N31" s="3">
        <v>40</v>
      </c>
      <c r="O31" s="3" t="s">
        <v>20</v>
      </c>
      <c r="P31" s="3" t="s">
        <v>31</v>
      </c>
      <c r="Q31" s="4">
        <v>5</v>
      </c>
      <c r="R31" s="4" t="str">
        <f>IF(Table1[[#This Row],[Customer Ratings]]&gt;=4, "Good",IF(Table1[[#This Row],[Customer Ratings]]=3, "Average","Poor"))</f>
        <v>Good</v>
      </c>
      <c r="S31" s="3" t="s">
        <v>22</v>
      </c>
    </row>
    <row r="32" spans="1:19" x14ac:dyDescent="0.25">
      <c r="A32" s="3">
        <v>31</v>
      </c>
      <c r="B32" s="5">
        <f>DATE(Table1[[#This Row],[Year]],Table1[[#This Row],[Month]],Table1[[#This Row],[Day]])</f>
        <v>44487</v>
      </c>
      <c r="C32" s="3">
        <v>18</v>
      </c>
      <c r="D32" s="3">
        <v>10</v>
      </c>
      <c r="E32" s="3">
        <v>2021</v>
      </c>
      <c r="F32" s="3" t="str">
        <f>"Qtr"&amp; " " &amp;CHOOSE(MONTH(Table1[[#This Row],[Date]]),1,1,1,2,2,2,3,3,3,4,4,4)</f>
        <v>Qtr 4</v>
      </c>
      <c r="G32" s="3" t="str">
        <f>TEXT(Table1[[#This Row],[Date]],"mmmm")</f>
        <v>October</v>
      </c>
      <c r="H32" s="3" t="s">
        <v>1081</v>
      </c>
      <c r="I32" s="3" t="s">
        <v>33</v>
      </c>
      <c r="J32" s="3">
        <v>4</v>
      </c>
      <c r="K32" s="3">
        <v>34238.58</v>
      </c>
      <c r="L32" s="3">
        <f>Table1[[#This Row],[Price Per Unit]]*Table1[[#This Row],[Units Sold]]</f>
        <v>136954.32</v>
      </c>
      <c r="M32" s="3" t="s">
        <v>74</v>
      </c>
      <c r="N32" s="3">
        <v>41</v>
      </c>
      <c r="O32" s="3" t="s">
        <v>15</v>
      </c>
      <c r="P32" s="3" t="s">
        <v>45</v>
      </c>
      <c r="Q32" s="4">
        <v>2</v>
      </c>
      <c r="R32" s="4" t="str">
        <f>IF(Table1[[#This Row],[Customer Ratings]]&gt;=4, "Good",IF(Table1[[#This Row],[Customer Ratings]]=3, "Average","Poor"))</f>
        <v>Poor</v>
      </c>
      <c r="S32" s="3" t="s">
        <v>36</v>
      </c>
    </row>
    <row r="33" spans="1:19" x14ac:dyDescent="0.25">
      <c r="A33" s="3">
        <v>32</v>
      </c>
      <c r="B33" s="5">
        <f>DATE(Table1[[#This Row],[Year]],Table1[[#This Row],[Month]],Table1[[#This Row],[Day]])</f>
        <v>44487</v>
      </c>
      <c r="C33" s="3">
        <v>18</v>
      </c>
      <c r="D33" s="3">
        <v>10</v>
      </c>
      <c r="E33" s="3">
        <v>2021</v>
      </c>
      <c r="F33" s="3" t="str">
        <f>"Qtr"&amp; " " &amp;CHOOSE(MONTH(Table1[[#This Row],[Date]]),1,1,1,2,2,2,3,3,3,4,4,4)</f>
        <v>Qtr 4</v>
      </c>
      <c r="G33" s="3" t="str">
        <f>TEXT(Table1[[#This Row],[Date]],"mmmm")</f>
        <v>October</v>
      </c>
      <c r="H33" s="3" t="s">
        <v>1081</v>
      </c>
      <c r="I33" s="3" t="s">
        <v>39</v>
      </c>
      <c r="J33" s="3">
        <v>1</v>
      </c>
      <c r="K33" s="3">
        <v>37607.03</v>
      </c>
      <c r="L33" s="3">
        <f>Table1[[#This Row],[Price Per Unit]]*Table1[[#This Row],[Units Sold]]</f>
        <v>37607.03</v>
      </c>
      <c r="M33" s="3" t="s">
        <v>75</v>
      </c>
      <c r="N33" s="3">
        <v>46</v>
      </c>
      <c r="O33" s="3" t="s">
        <v>24</v>
      </c>
      <c r="P33" s="3" t="s">
        <v>21</v>
      </c>
      <c r="Q33" s="4">
        <v>5</v>
      </c>
      <c r="R33" s="4" t="str">
        <f>IF(Table1[[#This Row],[Customer Ratings]]&gt;=4, "Good",IF(Table1[[#This Row],[Customer Ratings]]=3, "Average","Poor"))</f>
        <v>Good</v>
      </c>
      <c r="S33" s="3" t="s">
        <v>76</v>
      </c>
    </row>
    <row r="34" spans="1:19" x14ac:dyDescent="0.25">
      <c r="A34" s="3">
        <v>33</v>
      </c>
      <c r="B34" s="5">
        <f>DATE(Table1[[#This Row],[Year]],Table1[[#This Row],[Month]],Table1[[#This Row],[Day]])</f>
        <v>44487</v>
      </c>
      <c r="C34" s="3">
        <v>18</v>
      </c>
      <c r="D34" s="3">
        <v>10</v>
      </c>
      <c r="E34" s="3">
        <v>2021</v>
      </c>
      <c r="F34" s="3" t="str">
        <f>"Qtr"&amp; " " &amp;CHOOSE(MONTH(Table1[[#This Row],[Date]]),1,1,1,2,2,2,3,3,3,4,4,4)</f>
        <v>Qtr 4</v>
      </c>
      <c r="G34" s="3" t="str">
        <f>TEXT(Table1[[#This Row],[Date]],"mmmm")</f>
        <v>October</v>
      </c>
      <c r="H34" s="3" t="s">
        <v>1081</v>
      </c>
      <c r="I34" s="3" t="s">
        <v>39</v>
      </c>
      <c r="J34" s="3">
        <v>6</v>
      </c>
      <c r="K34" s="3">
        <v>10910.45</v>
      </c>
      <c r="L34" s="3">
        <f>Table1[[#This Row],[Price Per Unit]]*Table1[[#This Row],[Units Sold]]</f>
        <v>65462.700000000004</v>
      </c>
      <c r="M34" s="3" t="s">
        <v>77</v>
      </c>
      <c r="N34" s="3">
        <v>55</v>
      </c>
      <c r="O34" s="3" t="s">
        <v>78</v>
      </c>
      <c r="P34" s="3" t="s">
        <v>16</v>
      </c>
      <c r="Q34" s="4">
        <v>3</v>
      </c>
      <c r="R34" s="4" t="str">
        <f>IF(Table1[[#This Row],[Customer Ratings]]&gt;=4, "Good",IF(Table1[[#This Row],[Customer Ratings]]=3, "Average","Poor"))</f>
        <v>Average</v>
      </c>
      <c r="S34" s="3" t="s">
        <v>76</v>
      </c>
    </row>
    <row r="35" spans="1:19" x14ac:dyDescent="0.25">
      <c r="A35" s="3">
        <v>34</v>
      </c>
      <c r="B35" s="5">
        <f>DATE(Table1[[#This Row],[Year]],Table1[[#This Row],[Month]],Table1[[#This Row],[Day]])</f>
        <v>44488</v>
      </c>
      <c r="C35" s="3">
        <v>19</v>
      </c>
      <c r="D35" s="3">
        <v>10</v>
      </c>
      <c r="E35" s="3">
        <v>2021</v>
      </c>
      <c r="F35" s="3" t="str">
        <f>"Qtr"&amp; " " &amp;CHOOSE(MONTH(Table1[[#This Row],[Date]]),1,1,1,2,2,2,3,3,3,4,4,4)</f>
        <v>Qtr 4</v>
      </c>
      <c r="G35" s="3" t="str">
        <f>TEXT(Table1[[#This Row],[Date]],"mmmm")</f>
        <v>October</v>
      </c>
      <c r="H35" s="3" t="s">
        <v>1082</v>
      </c>
      <c r="I35" s="3" t="s">
        <v>28</v>
      </c>
      <c r="J35" s="3">
        <v>4</v>
      </c>
      <c r="K35" s="3">
        <v>27024.73</v>
      </c>
      <c r="L35" s="3">
        <f>Table1[[#This Row],[Price Per Unit]]*Table1[[#This Row],[Units Sold]]</f>
        <v>108098.92</v>
      </c>
      <c r="M35" s="3" t="s">
        <v>79</v>
      </c>
      <c r="N35" s="3">
        <v>44</v>
      </c>
      <c r="O35" s="3" t="s">
        <v>24</v>
      </c>
      <c r="P35" s="3" t="s">
        <v>16</v>
      </c>
      <c r="Q35" s="4">
        <v>5</v>
      </c>
      <c r="R35" s="4" t="str">
        <f>IF(Table1[[#This Row],[Customer Ratings]]&gt;=4, "Good",IF(Table1[[#This Row],[Customer Ratings]]=3, "Average","Poor"))</f>
        <v>Good</v>
      </c>
      <c r="S35" s="3" t="s">
        <v>32</v>
      </c>
    </row>
    <row r="36" spans="1:19" x14ac:dyDescent="0.25">
      <c r="A36" s="3">
        <v>35</v>
      </c>
      <c r="B36" s="5">
        <f>DATE(Table1[[#This Row],[Year]],Table1[[#This Row],[Month]],Table1[[#This Row],[Day]])</f>
        <v>44488</v>
      </c>
      <c r="C36" s="3">
        <v>19</v>
      </c>
      <c r="D36" s="3">
        <v>10</v>
      </c>
      <c r="E36" s="3">
        <v>2021</v>
      </c>
      <c r="F36" s="3" t="str">
        <f>"Qtr"&amp; " " &amp;CHOOSE(MONTH(Table1[[#This Row],[Date]]),1,1,1,2,2,2,3,3,3,4,4,4)</f>
        <v>Qtr 4</v>
      </c>
      <c r="G36" s="3" t="str">
        <f>TEXT(Table1[[#This Row],[Date]],"mmmm")</f>
        <v>October</v>
      </c>
      <c r="H36" s="3" t="s">
        <v>1082</v>
      </c>
      <c r="I36" s="3" t="s">
        <v>13</v>
      </c>
      <c r="J36" s="3">
        <v>1</v>
      </c>
      <c r="K36" s="3">
        <v>36194.9</v>
      </c>
      <c r="L36" s="3">
        <f>Table1[[#This Row],[Price Per Unit]]*Table1[[#This Row],[Units Sold]]</f>
        <v>36194.9</v>
      </c>
      <c r="M36" s="3" t="s">
        <v>80</v>
      </c>
      <c r="N36" s="3">
        <v>55</v>
      </c>
      <c r="O36" s="3" t="s">
        <v>81</v>
      </c>
      <c r="P36" s="3" t="s">
        <v>45</v>
      </c>
      <c r="Q36" s="4">
        <v>4</v>
      </c>
      <c r="R36" s="4" t="str">
        <f>IF(Table1[[#This Row],[Customer Ratings]]&gt;=4, "Good",IF(Table1[[#This Row],[Customer Ratings]]=3, "Average","Poor"))</f>
        <v>Good</v>
      </c>
      <c r="S36" s="3" t="s">
        <v>17</v>
      </c>
    </row>
    <row r="37" spans="1:19" x14ac:dyDescent="0.25">
      <c r="A37" s="3">
        <v>36</v>
      </c>
      <c r="B37" s="5">
        <f>DATE(Table1[[#This Row],[Year]],Table1[[#This Row],[Month]],Table1[[#This Row],[Day]])</f>
        <v>44488</v>
      </c>
      <c r="C37" s="3">
        <v>19</v>
      </c>
      <c r="D37" s="3">
        <v>10</v>
      </c>
      <c r="E37" s="3">
        <v>2021</v>
      </c>
      <c r="F37" s="3" t="str">
        <f>"Qtr"&amp; " " &amp;CHOOSE(MONTH(Table1[[#This Row],[Date]]),1,1,1,2,2,2,3,3,3,4,4,4)</f>
        <v>Qtr 4</v>
      </c>
      <c r="G37" s="3" t="str">
        <f>TEXT(Table1[[#This Row],[Date]],"mmmm")</f>
        <v>October</v>
      </c>
      <c r="H37" s="3" t="s">
        <v>1082</v>
      </c>
      <c r="I37" s="3" t="s">
        <v>33</v>
      </c>
      <c r="J37" s="3">
        <v>1</v>
      </c>
      <c r="K37" s="3">
        <v>48027.82</v>
      </c>
      <c r="L37" s="3">
        <f>Table1[[#This Row],[Price Per Unit]]*Table1[[#This Row],[Units Sold]]</f>
        <v>48027.82</v>
      </c>
      <c r="M37" s="3" t="s">
        <v>82</v>
      </c>
      <c r="N37" s="3">
        <v>57</v>
      </c>
      <c r="O37" s="3" t="s">
        <v>65</v>
      </c>
      <c r="P37" s="3" t="s">
        <v>16</v>
      </c>
      <c r="Q37" s="4">
        <v>3</v>
      </c>
      <c r="R37" s="4" t="str">
        <f>IF(Table1[[#This Row],[Customer Ratings]]&gt;=4, "Good",IF(Table1[[#This Row],[Customer Ratings]]=3, "Average","Poor"))</f>
        <v>Average</v>
      </c>
      <c r="S37" s="3" t="s">
        <v>83</v>
      </c>
    </row>
    <row r="38" spans="1:19" x14ac:dyDescent="0.25">
      <c r="A38" s="3">
        <v>37</v>
      </c>
      <c r="B38" s="5">
        <f>DATE(Table1[[#This Row],[Year]],Table1[[#This Row],[Month]],Table1[[#This Row],[Day]])</f>
        <v>44489</v>
      </c>
      <c r="C38" s="3">
        <v>20</v>
      </c>
      <c r="D38" s="3">
        <v>10</v>
      </c>
      <c r="E38" s="3">
        <v>2021</v>
      </c>
      <c r="F38" s="3" t="str">
        <f>"Qtr"&amp; " " &amp;CHOOSE(MONTH(Table1[[#This Row],[Date]]),1,1,1,2,2,2,3,3,3,4,4,4)</f>
        <v>Qtr 4</v>
      </c>
      <c r="G38" s="3" t="str">
        <f>TEXT(Table1[[#This Row],[Date]],"mmmm")</f>
        <v>October</v>
      </c>
      <c r="H38" s="3" t="s">
        <v>1083</v>
      </c>
      <c r="I38" s="3" t="s">
        <v>13</v>
      </c>
      <c r="J38" s="3">
        <v>1</v>
      </c>
      <c r="K38" s="3">
        <v>37003.120000000003</v>
      </c>
      <c r="L38" s="3">
        <f>Table1[[#This Row],[Price Per Unit]]*Table1[[#This Row],[Units Sold]]</f>
        <v>37003.120000000003</v>
      </c>
      <c r="M38" s="3" t="s">
        <v>84</v>
      </c>
      <c r="N38" s="3">
        <v>40</v>
      </c>
      <c r="O38" s="3" t="s">
        <v>58</v>
      </c>
      <c r="P38" s="3" t="s">
        <v>45</v>
      </c>
      <c r="Q38" s="4">
        <v>3</v>
      </c>
      <c r="R38" s="4" t="str">
        <f>IF(Table1[[#This Row],[Customer Ratings]]&gt;=4, "Good",IF(Table1[[#This Row],[Customer Ratings]]=3, "Average","Poor"))</f>
        <v>Average</v>
      </c>
      <c r="S38" s="3" t="s">
        <v>72</v>
      </c>
    </row>
    <row r="39" spans="1:19" x14ac:dyDescent="0.25">
      <c r="A39" s="3">
        <v>38</v>
      </c>
      <c r="B39" s="5">
        <f>DATE(Table1[[#This Row],[Year]],Table1[[#This Row],[Month]],Table1[[#This Row],[Day]])</f>
        <v>44489</v>
      </c>
      <c r="C39" s="3">
        <v>20</v>
      </c>
      <c r="D39" s="3">
        <v>10</v>
      </c>
      <c r="E39" s="3">
        <v>2021</v>
      </c>
      <c r="F39" s="3" t="str">
        <f>"Qtr"&amp; " " &amp;CHOOSE(MONTH(Table1[[#This Row],[Date]]),1,1,1,2,2,2,3,3,3,4,4,4)</f>
        <v>Qtr 4</v>
      </c>
      <c r="G39" s="3" t="str">
        <f>TEXT(Table1[[#This Row],[Date]],"mmmm")</f>
        <v>October</v>
      </c>
      <c r="H39" s="3" t="s">
        <v>1083</v>
      </c>
      <c r="I39" s="3" t="s">
        <v>33</v>
      </c>
      <c r="J39" s="3">
        <v>8</v>
      </c>
      <c r="K39" s="3">
        <v>30269.02</v>
      </c>
      <c r="L39" s="3">
        <f>Table1[[#This Row],[Price Per Unit]]*Table1[[#This Row],[Units Sold]]</f>
        <v>242152.16</v>
      </c>
      <c r="M39" s="3" t="s">
        <v>85</v>
      </c>
      <c r="N39" s="3">
        <v>48</v>
      </c>
      <c r="O39" s="3" t="s">
        <v>15</v>
      </c>
      <c r="P39" s="3" t="s">
        <v>21</v>
      </c>
      <c r="Q39" s="4">
        <v>5</v>
      </c>
      <c r="R39" s="4" t="str">
        <f>IF(Table1[[#This Row],[Customer Ratings]]&gt;=4, "Good",IF(Table1[[#This Row],[Customer Ratings]]=3, "Average","Poor"))</f>
        <v>Good</v>
      </c>
      <c r="S39" s="3" t="s">
        <v>36</v>
      </c>
    </row>
    <row r="40" spans="1:19" x14ac:dyDescent="0.25">
      <c r="A40" s="3">
        <v>39</v>
      </c>
      <c r="B40" s="5">
        <f>DATE(Table1[[#This Row],[Year]],Table1[[#This Row],[Month]],Table1[[#This Row],[Day]])</f>
        <v>44489</v>
      </c>
      <c r="C40" s="3">
        <v>20</v>
      </c>
      <c r="D40" s="3">
        <v>10</v>
      </c>
      <c r="E40" s="3">
        <v>2021</v>
      </c>
      <c r="F40" s="3" t="str">
        <f>"Qtr"&amp; " " &amp;CHOOSE(MONTH(Table1[[#This Row],[Date]]),1,1,1,2,2,2,3,3,3,4,4,4)</f>
        <v>Qtr 4</v>
      </c>
      <c r="G40" s="3" t="str">
        <f>TEXT(Table1[[#This Row],[Date]],"mmmm")</f>
        <v>October</v>
      </c>
      <c r="H40" s="3" t="s">
        <v>1083</v>
      </c>
      <c r="I40" s="3" t="s">
        <v>28</v>
      </c>
      <c r="J40" s="3">
        <v>8</v>
      </c>
      <c r="K40" s="3">
        <v>33285.919999999998</v>
      </c>
      <c r="L40" s="3">
        <f>Table1[[#This Row],[Price Per Unit]]*Table1[[#This Row],[Units Sold]]</f>
        <v>266287.35999999999</v>
      </c>
      <c r="M40" s="3" t="s">
        <v>86</v>
      </c>
      <c r="N40" s="3">
        <v>53</v>
      </c>
      <c r="O40" s="3" t="s">
        <v>20</v>
      </c>
      <c r="P40" s="3" t="s">
        <v>45</v>
      </c>
      <c r="Q40" s="4">
        <v>5</v>
      </c>
      <c r="R40" s="4" t="str">
        <f>IF(Table1[[#This Row],[Customer Ratings]]&gt;=4, "Good",IF(Table1[[#This Row],[Customer Ratings]]=3, "Average","Poor"))</f>
        <v>Good</v>
      </c>
      <c r="S40" s="3" t="s">
        <v>87</v>
      </c>
    </row>
    <row r="41" spans="1:19" x14ac:dyDescent="0.25">
      <c r="A41" s="3">
        <v>40</v>
      </c>
      <c r="B41" s="5">
        <f>DATE(Table1[[#This Row],[Year]],Table1[[#This Row],[Month]],Table1[[#This Row],[Day]])</f>
        <v>44490</v>
      </c>
      <c r="C41" s="3">
        <v>21</v>
      </c>
      <c r="D41" s="3">
        <v>10</v>
      </c>
      <c r="E41" s="3">
        <v>2021</v>
      </c>
      <c r="F41" s="3" t="str">
        <f>"Qtr"&amp; " " &amp;CHOOSE(MONTH(Table1[[#This Row],[Date]]),1,1,1,2,2,2,3,3,3,4,4,4)</f>
        <v>Qtr 4</v>
      </c>
      <c r="G41" s="3" t="str">
        <f>TEXT(Table1[[#This Row],[Date]],"mmmm")</f>
        <v>October</v>
      </c>
      <c r="H41" s="3" t="s">
        <v>1084</v>
      </c>
      <c r="I41" s="3" t="s">
        <v>28</v>
      </c>
      <c r="J41" s="3">
        <v>2</v>
      </c>
      <c r="K41" s="3">
        <v>24537.599999999999</v>
      </c>
      <c r="L41" s="3">
        <f>Table1[[#This Row],[Price Per Unit]]*Table1[[#This Row],[Units Sold]]</f>
        <v>49075.199999999997</v>
      </c>
      <c r="M41" s="3" t="s">
        <v>88</v>
      </c>
      <c r="N41" s="3">
        <v>34</v>
      </c>
      <c r="O41" s="3" t="s">
        <v>20</v>
      </c>
      <c r="P41" s="3" t="s">
        <v>16</v>
      </c>
      <c r="Q41" s="4">
        <v>5</v>
      </c>
      <c r="R41" s="4" t="str">
        <f>IF(Table1[[#This Row],[Customer Ratings]]&gt;=4, "Good",IF(Table1[[#This Row],[Customer Ratings]]=3, "Average","Poor"))</f>
        <v>Good</v>
      </c>
      <c r="S41" s="3" t="s">
        <v>38</v>
      </c>
    </row>
    <row r="42" spans="1:19" x14ac:dyDescent="0.25">
      <c r="A42" s="3">
        <v>41</v>
      </c>
      <c r="B42" s="5">
        <f>DATE(Table1[[#This Row],[Year]],Table1[[#This Row],[Month]],Table1[[#This Row],[Day]])</f>
        <v>44490</v>
      </c>
      <c r="C42" s="3">
        <v>21</v>
      </c>
      <c r="D42" s="3">
        <v>10</v>
      </c>
      <c r="E42" s="3">
        <v>2021</v>
      </c>
      <c r="F42" s="3" t="str">
        <f>"Qtr"&amp; " " &amp;CHOOSE(MONTH(Table1[[#This Row],[Date]]),1,1,1,2,2,2,3,3,3,4,4,4)</f>
        <v>Qtr 4</v>
      </c>
      <c r="G42" s="3" t="str">
        <f>TEXT(Table1[[#This Row],[Date]],"mmmm")</f>
        <v>October</v>
      </c>
      <c r="H42" s="3" t="s">
        <v>1084</v>
      </c>
      <c r="I42" s="3" t="s">
        <v>39</v>
      </c>
      <c r="J42" s="3">
        <v>7</v>
      </c>
      <c r="K42" s="3">
        <v>65469.66</v>
      </c>
      <c r="L42" s="3">
        <f>Table1[[#This Row],[Price Per Unit]]*Table1[[#This Row],[Units Sold]]</f>
        <v>458287.62</v>
      </c>
      <c r="M42" s="3" t="s">
        <v>89</v>
      </c>
      <c r="N42" s="3">
        <v>54</v>
      </c>
      <c r="O42" s="3" t="s">
        <v>20</v>
      </c>
      <c r="P42" s="3" t="s">
        <v>16</v>
      </c>
      <c r="Q42" s="4">
        <v>5</v>
      </c>
      <c r="R42" s="4" t="str">
        <f>IF(Table1[[#This Row],[Customer Ratings]]&gt;=4, "Good",IF(Table1[[#This Row],[Customer Ratings]]=3, "Average","Poor"))</f>
        <v>Good</v>
      </c>
      <c r="S42" s="3" t="s">
        <v>90</v>
      </c>
    </row>
    <row r="43" spans="1:19" x14ac:dyDescent="0.25">
      <c r="A43" s="3">
        <v>42</v>
      </c>
      <c r="B43" s="5">
        <f>DATE(Table1[[#This Row],[Year]],Table1[[#This Row],[Month]],Table1[[#This Row],[Day]])</f>
        <v>44490</v>
      </c>
      <c r="C43" s="3">
        <v>21</v>
      </c>
      <c r="D43" s="3">
        <v>10</v>
      </c>
      <c r="E43" s="3">
        <v>2021</v>
      </c>
      <c r="F43" s="3" t="str">
        <f>"Qtr"&amp; " " &amp;CHOOSE(MONTH(Table1[[#This Row],[Date]]),1,1,1,2,2,2,3,3,3,4,4,4)</f>
        <v>Qtr 4</v>
      </c>
      <c r="G43" s="3" t="str">
        <f>TEXT(Table1[[#This Row],[Date]],"mmmm")</f>
        <v>October</v>
      </c>
      <c r="H43" s="3" t="s">
        <v>1084</v>
      </c>
      <c r="I43" s="3" t="s">
        <v>13</v>
      </c>
      <c r="J43" s="3">
        <v>8</v>
      </c>
      <c r="K43" s="3">
        <v>41304.589999999997</v>
      </c>
      <c r="L43" s="3">
        <f>Table1[[#This Row],[Price Per Unit]]*Table1[[#This Row],[Units Sold]]</f>
        <v>330436.71999999997</v>
      </c>
      <c r="M43" s="3" t="s">
        <v>91</v>
      </c>
      <c r="N43" s="3">
        <v>20</v>
      </c>
      <c r="O43" s="3" t="s">
        <v>24</v>
      </c>
      <c r="P43" s="3" t="s">
        <v>45</v>
      </c>
      <c r="Q43" s="4">
        <v>2</v>
      </c>
      <c r="R43" s="4" t="str">
        <f>IF(Table1[[#This Row],[Customer Ratings]]&gt;=4, "Good",IF(Table1[[#This Row],[Customer Ratings]]=3, "Average","Poor"))</f>
        <v>Poor</v>
      </c>
      <c r="S43" s="3" t="s">
        <v>27</v>
      </c>
    </row>
    <row r="44" spans="1:19" x14ac:dyDescent="0.25">
      <c r="A44" s="3">
        <v>43</v>
      </c>
      <c r="B44" s="5">
        <f>DATE(Table1[[#This Row],[Year]],Table1[[#This Row],[Month]],Table1[[#This Row],[Day]])</f>
        <v>44491</v>
      </c>
      <c r="C44" s="3">
        <v>22</v>
      </c>
      <c r="D44" s="3">
        <v>10</v>
      </c>
      <c r="E44" s="3">
        <v>2021</v>
      </c>
      <c r="F44" s="3" t="str">
        <f>"Qtr"&amp; " " &amp;CHOOSE(MONTH(Table1[[#This Row],[Date]]),1,1,1,2,2,2,3,3,3,4,4,4)</f>
        <v>Qtr 4</v>
      </c>
      <c r="G44" s="3" t="str">
        <f>TEXT(Table1[[#This Row],[Date]],"mmmm")</f>
        <v>October</v>
      </c>
      <c r="H44" s="3" t="s">
        <v>1085</v>
      </c>
      <c r="I44" s="3" t="s">
        <v>39</v>
      </c>
      <c r="J44" s="3">
        <v>8</v>
      </c>
      <c r="K44" s="3">
        <v>10804.57</v>
      </c>
      <c r="L44" s="3">
        <f>Table1[[#This Row],[Price Per Unit]]*Table1[[#This Row],[Units Sold]]</f>
        <v>86436.56</v>
      </c>
      <c r="M44" s="3" t="s">
        <v>92</v>
      </c>
      <c r="N44" s="3">
        <v>53</v>
      </c>
      <c r="O44" s="3" t="s">
        <v>15</v>
      </c>
      <c r="P44" s="3" t="s">
        <v>16</v>
      </c>
      <c r="Q44" s="4">
        <v>5</v>
      </c>
      <c r="R44" s="4" t="str">
        <f>IF(Table1[[#This Row],[Customer Ratings]]&gt;=4, "Good",IF(Table1[[#This Row],[Customer Ratings]]=3, "Average","Poor"))</f>
        <v>Good</v>
      </c>
      <c r="S44" s="3" t="s">
        <v>76</v>
      </c>
    </row>
    <row r="45" spans="1:19" x14ac:dyDescent="0.25">
      <c r="A45" s="3">
        <v>44</v>
      </c>
      <c r="B45" s="5">
        <f>DATE(Table1[[#This Row],[Year]],Table1[[#This Row],[Month]],Table1[[#This Row],[Day]])</f>
        <v>44491</v>
      </c>
      <c r="C45" s="3">
        <v>22</v>
      </c>
      <c r="D45" s="3">
        <v>10</v>
      </c>
      <c r="E45" s="3">
        <v>2021</v>
      </c>
      <c r="F45" s="3" t="str">
        <f>"Qtr"&amp; " " &amp;CHOOSE(MONTH(Table1[[#This Row],[Date]]),1,1,1,2,2,2,3,3,3,4,4,4)</f>
        <v>Qtr 4</v>
      </c>
      <c r="G45" s="3" t="str">
        <f>TEXT(Table1[[#This Row],[Date]],"mmmm")</f>
        <v>October</v>
      </c>
      <c r="H45" s="3" t="s">
        <v>1085</v>
      </c>
      <c r="I45" s="3" t="s">
        <v>13</v>
      </c>
      <c r="J45" s="3">
        <v>7</v>
      </c>
      <c r="K45" s="3">
        <v>11166.78</v>
      </c>
      <c r="L45" s="3">
        <f>Table1[[#This Row],[Price Per Unit]]*Table1[[#This Row],[Units Sold]]</f>
        <v>78167.460000000006</v>
      </c>
      <c r="M45" s="3" t="s">
        <v>93</v>
      </c>
      <c r="N45" s="3">
        <v>22</v>
      </c>
      <c r="O45" s="3" t="s">
        <v>78</v>
      </c>
      <c r="P45" s="3" t="s">
        <v>45</v>
      </c>
      <c r="Q45" s="4">
        <v>5</v>
      </c>
      <c r="R45" s="4" t="str">
        <f>IF(Table1[[#This Row],[Customer Ratings]]&gt;=4, "Good",IF(Table1[[#This Row],[Customer Ratings]]=3, "Average","Poor"))</f>
        <v>Good</v>
      </c>
      <c r="S45" s="3" t="s">
        <v>27</v>
      </c>
    </row>
    <row r="46" spans="1:19" x14ac:dyDescent="0.25">
      <c r="A46" s="3">
        <v>45</v>
      </c>
      <c r="B46" s="5">
        <f>DATE(Table1[[#This Row],[Year]],Table1[[#This Row],[Month]],Table1[[#This Row],[Day]])</f>
        <v>44491</v>
      </c>
      <c r="C46" s="3">
        <v>22</v>
      </c>
      <c r="D46" s="3">
        <v>10</v>
      </c>
      <c r="E46" s="3">
        <v>2021</v>
      </c>
      <c r="F46" s="3" t="str">
        <f>"Qtr"&amp; " " &amp;CHOOSE(MONTH(Table1[[#This Row],[Date]]),1,1,1,2,2,2,3,3,3,4,4,4)</f>
        <v>Qtr 4</v>
      </c>
      <c r="G46" s="3" t="str">
        <f>TEXT(Table1[[#This Row],[Date]],"mmmm")</f>
        <v>October</v>
      </c>
      <c r="H46" s="3" t="s">
        <v>1085</v>
      </c>
      <c r="I46" s="3" t="s">
        <v>39</v>
      </c>
      <c r="J46" s="3">
        <v>5</v>
      </c>
      <c r="K46" s="3">
        <v>68377.7</v>
      </c>
      <c r="L46" s="3">
        <f>Table1[[#This Row],[Price Per Unit]]*Table1[[#This Row],[Units Sold]]</f>
        <v>341888.5</v>
      </c>
      <c r="M46" s="3" t="s">
        <v>94</v>
      </c>
      <c r="N46" s="3">
        <v>32</v>
      </c>
      <c r="O46" s="3" t="s">
        <v>54</v>
      </c>
      <c r="P46" s="3" t="s">
        <v>16</v>
      </c>
      <c r="Q46" s="4">
        <v>5</v>
      </c>
      <c r="R46" s="4" t="str">
        <f>IF(Table1[[#This Row],[Customer Ratings]]&gt;=4, "Good",IF(Table1[[#This Row],[Customer Ratings]]=3, "Average","Poor"))</f>
        <v>Good</v>
      </c>
      <c r="S46" s="3" t="s">
        <v>76</v>
      </c>
    </row>
    <row r="47" spans="1:19" x14ac:dyDescent="0.25">
      <c r="A47" s="3">
        <v>46</v>
      </c>
      <c r="B47" s="5">
        <f>DATE(Table1[[#This Row],[Year]],Table1[[#This Row],[Month]],Table1[[#This Row],[Day]])</f>
        <v>44492</v>
      </c>
      <c r="C47" s="3">
        <v>23</v>
      </c>
      <c r="D47" s="3">
        <v>10</v>
      </c>
      <c r="E47" s="3">
        <v>2021</v>
      </c>
      <c r="F47" s="3" t="str">
        <f>"Qtr"&amp; " " &amp;CHOOSE(MONTH(Table1[[#This Row],[Date]]),1,1,1,2,2,2,3,3,3,4,4,4)</f>
        <v>Qtr 4</v>
      </c>
      <c r="G47" s="3" t="str">
        <f>TEXT(Table1[[#This Row],[Date]],"mmmm")</f>
        <v>October</v>
      </c>
      <c r="H47" s="3" t="s">
        <v>1079</v>
      </c>
      <c r="I47" s="3" t="s">
        <v>18</v>
      </c>
      <c r="J47" s="3">
        <v>1</v>
      </c>
      <c r="K47" s="3">
        <v>23287.05</v>
      </c>
      <c r="L47" s="3">
        <f>Table1[[#This Row],[Price Per Unit]]*Table1[[#This Row],[Units Sold]]</f>
        <v>23287.05</v>
      </c>
      <c r="M47" s="3" t="s">
        <v>95</v>
      </c>
      <c r="N47" s="3">
        <v>23</v>
      </c>
      <c r="O47" s="3" t="s">
        <v>48</v>
      </c>
      <c r="P47" s="3" t="s">
        <v>31</v>
      </c>
      <c r="Q47" s="4">
        <v>5</v>
      </c>
      <c r="R47" s="4" t="str">
        <f>IF(Table1[[#This Row],[Customer Ratings]]&gt;=4, "Good",IF(Table1[[#This Row],[Customer Ratings]]=3, "Average","Poor"))</f>
        <v>Good</v>
      </c>
      <c r="S47" s="3" t="s">
        <v>55</v>
      </c>
    </row>
    <row r="48" spans="1:19" x14ac:dyDescent="0.25">
      <c r="A48" s="3">
        <v>47</v>
      </c>
      <c r="B48" s="5">
        <f>DATE(Table1[[#This Row],[Year]],Table1[[#This Row],[Month]],Table1[[#This Row],[Day]])</f>
        <v>44492</v>
      </c>
      <c r="C48" s="3">
        <v>23</v>
      </c>
      <c r="D48" s="3">
        <v>10</v>
      </c>
      <c r="E48" s="3">
        <v>2021</v>
      </c>
      <c r="F48" s="3" t="str">
        <f>"Qtr"&amp; " " &amp;CHOOSE(MONTH(Table1[[#This Row],[Date]]),1,1,1,2,2,2,3,3,3,4,4,4)</f>
        <v>Qtr 4</v>
      </c>
      <c r="G48" s="3" t="str">
        <f>TEXT(Table1[[#This Row],[Date]],"mmmm")</f>
        <v>October</v>
      </c>
      <c r="H48" s="3" t="s">
        <v>1079</v>
      </c>
      <c r="I48" s="3" t="s">
        <v>18</v>
      </c>
      <c r="J48" s="3">
        <v>9</v>
      </c>
      <c r="K48" s="3">
        <v>58336.5</v>
      </c>
      <c r="L48" s="3">
        <f>Table1[[#This Row],[Price Per Unit]]*Table1[[#This Row],[Units Sold]]</f>
        <v>525028.5</v>
      </c>
      <c r="M48" s="3" t="s">
        <v>96</v>
      </c>
      <c r="N48" s="3">
        <v>27</v>
      </c>
      <c r="O48" s="3" t="s">
        <v>20</v>
      </c>
      <c r="P48" s="3" t="s">
        <v>21</v>
      </c>
      <c r="Q48" s="4">
        <v>5</v>
      </c>
      <c r="R48" s="4" t="str">
        <f>IF(Table1[[#This Row],[Customer Ratings]]&gt;=4, "Good",IF(Table1[[#This Row],[Customer Ratings]]=3, "Average","Poor"))</f>
        <v>Good</v>
      </c>
      <c r="S48" s="3" t="s">
        <v>22</v>
      </c>
    </row>
    <row r="49" spans="1:19" x14ac:dyDescent="0.25">
      <c r="A49" s="3">
        <v>48</v>
      </c>
      <c r="B49" s="5">
        <f>DATE(Table1[[#This Row],[Year]],Table1[[#This Row],[Month]],Table1[[#This Row],[Day]])</f>
        <v>44492</v>
      </c>
      <c r="C49" s="3">
        <v>23</v>
      </c>
      <c r="D49" s="3">
        <v>10</v>
      </c>
      <c r="E49" s="3">
        <v>2021</v>
      </c>
      <c r="F49" s="3" t="str">
        <f>"Qtr"&amp; " " &amp;CHOOSE(MONTH(Table1[[#This Row],[Date]]),1,1,1,2,2,2,3,3,3,4,4,4)</f>
        <v>Qtr 4</v>
      </c>
      <c r="G49" s="3" t="str">
        <f>TEXT(Table1[[#This Row],[Date]],"mmmm")</f>
        <v>October</v>
      </c>
      <c r="H49" s="3" t="s">
        <v>1079</v>
      </c>
      <c r="I49" s="3" t="s">
        <v>18</v>
      </c>
      <c r="J49" s="3">
        <v>7</v>
      </c>
      <c r="K49" s="3">
        <v>13496.52</v>
      </c>
      <c r="L49" s="3">
        <f>Table1[[#This Row],[Price Per Unit]]*Table1[[#This Row],[Units Sold]]</f>
        <v>94475.64</v>
      </c>
      <c r="M49" s="3" t="s">
        <v>97</v>
      </c>
      <c r="N49" s="3">
        <v>49</v>
      </c>
      <c r="O49" s="3" t="s">
        <v>98</v>
      </c>
      <c r="P49" s="3" t="s">
        <v>16</v>
      </c>
      <c r="Q49" s="4">
        <v>5</v>
      </c>
      <c r="R49" s="4" t="str">
        <f>IF(Table1[[#This Row],[Customer Ratings]]&gt;=4, "Good",IF(Table1[[#This Row],[Customer Ratings]]=3, "Average","Poor"))</f>
        <v>Good</v>
      </c>
      <c r="S49" s="3" t="s">
        <v>25</v>
      </c>
    </row>
    <row r="50" spans="1:19" x14ac:dyDescent="0.25">
      <c r="A50" s="3">
        <v>49</v>
      </c>
      <c r="B50" s="5">
        <f>DATE(Table1[[#This Row],[Year]],Table1[[#This Row],[Month]],Table1[[#This Row],[Day]])</f>
        <v>44492</v>
      </c>
      <c r="C50" s="3">
        <v>23</v>
      </c>
      <c r="D50" s="3">
        <v>10</v>
      </c>
      <c r="E50" s="3">
        <v>2021</v>
      </c>
      <c r="F50" s="3" t="str">
        <f>"Qtr"&amp; " " &amp;CHOOSE(MONTH(Table1[[#This Row],[Date]]),1,1,1,2,2,2,3,3,3,4,4,4)</f>
        <v>Qtr 4</v>
      </c>
      <c r="G50" s="3" t="str">
        <f>TEXT(Table1[[#This Row],[Date]],"mmmm")</f>
        <v>October</v>
      </c>
      <c r="H50" s="3" t="s">
        <v>1079</v>
      </c>
      <c r="I50" s="3" t="s">
        <v>18</v>
      </c>
      <c r="J50" s="3">
        <v>2</v>
      </c>
      <c r="K50" s="3">
        <v>65269.760000000002</v>
      </c>
      <c r="L50" s="3">
        <f>Table1[[#This Row],[Price Per Unit]]*Table1[[#This Row],[Units Sold]]</f>
        <v>130539.52</v>
      </c>
      <c r="M50" s="3" t="s">
        <v>99</v>
      </c>
      <c r="N50" s="3">
        <v>40</v>
      </c>
      <c r="O50" s="3" t="s">
        <v>24</v>
      </c>
      <c r="P50" s="3" t="s">
        <v>16</v>
      </c>
      <c r="Q50" s="4">
        <v>5</v>
      </c>
      <c r="R50" s="4" t="str">
        <f>IF(Table1[[#This Row],[Customer Ratings]]&gt;=4, "Good",IF(Table1[[#This Row],[Customer Ratings]]=3, "Average","Poor"))</f>
        <v>Good</v>
      </c>
      <c r="S50" s="3" t="s">
        <v>22</v>
      </c>
    </row>
    <row r="51" spans="1:19" x14ac:dyDescent="0.25">
      <c r="A51" s="3">
        <v>50</v>
      </c>
      <c r="B51" s="5">
        <f>DATE(Table1[[#This Row],[Year]],Table1[[#This Row],[Month]],Table1[[#This Row],[Day]])</f>
        <v>44493</v>
      </c>
      <c r="C51" s="3">
        <v>24</v>
      </c>
      <c r="D51" s="3">
        <v>10</v>
      </c>
      <c r="E51" s="3">
        <v>2021</v>
      </c>
      <c r="F51" s="3" t="str">
        <f>"Qtr"&amp; " " &amp;CHOOSE(MONTH(Table1[[#This Row],[Date]]),1,1,1,2,2,2,3,3,3,4,4,4)</f>
        <v>Qtr 4</v>
      </c>
      <c r="G51" s="3" t="str">
        <f>TEXT(Table1[[#This Row],[Date]],"mmmm")</f>
        <v>October</v>
      </c>
      <c r="H51" s="3" t="s">
        <v>1080</v>
      </c>
      <c r="I51" s="3" t="s">
        <v>33</v>
      </c>
      <c r="J51" s="3">
        <v>6</v>
      </c>
      <c r="K51" s="3">
        <v>62465.02</v>
      </c>
      <c r="L51" s="3">
        <f>Table1[[#This Row],[Price Per Unit]]*Table1[[#This Row],[Units Sold]]</f>
        <v>374790.12</v>
      </c>
      <c r="M51" s="3" t="s">
        <v>100</v>
      </c>
      <c r="N51" s="3">
        <v>34</v>
      </c>
      <c r="O51" s="3" t="s">
        <v>48</v>
      </c>
      <c r="P51" s="3" t="s">
        <v>16</v>
      </c>
      <c r="Q51" s="4">
        <v>2</v>
      </c>
      <c r="R51" s="4" t="str">
        <f>IF(Table1[[#This Row],[Customer Ratings]]&gt;=4, "Good",IF(Table1[[#This Row],[Customer Ratings]]=3, "Average","Poor"))</f>
        <v>Poor</v>
      </c>
      <c r="S51" s="3" t="s">
        <v>36</v>
      </c>
    </row>
    <row r="52" spans="1:19" x14ac:dyDescent="0.25">
      <c r="A52" s="3">
        <v>51</v>
      </c>
      <c r="B52" s="5">
        <f>DATE(Table1[[#This Row],[Year]],Table1[[#This Row],[Month]],Table1[[#This Row],[Day]])</f>
        <v>44493</v>
      </c>
      <c r="C52" s="3">
        <v>24</v>
      </c>
      <c r="D52" s="3">
        <v>10</v>
      </c>
      <c r="E52" s="3">
        <v>2021</v>
      </c>
      <c r="F52" s="3" t="str">
        <f>"Qtr"&amp; " " &amp;CHOOSE(MONTH(Table1[[#This Row],[Date]]),1,1,1,2,2,2,3,3,3,4,4,4)</f>
        <v>Qtr 4</v>
      </c>
      <c r="G52" s="3" t="str">
        <f>TEXT(Table1[[#This Row],[Date]],"mmmm")</f>
        <v>October</v>
      </c>
      <c r="H52" s="3" t="s">
        <v>1080</v>
      </c>
      <c r="I52" s="3" t="s">
        <v>18</v>
      </c>
      <c r="J52" s="3">
        <v>2</v>
      </c>
      <c r="K52" s="3">
        <v>44265.59</v>
      </c>
      <c r="L52" s="3">
        <f>Table1[[#This Row],[Price Per Unit]]*Table1[[#This Row],[Units Sold]]</f>
        <v>88531.18</v>
      </c>
      <c r="M52" s="3" t="s">
        <v>101</v>
      </c>
      <c r="N52" s="3">
        <v>37</v>
      </c>
      <c r="O52" s="3" t="s">
        <v>102</v>
      </c>
      <c r="P52" s="3" t="s">
        <v>45</v>
      </c>
      <c r="Q52" s="4">
        <v>5</v>
      </c>
      <c r="R52" s="4" t="str">
        <f>IF(Table1[[#This Row],[Customer Ratings]]&gt;=4, "Good",IF(Table1[[#This Row],[Customer Ratings]]=3, "Average","Poor"))</f>
        <v>Good</v>
      </c>
      <c r="S52" s="3" t="s">
        <v>55</v>
      </c>
    </row>
    <row r="53" spans="1:19" x14ac:dyDescent="0.25">
      <c r="A53" s="3">
        <v>52</v>
      </c>
      <c r="B53" s="5">
        <f>DATE(Table1[[#This Row],[Year]],Table1[[#This Row],[Month]],Table1[[#This Row],[Day]])</f>
        <v>44493</v>
      </c>
      <c r="C53" s="3">
        <v>24</v>
      </c>
      <c r="D53" s="3">
        <v>10</v>
      </c>
      <c r="E53" s="3">
        <v>2021</v>
      </c>
      <c r="F53" s="3" t="str">
        <f>"Qtr"&amp; " " &amp;CHOOSE(MONTH(Table1[[#This Row],[Date]]),1,1,1,2,2,2,3,3,3,4,4,4)</f>
        <v>Qtr 4</v>
      </c>
      <c r="G53" s="3" t="str">
        <f>TEXT(Table1[[#This Row],[Date]],"mmmm")</f>
        <v>October</v>
      </c>
      <c r="H53" s="3" t="s">
        <v>1080</v>
      </c>
      <c r="I53" s="3" t="s">
        <v>28</v>
      </c>
      <c r="J53" s="3">
        <v>1</v>
      </c>
      <c r="K53" s="3">
        <v>10539.92</v>
      </c>
      <c r="L53" s="3">
        <f>Table1[[#This Row],[Price Per Unit]]*Table1[[#This Row],[Units Sold]]</f>
        <v>10539.92</v>
      </c>
      <c r="M53" s="3" t="s">
        <v>103</v>
      </c>
      <c r="N53" s="3">
        <v>58</v>
      </c>
      <c r="O53" s="3" t="s">
        <v>20</v>
      </c>
      <c r="P53" s="3" t="s">
        <v>16</v>
      </c>
      <c r="Q53" s="4">
        <v>5</v>
      </c>
      <c r="R53" s="4" t="str">
        <f>IF(Table1[[#This Row],[Customer Ratings]]&gt;=4, "Good",IF(Table1[[#This Row],[Customer Ratings]]=3, "Average","Poor"))</f>
        <v>Good</v>
      </c>
      <c r="S53" s="3" t="s">
        <v>38</v>
      </c>
    </row>
    <row r="54" spans="1:19" x14ac:dyDescent="0.25">
      <c r="A54" s="3">
        <v>53</v>
      </c>
      <c r="B54" s="5">
        <f>DATE(Table1[[#This Row],[Year]],Table1[[#This Row],[Month]],Table1[[#This Row],[Day]])</f>
        <v>44494</v>
      </c>
      <c r="C54" s="3">
        <v>25</v>
      </c>
      <c r="D54" s="3">
        <v>10</v>
      </c>
      <c r="E54" s="3">
        <v>2021</v>
      </c>
      <c r="F54" s="3" t="str">
        <f>"Qtr"&amp; " " &amp;CHOOSE(MONTH(Table1[[#This Row],[Date]]),1,1,1,2,2,2,3,3,3,4,4,4)</f>
        <v>Qtr 4</v>
      </c>
      <c r="G54" s="3" t="str">
        <f>TEXT(Table1[[#This Row],[Date]],"mmmm")</f>
        <v>October</v>
      </c>
      <c r="H54" s="3" t="s">
        <v>1081</v>
      </c>
      <c r="I54" s="3" t="s">
        <v>28</v>
      </c>
      <c r="J54" s="3">
        <v>7</v>
      </c>
      <c r="K54" s="3">
        <v>25468.65</v>
      </c>
      <c r="L54" s="3">
        <f>Table1[[#This Row],[Price Per Unit]]*Table1[[#This Row],[Units Sold]]</f>
        <v>178280.55000000002</v>
      </c>
      <c r="M54" s="3" t="s">
        <v>104</v>
      </c>
      <c r="N54" s="3">
        <v>32</v>
      </c>
      <c r="O54" s="3" t="s">
        <v>105</v>
      </c>
      <c r="P54" s="3" t="s">
        <v>45</v>
      </c>
      <c r="Q54" s="4">
        <v>5</v>
      </c>
      <c r="R54" s="4" t="str">
        <f>IF(Table1[[#This Row],[Customer Ratings]]&gt;=4, "Good",IF(Table1[[#This Row],[Customer Ratings]]=3, "Average","Poor"))</f>
        <v>Good</v>
      </c>
      <c r="S54" s="3" t="s">
        <v>32</v>
      </c>
    </row>
    <row r="55" spans="1:19" x14ac:dyDescent="0.25">
      <c r="A55" s="3">
        <v>54</v>
      </c>
      <c r="B55" s="5">
        <f>DATE(Table1[[#This Row],[Year]],Table1[[#This Row],[Month]],Table1[[#This Row],[Day]])</f>
        <v>44494</v>
      </c>
      <c r="C55" s="3">
        <v>25</v>
      </c>
      <c r="D55" s="3">
        <v>10</v>
      </c>
      <c r="E55" s="3">
        <v>2021</v>
      </c>
      <c r="F55" s="3" t="str">
        <f>"Qtr"&amp; " " &amp;CHOOSE(MONTH(Table1[[#This Row],[Date]]),1,1,1,2,2,2,3,3,3,4,4,4)</f>
        <v>Qtr 4</v>
      </c>
      <c r="G55" s="3" t="str">
        <f>TEXT(Table1[[#This Row],[Date]],"mmmm")</f>
        <v>October</v>
      </c>
      <c r="H55" s="3" t="s">
        <v>1081</v>
      </c>
      <c r="I55" s="3" t="s">
        <v>33</v>
      </c>
      <c r="J55" s="3">
        <v>2</v>
      </c>
      <c r="K55" s="3">
        <v>34409.360000000001</v>
      </c>
      <c r="L55" s="3">
        <f>Table1[[#This Row],[Price Per Unit]]*Table1[[#This Row],[Units Sold]]</f>
        <v>68818.720000000001</v>
      </c>
      <c r="M55" s="3" t="s">
        <v>106</v>
      </c>
      <c r="N55" s="3">
        <v>39</v>
      </c>
      <c r="O55" s="3" t="s">
        <v>98</v>
      </c>
      <c r="P55" s="3" t="s">
        <v>16</v>
      </c>
      <c r="Q55" s="4">
        <v>2</v>
      </c>
      <c r="R55" s="4" t="str">
        <f>IF(Table1[[#This Row],[Customer Ratings]]&gt;=4, "Good",IF(Table1[[#This Row],[Customer Ratings]]=3, "Average","Poor"))</f>
        <v>Poor</v>
      </c>
      <c r="S55" s="3" t="s">
        <v>36</v>
      </c>
    </row>
    <row r="56" spans="1:19" x14ac:dyDescent="0.25">
      <c r="A56" s="3">
        <v>55</v>
      </c>
      <c r="B56" s="5">
        <f>DATE(Table1[[#This Row],[Year]],Table1[[#This Row],[Month]],Table1[[#This Row],[Day]])</f>
        <v>44494</v>
      </c>
      <c r="C56" s="3">
        <v>25</v>
      </c>
      <c r="D56" s="3">
        <v>10</v>
      </c>
      <c r="E56" s="3">
        <v>2021</v>
      </c>
      <c r="F56" s="3" t="str">
        <f>"Qtr"&amp; " " &amp;CHOOSE(MONTH(Table1[[#This Row],[Date]]),1,1,1,2,2,2,3,3,3,4,4,4)</f>
        <v>Qtr 4</v>
      </c>
      <c r="G56" s="3" t="str">
        <f>TEXT(Table1[[#This Row],[Date]],"mmmm")</f>
        <v>October</v>
      </c>
      <c r="H56" s="3" t="s">
        <v>1081</v>
      </c>
      <c r="I56" s="3" t="s">
        <v>18</v>
      </c>
      <c r="J56" s="3">
        <v>2</v>
      </c>
      <c r="K56" s="3">
        <v>37603.85</v>
      </c>
      <c r="L56" s="3">
        <f>Table1[[#This Row],[Price Per Unit]]*Table1[[#This Row],[Units Sold]]</f>
        <v>75207.7</v>
      </c>
      <c r="M56" s="3" t="s">
        <v>107</v>
      </c>
      <c r="N56" s="3">
        <v>23</v>
      </c>
      <c r="O56" s="3" t="s">
        <v>24</v>
      </c>
      <c r="P56" s="3" t="s">
        <v>31</v>
      </c>
      <c r="Q56" s="4">
        <v>2</v>
      </c>
      <c r="R56" s="4" t="str">
        <f>IF(Table1[[#This Row],[Customer Ratings]]&gt;=4, "Good",IF(Table1[[#This Row],[Customer Ratings]]=3, "Average","Poor"))</f>
        <v>Poor</v>
      </c>
      <c r="S56" s="3" t="s">
        <v>22</v>
      </c>
    </row>
    <row r="57" spans="1:19" x14ac:dyDescent="0.25">
      <c r="A57" s="3">
        <v>56</v>
      </c>
      <c r="B57" s="5">
        <f>DATE(Table1[[#This Row],[Year]],Table1[[#This Row],[Month]],Table1[[#This Row],[Day]])</f>
        <v>44494</v>
      </c>
      <c r="C57" s="3">
        <v>25</v>
      </c>
      <c r="D57" s="3">
        <v>10</v>
      </c>
      <c r="E57" s="3">
        <v>2021</v>
      </c>
      <c r="F57" s="3" t="str">
        <f>"Qtr"&amp; " " &amp;CHOOSE(MONTH(Table1[[#This Row],[Date]]),1,1,1,2,2,2,3,3,3,4,4,4)</f>
        <v>Qtr 4</v>
      </c>
      <c r="G57" s="3" t="str">
        <f>TEXT(Table1[[#This Row],[Date]],"mmmm")</f>
        <v>October</v>
      </c>
      <c r="H57" s="3" t="s">
        <v>1081</v>
      </c>
      <c r="I57" s="3" t="s">
        <v>18</v>
      </c>
      <c r="J57" s="3">
        <v>5</v>
      </c>
      <c r="K57" s="3">
        <v>27860.73</v>
      </c>
      <c r="L57" s="3">
        <f>Table1[[#This Row],[Price Per Unit]]*Table1[[#This Row],[Units Sold]]</f>
        <v>139303.65</v>
      </c>
      <c r="M57" s="3" t="s">
        <v>108</v>
      </c>
      <c r="N57" s="3">
        <v>21</v>
      </c>
      <c r="O57" s="3" t="s">
        <v>20</v>
      </c>
      <c r="P57" s="3" t="s">
        <v>31</v>
      </c>
      <c r="Q57" s="4">
        <v>5</v>
      </c>
      <c r="R57" s="4" t="str">
        <f>IF(Table1[[#This Row],[Customer Ratings]]&gt;=4, "Good",IF(Table1[[#This Row],[Customer Ratings]]=3, "Average","Poor"))</f>
        <v>Good</v>
      </c>
      <c r="S57" s="3" t="s">
        <v>22</v>
      </c>
    </row>
    <row r="58" spans="1:19" x14ac:dyDescent="0.25">
      <c r="A58" s="3">
        <v>57</v>
      </c>
      <c r="B58" s="5">
        <f>DATE(Table1[[#This Row],[Year]],Table1[[#This Row],[Month]],Table1[[#This Row],[Day]])</f>
        <v>44495</v>
      </c>
      <c r="C58" s="3">
        <v>26</v>
      </c>
      <c r="D58" s="3">
        <v>10</v>
      </c>
      <c r="E58" s="3">
        <v>2021</v>
      </c>
      <c r="F58" s="3" t="str">
        <f>"Qtr"&amp; " " &amp;CHOOSE(MONTH(Table1[[#This Row],[Date]]),1,1,1,2,2,2,3,3,3,4,4,4)</f>
        <v>Qtr 4</v>
      </c>
      <c r="G58" s="3" t="str">
        <f>TEXT(Table1[[#This Row],[Date]],"mmmm")</f>
        <v>October</v>
      </c>
      <c r="H58" s="3" t="s">
        <v>1082</v>
      </c>
      <c r="I58" s="3" t="s">
        <v>18</v>
      </c>
      <c r="J58" s="3">
        <v>5</v>
      </c>
      <c r="K58" s="3">
        <v>11976.87</v>
      </c>
      <c r="L58" s="3">
        <f>Table1[[#This Row],[Price Per Unit]]*Table1[[#This Row],[Units Sold]]</f>
        <v>59884.350000000006</v>
      </c>
      <c r="M58" s="3" t="s">
        <v>109</v>
      </c>
      <c r="N58" s="3">
        <v>40</v>
      </c>
      <c r="O58" s="3" t="s">
        <v>65</v>
      </c>
      <c r="P58" s="3" t="s">
        <v>21</v>
      </c>
      <c r="Q58" s="4">
        <v>5</v>
      </c>
      <c r="R58" s="4" t="str">
        <f>IF(Table1[[#This Row],[Customer Ratings]]&gt;=4, "Good",IF(Table1[[#This Row],[Customer Ratings]]=3, "Average","Poor"))</f>
        <v>Good</v>
      </c>
      <c r="S58" s="3" t="s">
        <v>25</v>
      </c>
    </row>
    <row r="59" spans="1:19" x14ac:dyDescent="0.25">
      <c r="A59" s="3">
        <v>58</v>
      </c>
      <c r="B59" s="5">
        <f>DATE(Table1[[#This Row],[Year]],Table1[[#This Row],[Month]],Table1[[#This Row],[Day]])</f>
        <v>44495</v>
      </c>
      <c r="C59" s="3">
        <v>26</v>
      </c>
      <c r="D59" s="3">
        <v>10</v>
      </c>
      <c r="E59" s="3">
        <v>2021</v>
      </c>
      <c r="F59" s="3" t="str">
        <f>"Qtr"&amp; " " &amp;CHOOSE(MONTH(Table1[[#This Row],[Date]]),1,1,1,2,2,2,3,3,3,4,4,4)</f>
        <v>Qtr 4</v>
      </c>
      <c r="G59" s="3" t="str">
        <f>TEXT(Table1[[#This Row],[Date]],"mmmm")</f>
        <v>October</v>
      </c>
      <c r="H59" s="3" t="s">
        <v>1082</v>
      </c>
      <c r="I59" s="3" t="s">
        <v>39</v>
      </c>
      <c r="J59" s="3">
        <v>7</v>
      </c>
      <c r="K59" s="3">
        <v>45407.64</v>
      </c>
      <c r="L59" s="3">
        <f>Table1[[#This Row],[Price Per Unit]]*Table1[[#This Row],[Units Sold]]</f>
        <v>317853.48</v>
      </c>
      <c r="M59" s="3" t="s">
        <v>110</v>
      </c>
      <c r="N59" s="3">
        <v>36</v>
      </c>
      <c r="O59" s="3" t="s">
        <v>20</v>
      </c>
      <c r="P59" s="3" t="s">
        <v>45</v>
      </c>
      <c r="Q59" s="4">
        <v>4</v>
      </c>
      <c r="R59" s="4" t="str">
        <f>IF(Table1[[#This Row],[Customer Ratings]]&gt;=4, "Good",IF(Table1[[#This Row],[Customer Ratings]]=3, "Average","Poor"))</f>
        <v>Good</v>
      </c>
      <c r="S59" s="3" t="s">
        <v>42</v>
      </c>
    </row>
    <row r="60" spans="1:19" x14ac:dyDescent="0.25">
      <c r="A60" s="3">
        <v>59</v>
      </c>
      <c r="B60" s="5">
        <f>DATE(Table1[[#This Row],[Year]],Table1[[#This Row],[Month]],Table1[[#This Row],[Day]])</f>
        <v>44495</v>
      </c>
      <c r="C60" s="3">
        <v>26</v>
      </c>
      <c r="D60" s="3">
        <v>10</v>
      </c>
      <c r="E60" s="3">
        <v>2021</v>
      </c>
      <c r="F60" s="3" t="str">
        <f>"Qtr"&amp; " " &amp;CHOOSE(MONTH(Table1[[#This Row],[Date]]),1,1,1,2,2,2,3,3,3,4,4,4)</f>
        <v>Qtr 4</v>
      </c>
      <c r="G60" s="3" t="str">
        <f>TEXT(Table1[[#This Row],[Date]],"mmmm")</f>
        <v>October</v>
      </c>
      <c r="H60" s="3" t="s">
        <v>1082</v>
      </c>
      <c r="I60" s="3" t="s">
        <v>13</v>
      </c>
      <c r="J60" s="3">
        <v>1</v>
      </c>
      <c r="K60" s="3">
        <v>41449.279999999999</v>
      </c>
      <c r="L60" s="3">
        <f>Table1[[#This Row],[Price Per Unit]]*Table1[[#This Row],[Units Sold]]</f>
        <v>41449.279999999999</v>
      </c>
      <c r="M60" s="3" t="s">
        <v>111</v>
      </c>
      <c r="N60" s="3">
        <v>48</v>
      </c>
      <c r="O60" s="3" t="s">
        <v>81</v>
      </c>
      <c r="P60" s="3" t="s">
        <v>21</v>
      </c>
      <c r="Q60" s="4">
        <v>5</v>
      </c>
      <c r="R60" s="4" t="str">
        <f>IF(Table1[[#This Row],[Customer Ratings]]&gt;=4, "Good",IF(Table1[[#This Row],[Customer Ratings]]=3, "Average","Poor"))</f>
        <v>Good</v>
      </c>
      <c r="S60" s="3" t="s">
        <v>72</v>
      </c>
    </row>
    <row r="61" spans="1:19" x14ac:dyDescent="0.25">
      <c r="A61" s="3">
        <v>60</v>
      </c>
      <c r="B61" s="5">
        <f>DATE(Table1[[#This Row],[Year]],Table1[[#This Row],[Month]],Table1[[#This Row],[Day]])</f>
        <v>44495</v>
      </c>
      <c r="C61" s="3">
        <v>26</v>
      </c>
      <c r="D61" s="3">
        <v>10</v>
      </c>
      <c r="E61" s="3">
        <v>2021</v>
      </c>
      <c r="F61" s="3" t="str">
        <f>"Qtr"&amp; " " &amp;CHOOSE(MONTH(Table1[[#This Row],[Date]]),1,1,1,2,2,2,3,3,3,4,4,4)</f>
        <v>Qtr 4</v>
      </c>
      <c r="G61" s="3" t="str">
        <f>TEXT(Table1[[#This Row],[Date]],"mmmm")</f>
        <v>October</v>
      </c>
      <c r="H61" s="3" t="s">
        <v>1082</v>
      </c>
      <c r="I61" s="3" t="s">
        <v>39</v>
      </c>
      <c r="J61" s="3">
        <v>8</v>
      </c>
      <c r="K61" s="3">
        <v>26980.04</v>
      </c>
      <c r="L61" s="3">
        <f>Table1[[#This Row],[Price Per Unit]]*Table1[[#This Row],[Units Sold]]</f>
        <v>215840.32</v>
      </c>
      <c r="M61" s="3" t="s">
        <v>112</v>
      </c>
      <c r="N61" s="3">
        <v>20</v>
      </c>
      <c r="O61" s="3" t="s">
        <v>81</v>
      </c>
      <c r="P61" s="3" t="s">
        <v>16</v>
      </c>
      <c r="Q61" s="4">
        <v>2</v>
      </c>
      <c r="R61" s="4" t="str">
        <f>IF(Table1[[#This Row],[Customer Ratings]]&gt;=4, "Good",IF(Table1[[#This Row],[Customer Ratings]]=3, "Average","Poor"))</f>
        <v>Poor</v>
      </c>
      <c r="S61" s="3" t="s">
        <v>90</v>
      </c>
    </row>
    <row r="62" spans="1:19" x14ac:dyDescent="0.25">
      <c r="A62" s="3">
        <v>61</v>
      </c>
      <c r="B62" s="5">
        <f>DATE(Table1[[#This Row],[Year]],Table1[[#This Row],[Month]],Table1[[#This Row],[Day]])</f>
        <v>44496</v>
      </c>
      <c r="C62" s="3">
        <v>27</v>
      </c>
      <c r="D62" s="3">
        <v>10</v>
      </c>
      <c r="E62" s="3">
        <v>2021</v>
      </c>
      <c r="F62" s="3" t="str">
        <f>"Qtr"&amp; " " &amp;CHOOSE(MONTH(Table1[[#This Row],[Date]]),1,1,1,2,2,2,3,3,3,4,4,4)</f>
        <v>Qtr 4</v>
      </c>
      <c r="G62" s="3" t="str">
        <f>TEXT(Table1[[#This Row],[Date]],"mmmm")</f>
        <v>October</v>
      </c>
      <c r="H62" s="3" t="s">
        <v>1083</v>
      </c>
      <c r="I62" s="3" t="s">
        <v>13</v>
      </c>
      <c r="J62" s="3">
        <v>3</v>
      </c>
      <c r="K62" s="3">
        <v>12278.56</v>
      </c>
      <c r="L62" s="3">
        <f>Table1[[#This Row],[Price Per Unit]]*Table1[[#This Row],[Units Sold]]</f>
        <v>36835.68</v>
      </c>
      <c r="M62" s="3" t="s">
        <v>113</v>
      </c>
      <c r="N62" s="3">
        <v>45</v>
      </c>
      <c r="O62" s="3" t="s">
        <v>24</v>
      </c>
      <c r="P62" s="3" t="s">
        <v>16</v>
      </c>
      <c r="Q62" s="4">
        <v>4</v>
      </c>
      <c r="R62" s="4" t="str">
        <f>IF(Table1[[#This Row],[Customer Ratings]]&gt;=4, "Good",IF(Table1[[#This Row],[Customer Ratings]]=3, "Average","Poor"))</f>
        <v>Good</v>
      </c>
      <c r="S62" s="3" t="s">
        <v>17</v>
      </c>
    </row>
    <row r="63" spans="1:19" x14ac:dyDescent="0.25">
      <c r="A63" s="3">
        <v>62</v>
      </c>
      <c r="B63" s="5">
        <f>DATE(Table1[[#This Row],[Year]],Table1[[#This Row],[Month]],Table1[[#This Row],[Day]])</f>
        <v>44496</v>
      </c>
      <c r="C63" s="3">
        <v>27</v>
      </c>
      <c r="D63" s="3">
        <v>10</v>
      </c>
      <c r="E63" s="3">
        <v>2021</v>
      </c>
      <c r="F63" s="3" t="str">
        <f>"Qtr"&amp; " " &amp;CHOOSE(MONTH(Table1[[#This Row],[Date]]),1,1,1,2,2,2,3,3,3,4,4,4)</f>
        <v>Qtr 4</v>
      </c>
      <c r="G63" s="3" t="str">
        <f>TEXT(Table1[[#This Row],[Date]],"mmmm")</f>
        <v>October</v>
      </c>
      <c r="H63" s="3" t="s">
        <v>1083</v>
      </c>
      <c r="I63" s="3" t="s">
        <v>18</v>
      </c>
      <c r="J63" s="3">
        <v>4</v>
      </c>
      <c r="K63" s="3">
        <v>69675.649999999994</v>
      </c>
      <c r="L63" s="3">
        <f>Table1[[#This Row],[Price Per Unit]]*Table1[[#This Row],[Units Sold]]</f>
        <v>278702.59999999998</v>
      </c>
      <c r="M63" s="3" t="s">
        <v>114</v>
      </c>
      <c r="N63" s="3">
        <v>20</v>
      </c>
      <c r="O63" s="3" t="s">
        <v>48</v>
      </c>
      <c r="P63" s="3" t="s">
        <v>31</v>
      </c>
      <c r="Q63" s="4">
        <v>5</v>
      </c>
      <c r="R63" s="4" t="str">
        <f>IF(Table1[[#This Row],[Customer Ratings]]&gt;=4, "Good",IF(Table1[[#This Row],[Customer Ratings]]=3, "Average","Poor"))</f>
        <v>Good</v>
      </c>
      <c r="S63" s="3" t="s">
        <v>22</v>
      </c>
    </row>
    <row r="64" spans="1:19" x14ac:dyDescent="0.25">
      <c r="A64" s="3">
        <v>63</v>
      </c>
      <c r="B64" s="5">
        <f>DATE(Table1[[#This Row],[Year]],Table1[[#This Row],[Month]],Table1[[#This Row],[Day]])</f>
        <v>44496</v>
      </c>
      <c r="C64" s="3">
        <v>27</v>
      </c>
      <c r="D64" s="3">
        <v>10</v>
      </c>
      <c r="E64" s="3">
        <v>2021</v>
      </c>
      <c r="F64" s="3" t="str">
        <f>"Qtr"&amp; " " &amp;CHOOSE(MONTH(Table1[[#This Row],[Date]]),1,1,1,2,2,2,3,3,3,4,4,4)</f>
        <v>Qtr 4</v>
      </c>
      <c r="G64" s="3" t="str">
        <f>TEXT(Table1[[#This Row],[Date]],"mmmm")</f>
        <v>October</v>
      </c>
      <c r="H64" s="3" t="s">
        <v>1083</v>
      </c>
      <c r="I64" s="3" t="s">
        <v>18</v>
      </c>
      <c r="J64" s="3">
        <v>9</v>
      </c>
      <c r="K64" s="3">
        <v>38919.17</v>
      </c>
      <c r="L64" s="3">
        <f>Table1[[#This Row],[Price Per Unit]]*Table1[[#This Row],[Units Sold]]</f>
        <v>350272.52999999997</v>
      </c>
      <c r="M64" s="3" t="s">
        <v>115</v>
      </c>
      <c r="N64" s="3">
        <v>31</v>
      </c>
      <c r="O64" s="3" t="s">
        <v>30</v>
      </c>
      <c r="P64" s="3" t="s">
        <v>21</v>
      </c>
      <c r="Q64" s="4">
        <v>5</v>
      </c>
      <c r="R64" s="4" t="str">
        <f>IF(Table1[[#This Row],[Customer Ratings]]&gt;=4, "Good",IF(Table1[[#This Row],[Customer Ratings]]=3, "Average","Poor"))</f>
        <v>Good</v>
      </c>
      <c r="S64" s="3" t="s">
        <v>55</v>
      </c>
    </row>
    <row r="65" spans="1:19" x14ac:dyDescent="0.25">
      <c r="A65" s="3">
        <v>64</v>
      </c>
      <c r="B65" s="5">
        <f>DATE(Table1[[#This Row],[Year]],Table1[[#This Row],[Month]],Table1[[#This Row],[Day]])</f>
        <v>44496</v>
      </c>
      <c r="C65" s="3">
        <v>27</v>
      </c>
      <c r="D65" s="3">
        <v>10</v>
      </c>
      <c r="E65" s="3">
        <v>2021</v>
      </c>
      <c r="F65" s="3" t="str">
        <f>"Qtr"&amp; " " &amp;CHOOSE(MONTH(Table1[[#This Row],[Date]]),1,1,1,2,2,2,3,3,3,4,4,4)</f>
        <v>Qtr 4</v>
      </c>
      <c r="G65" s="3" t="str">
        <f>TEXT(Table1[[#This Row],[Date]],"mmmm")</f>
        <v>October</v>
      </c>
      <c r="H65" s="3" t="s">
        <v>1083</v>
      </c>
      <c r="I65" s="3" t="s">
        <v>39</v>
      </c>
      <c r="J65" s="3">
        <v>4</v>
      </c>
      <c r="K65" s="3">
        <v>55360.25</v>
      </c>
      <c r="L65" s="3">
        <f>Table1[[#This Row],[Price Per Unit]]*Table1[[#This Row],[Units Sold]]</f>
        <v>221441</v>
      </c>
      <c r="M65" s="3" t="s">
        <v>116</v>
      </c>
      <c r="N65" s="3">
        <v>35</v>
      </c>
      <c r="O65" s="3" t="s">
        <v>15</v>
      </c>
      <c r="P65" s="3" t="s">
        <v>16</v>
      </c>
      <c r="Q65" s="4">
        <v>4</v>
      </c>
      <c r="R65" s="4" t="str">
        <f>IF(Table1[[#This Row],[Customer Ratings]]&gt;=4, "Good",IF(Table1[[#This Row],[Customer Ratings]]=3, "Average","Poor"))</f>
        <v>Good</v>
      </c>
      <c r="S65" s="3" t="s">
        <v>76</v>
      </c>
    </row>
    <row r="66" spans="1:19" x14ac:dyDescent="0.25">
      <c r="A66" s="3">
        <v>65</v>
      </c>
      <c r="B66" s="5">
        <f>DATE(Table1[[#This Row],[Year]],Table1[[#This Row],[Month]],Table1[[#This Row],[Day]])</f>
        <v>44497</v>
      </c>
      <c r="C66" s="3">
        <v>28</v>
      </c>
      <c r="D66" s="3">
        <v>10</v>
      </c>
      <c r="E66" s="3">
        <v>2021</v>
      </c>
      <c r="F66" s="3" t="str">
        <f>"Qtr"&amp; " " &amp;CHOOSE(MONTH(Table1[[#This Row],[Date]]),1,1,1,2,2,2,3,3,3,4,4,4)</f>
        <v>Qtr 4</v>
      </c>
      <c r="G66" s="3" t="str">
        <f>TEXT(Table1[[#This Row],[Date]],"mmmm")</f>
        <v>October</v>
      </c>
      <c r="H66" s="3" t="s">
        <v>1084</v>
      </c>
      <c r="I66" s="3" t="s">
        <v>39</v>
      </c>
      <c r="J66" s="3">
        <v>5</v>
      </c>
      <c r="K66" s="3">
        <v>37138.839999999997</v>
      </c>
      <c r="L66" s="3">
        <f>Table1[[#This Row],[Price Per Unit]]*Table1[[#This Row],[Units Sold]]</f>
        <v>185694.19999999998</v>
      </c>
      <c r="M66" s="3" t="s">
        <v>117</v>
      </c>
      <c r="N66" s="3">
        <v>44</v>
      </c>
      <c r="O66" s="3" t="s">
        <v>81</v>
      </c>
      <c r="P66" s="3" t="s">
        <v>16</v>
      </c>
      <c r="Q66" s="4">
        <v>5</v>
      </c>
      <c r="R66" s="4" t="str">
        <f>IF(Table1[[#This Row],[Customer Ratings]]&gt;=4, "Good",IF(Table1[[#This Row],[Customer Ratings]]=3, "Average","Poor"))</f>
        <v>Good</v>
      </c>
      <c r="S66" s="3" t="s">
        <v>76</v>
      </c>
    </row>
    <row r="67" spans="1:19" x14ac:dyDescent="0.25">
      <c r="A67" s="3">
        <v>66</v>
      </c>
      <c r="B67" s="5">
        <f>DATE(Table1[[#This Row],[Year]],Table1[[#This Row],[Month]],Table1[[#This Row],[Day]])</f>
        <v>44497</v>
      </c>
      <c r="C67" s="3">
        <v>28</v>
      </c>
      <c r="D67" s="3">
        <v>10</v>
      </c>
      <c r="E67" s="3">
        <v>2021</v>
      </c>
      <c r="F67" s="3" t="str">
        <f>"Qtr"&amp; " " &amp;CHOOSE(MONTH(Table1[[#This Row],[Date]]),1,1,1,2,2,2,3,3,3,4,4,4)</f>
        <v>Qtr 4</v>
      </c>
      <c r="G67" s="3" t="str">
        <f>TEXT(Table1[[#This Row],[Date]],"mmmm")</f>
        <v>October</v>
      </c>
      <c r="H67" s="3" t="s">
        <v>1084</v>
      </c>
      <c r="I67" s="3" t="s">
        <v>13</v>
      </c>
      <c r="J67" s="3">
        <v>7</v>
      </c>
      <c r="K67" s="3">
        <v>12590.22</v>
      </c>
      <c r="L67" s="3">
        <f>Table1[[#This Row],[Price Per Unit]]*Table1[[#This Row],[Units Sold]]</f>
        <v>88131.54</v>
      </c>
      <c r="M67" s="3" t="s">
        <v>118</v>
      </c>
      <c r="N67" s="3">
        <v>27</v>
      </c>
      <c r="O67" s="3" t="s">
        <v>15</v>
      </c>
      <c r="P67" s="3" t="s">
        <v>45</v>
      </c>
      <c r="Q67" s="4">
        <v>4</v>
      </c>
      <c r="R67" s="4" t="str">
        <f>IF(Table1[[#This Row],[Customer Ratings]]&gt;=4, "Good",IF(Table1[[#This Row],[Customer Ratings]]=3, "Average","Poor"))</f>
        <v>Good</v>
      </c>
      <c r="S67" s="3" t="s">
        <v>72</v>
      </c>
    </row>
    <row r="68" spans="1:19" x14ac:dyDescent="0.25">
      <c r="A68" s="3">
        <v>67</v>
      </c>
      <c r="B68" s="5">
        <f>DATE(Table1[[#This Row],[Year]],Table1[[#This Row],[Month]],Table1[[#This Row],[Day]])</f>
        <v>44497</v>
      </c>
      <c r="C68" s="3">
        <v>28</v>
      </c>
      <c r="D68" s="3">
        <v>10</v>
      </c>
      <c r="E68" s="3">
        <v>2021</v>
      </c>
      <c r="F68" s="3" t="str">
        <f>"Qtr"&amp; " " &amp;CHOOSE(MONTH(Table1[[#This Row],[Date]]),1,1,1,2,2,2,3,3,3,4,4,4)</f>
        <v>Qtr 4</v>
      </c>
      <c r="G68" s="3" t="str">
        <f>TEXT(Table1[[#This Row],[Date]],"mmmm")</f>
        <v>October</v>
      </c>
      <c r="H68" s="3" t="s">
        <v>1084</v>
      </c>
      <c r="I68" s="3" t="s">
        <v>28</v>
      </c>
      <c r="J68" s="3">
        <v>4</v>
      </c>
      <c r="K68" s="3">
        <v>28576.04</v>
      </c>
      <c r="L68" s="3">
        <f>Table1[[#This Row],[Price Per Unit]]*Table1[[#This Row],[Units Sold]]</f>
        <v>114304.16</v>
      </c>
      <c r="M68" s="3" t="s">
        <v>119</v>
      </c>
      <c r="N68" s="3">
        <v>32</v>
      </c>
      <c r="O68" s="3" t="s">
        <v>120</v>
      </c>
      <c r="P68" s="3" t="s">
        <v>16</v>
      </c>
      <c r="Q68" s="4">
        <v>5</v>
      </c>
      <c r="R68" s="4" t="str">
        <f>IF(Table1[[#This Row],[Customer Ratings]]&gt;=4, "Good",IF(Table1[[#This Row],[Customer Ratings]]=3, "Average","Poor"))</f>
        <v>Good</v>
      </c>
      <c r="S68" s="3" t="s">
        <v>38</v>
      </c>
    </row>
    <row r="69" spans="1:19" x14ac:dyDescent="0.25">
      <c r="A69" s="3">
        <v>68</v>
      </c>
      <c r="B69" s="5">
        <f>DATE(Table1[[#This Row],[Year]],Table1[[#This Row],[Month]],Table1[[#This Row],[Day]])</f>
        <v>44498</v>
      </c>
      <c r="C69" s="3">
        <v>29</v>
      </c>
      <c r="D69" s="3">
        <v>10</v>
      </c>
      <c r="E69" s="3">
        <v>2021</v>
      </c>
      <c r="F69" s="3" t="str">
        <f>"Qtr"&amp; " " &amp;CHOOSE(MONTH(Table1[[#This Row],[Date]]),1,1,1,2,2,2,3,3,3,4,4,4)</f>
        <v>Qtr 4</v>
      </c>
      <c r="G69" s="3" t="str">
        <f>TEXT(Table1[[#This Row],[Date]],"mmmm")</f>
        <v>October</v>
      </c>
      <c r="H69" s="3" t="s">
        <v>1085</v>
      </c>
      <c r="I69" s="3" t="s">
        <v>13</v>
      </c>
      <c r="J69" s="3">
        <v>1</v>
      </c>
      <c r="K69" s="3">
        <v>29206.61</v>
      </c>
      <c r="L69" s="3">
        <f>Table1[[#This Row],[Price Per Unit]]*Table1[[#This Row],[Units Sold]]</f>
        <v>29206.61</v>
      </c>
      <c r="M69" s="3" t="s">
        <v>121</v>
      </c>
      <c r="N69" s="3">
        <v>36</v>
      </c>
      <c r="O69" s="3" t="s">
        <v>81</v>
      </c>
      <c r="P69" s="3" t="s">
        <v>21</v>
      </c>
      <c r="Q69" s="4">
        <v>5</v>
      </c>
      <c r="R69" s="4" t="str">
        <f>IF(Table1[[#This Row],[Customer Ratings]]&gt;=4, "Good",IF(Table1[[#This Row],[Customer Ratings]]=3, "Average","Poor"))</f>
        <v>Good</v>
      </c>
      <c r="S69" s="3" t="s">
        <v>72</v>
      </c>
    </row>
    <row r="70" spans="1:19" x14ac:dyDescent="0.25">
      <c r="A70" s="3">
        <v>69</v>
      </c>
      <c r="B70" s="5">
        <f>DATE(Table1[[#This Row],[Year]],Table1[[#This Row],[Month]],Table1[[#This Row],[Day]])</f>
        <v>44498</v>
      </c>
      <c r="C70" s="3">
        <v>29</v>
      </c>
      <c r="D70" s="3">
        <v>10</v>
      </c>
      <c r="E70" s="3">
        <v>2021</v>
      </c>
      <c r="F70" s="3" t="str">
        <f>"Qtr"&amp; " " &amp;CHOOSE(MONTH(Table1[[#This Row],[Date]]),1,1,1,2,2,2,3,3,3,4,4,4)</f>
        <v>Qtr 4</v>
      </c>
      <c r="G70" s="3" t="str">
        <f>TEXT(Table1[[#This Row],[Date]],"mmmm")</f>
        <v>October</v>
      </c>
      <c r="H70" s="3" t="s">
        <v>1085</v>
      </c>
      <c r="I70" s="3" t="s">
        <v>39</v>
      </c>
      <c r="J70" s="3">
        <v>9</v>
      </c>
      <c r="K70" s="3">
        <v>60301.17</v>
      </c>
      <c r="L70" s="3">
        <f>Table1[[#This Row],[Price Per Unit]]*Table1[[#This Row],[Units Sold]]</f>
        <v>542710.53</v>
      </c>
      <c r="M70" s="3" t="s">
        <v>122</v>
      </c>
      <c r="N70" s="3">
        <v>26</v>
      </c>
      <c r="O70" s="3" t="s">
        <v>54</v>
      </c>
      <c r="P70" s="3" t="s">
        <v>31</v>
      </c>
      <c r="Q70" s="4">
        <v>5</v>
      </c>
      <c r="R70" s="4" t="str">
        <f>IF(Table1[[#This Row],[Customer Ratings]]&gt;=4, "Good",IF(Table1[[#This Row],[Customer Ratings]]=3, "Average","Poor"))</f>
        <v>Good</v>
      </c>
      <c r="S70" s="3" t="s">
        <v>42</v>
      </c>
    </row>
    <row r="71" spans="1:19" x14ac:dyDescent="0.25">
      <c r="A71" s="3">
        <v>70</v>
      </c>
      <c r="B71" s="5">
        <f>DATE(Table1[[#This Row],[Year]],Table1[[#This Row],[Month]],Table1[[#This Row],[Day]])</f>
        <v>44498</v>
      </c>
      <c r="C71" s="3">
        <v>29</v>
      </c>
      <c r="D71" s="3">
        <v>10</v>
      </c>
      <c r="E71" s="3">
        <v>2021</v>
      </c>
      <c r="F71" s="3" t="str">
        <f>"Qtr"&amp; " " &amp;CHOOSE(MONTH(Table1[[#This Row],[Date]]),1,1,1,2,2,2,3,3,3,4,4,4)</f>
        <v>Qtr 4</v>
      </c>
      <c r="G71" s="3" t="str">
        <f>TEXT(Table1[[#This Row],[Date]],"mmmm")</f>
        <v>October</v>
      </c>
      <c r="H71" s="3" t="s">
        <v>1085</v>
      </c>
      <c r="I71" s="3" t="s">
        <v>39</v>
      </c>
      <c r="J71" s="3">
        <v>4</v>
      </c>
      <c r="K71" s="3">
        <v>49253.8</v>
      </c>
      <c r="L71" s="3">
        <f>Table1[[#This Row],[Price Per Unit]]*Table1[[#This Row],[Units Sold]]</f>
        <v>197015.2</v>
      </c>
      <c r="M71" s="3" t="s">
        <v>123</v>
      </c>
      <c r="N71" s="3">
        <v>21</v>
      </c>
      <c r="O71" s="3" t="s">
        <v>20</v>
      </c>
      <c r="P71" s="3" t="s">
        <v>31</v>
      </c>
      <c r="Q71" s="4">
        <v>5</v>
      </c>
      <c r="R71" s="4" t="str">
        <f>IF(Table1[[#This Row],[Customer Ratings]]&gt;=4, "Good",IF(Table1[[#This Row],[Customer Ratings]]=3, "Average","Poor"))</f>
        <v>Good</v>
      </c>
      <c r="S71" s="3" t="s">
        <v>42</v>
      </c>
    </row>
    <row r="72" spans="1:19" x14ac:dyDescent="0.25">
      <c r="A72" s="3">
        <v>71</v>
      </c>
      <c r="B72" s="5">
        <f>DATE(Table1[[#This Row],[Year]],Table1[[#This Row],[Month]],Table1[[#This Row],[Day]])</f>
        <v>44498</v>
      </c>
      <c r="C72" s="3">
        <v>29</v>
      </c>
      <c r="D72" s="3">
        <v>10</v>
      </c>
      <c r="E72" s="3">
        <v>2021</v>
      </c>
      <c r="F72" s="3" t="str">
        <f>"Qtr"&amp; " " &amp;CHOOSE(MONTH(Table1[[#This Row],[Date]]),1,1,1,2,2,2,3,3,3,4,4,4)</f>
        <v>Qtr 4</v>
      </c>
      <c r="G72" s="3" t="str">
        <f>TEXT(Table1[[#This Row],[Date]],"mmmm")</f>
        <v>October</v>
      </c>
      <c r="H72" s="3" t="s">
        <v>1085</v>
      </c>
      <c r="I72" s="3" t="s">
        <v>33</v>
      </c>
      <c r="J72" s="3">
        <v>9</v>
      </c>
      <c r="K72" s="3">
        <v>26525.79</v>
      </c>
      <c r="L72" s="3">
        <f>Table1[[#This Row],[Price Per Unit]]*Table1[[#This Row],[Units Sold]]</f>
        <v>238732.11000000002</v>
      </c>
      <c r="M72" s="3" t="s">
        <v>124</v>
      </c>
      <c r="N72" s="3">
        <v>32</v>
      </c>
      <c r="O72" s="3" t="s">
        <v>102</v>
      </c>
      <c r="P72" s="3" t="s">
        <v>16</v>
      </c>
      <c r="Q72" s="4">
        <v>3</v>
      </c>
      <c r="R72" s="4" t="str">
        <f>IF(Table1[[#This Row],[Customer Ratings]]&gt;=4, "Good",IF(Table1[[#This Row],[Customer Ratings]]=3, "Average","Poor"))</f>
        <v>Average</v>
      </c>
      <c r="S72" s="3" t="s">
        <v>36</v>
      </c>
    </row>
    <row r="73" spans="1:19" x14ac:dyDescent="0.25">
      <c r="A73" s="3">
        <v>72</v>
      </c>
      <c r="B73" s="5">
        <f>DATE(Table1[[#This Row],[Year]],Table1[[#This Row],[Month]],Table1[[#This Row],[Day]])</f>
        <v>44499</v>
      </c>
      <c r="C73" s="3">
        <v>30</v>
      </c>
      <c r="D73" s="3">
        <v>10</v>
      </c>
      <c r="E73" s="3">
        <v>2021</v>
      </c>
      <c r="F73" s="3" t="str">
        <f>"Qtr"&amp; " " &amp;CHOOSE(MONTH(Table1[[#This Row],[Date]]),1,1,1,2,2,2,3,3,3,4,4,4)</f>
        <v>Qtr 4</v>
      </c>
      <c r="G73" s="3" t="str">
        <f>TEXT(Table1[[#This Row],[Date]],"mmmm")</f>
        <v>October</v>
      </c>
      <c r="H73" s="3" t="s">
        <v>1079</v>
      </c>
      <c r="I73" s="3" t="s">
        <v>39</v>
      </c>
      <c r="J73" s="3">
        <v>6</v>
      </c>
      <c r="K73" s="3">
        <v>68064.399999999994</v>
      </c>
      <c r="L73" s="3">
        <f>Table1[[#This Row],[Price Per Unit]]*Table1[[#This Row],[Units Sold]]</f>
        <v>408386.39999999997</v>
      </c>
      <c r="M73" s="3" t="s">
        <v>69</v>
      </c>
      <c r="N73" s="3">
        <v>25</v>
      </c>
      <c r="O73" s="3" t="s">
        <v>125</v>
      </c>
      <c r="P73" s="3" t="s">
        <v>16</v>
      </c>
      <c r="Q73" s="4">
        <v>4</v>
      </c>
      <c r="R73" s="4" t="str">
        <f>IF(Table1[[#This Row],[Customer Ratings]]&gt;=4, "Good",IF(Table1[[#This Row],[Customer Ratings]]=3, "Average","Poor"))</f>
        <v>Good</v>
      </c>
      <c r="S73" s="3" t="s">
        <v>42</v>
      </c>
    </row>
    <row r="74" spans="1:19" x14ac:dyDescent="0.25">
      <c r="A74" s="3">
        <v>73</v>
      </c>
      <c r="B74" s="5">
        <f>DATE(Table1[[#This Row],[Year]],Table1[[#This Row],[Month]],Table1[[#This Row],[Day]])</f>
        <v>44499</v>
      </c>
      <c r="C74" s="3">
        <v>30</v>
      </c>
      <c r="D74" s="3">
        <v>10</v>
      </c>
      <c r="E74" s="3">
        <v>2021</v>
      </c>
      <c r="F74" s="3" t="str">
        <f>"Qtr"&amp; " " &amp;CHOOSE(MONTH(Table1[[#This Row],[Date]]),1,1,1,2,2,2,3,3,3,4,4,4)</f>
        <v>Qtr 4</v>
      </c>
      <c r="G74" s="3" t="str">
        <f>TEXT(Table1[[#This Row],[Date]],"mmmm")</f>
        <v>October</v>
      </c>
      <c r="H74" s="3" t="s">
        <v>1079</v>
      </c>
      <c r="I74" s="3" t="s">
        <v>33</v>
      </c>
      <c r="J74" s="3">
        <v>1</v>
      </c>
      <c r="K74" s="3">
        <v>29292.51</v>
      </c>
      <c r="L74" s="3">
        <f>Table1[[#This Row],[Price Per Unit]]*Table1[[#This Row],[Units Sold]]</f>
        <v>29292.51</v>
      </c>
      <c r="M74" s="3" t="s">
        <v>126</v>
      </c>
      <c r="N74" s="3">
        <v>18</v>
      </c>
      <c r="O74" s="3" t="s">
        <v>20</v>
      </c>
      <c r="P74" s="3" t="s">
        <v>16</v>
      </c>
      <c r="Q74" s="4">
        <v>5</v>
      </c>
      <c r="R74" s="4" t="str">
        <f>IF(Table1[[#This Row],[Customer Ratings]]&gt;=4, "Good",IF(Table1[[#This Row],[Customer Ratings]]=3, "Average","Poor"))</f>
        <v>Good</v>
      </c>
      <c r="S74" s="3" t="s">
        <v>36</v>
      </c>
    </row>
    <row r="75" spans="1:19" x14ac:dyDescent="0.25">
      <c r="A75" s="3">
        <v>74</v>
      </c>
      <c r="B75" s="5">
        <f>DATE(Table1[[#This Row],[Year]],Table1[[#This Row],[Month]],Table1[[#This Row],[Day]])</f>
        <v>44499</v>
      </c>
      <c r="C75" s="3">
        <v>30</v>
      </c>
      <c r="D75" s="3">
        <v>10</v>
      </c>
      <c r="E75" s="3">
        <v>2021</v>
      </c>
      <c r="F75" s="3" t="str">
        <f>"Qtr"&amp; " " &amp;CHOOSE(MONTH(Table1[[#This Row],[Date]]),1,1,1,2,2,2,3,3,3,4,4,4)</f>
        <v>Qtr 4</v>
      </c>
      <c r="G75" s="3" t="str">
        <f>TEXT(Table1[[#This Row],[Date]],"mmmm")</f>
        <v>October</v>
      </c>
      <c r="H75" s="3" t="s">
        <v>1079</v>
      </c>
      <c r="I75" s="3" t="s">
        <v>28</v>
      </c>
      <c r="J75" s="3">
        <v>3</v>
      </c>
      <c r="K75" s="3">
        <v>69894.039999999994</v>
      </c>
      <c r="L75" s="3">
        <f>Table1[[#This Row],[Price Per Unit]]*Table1[[#This Row],[Units Sold]]</f>
        <v>209682.12</v>
      </c>
      <c r="M75" s="3" t="s">
        <v>127</v>
      </c>
      <c r="N75" s="3">
        <v>24</v>
      </c>
      <c r="O75" s="3" t="s">
        <v>20</v>
      </c>
      <c r="P75" s="3" t="s">
        <v>45</v>
      </c>
      <c r="Q75" s="4">
        <v>4</v>
      </c>
      <c r="R75" s="4" t="str">
        <f>IF(Table1[[#This Row],[Customer Ratings]]&gt;=4, "Good",IF(Table1[[#This Row],[Customer Ratings]]=3, "Average","Poor"))</f>
        <v>Good</v>
      </c>
      <c r="S75" s="3" t="s">
        <v>38</v>
      </c>
    </row>
    <row r="76" spans="1:19" x14ac:dyDescent="0.25">
      <c r="A76" s="3">
        <v>75</v>
      </c>
      <c r="B76" s="5">
        <f>DATE(Table1[[#This Row],[Year]],Table1[[#This Row],[Month]],Table1[[#This Row],[Day]])</f>
        <v>44500</v>
      </c>
      <c r="C76" s="3">
        <v>31</v>
      </c>
      <c r="D76" s="3">
        <v>10</v>
      </c>
      <c r="E76" s="3">
        <v>2021</v>
      </c>
      <c r="F76" s="3" t="str">
        <f>"Qtr"&amp; " " &amp;CHOOSE(MONTH(Table1[[#This Row],[Date]]),1,1,1,2,2,2,3,3,3,4,4,4)</f>
        <v>Qtr 4</v>
      </c>
      <c r="G76" s="3" t="str">
        <f>TEXT(Table1[[#This Row],[Date]],"mmmm")</f>
        <v>October</v>
      </c>
      <c r="H76" s="3" t="s">
        <v>1080</v>
      </c>
      <c r="I76" s="3" t="s">
        <v>13</v>
      </c>
      <c r="J76" s="3">
        <v>2</v>
      </c>
      <c r="K76" s="3">
        <v>69769.820000000007</v>
      </c>
      <c r="L76" s="3">
        <f>Table1[[#This Row],[Price Per Unit]]*Table1[[#This Row],[Units Sold]]</f>
        <v>139539.64000000001</v>
      </c>
      <c r="M76" s="3" t="s">
        <v>128</v>
      </c>
      <c r="N76" s="3">
        <v>48</v>
      </c>
      <c r="O76" s="3" t="s">
        <v>24</v>
      </c>
      <c r="P76" s="3" t="s">
        <v>16</v>
      </c>
      <c r="Q76" s="4">
        <v>3</v>
      </c>
      <c r="R76" s="4" t="str">
        <f>IF(Table1[[#This Row],[Customer Ratings]]&gt;=4, "Good",IF(Table1[[#This Row],[Customer Ratings]]=3, "Average","Poor"))</f>
        <v>Average</v>
      </c>
      <c r="S76" s="3" t="s">
        <v>17</v>
      </c>
    </row>
    <row r="77" spans="1:19" x14ac:dyDescent="0.25">
      <c r="A77" s="3">
        <v>76</v>
      </c>
      <c r="B77" s="5">
        <f>DATE(Table1[[#This Row],[Year]],Table1[[#This Row],[Month]],Table1[[#This Row],[Day]])</f>
        <v>44500</v>
      </c>
      <c r="C77" s="3">
        <v>31</v>
      </c>
      <c r="D77" s="3">
        <v>10</v>
      </c>
      <c r="E77" s="3">
        <v>2021</v>
      </c>
      <c r="F77" s="3" t="str">
        <f>"Qtr"&amp; " " &amp;CHOOSE(MONTH(Table1[[#This Row],[Date]]),1,1,1,2,2,2,3,3,3,4,4,4)</f>
        <v>Qtr 4</v>
      </c>
      <c r="G77" s="3" t="str">
        <f>TEXT(Table1[[#This Row],[Date]],"mmmm")</f>
        <v>October</v>
      </c>
      <c r="H77" s="3" t="s">
        <v>1080</v>
      </c>
      <c r="I77" s="3" t="s">
        <v>13</v>
      </c>
      <c r="J77" s="3">
        <v>9</v>
      </c>
      <c r="K77" s="3">
        <v>21472.63</v>
      </c>
      <c r="L77" s="3">
        <f>Table1[[#This Row],[Price Per Unit]]*Table1[[#This Row],[Units Sold]]</f>
        <v>193253.67</v>
      </c>
      <c r="M77" s="3" t="s">
        <v>129</v>
      </c>
      <c r="N77" s="3">
        <v>35</v>
      </c>
      <c r="O77" s="3" t="s">
        <v>24</v>
      </c>
      <c r="P77" s="3" t="s">
        <v>16</v>
      </c>
      <c r="Q77" s="4">
        <v>5</v>
      </c>
      <c r="R77" s="4" t="str">
        <f>IF(Table1[[#This Row],[Customer Ratings]]&gt;=4, "Good",IF(Table1[[#This Row],[Customer Ratings]]=3, "Average","Poor"))</f>
        <v>Good</v>
      </c>
      <c r="S77" s="3" t="s">
        <v>17</v>
      </c>
    </row>
    <row r="78" spans="1:19" x14ac:dyDescent="0.25">
      <c r="A78" s="3">
        <v>77</v>
      </c>
      <c r="B78" s="5">
        <f>DATE(Table1[[#This Row],[Year]],Table1[[#This Row],[Month]],Table1[[#This Row],[Day]])</f>
        <v>44500</v>
      </c>
      <c r="C78" s="3">
        <v>31</v>
      </c>
      <c r="D78" s="3">
        <v>10</v>
      </c>
      <c r="E78" s="3">
        <v>2021</v>
      </c>
      <c r="F78" s="3" t="str">
        <f>"Qtr"&amp; " " &amp;CHOOSE(MONTH(Table1[[#This Row],[Date]]),1,1,1,2,2,2,3,3,3,4,4,4)</f>
        <v>Qtr 4</v>
      </c>
      <c r="G78" s="3" t="str">
        <f>TEXT(Table1[[#This Row],[Date]],"mmmm")</f>
        <v>October</v>
      </c>
      <c r="H78" s="3" t="s">
        <v>1080</v>
      </c>
      <c r="I78" s="3" t="s">
        <v>33</v>
      </c>
      <c r="J78" s="3">
        <v>1</v>
      </c>
      <c r="K78" s="3">
        <v>28764.47</v>
      </c>
      <c r="L78" s="3">
        <f>Table1[[#This Row],[Price Per Unit]]*Table1[[#This Row],[Units Sold]]</f>
        <v>28764.47</v>
      </c>
      <c r="M78" s="3" t="s">
        <v>130</v>
      </c>
      <c r="N78" s="3">
        <v>29</v>
      </c>
      <c r="O78" s="3" t="s">
        <v>24</v>
      </c>
      <c r="P78" s="3" t="s">
        <v>45</v>
      </c>
      <c r="Q78" s="4">
        <v>3</v>
      </c>
      <c r="R78" s="4" t="str">
        <f>IF(Table1[[#This Row],[Customer Ratings]]&gt;=4, "Good",IF(Table1[[#This Row],[Customer Ratings]]=3, "Average","Poor"))</f>
        <v>Average</v>
      </c>
      <c r="S78" s="3" t="s">
        <v>46</v>
      </c>
    </row>
    <row r="79" spans="1:19" x14ac:dyDescent="0.25">
      <c r="A79" s="3">
        <v>78</v>
      </c>
      <c r="B79" s="5">
        <f>DATE(Table1[[#This Row],[Year]],Table1[[#This Row],[Month]],Table1[[#This Row],[Day]])</f>
        <v>44500</v>
      </c>
      <c r="C79" s="3">
        <v>31</v>
      </c>
      <c r="D79" s="3">
        <v>10</v>
      </c>
      <c r="E79" s="3">
        <v>2021</v>
      </c>
      <c r="F79" s="3" t="str">
        <f>"Qtr"&amp; " " &amp;CHOOSE(MONTH(Table1[[#This Row],[Date]]),1,1,1,2,2,2,3,3,3,4,4,4)</f>
        <v>Qtr 4</v>
      </c>
      <c r="G79" s="3" t="str">
        <f>TEXT(Table1[[#This Row],[Date]],"mmmm")</f>
        <v>October</v>
      </c>
      <c r="H79" s="3" t="s">
        <v>1080</v>
      </c>
      <c r="I79" s="3" t="s">
        <v>13</v>
      </c>
      <c r="J79" s="3">
        <v>9</v>
      </c>
      <c r="K79" s="3">
        <v>39162.65</v>
      </c>
      <c r="L79" s="3">
        <f>Table1[[#This Row],[Price Per Unit]]*Table1[[#This Row],[Units Sold]]</f>
        <v>352463.85000000003</v>
      </c>
      <c r="M79" s="3" t="s">
        <v>131</v>
      </c>
      <c r="N79" s="3">
        <v>47</v>
      </c>
      <c r="O79" s="3" t="s">
        <v>54</v>
      </c>
      <c r="P79" s="3" t="s">
        <v>21</v>
      </c>
      <c r="Q79" s="4">
        <v>2</v>
      </c>
      <c r="R79" s="4" t="str">
        <f>IF(Table1[[#This Row],[Customer Ratings]]&gt;=4, "Good",IF(Table1[[#This Row],[Customer Ratings]]=3, "Average","Poor"))</f>
        <v>Poor</v>
      </c>
      <c r="S79" s="3" t="s">
        <v>72</v>
      </c>
    </row>
    <row r="80" spans="1:19" x14ac:dyDescent="0.25">
      <c r="A80" s="3">
        <v>79</v>
      </c>
      <c r="B80" s="5">
        <f>DATE(Table1[[#This Row],[Year]],Table1[[#This Row],[Month]],Table1[[#This Row],[Day]])</f>
        <v>44501</v>
      </c>
      <c r="C80" s="3">
        <v>1</v>
      </c>
      <c r="D80" s="3">
        <v>11</v>
      </c>
      <c r="E80" s="3">
        <v>2021</v>
      </c>
      <c r="F80" s="3" t="str">
        <f>"Qtr"&amp; " " &amp;CHOOSE(MONTH(Table1[[#This Row],[Date]]),1,1,1,2,2,2,3,3,3,4,4,4)</f>
        <v>Qtr 4</v>
      </c>
      <c r="G80" s="3" t="str">
        <f>TEXT(Table1[[#This Row],[Date]],"mmmm")</f>
        <v>November</v>
      </c>
      <c r="H80" s="3" t="s">
        <v>1081</v>
      </c>
      <c r="I80" s="3" t="s">
        <v>39</v>
      </c>
      <c r="J80" s="3">
        <v>9</v>
      </c>
      <c r="K80" s="3">
        <v>49846.04</v>
      </c>
      <c r="L80" s="3">
        <f>Table1[[#This Row],[Price Per Unit]]*Table1[[#This Row],[Units Sold]]</f>
        <v>448614.36</v>
      </c>
      <c r="M80" s="3" t="s">
        <v>132</v>
      </c>
      <c r="N80" s="3">
        <v>50</v>
      </c>
      <c r="O80" s="3" t="s">
        <v>105</v>
      </c>
      <c r="P80" s="3" t="s">
        <v>45</v>
      </c>
      <c r="Q80" s="4">
        <v>3</v>
      </c>
      <c r="R80" s="4" t="str">
        <f>IF(Table1[[#This Row],[Customer Ratings]]&gt;=4, "Good",IF(Table1[[#This Row],[Customer Ratings]]=3, "Average","Poor"))</f>
        <v>Average</v>
      </c>
      <c r="S80" s="3" t="s">
        <v>76</v>
      </c>
    </row>
    <row r="81" spans="1:19" x14ac:dyDescent="0.25">
      <c r="A81" s="3">
        <v>80</v>
      </c>
      <c r="B81" s="5">
        <f>DATE(Table1[[#This Row],[Year]],Table1[[#This Row],[Month]],Table1[[#This Row],[Day]])</f>
        <v>44501</v>
      </c>
      <c r="C81" s="3">
        <v>1</v>
      </c>
      <c r="D81" s="3">
        <v>11</v>
      </c>
      <c r="E81" s="3">
        <v>2021</v>
      </c>
      <c r="F81" s="3" t="str">
        <f>"Qtr"&amp; " " &amp;CHOOSE(MONTH(Table1[[#This Row],[Date]]),1,1,1,2,2,2,3,3,3,4,4,4)</f>
        <v>Qtr 4</v>
      </c>
      <c r="G81" s="3" t="str">
        <f>TEXT(Table1[[#This Row],[Date]],"mmmm")</f>
        <v>November</v>
      </c>
      <c r="H81" s="3" t="s">
        <v>1081</v>
      </c>
      <c r="I81" s="3" t="s">
        <v>18</v>
      </c>
      <c r="J81" s="3">
        <v>8</v>
      </c>
      <c r="K81" s="3">
        <v>41682.85</v>
      </c>
      <c r="L81" s="3">
        <f>Table1[[#This Row],[Price Per Unit]]*Table1[[#This Row],[Units Sold]]</f>
        <v>333462.8</v>
      </c>
      <c r="M81" s="3" t="s">
        <v>133</v>
      </c>
      <c r="N81" s="3">
        <v>24</v>
      </c>
      <c r="O81" s="3" t="s">
        <v>54</v>
      </c>
      <c r="P81" s="3" t="s">
        <v>31</v>
      </c>
      <c r="Q81" s="4">
        <v>5</v>
      </c>
      <c r="R81" s="4" t="str">
        <f>IF(Table1[[#This Row],[Customer Ratings]]&gt;=4, "Good",IF(Table1[[#This Row],[Customer Ratings]]=3, "Average","Poor"))</f>
        <v>Good</v>
      </c>
      <c r="S81" s="3" t="s">
        <v>22</v>
      </c>
    </row>
    <row r="82" spans="1:19" x14ac:dyDescent="0.25">
      <c r="A82" s="3">
        <v>81</v>
      </c>
      <c r="B82" s="5">
        <f>DATE(Table1[[#This Row],[Year]],Table1[[#This Row],[Month]],Table1[[#This Row],[Day]])</f>
        <v>44501</v>
      </c>
      <c r="C82" s="3">
        <v>1</v>
      </c>
      <c r="D82" s="3">
        <v>11</v>
      </c>
      <c r="E82" s="3">
        <v>2021</v>
      </c>
      <c r="F82" s="3" t="str">
        <f>"Qtr"&amp; " " &amp;CHOOSE(MONTH(Table1[[#This Row],[Date]]),1,1,1,2,2,2,3,3,3,4,4,4)</f>
        <v>Qtr 4</v>
      </c>
      <c r="G82" s="3" t="str">
        <f>TEXT(Table1[[#This Row],[Date]],"mmmm")</f>
        <v>November</v>
      </c>
      <c r="H82" s="3" t="s">
        <v>1081</v>
      </c>
      <c r="I82" s="3" t="s">
        <v>33</v>
      </c>
      <c r="J82" s="3">
        <v>8</v>
      </c>
      <c r="K82" s="3">
        <v>68166.490000000005</v>
      </c>
      <c r="L82" s="3">
        <f>Table1[[#This Row],[Price Per Unit]]*Table1[[#This Row],[Units Sold]]</f>
        <v>545331.92000000004</v>
      </c>
      <c r="M82" s="3" t="s">
        <v>134</v>
      </c>
      <c r="N82" s="3">
        <v>45</v>
      </c>
      <c r="O82" s="3" t="s">
        <v>30</v>
      </c>
      <c r="P82" s="3" t="s">
        <v>45</v>
      </c>
      <c r="Q82" s="4">
        <v>5</v>
      </c>
      <c r="R82" s="4" t="str">
        <f>IF(Table1[[#This Row],[Customer Ratings]]&gt;=4, "Good",IF(Table1[[#This Row],[Customer Ratings]]=3, "Average","Poor"))</f>
        <v>Good</v>
      </c>
      <c r="S82" s="3" t="s">
        <v>36</v>
      </c>
    </row>
    <row r="83" spans="1:19" x14ac:dyDescent="0.25">
      <c r="A83" s="3">
        <v>82</v>
      </c>
      <c r="B83" s="5">
        <f>DATE(Table1[[#This Row],[Year]],Table1[[#This Row],[Month]],Table1[[#This Row],[Day]])</f>
        <v>44501</v>
      </c>
      <c r="C83" s="3">
        <v>1</v>
      </c>
      <c r="D83" s="3">
        <v>11</v>
      </c>
      <c r="E83" s="3">
        <v>2021</v>
      </c>
      <c r="F83" s="3" t="str">
        <f>"Qtr"&amp; " " &amp;CHOOSE(MONTH(Table1[[#This Row],[Date]]),1,1,1,2,2,2,3,3,3,4,4,4)</f>
        <v>Qtr 4</v>
      </c>
      <c r="G83" s="3" t="str">
        <f>TEXT(Table1[[#This Row],[Date]],"mmmm")</f>
        <v>November</v>
      </c>
      <c r="H83" s="3" t="s">
        <v>1081</v>
      </c>
      <c r="I83" s="3" t="s">
        <v>13</v>
      </c>
      <c r="J83" s="3">
        <v>1</v>
      </c>
      <c r="K83" s="3">
        <v>53439.35</v>
      </c>
      <c r="L83" s="3">
        <f>Table1[[#This Row],[Price Per Unit]]*Table1[[#This Row],[Units Sold]]</f>
        <v>53439.35</v>
      </c>
      <c r="M83" s="3" t="s">
        <v>73</v>
      </c>
      <c r="N83" s="3">
        <v>20</v>
      </c>
      <c r="O83" s="3" t="s">
        <v>98</v>
      </c>
      <c r="P83" s="3" t="s">
        <v>45</v>
      </c>
      <c r="Q83" s="4">
        <v>5</v>
      </c>
      <c r="R83" s="4" t="str">
        <f>IF(Table1[[#This Row],[Customer Ratings]]&gt;=4, "Good",IF(Table1[[#This Row],[Customer Ratings]]=3, "Average","Poor"))</f>
        <v>Good</v>
      </c>
      <c r="S83" s="3" t="s">
        <v>17</v>
      </c>
    </row>
    <row r="84" spans="1:19" x14ac:dyDescent="0.25">
      <c r="A84" s="3">
        <v>83</v>
      </c>
      <c r="B84" s="5">
        <f>DATE(Table1[[#This Row],[Year]],Table1[[#This Row],[Month]],Table1[[#This Row],[Day]])</f>
        <v>44502</v>
      </c>
      <c r="C84" s="3">
        <v>2</v>
      </c>
      <c r="D84" s="3">
        <v>11</v>
      </c>
      <c r="E84" s="3">
        <v>2021</v>
      </c>
      <c r="F84" s="3" t="str">
        <f>"Qtr"&amp; " " &amp;CHOOSE(MONTH(Table1[[#This Row],[Date]]),1,1,1,2,2,2,3,3,3,4,4,4)</f>
        <v>Qtr 4</v>
      </c>
      <c r="G84" s="3" t="str">
        <f>TEXT(Table1[[#This Row],[Date]],"mmmm")</f>
        <v>November</v>
      </c>
      <c r="H84" s="3" t="s">
        <v>1082</v>
      </c>
      <c r="I84" s="3" t="s">
        <v>33</v>
      </c>
      <c r="J84" s="3">
        <v>8</v>
      </c>
      <c r="K84" s="3">
        <v>22722.69</v>
      </c>
      <c r="L84" s="3">
        <f>Table1[[#This Row],[Price Per Unit]]*Table1[[#This Row],[Units Sold]]</f>
        <v>181781.52</v>
      </c>
      <c r="M84" s="3" t="s">
        <v>119</v>
      </c>
      <c r="N84" s="3">
        <v>23</v>
      </c>
      <c r="O84" s="3" t="s">
        <v>20</v>
      </c>
      <c r="P84" s="3" t="s">
        <v>21</v>
      </c>
      <c r="Q84" s="4">
        <v>4</v>
      </c>
      <c r="R84" s="4" t="str">
        <f>IF(Table1[[#This Row],[Customer Ratings]]&gt;=4, "Good",IF(Table1[[#This Row],[Customer Ratings]]=3, "Average","Poor"))</f>
        <v>Good</v>
      </c>
      <c r="S84" s="3" t="s">
        <v>46</v>
      </c>
    </row>
    <row r="85" spans="1:19" x14ac:dyDescent="0.25">
      <c r="A85" s="3">
        <v>84</v>
      </c>
      <c r="B85" s="5">
        <f>DATE(Table1[[#This Row],[Year]],Table1[[#This Row],[Month]],Table1[[#This Row],[Day]])</f>
        <v>44502</v>
      </c>
      <c r="C85" s="3">
        <v>2</v>
      </c>
      <c r="D85" s="3">
        <v>11</v>
      </c>
      <c r="E85" s="3">
        <v>2021</v>
      </c>
      <c r="F85" s="3" t="str">
        <f>"Qtr"&amp; " " &amp;CHOOSE(MONTH(Table1[[#This Row],[Date]]),1,1,1,2,2,2,3,3,3,4,4,4)</f>
        <v>Qtr 4</v>
      </c>
      <c r="G85" s="3" t="str">
        <f>TEXT(Table1[[#This Row],[Date]],"mmmm")</f>
        <v>November</v>
      </c>
      <c r="H85" s="3" t="s">
        <v>1082</v>
      </c>
      <c r="I85" s="3" t="s">
        <v>33</v>
      </c>
      <c r="J85" s="3">
        <v>3</v>
      </c>
      <c r="K85" s="3">
        <v>16305.85</v>
      </c>
      <c r="L85" s="3">
        <f>Table1[[#This Row],[Price Per Unit]]*Table1[[#This Row],[Units Sold]]</f>
        <v>48917.55</v>
      </c>
      <c r="M85" s="3" t="s">
        <v>135</v>
      </c>
      <c r="N85" s="3">
        <v>48</v>
      </c>
      <c r="O85" s="3" t="s">
        <v>20</v>
      </c>
      <c r="P85" s="3" t="s">
        <v>21</v>
      </c>
      <c r="Q85" s="4">
        <v>2</v>
      </c>
      <c r="R85" s="4" t="str">
        <f>IF(Table1[[#This Row],[Customer Ratings]]&gt;=4, "Good",IF(Table1[[#This Row],[Customer Ratings]]=3, "Average","Poor"))</f>
        <v>Poor</v>
      </c>
      <c r="S85" s="3" t="s">
        <v>83</v>
      </c>
    </row>
    <row r="86" spans="1:19" x14ac:dyDescent="0.25">
      <c r="A86" s="3">
        <v>85</v>
      </c>
      <c r="B86" s="5">
        <f>DATE(Table1[[#This Row],[Year]],Table1[[#This Row],[Month]],Table1[[#This Row],[Day]])</f>
        <v>44502</v>
      </c>
      <c r="C86" s="3">
        <v>2</v>
      </c>
      <c r="D86" s="3">
        <v>11</v>
      </c>
      <c r="E86" s="3">
        <v>2021</v>
      </c>
      <c r="F86" s="3" t="str">
        <f>"Qtr"&amp; " " &amp;CHOOSE(MONTH(Table1[[#This Row],[Date]]),1,1,1,2,2,2,3,3,3,4,4,4)</f>
        <v>Qtr 4</v>
      </c>
      <c r="G86" s="3" t="str">
        <f>TEXT(Table1[[#This Row],[Date]],"mmmm")</f>
        <v>November</v>
      </c>
      <c r="H86" s="3" t="s">
        <v>1082</v>
      </c>
      <c r="I86" s="3" t="s">
        <v>18</v>
      </c>
      <c r="J86" s="3">
        <v>7</v>
      </c>
      <c r="K86" s="3">
        <v>51304.08</v>
      </c>
      <c r="L86" s="3">
        <f>Table1[[#This Row],[Price Per Unit]]*Table1[[#This Row],[Units Sold]]</f>
        <v>359128.56</v>
      </c>
      <c r="M86" s="3" t="s">
        <v>49</v>
      </c>
      <c r="N86" s="3">
        <v>55</v>
      </c>
      <c r="O86" s="3" t="s">
        <v>20</v>
      </c>
      <c r="P86" s="3" t="s">
        <v>16</v>
      </c>
      <c r="Q86" s="4">
        <v>4</v>
      </c>
      <c r="R86" s="4" t="str">
        <f>IF(Table1[[#This Row],[Customer Ratings]]&gt;=4, "Good",IF(Table1[[#This Row],[Customer Ratings]]=3, "Average","Poor"))</f>
        <v>Good</v>
      </c>
      <c r="S86" s="3" t="s">
        <v>25</v>
      </c>
    </row>
    <row r="87" spans="1:19" x14ac:dyDescent="0.25">
      <c r="A87" s="3">
        <v>86</v>
      </c>
      <c r="B87" s="5">
        <f>DATE(Table1[[#This Row],[Year]],Table1[[#This Row],[Month]],Table1[[#This Row],[Day]])</f>
        <v>44502</v>
      </c>
      <c r="C87" s="3">
        <v>2</v>
      </c>
      <c r="D87" s="3">
        <v>11</v>
      </c>
      <c r="E87" s="3">
        <v>2021</v>
      </c>
      <c r="F87" s="3" t="str">
        <f>"Qtr"&amp; " " &amp;CHOOSE(MONTH(Table1[[#This Row],[Date]]),1,1,1,2,2,2,3,3,3,4,4,4)</f>
        <v>Qtr 4</v>
      </c>
      <c r="G87" s="3" t="str">
        <f>TEXT(Table1[[#This Row],[Date]],"mmmm")</f>
        <v>November</v>
      </c>
      <c r="H87" s="3" t="s">
        <v>1082</v>
      </c>
      <c r="I87" s="3" t="s">
        <v>39</v>
      </c>
      <c r="J87" s="3">
        <v>1</v>
      </c>
      <c r="K87" s="3">
        <v>19507.150000000001</v>
      </c>
      <c r="L87" s="3">
        <f>Table1[[#This Row],[Price Per Unit]]*Table1[[#This Row],[Units Sold]]</f>
        <v>19507.150000000001</v>
      </c>
      <c r="M87" s="3" t="s">
        <v>136</v>
      </c>
      <c r="N87" s="3">
        <v>32</v>
      </c>
      <c r="O87" s="3" t="s">
        <v>137</v>
      </c>
      <c r="P87" s="3" t="s">
        <v>45</v>
      </c>
      <c r="Q87" s="4">
        <v>5</v>
      </c>
      <c r="R87" s="4" t="str">
        <f>IF(Table1[[#This Row],[Customer Ratings]]&gt;=4, "Good",IF(Table1[[#This Row],[Customer Ratings]]=3, "Average","Poor"))</f>
        <v>Good</v>
      </c>
      <c r="S87" s="3" t="s">
        <v>76</v>
      </c>
    </row>
    <row r="88" spans="1:19" x14ac:dyDescent="0.25">
      <c r="A88" s="3">
        <v>87</v>
      </c>
      <c r="B88" s="5">
        <f>DATE(Table1[[#This Row],[Year]],Table1[[#This Row],[Month]],Table1[[#This Row],[Day]])</f>
        <v>44503</v>
      </c>
      <c r="C88" s="3">
        <v>3</v>
      </c>
      <c r="D88" s="3">
        <v>11</v>
      </c>
      <c r="E88" s="3">
        <v>2021</v>
      </c>
      <c r="F88" s="3" t="str">
        <f>"Qtr"&amp; " " &amp;CHOOSE(MONTH(Table1[[#This Row],[Date]]),1,1,1,2,2,2,3,3,3,4,4,4)</f>
        <v>Qtr 4</v>
      </c>
      <c r="G88" s="3" t="str">
        <f>TEXT(Table1[[#This Row],[Date]],"mmmm")</f>
        <v>November</v>
      </c>
      <c r="H88" s="3" t="s">
        <v>1083</v>
      </c>
      <c r="I88" s="3" t="s">
        <v>33</v>
      </c>
      <c r="J88" s="3">
        <v>1</v>
      </c>
      <c r="K88" s="3">
        <v>57260.61</v>
      </c>
      <c r="L88" s="3">
        <f>Table1[[#This Row],[Price Per Unit]]*Table1[[#This Row],[Units Sold]]</f>
        <v>57260.61</v>
      </c>
      <c r="M88" s="3" t="s">
        <v>138</v>
      </c>
      <c r="N88" s="3">
        <v>24</v>
      </c>
      <c r="O88" s="3" t="s">
        <v>125</v>
      </c>
      <c r="P88" s="3" t="s">
        <v>21</v>
      </c>
      <c r="Q88" s="4">
        <v>5</v>
      </c>
      <c r="R88" s="4" t="str">
        <f>IF(Table1[[#This Row],[Customer Ratings]]&gt;=4, "Good",IF(Table1[[#This Row],[Customer Ratings]]=3, "Average","Poor"))</f>
        <v>Good</v>
      </c>
      <c r="S88" s="3" t="s">
        <v>46</v>
      </c>
    </row>
    <row r="89" spans="1:19" x14ac:dyDescent="0.25">
      <c r="A89" s="3">
        <v>88</v>
      </c>
      <c r="B89" s="5">
        <f>DATE(Table1[[#This Row],[Year]],Table1[[#This Row],[Month]],Table1[[#This Row],[Day]])</f>
        <v>44503</v>
      </c>
      <c r="C89" s="3">
        <v>3</v>
      </c>
      <c r="D89" s="3">
        <v>11</v>
      </c>
      <c r="E89" s="3">
        <v>2021</v>
      </c>
      <c r="F89" s="3" t="str">
        <f>"Qtr"&amp; " " &amp;CHOOSE(MONTH(Table1[[#This Row],[Date]]),1,1,1,2,2,2,3,3,3,4,4,4)</f>
        <v>Qtr 4</v>
      </c>
      <c r="G89" s="3" t="str">
        <f>TEXT(Table1[[#This Row],[Date]],"mmmm")</f>
        <v>November</v>
      </c>
      <c r="H89" s="3" t="s">
        <v>1083</v>
      </c>
      <c r="I89" s="3" t="s">
        <v>13</v>
      </c>
      <c r="J89" s="3">
        <v>5</v>
      </c>
      <c r="K89" s="3">
        <v>28662.2</v>
      </c>
      <c r="L89" s="3">
        <f>Table1[[#This Row],[Price Per Unit]]*Table1[[#This Row],[Units Sold]]</f>
        <v>143311</v>
      </c>
      <c r="M89" s="3" t="s">
        <v>139</v>
      </c>
      <c r="N89" s="3">
        <v>47</v>
      </c>
      <c r="O89" s="3" t="s">
        <v>20</v>
      </c>
      <c r="P89" s="3" t="s">
        <v>31</v>
      </c>
      <c r="Q89" s="4">
        <v>3</v>
      </c>
      <c r="R89" s="4" t="str">
        <f>IF(Table1[[#This Row],[Customer Ratings]]&gt;=4, "Good",IF(Table1[[#This Row],[Customer Ratings]]=3, "Average","Poor"))</f>
        <v>Average</v>
      </c>
      <c r="S89" s="3" t="s">
        <v>72</v>
      </c>
    </row>
    <row r="90" spans="1:19" x14ac:dyDescent="0.25">
      <c r="A90" s="3">
        <v>89</v>
      </c>
      <c r="B90" s="5">
        <f>DATE(Table1[[#This Row],[Year]],Table1[[#This Row],[Month]],Table1[[#This Row],[Day]])</f>
        <v>44503</v>
      </c>
      <c r="C90" s="3">
        <v>3</v>
      </c>
      <c r="D90" s="3">
        <v>11</v>
      </c>
      <c r="E90" s="3">
        <v>2021</v>
      </c>
      <c r="F90" s="3" t="str">
        <f>"Qtr"&amp; " " &amp;CHOOSE(MONTH(Table1[[#This Row],[Date]]),1,1,1,2,2,2,3,3,3,4,4,4)</f>
        <v>Qtr 4</v>
      </c>
      <c r="G90" s="3" t="str">
        <f>TEXT(Table1[[#This Row],[Date]],"mmmm")</f>
        <v>November</v>
      </c>
      <c r="H90" s="3" t="s">
        <v>1083</v>
      </c>
      <c r="I90" s="3" t="s">
        <v>28</v>
      </c>
      <c r="J90" s="3">
        <v>5</v>
      </c>
      <c r="K90" s="3">
        <v>29613.599999999999</v>
      </c>
      <c r="L90" s="3">
        <f>Table1[[#This Row],[Price Per Unit]]*Table1[[#This Row],[Units Sold]]</f>
        <v>148068</v>
      </c>
      <c r="M90" s="3" t="s">
        <v>140</v>
      </c>
      <c r="N90" s="3">
        <v>44</v>
      </c>
      <c r="O90" s="3" t="s">
        <v>20</v>
      </c>
      <c r="P90" s="3" t="s">
        <v>16</v>
      </c>
      <c r="Q90" s="4">
        <v>5</v>
      </c>
      <c r="R90" s="4" t="str">
        <f>IF(Table1[[#This Row],[Customer Ratings]]&gt;=4, "Good",IF(Table1[[#This Row],[Customer Ratings]]=3, "Average","Poor"))</f>
        <v>Good</v>
      </c>
      <c r="S90" s="3" t="s">
        <v>38</v>
      </c>
    </row>
    <row r="91" spans="1:19" x14ac:dyDescent="0.25">
      <c r="A91" s="3">
        <v>90</v>
      </c>
      <c r="B91" s="5">
        <f>DATE(Table1[[#This Row],[Year]],Table1[[#This Row],[Month]],Table1[[#This Row],[Day]])</f>
        <v>44503</v>
      </c>
      <c r="C91" s="3">
        <v>3</v>
      </c>
      <c r="D91" s="3">
        <v>11</v>
      </c>
      <c r="E91" s="3">
        <v>2021</v>
      </c>
      <c r="F91" s="3" t="str">
        <f>"Qtr"&amp; " " &amp;CHOOSE(MONTH(Table1[[#This Row],[Date]]),1,1,1,2,2,2,3,3,3,4,4,4)</f>
        <v>Qtr 4</v>
      </c>
      <c r="G91" s="3" t="str">
        <f>TEXT(Table1[[#This Row],[Date]],"mmmm")</f>
        <v>November</v>
      </c>
      <c r="H91" s="3" t="s">
        <v>1083</v>
      </c>
      <c r="I91" s="3" t="s">
        <v>33</v>
      </c>
      <c r="J91" s="3">
        <v>8</v>
      </c>
      <c r="K91" s="3">
        <v>10647.9</v>
      </c>
      <c r="L91" s="3">
        <f>Table1[[#This Row],[Price Per Unit]]*Table1[[#This Row],[Units Sold]]</f>
        <v>85183.2</v>
      </c>
      <c r="M91" s="3" t="s">
        <v>141</v>
      </c>
      <c r="N91" s="3">
        <v>34</v>
      </c>
      <c r="O91" s="3" t="s">
        <v>20</v>
      </c>
      <c r="P91" s="3" t="s">
        <v>45</v>
      </c>
      <c r="Q91" s="4">
        <v>5</v>
      </c>
      <c r="R91" s="4" t="str">
        <f>IF(Table1[[#This Row],[Customer Ratings]]&gt;=4, "Good",IF(Table1[[#This Row],[Customer Ratings]]=3, "Average","Poor"))</f>
        <v>Good</v>
      </c>
      <c r="S91" s="3" t="s">
        <v>36</v>
      </c>
    </row>
    <row r="92" spans="1:19" x14ac:dyDescent="0.25">
      <c r="A92" s="3">
        <v>91</v>
      </c>
      <c r="B92" s="5">
        <f>DATE(Table1[[#This Row],[Year]],Table1[[#This Row],[Month]],Table1[[#This Row],[Day]])</f>
        <v>44504</v>
      </c>
      <c r="C92" s="3">
        <v>4</v>
      </c>
      <c r="D92" s="3">
        <v>11</v>
      </c>
      <c r="E92" s="3">
        <v>2021</v>
      </c>
      <c r="F92" s="3" t="str">
        <f>"Qtr"&amp; " " &amp;CHOOSE(MONTH(Table1[[#This Row],[Date]]),1,1,1,2,2,2,3,3,3,4,4,4)</f>
        <v>Qtr 4</v>
      </c>
      <c r="G92" s="3" t="str">
        <f>TEXT(Table1[[#This Row],[Date]],"mmmm")</f>
        <v>November</v>
      </c>
      <c r="H92" s="3" t="s">
        <v>1084</v>
      </c>
      <c r="I92" s="3" t="s">
        <v>33</v>
      </c>
      <c r="J92" s="3">
        <v>7</v>
      </c>
      <c r="K92" s="3">
        <v>52060.68</v>
      </c>
      <c r="L92" s="3">
        <f>Table1[[#This Row],[Price Per Unit]]*Table1[[#This Row],[Units Sold]]</f>
        <v>364424.76</v>
      </c>
      <c r="M92" s="3" t="s">
        <v>111</v>
      </c>
      <c r="N92" s="3">
        <v>35</v>
      </c>
      <c r="O92" s="3" t="s">
        <v>35</v>
      </c>
      <c r="P92" s="3" t="s">
        <v>31</v>
      </c>
      <c r="Q92" s="4">
        <v>5</v>
      </c>
      <c r="R92" s="4" t="str">
        <f>IF(Table1[[#This Row],[Customer Ratings]]&gt;=4, "Good",IF(Table1[[#This Row],[Customer Ratings]]=3, "Average","Poor"))</f>
        <v>Good</v>
      </c>
      <c r="S92" s="3" t="s">
        <v>83</v>
      </c>
    </row>
    <row r="93" spans="1:19" x14ac:dyDescent="0.25">
      <c r="A93" s="3">
        <v>92</v>
      </c>
      <c r="B93" s="5">
        <f>DATE(Table1[[#This Row],[Year]],Table1[[#This Row],[Month]],Table1[[#This Row],[Day]])</f>
        <v>44504</v>
      </c>
      <c r="C93" s="3">
        <v>4</v>
      </c>
      <c r="D93" s="3">
        <v>11</v>
      </c>
      <c r="E93" s="3">
        <v>2021</v>
      </c>
      <c r="F93" s="3" t="str">
        <f>"Qtr"&amp; " " &amp;CHOOSE(MONTH(Table1[[#This Row],[Date]]),1,1,1,2,2,2,3,3,3,4,4,4)</f>
        <v>Qtr 4</v>
      </c>
      <c r="G93" s="3" t="str">
        <f>TEXT(Table1[[#This Row],[Date]],"mmmm")</f>
        <v>November</v>
      </c>
      <c r="H93" s="3" t="s">
        <v>1084</v>
      </c>
      <c r="I93" s="3" t="s">
        <v>18</v>
      </c>
      <c r="J93" s="3">
        <v>8</v>
      </c>
      <c r="K93" s="3">
        <v>16796.189999999999</v>
      </c>
      <c r="L93" s="3">
        <f>Table1[[#This Row],[Price Per Unit]]*Table1[[#This Row],[Units Sold]]</f>
        <v>134369.51999999999</v>
      </c>
      <c r="M93" s="3" t="s">
        <v>142</v>
      </c>
      <c r="N93" s="3">
        <v>39</v>
      </c>
      <c r="O93" s="3" t="s">
        <v>137</v>
      </c>
      <c r="P93" s="3" t="s">
        <v>21</v>
      </c>
      <c r="Q93" s="4">
        <v>5</v>
      </c>
      <c r="R93" s="4" t="str">
        <f>IF(Table1[[#This Row],[Customer Ratings]]&gt;=4, "Good",IF(Table1[[#This Row],[Customer Ratings]]=3, "Average","Poor"))</f>
        <v>Good</v>
      </c>
      <c r="S93" s="3" t="s">
        <v>25</v>
      </c>
    </row>
    <row r="94" spans="1:19" x14ac:dyDescent="0.25">
      <c r="A94" s="3">
        <v>93</v>
      </c>
      <c r="B94" s="5">
        <f>DATE(Table1[[#This Row],[Year]],Table1[[#This Row],[Month]],Table1[[#This Row],[Day]])</f>
        <v>44504</v>
      </c>
      <c r="C94" s="3">
        <v>4</v>
      </c>
      <c r="D94" s="3">
        <v>11</v>
      </c>
      <c r="E94" s="3">
        <v>2021</v>
      </c>
      <c r="F94" s="3" t="str">
        <f>"Qtr"&amp; " " &amp;CHOOSE(MONTH(Table1[[#This Row],[Date]]),1,1,1,2,2,2,3,3,3,4,4,4)</f>
        <v>Qtr 4</v>
      </c>
      <c r="G94" s="3" t="str">
        <f>TEXT(Table1[[#This Row],[Date]],"mmmm")</f>
        <v>November</v>
      </c>
      <c r="H94" s="3" t="s">
        <v>1084</v>
      </c>
      <c r="I94" s="3" t="s">
        <v>39</v>
      </c>
      <c r="J94" s="3">
        <v>6</v>
      </c>
      <c r="K94" s="3">
        <v>56372.83</v>
      </c>
      <c r="L94" s="3">
        <f>Table1[[#This Row],[Price Per Unit]]*Table1[[#This Row],[Units Sold]]</f>
        <v>338236.98</v>
      </c>
      <c r="M94" s="3" t="s">
        <v>143</v>
      </c>
      <c r="N94" s="3">
        <v>43</v>
      </c>
      <c r="O94" s="3" t="s">
        <v>120</v>
      </c>
      <c r="P94" s="3" t="s">
        <v>16</v>
      </c>
      <c r="Q94" s="4">
        <v>3</v>
      </c>
      <c r="R94" s="4" t="str">
        <f>IF(Table1[[#This Row],[Customer Ratings]]&gt;=4, "Good",IF(Table1[[#This Row],[Customer Ratings]]=3, "Average","Poor"))</f>
        <v>Average</v>
      </c>
      <c r="S94" s="3" t="s">
        <v>90</v>
      </c>
    </row>
    <row r="95" spans="1:19" x14ac:dyDescent="0.25">
      <c r="A95" s="3">
        <v>94</v>
      </c>
      <c r="B95" s="5">
        <f>DATE(Table1[[#This Row],[Year]],Table1[[#This Row],[Month]],Table1[[#This Row],[Day]])</f>
        <v>44504</v>
      </c>
      <c r="C95" s="3">
        <v>4</v>
      </c>
      <c r="D95" s="3">
        <v>11</v>
      </c>
      <c r="E95" s="3">
        <v>2021</v>
      </c>
      <c r="F95" s="3" t="str">
        <f>"Qtr"&amp; " " &amp;CHOOSE(MONTH(Table1[[#This Row],[Date]]),1,1,1,2,2,2,3,3,3,4,4,4)</f>
        <v>Qtr 4</v>
      </c>
      <c r="G95" s="3" t="str">
        <f>TEXT(Table1[[#This Row],[Date]],"mmmm")</f>
        <v>November</v>
      </c>
      <c r="H95" s="3" t="s">
        <v>1084</v>
      </c>
      <c r="I95" s="3" t="s">
        <v>28</v>
      </c>
      <c r="J95" s="3">
        <v>6</v>
      </c>
      <c r="K95" s="3">
        <v>39512.07</v>
      </c>
      <c r="L95" s="3">
        <f>Table1[[#This Row],[Price Per Unit]]*Table1[[#This Row],[Units Sold]]</f>
        <v>237072.41999999998</v>
      </c>
      <c r="M95" s="3" t="s">
        <v>144</v>
      </c>
      <c r="N95" s="3">
        <v>44</v>
      </c>
      <c r="O95" s="3" t="s">
        <v>24</v>
      </c>
      <c r="P95" s="3" t="s">
        <v>31</v>
      </c>
      <c r="Q95" s="4">
        <v>4</v>
      </c>
      <c r="R95" s="4" t="str">
        <f>IF(Table1[[#This Row],[Customer Ratings]]&gt;=4, "Good",IF(Table1[[#This Row],[Customer Ratings]]=3, "Average","Poor"))</f>
        <v>Good</v>
      </c>
      <c r="S95" s="3" t="s">
        <v>87</v>
      </c>
    </row>
    <row r="96" spans="1:19" x14ac:dyDescent="0.25">
      <c r="A96" s="3">
        <v>95</v>
      </c>
      <c r="B96" s="5">
        <f>DATE(Table1[[#This Row],[Year]],Table1[[#This Row],[Month]],Table1[[#This Row],[Day]])</f>
        <v>44505</v>
      </c>
      <c r="C96" s="3">
        <v>5</v>
      </c>
      <c r="D96" s="3">
        <v>11</v>
      </c>
      <c r="E96" s="3">
        <v>2021</v>
      </c>
      <c r="F96" s="3" t="str">
        <f>"Qtr"&amp; " " &amp;CHOOSE(MONTH(Table1[[#This Row],[Date]]),1,1,1,2,2,2,3,3,3,4,4,4)</f>
        <v>Qtr 4</v>
      </c>
      <c r="G96" s="3" t="str">
        <f>TEXT(Table1[[#This Row],[Date]],"mmmm")</f>
        <v>November</v>
      </c>
      <c r="H96" s="3" t="s">
        <v>1085</v>
      </c>
      <c r="I96" s="3" t="s">
        <v>13</v>
      </c>
      <c r="J96" s="3">
        <v>2</v>
      </c>
      <c r="K96" s="3">
        <v>57056.79</v>
      </c>
      <c r="L96" s="3">
        <f>Table1[[#This Row],[Price Per Unit]]*Table1[[#This Row],[Units Sold]]</f>
        <v>114113.58</v>
      </c>
      <c r="M96" s="3" t="s">
        <v>145</v>
      </c>
      <c r="N96" s="3">
        <v>57</v>
      </c>
      <c r="O96" s="3" t="s">
        <v>24</v>
      </c>
      <c r="P96" s="3" t="s">
        <v>45</v>
      </c>
      <c r="Q96" s="4">
        <v>2</v>
      </c>
      <c r="R96" s="4" t="str">
        <f>IF(Table1[[#This Row],[Customer Ratings]]&gt;=4, "Good",IF(Table1[[#This Row],[Customer Ratings]]=3, "Average","Poor"))</f>
        <v>Poor</v>
      </c>
      <c r="S96" s="3" t="s">
        <v>72</v>
      </c>
    </row>
    <row r="97" spans="1:19" x14ac:dyDescent="0.25">
      <c r="A97" s="3">
        <v>96</v>
      </c>
      <c r="B97" s="5">
        <f>DATE(Table1[[#This Row],[Year]],Table1[[#This Row],[Month]],Table1[[#This Row],[Day]])</f>
        <v>44505</v>
      </c>
      <c r="C97" s="3">
        <v>5</v>
      </c>
      <c r="D97" s="3">
        <v>11</v>
      </c>
      <c r="E97" s="3">
        <v>2021</v>
      </c>
      <c r="F97" s="3" t="str">
        <f>"Qtr"&amp; " " &amp;CHOOSE(MONTH(Table1[[#This Row],[Date]]),1,1,1,2,2,2,3,3,3,4,4,4)</f>
        <v>Qtr 4</v>
      </c>
      <c r="G97" s="3" t="str">
        <f>TEXT(Table1[[#This Row],[Date]],"mmmm")</f>
        <v>November</v>
      </c>
      <c r="H97" s="3" t="s">
        <v>1085</v>
      </c>
      <c r="I97" s="3" t="s">
        <v>28</v>
      </c>
      <c r="J97" s="3">
        <v>6</v>
      </c>
      <c r="K97" s="3">
        <v>45035.59</v>
      </c>
      <c r="L97" s="3">
        <f>Table1[[#This Row],[Price Per Unit]]*Table1[[#This Row],[Units Sold]]</f>
        <v>270213.53999999998</v>
      </c>
      <c r="M97" s="3" t="s">
        <v>146</v>
      </c>
      <c r="N97" s="3">
        <v>41</v>
      </c>
      <c r="O97" s="3" t="s">
        <v>102</v>
      </c>
      <c r="P97" s="3" t="s">
        <v>31</v>
      </c>
      <c r="Q97" s="4">
        <v>4</v>
      </c>
      <c r="R97" s="4" t="str">
        <f>IF(Table1[[#This Row],[Customer Ratings]]&gt;=4, "Good",IF(Table1[[#This Row],[Customer Ratings]]=3, "Average","Poor"))</f>
        <v>Good</v>
      </c>
      <c r="S97" s="3" t="s">
        <v>38</v>
      </c>
    </row>
    <row r="98" spans="1:19" x14ac:dyDescent="0.25">
      <c r="A98" s="3">
        <v>97</v>
      </c>
      <c r="B98" s="5">
        <f>DATE(Table1[[#This Row],[Year]],Table1[[#This Row],[Month]],Table1[[#This Row],[Day]])</f>
        <v>44505</v>
      </c>
      <c r="C98" s="3">
        <v>5</v>
      </c>
      <c r="D98" s="3">
        <v>11</v>
      </c>
      <c r="E98" s="3">
        <v>2021</v>
      </c>
      <c r="F98" s="3" t="str">
        <f>"Qtr"&amp; " " &amp;CHOOSE(MONTH(Table1[[#This Row],[Date]]),1,1,1,2,2,2,3,3,3,4,4,4)</f>
        <v>Qtr 4</v>
      </c>
      <c r="G98" s="3" t="str">
        <f>TEXT(Table1[[#This Row],[Date]],"mmmm")</f>
        <v>November</v>
      </c>
      <c r="H98" s="3" t="s">
        <v>1085</v>
      </c>
      <c r="I98" s="3" t="s">
        <v>13</v>
      </c>
      <c r="J98" s="3">
        <v>5</v>
      </c>
      <c r="K98" s="3">
        <v>14946</v>
      </c>
      <c r="L98" s="3">
        <f>Table1[[#This Row],[Price Per Unit]]*Table1[[#This Row],[Units Sold]]</f>
        <v>74730</v>
      </c>
      <c r="M98" s="3" t="s">
        <v>147</v>
      </c>
      <c r="N98" s="3">
        <v>25</v>
      </c>
      <c r="O98" s="3" t="s">
        <v>48</v>
      </c>
      <c r="P98" s="3" t="s">
        <v>16</v>
      </c>
      <c r="Q98" s="4">
        <v>3</v>
      </c>
      <c r="R98" s="4" t="str">
        <f>IF(Table1[[#This Row],[Customer Ratings]]&gt;=4, "Good",IF(Table1[[#This Row],[Customer Ratings]]=3, "Average","Poor"))</f>
        <v>Average</v>
      </c>
      <c r="S98" s="3" t="s">
        <v>27</v>
      </c>
    </row>
    <row r="99" spans="1:19" x14ac:dyDescent="0.25">
      <c r="A99" s="3">
        <v>98</v>
      </c>
      <c r="B99" s="5">
        <f>DATE(Table1[[#This Row],[Year]],Table1[[#This Row],[Month]],Table1[[#This Row],[Day]])</f>
        <v>44505</v>
      </c>
      <c r="C99" s="3">
        <v>5</v>
      </c>
      <c r="D99" s="3">
        <v>11</v>
      </c>
      <c r="E99" s="3">
        <v>2021</v>
      </c>
      <c r="F99" s="3" t="str">
        <f>"Qtr"&amp; " " &amp;CHOOSE(MONTH(Table1[[#This Row],[Date]]),1,1,1,2,2,2,3,3,3,4,4,4)</f>
        <v>Qtr 4</v>
      </c>
      <c r="G99" s="3" t="str">
        <f>TEXT(Table1[[#This Row],[Date]],"mmmm")</f>
        <v>November</v>
      </c>
      <c r="H99" s="3" t="s">
        <v>1085</v>
      </c>
      <c r="I99" s="3" t="s">
        <v>39</v>
      </c>
      <c r="J99" s="3">
        <v>3</v>
      </c>
      <c r="K99" s="3">
        <v>55939.14</v>
      </c>
      <c r="L99" s="3">
        <f>Table1[[#This Row],[Price Per Unit]]*Table1[[#This Row],[Units Sold]]</f>
        <v>167817.41999999998</v>
      </c>
      <c r="M99" s="3" t="s">
        <v>148</v>
      </c>
      <c r="N99" s="3">
        <v>38</v>
      </c>
      <c r="O99" s="3" t="s">
        <v>52</v>
      </c>
      <c r="P99" s="3" t="s">
        <v>45</v>
      </c>
      <c r="Q99" s="4">
        <v>5</v>
      </c>
      <c r="R99" s="4" t="str">
        <f>IF(Table1[[#This Row],[Customer Ratings]]&gt;=4, "Good",IF(Table1[[#This Row],[Customer Ratings]]=3, "Average","Poor"))</f>
        <v>Good</v>
      </c>
      <c r="S99" s="3" t="s">
        <v>76</v>
      </c>
    </row>
    <row r="100" spans="1:19" x14ac:dyDescent="0.25">
      <c r="A100" s="3">
        <v>99</v>
      </c>
      <c r="B100" s="5">
        <f>DATE(Table1[[#This Row],[Year]],Table1[[#This Row],[Month]],Table1[[#This Row],[Day]])</f>
        <v>44506</v>
      </c>
      <c r="C100" s="3">
        <v>6</v>
      </c>
      <c r="D100" s="3">
        <v>11</v>
      </c>
      <c r="E100" s="3">
        <v>2021</v>
      </c>
      <c r="F100" s="3" t="str">
        <f>"Qtr"&amp; " " &amp;CHOOSE(MONTH(Table1[[#This Row],[Date]]),1,1,1,2,2,2,3,3,3,4,4,4)</f>
        <v>Qtr 4</v>
      </c>
      <c r="G100" s="3" t="str">
        <f>TEXT(Table1[[#This Row],[Date]],"mmmm")</f>
        <v>November</v>
      </c>
      <c r="H100" s="3" t="s">
        <v>1079</v>
      </c>
      <c r="I100" s="3" t="s">
        <v>13</v>
      </c>
      <c r="J100" s="3">
        <v>6</v>
      </c>
      <c r="K100" s="3">
        <v>14187.97</v>
      </c>
      <c r="L100" s="3">
        <f>Table1[[#This Row],[Price Per Unit]]*Table1[[#This Row],[Units Sold]]</f>
        <v>85127.819999999992</v>
      </c>
      <c r="M100" s="3" t="s">
        <v>149</v>
      </c>
      <c r="N100" s="3">
        <v>46</v>
      </c>
      <c r="O100" s="3" t="s">
        <v>125</v>
      </c>
      <c r="P100" s="3" t="s">
        <v>45</v>
      </c>
      <c r="Q100" s="4">
        <v>4</v>
      </c>
      <c r="R100" s="4" t="str">
        <f>IF(Table1[[#This Row],[Customer Ratings]]&gt;=4, "Good",IF(Table1[[#This Row],[Customer Ratings]]=3, "Average","Poor"))</f>
        <v>Good</v>
      </c>
      <c r="S100" s="3" t="s">
        <v>27</v>
      </c>
    </row>
    <row r="101" spans="1:19" x14ac:dyDescent="0.25">
      <c r="A101" s="3">
        <v>100</v>
      </c>
      <c r="B101" s="5">
        <f>DATE(Table1[[#This Row],[Year]],Table1[[#This Row],[Month]],Table1[[#This Row],[Day]])</f>
        <v>44506</v>
      </c>
      <c r="C101" s="3">
        <v>6</v>
      </c>
      <c r="D101" s="3">
        <v>11</v>
      </c>
      <c r="E101" s="3">
        <v>2021</v>
      </c>
      <c r="F101" s="3" t="str">
        <f>"Qtr"&amp; " " &amp;CHOOSE(MONTH(Table1[[#This Row],[Date]]),1,1,1,2,2,2,3,3,3,4,4,4)</f>
        <v>Qtr 4</v>
      </c>
      <c r="G101" s="3" t="str">
        <f>TEXT(Table1[[#This Row],[Date]],"mmmm")</f>
        <v>November</v>
      </c>
      <c r="H101" s="3" t="s">
        <v>1079</v>
      </c>
      <c r="I101" s="3" t="s">
        <v>18</v>
      </c>
      <c r="J101" s="3">
        <v>8</v>
      </c>
      <c r="K101" s="3">
        <v>38722.1</v>
      </c>
      <c r="L101" s="3">
        <f>Table1[[#This Row],[Price Per Unit]]*Table1[[#This Row],[Units Sold]]</f>
        <v>309776.8</v>
      </c>
      <c r="M101" s="3" t="s">
        <v>150</v>
      </c>
      <c r="N101" s="3">
        <v>38</v>
      </c>
      <c r="O101" s="3" t="s">
        <v>30</v>
      </c>
      <c r="P101" s="3" t="s">
        <v>31</v>
      </c>
      <c r="Q101" s="4">
        <v>2</v>
      </c>
      <c r="R101" s="4" t="str">
        <f>IF(Table1[[#This Row],[Customer Ratings]]&gt;=4, "Good",IF(Table1[[#This Row],[Customer Ratings]]=3, "Average","Poor"))</f>
        <v>Poor</v>
      </c>
      <c r="S101" s="3" t="s">
        <v>25</v>
      </c>
    </row>
    <row r="102" spans="1:19" x14ac:dyDescent="0.25">
      <c r="A102" s="3">
        <v>101</v>
      </c>
      <c r="B102" s="5">
        <f>DATE(Table1[[#This Row],[Year]],Table1[[#This Row],[Month]],Table1[[#This Row],[Day]])</f>
        <v>44506</v>
      </c>
      <c r="C102" s="3">
        <v>6</v>
      </c>
      <c r="D102" s="3">
        <v>11</v>
      </c>
      <c r="E102" s="3">
        <v>2021</v>
      </c>
      <c r="F102" s="3" t="str">
        <f>"Qtr"&amp; " " &amp;CHOOSE(MONTH(Table1[[#This Row],[Date]]),1,1,1,2,2,2,3,3,3,4,4,4)</f>
        <v>Qtr 4</v>
      </c>
      <c r="G102" s="3" t="str">
        <f>TEXT(Table1[[#This Row],[Date]],"mmmm")</f>
        <v>November</v>
      </c>
      <c r="H102" s="3" t="s">
        <v>1079</v>
      </c>
      <c r="I102" s="3" t="s">
        <v>18</v>
      </c>
      <c r="J102" s="3">
        <v>9</v>
      </c>
      <c r="K102" s="3">
        <v>20340.95</v>
      </c>
      <c r="L102" s="3">
        <f>Table1[[#This Row],[Price Per Unit]]*Table1[[#This Row],[Units Sold]]</f>
        <v>183068.55000000002</v>
      </c>
      <c r="M102" s="3" t="s">
        <v>151</v>
      </c>
      <c r="N102" s="3">
        <v>20</v>
      </c>
      <c r="O102" s="3" t="s">
        <v>120</v>
      </c>
      <c r="P102" s="3" t="s">
        <v>16</v>
      </c>
      <c r="Q102" s="4">
        <v>3</v>
      </c>
      <c r="R102" s="4" t="str">
        <f>IF(Table1[[#This Row],[Customer Ratings]]&gt;=4, "Good",IF(Table1[[#This Row],[Customer Ratings]]=3, "Average","Poor"))</f>
        <v>Average</v>
      </c>
      <c r="S102" s="3" t="s">
        <v>22</v>
      </c>
    </row>
    <row r="103" spans="1:19" x14ac:dyDescent="0.25">
      <c r="A103" s="3">
        <v>102</v>
      </c>
      <c r="B103" s="5">
        <f>DATE(Table1[[#This Row],[Year]],Table1[[#This Row],[Month]],Table1[[#This Row],[Day]])</f>
        <v>44506</v>
      </c>
      <c r="C103" s="3">
        <v>6</v>
      </c>
      <c r="D103" s="3">
        <v>11</v>
      </c>
      <c r="E103" s="3">
        <v>2021</v>
      </c>
      <c r="F103" s="3" t="str">
        <f>"Qtr"&amp; " " &amp;CHOOSE(MONTH(Table1[[#This Row],[Date]]),1,1,1,2,2,2,3,3,3,4,4,4)</f>
        <v>Qtr 4</v>
      </c>
      <c r="G103" s="3" t="str">
        <f>TEXT(Table1[[#This Row],[Date]],"mmmm")</f>
        <v>November</v>
      </c>
      <c r="H103" s="3" t="s">
        <v>1079</v>
      </c>
      <c r="I103" s="3" t="s">
        <v>18</v>
      </c>
      <c r="J103" s="3">
        <v>1</v>
      </c>
      <c r="K103" s="3">
        <v>55140.11</v>
      </c>
      <c r="L103" s="3">
        <f>Table1[[#This Row],[Price Per Unit]]*Table1[[#This Row],[Units Sold]]</f>
        <v>55140.11</v>
      </c>
      <c r="M103" s="3" t="s">
        <v>152</v>
      </c>
      <c r="N103" s="3">
        <v>48</v>
      </c>
      <c r="O103" s="3" t="s">
        <v>15</v>
      </c>
      <c r="P103" s="3" t="s">
        <v>45</v>
      </c>
      <c r="Q103" s="4">
        <v>5</v>
      </c>
      <c r="R103" s="4" t="str">
        <f>IF(Table1[[#This Row],[Customer Ratings]]&gt;=4, "Good",IF(Table1[[#This Row],[Customer Ratings]]=3, "Average","Poor"))</f>
        <v>Good</v>
      </c>
      <c r="S103" s="3" t="s">
        <v>25</v>
      </c>
    </row>
    <row r="104" spans="1:19" x14ac:dyDescent="0.25">
      <c r="A104" s="3">
        <v>103</v>
      </c>
      <c r="B104" s="5">
        <f>DATE(Table1[[#This Row],[Year]],Table1[[#This Row],[Month]],Table1[[#This Row],[Day]])</f>
        <v>44507</v>
      </c>
      <c r="C104" s="3">
        <v>7</v>
      </c>
      <c r="D104" s="3">
        <v>11</v>
      </c>
      <c r="E104" s="3">
        <v>2021</v>
      </c>
      <c r="F104" s="3" t="str">
        <f>"Qtr"&amp; " " &amp;CHOOSE(MONTH(Table1[[#This Row],[Date]]),1,1,1,2,2,2,3,3,3,4,4,4)</f>
        <v>Qtr 4</v>
      </c>
      <c r="G104" s="3" t="str">
        <f>TEXT(Table1[[#This Row],[Date]],"mmmm")</f>
        <v>November</v>
      </c>
      <c r="H104" s="3" t="s">
        <v>1080</v>
      </c>
      <c r="I104" s="3" t="s">
        <v>18</v>
      </c>
      <c r="J104" s="3">
        <v>3</v>
      </c>
      <c r="K104" s="3">
        <v>64695.47</v>
      </c>
      <c r="L104" s="3">
        <f>Table1[[#This Row],[Price Per Unit]]*Table1[[#This Row],[Units Sold]]</f>
        <v>194086.41</v>
      </c>
      <c r="M104" s="3" t="s">
        <v>153</v>
      </c>
      <c r="N104" s="3">
        <v>44</v>
      </c>
      <c r="O104" s="3" t="s">
        <v>41</v>
      </c>
      <c r="P104" s="3" t="s">
        <v>16</v>
      </c>
      <c r="Q104" s="4">
        <v>3</v>
      </c>
      <c r="R104" s="4" t="str">
        <f>IF(Table1[[#This Row],[Customer Ratings]]&gt;=4, "Good",IF(Table1[[#This Row],[Customer Ratings]]=3, "Average","Poor"))</f>
        <v>Average</v>
      </c>
      <c r="S104" s="3" t="s">
        <v>22</v>
      </c>
    </row>
    <row r="105" spans="1:19" x14ac:dyDescent="0.25">
      <c r="A105" s="3">
        <v>104</v>
      </c>
      <c r="B105" s="5">
        <f>DATE(Table1[[#This Row],[Year]],Table1[[#This Row],[Month]],Table1[[#This Row],[Day]])</f>
        <v>44507</v>
      </c>
      <c r="C105" s="3">
        <v>7</v>
      </c>
      <c r="D105" s="3">
        <v>11</v>
      </c>
      <c r="E105" s="3">
        <v>2021</v>
      </c>
      <c r="F105" s="3" t="str">
        <f>"Qtr"&amp; " " &amp;CHOOSE(MONTH(Table1[[#This Row],[Date]]),1,1,1,2,2,2,3,3,3,4,4,4)</f>
        <v>Qtr 4</v>
      </c>
      <c r="G105" s="3" t="str">
        <f>TEXT(Table1[[#This Row],[Date]],"mmmm")</f>
        <v>November</v>
      </c>
      <c r="H105" s="3" t="s">
        <v>1080</v>
      </c>
      <c r="I105" s="3" t="s">
        <v>28</v>
      </c>
      <c r="J105" s="3">
        <v>3</v>
      </c>
      <c r="K105" s="3">
        <v>43247.57</v>
      </c>
      <c r="L105" s="3">
        <f>Table1[[#This Row],[Price Per Unit]]*Table1[[#This Row],[Units Sold]]</f>
        <v>129742.70999999999</v>
      </c>
      <c r="M105" s="3" t="s">
        <v>154</v>
      </c>
      <c r="N105" s="3">
        <v>44</v>
      </c>
      <c r="O105" s="3" t="s">
        <v>30</v>
      </c>
      <c r="P105" s="3" t="s">
        <v>21</v>
      </c>
      <c r="Q105" s="4">
        <v>5</v>
      </c>
      <c r="R105" s="4" t="str">
        <f>IF(Table1[[#This Row],[Customer Ratings]]&gt;=4, "Good",IF(Table1[[#This Row],[Customer Ratings]]=3, "Average","Poor"))</f>
        <v>Good</v>
      </c>
      <c r="S105" s="3" t="s">
        <v>32</v>
      </c>
    </row>
    <row r="106" spans="1:19" x14ac:dyDescent="0.25">
      <c r="A106" s="3">
        <v>105</v>
      </c>
      <c r="B106" s="5">
        <f>DATE(Table1[[#This Row],[Year]],Table1[[#This Row],[Month]],Table1[[#This Row],[Day]])</f>
        <v>44507</v>
      </c>
      <c r="C106" s="3">
        <v>7</v>
      </c>
      <c r="D106" s="3">
        <v>11</v>
      </c>
      <c r="E106" s="3">
        <v>2021</v>
      </c>
      <c r="F106" s="3" t="str">
        <f>"Qtr"&amp; " " &amp;CHOOSE(MONTH(Table1[[#This Row],[Date]]),1,1,1,2,2,2,3,3,3,4,4,4)</f>
        <v>Qtr 4</v>
      </c>
      <c r="G106" s="3" t="str">
        <f>TEXT(Table1[[#This Row],[Date]],"mmmm")</f>
        <v>November</v>
      </c>
      <c r="H106" s="3" t="s">
        <v>1080</v>
      </c>
      <c r="I106" s="3" t="s">
        <v>39</v>
      </c>
      <c r="J106" s="3">
        <v>8</v>
      </c>
      <c r="K106" s="3">
        <v>41628.839999999997</v>
      </c>
      <c r="L106" s="3">
        <f>Table1[[#This Row],[Price Per Unit]]*Table1[[#This Row],[Units Sold]]</f>
        <v>333030.71999999997</v>
      </c>
      <c r="M106" s="3" t="s">
        <v>155</v>
      </c>
      <c r="N106" s="3">
        <v>26</v>
      </c>
      <c r="O106" s="3" t="s">
        <v>102</v>
      </c>
      <c r="P106" s="3" t="s">
        <v>31</v>
      </c>
      <c r="Q106" s="4">
        <v>2</v>
      </c>
      <c r="R106" s="4" t="str">
        <f>IF(Table1[[#This Row],[Customer Ratings]]&gt;=4, "Good",IF(Table1[[#This Row],[Customer Ratings]]=3, "Average","Poor"))</f>
        <v>Poor</v>
      </c>
      <c r="S106" s="3" t="s">
        <v>76</v>
      </c>
    </row>
    <row r="107" spans="1:19" x14ac:dyDescent="0.25">
      <c r="A107" s="3">
        <v>106</v>
      </c>
      <c r="B107" s="5">
        <f>DATE(Table1[[#This Row],[Year]],Table1[[#This Row],[Month]],Table1[[#This Row],[Day]])</f>
        <v>44507</v>
      </c>
      <c r="C107" s="3">
        <v>7</v>
      </c>
      <c r="D107" s="3">
        <v>11</v>
      </c>
      <c r="E107" s="3">
        <v>2021</v>
      </c>
      <c r="F107" s="3" t="str">
        <f>"Qtr"&amp; " " &amp;CHOOSE(MONTH(Table1[[#This Row],[Date]]),1,1,1,2,2,2,3,3,3,4,4,4)</f>
        <v>Qtr 4</v>
      </c>
      <c r="G107" s="3" t="str">
        <f>TEXT(Table1[[#This Row],[Date]],"mmmm")</f>
        <v>November</v>
      </c>
      <c r="H107" s="3" t="s">
        <v>1080</v>
      </c>
      <c r="I107" s="3" t="s">
        <v>13</v>
      </c>
      <c r="J107" s="3">
        <v>1</v>
      </c>
      <c r="K107" s="3">
        <v>55837.79</v>
      </c>
      <c r="L107" s="3">
        <f>Table1[[#This Row],[Price Per Unit]]*Table1[[#This Row],[Units Sold]]</f>
        <v>55837.79</v>
      </c>
      <c r="M107" s="3" t="s">
        <v>156</v>
      </c>
      <c r="N107" s="3">
        <v>50</v>
      </c>
      <c r="O107" s="3" t="s">
        <v>24</v>
      </c>
      <c r="P107" s="3" t="s">
        <v>16</v>
      </c>
      <c r="Q107" s="4">
        <v>3</v>
      </c>
      <c r="R107" s="4" t="str">
        <f>IF(Table1[[#This Row],[Customer Ratings]]&gt;=4, "Good",IF(Table1[[#This Row],[Customer Ratings]]=3, "Average","Poor"))</f>
        <v>Average</v>
      </c>
      <c r="S107" s="3" t="s">
        <v>72</v>
      </c>
    </row>
    <row r="108" spans="1:19" x14ac:dyDescent="0.25">
      <c r="A108" s="3">
        <v>107</v>
      </c>
      <c r="B108" s="5">
        <f>DATE(Table1[[#This Row],[Year]],Table1[[#This Row],[Month]],Table1[[#This Row],[Day]])</f>
        <v>44508</v>
      </c>
      <c r="C108" s="3">
        <v>8</v>
      </c>
      <c r="D108" s="3">
        <v>11</v>
      </c>
      <c r="E108" s="3">
        <v>2021</v>
      </c>
      <c r="F108" s="3" t="str">
        <f>"Qtr"&amp; " " &amp;CHOOSE(MONTH(Table1[[#This Row],[Date]]),1,1,1,2,2,2,3,3,3,4,4,4)</f>
        <v>Qtr 4</v>
      </c>
      <c r="G108" s="3" t="str">
        <f>TEXT(Table1[[#This Row],[Date]],"mmmm")</f>
        <v>November</v>
      </c>
      <c r="H108" s="3" t="s">
        <v>1081</v>
      </c>
      <c r="I108" s="3" t="s">
        <v>13</v>
      </c>
      <c r="J108" s="3">
        <v>5</v>
      </c>
      <c r="K108" s="3">
        <v>10304.73</v>
      </c>
      <c r="L108" s="3">
        <f>Table1[[#This Row],[Price Per Unit]]*Table1[[#This Row],[Units Sold]]</f>
        <v>51523.649999999994</v>
      </c>
      <c r="M108" s="3" t="s">
        <v>80</v>
      </c>
      <c r="N108" s="3">
        <v>50</v>
      </c>
      <c r="O108" s="3" t="s">
        <v>120</v>
      </c>
      <c r="P108" s="3" t="s">
        <v>21</v>
      </c>
      <c r="Q108" s="4">
        <v>5</v>
      </c>
      <c r="R108" s="4" t="str">
        <f>IF(Table1[[#This Row],[Customer Ratings]]&gt;=4, "Good",IF(Table1[[#This Row],[Customer Ratings]]=3, "Average","Poor"))</f>
        <v>Good</v>
      </c>
      <c r="S108" s="3" t="s">
        <v>27</v>
      </c>
    </row>
    <row r="109" spans="1:19" x14ac:dyDescent="0.25">
      <c r="A109" s="3">
        <v>108</v>
      </c>
      <c r="B109" s="5">
        <f>DATE(Table1[[#This Row],[Year]],Table1[[#This Row],[Month]],Table1[[#This Row],[Day]])</f>
        <v>44508</v>
      </c>
      <c r="C109" s="3">
        <v>8</v>
      </c>
      <c r="D109" s="3">
        <v>11</v>
      </c>
      <c r="E109" s="3">
        <v>2021</v>
      </c>
      <c r="F109" s="3" t="str">
        <f>"Qtr"&amp; " " &amp;CHOOSE(MONTH(Table1[[#This Row],[Date]]),1,1,1,2,2,2,3,3,3,4,4,4)</f>
        <v>Qtr 4</v>
      </c>
      <c r="G109" s="3" t="str">
        <f>TEXT(Table1[[#This Row],[Date]],"mmmm")</f>
        <v>November</v>
      </c>
      <c r="H109" s="3" t="s">
        <v>1081</v>
      </c>
      <c r="I109" s="3" t="s">
        <v>18</v>
      </c>
      <c r="J109" s="3">
        <v>3</v>
      </c>
      <c r="K109" s="3">
        <v>65065.52</v>
      </c>
      <c r="L109" s="3">
        <f>Table1[[#This Row],[Price Per Unit]]*Table1[[#This Row],[Units Sold]]</f>
        <v>195196.56</v>
      </c>
      <c r="M109" s="3" t="s">
        <v>157</v>
      </c>
      <c r="N109" s="3">
        <v>43</v>
      </c>
      <c r="O109" s="3" t="s">
        <v>20</v>
      </c>
      <c r="P109" s="3" t="s">
        <v>21</v>
      </c>
      <c r="Q109" s="4">
        <v>5</v>
      </c>
      <c r="R109" s="4" t="str">
        <f>IF(Table1[[#This Row],[Customer Ratings]]&gt;=4, "Good",IF(Table1[[#This Row],[Customer Ratings]]=3, "Average","Poor"))</f>
        <v>Good</v>
      </c>
      <c r="S109" s="3" t="s">
        <v>25</v>
      </c>
    </row>
    <row r="110" spans="1:19" x14ac:dyDescent="0.25">
      <c r="A110" s="3">
        <v>109</v>
      </c>
      <c r="B110" s="5">
        <f>DATE(Table1[[#This Row],[Year]],Table1[[#This Row],[Month]],Table1[[#This Row],[Day]])</f>
        <v>44508</v>
      </c>
      <c r="C110" s="3">
        <v>8</v>
      </c>
      <c r="D110" s="3">
        <v>11</v>
      </c>
      <c r="E110" s="3">
        <v>2021</v>
      </c>
      <c r="F110" s="3" t="str">
        <f>"Qtr"&amp; " " &amp;CHOOSE(MONTH(Table1[[#This Row],[Date]]),1,1,1,2,2,2,3,3,3,4,4,4)</f>
        <v>Qtr 4</v>
      </c>
      <c r="G110" s="3" t="str">
        <f>TEXT(Table1[[#This Row],[Date]],"mmmm")</f>
        <v>November</v>
      </c>
      <c r="H110" s="3" t="s">
        <v>1081</v>
      </c>
      <c r="I110" s="3" t="s">
        <v>18</v>
      </c>
      <c r="J110" s="3">
        <v>2</v>
      </c>
      <c r="K110" s="3">
        <v>21846.93</v>
      </c>
      <c r="L110" s="3">
        <f>Table1[[#This Row],[Price Per Unit]]*Table1[[#This Row],[Units Sold]]</f>
        <v>43693.86</v>
      </c>
      <c r="M110" s="3" t="s">
        <v>158</v>
      </c>
      <c r="N110" s="3">
        <v>45</v>
      </c>
      <c r="O110" s="3" t="s">
        <v>78</v>
      </c>
      <c r="P110" s="3" t="s">
        <v>16</v>
      </c>
      <c r="Q110" s="4">
        <v>3</v>
      </c>
      <c r="R110" s="4" t="str">
        <f>IF(Table1[[#This Row],[Customer Ratings]]&gt;=4, "Good",IF(Table1[[#This Row],[Customer Ratings]]=3, "Average","Poor"))</f>
        <v>Average</v>
      </c>
      <c r="S110" s="3" t="s">
        <v>55</v>
      </c>
    </row>
    <row r="111" spans="1:19" x14ac:dyDescent="0.25">
      <c r="A111" s="3">
        <v>110</v>
      </c>
      <c r="B111" s="5">
        <f>DATE(Table1[[#This Row],[Year]],Table1[[#This Row],[Month]],Table1[[#This Row],[Day]])</f>
        <v>44509</v>
      </c>
      <c r="C111" s="3">
        <v>9</v>
      </c>
      <c r="D111" s="3">
        <v>11</v>
      </c>
      <c r="E111" s="3">
        <v>2021</v>
      </c>
      <c r="F111" s="3" t="str">
        <f>"Qtr"&amp; " " &amp;CHOOSE(MONTH(Table1[[#This Row],[Date]]),1,1,1,2,2,2,3,3,3,4,4,4)</f>
        <v>Qtr 4</v>
      </c>
      <c r="G111" s="3" t="str">
        <f>TEXT(Table1[[#This Row],[Date]],"mmmm")</f>
        <v>November</v>
      </c>
      <c r="H111" s="3" t="s">
        <v>1082</v>
      </c>
      <c r="I111" s="3" t="s">
        <v>33</v>
      </c>
      <c r="J111" s="3">
        <v>8</v>
      </c>
      <c r="K111" s="3">
        <v>69047.13</v>
      </c>
      <c r="L111" s="3">
        <f>Table1[[#This Row],[Price Per Unit]]*Table1[[#This Row],[Units Sold]]</f>
        <v>552377.04</v>
      </c>
      <c r="M111" s="3" t="s">
        <v>159</v>
      </c>
      <c r="N111" s="3">
        <v>48</v>
      </c>
      <c r="O111" s="3" t="s">
        <v>30</v>
      </c>
      <c r="P111" s="3" t="s">
        <v>16</v>
      </c>
      <c r="Q111" s="4">
        <v>5</v>
      </c>
      <c r="R111" s="4" t="str">
        <f>IF(Table1[[#This Row],[Customer Ratings]]&gt;=4, "Good",IF(Table1[[#This Row],[Customer Ratings]]=3, "Average","Poor"))</f>
        <v>Good</v>
      </c>
      <c r="S111" s="3" t="s">
        <v>83</v>
      </c>
    </row>
    <row r="112" spans="1:19" x14ac:dyDescent="0.25">
      <c r="A112" s="3">
        <v>111</v>
      </c>
      <c r="B112" s="5">
        <f>DATE(Table1[[#This Row],[Year]],Table1[[#This Row],[Month]],Table1[[#This Row],[Day]])</f>
        <v>44509</v>
      </c>
      <c r="C112" s="3">
        <v>9</v>
      </c>
      <c r="D112" s="3">
        <v>11</v>
      </c>
      <c r="E112" s="3">
        <v>2021</v>
      </c>
      <c r="F112" s="3" t="str">
        <f>"Qtr"&amp; " " &amp;CHOOSE(MONTH(Table1[[#This Row],[Date]]),1,1,1,2,2,2,3,3,3,4,4,4)</f>
        <v>Qtr 4</v>
      </c>
      <c r="G112" s="3" t="str">
        <f>TEXT(Table1[[#This Row],[Date]],"mmmm")</f>
        <v>November</v>
      </c>
      <c r="H112" s="3" t="s">
        <v>1082</v>
      </c>
      <c r="I112" s="3" t="s">
        <v>39</v>
      </c>
      <c r="J112" s="3">
        <v>3</v>
      </c>
      <c r="K112" s="3">
        <v>54175.24</v>
      </c>
      <c r="L112" s="3">
        <f>Table1[[#This Row],[Price Per Unit]]*Table1[[#This Row],[Units Sold]]</f>
        <v>162525.72</v>
      </c>
      <c r="M112" s="3" t="s">
        <v>160</v>
      </c>
      <c r="N112" s="3">
        <v>18</v>
      </c>
      <c r="O112" s="3" t="s">
        <v>98</v>
      </c>
      <c r="P112" s="3" t="s">
        <v>31</v>
      </c>
      <c r="Q112" s="4">
        <v>3</v>
      </c>
      <c r="R112" s="4" t="str">
        <f>IF(Table1[[#This Row],[Customer Ratings]]&gt;=4, "Good",IF(Table1[[#This Row],[Customer Ratings]]=3, "Average","Poor"))</f>
        <v>Average</v>
      </c>
      <c r="S112" s="3" t="s">
        <v>90</v>
      </c>
    </row>
    <row r="113" spans="1:19" x14ac:dyDescent="0.25">
      <c r="A113" s="3">
        <v>112</v>
      </c>
      <c r="B113" s="5">
        <f>DATE(Table1[[#This Row],[Year]],Table1[[#This Row],[Month]],Table1[[#This Row],[Day]])</f>
        <v>44509</v>
      </c>
      <c r="C113" s="3">
        <v>9</v>
      </c>
      <c r="D113" s="3">
        <v>11</v>
      </c>
      <c r="E113" s="3">
        <v>2021</v>
      </c>
      <c r="F113" s="3" t="str">
        <f>"Qtr"&amp; " " &amp;CHOOSE(MONTH(Table1[[#This Row],[Date]]),1,1,1,2,2,2,3,3,3,4,4,4)</f>
        <v>Qtr 4</v>
      </c>
      <c r="G113" s="3" t="str">
        <f>TEXT(Table1[[#This Row],[Date]],"mmmm")</f>
        <v>November</v>
      </c>
      <c r="H113" s="3" t="s">
        <v>1082</v>
      </c>
      <c r="I113" s="3" t="s">
        <v>28</v>
      </c>
      <c r="J113" s="3">
        <v>7</v>
      </c>
      <c r="K113" s="3">
        <v>56455.07</v>
      </c>
      <c r="L113" s="3">
        <f>Table1[[#This Row],[Price Per Unit]]*Table1[[#This Row],[Units Sold]]</f>
        <v>395185.49</v>
      </c>
      <c r="M113" s="3" t="s">
        <v>161</v>
      </c>
      <c r="N113" s="3">
        <v>37</v>
      </c>
      <c r="O113" s="3" t="s">
        <v>30</v>
      </c>
      <c r="P113" s="3" t="s">
        <v>31</v>
      </c>
      <c r="Q113" s="4">
        <v>5</v>
      </c>
      <c r="R113" s="4" t="str">
        <f>IF(Table1[[#This Row],[Customer Ratings]]&gt;=4, "Good",IF(Table1[[#This Row],[Customer Ratings]]=3, "Average","Poor"))</f>
        <v>Good</v>
      </c>
      <c r="S113" s="3" t="s">
        <v>87</v>
      </c>
    </row>
    <row r="114" spans="1:19" x14ac:dyDescent="0.25">
      <c r="A114" s="3">
        <v>113</v>
      </c>
      <c r="B114" s="5">
        <f>DATE(Table1[[#This Row],[Year]],Table1[[#This Row],[Month]],Table1[[#This Row],[Day]])</f>
        <v>44510</v>
      </c>
      <c r="C114" s="3">
        <v>10</v>
      </c>
      <c r="D114" s="3">
        <v>11</v>
      </c>
      <c r="E114" s="3">
        <v>2021</v>
      </c>
      <c r="F114" s="3" t="str">
        <f>"Qtr"&amp; " " &amp;CHOOSE(MONTH(Table1[[#This Row],[Date]]),1,1,1,2,2,2,3,3,3,4,4,4)</f>
        <v>Qtr 4</v>
      </c>
      <c r="G114" s="3" t="str">
        <f>TEXT(Table1[[#This Row],[Date]],"mmmm")</f>
        <v>November</v>
      </c>
      <c r="H114" s="3" t="s">
        <v>1083</v>
      </c>
      <c r="I114" s="3" t="s">
        <v>13</v>
      </c>
      <c r="J114" s="3">
        <v>1</v>
      </c>
      <c r="K114" s="3">
        <v>49372.18</v>
      </c>
      <c r="L114" s="3">
        <f>Table1[[#This Row],[Price Per Unit]]*Table1[[#This Row],[Units Sold]]</f>
        <v>49372.18</v>
      </c>
      <c r="M114" s="3" t="s">
        <v>146</v>
      </c>
      <c r="N114" s="3">
        <v>29</v>
      </c>
      <c r="O114" s="3" t="s">
        <v>20</v>
      </c>
      <c r="P114" s="3" t="s">
        <v>45</v>
      </c>
      <c r="Q114" s="4">
        <v>3</v>
      </c>
      <c r="R114" s="4" t="str">
        <f>IF(Table1[[#This Row],[Customer Ratings]]&gt;=4, "Good",IF(Table1[[#This Row],[Customer Ratings]]=3, "Average","Poor"))</f>
        <v>Average</v>
      </c>
      <c r="S114" s="3" t="s">
        <v>72</v>
      </c>
    </row>
    <row r="115" spans="1:19" x14ac:dyDescent="0.25">
      <c r="A115" s="3">
        <v>114</v>
      </c>
      <c r="B115" s="5">
        <f>DATE(Table1[[#This Row],[Year]],Table1[[#This Row],[Month]],Table1[[#This Row],[Day]])</f>
        <v>44510</v>
      </c>
      <c r="C115" s="3">
        <v>10</v>
      </c>
      <c r="D115" s="3">
        <v>11</v>
      </c>
      <c r="E115" s="3">
        <v>2021</v>
      </c>
      <c r="F115" s="3" t="str">
        <f>"Qtr"&amp; " " &amp;CHOOSE(MONTH(Table1[[#This Row],[Date]]),1,1,1,2,2,2,3,3,3,4,4,4)</f>
        <v>Qtr 4</v>
      </c>
      <c r="G115" s="3" t="str">
        <f>TEXT(Table1[[#This Row],[Date]],"mmmm")</f>
        <v>November</v>
      </c>
      <c r="H115" s="3" t="s">
        <v>1083</v>
      </c>
      <c r="I115" s="3" t="s">
        <v>33</v>
      </c>
      <c r="J115" s="3">
        <v>6</v>
      </c>
      <c r="K115" s="3">
        <v>38299.79</v>
      </c>
      <c r="L115" s="3">
        <f>Table1[[#This Row],[Price Per Unit]]*Table1[[#This Row],[Units Sold]]</f>
        <v>229798.74</v>
      </c>
      <c r="M115" s="3" t="s">
        <v>70</v>
      </c>
      <c r="N115" s="3">
        <v>34</v>
      </c>
      <c r="O115" s="3" t="s">
        <v>81</v>
      </c>
      <c r="P115" s="3" t="s">
        <v>31</v>
      </c>
      <c r="Q115" s="4">
        <v>5</v>
      </c>
      <c r="R115" s="4" t="str">
        <f>IF(Table1[[#This Row],[Customer Ratings]]&gt;=4, "Good",IF(Table1[[#This Row],[Customer Ratings]]=3, "Average","Poor"))</f>
        <v>Good</v>
      </c>
      <c r="S115" s="3" t="s">
        <v>36</v>
      </c>
    </row>
    <row r="116" spans="1:19" x14ac:dyDescent="0.25">
      <c r="A116" s="3">
        <v>115</v>
      </c>
      <c r="B116" s="5">
        <f>DATE(Table1[[#This Row],[Year]],Table1[[#This Row],[Month]],Table1[[#This Row],[Day]])</f>
        <v>44510</v>
      </c>
      <c r="C116" s="3">
        <v>10</v>
      </c>
      <c r="D116" s="3">
        <v>11</v>
      </c>
      <c r="E116" s="3">
        <v>2021</v>
      </c>
      <c r="F116" s="3" t="str">
        <f>"Qtr"&amp; " " &amp;CHOOSE(MONTH(Table1[[#This Row],[Date]]),1,1,1,2,2,2,3,3,3,4,4,4)</f>
        <v>Qtr 4</v>
      </c>
      <c r="G116" s="3" t="str">
        <f>TEXT(Table1[[#This Row],[Date]],"mmmm")</f>
        <v>November</v>
      </c>
      <c r="H116" s="3" t="s">
        <v>1083</v>
      </c>
      <c r="I116" s="3" t="s">
        <v>33</v>
      </c>
      <c r="J116" s="3">
        <v>3</v>
      </c>
      <c r="K116" s="3">
        <v>44297.66</v>
      </c>
      <c r="L116" s="3">
        <f>Table1[[#This Row],[Price Per Unit]]*Table1[[#This Row],[Units Sold]]</f>
        <v>132892.98000000001</v>
      </c>
      <c r="M116" s="3" t="s">
        <v>162</v>
      </c>
      <c r="N116" s="3">
        <v>32</v>
      </c>
      <c r="O116" s="3" t="s">
        <v>24</v>
      </c>
      <c r="P116" s="3" t="s">
        <v>16</v>
      </c>
      <c r="Q116" s="4">
        <v>4</v>
      </c>
      <c r="R116" s="4" t="str">
        <f>IF(Table1[[#This Row],[Customer Ratings]]&gt;=4, "Good",IF(Table1[[#This Row],[Customer Ratings]]=3, "Average","Poor"))</f>
        <v>Good</v>
      </c>
      <c r="S116" s="3" t="s">
        <v>83</v>
      </c>
    </row>
    <row r="117" spans="1:19" x14ac:dyDescent="0.25">
      <c r="A117" s="3">
        <v>116</v>
      </c>
      <c r="B117" s="5">
        <f>DATE(Table1[[#This Row],[Year]],Table1[[#This Row],[Month]],Table1[[#This Row],[Day]])</f>
        <v>44510</v>
      </c>
      <c r="C117" s="3">
        <v>10</v>
      </c>
      <c r="D117" s="3">
        <v>11</v>
      </c>
      <c r="E117" s="3">
        <v>2021</v>
      </c>
      <c r="F117" s="3" t="str">
        <f>"Qtr"&amp; " " &amp;CHOOSE(MONTH(Table1[[#This Row],[Date]]),1,1,1,2,2,2,3,3,3,4,4,4)</f>
        <v>Qtr 4</v>
      </c>
      <c r="G117" s="3" t="str">
        <f>TEXT(Table1[[#This Row],[Date]],"mmmm")</f>
        <v>November</v>
      </c>
      <c r="H117" s="3" t="s">
        <v>1083</v>
      </c>
      <c r="I117" s="3" t="s">
        <v>13</v>
      </c>
      <c r="J117" s="3">
        <v>8</v>
      </c>
      <c r="K117" s="3">
        <v>12784.17</v>
      </c>
      <c r="L117" s="3">
        <f>Table1[[#This Row],[Price Per Unit]]*Table1[[#This Row],[Units Sold]]</f>
        <v>102273.36</v>
      </c>
      <c r="M117" s="3" t="s">
        <v>163</v>
      </c>
      <c r="N117" s="3">
        <v>51</v>
      </c>
      <c r="O117" s="3" t="s">
        <v>20</v>
      </c>
      <c r="P117" s="3" t="s">
        <v>45</v>
      </c>
      <c r="Q117" s="4">
        <v>3</v>
      </c>
      <c r="R117" s="4" t="str">
        <f>IF(Table1[[#This Row],[Customer Ratings]]&gt;=4, "Good",IF(Table1[[#This Row],[Customer Ratings]]=3, "Average","Poor"))</f>
        <v>Average</v>
      </c>
      <c r="S117" s="3" t="s">
        <v>17</v>
      </c>
    </row>
    <row r="118" spans="1:19" x14ac:dyDescent="0.25">
      <c r="A118" s="3">
        <v>117</v>
      </c>
      <c r="B118" s="5">
        <f>DATE(Table1[[#This Row],[Year]],Table1[[#This Row],[Month]],Table1[[#This Row],[Day]])</f>
        <v>44511</v>
      </c>
      <c r="C118" s="3">
        <v>11</v>
      </c>
      <c r="D118" s="3">
        <v>11</v>
      </c>
      <c r="E118" s="3">
        <v>2021</v>
      </c>
      <c r="F118" s="3" t="str">
        <f>"Qtr"&amp; " " &amp;CHOOSE(MONTH(Table1[[#This Row],[Date]]),1,1,1,2,2,2,3,3,3,4,4,4)</f>
        <v>Qtr 4</v>
      </c>
      <c r="G118" s="3" t="str">
        <f>TEXT(Table1[[#This Row],[Date]],"mmmm")</f>
        <v>November</v>
      </c>
      <c r="H118" s="3" t="s">
        <v>1084</v>
      </c>
      <c r="I118" s="3" t="s">
        <v>28</v>
      </c>
      <c r="J118" s="3">
        <v>6</v>
      </c>
      <c r="K118" s="3">
        <v>47437.57</v>
      </c>
      <c r="L118" s="3">
        <f>Table1[[#This Row],[Price Per Unit]]*Table1[[#This Row],[Units Sold]]</f>
        <v>284625.42</v>
      </c>
      <c r="M118" s="3" t="s">
        <v>164</v>
      </c>
      <c r="N118" s="3">
        <v>33</v>
      </c>
      <c r="O118" s="3" t="s">
        <v>20</v>
      </c>
      <c r="P118" s="3" t="s">
        <v>21</v>
      </c>
      <c r="Q118" s="4">
        <v>5</v>
      </c>
      <c r="R118" s="4" t="str">
        <f>IF(Table1[[#This Row],[Customer Ratings]]&gt;=4, "Good",IF(Table1[[#This Row],[Customer Ratings]]=3, "Average","Poor"))</f>
        <v>Good</v>
      </c>
      <c r="S118" s="3" t="s">
        <v>38</v>
      </c>
    </row>
    <row r="119" spans="1:19" x14ac:dyDescent="0.25">
      <c r="A119" s="3">
        <v>118</v>
      </c>
      <c r="B119" s="5">
        <f>DATE(Table1[[#This Row],[Year]],Table1[[#This Row],[Month]],Table1[[#This Row],[Day]])</f>
        <v>44511</v>
      </c>
      <c r="C119" s="3">
        <v>11</v>
      </c>
      <c r="D119" s="3">
        <v>11</v>
      </c>
      <c r="E119" s="3">
        <v>2021</v>
      </c>
      <c r="F119" s="3" t="str">
        <f>"Qtr"&amp; " " &amp;CHOOSE(MONTH(Table1[[#This Row],[Date]]),1,1,1,2,2,2,3,3,3,4,4,4)</f>
        <v>Qtr 4</v>
      </c>
      <c r="G119" s="3" t="str">
        <f>TEXT(Table1[[#This Row],[Date]],"mmmm")</f>
        <v>November</v>
      </c>
      <c r="H119" s="3" t="s">
        <v>1084</v>
      </c>
      <c r="I119" s="3" t="s">
        <v>33</v>
      </c>
      <c r="J119" s="3">
        <v>2</v>
      </c>
      <c r="K119" s="3">
        <v>47565.89</v>
      </c>
      <c r="L119" s="3">
        <f>Table1[[#This Row],[Price Per Unit]]*Table1[[#This Row],[Units Sold]]</f>
        <v>95131.78</v>
      </c>
      <c r="M119" s="3" t="s">
        <v>165</v>
      </c>
      <c r="N119" s="3">
        <v>21</v>
      </c>
      <c r="O119" s="3" t="s">
        <v>20</v>
      </c>
      <c r="P119" s="3" t="s">
        <v>21</v>
      </c>
      <c r="Q119" s="4">
        <v>3</v>
      </c>
      <c r="R119" s="4" t="str">
        <f>IF(Table1[[#This Row],[Customer Ratings]]&gt;=4, "Good",IF(Table1[[#This Row],[Customer Ratings]]=3, "Average","Poor"))</f>
        <v>Average</v>
      </c>
      <c r="S119" s="3" t="s">
        <v>83</v>
      </c>
    </row>
    <row r="120" spans="1:19" x14ac:dyDescent="0.25">
      <c r="A120" s="3">
        <v>119</v>
      </c>
      <c r="B120" s="5">
        <f>DATE(Table1[[#This Row],[Year]],Table1[[#This Row],[Month]],Table1[[#This Row],[Day]])</f>
        <v>44511</v>
      </c>
      <c r="C120" s="3">
        <v>11</v>
      </c>
      <c r="D120" s="3">
        <v>11</v>
      </c>
      <c r="E120" s="3">
        <v>2021</v>
      </c>
      <c r="F120" s="3" t="str">
        <f>"Qtr"&amp; " " &amp;CHOOSE(MONTH(Table1[[#This Row],[Date]]),1,1,1,2,2,2,3,3,3,4,4,4)</f>
        <v>Qtr 4</v>
      </c>
      <c r="G120" s="3" t="str">
        <f>TEXT(Table1[[#This Row],[Date]],"mmmm")</f>
        <v>November</v>
      </c>
      <c r="H120" s="3" t="s">
        <v>1084</v>
      </c>
      <c r="I120" s="3" t="s">
        <v>33</v>
      </c>
      <c r="J120" s="3">
        <v>6</v>
      </c>
      <c r="K120" s="3">
        <v>63472.05</v>
      </c>
      <c r="L120" s="3">
        <f>Table1[[#This Row],[Price Per Unit]]*Table1[[#This Row],[Units Sold]]</f>
        <v>380832.30000000005</v>
      </c>
      <c r="M120" s="3" t="s">
        <v>166</v>
      </c>
      <c r="N120" s="3">
        <v>25</v>
      </c>
      <c r="O120" s="3" t="s">
        <v>30</v>
      </c>
      <c r="P120" s="3" t="s">
        <v>16</v>
      </c>
      <c r="Q120" s="4">
        <v>5</v>
      </c>
      <c r="R120" s="4" t="str">
        <f>IF(Table1[[#This Row],[Customer Ratings]]&gt;=4, "Good",IF(Table1[[#This Row],[Customer Ratings]]=3, "Average","Poor"))</f>
        <v>Good</v>
      </c>
      <c r="S120" s="3" t="s">
        <v>36</v>
      </c>
    </row>
    <row r="121" spans="1:19" x14ac:dyDescent="0.25">
      <c r="A121" s="3">
        <v>120</v>
      </c>
      <c r="B121" s="5">
        <f>DATE(Table1[[#This Row],[Year]],Table1[[#This Row],[Month]],Table1[[#This Row],[Day]])</f>
        <v>44511</v>
      </c>
      <c r="C121" s="3">
        <v>11</v>
      </c>
      <c r="D121" s="3">
        <v>11</v>
      </c>
      <c r="E121" s="3">
        <v>2021</v>
      </c>
      <c r="F121" s="3" t="str">
        <f>"Qtr"&amp; " " &amp;CHOOSE(MONTH(Table1[[#This Row],[Date]]),1,1,1,2,2,2,3,3,3,4,4,4)</f>
        <v>Qtr 4</v>
      </c>
      <c r="G121" s="3" t="str">
        <f>TEXT(Table1[[#This Row],[Date]],"mmmm")</f>
        <v>November</v>
      </c>
      <c r="H121" s="3" t="s">
        <v>1084</v>
      </c>
      <c r="I121" s="3" t="s">
        <v>39</v>
      </c>
      <c r="J121" s="3">
        <v>7</v>
      </c>
      <c r="K121" s="3">
        <v>40339.379999999997</v>
      </c>
      <c r="L121" s="3">
        <f>Table1[[#This Row],[Price Per Unit]]*Table1[[#This Row],[Units Sold]]</f>
        <v>282375.65999999997</v>
      </c>
      <c r="M121" s="3" t="s">
        <v>167</v>
      </c>
      <c r="N121" s="3">
        <v>51</v>
      </c>
      <c r="O121" s="3" t="s">
        <v>54</v>
      </c>
      <c r="P121" s="3" t="s">
        <v>45</v>
      </c>
      <c r="Q121" s="4">
        <v>2</v>
      </c>
      <c r="R121" s="4" t="str">
        <f>IF(Table1[[#This Row],[Customer Ratings]]&gt;=4, "Good",IF(Table1[[#This Row],[Customer Ratings]]=3, "Average","Poor"))</f>
        <v>Poor</v>
      </c>
      <c r="S121" s="3" t="s">
        <v>76</v>
      </c>
    </row>
    <row r="122" spans="1:19" x14ac:dyDescent="0.25">
      <c r="A122" s="3">
        <v>121</v>
      </c>
      <c r="B122" s="5">
        <f>DATE(Table1[[#This Row],[Year]],Table1[[#This Row],[Month]],Table1[[#This Row],[Day]])</f>
        <v>44512</v>
      </c>
      <c r="C122" s="3">
        <v>12</v>
      </c>
      <c r="D122" s="3">
        <v>11</v>
      </c>
      <c r="E122" s="3">
        <v>2021</v>
      </c>
      <c r="F122" s="3" t="str">
        <f>"Qtr"&amp; " " &amp;CHOOSE(MONTH(Table1[[#This Row],[Date]]),1,1,1,2,2,2,3,3,3,4,4,4)</f>
        <v>Qtr 4</v>
      </c>
      <c r="G122" s="3" t="str">
        <f>TEXT(Table1[[#This Row],[Date]],"mmmm")</f>
        <v>November</v>
      </c>
      <c r="H122" s="3" t="s">
        <v>1085</v>
      </c>
      <c r="I122" s="3" t="s">
        <v>28</v>
      </c>
      <c r="J122" s="3">
        <v>5</v>
      </c>
      <c r="K122" s="3">
        <v>14628.66</v>
      </c>
      <c r="L122" s="3">
        <f>Table1[[#This Row],[Price Per Unit]]*Table1[[#This Row],[Units Sold]]</f>
        <v>73143.3</v>
      </c>
      <c r="M122" s="3" t="s">
        <v>168</v>
      </c>
      <c r="N122" s="3">
        <v>42</v>
      </c>
      <c r="O122" s="3" t="s">
        <v>65</v>
      </c>
      <c r="P122" s="3" t="s">
        <v>45</v>
      </c>
      <c r="Q122" s="4">
        <v>3</v>
      </c>
      <c r="R122" s="4" t="str">
        <f>IF(Table1[[#This Row],[Customer Ratings]]&gt;=4, "Good",IF(Table1[[#This Row],[Customer Ratings]]=3, "Average","Poor"))</f>
        <v>Average</v>
      </c>
      <c r="S122" s="3" t="s">
        <v>38</v>
      </c>
    </row>
    <row r="123" spans="1:19" x14ac:dyDescent="0.25">
      <c r="A123" s="3">
        <v>122</v>
      </c>
      <c r="B123" s="5">
        <f>DATE(Table1[[#This Row],[Year]],Table1[[#This Row],[Month]],Table1[[#This Row],[Day]])</f>
        <v>44512</v>
      </c>
      <c r="C123" s="3">
        <v>12</v>
      </c>
      <c r="D123" s="3">
        <v>11</v>
      </c>
      <c r="E123" s="3">
        <v>2021</v>
      </c>
      <c r="F123" s="3" t="str">
        <f>"Qtr"&amp; " " &amp;CHOOSE(MONTH(Table1[[#This Row],[Date]]),1,1,1,2,2,2,3,3,3,4,4,4)</f>
        <v>Qtr 4</v>
      </c>
      <c r="G123" s="3" t="str">
        <f>TEXT(Table1[[#This Row],[Date]],"mmmm")</f>
        <v>November</v>
      </c>
      <c r="H123" s="3" t="s">
        <v>1085</v>
      </c>
      <c r="I123" s="3" t="s">
        <v>33</v>
      </c>
      <c r="J123" s="3">
        <v>3</v>
      </c>
      <c r="K123" s="3">
        <v>28371.759999999998</v>
      </c>
      <c r="L123" s="3">
        <f>Table1[[#This Row],[Price Per Unit]]*Table1[[#This Row],[Units Sold]]</f>
        <v>85115.28</v>
      </c>
      <c r="M123" s="3" t="s">
        <v>169</v>
      </c>
      <c r="N123" s="3">
        <v>32</v>
      </c>
      <c r="O123" s="3" t="s">
        <v>52</v>
      </c>
      <c r="P123" s="3" t="s">
        <v>31</v>
      </c>
      <c r="Q123" s="4">
        <v>5</v>
      </c>
      <c r="R123" s="4" t="str">
        <f>IF(Table1[[#This Row],[Customer Ratings]]&gt;=4, "Good",IF(Table1[[#This Row],[Customer Ratings]]=3, "Average","Poor"))</f>
        <v>Good</v>
      </c>
      <c r="S123" s="3" t="s">
        <v>46</v>
      </c>
    </row>
    <row r="124" spans="1:19" x14ac:dyDescent="0.25">
      <c r="A124" s="3">
        <v>123</v>
      </c>
      <c r="B124" s="5">
        <f>DATE(Table1[[#This Row],[Year]],Table1[[#This Row],[Month]],Table1[[#This Row],[Day]])</f>
        <v>44512</v>
      </c>
      <c r="C124" s="3">
        <v>12</v>
      </c>
      <c r="D124" s="3">
        <v>11</v>
      </c>
      <c r="E124" s="3">
        <v>2021</v>
      </c>
      <c r="F124" s="3" t="str">
        <f>"Qtr"&amp; " " &amp;CHOOSE(MONTH(Table1[[#This Row],[Date]]),1,1,1,2,2,2,3,3,3,4,4,4)</f>
        <v>Qtr 4</v>
      </c>
      <c r="G124" s="3" t="str">
        <f>TEXT(Table1[[#This Row],[Date]],"mmmm")</f>
        <v>November</v>
      </c>
      <c r="H124" s="3" t="s">
        <v>1085</v>
      </c>
      <c r="I124" s="3" t="s">
        <v>28</v>
      </c>
      <c r="J124" s="3">
        <v>4</v>
      </c>
      <c r="K124" s="3">
        <v>49337.760000000002</v>
      </c>
      <c r="L124" s="3">
        <f>Table1[[#This Row],[Price Per Unit]]*Table1[[#This Row],[Units Sold]]</f>
        <v>197351.04000000001</v>
      </c>
      <c r="M124" s="3" t="s">
        <v>170</v>
      </c>
      <c r="N124" s="3">
        <v>45</v>
      </c>
      <c r="O124" s="3" t="s">
        <v>24</v>
      </c>
      <c r="P124" s="3" t="s">
        <v>21</v>
      </c>
      <c r="Q124" s="4">
        <v>5</v>
      </c>
      <c r="R124" s="4" t="str">
        <f>IF(Table1[[#This Row],[Customer Ratings]]&gt;=4, "Good",IF(Table1[[#This Row],[Customer Ratings]]=3, "Average","Poor"))</f>
        <v>Good</v>
      </c>
      <c r="S124" s="3" t="s">
        <v>87</v>
      </c>
    </row>
    <row r="125" spans="1:19" x14ac:dyDescent="0.25">
      <c r="A125" s="3">
        <v>124</v>
      </c>
      <c r="B125" s="5">
        <f>DATE(Table1[[#This Row],[Year]],Table1[[#This Row],[Month]],Table1[[#This Row],[Day]])</f>
        <v>44512</v>
      </c>
      <c r="C125" s="3">
        <v>12</v>
      </c>
      <c r="D125" s="3">
        <v>11</v>
      </c>
      <c r="E125" s="3">
        <v>2021</v>
      </c>
      <c r="F125" s="3" t="str">
        <f>"Qtr"&amp; " " &amp;CHOOSE(MONTH(Table1[[#This Row],[Date]]),1,1,1,2,2,2,3,3,3,4,4,4)</f>
        <v>Qtr 4</v>
      </c>
      <c r="G125" s="3" t="str">
        <f>TEXT(Table1[[#This Row],[Date]],"mmmm")</f>
        <v>November</v>
      </c>
      <c r="H125" s="3" t="s">
        <v>1085</v>
      </c>
      <c r="I125" s="3" t="s">
        <v>13</v>
      </c>
      <c r="J125" s="3">
        <v>4</v>
      </c>
      <c r="K125" s="3">
        <v>24355.53</v>
      </c>
      <c r="L125" s="3">
        <f>Table1[[#This Row],[Price Per Unit]]*Table1[[#This Row],[Units Sold]]</f>
        <v>97422.12</v>
      </c>
      <c r="M125" s="3" t="s">
        <v>171</v>
      </c>
      <c r="N125" s="3">
        <v>26</v>
      </c>
      <c r="O125" s="3" t="s">
        <v>20</v>
      </c>
      <c r="P125" s="3" t="s">
        <v>21</v>
      </c>
      <c r="Q125" s="4">
        <v>2</v>
      </c>
      <c r="R125" s="4" t="str">
        <f>IF(Table1[[#This Row],[Customer Ratings]]&gt;=4, "Good",IF(Table1[[#This Row],[Customer Ratings]]=3, "Average","Poor"))</f>
        <v>Poor</v>
      </c>
      <c r="S125" s="3" t="s">
        <v>72</v>
      </c>
    </row>
    <row r="126" spans="1:19" x14ac:dyDescent="0.25">
      <c r="A126" s="3">
        <v>125</v>
      </c>
      <c r="B126" s="5">
        <f>DATE(Table1[[#This Row],[Year]],Table1[[#This Row],[Month]],Table1[[#This Row],[Day]])</f>
        <v>44513</v>
      </c>
      <c r="C126" s="3">
        <v>13</v>
      </c>
      <c r="D126" s="3">
        <v>11</v>
      </c>
      <c r="E126" s="3">
        <v>2021</v>
      </c>
      <c r="F126" s="3" t="str">
        <f>"Qtr"&amp; " " &amp;CHOOSE(MONTH(Table1[[#This Row],[Date]]),1,1,1,2,2,2,3,3,3,4,4,4)</f>
        <v>Qtr 4</v>
      </c>
      <c r="G126" s="3" t="str">
        <f>TEXT(Table1[[#This Row],[Date]],"mmmm")</f>
        <v>November</v>
      </c>
      <c r="H126" s="3" t="s">
        <v>1079</v>
      </c>
      <c r="I126" s="3" t="s">
        <v>18</v>
      </c>
      <c r="J126" s="3">
        <v>6</v>
      </c>
      <c r="K126" s="3">
        <v>26831.67</v>
      </c>
      <c r="L126" s="3">
        <f>Table1[[#This Row],[Price Per Unit]]*Table1[[#This Row],[Units Sold]]</f>
        <v>160990.01999999999</v>
      </c>
      <c r="M126" s="3" t="s">
        <v>172</v>
      </c>
      <c r="N126" s="3">
        <v>19</v>
      </c>
      <c r="O126" s="3" t="s">
        <v>20</v>
      </c>
      <c r="P126" s="3" t="s">
        <v>31</v>
      </c>
      <c r="Q126" s="4">
        <v>3</v>
      </c>
      <c r="R126" s="4" t="str">
        <f>IF(Table1[[#This Row],[Customer Ratings]]&gt;=4, "Good",IF(Table1[[#This Row],[Customer Ratings]]=3, "Average","Poor"))</f>
        <v>Average</v>
      </c>
      <c r="S126" s="3" t="s">
        <v>25</v>
      </c>
    </row>
    <row r="127" spans="1:19" x14ac:dyDescent="0.25">
      <c r="A127" s="3">
        <v>126</v>
      </c>
      <c r="B127" s="5">
        <f>DATE(Table1[[#This Row],[Year]],Table1[[#This Row],[Month]],Table1[[#This Row],[Day]])</f>
        <v>44513</v>
      </c>
      <c r="C127" s="3">
        <v>13</v>
      </c>
      <c r="D127" s="3">
        <v>11</v>
      </c>
      <c r="E127" s="3">
        <v>2021</v>
      </c>
      <c r="F127" s="3" t="str">
        <f>"Qtr"&amp; " " &amp;CHOOSE(MONTH(Table1[[#This Row],[Date]]),1,1,1,2,2,2,3,3,3,4,4,4)</f>
        <v>Qtr 4</v>
      </c>
      <c r="G127" s="3" t="str">
        <f>TEXT(Table1[[#This Row],[Date]],"mmmm")</f>
        <v>November</v>
      </c>
      <c r="H127" s="3" t="s">
        <v>1079</v>
      </c>
      <c r="I127" s="3" t="s">
        <v>33</v>
      </c>
      <c r="J127" s="3">
        <v>1</v>
      </c>
      <c r="K127" s="3">
        <v>59228.14</v>
      </c>
      <c r="L127" s="3">
        <f>Table1[[#This Row],[Price Per Unit]]*Table1[[#This Row],[Units Sold]]</f>
        <v>59228.14</v>
      </c>
      <c r="M127" s="3" t="s">
        <v>173</v>
      </c>
      <c r="N127" s="3">
        <v>34</v>
      </c>
      <c r="O127" s="3" t="s">
        <v>78</v>
      </c>
      <c r="P127" s="3" t="s">
        <v>21</v>
      </c>
      <c r="Q127" s="4">
        <v>4</v>
      </c>
      <c r="R127" s="4" t="str">
        <f>IF(Table1[[#This Row],[Customer Ratings]]&gt;=4, "Good",IF(Table1[[#This Row],[Customer Ratings]]=3, "Average","Poor"))</f>
        <v>Good</v>
      </c>
      <c r="S127" s="3" t="s">
        <v>83</v>
      </c>
    </row>
    <row r="128" spans="1:19" x14ac:dyDescent="0.25">
      <c r="A128" s="3">
        <v>127</v>
      </c>
      <c r="B128" s="5">
        <f>DATE(Table1[[#This Row],[Year]],Table1[[#This Row],[Month]],Table1[[#This Row],[Day]])</f>
        <v>44513</v>
      </c>
      <c r="C128" s="3">
        <v>13</v>
      </c>
      <c r="D128" s="3">
        <v>11</v>
      </c>
      <c r="E128" s="3">
        <v>2021</v>
      </c>
      <c r="F128" s="3" t="str">
        <f>"Qtr"&amp; " " &amp;CHOOSE(MONTH(Table1[[#This Row],[Date]]),1,1,1,2,2,2,3,3,3,4,4,4)</f>
        <v>Qtr 4</v>
      </c>
      <c r="G128" s="3" t="str">
        <f>TEXT(Table1[[#This Row],[Date]],"mmmm")</f>
        <v>November</v>
      </c>
      <c r="H128" s="3" t="s">
        <v>1079</v>
      </c>
      <c r="I128" s="3" t="s">
        <v>39</v>
      </c>
      <c r="J128" s="3">
        <v>4</v>
      </c>
      <c r="K128" s="3">
        <v>45059.18</v>
      </c>
      <c r="L128" s="3">
        <f>Table1[[#This Row],[Price Per Unit]]*Table1[[#This Row],[Units Sold]]</f>
        <v>180236.72</v>
      </c>
      <c r="M128" s="3" t="s">
        <v>174</v>
      </c>
      <c r="N128" s="3">
        <v>27</v>
      </c>
      <c r="O128" s="3" t="s">
        <v>20</v>
      </c>
      <c r="P128" s="3" t="s">
        <v>31</v>
      </c>
      <c r="Q128" s="4">
        <v>5</v>
      </c>
      <c r="R128" s="4" t="str">
        <f>IF(Table1[[#This Row],[Customer Ratings]]&gt;=4, "Good",IF(Table1[[#This Row],[Customer Ratings]]=3, "Average","Poor"))</f>
        <v>Good</v>
      </c>
      <c r="S128" s="3" t="s">
        <v>42</v>
      </c>
    </row>
    <row r="129" spans="1:19" x14ac:dyDescent="0.25">
      <c r="A129" s="3">
        <v>128</v>
      </c>
      <c r="B129" s="5">
        <f>DATE(Table1[[#This Row],[Year]],Table1[[#This Row],[Month]],Table1[[#This Row],[Day]])</f>
        <v>44514</v>
      </c>
      <c r="C129" s="3">
        <v>14</v>
      </c>
      <c r="D129" s="3">
        <v>11</v>
      </c>
      <c r="E129" s="3">
        <v>2021</v>
      </c>
      <c r="F129" s="3" t="str">
        <f>"Qtr"&amp; " " &amp;CHOOSE(MONTH(Table1[[#This Row],[Date]]),1,1,1,2,2,2,3,3,3,4,4,4)</f>
        <v>Qtr 4</v>
      </c>
      <c r="G129" s="3" t="str">
        <f>TEXT(Table1[[#This Row],[Date]],"mmmm")</f>
        <v>November</v>
      </c>
      <c r="H129" s="3" t="s">
        <v>1080</v>
      </c>
      <c r="I129" s="3" t="s">
        <v>13</v>
      </c>
      <c r="J129" s="3">
        <v>4</v>
      </c>
      <c r="K129" s="3">
        <v>40511.65</v>
      </c>
      <c r="L129" s="3">
        <f>Table1[[#This Row],[Price Per Unit]]*Table1[[#This Row],[Units Sold]]</f>
        <v>162046.6</v>
      </c>
      <c r="M129" s="3" t="s">
        <v>175</v>
      </c>
      <c r="N129" s="3">
        <v>26</v>
      </c>
      <c r="O129" s="3" t="s">
        <v>48</v>
      </c>
      <c r="P129" s="3" t="s">
        <v>21</v>
      </c>
      <c r="Q129" s="4">
        <v>5</v>
      </c>
      <c r="R129" s="4" t="str">
        <f>IF(Table1[[#This Row],[Customer Ratings]]&gt;=4, "Good",IF(Table1[[#This Row],[Customer Ratings]]=3, "Average","Poor"))</f>
        <v>Good</v>
      </c>
      <c r="S129" s="3" t="s">
        <v>72</v>
      </c>
    </row>
    <row r="130" spans="1:19" x14ac:dyDescent="0.25">
      <c r="A130" s="3">
        <v>129</v>
      </c>
      <c r="B130" s="5">
        <f>DATE(Table1[[#This Row],[Year]],Table1[[#This Row],[Month]],Table1[[#This Row],[Day]])</f>
        <v>44514</v>
      </c>
      <c r="C130" s="3">
        <v>14</v>
      </c>
      <c r="D130" s="3">
        <v>11</v>
      </c>
      <c r="E130" s="3">
        <v>2021</v>
      </c>
      <c r="F130" s="3" t="str">
        <f>"Qtr"&amp; " " &amp;CHOOSE(MONTH(Table1[[#This Row],[Date]]),1,1,1,2,2,2,3,3,3,4,4,4)</f>
        <v>Qtr 4</v>
      </c>
      <c r="G130" s="3" t="str">
        <f>TEXT(Table1[[#This Row],[Date]],"mmmm")</f>
        <v>November</v>
      </c>
      <c r="H130" s="3" t="s">
        <v>1080</v>
      </c>
      <c r="I130" s="3" t="s">
        <v>28</v>
      </c>
      <c r="J130" s="3">
        <v>1</v>
      </c>
      <c r="K130" s="3">
        <v>29107.119999999999</v>
      </c>
      <c r="L130" s="3">
        <f>Table1[[#This Row],[Price Per Unit]]*Table1[[#This Row],[Units Sold]]</f>
        <v>29107.119999999999</v>
      </c>
      <c r="M130" s="3" t="s">
        <v>75</v>
      </c>
      <c r="N130" s="3">
        <v>48</v>
      </c>
      <c r="O130" s="3" t="s">
        <v>78</v>
      </c>
      <c r="P130" s="3" t="s">
        <v>21</v>
      </c>
      <c r="Q130" s="4">
        <v>5</v>
      </c>
      <c r="R130" s="4" t="str">
        <f>IF(Table1[[#This Row],[Customer Ratings]]&gt;=4, "Good",IF(Table1[[#This Row],[Customer Ratings]]=3, "Average","Poor"))</f>
        <v>Good</v>
      </c>
      <c r="S130" s="3" t="s">
        <v>87</v>
      </c>
    </row>
    <row r="131" spans="1:19" x14ac:dyDescent="0.25">
      <c r="A131" s="3">
        <v>130</v>
      </c>
      <c r="B131" s="5">
        <f>DATE(Table1[[#This Row],[Year]],Table1[[#This Row],[Month]],Table1[[#This Row],[Day]])</f>
        <v>44514</v>
      </c>
      <c r="C131" s="3">
        <v>14</v>
      </c>
      <c r="D131" s="3">
        <v>11</v>
      </c>
      <c r="E131" s="3">
        <v>2021</v>
      </c>
      <c r="F131" s="3" t="str">
        <f>"Qtr"&amp; " " &amp;CHOOSE(MONTH(Table1[[#This Row],[Date]]),1,1,1,2,2,2,3,3,3,4,4,4)</f>
        <v>Qtr 4</v>
      </c>
      <c r="G131" s="3" t="str">
        <f>TEXT(Table1[[#This Row],[Date]],"mmmm")</f>
        <v>November</v>
      </c>
      <c r="H131" s="3" t="s">
        <v>1080</v>
      </c>
      <c r="I131" s="3" t="s">
        <v>13</v>
      </c>
      <c r="J131" s="3">
        <v>9</v>
      </c>
      <c r="K131" s="3">
        <v>53855.68</v>
      </c>
      <c r="L131" s="3">
        <f>Table1[[#This Row],[Price Per Unit]]*Table1[[#This Row],[Units Sold]]</f>
        <v>484701.12</v>
      </c>
      <c r="M131" s="3" t="s">
        <v>176</v>
      </c>
      <c r="N131" s="3">
        <v>19</v>
      </c>
      <c r="O131" s="3" t="s">
        <v>54</v>
      </c>
      <c r="P131" s="3" t="s">
        <v>21</v>
      </c>
      <c r="Q131" s="4">
        <v>5</v>
      </c>
      <c r="R131" s="4" t="str">
        <f>IF(Table1[[#This Row],[Customer Ratings]]&gt;=4, "Good",IF(Table1[[#This Row],[Customer Ratings]]=3, "Average","Poor"))</f>
        <v>Good</v>
      </c>
      <c r="S131" s="3" t="s">
        <v>27</v>
      </c>
    </row>
    <row r="132" spans="1:19" x14ac:dyDescent="0.25">
      <c r="A132" s="3">
        <v>131</v>
      </c>
      <c r="B132" s="5">
        <f>DATE(Table1[[#This Row],[Year]],Table1[[#This Row],[Month]],Table1[[#This Row],[Day]])</f>
        <v>44514</v>
      </c>
      <c r="C132" s="3">
        <v>14</v>
      </c>
      <c r="D132" s="3">
        <v>11</v>
      </c>
      <c r="E132" s="3">
        <v>2021</v>
      </c>
      <c r="F132" s="3" t="str">
        <f>"Qtr"&amp; " " &amp;CHOOSE(MONTH(Table1[[#This Row],[Date]]),1,1,1,2,2,2,3,3,3,4,4,4)</f>
        <v>Qtr 4</v>
      </c>
      <c r="G132" s="3" t="str">
        <f>TEXT(Table1[[#This Row],[Date]],"mmmm")</f>
        <v>November</v>
      </c>
      <c r="H132" s="3" t="s">
        <v>1080</v>
      </c>
      <c r="I132" s="3" t="s">
        <v>33</v>
      </c>
      <c r="J132" s="3">
        <v>4</v>
      </c>
      <c r="K132" s="3">
        <v>27263.11</v>
      </c>
      <c r="L132" s="3">
        <f>Table1[[#This Row],[Price Per Unit]]*Table1[[#This Row],[Units Sold]]</f>
        <v>109052.44</v>
      </c>
      <c r="M132" s="3" t="s">
        <v>177</v>
      </c>
      <c r="N132" s="3">
        <v>41</v>
      </c>
      <c r="O132" s="3" t="s">
        <v>35</v>
      </c>
      <c r="P132" s="3" t="s">
        <v>31</v>
      </c>
      <c r="Q132" s="4">
        <v>3</v>
      </c>
      <c r="R132" s="4" t="str">
        <f>IF(Table1[[#This Row],[Customer Ratings]]&gt;=4, "Good",IF(Table1[[#This Row],[Customer Ratings]]=3, "Average","Poor"))</f>
        <v>Average</v>
      </c>
      <c r="S132" s="3" t="s">
        <v>36</v>
      </c>
    </row>
    <row r="133" spans="1:19" x14ac:dyDescent="0.25">
      <c r="A133" s="3">
        <v>132</v>
      </c>
      <c r="B133" s="5">
        <f>DATE(Table1[[#This Row],[Year]],Table1[[#This Row],[Month]],Table1[[#This Row],[Day]])</f>
        <v>44515</v>
      </c>
      <c r="C133" s="3">
        <v>15</v>
      </c>
      <c r="D133" s="3">
        <v>11</v>
      </c>
      <c r="E133" s="3">
        <v>2021</v>
      </c>
      <c r="F133" s="3" t="str">
        <f>"Qtr"&amp; " " &amp;CHOOSE(MONTH(Table1[[#This Row],[Date]]),1,1,1,2,2,2,3,3,3,4,4,4)</f>
        <v>Qtr 4</v>
      </c>
      <c r="G133" s="3" t="str">
        <f>TEXT(Table1[[#This Row],[Date]],"mmmm")</f>
        <v>November</v>
      </c>
      <c r="H133" s="3" t="s">
        <v>1081</v>
      </c>
      <c r="I133" s="3" t="s">
        <v>28</v>
      </c>
      <c r="J133" s="3">
        <v>7</v>
      </c>
      <c r="K133" s="3">
        <v>54223.81</v>
      </c>
      <c r="L133" s="3">
        <f>Table1[[#This Row],[Price Per Unit]]*Table1[[#This Row],[Units Sold]]</f>
        <v>379566.67</v>
      </c>
      <c r="M133" s="3" t="s">
        <v>178</v>
      </c>
      <c r="N133" s="3">
        <v>36</v>
      </c>
      <c r="O133" s="3" t="s">
        <v>102</v>
      </c>
      <c r="P133" s="3" t="s">
        <v>21</v>
      </c>
      <c r="Q133" s="4">
        <v>5</v>
      </c>
      <c r="R133" s="4" t="str">
        <f>IF(Table1[[#This Row],[Customer Ratings]]&gt;=4, "Good",IF(Table1[[#This Row],[Customer Ratings]]=3, "Average","Poor"))</f>
        <v>Good</v>
      </c>
      <c r="S133" s="3" t="s">
        <v>87</v>
      </c>
    </row>
    <row r="134" spans="1:19" x14ac:dyDescent="0.25">
      <c r="A134" s="3">
        <v>133</v>
      </c>
      <c r="B134" s="5">
        <f>DATE(Table1[[#This Row],[Year]],Table1[[#This Row],[Month]],Table1[[#This Row],[Day]])</f>
        <v>44515</v>
      </c>
      <c r="C134" s="3">
        <v>15</v>
      </c>
      <c r="D134" s="3">
        <v>11</v>
      </c>
      <c r="E134" s="3">
        <v>2021</v>
      </c>
      <c r="F134" s="3" t="str">
        <f>"Qtr"&amp; " " &amp;CHOOSE(MONTH(Table1[[#This Row],[Date]]),1,1,1,2,2,2,3,3,3,4,4,4)</f>
        <v>Qtr 4</v>
      </c>
      <c r="G134" s="3" t="str">
        <f>TEXT(Table1[[#This Row],[Date]],"mmmm")</f>
        <v>November</v>
      </c>
      <c r="H134" s="3" t="s">
        <v>1081</v>
      </c>
      <c r="I134" s="3" t="s">
        <v>18</v>
      </c>
      <c r="J134" s="3">
        <v>3</v>
      </c>
      <c r="K134" s="3">
        <v>14206.09</v>
      </c>
      <c r="L134" s="3">
        <f>Table1[[#This Row],[Price Per Unit]]*Table1[[#This Row],[Units Sold]]</f>
        <v>42618.270000000004</v>
      </c>
      <c r="M134" s="3" t="s">
        <v>179</v>
      </c>
      <c r="N134" s="3">
        <v>34</v>
      </c>
      <c r="O134" s="3" t="s">
        <v>58</v>
      </c>
      <c r="P134" s="3" t="s">
        <v>21</v>
      </c>
      <c r="Q134" s="4">
        <v>3</v>
      </c>
      <c r="R134" s="4" t="str">
        <f>IF(Table1[[#This Row],[Customer Ratings]]&gt;=4, "Good",IF(Table1[[#This Row],[Customer Ratings]]=3, "Average","Poor"))</f>
        <v>Average</v>
      </c>
      <c r="S134" s="3" t="s">
        <v>55</v>
      </c>
    </row>
    <row r="135" spans="1:19" x14ac:dyDescent="0.25">
      <c r="A135" s="3">
        <v>134</v>
      </c>
      <c r="B135" s="5">
        <f>DATE(Table1[[#This Row],[Year]],Table1[[#This Row],[Month]],Table1[[#This Row],[Day]])</f>
        <v>44515</v>
      </c>
      <c r="C135" s="3">
        <v>15</v>
      </c>
      <c r="D135" s="3">
        <v>11</v>
      </c>
      <c r="E135" s="3">
        <v>2021</v>
      </c>
      <c r="F135" s="3" t="str">
        <f>"Qtr"&amp; " " &amp;CHOOSE(MONTH(Table1[[#This Row],[Date]]),1,1,1,2,2,2,3,3,3,4,4,4)</f>
        <v>Qtr 4</v>
      </c>
      <c r="G135" s="3" t="str">
        <f>TEXT(Table1[[#This Row],[Date]],"mmmm")</f>
        <v>November</v>
      </c>
      <c r="H135" s="3" t="s">
        <v>1081</v>
      </c>
      <c r="I135" s="3" t="s">
        <v>13</v>
      </c>
      <c r="J135" s="3">
        <v>3</v>
      </c>
      <c r="K135" s="3">
        <v>61872.480000000003</v>
      </c>
      <c r="L135" s="3">
        <f>Table1[[#This Row],[Price Per Unit]]*Table1[[#This Row],[Units Sold]]</f>
        <v>185617.44</v>
      </c>
      <c r="M135" s="3" t="s">
        <v>180</v>
      </c>
      <c r="N135" s="3">
        <v>27</v>
      </c>
      <c r="O135" s="3" t="s">
        <v>24</v>
      </c>
      <c r="P135" s="3" t="s">
        <v>45</v>
      </c>
      <c r="Q135" s="4">
        <v>4</v>
      </c>
      <c r="R135" s="4" t="str">
        <f>IF(Table1[[#This Row],[Customer Ratings]]&gt;=4, "Good",IF(Table1[[#This Row],[Customer Ratings]]=3, "Average","Poor"))</f>
        <v>Good</v>
      </c>
      <c r="S135" s="3" t="s">
        <v>27</v>
      </c>
    </row>
    <row r="136" spans="1:19" x14ac:dyDescent="0.25">
      <c r="A136" s="3">
        <v>135</v>
      </c>
      <c r="B136" s="5">
        <f>DATE(Table1[[#This Row],[Year]],Table1[[#This Row],[Month]],Table1[[#This Row],[Day]])</f>
        <v>44516</v>
      </c>
      <c r="C136" s="3">
        <v>16</v>
      </c>
      <c r="D136" s="3">
        <v>11</v>
      </c>
      <c r="E136" s="3">
        <v>2021</v>
      </c>
      <c r="F136" s="3" t="str">
        <f>"Qtr"&amp; " " &amp;CHOOSE(MONTH(Table1[[#This Row],[Date]]),1,1,1,2,2,2,3,3,3,4,4,4)</f>
        <v>Qtr 4</v>
      </c>
      <c r="G136" s="3" t="str">
        <f>TEXT(Table1[[#This Row],[Date]],"mmmm")</f>
        <v>November</v>
      </c>
      <c r="H136" s="3" t="s">
        <v>1082</v>
      </c>
      <c r="I136" s="3" t="s">
        <v>33</v>
      </c>
      <c r="J136" s="3">
        <v>8</v>
      </c>
      <c r="K136" s="3">
        <v>39973.99</v>
      </c>
      <c r="L136" s="3">
        <f>Table1[[#This Row],[Price Per Unit]]*Table1[[#This Row],[Units Sold]]</f>
        <v>319791.92</v>
      </c>
      <c r="M136" s="3" t="s">
        <v>173</v>
      </c>
      <c r="N136" s="3">
        <v>45</v>
      </c>
      <c r="O136" s="3" t="s">
        <v>24</v>
      </c>
      <c r="P136" s="3" t="s">
        <v>21</v>
      </c>
      <c r="Q136" s="4">
        <v>3</v>
      </c>
      <c r="R136" s="4" t="str">
        <f>IF(Table1[[#This Row],[Customer Ratings]]&gt;=4, "Good",IF(Table1[[#This Row],[Customer Ratings]]=3, "Average","Poor"))</f>
        <v>Average</v>
      </c>
      <c r="S136" s="3" t="s">
        <v>36</v>
      </c>
    </row>
    <row r="137" spans="1:19" x14ac:dyDescent="0.25">
      <c r="A137" s="3">
        <v>136</v>
      </c>
      <c r="B137" s="5">
        <f>DATE(Table1[[#This Row],[Year]],Table1[[#This Row],[Month]],Table1[[#This Row],[Day]])</f>
        <v>44516</v>
      </c>
      <c r="C137" s="3">
        <v>16</v>
      </c>
      <c r="D137" s="3">
        <v>11</v>
      </c>
      <c r="E137" s="3">
        <v>2021</v>
      </c>
      <c r="F137" s="3" t="str">
        <f>"Qtr"&amp; " " &amp;CHOOSE(MONTH(Table1[[#This Row],[Date]]),1,1,1,2,2,2,3,3,3,4,4,4)</f>
        <v>Qtr 4</v>
      </c>
      <c r="G137" s="3" t="str">
        <f>TEXT(Table1[[#This Row],[Date]],"mmmm")</f>
        <v>November</v>
      </c>
      <c r="H137" s="3" t="s">
        <v>1082</v>
      </c>
      <c r="I137" s="3" t="s">
        <v>39</v>
      </c>
      <c r="J137" s="3">
        <v>8</v>
      </c>
      <c r="K137" s="3">
        <v>36310.480000000003</v>
      </c>
      <c r="L137" s="3">
        <f>Table1[[#This Row],[Price Per Unit]]*Table1[[#This Row],[Units Sold]]</f>
        <v>290483.84000000003</v>
      </c>
      <c r="M137" s="3" t="s">
        <v>70</v>
      </c>
      <c r="N137" s="3">
        <v>55</v>
      </c>
      <c r="O137" s="3" t="s">
        <v>20</v>
      </c>
      <c r="P137" s="3" t="s">
        <v>16</v>
      </c>
      <c r="Q137" s="4">
        <v>3</v>
      </c>
      <c r="R137" s="4" t="str">
        <f>IF(Table1[[#This Row],[Customer Ratings]]&gt;=4, "Good",IF(Table1[[#This Row],[Customer Ratings]]=3, "Average","Poor"))</f>
        <v>Average</v>
      </c>
      <c r="S137" s="3" t="s">
        <v>76</v>
      </c>
    </row>
    <row r="138" spans="1:19" x14ac:dyDescent="0.25">
      <c r="A138" s="3">
        <v>137</v>
      </c>
      <c r="B138" s="5">
        <f>DATE(Table1[[#This Row],[Year]],Table1[[#This Row],[Month]],Table1[[#This Row],[Day]])</f>
        <v>44516</v>
      </c>
      <c r="C138" s="3">
        <v>16</v>
      </c>
      <c r="D138" s="3">
        <v>11</v>
      </c>
      <c r="E138" s="3">
        <v>2021</v>
      </c>
      <c r="F138" s="3" t="str">
        <f>"Qtr"&amp; " " &amp;CHOOSE(MONTH(Table1[[#This Row],[Date]]),1,1,1,2,2,2,3,3,3,4,4,4)</f>
        <v>Qtr 4</v>
      </c>
      <c r="G138" s="3" t="str">
        <f>TEXT(Table1[[#This Row],[Date]],"mmmm")</f>
        <v>November</v>
      </c>
      <c r="H138" s="3" t="s">
        <v>1082</v>
      </c>
      <c r="I138" s="3" t="s">
        <v>28</v>
      </c>
      <c r="J138" s="3">
        <v>1</v>
      </c>
      <c r="K138" s="3">
        <v>46661.4</v>
      </c>
      <c r="L138" s="3">
        <f>Table1[[#This Row],[Price Per Unit]]*Table1[[#This Row],[Units Sold]]</f>
        <v>46661.4</v>
      </c>
      <c r="M138" s="3" t="s">
        <v>181</v>
      </c>
      <c r="N138" s="3">
        <v>45</v>
      </c>
      <c r="O138" s="3" t="s">
        <v>137</v>
      </c>
      <c r="P138" s="3" t="s">
        <v>21</v>
      </c>
      <c r="Q138" s="4">
        <v>3</v>
      </c>
      <c r="R138" s="4" t="str">
        <f>IF(Table1[[#This Row],[Customer Ratings]]&gt;=4, "Good",IF(Table1[[#This Row],[Customer Ratings]]=3, "Average","Poor"))</f>
        <v>Average</v>
      </c>
      <c r="S138" s="3" t="s">
        <v>87</v>
      </c>
    </row>
    <row r="139" spans="1:19" x14ac:dyDescent="0.25">
      <c r="A139" s="3">
        <v>138</v>
      </c>
      <c r="B139" s="5">
        <f>DATE(Table1[[#This Row],[Year]],Table1[[#This Row],[Month]],Table1[[#This Row],[Day]])</f>
        <v>44517</v>
      </c>
      <c r="C139" s="3">
        <v>17</v>
      </c>
      <c r="D139" s="3">
        <v>11</v>
      </c>
      <c r="E139" s="3">
        <v>2021</v>
      </c>
      <c r="F139" s="3" t="str">
        <f>"Qtr"&amp; " " &amp;CHOOSE(MONTH(Table1[[#This Row],[Date]]),1,1,1,2,2,2,3,3,3,4,4,4)</f>
        <v>Qtr 4</v>
      </c>
      <c r="G139" s="3" t="str">
        <f>TEXT(Table1[[#This Row],[Date]],"mmmm")</f>
        <v>November</v>
      </c>
      <c r="H139" s="3" t="s">
        <v>1083</v>
      </c>
      <c r="I139" s="3" t="s">
        <v>13</v>
      </c>
      <c r="J139" s="3">
        <v>2</v>
      </c>
      <c r="K139" s="3">
        <v>47451.519999999997</v>
      </c>
      <c r="L139" s="3">
        <f>Table1[[#This Row],[Price Per Unit]]*Table1[[#This Row],[Units Sold]]</f>
        <v>94903.039999999994</v>
      </c>
      <c r="M139" s="3" t="s">
        <v>182</v>
      </c>
      <c r="N139" s="3">
        <v>18</v>
      </c>
      <c r="O139" s="3" t="s">
        <v>20</v>
      </c>
      <c r="P139" s="3" t="s">
        <v>21</v>
      </c>
      <c r="Q139" s="4">
        <v>5</v>
      </c>
      <c r="R139" s="4" t="str">
        <f>IF(Table1[[#This Row],[Customer Ratings]]&gt;=4, "Good",IF(Table1[[#This Row],[Customer Ratings]]=3, "Average","Poor"))</f>
        <v>Good</v>
      </c>
      <c r="S139" s="3" t="s">
        <v>27</v>
      </c>
    </row>
    <row r="140" spans="1:19" x14ac:dyDescent="0.25">
      <c r="A140" s="3">
        <v>139</v>
      </c>
      <c r="B140" s="5">
        <f>DATE(Table1[[#This Row],[Year]],Table1[[#This Row],[Month]],Table1[[#This Row],[Day]])</f>
        <v>44517</v>
      </c>
      <c r="C140" s="3">
        <v>17</v>
      </c>
      <c r="D140" s="3">
        <v>11</v>
      </c>
      <c r="E140" s="3">
        <v>2021</v>
      </c>
      <c r="F140" s="3" t="str">
        <f>"Qtr"&amp; " " &amp;CHOOSE(MONTH(Table1[[#This Row],[Date]]),1,1,1,2,2,2,3,3,3,4,4,4)</f>
        <v>Qtr 4</v>
      </c>
      <c r="G140" s="3" t="str">
        <f>TEXT(Table1[[#This Row],[Date]],"mmmm")</f>
        <v>November</v>
      </c>
      <c r="H140" s="3" t="s">
        <v>1083</v>
      </c>
      <c r="I140" s="3" t="s">
        <v>13</v>
      </c>
      <c r="J140" s="3">
        <v>8</v>
      </c>
      <c r="K140" s="3">
        <v>17922.11</v>
      </c>
      <c r="L140" s="3">
        <f>Table1[[#This Row],[Price Per Unit]]*Table1[[#This Row],[Units Sold]]</f>
        <v>143376.88</v>
      </c>
      <c r="M140" s="3" t="s">
        <v>183</v>
      </c>
      <c r="N140" s="3">
        <v>20</v>
      </c>
      <c r="O140" s="3" t="s">
        <v>24</v>
      </c>
      <c r="P140" s="3" t="s">
        <v>45</v>
      </c>
      <c r="Q140" s="4">
        <v>2</v>
      </c>
      <c r="R140" s="4" t="str">
        <f>IF(Table1[[#This Row],[Customer Ratings]]&gt;=4, "Good",IF(Table1[[#This Row],[Customer Ratings]]=3, "Average","Poor"))</f>
        <v>Poor</v>
      </c>
      <c r="S140" s="3" t="s">
        <v>27</v>
      </c>
    </row>
    <row r="141" spans="1:19" x14ac:dyDescent="0.25">
      <c r="A141" s="3">
        <v>140</v>
      </c>
      <c r="B141" s="5">
        <f>DATE(Table1[[#This Row],[Year]],Table1[[#This Row],[Month]],Table1[[#This Row],[Day]])</f>
        <v>44517</v>
      </c>
      <c r="C141" s="3">
        <v>17</v>
      </c>
      <c r="D141" s="3">
        <v>11</v>
      </c>
      <c r="E141" s="3">
        <v>2021</v>
      </c>
      <c r="F141" s="3" t="str">
        <f>"Qtr"&amp; " " &amp;CHOOSE(MONTH(Table1[[#This Row],[Date]]),1,1,1,2,2,2,3,3,3,4,4,4)</f>
        <v>Qtr 4</v>
      </c>
      <c r="G141" s="3" t="str">
        <f>TEXT(Table1[[#This Row],[Date]],"mmmm")</f>
        <v>November</v>
      </c>
      <c r="H141" s="3" t="s">
        <v>1083</v>
      </c>
      <c r="I141" s="3" t="s">
        <v>18</v>
      </c>
      <c r="J141" s="3">
        <v>1</v>
      </c>
      <c r="K141" s="3">
        <v>55374.02</v>
      </c>
      <c r="L141" s="3">
        <f>Table1[[#This Row],[Price Per Unit]]*Table1[[#This Row],[Units Sold]]</f>
        <v>55374.02</v>
      </c>
      <c r="M141" s="3" t="s">
        <v>184</v>
      </c>
      <c r="N141" s="3">
        <v>32</v>
      </c>
      <c r="O141" s="3" t="s">
        <v>24</v>
      </c>
      <c r="P141" s="3" t="s">
        <v>45</v>
      </c>
      <c r="Q141" s="4">
        <v>5</v>
      </c>
      <c r="R141" s="4" t="str">
        <f>IF(Table1[[#This Row],[Customer Ratings]]&gt;=4, "Good",IF(Table1[[#This Row],[Customer Ratings]]=3, "Average","Poor"))</f>
        <v>Good</v>
      </c>
      <c r="S141" s="3" t="s">
        <v>22</v>
      </c>
    </row>
    <row r="142" spans="1:19" x14ac:dyDescent="0.25">
      <c r="A142" s="3">
        <v>141</v>
      </c>
      <c r="B142" s="5">
        <f>DATE(Table1[[#This Row],[Year]],Table1[[#This Row],[Month]],Table1[[#This Row],[Day]])</f>
        <v>44518</v>
      </c>
      <c r="C142" s="3">
        <v>18</v>
      </c>
      <c r="D142" s="3">
        <v>11</v>
      </c>
      <c r="E142" s="3">
        <v>2021</v>
      </c>
      <c r="F142" s="3" t="str">
        <f>"Qtr"&amp; " " &amp;CHOOSE(MONTH(Table1[[#This Row],[Date]]),1,1,1,2,2,2,3,3,3,4,4,4)</f>
        <v>Qtr 4</v>
      </c>
      <c r="G142" s="3" t="str">
        <f>TEXT(Table1[[#This Row],[Date]],"mmmm")</f>
        <v>November</v>
      </c>
      <c r="H142" s="3" t="s">
        <v>1084</v>
      </c>
      <c r="I142" s="3" t="s">
        <v>18</v>
      </c>
      <c r="J142" s="3">
        <v>8</v>
      </c>
      <c r="K142" s="3">
        <v>26555.7</v>
      </c>
      <c r="L142" s="3">
        <f>Table1[[#This Row],[Price Per Unit]]*Table1[[#This Row],[Units Sold]]</f>
        <v>212445.6</v>
      </c>
      <c r="M142" s="3" t="s">
        <v>185</v>
      </c>
      <c r="N142" s="3">
        <v>27</v>
      </c>
      <c r="O142" s="3" t="s">
        <v>105</v>
      </c>
      <c r="P142" s="3" t="s">
        <v>31</v>
      </c>
      <c r="Q142" s="4">
        <v>5</v>
      </c>
      <c r="R142" s="4" t="str">
        <f>IF(Table1[[#This Row],[Customer Ratings]]&gt;=4, "Good",IF(Table1[[#This Row],[Customer Ratings]]=3, "Average","Poor"))</f>
        <v>Good</v>
      </c>
      <c r="S142" s="3" t="s">
        <v>55</v>
      </c>
    </row>
    <row r="143" spans="1:19" x14ac:dyDescent="0.25">
      <c r="A143" s="3">
        <v>142</v>
      </c>
      <c r="B143" s="5">
        <f>DATE(Table1[[#This Row],[Year]],Table1[[#This Row],[Month]],Table1[[#This Row],[Day]])</f>
        <v>44518</v>
      </c>
      <c r="C143" s="3">
        <v>18</v>
      </c>
      <c r="D143" s="3">
        <v>11</v>
      </c>
      <c r="E143" s="3">
        <v>2021</v>
      </c>
      <c r="F143" s="3" t="str">
        <f>"Qtr"&amp; " " &amp;CHOOSE(MONTH(Table1[[#This Row],[Date]]),1,1,1,2,2,2,3,3,3,4,4,4)</f>
        <v>Qtr 4</v>
      </c>
      <c r="G143" s="3" t="str">
        <f>TEXT(Table1[[#This Row],[Date]],"mmmm")</f>
        <v>November</v>
      </c>
      <c r="H143" s="3" t="s">
        <v>1084</v>
      </c>
      <c r="I143" s="3" t="s">
        <v>39</v>
      </c>
      <c r="J143" s="3">
        <v>8</v>
      </c>
      <c r="K143" s="3">
        <v>64297.71</v>
      </c>
      <c r="L143" s="3">
        <f>Table1[[#This Row],[Price Per Unit]]*Table1[[#This Row],[Units Sold]]</f>
        <v>514381.68</v>
      </c>
      <c r="M143" s="3" t="s">
        <v>186</v>
      </c>
      <c r="N143" s="3">
        <v>38</v>
      </c>
      <c r="O143" s="3" t="s">
        <v>125</v>
      </c>
      <c r="P143" s="3" t="s">
        <v>31</v>
      </c>
      <c r="Q143" s="4">
        <v>5</v>
      </c>
      <c r="R143" s="4" t="str">
        <f>IF(Table1[[#This Row],[Customer Ratings]]&gt;=4, "Good",IF(Table1[[#This Row],[Customer Ratings]]=3, "Average","Poor"))</f>
        <v>Good</v>
      </c>
      <c r="S143" s="3" t="s">
        <v>76</v>
      </c>
    </row>
    <row r="144" spans="1:19" x14ac:dyDescent="0.25">
      <c r="A144" s="3">
        <v>143</v>
      </c>
      <c r="B144" s="5">
        <f>DATE(Table1[[#This Row],[Year]],Table1[[#This Row],[Month]],Table1[[#This Row],[Day]])</f>
        <v>44518</v>
      </c>
      <c r="C144" s="3">
        <v>18</v>
      </c>
      <c r="D144" s="3">
        <v>11</v>
      </c>
      <c r="E144" s="3">
        <v>2021</v>
      </c>
      <c r="F144" s="3" t="str">
        <f>"Qtr"&amp; " " &amp;CHOOSE(MONTH(Table1[[#This Row],[Date]]),1,1,1,2,2,2,3,3,3,4,4,4)</f>
        <v>Qtr 4</v>
      </c>
      <c r="G144" s="3" t="str">
        <f>TEXT(Table1[[#This Row],[Date]],"mmmm")</f>
        <v>November</v>
      </c>
      <c r="H144" s="3" t="s">
        <v>1084</v>
      </c>
      <c r="I144" s="3" t="s">
        <v>39</v>
      </c>
      <c r="J144" s="3">
        <v>2</v>
      </c>
      <c r="K144" s="3">
        <v>59071.040000000001</v>
      </c>
      <c r="L144" s="3">
        <f>Table1[[#This Row],[Price Per Unit]]*Table1[[#This Row],[Units Sold]]</f>
        <v>118142.08</v>
      </c>
      <c r="M144" s="3" t="s">
        <v>187</v>
      </c>
      <c r="N144" s="3">
        <v>54</v>
      </c>
      <c r="O144" s="3" t="s">
        <v>65</v>
      </c>
      <c r="P144" s="3" t="s">
        <v>16</v>
      </c>
      <c r="Q144" s="4">
        <v>5</v>
      </c>
      <c r="R144" s="4" t="str">
        <f>IF(Table1[[#This Row],[Customer Ratings]]&gt;=4, "Good",IF(Table1[[#This Row],[Customer Ratings]]=3, "Average","Poor"))</f>
        <v>Good</v>
      </c>
      <c r="S144" s="3" t="s">
        <v>42</v>
      </c>
    </row>
    <row r="145" spans="1:19" x14ac:dyDescent="0.25">
      <c r="A145" s="3">
        <v>144</v>
      </c>
      <c r="B145" s="5">
        <f>DATE(Table1[[#This Row],[Year]],Table1[[#This Row],[Month]],Table1[[#This Row],[Day]])</f>
        <v>44519</v>
      </c>
      <c r="C145" s="3">
        <v>19</v>
      </c>
      <c r="D145" s="3">
        <v>11</v>
      </c>
      <c r="E145" s="3">
        <v>2021</v>
      </c>
      <c r="F145" s="3" t="str">
        <f>"Qtr"&amp; " " &amp;CHOOSE(MONTH(Table1[[#This Row],[Date]]),1,1,1,2,2,2,3,3,3,4,4,4)</f>
        <v>Qtr 4</v>
      </c>
      <c r="G145" s="3" t="str">
        <f>TEXT(Table1[[#This Row],[Date]],"mmmm")</f>
        <v>November</v>
      </c>
      <c r="H145" s="3" t="s">
        <v>1085</v>
      </c>
      <c r="I145" s="3" t="s">
        <v>33</v>
      </c>
      <c r="J145" s="3">
        <v>4</v>
      </c>
      <c r="K145" s="3">
        <v>30775.96</v>
      </c>
      <c r="L145" s="3">
        <f>Table1[[#This Row],[Price Per Unit]]*Table1[[#This Row],[Units Sold]]</f>
        <v>123103.84</v>
      </c>
      <c r="M145" s="3" t="s">
        <v>188</v>
      </c>
      <c r="N145" s="3">
        <v>32</v>
      </c>
      <c r="O145" s="3" t="s">
        <v>30</v>
      </c>
      <c r="P145" s="3" t="s">
        <v>45</v>
      </c>
      <c r="Q145" s="4">
        <v>5</v>
      </c>
      <c r="R145" s="4" t="str">
        <f>IF(Table1[[#This Row],[Customer Ratings]]&gt;=4, "Good",IF(Table1[[#This Row],[Customer Ratings]]=3, "Average","Poor"))</f>
        <v>Good</v>
      </c>
      <c r="S145" s="3" t="s">
        <v>46</v>
      </c>
    </row>
    <row r="146" spans="1:19" x14ac:dyDescent="0.25">
      <c r="A146" s="3">
        <v>145</v>
      </c>
      <c r="B146" s="5">
        <f>DATE(Table1[[#This Row],[Year]],Table1[[#This Row],[Month]],Table1[[#This Row],[Day]])</f>
        <v>44519</v>
      </c>
      <c r="C146" s="3">
        <v>19</v>
      </c>
      <c r="D146" s="3">
        <v>11</v>
      </c>
      <c r="E146" s="3">
        <v>2021</v>
      </c>
      <c r="F146" s="3" t="str">
        <f>"Qtr"&amp; " " &amp;CHOOSE(MONTH(Table1[[#This Row],[Date]]),1,1,1,2,2,2,3,3,3,4,4,4)</f>
        <v>Qtr 4</v>
      </c>
      <c r="G146" s="3" t="str">
        <f>TEXT(Table1[[#This Row],[Date]],"mmmm")</f>
        <v>November</v>
      </c>
      <c r="H146" s="3" t="s">
        <v>1085</v>
      </c>
      <c r="I146" s="3" t="s">
        <v>33</v>
      </c>
      <c r="J146" s="3">
        <v>6</v>
      </c>
      <c r="K146" s="3">
        <v>58464.36</v>
      </c>
      <c r="L146" s="3">
        <f>Table1[[#This Row],[Price Per Unit]]*Table1[[#This Row],[Units Sold]]</f>
        <v>350786.16000000003</v>
      </c>
      <c r="M146" s="3" t="s">
        <v>189</v>
      </c>
      <c r="N146" s="3">
        <v>40</v>
      </c>
      <c r="O146" s="3" t="s">
        <v>24</v>
      </c>
      <c r="P146" s="3" t="s">
        <v>31</v>
      </c>
      <c r="Q146" s="4">
        <v>5</v>
      </c>
      <c r="R146" s="4" t="str">
        <f>IF(Table1[[#This Row],[Customer Ratings]]&gt;=4, "Good",IF(Table1[[#This Row],[Customer Ratings]]=3, "Average","Poor"))</f>
        <v>Good</v>
      </c>
      <c r="S146" s="3" t="s">
        <v>46</v>
      </c>
    </row>
    <row r="147" spans="1:19" x14ac:dyDescent="0.25">
      <c r="A147" s="3">
        <v>146</v>
      </c>
      <c r="B147" s="5">
        <f>DATE(Table1[[#This Row],[Year]],Table1[[#This Row],[Month]],Table1[[#This Row],[Day]])</f>
        <v>44519</v>
      </c>
      <c r="C147" s="3">
        <v>19</v>
      </c>
      <c r="D147" s="3">
        <v>11</v>
      </c>
      <c r="E147" s="3">
        <v>2021</v>
      </c>
      <c r="F147" s="3" t="str">
        <f>"Qtr"&amp; " " &amp;CHOOSE(MONTH(Table1[[#This Row],[Date]]),1,1,1,2,2,2,3,3,3,4,4,4)</f>
        <v>Qtr 4</v>
      </c>
      <c r="G147" s="3" t="str">
        <f>TEXT(Table1[[#This Row],[Date]],"mmmm")</f>
        <v>November</v>
      </c>
      <c r="H147" s="3" t="s">
        <v>1085</v>
      </c>
      <c r="I147" s="3" t="s">
        <v>39</v>
      </c>
      <c r="J147" s="3">
        <v>9</v>
      </c>
      <c r="K147" s="3">
        <v>31383.43</v>
      </c>
      <c r="L147" s="3">
        <f>Table1[[#This Row],[Price Per Unit]]*Table1[[#This Row],[Units Sold]]</f>
        <v>282450.87</v>
      </c>
      <c r="M147" s="3" t="s">
        <v>190</v>
      </c>
      <c r="N147" s="3">
        <v>31</v>
      </c>
      <c r="O147" s="3" t="s">
        <v>24</v>
      </c>
      <c r="P147" s="3" t="s">
        <v>31</v>
      </c>
      <c r="Q147" s="4">
        <v>5</v>
      </c>
      <c r="R147" s="4" t="str">
        <f>IF(Table1[[#This Row],[Customer Ratings]]&gt;=4, "Good",IF(Table1[[#This Row],[Customer Ratings]]=3, "Average","Poor"))</f>
        <v>Good</v>
      </c>
      <c r="S147" s="3" t="s">
        <v>76</v>
      </c>
    </row>
    <row r="148" spans="1:19" x14ac:dyDescent="0.25">
      <c r="A148" s="3">
        <v>147</v>
      </c>
      <c r="B148" s="5">
        <f>DATE(Table1[[#This Row],[Year]],Table1[[#This Row],[Month]],Table1[[#This Row],[Day]])</f>
        <v>44520</v>
      </c>
      <c r="C148" s="3">
        <v>20</v>
      </c>
      <c r="D148" s="3">
        <v>11</v>
      </c>
      <c r="E148" s="3">
        <v>2021</v>
      </c>
      <c r="F148" s="3" t="str">
        <f>"Qtr"&amp; " " &amp;CHOOSE(MONTH(Table1[[#This Row],[Date]]),1,1,1,2,2,2,3,3,3,4,4,4)</f>
        <v>Qtr 4</v>
      </c>
      <c r="G148" s="3" t="str">
        <f>TEXT(Table1[[#This Row],[Date]],"mmmm")</f>
        <v>November</v>
      </c>
      <c r="H148" s="3" t="s">
        <v>1079</v>
      </c>
      <c r="I148" s="3" t="s">
        <v>39</v>
      </c>
      <c r="J148" s="3">
        <v>8</v>
      </c>
      <c r="K148" s="3">
        <v>16056.86</v>
      </c>
      <c r="L148" s="3">
        <f>Table1[[#This Row],[Price Per Unit]]*Table1[[#This Row],[Units Sold]]</f>
        <v>128454.88</v>
      </c>
      <c r="M148" s="3" t="s">
        <v>191</v>
      </c>
      <c r="N148" s="3">
        <v>32</v>
      </c>
      <c r="O148" s="3" t="s">
        <v>120</v>
      </c>
      <c r="P148" s="3" t="s">
        <v>31</v>
      </c>
      <c r="Q148" s="4">
        <v>5</v>
      </c>
      <c r="R148" s="4" t="str">
        <f>IF(Table1[[#This Row],[Customer Ratings]]&gt;=4, "Good",IF(Table1[[#This Row],[Customer Ratings]]=3, "Average","Poor"))</f>
        <v>Good</v>
      </c>
      <c r="S148" s="3" t="s">
        <v>76</v>
      </c>
    </row>
    <row r="149" spans="1:19" x14ac:dyDescent="0.25">
      <c r="A149" s="3">
        <v>148</v>
      </c>
      <c r="B149" s="5">
        <f>DATE(Table1[[#This Row],[Year]],Table1[[#This Row],[Month]],Table1[[#This Row],[Day]])</f>
        <v>44520</v>
      </c>
      <c r="C149" s="3">
        <v>20</v>
      </c>
      <c r="D149" s="3">
        <v>11</v>
      </c>
      <c r="E149" s="3">
        <v>2021</v>
      </c>
      <c r="F149" s="3" t="str">
        <f>"Qtr"&amp; " " &amp;CHOOSE(MONTH(Table1[[#This Row],[Date]]),1,1,1,2,2,2,3,3,3,4,4,4)</f>
        <v>Qtr 4</v>
      </c>
      <c r="G149" s="3" t="str">
        <f>TEXT(Table1[[#This Row],[Date]],"mmmm")</f>
        <v>November</v>
      </c>
      <c r="H149" s="3" t="s">
        <v>1079</v>
      </c>
      <c r="I149" s="3" t="s">
        <v>28</v>
      </c>
      <c r="J149" s="3">
        <v>8</v>
      </c>
      <c r="K149" s="3">
        <v>67713.289999999994</v>
      </c>
      <c r="L149" s="3">
        <f>Table1[[#This Row],[Price Per Unit]]*Table1[[#This Row],[Units Sold]]</f>
        <v>541706.31999999995</v>
      </c>
      <c r="M149" s="3" t="s">
        <v>192</v>
      </c>
      <c r="N149" s="3">
        <v>27</v>
      </c>
      <c r="O149" s="3" t="s">
        <v>15</v>
      </c>
      <c r="P149" s="3" t="s">
        <v>45</v>
      </c>
      <c r="Q149" s="4">
        <v>3</v>
      </c>
      <c r="R149" s="4" t="str">
        <f>IF(Table1[[#This Row],[Customer Ratings]]&gt;=4, "Good",IF(Table1[[#This Row],[Customer Ratings]]=3, "Average","Poor"))</f>
        <v>Average</v>
      </c>
      <c r="S149" s="3" t="s">
        <v>32</v>
      </c>
    </row>
    <row r="150" spans="1:19" x14ac:dyDescent="0.25">
      <c r="A150" s="3">
        <v>149</v>
      </c>
      <c r="B150" s="5">
        <f>DATE(Table1[[#This Row],[Year]],Table1[[#This Row],[Month]],Table1[[#This Row],[Day]])</f>
        <v>44520</v>
      </c>
      <c r="C150" s="3">
        <v>20</v>
      </c>
      <c r="D150" s="3">
        <v>11</v>
      </c>
      <c r="E150" s="3">
        <v>2021</v>
      </c>
      <c r="F150" s="3" t="str">
        <f>"Qtr"&amp; " " &amp;CHOOSE(MONTH(Table1[[#This Row],[Date]]),1,1,1,2,2,2,3,3,3,4,4,4)</f>
        <v>Qtr 4</v>
      </c>
      <c r="G150" s="3" t="str">
        <f>TEXT(Table1[[#This Row],[Date]],"mmmm")</f>
        <v>November</v>
      </c>
      <c r="H150" s="3" t="s">
        <v>1079</v>
      </c>
      <c r="I150" s="3" t="s">
        <v>18</v>
      </c>
      <c r="J150" s="3">
        <v>7</v>
      </c>
      <c r="K150" s="3">
        <v>49156.12</v>
      </c>
      <c r="L150" s="3">
        <f>Table1[[#This Row],[Price Per Unit]]*Table1[[#This Row],[Units Sold]]</f>
        <v>344092.84</v>
      </c>
      <c r="M150" s="3" t="s">
        <v>193</v>
      </c>
      <c r="N150" s="3">
        <v>26</v>
      </c>
      <c r="O150" s="3" t="s">
        <v>20</v>
      </c>
      <c r="P150" s="3" t="s">
        <v>45</v>
      </c>
      <c r="Q150" s="4">
        <v>5</v>
      </c>
      <c r="R150" s="4" t="str">
        <f>IF(Table1[[#This Row],[Customer Ratings]]&gt;=4, "Good",IF(Table1[[#This Row],[Customer Ratings]]=3, "Average","Poor"))</f>
        <v>Good</v>
      </c>
      <c r="S150" s="3" t="s">
        <v>25</v>
      </c>
    </row>
    <row r="151" spans="1:19" x14ac:dyDescent="0.25">
      <c r="A151" s="3">
        <v>150</v>
      </c>
      <c r="B151" s="5">
        <f>DATE(Table1[[#This Row],[Year]],Table1[[#This Row],[Month]],Table1[[#This Row],[Day]])</f>
        <v>44520</v>
      </c>
      <c r="C151" s="3">
        <v>20</v>
      </c>
      <c r="D151" s="3">
        <v>11</v>
      </c>
      <c r="E151" s="3">
        <v>2021</v>
      </c>
      <c r="F151" s="3" t="str">
        <f>"Qtr"&amp; " " &amp;CHOOSE(MONTH(Table1[[#This Row],[Date]]),1,1,1,2,2,2,3,3,3,4,4,4)</f>
        <v>Qtr 4</v>
      </c>
      <c r="G151" s="3" t="str">
        <f>TEXT(Table1[[#This Row],[Date]],"mmmm")</f>
        <v>November</v>
      </c>
      <c r="H151" s="3" t="s">
        <v>1079</v>
      </c>
      <c r="I151" s="3" t="s">
        <v>33</v>
      </c>
      <c r="J151" s="3">
        <v>9</v>
      </c>
      <c r="K151" s="3">
        <v>37365.97</v>
      </c>
      <c r="L151" s="3">
        <f>Table1[[#This Row],[Price Per Unit]]*Table1[[#This Row],[Units Sold]]</f>
        <v>336293.73</v>
      </c>
      <c r="M151" s="3" t="s">
        <v>180</v>
      </c>
      <c r="N151" s="3">
        <v>56</v>
      </c>
      <c r="O151" s="3" t="s">
        <v>20</v>
      </c>
      <c r="P151" s="3" t="s">
        <v>16</v>
      </c>
      <c r="Q151" s="4">
        <v>4</v>
      </c>
      <c r="R151" s="4" t="str">
        <f>IF(Table1[[#This Row],[Customer Ratings]]&gt;=4, "Good",IF(Table1[[#This Row],[Customer Ratings]]=3, "Average","Poor"))</f>
        <v>Good</v>
      </c>
      <c r="S151" s="3" t="s">
        <v>36</v>
      </c>
    </row>
    <row r="152" spans="1:19" x14ac:dyDescent="0.25">
      <c r="A152" s="3">
        <v>151</v>
      </c>
      <c r="B152" s="5">
        <f>DATE(Table1[[#This Row],[Year]],Table1[[#This Row],[Month]],Table1[[#This Row],[Day]])</f>
        <v>44521</v>
      </c>
      <c r="C152" s="3">
        <v>21</v>
      </c>
      <c r="D152" s="3">
        <v>11</v>
      </c>
      <c r="E152" s="3">
        <v>2021</v>
      </c>
      <c r="F152" s="3" t="str">
        <f>"Qtr"&amp; " " &amp;CHOOSE(MONTH(Table1[[#This Row],[Date]]),1,1,1,2,2,2,3,3,3,4,4,4)</f>
        <v>Qtr 4</v>
      </c>
      <c r="G152" s="3" t="str">
        <f>TEXT(Table1[[#This Row],[Date]],"mmmm")</f>
        <v>November</v>
      </c>
      <c r="H152" s="3" t="s">
        <v>1080</v>
      </c>
      <c r="I152" s="3" t="s">
        <v>18</v>
      </c>
      <c r="J152" s="3">
        <v>2</v>
      </c>
      <c r="K152" s="3">
        <v>33866.400000000001</v>
      </c>
      <c r="L152" s="3">
        <f>Table1[[#This Row],[Price Per Unit]]*Table1[[#This Row],[Units Sold]]</f>
        <v>67732.800000000003</v>
      </c>
      <c r="M152" s="3" t="s">
        <v>194</v>
      </c>
      <c r="N152" s="3">
        <v>22</v>
      </c>
      <c r="O152" s="3" t="s">
        <v>102</v>
      </c>
      <c r="P152" s="3" t="s">
        <v>45</v>
      </c>
      <c r="Q152" s="4">
        <v>5</v>
      </c>
      <c r="R152" s="4" t="str">
        <f>IF(Table1[[#This Row],[Customer Ratings]]&gt;=4, "Good",IF(Table1[[#This Row],[Customer Ratings]]=3, "Average","Poor"))</f>
        <v>Good</v>
      </c>
      <c r="S152" s="3" t="s">
        <v>22</v>
      </c>
    </row>
    <row r="153" spans="1:19" x14ac:dyDescent="0.25">
      <c r="A153" s="3">
        <v>152</v>
      </c>
      <c r="B153" s="5">
        <f>DATE(Table1[[#This Row],[Year]],Table1[[#This Row],[Month]],Table1[[#This Row],[Day]])</f>
        <v>44521</v>
      </c>
      <c r="C153" s="3">
        <v>21</v>
      </c>
      <c r="D153" s="3">
        <v>11</v>
      </c>
      <c r="E153" s="3">
        <v>2021</v>
      </c>
      <c r="F153" s="3" t="str">
        <f>"Qtr"&amp; " " &amp;CHOOSE(MONTH(Table1[[#This Row],[Date]]),1,1,1,2,2,2,3,3,3,4,4,4)</f>
        <v>Qtr 4</v>
      </c>
      <c r="G153" s="3" t="str">
        <f>TEXT(Table1[[#This Row],[Date]],"mmmm")</f>
        <v>November</v>
      </c>
      <c r="H153" s="3" t="s">
        <v>1080</v>
      </c>
      <c r="I153" s="3" t="s">
        <v>18</v>
      </c>
      <c r="J153" s="3">
        <v>3</v>
      </c>
      <c r="K153" s="3">
        <v>29482.32</v>
      </c>
      <c r="L153" s="3">
        <f>Table1[[#This Row],[Price Per Unit]]*Table1[[#This Row],[Units Sold]]</f>
        <v>88446.959999999992</v>
      </c>
      <c r="M153" s="3" t="s">
        <v>195</v>
      </c>
      <c r="N153" s="3">
        <v>42</v>
      </c>
      <c r="O153" s="3" t="s">
        <v>58</v>
      </c>
      <c r="P153" s="3" t="s">
        <v>45</v>
      </c>
      <c r="Q153" s="4">
        <v>5</v>
      </c>
      <c r="R153" s="4" t="str">
        <f>IF(Table1[[#This Row],[Customer Ratings]]&gt;=4, "Good",IF(Table1[[#This Row],[Customer Ratings]]=3, "Average","Poor"))</f>
        <v>Good</v>
      </c>
      <c r="S153" s="3" t="s">
        <v>25</v>
      </c>
    </row>
    <row r="154" spans="1:19" x14ac:dyDescent="0.25">
      <c r="A154" s="3">
        <v>153</v>
      </c>
      <c r="B154" s="5">
        <f>DATE(Table1[[#This Row],[Year]],Table1[[#This Row],[Month]],Table1[[#This Row],[Day]])</f>
        <v>44521</v>
      </c>
      <c r="C154" s="3">
        <v>21</v>
      </c>
      <c r="D154" s="3">
        <v>11</v>
      </c>
      <c r="E154" s="3">
        <v>2021</v>
      </c>
      <c r="F154" s="3" t="str">
        <f>"Qtr"&amp; " " &amp;CHOOSE(MONTH(Table1[[#This Row],[Date]]),1,1,1,2,2,2,3,3,3,4,4,4)</f>
        <v>Qtr 4</v>
      </c>
      <c r="G154" s="3" t="str">
        <f>TEXT(Table1[[#This Row],[Date]],"mmmm")</f>
        <v>November</v>
      </c>
      <c r="H154" s="3" t="s">
        <v>1080</v>
      </c>
      <c r="I154" s="3" t="s">
        <v>39</v>
      </c>
      <c r="J154" s="3">
        <v>8</v>
      </c>
      <c r="K154" s="3">
        <v>68886.86</v>
      </c>
      <c r="L154" s="3">
        <f>Table1[[#This Row],[Price Per Unit]]*Table1[[#This Row],[Units Sold]]</f>
        <v>551094.88</v>
      </c>
      <c r="M154" s="3" t="s">
        <v>196</v>
      </c>
      <c r="N154" s="3">
        <v>59</v>
      </c>
      <c r="O154" s="3" t="s">
        <v>52</v>
      </c>
      <c r="P154" s="3" t="s">
        <v>45</v>
      </c>
      <c r="Q154" s="4">
        <v>5</v>
      </c>
      <c r="R154" s="4" t="str">
        <f>IF(Table1[[#This Row],[Customer Ratings]]&gt;=4, "Good",IF(Table1[[#This Row],[Customer Ratings]]=3, "Average","Poor"))</f>
        <v>Good</v>
      </c>
      <c r="S154" s="3" t="s">
        <v>90</v>
      </c>
    </row>
    <row r="155" spans="1:19" x14ac:dyDescent="0.25">
      <c r="A155" s="3">
        <v>154</v>
      </c>
      <c r="B155" s="5">
        <f>DATE(Table1[[#This Row],[Year]],Table1[[#This Row],[Month]],Table1[[#This Row],[Day]])</f>
        <v>44521</v>
      </c>
      <c r="C155" s="3">
        <v>21</v>
      </c>
      <c r="D155" s="3">
        <v>11</v>
      </c>
      <c r="E155" s="3">
        <v>2021</v>
      </c>
      <c r="F155" s="3" t="str">
        <f>"Qtr"&amp; " " &amp;CHOOSE(MONTH(Table1[[#This Row],[Date]]),1,1,1,2,2,2,3,3,3,4,4,4)</f>
        <v>Qtr 4</v>
      </c>
      <c r="G155" s="3" t="str">
        <f>TEXT(Table1[[#This Row],[Date]],"mmmm")</f>
        <v>November</v>
      </c>
      <c r="H155" s="3" t="s">
        <v>1080</v>
      </c>
      <c r="I155" s="3" t="s">
        <v>28</v>
      </c>
      <c r="J155" s="3">
        <v>6</v>
      </c>
      <c r="K155" s="3">
        <v>18084.84</v>
      </c>
      <c r="L155" s="3">
        <f>Table1[[#This Row],[Price Per Unit]]*Table1[[#This Row],[Units Sold]]</f>
        <v>108509.04000000001</v>
      </c>
      <c r="M155" s="3" t="s">
        <v>197</v>
      </c>
      <c r="N155" s="3">
        <v>43</v>
      </c>
      <c r="O155" s="3" t="s">
        <v>20</v>
      </c>
      <c r="P155" s="3" t="s">
        <v>16</v>
      </c>
      <c r="Q155" s="4">
        <v>5</v>
      </c>
      <c r="R155" s="4" t="str">
        <f>IF(Table1[[#This Row],[Customer Ratings]]&gt;=4, "Good",IF(Table1[[#This Row],[Customer Ratings]]=3, "Average","Poor"))</f>
        <v>Good</v>
      </c>
      <c r="S155" s="3" t="s">
        <v>87</v>
      </c>
    </row>
    <row r="156" spans="1:19" x14ac:dyDescent="0.25">
      <c r="A156" s="3">
        <v>155</v>
      </c>
      <c r="B156" s="5">
        <f>DATE(Table1[[#This Row],[Year]],Table1[[#This Row],[Month]],Table1[[#This Row],[Day]])</f>
        <v>44522</v>
      </c>
      <c r="C156" s="3">
        <v>22</v>
      </c>
      <c r="D156" s="3">
        <v>11</v>
      </c>
      <c r="E156" s="3">
        <v>2021</v>
      </c>
      <c r="F156" s="3" t="str">
        <f>"Qtr"&amp; " " &amp;CHOOSE(MONTH(Table1[[#This Row],[Date]]),1,1,1,2,2,2,3,3,3,4,4,4)</f>
        <v>Qtr 4</v>
      </c>
      <c r="G156" s="3" t="str">
        <f>TEXT(Table1[[#This Row],[Date]],"mmmm")</f>
        <v>November</v>
      </c>
      <c r="H156" s="3" t="s">
        <v>1081</v>
      </c>
      <c r="I156" s="3" t="s">
        <v>13</v>
      </c>
      <c r="J156" s="3">
        <v>9</v>
      </c>
      <c r="K156" s="3">
        <v>28888.3</v>
      </c>
      <c r="L156" s="3">
        <f>Table1[[#This Row],[Price Per Unit]]*Table1[[#This Row],[Units Sold]]</f>
        <v>259994.69999999998</v>
      </c>
      <c r="M156" s="3" t="s">
        <v>198</v>
      </c>
      <c r="N156" s="3">
        <v>25</v>
      </c>
      <c r="O156" s="3" t="s">
        <v>15</v>
      </c>
      <c r="P156" s="3" t="s">
        <v>21</v>
      </c>
      <c r="Q156" s="4">
        <v>5</v>
      </c>
      <c r="R156" s="4" t="str">
        <f>IF(Table1[[#This Row],[Customer Ratings]]&gt;=4, "Good",IF(Table1[[#This Row],[Customer Ratings]]=3, "Average","Poor"))</f>
        <v>Good</v>
      </c>
      <c r="S156" s="3" t="s">
        <v>72</v>
      </c>
    </row>
    <row r="157" spans="1:19" x14ac:dyDescent="0.25">
      <c r="A157" s="3">
        <v>156</v>
      </c>
      <c r="B157" s="5">
        <f>DATE(Table1[[#This Row],[Year]],Table1[[#This Row],[Month]],Table1[[#This Row],[Day]])</f>
        <v>44522</v>
      </c>
      <c r="C157" s="3">
        <v>22</v>
      </c>
      <c r="D157" s="3">
        <v>11</v>
      </c>
      <c r="E157" s="3">
        <v>2021</v>
      </c>
      <c r="F157" s="3" t="str">
        <f>"Qtr"&amp; " " &amp;CHOOSE(MONTH(Table1[[#This Row],[Date]]),1,1,1,2,2,2,3,3,3,4,4,4)</f>
        <v>Qtr 4</v>
      </c>
      <c r="G157" s="3" t="str">
        <f>TEXT(Table1[[#This Row],[Date]],"mmmm")</f>
        <v>November</v>
      </c>
      <c r="H157" s="3" t="s">
        <v>1081</v>
      </c>
      <c r="I157" s="3" t="s">
        <v>28</v>
      </c>
      <c r="J157" s="3">
        <v>4</v>
      </c>
      <c r="K157" s="3">
        <v>39129.86</v>
      </c>
      <c r="L157" s="3">
        <f>Table1[[#This Row],[Price Per Unit]]*Table1[[#This Row],[Units Sold]]</f>
        <v>156519.44</v>
      </c>
      <c r="M157" s="3" t="s">
        <v>199</v>
      </c>
      <c r="N157" s="3">
        <v>39</v>
      </c>
      <c r="O157" s="3" t="s">
        <v>58</v>
      </c>
      <c r="P157" s="3" t="s">
        <v>21</v>
      </c>
      <c r="Q157" s="4">
        <v>5</v>
      </c>
      <c r="R157" s="4" t="str">
        <f>IF(Table1[[#This Row],[Customer Ratings]]&gt;=4, "Good",IF(Table1[[#This Row],[Customer Ratings]]=3, "Average","Poor"))</f>
        <v>Good</v>
      </c>
      <c r="S157" s="3" t="s">
        <v>38</v>
      </c>
    </row>
    <row r="158" spans="1:19" x14ac:dyDescent="0.25">
      <c r="A158" s="3">
        <v>157</v>
      </c>
      <c r="B158" s="5">
        <f>DATE(Table1[[#This Row],[Year]],Table1[[#This Row],[Month]],Table1[[#This Row],[Day]])</f>
        <v>44522</v>
      </c>
      <c r="C158" s="3">
        <v>22</v>
      </c>
      <c r="D158" s="3">
        <v>11</v>
      </c>
      <c r="E158" s="3">
        <v>2021</v>
      </c>
      <c r="F158" s="3" t="str">
        <f>"Qtr"&amp; " " &amp;CHOOSE(MONTH(Table1[[#This Row],[Date]]),1,1,1,2,2,2,3,3,3,4,4,4)</f>
        <v>Qtr 4</v>
      </c>
      <c r="G158" s="3" t="str">
        <f>TEXT(Table1[[#This Row],[Date]],"mmmm")</f>
        <v>November</v>
      </c>
      <c r="H158" s="3" t="s">
        <v>1081</v>
      </c>
      <c r="I158" s="3" t="s">
        <v>28</v>
      </c>
      <c r="J158" s="3">
        <v>8</v>
      </c>
      <c r="K158" s="3">
        <v>38679.97</v>
      </c>
      <c r="L158" s="3">
        <f>Table1[[#This Row],[Price Per Unit]]*Table1[[#This Row],[Units Sold]]</f>
        <v>309439.76</v>
      </c>
      <c r="M158" s="3" t="s">
        <v>200</v>
      </c>
      <c r="N158" s="3">
        <v>42</v>
      </c>
      <c r="O158" s="3" t="s">
        <v>20</v>
      </c>
      <c r="P158" s="3" t="s">
        <v>31</v>
      </c>
      <c r="Q158" s="4">
        <v>5</v>
      </c>
      <c r="R158" s="4" t="str">
        <f>IF(Table1[[#This Row],[Customer Ratings]]&gt;=4, "Good",IF(Table1[[#This Row],[Customer Ratings]]=3, "Average","Poor"))</f>
        <v>Good</v>
      </c>
      <c r="S158" s="3" t="s">
        <v>38</v>
      </c>
    </row>
    <row r="159" spans="1:19" x14ac:dyDescent="0.25">
      <c r="A159" s="3">
        <v>158</v>
      </c>
      <c r="B159" s="5">
        <f>DATE(Table1[[#This Row],[Year]],Table1[[#This Row],[Month]],Table1[[#This Row],[Day]])</f>
        <v>44522</v>
      </c>
      <c r="C159" s="3">
        <v>22</v>
      </c>
      <c r="D159" s="3">
        <v>11</v>
      </c>
      <c r="E159" s="3">
        <v>2021</v>
      </c>
      <c r="F159" s="3" t="str">
        <f>"Qtr"&amp; " " &amp;CHOOSE(MONTH(Table1[[#This Row],[Date]]),1,1,1,2,2,2,3,3,3,4,4,4)</f>
        <v>Qtr 4</v>
      </c>
      <c r="G159" s="3" t="str">
        <f>TEXT(Table1[[#This Row],[Date]],"mmmm")</f>
        <v>November</v>
      </c>
      <c r="H159" s="3" t="s">
        <v>1081</v>
      </c>
      <c r="I159" s="3" t="s">
        <v>18</v>
      </c>
      <c r="J159" s="3">
        <v>3</v>
      </c>
      <c r="K159" s="3">
        <v>38281.99</v>
      </c>
      <c r="L159" s="3">
        <f>Table1[[#This Row],[Price Per Unit]]*Table1[[#This Row],[Units Sold]]</f>
        <v>114845.97</v>
      </c>
      <c r="M159" s="3" t="s">
        <v>201</v>
      </c>
      <c r="N159" s="3">
        <v>29</v>
      </c>
      <c r="O159" s="3" t="s">
        <v>30</v>
      </c>
      <c r="P159" s="3" t="s">
        <v>21</v>
      </c>
      <c r="Q159" s="4">
        <v>5</v>
      </c>
      <c r="R159" s="4" t="str">
        <f>IF(Table1[[#This Row],[Customer Ratings]]&gt;=4, "Good",IF(Table1[[#This Row],[Customer Ratings]]=3, "Average","Poor"))</f>
        <v>Good</v>
      </c>
      <c r="S159" s="3" t="s">
        <v>55</v>
      </c>
    </row>
    <row r="160" spans="1:19" x14ac:dyDescent="0.25">
      <c r="A160" s="3">
        <v>159</v>
      </c>
      <c r="B160" s="5">
        <f>DATE(Table1[[#This Row],[Year]],Table1[[#This Row],[Month]],Table1[[#This Row],[Day]])</f>
        <v>44523</v>
      </c>
      <c r="C160" s="3">
        <v>23</v>
      </c>
      <c r="D160" s="3">
        <v>11</v>
      </c>
      <c r="E160" s="3">
        <v>2021</v>
      </c>
      <c r="F160" s="3" t="str">
        <f>"Qtr"&amp; " " &amp;CHOOSE(MONTH(Table1[[#This Row],[Date]]),1,1,1,2,2,2,3,3,3,4,4,4)</f>
        <v>Qtr 4</v>
      </c>
      <c r="G160" s="3" t="str">
        <f>TEXT(Table1[[#This Row],[Date]],"mmmm")</f>
        <v>November</v>
      </c>
      <c r="H160" s="3" t="s">
        <v>1082</v>
      </c>
      <c r="I160" s="3" t="s">
        <v>28</v>
      </c>
      <c r="J160" s="3">
        <v>3</v>
      </c>
      <c r="K160" s="3">
        <v>20547.03</v>
      </c>
      <c r="L160" s="3">
        <f>Table1[[#This Row],[Price Per Unit]]*Table1[[#This Row],[Units Sold]]</f>
        <v>61641.09</v>
      </c>
      <c r="M160" s="3" t="s">
        <v>202</v>
      </c>
      <c r="N160" s="3">
        <v>26</v>
      </c>
      <c r="O160" s="3" t="s">
        <v>65</v>
      </c>
      <c r="P160" s="3" t="s">
        <v>21</v>
      </c>
      <c r="Q160" s="4">
        <v>3</v>
      </c>
      <c r="R160" s="4" t="str">
        <f>IF(Table1[[#This Row],[Customer Ratings]]&gt;=4, "Good",IF(Table1[[#This Row],[Customer Ratings]]=3, "Average","Poor"))</f>
        <v>Average</v>
      </c>
      <c r="S160" s="3" t="s">
        <v>38</v>
      </c>
    </row>
    <row r="161" spans="1:19" x14ac:dyDescent="0.25">
      <c r="A161" s="3">
        <v>160</v>
      </c>
      <c r="B161" s="5">
        <f>DATE(Table1[[#This Row],[Year]],Table1[[#This Row],[Month]],Table1[[#This Row],[Day]])</f>
        <v>44523</v>
      </c>
      <c r="C161" s="3">
        <v>23</v>
      </c>
      <c r="D161" s="3">
        <v>11</v>
      </c>
      <c r="E161" s="3">
        <v>2021</v>
      </c>
      <c r="F161" s="3" t="str">
        <f>"Qtr"&amp; " " &amp;CHOOSE(MONTH(Table1[[#This Row],[Date]]),1,1,1,2,2,2,3,3,3,4,4,4)</f>
        <v>Qtr 4</v>
      </c>
      <c r="G161" s="3" t="str">
        <f>TEXT(Table1[[#This Row],[Date]],"mmmm")</f>
        <v>November</v>
      </c>
      <c r="H161" s="3" t="s">
        <v>1082</v>
      </c>
      <c r="I161" s="3" t="s">
        <v>33</v>
      </c>
      <c r="J161" s="3">
        <v>8</v>
      </c>
      <c r="K161" s="3">
        <v>18695.95</v>
      </c>
      <c r="L161" s="3">
        <f>Table1[[#This Row],[Price Per Unit]]*Table1[[#This Row],[Units Sold]]</f>
        <v>149567.6</v>
      </c>
      <c r="M161" s="3" t="s">
        <v>203</v>
      </c>
      <c r="N161" s="3">
        <v>27</v>
      </c>
      <c r="O161" s="3" t="s">
        <v>125</v>
      </c>
      <c r="P161" s="3" t="s">
        <v>16</v>
      </c>
      <c r="Q161" s="4">
        <v>4</v>
      </c>
      <c r="R161" s="4" t="str">
        <f>IF(Table1[[#This Row],[Customer Ratings]]&gt;=4, "Good",IF(Table1[[#This Row],[Customer Ratings]]=3, "Average","Poor"))</f>
        <v>Good</v>
      </c>
      <c r="S161" s="3" t="s">
        <v>46</v>
      </c>
    </row>
    <row r="162" spans="1:19" x14ac:dyDescent="0.25">
      <c r="A162" s="3">
        <v>161</v>
      </c>
      <c r="B162" s="5">
        <f>DATE(Table1[[#This Row],[Year]],Table1[[#This Row],[Month]],Table1[[#This Row],[Day]])</f>
        <v>44523</v>
      </c>
      <c r="C162" s="3">
        <v>23</v>
      </c>
      <c r="D162" s="3">
        <v>11</v>
      </c>
      <c r="E162" s="3">
        <v>2021</v>
      </c>
      <c r="F162" s="3" t="str">
        <f>"Qtr"&amp; " " &amp;CHOOSE(MONTH(Table1[[#This Row],[Date]]),1,1,1,2,2,2,3,3,3,4,4,4)</f>
        <v>Qtr 4</v>
      </c>
      <c r="G162" s="3" t="str">
        <f>TEXT(Table1[[#This Row],[Date]],"mmmm")</f>
        <v>November</v>
      </c>
      <c r="H162" s="3" t="s">
        <v>1082</v>
      </c>
      <c r="I162" s="3" t="s">
        <v>18</v>
      </c>
      <c r="J162" s="3">
        <v>5</v>
      </c>
      <c r="K162" s="3">
        <v>25286.06</v>
      </c>
      <c r="L162" s="3">
        <f>Table1[[#This Row],[Price Per Unit]]*Table1[[#This Row],[Units Sold]]</f>
        <v>126430.3</v>
      </c>
      <c r="M162" s="3" t="s">
        <v>204</v>
      </c>
      <c r="N162" s="3">
        <v>27</v>
      </c>
      <c r="O162" s="3" t="s">
        <v>48</v>
      </c>
      <c r="P162" s="3" t="s">
        <v>16</v>
      </c>
      <c r="Q162" s="4">
        <v>5</v>
      </c>
      <c r="R162" s="4" t="str">
        <f>IF(Table1[[#This Row],[Customer Ratings]]&gt;=4, "Good",IF(Table1[[#This Row],[Customer Ratings]]=3, "Average","Poor"))</f>
        <v>Good</v>
      </c>
      <c r="S162" s="3" t="s">
        <v>55</v>
      </c>
    </row>
    <row r="163" spans="1:19" x14ac:dyDescent="0.25">
      <c r="A163" s="3">
        <v>162</v>
      </c>
      <c r="B163" s="5">
        <f>DATE(Table1[[#This Row],[Year]],Table1[[#This Row],[Month]],Table1[[#This Row],[Day]])</f>
        <v>44523</v>
      </c>
      <c r="C163" s="3">
        <v>23</v>
      </c>
      <c r="D163" s="3">
        <v>11</v>
      </c>
      <c r="E163" s="3">
        <v>2021</v>
      </c>
      <c r="F163" s="3" t="str">
        <f>"Qtr"&amp; " " &amp;CHOOSE(MONTH(Table1[[#This Row],[Date]]),1,1,1,2,2,2,3,3,3,4,4,4)</f>
        <v>Qtr 4</v>
      </c>
      <c r="G163" s="3" t="str">
        <f>TEXT(Table1[[#This Row],[Date]],"mmmm")</f>
        <v>November</v>
      </c>
      <c r="H163" s="3" t="s">
        <v>1082</v>
      </c>
      <c r="I163" s="3" t="s">
        <v>33</v>
      </c>
      <c r="J163" s="3">
        <v>3</v>
      </c>
      <c r="K163" s="3">
        <v>64871.57</v>
      </c>
      <c r="L163" s="3">
        <f>Table1[[#This Row],[Price Per Unit]]*Table1[[#This Row],[Units Sold]]</f>
        <v>194614.71</v>
      </c>
      <c r="M163" s="3" t="s">
        <v>205</v>
      </c>
      <c r="N163" s="3">
        <v>26</v>
      </c>
      <c r="O163" s="3" t="s">
        <v>24</v>
      </c>
      <c r="P163" s="3" t="s">
        <v>21</v>
      </c>
      <c r="Q163" s="4">
        <v>5</v>
      </c>
      <c r="R163" s="4" t="str">
        <f>IF(Table1[[#This Row],[Customer Ratings]]&gt;=4, "Good",IF(Table1[[#This Row],[Customer Ratings]]=3, "Average","Poor"))</f>
        <v>Good</v>
      </c>
      <c r="S163" s="3" t="s">
        <v>36</v>
      </c>
    </row>
    <row r="164" spans="1:19" x14ac:dyDescent="0.25">
      <c r="A164" s="3">
        <v>163</v>
      </c>
      <c r="B164" s="5">
        <f>DATE(Table1[[#This Row],[Year]],Table1[[#This Row],[Month]],Table1[[#This Row],[Day]])</f>
        <v>44524</v>
      </c>
      <c r="C164" s="3">
        <v>24</v>
      </c>
      <c r="D164" s="3">
        <v>11</v>
      </c>
      <c r="E164" s="3">
        <v>2021</v>
      </c>
      <c r="F164" s="3" t="str">
        <f>"Qtr"&amp; " " &amp;CHOOSE(MONTH(Table1[[#This Row],[Date]]),1,1,1,2,2,2,3,3,3,4,4,4)</f>
        <v>Qtr 4</v>
      </c>
      <c r="G164" s="3" t="str">
        <f>TEXT(Table1[[#This Row],[Date]],"mmmm")</f>
        <v>November</v>
      </c>
      <c r="H164" s="3" t="s">
        <v>1083</v>
      </c>
      <c r="I164" s="3" t="s">
        <v>13</v>
      </c>
      <c r="J164" s="3">
        <v>1</v>
      </c>
      <c r="K164" s="3">
        <v>16783.18</v>
      </c>
      <c r="L164" s="3">
        <f>Table1[[#This Row],[Price Per Unit]]*Table1[[#This Row],[Units Sold]]</f>
        <v>16783.18</v>
      </c>
      <c r="M164" s="3" t="s">
        <v>145</v>
      </c>
      <c r="N164" s="3">
        <v>43</v>
      </c>
      <c r="O164" s="3" t="s">
        <v>24</v>
      </c>
      <c r="P164" s="3" t="s">
        <v>21</v>
      </c>
      <c r="Q164" s="4">
        <v>3</v>
      </c>
      <c r="R164" s="4" t="str">
        <f>IF(Table1[[#This Row],[Customer Ratings]]&gt;=4, "Good",IF(Table1[[#This Row],[Customer Ratings]]=3, "Average","Poor"))</f>
        <v>Average</v>
      </c>
      <c r="S164" s="3" t="s">
        <v>17</v>
      </c>
    </row>
    <row r="165" spans="1:19" x14ac:dyDescent="0.25">
      <c r="A165" s="3">
        <v>164</v>
      </c>
      <c r="B165" s="5">
        <f>DATE(Table1[[#This Row],[Year]],Table1[[#This Row],[Month]],Table1[[#This Row],[Day]])</f>
        <v>44524</v>
      </c>
      <c r="C165" s="3">
        <v>24</v>
      </c>
      <c r="D165" s="3">
        <v>11</v>
      </c>
      <c r="E165" s="3">
        <v>2021</v>
      </c>
      <c r="F165" s="3" t="str">
        <f>"Qtr"&amp; " " &amp;CHOOSE(MONTH(Table1[[#This Row],[Date]]),1,1,1,2,2,2,3,3,3,4,4,4)</f>
        <v>Qtr 4</v>
      </c>
      <c r="G165" s="3" t="str">
        <f>TEXT(Table1[[#This Row],[Date]],"mmmm")</f>
        <v>November</v>
      </c>
      <c r="H165" s="3" t="s">
        <v>1083</v>
      </c>
      <c r="I165" s="3" t="s">
        <v>18</v>
      </c>
      <c r="J165" s="3">
        <v>3</v>
      </c>
      <c r="K165" s="3">
        <v>55445.51</v>
      </c>
      <c r="L165" s="3">
        <f>Table1[[#This Row],[Price Per Unit]]*Table1[[#This Row],[Units Sold]]</f>
        <v>166336.53</v>
      </c>
      <c r="M165" s="3" t="s">
        <v>206</v>
      </c>
      <c r="N165" s="3">
        <v>52</v>
      </c>
      <c r="O165" s="3" t="s">
        <v>24</v>
      </c>
      <c r="P165" s="3" t="s">
        <v>21</v>
      </c>
      <c r="Q165" s="4">
        <v>5</v>
      </c>
      <c r="R165" s="4" t="str">
        <f>IF(Table1[[#This Row],[Customer Ratings]]&gt;=4, "Good",IF(Table1[[#This Row],[Customer Ratings]]=3, "Average","Poor"))</f>
        <v>Good</v>
      </c>
      <c r="S165" s="3" t="s">
        <v>22</v>
      </c>
    </row>
    <row r="166" spans="1:19" x14ac:dyDescent="0.25">
      <c r="A166" s="3">
        <v>165</v>
      </c>
      <c r="B166" s="5">
        <f>DATE(Table1[[#This Row],[Year]],Table1[[#This Row],[Month]],Table1[[#This Row],[Day]])</f>
        <v>44524</v>
      </c>
      <c r="C166" s="3">
        <v>24</v>
      </c>
      <c r="D166" s="3">
        <v>11</v>
      </c>
      <c r="E166" s="3">
        <v>2021</v>
      </c>
      <c r="F166" s="3" t="str">
        <f>"Qtr"&amp; " " &amp;CHOOSE(MONTH(Table1[[#This Row],[Date]]),1,1,1,2,2,2,3,3,3,4,4,4)</f>
        <v>Qtr 4</v>
      </c>
      <c r="G166" s="3" t="str">
        <f>TEXT(Table1[[#This Row],[Date]],"mmmm")</f>
        <v>November</v>
      </c>
      <c r="H166" s="3" t="s">
        <v>1083</v>
      </c>
      <c r="I166" s="3" t="s">
        <v>13</v>
      </c>
      <c r="J166" s="3">
        <v>9</v>
      </c>
      <c r="K166" s="3">
        <v>55452.9</v>
      </c>
      <c r="L166" s="3">
        <f>Table1[[#This Row],[Price Per Unit]]*Table1[[#This Row],[Units Sold]]</f>
        <v>499076.10000000003</v>
      </c>
      <c r="M166" s="3" t="s">
        <v>207</v>
      </c>
      <c r="N166" s="3">
        <v>44</v>
      </c>
      <c r="O166" s="3" t="s">
        <v>15</v>
      </c>
      <c r="P166" s="3" t="s">
        <v>31</v>
      </c>
      <c r="Q166" s="4">
        <v>5</v>
      </c>
      <c r="R166" s="4" t="str">
        <f>IF(Table1[[#This Row],[Customer Ratings]]&gt;=4, "Good",IF(Table1[[#This Row],[Customer Ratings]]=3, "Average","Poor"))</f>
        <v>Good</v>
      </c>
      <c r="S166" s="3" t="s">
        <v>17</v>
      </c>
    </row>
    <row r="167" spans="1:19" x14ac:dyDescent="0.25">
      <c r="A167" s="3">
        <v>166</v>
      </c>
      <c r="B167" s="5">
        <f>DATE(Table1[[#This Row],[Year]],Table1[[#This Row],[Month]],Table1[[#This Row],[Day]])</f>
        <v>44524</v>
      </c>
      <c r="C167" s="3">
        <v>24</v>
      </c>
      <c r="D167" s="3">
        <v>11</v>
      </c>
      <c r="E167" s="3">
        <v>2021</v>
      </c>
      <c r="F167" s="3" t="str">
        <f>"Qtr"&amp; " " &amp;CHOOSE(MONTH(Table1[[#This Row],[Date]]),1,1,1,2,2,2,3,3,3,4,4,4)</f>
        <v>Qtr 4</v>
      </c>
      <c r="G167" s="3" t="str">
        <f>TEXT(Table1[[#This Row],[Date]],"mmmm")</f>
        <v>November</v>
      </c>
      <c r="H167" s="3" t="s">
        <v>1083</v>
      </c>
      <c r="I167" s="3" t="s">
        <v>18</v>
      </c>
      <c r="J167" s="3">
        <v>5</v>
      </c>
      <c r="K167" s="3">
        <v>58586.22</v>
      </c>
      <c r="L167" s="3">
        <f>Table1[[#This Row],[Price Per Unit]]*Table1[[#This Row],[Units Sold]]</f>
        <v>292931.09999999998</v>
      </c>
      <c r="M167" s="3" t="s">
        <v>208</v>
      </c>
      <c r="N167" s="3">
        <v>48</v>
      </c>
      <c r="O167" s="3" t="s">
        <v>20</v>
      </c>
      <c r="P167" s="3" t="s">
        <v>16</v>
      </c>
      <c r="Q167" s="4">
        <v>5</v>
      </c>
      <c r="R167" s="4" t="str">
        <f>IF(Table1[[#This Row],[Customer Ratings]]&gt;=4, "Good",IF(Table1[[#This Row],[Customer Ratings]]=3, "Average","Poor"))</f>
        <v>Good</v>
      </c>
      <c r="S167" s="3" t="s">
        <v>25</v>
      </c>
    </row>
    <row r="168" spans="1:19" x14ac:dyDescent="0.25">
      <c r="A168" s="3">
        <v>167</v>
      </c>
      <c r="B168" s="5">
        <f>DATE(Table1[[#This Row],[Year]],Table1[[#This Row],[Month]],Table1[[#This Row],[Day]])</f>
        <v>44525</v>
      </c>
      <c r="C168" s="3">
        <v>25</v>
      </c>
      <c r="D168" s="3">
        <v>11</v>
      </c>
      <c r="E168" s="3">
        <v>2021</v>
      </c>
      <c r="F168" s="3" t="str">
        <f>"Qtr"&amp; " " &amp;CHOOSE(MONTH(Table1[[#This Row],[Date]]),1,1,1,2,2,2,3,3,3,4,4,4)</f>
        <v>Qtr 4</v>
      </c>
      <c r="G168" s="3" t="str">
        <f>TEXT(Table1[[#This Row],[Date]],"mmmm")</f>
        <v>November</v>
      </c>
      <c r="H168" s="3" t="s">
        <v>1084</v>
      </c>
      <c r="I168" s="3" t="s">
        <v>39</v>
      </c>
      <c r="J168" s="3">
        <v>2</v>
      </c>
      <c r="K168" s="3">
        <v>63196.93</v>
      </c>
      <c r="L168" s="3">
        <f>Table1[[#This Row],[Price Per Unit]]*Table1[[#This Row],[Units Sold]]</f>
        <v>126393.86</v>
      </c>
      <c r="M168" s="3" t="s">
        <v>209</v>
      </c>
      <c r="N168" s="3">
        <v>36</v>
      </c>
      <c r="O168" s="3" t="s">
        <v>20</v>
      </c>
      <c r="P168" s="3" t="s">
        <v>21</v>
      </c>
      <c r="Q168" s="4">
        <v>5</v>
      </c>
      <c r="R168" s="4" t="str">
        <f>IF(Table1[[#This Row],[Customer Ratings]]&gt;=4, "Good",IF(Table1[[#This Row],[Customer Ratings]]=3, "Average","Poor"))</f>
        <v>Good</v>
      </c>
      <c r="S168" s="3" t="s">
        <v>42</v>
      </c>
    </row>
    <row r="169" spans="1:19" x14ac:dyDescent="0.25">
      <c r="A169" s="3">
        <v>168</v>
      </c>
      <c r="B169" s="5">
        <f>DATE(Table1[[#This Row],[Year]],Table1[[#This Row],[Month]],Table1[[#This Row],[Day]])</f>
        <v>44525</v>
      </c>
      <c r="C169" s="3">
        <v>25</v>
      </c>
      <c r="D169" s="3">
        <v>11</v>
      </c>
      <c r="E169" s="3">
        <v>2021</v>
      </c>
      <c r="F169" s="3" t="str">
        <f>"Qtr"&amp; " " &amp;CHOOSE(MONTH(Table1[[#This Row],[Date]]),1,1,1,2,2,2,3,3,3,4,4,4)</f>
        <v>Qtr 4</v>
      </c>
      <c r="G169" s="3" t="str">
        <f>TEXT(Table1[[#This Row],[Date]],"mmmm")</f>
        <v>November</v>
      </c>
      <c r="H169" s="3" t="s">
        <v>1084</v>
      </c>
      <c r="I169" s="3" t="s">
        <v>28</v>
      </c>
      <c r="J169" s="3">
        <v>7</v>
      </c>
      <c r="K169" s="3">
        <v>25782.17</v>
      </c>
      <c r="L169" s="3">
        <f>Table1[[#This Row],[Price Per Unit]]*Table1[[#This Row],[Units Sold]]</f>
        <v>180475.19</v>
      </c>
      <c r="M169" s="3" t="s">
        <v>210</v>
      </c>
      <c r="N169" s="3">
        <v>55</v>
      </c>
      <c r="O169" s="3" t="s">
        <v>24</v>
      </c>
      <c r="P169" s="3" t="s">
        <v>45</v>
      </c>
      <c r="Q169" s="4">
        <v>5</v>
      </c>
      <c r="R169" s="4" t="str">
        <f>IF(Table1[[#This Row],[Customer Ratings]]&gt;=4, "Good",IF(Table1[[#This Row],[Customer Ratings]]=3, "Average","Poor"))</f>
        <v>Good</v>
      </c>
      <c r="S169" s="3" t="s">
        <v>38</v>
      </c>
    </row>
    <row r="170" spans="1:19" x14ac:dyDescent="0.25">
      <c r="A170" s="3">
        <v>169</v>
      </c>
      <c r="B170" s="5">
        <f>DATE(Table1[[#This Row],[Year]],Table1[[#This Row],[Month]],Table1[[#This Row],[Day]])</f>
        <v>44525</v>
      </c>
      <c r="C170" s="3">
        <v>25</v>
      </c>
      <c r="D170" s="3">
        <v>11</v>
      </c>
      <c r="E170" s="3">
        <v>2021</v>
      </c>
      <c r="F170" s="3" t="str">
        <f>"Qtr"&amp; " " &amp;CHOOSE(MONTH(Table1[[#This Row],[Date]]),1,1,1,2,2,2,3,3,3,4,4,4)</f>
        <v>Qtr 4</v>
      </c>
      <c r="G170" s="3" t="str">
        <f>TEXT(Table1[[#This Row],[Date]],"mmmm")</f>
        <v>November</v>
      </c>
      <c r="H170" s="3" t="s">
        <v>1084</v>
      </c>
      <c r="I170" s="3" t="s">
        <v>39</v>
      </c>
      <c r="J170" s="3">
        <v>2</v>
      </c>
      <c r="K170" s="3">
        <v>23473.57</v>
      </c>
      <c r="L170" s="3">
        <f>Table1[[#This Row],[Price Per Unit]]*Table1[[#This Row],[Units Sold]]</f>
        <v>46947.14</v>
      </c>
      <c r="M170" s="3" t="s">
        <v>206</v>
      </c>
      <c r="N170" s="3">
        <v>23</v>
      </c>
      <c r="O170" s="3" t="s">
        <v>105</v>
      </c>
      <c r="P170" s="3" t="s">
        <v>21</v>
      </c>
      <c r="Q170" s="4">
        <v>5</v>
      </c>
      <c r="R170" s="4" t="str">
        <f>IF(Table1[[#This Row],[Customer Ratings]]&gt;=4, "Good",IF(Table1[[#This Row],[Customer Ratings]]=3, "Average","Poor"))</f>
        <v>Good</v>
      </c>
      <c r="S170" s="3" t="s">
        <v>90</v>
      </c>
    </row>
    <row r="171" spans="1:19" x14ac:dyDescent="0.25">
      <c r="A171" s="3">
        <v>170</v>
      </c>
      <c r="B171" s="5">
        <f>DATE(Table1[[#This Row],[Year]],Table1[[#This Row],[Month]],Table1[[#This Row],[Day]])</f>
        <v>44526</v>
      </c>
      <c r="C171" s="3">
        <v>26</v>
      </c>
      <c r="D171" s="3">
        <v>11</v>
      </c>
      <c r="E171" s="3">
        <v>2021</v>
      </c>
      <c r="F171" s="3" t="str">
        <f>"Qtr"&amp; " " &amp;CHOOSE(MONTH(Table1[[#This Row],[Date]]),1,1,1,2,2,2,3,3,3,4,4,4)</f>
        <v>Qtr 4</v>
      </c>
      <c r="G171" s="3" t="str">
        <f>TEXT(Table1[[#This Row],[Date]],"mmmm")</f>
        <v>November</v>
      </c>
      <c r="H171" s="3" t="s">
        <v>1085</v>
      </c>
      <c r="I171" s="3" t="s">
        <v>13</v>
      </c>
      <c r="J171" s="3">
        <v>4</v>
      </c>
      <c r="K171" s="3">
        <v>37930.339999999997</v>
      </c>
      <c r="L171" s="3">
        <f>Table1[[#This Row],[Price Per Unit]]*Table1[[#This Row],[Units Sold]]</f>
        <v>151721.35999999999</v>
      </c>
      <c r="M171" s="3" t="s">
        <v>211</v>
      </c>
      <c r="N171" s="3">
        <v>32</v>
      </c>
      <c r="O171" s="3" t="s">
        <v>41</v>
      </c>
      <c r="P171" s="3" t="s">
        <v>45</v>
      </c>
      <c r="Q171" s="4">
        <v>5</v>
      </c>
      <c r="R171" s="4" t="str">
        <f>IF(Table1[[#This Row],[Customer Ratings]]&gt;=4, "Good",IF(Table1[[#This Row],[Customer Ratings]]=3, "Average","Poor"))</f>
        <v>Good</v>
      </c>
      <c r="S171" s="3" t="s">
        <v>72</v>
      </c>
    </row>
    <row r="172" spans="1:19" x14ac:dyDescent="0.25">
      <c r="A172" s="3">
        <v>171</v>
      </c>
      <c r="B172" s="5">
        <f>DATE(Table1[[#This Row],[Year]],Table1[[#This Row],[Month]],Table1[[#This Row],[Day]])</f>
        <v>44526</v>
      </c>
      <c r="C172" s="3">
        <v>26</v>
      </c>
      <c r="D172" s="3">
        <v>11</v>
      </c>
      <c r="E172" s="3">
        <v>2021</v>
      </c>
      <c r="F172" s="3" t="str">
        <f>"Qtr"&amp; " " &amp;CHOOSE(MONTH(Table1[[#This Row],[Date]]),1,1,1,2,2,2,3,3,3,4,4,4)</f>
        <v>Qtr 4</v>
      </c>
      <c r="G172" s="3" t="str">
        <f>TEXT(Table1[[#This Row],[Date]],"mmmm")</f>
        <v>November</v>
      </c>
      <c r="H172" s="3" t="s">
        <v>1085</v>
      </c>
      <c r="I172" s="3" t="s">
        <v>28</v>
      </c>
      <c r="J172" s="3">
        <v>7</v>
      </c>
      <c r="K172" s="3">
        <v>25905.35</v>
      </c>
      <c r="L172" s="3">
        <f>Table1[[#This Row],[Price Per Unit]]*Table1[[#This Row],[Units Sold]]</f>
        <v>181337.44999999998</v>
      </c>
      <c r="M172" s="3" t="s">
        <v>138</v>
      </c>
      <c r="N172" s="3">
        <v>46</v>
      </c>
      <c r="O172" s="3" t="s">
        <v>20</v>
      </c>
      <c r="P172" s="3" t="s">
        <v>31</v>
      </c>
      <c r="Q172" s="4">
        <v>5</v>
      </c>
      <c r="R172" s="4" t="str">
        <f>IF(Table1[[#This Row],[Customer Ratings]]&gt;=4, "Good",IF(Table1[[#This Row],[Customer Ratings]]=3, "Average","Poor"))</f>
        <v>Good</v>
      </c>
      <c r="S172" s="3" t="s">
        <v>32</v>
      </c>
    </row>
    <row r="173" spans="1:19" x14ac:dyDescent="0.25">
      <c r="A173" s="3">
        <v>172</v>
      </c>
      <c r="B173" s="5">
        <f>DATE(Table1[[#This Row],[Year]],Table1[[#This Row],[Month]],Table1[[#This Row],[Day]])</f>
        <v>44526</v>
      </c>
      <c r="C173" s="3">
        <v>26</v>
      </c>
      <c r="D173" s="3">
        <v>11</v>
      </c>
      <c r="E173" s="3">
        <v>2021</v>
      </c>
      <c r="F173" s="3" t="str">
        <f>"Qtr"&amp; " " &amp;CHOOSE(MONTH(Table1[[#This Row],[Date]]),1,1,1,2,2,2,3,3,3,4,4,4)</f>
        <v>Qtr 4</v>
      </c>
      <c r="G173" s="3" t="str">
        <f>TEXT(Table1[[#This Row],[Date]],"mmmm")</f>
        <v>November</v>
      </c>
      <c r="H173" s="3" t="s">
        <v>1085</v>
      </c>
      <c r="I173" s="3" t="s">
        <v>18</v>
      </c>
      <c r="J173" s="3">
        <v>4</v>
      </c>
      <c r="K173" s="3">
        <v>54058.6</v>
      </c>
      <c r="L173" s="3">
        <f>Table1[[#This Row],[Price Per Unit]]*Table1[[#This Row],[Units Sold]]</f>
        <v>216234.4</v>
      </c>
      <c r="M173" s="3" t="s">
        <v>212</v>
      </c>
      <c r="N173" s="3">
        <v>22</v>
      </c>
      <c r="O173" s="3" t="s">
        <v>20</v>
      </c>
      <c r="P173" s="3" t="s">
        <v>45</v>
      </c>
      <c r="Q173" s="4">
        <v>5</v>
      </c>
      <c r="R173" s="4" t="str">
        <f>IF(Table1[[#This Row],[Customer Ratings]]&gt;=4, "Good",IF(Table1[[#This Row],[Customer Ratings]]=3, "Average","Poor"))</f>
        <v>Good</v>
      </c>
      <c r="S173" s="3" t="s">
        <v>55</v>
      </c>
    </row>
    <row r="174" spans="1:19" x14ac:dyDescent="0.25">
      <c r="A174" s="3">
        <v>173</v>
      </c>
      <c r="B174" s="5">
        <f>DATE(Table1[[#This Row],[Year]],Table1[[#This Row],[Month]],Table1[[#This Row],[Day]])</f>
        <v>44526</v>
      </c>
      <c r="C174" s="3">
        <v>26</v>
      </c>
      <c r="D174" s="3">
        <v>11</v>
      </c>
      <c r="E174" s="3">
        <v>2021</v>
      </c>
      <c r="F174" s="3" t="str">
        <f>"Qtr"&amp; " " &amp;CHOOSE(MONTH(Table1[[#This Row],[Date]]),1,1,1,2,2,2,3,3,3,4,4,4)</f>
        <v>Qtr 4</v>
      </c>
      <c r="G174" s="3" t="str">
        <f>TEXT(Table1[[#This Row],[Date]],"mmmm")</f>
        <v>November</v>
      </c>
      <c r="H174" s="3" t="s">
        <v>1085</v>
      </c>
      <c r="I174" s="3" t="s">
        <v>28</v>
      </c>
      <c r="J174" s="3">
        <v>7</v>
      </c>
      <c r="K174" s="3">
        <v>48156.37</v>
      </c>
      <c r="L174" s="3">
        <f>Table1[[#This Row],[Price Per Unit]]*Table1[[#This Row],[Units Sold]]</f>
        <v>337094.59</v>
      </c>
      <c r="M174" s="3" t="s">
        <v>213</v>
      </c>
      <c r="N174" s="3">
        <v>31</v>
      </c>
      <c r="O174" s="3" t="s">
        <v>125</v>
      </c>
      <c r="P174" s="3" t="s">
        <v>16</v>
      </c>
      <c r="Q174" s="4">
        <v>5</v>
      </c>
      <c r="R174" s="4" t="str">
        <f>IF(Table1[[#This Row],[Customer Ratings]]&gt;=4, "Good",IF(Table1[[#This Row],[Customer Ratings]]=3, "Average","Poor"))</f>
        <v>Good</v>
      </c>
      <c r="S174" s="3" t="s">
        <v>87</v>
      </c>
    </row>
    <row r="175" spans="1:19" x14ac:dyDescent="0.25">
      <c r="A175" s="3">
        <v>174</v>
      </c>
      <c r="B175" s="5">
        <f>DATE(Table1[[#This Row],[Year]],Table1[[#This Row],[Month]],Table1[[#This Row],[Day]])</f>
        <v>44527</v>
      </c>
      <c r="C175" s="3">
        <v>27</v>
      </c>
      <c r="D175" s="3">
        <v>11</v>
      </c>
      <c r="E175" s="3">
        <v>2021</v>
      </c>
      <c r="F175" s="3" t="str">
        <f>"Qtr"&amp; " " &amp;CHOOSE(MONTH(Table1[[#This Row],[Date]]),1,1,1,2,2,2,3,3,3,4,4,4)</f>
        <v>Qtr 4</v>
      </c>
      <c r="G175" s="3" t="str">
        <f>TEXT(Table1[[#This Row],[Date]],"mmmm")</f>
        <v>November</v>
      </c>
      <c r="H175" s="3" t="s">
        <v>1079</v>
      </c>
      <c r="I175" s="3" t="s">
        <v>33</v>
      </c>
      <c r="J175" s="3">
        <v>7</v>
      </c>
      <c r="K175" s="3">
        <v>62499.26</v>
      </c>
      <c r="L175" s="3">
        <f>Table1[[#This Row],[Price Per Unit]]*Table1[[#This Row],[Units Sold]]</f>
        <v>437494.82</v>
      </c>
      <c r="M175" s="3" t="s">
        <v>214</v>
      </c>
      <c r="N175" s="3">
        <v>19</v>
      </c>
      <c r="O175" s="3" t="s">
        <v>120</v>
      </c>
      <c r="P175" s="3" t="s">
        <v>31</v>
      </c>
      <c r="Q175" s="4">
        <v>5</v>
      </c>
      <c r="R175" s="4" t="str">
        <f>IF(Table1[[#This Row],[Customer Ratings]]&gt;=4, "Good",IF(Table1[[#This Row],[Customer Ratings]]=3, "Average","Poor"))</f>
        <v>Good</v>
      </c>
      <c r="S175" s="3" t="s">
        <v>46</v>
      </c>
    </row>
    <row r="176" spans="1:19" x14ac:dyDescent="0.25">
      <c r="A176" s="3">
        <v>175</v>
      </c>
      <c r="B176" s="5">
        <f>DATE(Table1[[#This Row],[Year]],Table1[[#This Row],[Month]],Table1[[#This Row],[Day]])</f>
        <v>44527</v>
      </c>
      <c r="C176" s="3">
        <v>27</v>
      </c>
      <c r="D176" s="3">
        <v>11</v>
      </c>
      <c r="E176" s="3">
        <v>2021</v>
      </c>
      <c r="F176" s="3" t="str">
        <f>"Qtr"&amp; " " &amp;CHOOSE(MONTH(Table1[[#This Row],[Date]]),1,1,1,2,2,2,3,3,3,4,4,4)</f>
        <v>Qtr 4</v>
      </c>
      <c r="G176" s="3" t="str">
        <f>TEXT(Table1[[#This Row],[Date]],"mmmm")</f>
        <v>November</v>
      </c>
      <c r="H176" s="3" t="s">
        <v>1079</v>
      </c>
      <c r="I176" s="3" t="s">
        <v>28</v>
      </c>
      <c r="J176" s="3">
        <v>1</v>
      </c>
      <c r="K176" s="3">
        <v>14964.3</v>
      </c>
      <c r="L176" s="3">
        <f>Table1[[#This Row],[Price Per Unit]]*Table1[[#This Row],[Units Sold]]</f>
        <v>14964.3</v>
      </c>
      <c r="M176" s="3" t="s">
        <v>192</v>
      </c>
      <c r="N176" s="3">
        <v>40</v>
      </c>
      <c r="O176" s="3" t="s">
        <v>54</v>
      </c>
      <c r="P176" s="3" t="s">
        <v>31</v>
      </c>
      <c r="Q176" s="4">
        <v>5</v>
      </c>
      <c r="R176" s="4" t="str">
        <f>IF(Table1[[#This Row],[Customer Ratings]]&gt;=4, "Good",IF(Table1[[#This Row],[Customer Ratings]]=3, "Average","Poor"))</f>
        <v>Good</v>
      </c>
      <c r="S176" s="3" t="s">
        <v>87</v>
      </c>
    </row>
    <row r="177" spans="1:19" x14ac:dyDescent="0.25">
      <c r="A177" s="3">
        <v>176</v>
      </c>
      <c r="B177" s="5">
        <f>DATE(Table1[[#This Row],[Year]],Table1[[#This Row],[Month]],Table1[[#This Row],[Day]])</f>
        <v>44527</v>
      </c>
      <c r="C177" s="3">
        <v>27</v>
      </c>
      <c r="D177" s="3">
        <v>11</v>
      </c>
      <c r="E177" s="3">
        <v>2021</v>
      </c>
      <c r="F177" s="3" t="str">
        <f>"Qtr"&amp; " " &amp;CHOOSE(MONTH(Table1[[#This Row],[Date]]),1,1,1,2,2,2,3,3,3,4,4,4)</f>
        <v>Qtr 4</v>
      </c>
      <c r="G177" s="3" t="str">
        <f>TEXT(Table1[[#This Row],[Date]],"mmmm")</f>
        <v>November</v>
      </c>
      <c r="H177" s="3" t="s">
        <v>1079</v>
      </c>
      <c r="I177" s="3" t="s">
        <v>33</v>
      </c>
      <c r="J177" s="3">
        <v>6</v>
      </c>
      <c r="K177" s="3">
        <v>64905</v>
      </c>
      <c r="L177" s="3">
        <f>Table1[[#This Row],[Price Per Unit]]*Table1[[#This Row],[Units Sold]]</f>
        <v>389430</v>
      </c>
      <c r="M177" s="3" t="s">
        <v>215</v>
      </c>
      <c r="N177" s="3">
        <v>36</v>
      </c>
      <c r="O177" s="3" t="s">
        <v>137</v>
      </c>
      <c r="P177" s="3" t="s">
        <v>21</v>
      </c>
      <c r="Q177" s="4">
        <v>5</v>
      </c>
      <c r="R177" s="4" t="str">
        <f>IF(Table1[[#This Row],[Customer Ratings]]&gt;=4, "Good",IF(Table1[[#This Row],[Customer Ratings]]=3, "Average","Poor"))</f>
        <v>Good</v>
      </c>
      <c r="S177" s="3" t="s">
        <v>46</v>
      </c>
    </row>
    <row r="178" spans="1:19" x14ac:dyDescent="0.25">
      <c r="A178" s="3">
        <v>177</v>
      </c>
      <c r="B178" s="5">
        <f>DATE(Table1[[#This Row],[Year]],Table1[[#This Row],[Month]],Table1[[#This Row],[Day]])</f>
        <v>44527</v>
      </c>
      <c r="C178" s="3">
        <v>27</v>
      </c>
      <c r="D178" s="3">
        <v>11</v>
      </c>
      <c r="E178" s="3">
        <v>2021</v>
      </c>
      <c r="F178" s="3" t="str">
        <f>"Qtr"&amp; " " &amp;CHOOSE(MONTH(Table1[[#This Row],[Date]]),1,1,1,2,2,2,3,3,3,4,4,4)</f>
        <v>Qtr 4</v>
      </c>
      <c r="G178" s="3" t="str">
        <f>TEXT(Table1[[#This Row],[Date]],"mmmm")</f>
        <v>November</v>
      </c>
      <c r="H178" s="3" t="s">
        <v>1079</v>
      </c>
      <c r="I178" s="3" t="s">
        <v>28</v>
      </c>
      <c r="J178" s="3">
        <v>9</v>
      </c>
      <c r="K178" s="3">
        <v>27600.92</v>
      </c>
      <c r="L178" s="3">
        <f>Table1[[#This Row],[Price Per Unit]]*Table1[[#This Row],[Units Sold]]</f>
        <v>248408.27999999997</v>
      </c>
      <c r="M178" s="3" t="s">
        <v>216</v>
      </c>
      <c r="N178" s="3">
        <v>41</v>
      </c>
      <c r="O178" s="3" t="s">
        <v>58</v>
      </c>
      <c r="P178" s="3" t="s">
        <v>31</v>
      </c>
      <c r="Q178" s="4">
        <v>3</v>
      </c>
      <c r="R178" s="4" t="str">
        <f>IF(Table1[[#This Row],[Customer Ratings]]&gt;=4, "Good",IF(Table1[[#This Row],[Customer Ratings]]=3, "Average","Poor"))</f>
        <v>Average</v>
      </c>
      <c r="S178" s="3" t="s">
        <v>38</v>
      </c>
    </row>
    <row r="179" spans="1:19" x14ac:dyDescent="0.25">
      <c r="A179" s="3">
        <v>178</v>
      </c>
      <c r="B179" s="5">
        <f>DATE(Table1[[#This Row],[Year]],Table1[[#This Row],[Month]],Table1[[#This Row],[Day]])</f>
        <v>44528</v>
      </c>
      <c r="C179" s="3">
        <v>28</v>
      </c>
      <c r="D179" s="3">
        <v>11</v>
      </c>
      <c r="E179" s="3">
        <v>2021</v>
      </c>
      <c r="F179" s="3" t="str">
        <f>"Qtr"&amp; " " &amp;CHOOSE(MONTH(Table1[[#This Row],[Date]]),1,1,1,2,2,2,3,3,3,4,4,4)</f>
        <v>Qtr 4</v>
      </c>
      <c r="G179" s="3" t="str">
        <f>TEXT(Table1[[#This Row],[Date]],"mmmm")</f>
        <v>November</v>
      </c>
      <c r="H179" s="3" t="s">
        <v>1080</v>
      </c>
      <c r="I179" s="3" t="s">
        <v>33</v>
      </c>
      <c r="J179" s="3">
        <v>2</v>
      </c>
      <c r="K179" s="3">
        <v>39441.660000000003</v>
      </c>
      <c r="L179" s="3">
        <f>Table1[[#This Row],[Price Per Unit]]*Table1[[#This Row],[Units Sold]]</f>
        <v>78883.320000000007</v>
      </c>
      <c r="M179" s="3" t="s">
        <v>217</v>
      </c>
      <c r="N179" s="3">
        <v>37</v>
      </c>
      <c r="O179" s="3" t="s">
        <v>20</v>
      </c>
      <c r="P179" s="3" t="s">
        <v>31</v>
      </c>
      <c r="Q179" s="4">
        <v>5</v>
      </c>
      <c r="R179" s="4" t="str">
        <f>IF(Table1[[#This Row],[Customer Ratings]]&gt;=4, "Good",IF(Table1[[#This Row],[Customer Ratings]]=3, "Average","Poor"))</f>
        <v>Good</v>
      </c>
      <c r="S179" s="3" t="s">
        <v>36</v>
      </c>
    </row>
    <row r="180" spans="1:19" x14ac:dyDescent="0.25">
      <c r="A180" s="3">
        <v>179</v>
      </c>
      <c r="B180" s="5">
        <f>DATE(Table1[[#This Row],[Year]],Table1[[#This Row],[Month]],Table1[[#This Row],[Day]])</f>
        <v>44528</v>
      </c>
      <c r="C180" s="3">
        <v>28</v>
      </c>
      <c r="D180" s="3">
        <v>11</v>
      </c>
      <c r="E180" s="3">
        <v>2021</v>
      </c>
      <c r="F180" s="3" t="str">
        <f>"Qtr"&amp; " " &amp;CHOOSE(MONTH(Table1[[#This Row],[Date]]),1,1,1,2,2,2,3,3,3,4,4,4)</f>
        <v>Qtr 4</v>
      </c>
      <c r="G180" s="3" t="str">
        <f>TEXT(Table1[[#This Row],[Date]],"mmmm")</f>
        <v>November</v>
      </c>
      <c r="H180" s="3" t="s">
        <v>1080</v>
      </c>
      <c r="I180" s="3" t="s">
        <v>13</v>
      </c>
      <c r="J180" s="3">
        <v>3</v>
      </c>
      <c r="K180" s="3">
        <v>36316.69</v>
      </c>
      <c r="L180" s="3">
        <f>Table1[[#This Row],[Price Per Unit]]*Table1[[#This Row],[Units Sold]]</f>
        <v>108950.07</v>
      </c>
      <c r="M180" s="3" t="s">
        <v>218</v>
      </c>
      <c r="N180" s="3">
        <v>44</v>
      </c>
      <c r="O180" s="3" t="s">
        <v>24</v>
      </c>
      <c r="P180" s="3" t="s">
        <v>45</v>
      </c>
      <c r="Q180" s="4">
        <v>5</v>
      </c>
      <c r="R180" s="4" t="str">
        <f>IF(Table1[[#This Row],[Customer Ratings]]&gt;=4, "Good",IF(Table1[[#This Row],[Customer Ratings]]=3, "Average","Poor"))</f>
        <v>Good</v>
      </c>
      <c r="S180" s="3" t="s">
        <v>27</v>
      </c>
    </row>
    <row r="181" spans="1:19" x14ac:dyDescent="0.25">
      <c r="A181" s="3">
        <v>180</v>
      </c>
      <c r="B181" s="5">
        <f>DATE(Table1[[#This Row],[Year]],Table1[[#This Row],[Month]],Table1[[#This Row],[Day]])</f>
        <v>44528</v>
      </c>
      <c r="C181" s="3">
        <v>28</v>
      </c>
      <c r="D181" s="3">
        <v>11</v>
      </c>
      <c r="E181" s="3">
        <v>2021</v>
      </c>
      <c r="F181" s="3" t="str">
        <f>"Qtr"&amp; " " &amp;CHOOSE(MONTH(Table1[[#This Row],[Date]]),1,1,1,2,2,2,3,3,3,4,4,4)</f>
        <v>Qtr 4</v>
      </c>
      <c r="G181" s="3" t="str">
        <f>TEXT(Table1[[#This Row],[Date]],"mmmm")</f>
        <v>November</v>
      </c>
      <c r="H181" s="3" t="s">
        <v>1080</v>
      </c>
      <c r="I181" s="3" t="s">
        <v>39</v>
      </c>
      <c r="J181" s="3">
        <v>5</v>
      </c>
      <c r="K181" s="3">
        <v>55618.7</v>
      </c>
      <c r="L181" s="3">
        <f>Table1[[#This Row],[Price Per Unit]]*Table1[[#This Row],[Units Sold]]</f>
        <v>278093.5</v>
      </c>
      <c r="M181" s="3" t="s">
        <v>219</v>
      </c>
      <c r="N181" s="3">
        <v>41</v>
      </c>
      <c r="O181" s="3" t="s">
        <v>20</v>
      </c>
      <c r="P181" s="3" t="s">
        <v>21</v>
      </c>
      <c r="Q181" s="4">
        <v>4</v>
      </c>
      <c r="R181" s="4" t="str">
        <f>IF(Table1[[#This Row],[Customer Ratings]]&gt;=4, "Good",IF(Table1[[#This Row],[Customer Ratings]]=3, "Average","Poor"))</f>
        <v>Good</v>
      </c>
      <c r="S181" s="3" t="s">
        <v>76</v>
      </c>
    </row>
    <row r="182" spans="1:19" x14ac:dyDescent="0.25">
      <c r="A182" s="3">
        <v>181</v>
      </c>
      <c r="B182" s="5">
        <f>DATE(Table1[[#This Row],[Year]],Table1[[#This Row],[Month]],Table1[[#This Row],[Day]])</f>
        <v>44529</v>
      </c>
      <c r="C182" s="3">
        <v>29</v>
      </c>
      <c r="D182" s="3">
        <v>11</v>
      </c>
      <c r="E182" s="3">
        <v>2021</v>
      </c>
      <c r="F182" s="3" t="str">
        <f>"Qtr"&amp; " " &amp;CHOOSE(MONTH(Table1[[#This Row],[Date]]),1,1,1,2,2,2,3,3,3,4,4,4)</f>
        <v>Qtr 4</v>
      </c>
      <c r="G182" s="3" t="str">
        <f>TEXT(Table1[[#This Row],[Date]],"mmmm")</f>
        <v>November</v>
      </c>
      <c r="H182" s="3" t="s">
        <v>1081</v>
      </c>
      <c r="I182" s="3" t="s">
        <v>18</v>
      </c>
      <c r="J182" s="3">
        <v>9</v>
      </c>
      <c r="K182" s="3">
        <v>35220</v>
      </c>
      <c r="L182" s="3">
        <f>Table1[[#This Row],[Price Per Unit]]*Table1[[#This Row],[Units Sold]]</f>
        <v>316980</v>
      </c>
      <c r="M182" s="3" t="s">
        <v>220</v>
      </c>
      <c r="N182" s="3">
        <v>34</v>
      </c>
      <c r="O182" s="3" t="s">
        <v>30</v>
      </c>
      <c r="P182" s="3" t="s">
        <v>16</v>
      </c>
      <c r="Q182" s="4">
        <v>5</v>
      </c>
      <c r="R182" s="4" t="str">
        <f>IF(Table1[[#This Row],[Customer Ratings]]&gt;=4, "Good",IF(Table1[[#This Row],[Customer Ratings]]=3, "Average","Poor"))</f>
        <v>Good</v>
      </c>
      <c r="S182" s="3" t="s">
        <v>22</v>
      </c>
    </row>
    <row r="183" spans="1:19" x14ac:dyDescent="0.25">
      <c r="A183" s="3">
        <v>182</v>
      </c>
      <c r="B183" s="5">
        <f>DATE(Table1[[#This Row],[Year]],Table1[[#This Row],[Month]],Table1[[#This Row],[Day]])</f>
        <v>44529</v>
      </c>
      <c r="C183" s="3">
        <v>29</v>
      </c>
      <c r="D183" s="3">
        <v>11</v>
      </c>
      <c r="E183" s="3">
        <v>2021</v>
      </c>
      <c r="F183" s="3" t="str">
        <f>"Qtr"&amp; " " &amp;CHOOSE(MONTH(Table1[[#This Row],[Date]]),1,1,1,2,2,2,3,3,3,4,4,4)</f>
        <v>Qtr 4</v>
      </c>
      <c r="G183" s="3" t="str">
        <f>TEXT(Table1[[#This Row],[Date]],"mmmm")</f>
        <v>November</v>
      </c>
      <c r="H183" s="3" t="s">
        <v>1081</v>
      </c>
      <c r="I183" s="3" t="s">
        <v>28</v>
      </c>
      <c r="J183" s="3">
        <v>4</v>
      </c>
      <c r="K183" s="3">
        <v>66613.19</v>
      </c>
      <c r="L183" s="3">
        <f>Table1[[#This Row],[Price Per Unit]]*Table1[[#This Row],[Units Sold]]</f>
        <v>266452.76</v>
      </c>
      <c r="M183" s="3" t="s">
        <v>221</v>
      </c>
      <c r="N183" s="3">
        <v>42</v>
      </c>
      <c r="O183" s="3" t="s">
        <v>20</v>
      </c>
      <c r="P183" s="3" t="s">
        <v>21</v>
      </c>
      <c r="Q183" s="4">
        <v>4</v>
      </c>
      <c r="R183" s="4" t="str">
        <f>IF(Table1[[#This Row],[Customer Ratings]]&gt;=4, "Good",IF(Table1[[#This Row],[Customer Ratings]]=3, "Average","Poor"))</f>
        <v>Good</v>
      </c>
      <c r="S183" s="3" t="s">
        <v>38</v>
      </c>
    </row>
    <row r="184" spans="1:19" x14ac:dyDescent="0.25">
      <c r="A184" s="3">
        <v>183</v>
      </c>
      <c r="B184" s="5">
        <f>DATE(Table1[[#This Row],[Year]],Table1[[#This Row],[Month]],Table1[[#This Row],[Day]])</f>
        <v>44529</v>
      </c>
      <c r="C184" s="3">
        <v>29</v>
      </c>
      <c r="D184" s="3">
        <v>11</v>
      </c>
      <c r="E184" s="3">
        <v>2021</v>
      </c>
      <c r="F184" s="3" t="str">
        <f>"Qtr"&amp; " " &amp;CHOOSE(MONTH(Table1[[#This Row],[Date]]),1,1,1,2,2,2,3,3,3,4,4,4)</f>
        <v>Qtr 4</v>
      </c>
      <c r="G184" s="3" t="str">
        <f>TEXT(Table1[[#This Row],[Date]],"mmmm")</f>
        <v>November</v>
      </c>
      <c r="H184" s="3" t="s">
        <v>1081</v>
      </c>
      <c r="I184" s="3" t="s">
        <v>39</v>
      </c>
      <c r="J184" s="3">
        <v>1</v>
      </c>
      <c r="K184" s="3">
        <v>64152.03</v>
      </c>
      <c r="L184" s="3">
        <f>Table1[[#This Row],[Price Per Unit]]*Table1[[#This Row],[Units Sold]]</f>
        <v>64152.03</v>
      </c>
      <c r="M184" s="3" t="s">
        <v>149</v>
      </c>
      <c r="N184" s="3">
        <v>48</v>
      </c>
      <c r="O184" s="3" t="s">
        <v>105</v>
      </c>
      <c r="P184" s="3" t="s">
        <v>16</v>
      </c>
      <c r="Q184" s="4">
        <v>3</v>
      </c>
      <c r="R184" s="4" t="str">
        <f>IF(Table1[[#This Row],[Customer Ratings]]&gt;=4, "Good",IF(Table1[[#This Row],[Customer Ratings]]=3, "Average","Poor"))</f>
        <v>Average</v>
      </c>
      <c r="S184" s="3" t="s">
        <v>90</v>
      </c>
    </row>
    <row r="185" spans="1:19" x14ac:dyDescent="0.25">
      <c r="A185" s="3">
        <v>184</v>
      </c>
      <c r="B185" s="5">
        <f>DATE(Table1[[#This Row],[Year]],Table1[[#This Row],[Month]],Table1[[#This Row],[Day]])</f>
        <v>44529</v>
      </c>
      <c r="C185" s="3">
        <v>29</v>
      </c>
      <c r="D185" s="3">
        <v>11</v>
      </c>
      <c r="E185" s="3">
        <v>2021</v>
      </c>
      <c r="F185" s="3" t="str">
        <f>"Qtr"&amp; " " &amp;CHOOSE(MONTH(Table1[[#This Row],[Date]]),1,1,1,2,2,2,3,3,3,4,4,4)</f>
        <v>Qtr 4</v>
      </c>
      <c r="G185" s="3" t="str">
        <f>TEXT(Table1[[#This Row],[Date]],"mmmm")</f>
        <v>November</v>
      </c>
      <c r="H185" s="3" t="s">
        <v>1081</v>
      </c>
      <c r="I185" s="3" t="s">
        <v>18</v>
      </c>
      <c r="J185" s="3">
        <v>4</v>
      </c>
      <c r="K185" s="3">
        <v>62329.67</v>
      </c>
      <c r="L185" s="3">
        <f>Table1[[#This Row],[Price Per Unit]]*Table1[[#This Row],[Units Sold]]</f>
        <v>249318.68</v>
      </c>
      <c r="M185" s="3" t="s">
        <v>222</v>
      </c>
      <c r="N185" s="3">
        <v>45</v>
      </c>
      <c r="O185" s="3" t="s">
        <v>20</v>
      </c>
      <c r="P185" s="3" t="s">
        <v>45</v>
      </c>
      <c r="Q185" s="4">
        <v>5</v>
      </c>
      <c r="R185" s="4" t="str">
        <f>IF(Table1[[#This Row],[Customer Ratings]]&gt;=4, "Good",IF(Table1[[#This Row],[Customer Ratings]]=3, "Average","Poor"))</f>
        <v>Good</v>
      </c>
      <c r="S185" s="3" t="s">
        <v>22</v>
      </c>
    </row>
    <row r="186" spans="1:19" x14ac:dyDescent="0.25">
      <c r="A186" s="3">
        <v>185</v>
      </c>
      <c r="B186" s="5">
        <f>DATE(Table1[[#This Row],[Year]],Table1[[#This Row],[Month]],Table1[[#This Row],[Day]])</f>
        <v>44530</v>
      </c>
      <c r="C186" s="3">
        <v>30</v>
      </c>
      <c r="D186" s="3">
        <v>11</v>
      </c>
      <c r="E186" s="3">
        <v>2021</v>
      </c>
      <c r="F186" s="3" t="str">
        <f>"Qtr"&amp; " " &amp;CHOOSE(MONTH(Table1[[#This Row],[Date]]),1,1,1,2,2,2,3,3,3,4,4,4)</f>
        <v>Qtr 4</v>
      </c>
      <c r="G186" s="3" t="str">
        <f>TEXT(Table1[[#This Row],[Date]],"mmmm")</f>
        <v>November</v>
      </c>
      <c r="H186" s="3" t="s">
        <v>1082</v>
      </c>
      <c r="I186" s="3" t="s">
        <v>18</v>
      </c>
      <c r="J186" s="3">
        <v>6</v>
      </c>
      <c r="K186" s="3">
        <v>14275.5</v>
      </c>
      <c r="L186" s="3">
        <f>Table1[[#This Row],[Price Per Unit]]*Table1[[#This Row],[Units Sold]]</f>
        <v>85653</v>
      </c>
      <c r="M186" s="3" t="s">
        <v>223</v>
      </c>
      <c r="N186" s="3">
        <v>45</v>
      </c>
      <c r="O186" s="3" t="s">
        <v>65</v>
      </c>
      <c r="P186" s="3" t="s">
        <v>31</v>
      </c>
      <c r="Q186" s="4">
        <v>3</v>
      </c>
      <c r="R186" s="4" t="str">
        <f>IF(Table1[[#This Row],[Customer Ratings]]&gt;=4, "Good",IF(Table1[[#This Row],[Customer Ratings]]=3, "Average","Poor"))</f>
        <v>Average</v>
      </c>
      <c r="S186" s="3" t="s">
        <v>22</v>
      </c>
    </row>
    <row r="187" spans="1:19" x14ac:dyDescent="0.25">
      <c r="A187" s="3">
        <v>186</v>
      </c>
      <c r="B187" s="5">
        <f>DATE(Table1[[#This Row],[Year]],Table1[[#This Row],[Month]],Table1[[#This Row],[Day]])</f>
        <v>44530</v>
      </c>
      <c r="C187" s="3">
        <v>30</v>
      </c>
      <c r="D187" s="3">
        <v>11</v>
      </c>
      <c r="E187" s="3">
        <v>2021</v>
      </c>
      <c r="F187" s="3" t="str">
        <f>"Qtr"&amp; " " &amp;CHOOSE(MONTH(Table1[[#This Row],[Date]]),1,1,1,2,2,2,3,3,3,4,4,4)</f>
        <v>Qtr 4</v>
      </c>
      <c r="G187" s="3" t="str">
        <f>TEXT(Table1[[#This Row],[Date]],"mmmm")</f>
        <v>November</v>
      </c>
      <c r="H187" s="3" t="s">
        <v>1082</v>
      </c>
      <c r="I187" s="3" t="s">
        <v>33</v>
      </c>
      <c r="J187" s="3">
        <v>5</v>
      </c>
      <c r="K187" s="3">
        <v>61255.48</v>
      </c>
      <c r="L187" s="3">
        <f>Table1[[#This Row],[Price Per Unit]]*Table1[[#This Row],[Units Sold]]</f>
        <v>306277.40000000002</v>
      </c>
      <c r="M187" s="3" t="s">
        <v>224</v>
      </c>
      <c r="N187" s="3">
        <v>39</v>
      </c>
      <c r="O187" s="3" t="s">
        <v>125</v>
      </c>
      <c r="P187" s="3" t="s">
        <v>31</v>
      </c>
      <c r="Q187" s="4">
        <v>5</v>
      </c>
      <c r="R187" s="4" t="str">
        <f>IF(Table1[[#This Row],[Customer Ratings]]&gt;=4, "Good",IF(Table1[[#This Row],[Customer Ratings]]=3, "Average","Poor"))</f>
        <v>Good</v>
      </c>
      <c r="S187" s="3" t="s">
        <v>83</v>
      </c>
    </row>
    <row r="188" spans="1:19" x14ac:dyDescent="0.25">
      <c r="A188" s="3">
        <v>187</v>
      </c>
      <c r="B188" s="5">
        <f>DATE(Table1[[#This Row],[Year]],Table1[[#This Row],[Month]],Table1[[#This Row],[Day]])</f>
        <v>44530</v>
      </c>
      <c r="C188" s="3">
        <v>30</v>
      </c>
      <c r="D188" s="3">
        <v>11</v>
      </c>
      <c r="E188" s="3">
        <v>2021</v>
      </c>
      <c r="F188" s="3" t="str">
        <f>"Qtr"&amp; " " &amp;CHOOSE(MONTH(Table1[[#This Row],[Date]]),1,1,1,2,2,2,3,3,3,4,4,4)</f>
        <v>Qtr 4</v>
      </c>
      <c r="G188" s="3" t="str">
        <f>TEXT(Table1[[#This Row],[Date]],"mmmm")</f>
        <v>November</v>
      </c>
      <c r="H188" s="3" t="s">
        <v>1082</v>
      </c>
      <c r="I188" s="3" t="s">
        <v>13</v>
      </c>
      <c r="J188" s="3">
        <v>1</v>
      </c>
      <c r="K188" s="3">
        <v>56898.13</v>
      </c>
      <c r="L188" s="3">
        <f>Table1[[#This Row],[Price Per Unit]]*Table1[[#This Row],[Units Sold]]</f>
        <v>56898.13</v>
      </c>
      <c r="M188" s="3" t="s">
        <v>225</v>
      </c>
      <c r="N188" s="3">
        <v>22</v>
      </c>
      <c r="O188" s="3" t="s">
        <v>20</v>
      </c>
      <c r="P188" s="3" t="s">
        <v>21</v>
      </c>
      <c r="Q188" s="4">
        <v>5</v>
      </c>
      <c r="R188" s="4" t="str">
        <f>IF(Table1[[#This Row],[Customer Ratings]]&gt;=4, "Good",IF(Table1[[#This Row],[Customer Ratings]]=3, "Average","Poor"))</f>
        <v>Good</v>
      </c>
      <c r="S188" s="3" t="s">
        <v>27</v>
      </c>
    </row>
    <row r="189" spans="1:19" x14ac:dyDescent="0.25">
      <c r="A189" s="3">
        <v>188</v>
      </c>
      <c r="B189" s="5">
        <f>DATE(Table1[[#This Row],[Year]],Table1[[#This Row],[Month]],Table1[[#This Row],[Day]])</f>
        <v>44531</v>
      </c>
      <c r="C189" s="3">
        <v>1</v>
      </c>
      <c r="D189" s="3">
        <v>12</v>
      </c>
      <c r="E189" s="3">
        <v>2021</v>
      </c>
      <c r="F189" s="3" t="str">
        <f>"Qtr"&amp; " " &amp;CHOOSE(MONTH(Table1[[#This Row],[Date]]),1,1,1,2,2,2,3,3,3,4,4,4)</f>
        <v>Qtr 4</v>
      </c>
      <c r="G189" s="3" t="str">
        <f>TEXT(Table1[[#This Row],[Date]],"mmmm")</f>
        <v>December</v>
      </c>
      <c r="H189" s="3" t="s">
        <v>1083</v>
      </c>
      <c r="I189" s="3" t="s">
        <v>13</v>
      </c>
      <c r="J189" s="3">
        <v>4</v>
      </c>
      <c r="K189" s="3">
        <v>16210.78</v>
      </c>
      <c r="L189" s="3">
        <f>Table1[[#This Row],[Price Per Unit]]*Table1[[#This Row],[Units Sold]]</f>
        <v>64843.12</v>
      </c>
      <c r="M189" s="3" t="s">
        <v>226</v>
      </c>
      <c r="N189" s="3">
        <v>59</v>
      </c>
      <c r="O189" s="3" t="s">
        <v>35</v>
      </c>
      <c r="P189" s="3" t="s">
        <v>21</v>
      </c>
      <c r="Q189" s="4">
        <v>3</v>
      </c>
      <c r="R189" s="4" t="str">
        <f>IF(Table1[[#This Row],[Customer Ratings]]&gt;=4, "Good",IF(Table1[[#This Row],[Customer Ratings]]=3, "Average","Poor"))</f>
        <v>Average</v>
      </c>
      <c r="S189" s="3" t="s">
        <v>17</v>
      </c>
    </row>
    <row r="190" spans="1:19" x14ac:dyDescent="0.25">
      <c r="A190" s="3">
        <v>189</v>
      </c>
      <c r="B190" s="5">
        <f>DATE(Table1[[#This Row],[Year]],Table1[[#This Row],[Month]],Table1[[#This Row],[Day]])</f>
        <v>44531</v>
      </c>
      <c r="C190" s="3">
        <v>1</v>
      </c>
      <c r="D190" s="3">
        <v>12</v>
      </c>
      <c r="E190" s="3">
        <v>2021</v>
      </c>
      <c r="F190" s="3" t="str">
        <f>"Qtr"&amp; " " &amp;CHOOSE(MONTH(Table1[[#This Row],[Date]]),1,1,1,2,2,2,3,3,3,4,4,4)</f>
        <v>Qtr 4</v>
      </c>
      <c r="G190" s="3" t="str">
        <f>TEXT(Table1[[#This Row],[Date]],"mmmm")</f>
        <v>December</v>
      </c>
      <c r="H190" s="3" t="s">
        <v>1083</v>
      </c>
      <c r="I190" s="3" t="s">
        <v>39</v>
      </c>
      <c r="J190" s="3">
        <v>6</v>
      </c>
      <c r="K190" s="3">
        <v>16444.86</v>
      </c>
      <c r="L190" s="3">
        <f>Table1[[#This Row],[Price Per Unit]]*Table1[[#This Row],[Units Sold]]</f>
        <v>98669.16</v>
      </c>
      <c r="M190" s="3" t="s">
        <v>227</v>
      </c>
      <c r="N190" s="3">
        <v>25</v>
      </c>
      <c r="O190" s="3" t="s">
        <v>54</v>
      </c>
      <c r="P190" s="3" t="s">
        <v>21</v>
      </c>
      <c r="Q190" s="4">
        <v>3</v>
      </c>
      <c r="R190" s="4" t="str">
        <f>IF(Table1[[#This Row],[Customer Ratings]]&gt;=4, "Good",IF(Table1[[#This Row],[Customer Ratings]]=3, "Average","Poor"))</f>
        <v>Average</v>
      </c>
      <c r="S190" s="3" t="s">
        <v>76</v>
      </c>
    </row>
    <row r="191" spans="1:19" x14ac:dyDescent="0.25">
      <c r="A191" s="3">
        <v>190</v>
      </c>
      <c r="B191" s="5">
        <f>DATE(Table1[[#This Row],[Year]],Table1[[#This Row],[Month]],Table1[[#This Row],[Day]])</f>
        <v>44531</v>
      </c>
      <c r="C191" s="3">
        <v>1</v>
      </c>
      <c r="D191" s="3">
        <v>12</v>
      </c>
      <c r="E191" s="3">
        <v>2021</v>
      </c>
      <c r="F191" s="3" t="str">
        <f>"Qtr"&amp; " " &amp;CHOOSE(MONTH(Table1[[#This Row],[Date]]),1,1,1,2,2,2,3,3,3,4,4,4)</f>
        <v>Qtr 4</v>
      </c>
      <c r="G191" s="3" t="str">
        <f>TEXT(Table1[[#This Row],[Date]],"mmmm")</f>
        <v>December</v>
      </c>
      <c r="H191" s="3" t="s">
        <v>1083</v>
      </c>
      <c r="I191" s="3" t="s">
        <v>13</v>
      </c>
      <c r="J191" s="3">
        <v>4</v>
      </c>
      <c r="K191" s="3">
        <v>16069.83</v>
      </c>
      <c r="L191" s="3">
        <f>Table1[[#This Row],[Price Per Unit]]*Table1[[#This Row],[Units Sold]]</f>
        <v>64279.32</v>
      </c>
      <c r="M191" s="3" t="s">
        <v>228</v>
      </c>
      <c r="N191" s="3">
        <v>55</v>
      </c>
      <c r="O191" s="3" t="s">
        <v>137</v>
      </c>
      <c r="P191" s="3" t="s">
        <v>31</v>
      </c>
      <c r="Q191" s="4">
        <v>3</v>
      </c>
      <c r="R191" s="4" t="str">
        <f>IF(Table1[[#This Row],[Customer Ratings]]&gt;=4, "Good",IF(Table1[[#This Row],[Customer Ratings]]=3, "Average","Poor"))</f>
        <v>Average</v>
      </c>
      <c r="S191" s="3" t="s">
        <v>72</v>
      </c>
    </row>
    <row r="192" spans="1:19" x14ac:dyDescent="0.25">
      <c r="A192" s="3">
        <v>191</v>
      </c>
      <c r="B192" s="5">
        <f>DATE(Table1[[#This Row],[Year]],Table1[[#This Row],[Month]],Table1[[#This Row],[Day]])</f>
        <v>44531</v>
      </c>
      <c r="C192" s="3">
        <v>1</v>
      </c>
      <c r="D192" s="3">
        <v>12</v>
      </c>
      <c r="E192" s="3">
        <v>2021</v>
      </c>
      <c r="F192" s="3" t="str">
        <f>"Qtr"&amp; " " &amp;CHOOSE(MONTH(Table1[[#This Row],[Date]]),1,1,1,2,2,2,3,3,3,4,4,4)</f>
        <v>Qtr 4</v>
      </c>
      <c r="G192" s="3" t="str">
        <f>TEXT(Table1[[#This Row],[Date]],"mmmm")</f>
        <v>December</v>
      </c>
      <c r="H192" s="3" t="s">
        <v>1083</v>
      </c>
      <c r="I192" s="3" t="s">
        <v>28</v>
      </c>
      <c r="J192" s="3">
        <v>9</v>
      </c>
      <c r="K192" s="3">
        <v>10679.96</v>
      </c>
      <c r="L192" s="3">
        <f>Table1[[#This Row],[Price Per Unit]]*Table1[[#This Row],[Units Sold]]</f>
        <v>96119.639999999985</v>
      </c>
      <c r="M192" s="3" t="s">
        <v>212</v>
      </c>
      <c r="N192" s="3">
        <v>45</v>
      </c>
      <c r="O192" s="3" t="s">
        <v>35</v>
      </c>
      <c r="P192" s="3" t="s">
        <v>31</v>
      </c>
      <c r="Q192" s="4">
        <v>5</v>
      </c>
      <c r="R192" s="4" t="str">
        <f>IF(Table1[[#This Row],[Customer Ratings]]&gt;=4, "Good",IF(Table1[[#This Row],[Customer Ratings]]=3, "Average","Poor"))</f>
        <v>Good</v>
      </c>
      <c r="S192" s="3" t="s">
        <v>87</v>
      </c>
    </row>
    <row r="193" spans="1:19" x14ac:dyDescent="0.25">
      <c r="A193" s="3">
        <v>192</v>
      </c>
      <c r="B193" s="5">
        <f>DATE(Table1[[#This Row],[Year]],Table1[[#This Row],[Month]],Table1[[#This Row],[Day]])</f>
        <v>44532</v>
      </c>
      <c r="C193" s="3">
        <v>2</v>
      </c>
      <c r="D193" s="3">
        <v>12</v>
      </c>
      <c r="E193" s="3">
        <v>2021</v>
      </c>
      <c r="F193" s="3" t="str">
        <f>"Qtr"&amp; " " &amp;CHOOSE(MONTH(Table1[[#This Row],[Date]]),1,1,1,2,2,2,3,3,3,4,4,4)</f>
        <v>Qtr 4</v>
      </c>
      <c r="G193" s="3" t="str">
        <f>TEXT(Table1[[#This Row],[Date]],"mmmm")</f>
        <v>December</v>
      </c>
      <c r="H193" s="3" t="s">
        <v>1084</v>
      </c>
      <c r="I193" s="3" t="s">
        <v>13</v>
      </c>
      <c r="J193" s="3">
        <v>5</v>
      </c>
      <c r="K193" s="3">
        <v>42918.06</v>
      </c>
      <c r="L193" s="3">
        <f>Table1[[#This Row],[Price Per Unit]]*Table1[[#This Row],[Units Sold]]</f>
        <v>214590.3</v>
      </c>
      <c r="M193" s="3" t="s">
        <v>229</v>
      </c>
      <c r="N193" s="3">
        <v>29</v>
      </c>
      <c r="O193" s="3" t="s">
        <v>20</v>
      </c>
      <c r="P193" s="3" t="s">
        <v>45</v>
      </c>
      <c r="Q193" s="4">
        <v>5</v>
      </c>
      <c r="R193" s="4" t="str">
        <f>IF(Table1[[#This Row],[Customer Ratings]]&gt;=4, "Good",IF(Table1[[#This Row],[Customer Ratings]]=3, "Average","Poor"))</f>
        <v>Good</v>
      </c>
      <c r="S193" s="3" t="s">
        <v>17</v>
      </c>
    </row>
    <row r="194" spans="1:19" x14ac:dyDescent="0.25">
      <c r="A194" s="3">
        <v>193</v>
      </c>
      <c r="B194" s="5">
        <f>DATE(Table1[[#This Row],[Year]],Table1[[#This Row],[Month]],Table1[[#This Row],[Day]])</f>
        <v>44532</v>
      </c>
      <c r="C194" s="3">
        <v>2</v>
      </c>
      <c r="D194" s="3">
        <v>12</v>
      </c>
      <c r="E194" s="3">
        <v>2021</v>
      </c>
      <c r="F194" s="3" t="str">
        <f>"Qtr"&amp; " " &amp;CHOOSE(MONTH(Table1[[#This Row],[Date]]),1,1,1,2,2,2,3,3,3,4,4,4)</f>
        <v>Qtr 4</v>
      </c>
      <c r="G194" s="3" t="str">
        <f>TEXT(Table1[[#This Row],[Date]],"mmmm")</f>
        <v>December</v>
      </c>
      <c r="H194" s="3" t="s">
        <v>1084</v>
      </c>
      <c r="I194" s="3" t="s">
        <v>39</v>
      </c>
      <c r="J194" s="3">
        <v>8</v>
      </c>
      <c r="K194" s="3">
        <v>68403.66</v>
      </c>
      <c r="L194" s="3">
        <f>Table1[[#This Row],[Price Per Unit]]*Table1[[#This Row],[Units Sold]]</f>
        <v>547229.28</v>
      </c>
      <c r="M194" s="3" t="s">
        <v>230</v>
      </c>
      <c r="N194" s="3">
        <v>42</v>
      </c>
      <c r="O194" s="3" t="s">
        <v>54</v>
      </c>
      <c r="P194" s="3" t="s">
        <v>16</v>
      </c>
      <c r="Q194" s="4">
        <v>5</v>
      </c>
      <c r="R194" s="4" t="str">
        <f>IF(Table1[[#This Row],[Customer Ratings]]&gt;=4, "Good",IF(Table1[[#This Row],[Customer Ratings]]=3, "Average","Poor"))</f>
        <v>Good</v>
      </c>
      <c r="S194" s="3" t="s">
        <v>76</v>
      </c>
    </row>
    <row r="195" spans="1:19" x14ac:dyDescent="0.25">
      <c r="A195" s="3">
        <v>194</v>
      </c>
      <c r="B195" s="5">
        <f>DATE(Table1[[#This Row],[Year]],Table1[[#This Row],[Month]],Table1[[#This Row],[Day]])</f>
        <v>44532</v>
      </c>
      <c r="C195" s="3">
        <v>2</v>
      </c>
      <c r="D195" s="3">
        <v>12</v>
      </c>
      <c r="E195" s="3">
        <v>2021</v>
      </c>
      <c r="F195" s="3" t="str">
        <f>"Qtr"&amp; " " &amp;CHOOSE(MONTH(Table1[[#This Row],[Date]]),1,1,1,2,2,2,3,3,3,4,4,4)</f>
        <v>Qtr 4</v>
      </c>
      <c r="G195" s="3" t="str">
        <f>TEXT(Table1[[#This Row],[Date]],"mmmm")</f>
        <v>December</v>
      </c>
      <c r="H195" s="3" t="s">
        <v>1084</v>
      </c>
      <c r="I195" s="3" t="s">
        <v>13</v>
      </c>
      <c r="J195" s="3">
        <v>9</v>
      </c>
      <c r="K195" s="3">
        <v>36321.08</v>
      </c>
      <c r="L195" s="3">
        <f>Table1[[#This Row],[Price Per Unit]]*Table1[[#This Row],[Units Sold]]</f>
        <v>326889.72000000003</v>
      </c>
      <c r="M195" s="3" t="s">
        <v>231</v>
      </c>
      <c r="N195" s="3">
        <v>55</v>
      </c>
      <c r="O195" s="3" t="s">
        <v>35</v>
      </c>
      <c r="P195" s="3" t="s">
        <v>21</v>
      </c>
      <c r="Q195" s="4">
        <v>5</v>
      </c>
      <c r="R195" s="4" t="str">
        <f>IF(Table1[[#This Row],[Customer Ratings]]&gt;=4, "Good",IF(Table1[[#This Row],[Customer Ratings]]=3, "Average","Poor"))</f>
        <v>Good</v>
      </c>
      <c r="S195" s="3" t="s">
        <v>17</v>
      </c>
    </row>
    <row r="196" spans="1:19" x14ac:dyDescent="0.25">
      <c r="A196" s="3">
        <v>195</v>
      </c>
      <c r="B196" s="5">
        <f>DATE(Table1[[#This Row],[Year]],Table1[[#This Row],[Month]],Table1[[#This Row],[Day]])</f>
        <v>44533</v>
      </c>
      <c r="C196" s="3">
        <v>3</v>
      </c>
      <c r="D196" s="3">
        <v>12</v>
      </c>
      <c r="E196" s="3">
        <v>2021</v>
      </c>
      <c r="F196" s="3" t="str">
        <f>"Qtr"&amp; " " &amp;CHOOSE(MONTH(Table1[[#This Row],[Date]]),1,1,1,2,2,2,3,3,3,4,4,4)</f>
        <v>Qtr 4</v>
      </c>
      <c r="G196" s="3" t="str">
        <f>TEXT(Table1[[#This Row],[Date]],"mmmm")</f>
        <v>December</v>
      </c>
      <c r="H196" s="3" t="s">
        <v>1085</v>
      </c>
      <c r="I196" s="3" t="s">
        <v>28</v>
      </c>
      <c r="J196" s="3">
        <v>5</v>
      </c>
      <c r="K196" s="3">
        <v>42445.45</v>
      </c>
      <c r="L196" s="3">
        <f>Table1[[#This Row],[Price Per Unit]]*Table1[[#This Row],[Units Sold]]</f>
        <v>212227.25</v>
      </c>
      <c r="M196" s="3" t="s">
        <v>232</v>
      </c>
      <c r="N196" s="3">
        <v>32</v>
      </c>
      <c r="O196" s="3" t="s">
        <v>24</v>
      </c>
      <c r="P196" s="3" t="s">
        <v>31</v>
      </c>
      <c r="Q196" s="4">
        <v>5</v>
      </c>
      <c r="R196" s="4" t="str">
        <f>IF(Table1[[#This Row],[Customer Ratings]]&gt;=4, "Good",IF(Table1[[#This Row],[Customer Ratings]]=3, "Average","Poor"))</f>
        <v>Good</v>
      </c>
      <c r="S196" s="3" t="s">
        <v>32</v>
      </c>
    </row>
    <row r="197" spans="1:19" x14ac:dyDescent="0.25">
      <c r="A197" s="3">
        <v>196</v>
      </c>
      <c r="B197" s="5">
        <f>DATE(Table1[[#This Row],[Year]],Table1[[#This Row],[Month]],Table1[[#This Row],[Day]])</f>
        <v>44533</v>
      </c>
      <c r="C197" s="3">
        <v>3</v>
      </c>
      <c r="D197" s="3">
        <v>12</v>
      </c>
      <c r="E197" s="3">
        <v>2021</v>
      </c>
      <c r="F197" s="3" t="str">
        <f>"Qtr"&amp; " " &amp;CHOOSE(MONTH(Table1[[#This Row],[Date]]),1,1,1,2,2,2,3,3,3,4,4,4)</f>
        <v>Qtr 4</v>
      </c>
      <c r="G197" s="3" t="str">
        <f>TEXT(Table1[[#This Row],[Date]],"mmmm")</f>
        <v>December</v>
      </c>
      <c r="H197" s="3" t="s">
        <v>1085</v>
      </c>
      <c r="I197" s="3" t="s">
        <v>33</v>
      </c>
      <c r="J197" s="3">
        <v>6</v>
      </c>
      <c r="K197" s="3">
        <v>68078.19</v>
      </c>
      <c r="L197" s="3">
        <f>Table1[[#This Row],[Price Per Unit]]*Table1[[#This Row],[Units Sold]]</f>
        <v>408469.14</v>
      </c>
      <c r="M197" s="3" t="s">
        <v>233</v>
      </c>
      <c r="N197" s="3">
        <v>58</v>
      </c>
      <c r="O197" s="3" t="s">
        <v>35</v>
      </c>
      <c r="P197" s="3" t="s">
        <v>16</v>
      </c>
      <c r="Q197" s="4">
        <v>5</v>
      </c>
      <c r="R197" s="4" t="str">
        <f>IF(Table1[[#This Row],[Customer Ratings]]&gt;=4, "Good",IF(Table1[[#This Row],[Customer Ratings]]=3, "Average","Poor"))</f>
        <v>Good</v>
      </c>
      <c r="S197" s="3" t="s">
        <v>46</v>
      </c>
    </row>
    <row r="198" spans="1:19" x14ac:dyDescent="0.25">
      <c r="A198" s="3">
        <v>197</v>
      </c>
      <c r="B198" s="5">
        <f>DATE(Table1[[#This Row],[Year]],Table1[[#This Row],[Month]],Table1[[#This Row],[Day]])</f>
        <v>44533</v>
      </c>
      <c r="C198" s="3">
        <v>3</v>
      </c>
      <c r="D198" s="3">
        <v>12</v>
      </c>
      <c r="E198" s="3">
        <v>2021</v>
      </c>
      <c r="F198" s="3" t="str">
        <f>"Qtr"&amp; " " &amp;CHOOSE(MONTH(Table1[[#This Row],[Date]]),1,1,1,2,2,2,3,3,3,4,4,4)</f>
        <v>Qtr 4</v>
      </c>
      <c r="G198" s="3" t="str">
        <f>TEXT(Table1[[#This Row],[Date]],"mmmm")</f>
        <v>December</v>
      </c>
      <c r="H198" s="3" t="s">
        <v>1085</v>
      </c>
      <c r="I198" s="3" t="s">
        <v>39</v>
      </c>
      <c r="J198" s="3">
        <v>1</v>
      </c>
      <c r="K198" s="3">
        <v>25310.93</v>
      </c>
      <c r="L198" s="3">
        <f>Table1[[#This Row],[Price Per Unit]]*Table1[[#This Row],[Units Sold]]</f>
        <v>25310.93</v>
      </c>
      <c r="M198" s="3" t="s">
        <v>226</v>
      </c>
      <c r="N198" s="3">
        <v>51</v>
      </c>
      <c r="O198" s="3" t="s">
        <v>20</v>
      </c>
      <c r="P198" s="3" t="s">
        <v>21</v>
      </c>
      <c r="Q198" s="4">
        <v>3</v>
      </c>
      <c r="R198" s="4" t="str">
        <f>IF(Table1[[#This Row],[Customer Ratings]]&gt;=4, "Good",IF(Table1[[#This Row],[Customer Ratings]]=3, "Average","Poor"))</f>
        <v>Average</v>
      </c>
      <c r="S198" s="3" t="s">
        <v>42</v>
      </c>
    </row>
    <row r="199" spans="1:19" x14ac:dyDescent="0.25">
      <c r="A199" s="3">
        <v>198</v>
      </c>
      <c r="B199" s="5">
        <f>DATE(Table1[[#This Row],[Year]],Table1[[#This Row],[Month]],Table1[[#This Row],[Day]])</f>
        <v>44533</v>
      </c>
      <c r="C199" s="3">
        <v>3</v>
      </c>
      <c r="D199" s="3">
        <v>12</v>
      </c>
      <c r="E199" s="3">
        <v>2021</v>
      </c>
      <c r="F199" s="3" t="str">
        <f>"Qtr"&amp; " " &amp;CHOOSE(MONTH(Table1[[#This Row],[Date]]),1,1,1,2,2,2,3,3,3,4,4,4)</f>
        <v>Qtr 4</v>
      </c>
      <c r="G199" s="3" t="str">
        <f>TEXT(Table1[[#This Row],[Date]],"mmmm")</f>
        <v>December</v>
      </c>
      <c r="H199" s="3" t="s">
        <v>1085</v>
      </c>
      <c r="I199" s="3" t="s">
        <v>33</v>
      </c>
      <c r="J199" s="3">
        <v>7</v>
      </c>
      <c r="K199" s="3">
        <v>61508.22</v>
      </c>
      <c r="L199" s="3">
        <f>Table1[[#This Row],[Price Per Unit]]*Table1[[#This Row],[Units Sold]]</f>
        <v>430557.54000000004</v>
      </c>
      <c r="M199" s="3" t="s">
        <v>234</v>
      </c>
      <c r="N199" s="3">
        <v>30</v>
      </c>
      <c r="O199" s="3" t="s">
        <v>20</v>
      </c>
      <c r="P199" s="3" t="s">
        <v>21</v>
      </c>
      <c r="Q199" s="4">
        <v>4</v>
      </c>
      <c r="R199" s="4" t="str">
        <f>IF(Table1[[#This Row],[Customer Ratings]]&gt;=4, "Good",IF(Table1[[#This Row],[Customer Ratings]]=3, "Average","Poor"))</f>
        <v>Good</v>
      </c>
      <c r="S199" s="3" t="s">
        <v>83</v>
      </c>
    </row>
    <row r="200" spans="1:19" x14ac:dyDescent="0.25">
      <c r="A200" s="3">
        <v>199</v>
      </c>
      <c r="B200" s="5">
        <f>DATE(Table1[[#This Row],[Year]],Table1[[#This Row],[Month]],Table1[[#This Row],[Day]])</f>
        <v>44534</v>
      </c>
      <c r="C200" s="3">
        <v>4</v>
      </c>
      <c r="D200" s="3">
        <v>12</v>
      </c>
      <c r="E200" s="3">
        <v>2021</v>
      </c>
      <c r="F200" s="3" t="str">
        <f>"Qtr"&amp; " " &amp;CHOOSE(MONTH(Table1[[#This Row],[Date]]),1,1,1,2,2,2,3,3,3,4,4,4)</f>
        <v>Qtr 4</v>
      </c>
      <c r="G200" s="3" t="str">
        <f>TEXT(Table1[[#This Row],[Date]],"mmmm")</f>
        <v>December</v>
      </c>
      <c r="H200" s="3" t="s">
        <v>1079</v>
      </c>
      <c r="I200" s="3" t="s">
        <v>33</v>
      </c>
      <c r="J200" s="3">
        <v>4</v>
      </c>
      <c r="K200" s="3">
        <v>42783.43</v>
      </c>
      <c r="L200" s="3">
        <f>Table1[[#This Row],[Price Per Unit]]*Table1[[#This Row],[Units Sold]]</f>
        <v>171133.72</v>
      </c>
      <c r="M200" s="3" t="s">
        <v>235</v>
      </c>
      <c r="N200" s="3">
        <v>25</v>
      </c>
      <c r="O200" s="3" t="s">
        <v>24</v>
      </c>
      <c r="P200" s="3" t="s">
        <v>16</v>
      </c>
      <c r="Q200" s="4">
        <v>5</v>
      </c>
      <c r="R200" s="4" t="str">
        <f>IF(Table1[[#This Row],[Customer Ratings]]&gt;=4, "Good",IF(Table1[[#This Row],[Customer Ratings]]=3, "Average","Poor"))</f>
        <v>Good</v>
      </c>
      <c r="S200" s="3" t="s">
        <v>46</v>
      </c>
    </row>
    <row r="201" spans="1:19" x14ac:dyDescent="0.25">
      <c r="A201" s="3">
        <v>200</v>
      </c>
      <c r="B201" s="5">
        <f>DATE(Table1[[#This Row],[Year]],Table1[[#This Row],[Month]],Table1[[#This Row],[Day]])</f>
        <v>44534</v>
      </c>
      <c r="C201" s="3">
        <v>4</v>
      </c>
      <c r="D201" s="3">
        <v>12</v>
      </c>
      <c r="E201" s="3">
        <v>2021</v>
      </c>
      <c r="F201" s="3" t="str">
        <f>"Qtr"&amp; " " &amp;CHOOSE(MONTH(Table1[[#This Row],[Date]]),1,1,1,2,2,2,3,3,3,4,4,4)</f>
        <v>Qtr 4</v>
      </c>
      <c r="G201" s="3" t="str">
        <f>TEXT(Table1[[#This Row],[Date]],"mmmm")</f>
        <v>December</v>
      </c>
      <c r="H201" s="3" t="s">
        <v>1079</v>
      </c>
      <c r="I201" s="3" t="s">
        <v>33</v>
      </c>
      <c r="J201" s="3">
        <v>2</v>
      </c>
      <c r="K201" s="3">
        <v>44168.59</v>
      </c>
      <c r="L201" s="3">
        <f>Table1[[#This Row],[Price Per Unit]]*Table1[[#This Row],[Units Sold]]</f>
        <v>88337.18</v>
      </c>
      <c r="M201" s="3" t="s">
        <v>236</v>
      </c>
      <c r="N201" s="3">
        <v>30</v>
      </c>
      <c r="O201" s="3" t="s">
        <v>48</v>
      </c>
      <c r="P201" s="3" t="s">
        <v>16</v>
      </c>
      <c r="Q201" s="4">
        <v>5</v>
      </c>
      <c r="R201" s="4" t="str">
        <f>IF(Table1[[#This Row],[Customer Ratings]]&gt;=4, "Good",IF(Table1[[#This Row],[Customer Ratings]]=3, "Average","Poor"))</f>
        <v>Good</v>
      </c>
      <c r="S201" s="3" t="s">
        <v>36</v>
      </c>
    </row>
    <row r="202" spans="1:19" x14ac:dyDescent="0.25">
      <c r="A202" s="3">
        <v>201</v>
      </c>
      <c r="B202" s="5">
        <f>DATE(Table1[[#This Row],[Year]],Table1[[#This Row],[Month]],Table1[[#This Row],[Day]])</f>
        <v>44534</v>
      </c>
      <c r="C202" s="3">
        <v>4</v>
      </c>
      <c r="D202" s="3">
        <v>12</v>
      </c>
      <c r="E202" s="3">
        <v>2021</v>
      </c>
      <c r="F202" s="3" t="str">
        <f>"Qtr"&amp; " " &amp;CHOOSE(MONTH(Table1[[#This Row],[Date]]),1,1,1,2,2,2,3,3,3,4,4,4)</f>
        <v>Qtr 4</v>
      </c>
      <c r="G202" s="3" t="str">
        <f>TEXT(Table1[[#This Row],[Date]],"mmmm")</f>
        <v>December</v>
      </c>
      <c r="H202" s="3" t="s">
        <v>1079</v>
      </c>
      <c r="I202" s="3" t="s">
        <v>18</v>
      </c>
      <c r="J202" s="3">
        <v>5</v>
      </c>
      <c r="K202" s="3">
        <v>30590.43</v>
      </c>
      <c r="L202" s="3">
        <f>Table1[[#This Row],[Price Per Unit]]*Table1[[#This Row],[Units Sold]]</f>
        <v>152952.15</v>
      </c>
      <c r="M202" s="3" t="s">
        <v>237</v>
      </c>
      <c r="N202" s="3">
        <v>53</v>
      </c>
      <c r="O202" s="3" t="s">
        <v>30</v>
      </c>
      <c r="P202" s="3" t="s">
        <v>16</v>
      </c>
      <c r="Q202" s="4">
        <v>5</v>
      </c>
      <c r="R202" s="4" t="str">
        <f>IF(Table1[[#This Row],[Customer Ratings]]&gt;=4, "Good",IF(Table1[[#This Row],[Customer Ratings]]=3, "Average","Poor"))</f>
        <v>Good</v>
      </c>
      <c r="S202" s="3" t="s">
        <v>22</v>
      </c>
    </row>
    <row r="203" spans="1:19" x14ac:dyDescent="0.25">
      <c r="A203" s="3">
        <v>202</v>
      </c>
      <c r="B203" s="5">
        <f>DATE(Table1[[#This Row],[Year]],Table1[[#This Row],[Month]],Table1[[#This Row],[Day]])</f>
        <v>44534</v>
      </c>
      <c r="C203" s="3">
        <v>4</v>
      </c>
      <c r="D203" s="3">
        <v>12</v>
      </c>
      <c r="E203" s="3">
        <v>2021</v>
      </c>
      <c r="F203" s="3" t="str">
        <f>"Qtr"&amp; " " &amp;CHOOSE(MONTH(Table1[[#This Row],[Date]]),1,1,1,2,2,2,3,3,3,4,4,4)</f>
        <v>Qtr 4</v>
      </c>
      <c r="G203" s="3" t="str">
        <f>TEXT(Table1[[#This Row],[Date]],"mmmm")</f>
        <v>December</v>
      </c>
      <c r="H203" s="3" t="s">
        <v>1079</v>
      </c>
      <c r="I203" s="3" t="s">
        <v>18</v>
      </c>
      <c r="J203" s="3">
        <v>3</v>
      </c>
      <c r="K203" s="3">
        <v>43695.06</v>
      </c>
      <c r="L203" s="3">
        <f>Table1[[#This Row],[Price Per Unit]]*Table1[[#This Row],[Units Sold]]</f>
        <v>131085.18</v>
      </c>
      <c r="M203" s="3" t="s">
        <v>238</v>
      </c>
      <c r="N203" s="3">
        <v>23</v>
      </c>
      <c r="O203" s="3" t="s">
        <v>105</v>
      </c>
      <c r="P203" s="3" t="s">
        <v>31</v>
      </c>
      <c r="Q203" s="4">
        <v>5</v>
      </c>
      <c r="R203" s="4" t="str">
        <f>IF(Table1[[#This Row],[Customer Ratings]]&gt;=4, "Good",IF(Table1[[#This Row],[Customer Ratings]]=3, "Average","Poor"))</f>
        <v>Good</v>
      </c>
      <c r="S203" s="3" t="s">
        <v>55</v>
      </c>
    </row>
    <row r="204" spans="1:19" x14ac:dyDescent="0.25">
      <c r="A204" s="3">
        <v>203</v>
      </c>
      <c r="B204" s="5">
        <f>DATE(Table1[[#This Row],[Year]],Table1[[#This Row],[Month]],Table1[[#This Row],[Day]])</f>
        <v>44535</v>
      </c>
      <c r="C204" s="3">
        <v>5</v>
      </c>
      <c r="D204" s="3">
        <v>12</v>
      </c>
      <c r="E204" s="3">
        <v>2021</v>
      </c>
      <c r="F204" s="3" t="str">
        <f>"Qtr"&amp; " " &amp;CHOOSE(MONTH(Table1[[#This Row],[Date]]),1,1,1,2,2,2,3,3,3,4,4,4)</f>
        <v>Qtr 4</v>
      </c>
      <c r="G204" s="3" t="str">
        <f>TEXT(Table1[[#This Row],[Date]],"mmmm")</f>
        <v>December</v>
      </c>
      <c r="H204" s="3" t="s">
        <v>1080</v>
      </c>
      <c r="I204" s="3" t="s">
        <v>33</v>
      </c>
      <c r="J204" s="3">
        <v>6</v>
      </c>
      <c r="K204" s="3">
        <v>14388.55</v>
      </c>
      <c r="L204" s="3">
        <f>Table1[[#This Row],[Price Per Unit]]*Table1[[#This Row],[Units Sold]]</f>
        <v>86331.299999999988</v>
      </c>
      <c r="M204" s="3" t="s">
        <v>239</v>
      </c>
      <c r="N204" s="3">
        <v>55</v>
      </c>
      <c r="O204" s="3" t="s">
        <v>52</v>
      </c>
      <c r="P204" s="3" t="s">
        <v>45</v>
      </c>
      <c r="Q204" s="4">
        <v>5</v>
      </c>
      <c r="R204" s="4" t="str">
        <f>IF(Table1[[#This Row],[Customer Ratings]]&gt;=4, "Good",IF(Table1[[#This Row],[Customer Ratings]]=3, "Average","Poor"))</f>
        <v>Good</v>
      </c>
      <c r="S204" s="3" t="s">
        <v>36</v>
      </c>
    </row>
    <row r="205" spans="1:19" x14ac:dyDescent="0.25">
      <c r="A205" s="3">
        <v>204</v>
      </c>
      <c r="B205" s="5">
        <f>DATE(Table1[[#This Row],[Year]],Table1[[#This Row],[Month]],Table1[[#This Row],[Day]])</f>
        <v>44535</v>
      </c>
      <c r="C205" s="3">
        <v>5</v>
      </c>
      <c r="D205" s="3">
        <v>12</v>
      </c>
      <c r="E205" s="3">
        <v>2021</v>
      </c>
      <c r="F205" s="3" t="str">
        <f>"Qtr"&amp; " " &amp;CHOOSE(MONTH(Table1[[#This Row],[Date]]),1,1,1,2,2,2,3,3,3,4,4,4)</f>
        <v>Qtr 4</v>
      </c>
      <c r="G205" s="3" t="str">
        <f>TEXT(Table1[[#This Row],[Date]],"mmmm")</f>
        <v>December</v>
      </c>
      <c r="H205" s="3" t="s">
        <v>1080</v>
      </c>
      <c r="I205" s="3" t="s">
        <v>39</v>
      </c>
      <c r="J205" s="3">
        <v>8</v>
      </c>
      <c r="K205" s="3">
        <v>55878.61</v>
      </c>
      <c r="L205" s="3">
        <f>Table1[[#This Row],[Price Per Unit]]*Table1[[#This Row],[Units Sold]]</f>
        <v>447028.88</v>
      </c>
      <c r="M205" s="3" t="s">
        <v>240</v>
      </c>
      <c r="N205" s="3">
        <v>49</v>
      </c>
      <c r="O205" s="3" t="s">
        <v>98</v>
      </c>
      <c r="P205" s="3" t="s">
        <v>21</v>
      </c>
      <c r="Q205" s="4">
        <v>4</v>
      </c>
      <c r="R205" s="4" t="str">
        <f>IF(Table1[[#This Row],[Customer Ratings]]&gt;=4, "Good",IF(Table1[[#This Row],[Customer Ratings]]=3, "Average","Poor"))</f>
        <v>Good</v>
      </c>
      <c r="S205" s="3" t="s">
        <v>76</v>
      </c>
    </row>
    <row r="206" spans="1:19" x14ac:dyDescent="0.25">
      <c r="A206" s="3">
        <v>205</v>
      </c>
      <c r="B206" s="5">
        <f>DATE(Table1[[#This Row],[Year]],Table1[[#This Row],[Month]],Table1[[#This Row],[Day]])</f>
        <v>44535</v>
      </c>
      <c r="C206" s="3">
        <v>5</v>
      </c>
      <c r="D206" s="3">
        <v>12</v>
      </c>
      <c r="E206" s="3">
        <v>2021</v>
      </c>
      <c r="F206" s="3" t="str">
        <f>"Qtr"&amp; " " &amp;CHOOSE(MONTH(Table1[[#This Row],[Date]]),1,1,1,2,2,2,3,3,3,4,4,4)</f>
        <v>Qtr 4</v>
      </c>
      <c r="G206" s="3" t="str">
        <f>TEXT(Table1[[#This Row],[Date]],"mmmm")</f>
        <v>December</v>
      </c>
      <c r="H206" s="3" t="s">
        <v>1080</v>
      </c>
      <c r="I206" s="3" t="s">
        <v>28</v>
      </c>
      <c r="J206" s="3">
        <v>7</v>
      </c>
      <c r="K206" s="3">
        <v>27081.27</v>
      </c>
      <c r="L206" s="3">
        <f>Table1[[#This Row],[Price Per Unit]]*Table1[[#This Row],[Units Sold]]</f>
        <v>189568.89</v>
      </c>
      <c r="M206" s="3" t="s">
        <v>241</v>
      </c>
      <c r="N206" s="3">
        <v>38</v>
      </c>
      <c r="O206" s="3" t="s">
        <v>20</v>
      </c>
      <c r="P206" s="3" t="s">
        <v>21</v>
      </c>
      <c r="Q206" s="4">
        <v>5</v>
      </c>
      <c r="R206" s="4" t="str">
        <f>IF(Table1[[#This Row],[Customer Ratings]]&gt;=4, "Good",IF(Table1[[#This Row],[Customer Ratings]]=3, "Average","Poor"))</f>
        <v>Good</v>
      </c>
      <c r="S206" s="3" t="s">
        <v>38</v>
      </c>
    </row>
    <row r="207" spans="1:19" x14ac:dyDescent="0.25">
      <c r="A207" s="3">
        <v>206</v>
      </c>
      <c r="B207" s="5">
        <f>DATE(Table1[[#This Row],[Year]],Table1[[#This Row],[Month]],Table1[[#This Row],[Day]])</f>
        <v>44536</v>
      </c>
      <c r="C207" s="3">
        <v>6</v>
      </c>
      <c r="D207" s="3">
        <v>12</v>
      </c>
      <c r="E207" s="3">
        <v>2021</v>
      </c>
      <c r="F207" s="3" t="str">
        <f>"Qtr"&amp; " " &amp;CHOOSE(MONTH(Table1[[#This Row],[Date]]),1,1,1,2,2,2,3,3,3,4,4,4)</f>
        <v>Qtr 4</v>
      </c>
      <c r="G207" s="3" t="str">
        <f>TEXT(Table1[[#This Row],[Date]],"mmmm")</f>
        <v>December</v>
      </c>
      <c r="H207" s="3" t="s">
        <v>1081</v>
      </c>
      <c r="I207" s="3" t="s">
        <v>28</v>
      </c>
      <c r="J207" s="3">
        <v>3</v>
      </c>
      <c r="K207" s="3">
        <v>63256.5</v>
      </c>
      <c r="L207" s="3">
        <f>Table1[[#This Row],[Price Per Unit]]*Table1[[#This Row],[Units Sold]]</f>
        <v>189769.5</v>
      </c>
      <c r="M207" s="3" t="s">
        <v>242</v>
      </c>
      <c r="N207" s="3">
        <v>24</v>
      </c>
      <c r="O207" s="3" t="s">
        <v>24</v>
      </c>
      <c r="P207" s="3" t="s">
        <v>16</v>
      </c>
      <c r="Q207" s="4">
        <v>5</v>
      </c>
      <c r="R207" s="4" t="str">
        <f>IF(Table1[[#This Row],[Customer Ratings]]&gt;=4, "Good",IF(Table1[[#This Row],[Customer Ratings]]=3, "Average","Poor"))</f>
        <v>Good</v>
      </c>
      <c r="S207" s="3" t="s">
        <v>38</v>
      </c>
    </row>
    <row r="208" spans="1:19" x14ac:dyDescent="0.25">
      <c r="A208" s="3">
        <v>207</v>
      </c>
      <c r="B208" s="5">
        <f>DATE(Table1[[#This Row],[Year]],Table1[[#This Row],[Month]],Table1[[#This Row],[Day]])</f>
        <v>44536</v>
      </c>
      <c r="C208" s="3">
        <v>6</v>
      </c>
      <c r="D208" s="3">
        <v>12</v>
      </c>
      <c r="E208" s="3">
        <v>2021</v>
      </c>
      <c r="F208" s="3" t="str">
        <f>"Qtr"&amp; " " &amp;CHOOSE(MONTH(Table1[[#This Row],[Date]]),1,1,1,2,2,2,3,3,3,4,4,4)</f>
        <v>Qtr 4</v>
      </c>
      <c r="G208" s="3" t="str">
        <f>TEXT(Table1[[#This Row],[Date]],"mmmm")</f>
        <v>December</v>
      </c>
      <c r="H208" s="3" t="s">
        <v>1081</v>
      </c>
      <c r="I208" s="3" t="s">
        <v>13</v>
      </c>
      <c r="J208" s="3">
        <v>8</v>
      </c>
      <c r="K208" s="3">
        <v>32071.040000000001</v>
      </c>
      <c r="L208" s="3">
        <f>Table1[[#This Row],[Price Per Unit]]*Table1[[#This Row],[Units Sold]]</f>
        <v>256568.32000000001</v>
      </c>
      <c r="M208" s="3" t="s">
        <v>221</v>
      </c>
      <c r="N208" s="3">
        <v>43</v>
      </c>
      <c r="O208" s="3" t="s">
        <v>78</v>
      </c>
      <c r="P208" s="3" t="s">
        <v>31</v>
      </c>
      <c r="Q208" s="4">
        <v>5</v>
      </c>
      <c r="R208" s="4" t="str">
        <f>IF(Table1[[#This Row],[Customer Ratings]]&gt;=4, "Good",IF(Table1[[#This Row],[Customer Ratings]]=3, "Average","Poor"))</f>
        <v>Good</v>
      </c>
      <c r="S208" s="3" t="s">
        <v>17</v>
      </c>
    </row>
    <row r="209" spans="1:19" x14ac:dyDescent="0.25">
      <c r="A209" s="3">
        <v>208</v>
      </c>
      <c r="B209" s="5">
        <f>DATE(Table1[[#This Row],[Year]],Table1[[#This Row],[Month]],Table1[[#This Row],[Day]])</f>
        <v>44536</v>
      </c>
      <c r="C209" s="3">
        <v>6</v>
      </c>
      <c r="D209" s="3">
        <v>12</v>
      </c>
      <c r="E209" s="3">
        <v>2021</v>
      </c>
      <c r="F209" s="3" t="str">
        <f>"Qtr"&amp; " " &amp;CHOOSE(MONTH(Table1[[#This Row],[Date]]),1,1,1,2,2,2,3,3,3,4,4,4)</f>
        <v>Qtr 4</v>
      </c>
      <c r="G209" s="3" t="str">
        <f>TEXT(Table1[[#This Row],[Date]],"mmmm")</f>
        <v>December</v>
      </c>
      <c r="H209" s="3" t="s">
        <v>1081</v>
      </c>
      <c r="I209" s="3" t="s">
        <v>39</v>
      </c>
      <c r="J209" s="3">
        <v>2</v>
      </c>
      <c r="K209" s="3">
        <v>18569.45</v>
      </c>
      <c r="L209" s="3">
        <f>Table1[[#This Row],[Price Per Unit]]*Table1[[#This Row],[Units Sold]]</f>
        <v>37138.9</v>
      </c>
      <c r="M209" s="3" t="s">
        <v>177</v>
      </c>
      <c r="N209" s="3">
        <v>32</v>
      </c>
      <c r="O209" s="3" t="s">
        <v>20</v>
      </c>
      <c r="P209" s="3" t="s">
        <v>16</v>
      </c>
      <c r="Q209" s="4">
        <v>4</v>
      </c>
      <c r="R209" s="4" t="str">
        <f>IF(Table1[[#This Row],[Customer Ratings]]&gt;=4, "Good",IF(Table1[[#This Row],[Customer Ratings]]=3, "Average","Poor"))</f>
        <v>Good</v>
      </c>
      <c r="S209" s="3" t="s">
        <v>76</v>
      </c>
    </row>
    <row r="210" spans="1:19" x14ac:dyDescent="0.25">
      <c r="A210" s="3">
        <v>209</v>
      </c>
      <c r="B210" s="5">
        <f>DATE(Table1[[#This Row],[Year]],Table1[[#This Row],[Month]],Table1[[#This Row],[Day]])</f>
        <v>44537</v>
      </c>
      <c r="C210" s="3">
        <v>7</v>
      </c>
      <c r="D210" s="3">
        <v>12</v>
      </c>
      <c r="E210" s="3">
        <v>2021</v>
      </c>
      <c r="F210" s="3" t="str">
        <f>"Qtr"&amp; " " &amp;CHOOSE(MONTH(Table1[[#This Row],[Date]]),1,1,1,2,2,2,3,3,3,4,4,4)</f>
        <v>Qtr 4</v>
      </c>
      <c r="G210" s="3" t="str">
        <f>TEXT(Table1[[#This Row],[Date]],"mmmm")</f>
        <v>December</v>
      </c>
      <c r="H210" s="3" t="s">
        <v>1082</v>
      </c>
      <c r="I210" s="3" t="s">
        <v>18</v>
      </c>
      <c r="J210" s="3">
        <v>9</v>
      </c>
      <c r="K210" s="3">
        <v>51752.89</v>
      </c>
      <c r="L210" s="3">
        <f>Table1[[#This Row],[Price Per Unit]]*Table1[[#This Row],[Units Sold]]</f>
        <v>465776.01</v>
      </c>
      <c r="M210" s="3" t="s">
        <v>243</v>
      </c>
      <c r="N210" s="3">
        <v>59</v>
      </c>
      <c r="O210" s="3" t="s">
        <v>20</v>
      </c>
      <c r="P210" s="3" t="s">
        <v>31</v>
      </c>
      <c r="Q210" s="4">
        <v>5</v>
      </c>
      <c r="R210" s="4" t="str">
        <f>IF(Table1[[#This Row],[Customer Ratings]]&gt;=4, "Good",IF(Table1[[#This Row],[Customer Ratings]]=3, "Average","Poor"))</f>
        <v>Good</v>
      </c>
      <c r="S210" s="3" t="s">
        <v>55</v>
      </c>
    </row>
    <row r="211" spans="1:19" x14ac:dyDescent="0.25">
      <c r="A211" s="3">
        <v>210</v>
      </c>
      <c r="B211" s="5">
        <f>DATE(Table1[[#This Row],[Year]],Table1[[#This Row],[Month]],Table1[[#This Row],[Day]])</f>
        <v>44537</v>
      </c>
      <c r="C211" s="3">
        <v>7</v>
      </c>
      <c r="D211" s="3">
        <v>12</v>
      </c>
      <c r="E211" s="3">
        <v>2021</v>
      </c>
      <c r="F211" s="3" t="str">
        <f>"Qtr"&amp; " " &amp;CHOOSE(MONTH(Table1[[#This Row],[Date]]),1,1,1,2,2,2,3,3,3,4,4,4)</f>
        <v>Qtr 4</v>
      </c>
      <c r="G211" s="3" t="str">
        <f>TEXT(Table1[[#This Row],[Date]],"mmmm")</f>
        <v>December</v>
      </c>
      <c r="H211" s="3" t="s">
        <v>1082</v>
      </c>
      <c r="I211" s="3" t="s">
        <v>33</v>
      </c>
      <c r="J211" s="3">
        <v>4</v>
      </c>
      <c r="K211" s="3">
        <v>19874.689999999999</v>
      </c>
      <c r="L211" s="3">
        <f>Table1[[#This Row],[Price Per Unit]]*Table1[[#This Row],[Units Sold]]</f>
        <v>79498.759999999995</v>
      </c>
      <c r="M211" s="3" t="s">
        <v>203</v>
      </c>
      <c r="N211" s="3">
        <v>40</v>
      </c>
      <c r="O211" s="3" t="s">
        <v>102</v>
      </c>
      <c r="P211" s="3" t="s">
        <v>45</v>
      </c>
      <c r="Q211" s="4">
        <v>5</v>
      </c>
      <c r="R211" s="4" t="str">
        <f>IF(Table1[[#This Row],[Customer Ratings]]&gt;=4, "Good",IF(Table1[[#This Row],[Customer Ratings]]=3, "Average","Poor"))</f>
        <v>Good</v>
      </c>
      <c r="S211" s="3" t="s">
        <v>83</v>
      </c>
    </row>
    <row r="212" spans="1:19" x14ac:dyDescent="0.25">
      <c r="A212" s="3">
        <v>211</v>
      </c>
      <c r="B212" s="5">
        <f>DATE(Table1[[#This Row],[Year]],Table1[[#This Row],[Month]],Table1[[#This Row],[Day]])</f>
        <v>44537</v>
      </c>
      <c r="C212" s="3">
        <v>7</v>
      </c>
      <c r="D212" s="3">
        <v>12</v>
      </c>
      <c r="E212" s="3">
        <v>2021</v>
      </c>
      <c r="F212" s="3" t="str">
        <f>"Qtr"&amp; " " &amp;CHOOSE(MONTH(Table1[[#This Row],[Date]]),1,1,1,2,2,2,3,3,3,4,4,4)</f>
        <v>Qtr 4</v>
      </c>
      <c r="G212" s="3" t="str">
        <f>TEXT(Table1[[#This Row],[Date]],"mmmm")</f>
        <v>December</v>
      </c>
      <c r="H212" s="3" t="s">
        <v>1082</v>
      </c>
      <c r="I212" s="3" t="s">
        <v>13</v>
      </c>
      <c r="J212" s="3">
        <v>1</v>
      </c>
      <c r="K212" s="3">
        <v>55220.83</v>
      </c>
      <c r="L212" s="3">
        <f>Table1[[#This Row],[Price Per Unit]]*Table1[[#This Row],[Units Sold]]</f>
        <v>55220.83</v>
      </c>
      <c r="M212" s="3" t="s">
        <v>244</v>
      </c>
      <c r="N212" s="3">
        <v>55</v>
      </c>
      <c r="O212" s="3" t="s">
        <v>102</v>
      </c>
      <c r="P212" s="3" t="s">
        <v>21</v>
      </c>
      <c r="Q212" s="4">
        <v>5</v>
      </c>
      <c r="R212" s="4" t="str">
        <f>IF(Table1[[#This Row],[Customer Ratings]]&gt;=4, "Good",IF(Table1[[#This Row],[Customer Ratings]]=3, "Average","Poor"))</f>
        <v>Good</v>
      </c>
      <c r="S212" s="3" t="s">
        <v>72</v>
      </c>
    </row>
    <row r="213" spans="1:19" x14ac:dyDescent="0.25">
      <c r="A213" s="3">
        <v>212</v>
      </c>
      <c r="B213" s="5">
        <f>DATE(Table1[[#This Row],[Year]],Table1[[#This Row],[Month]],Table1[[#This Row],[Day]])</f>
        <v>44538</v>
      </c>
      <c r="C213" s="3">
        <v>8</v>
      </c>
      <c r="D213" s="3">
        <v>12</v>
      </c>
      <c r="E213" s="3">
        <v>2021</v>
      </c>
      <c r="F213" s="3" t="str">
        <f>"Qtr"&amp; " " &amp;CHOOSE(MONTH(Table1[[#This Row],[Date]]),1,1,1,2,2,2,3,3,3,4,4,4)</f>
        <v>Qtr 4</v>
      </c>
      <c r="G213" s="3" t="str">
        <f>TEXT(Table1[[#This Row],[Date]],"mmmm")</f>
        <v>December</v>
      </c>
      <c r="H213" s="3" t="s">
        <v>1083</v>
      </c>
      <c r="I213" s="3" t="s">
        <v>28</v>
      </c>
      <c r="J213" s="3">
        <v>8</v>
      </c>
      <c r="K213" s="3">
        <v>68086.73</v>
      </c>
      <c r="L213" s="3">
        <f>Table1[[#This Row],[Price Per Unit]]*Table1[[#This Row],[Units Sold]]</f>
        <v>544693.84</v>
      </c>
      <c r="M213" s="3" t="s">
        <v>245</v>
      </c>
      <c r="N213" s="3">
        <v>58</v>
      </c>
      <c r="O213" s="3" t="s">
        <v>20</v>
      </c>
      <c r="P213" s="3" t="s">
        <v>21</v>
      </c>
      <c r="Q213" s="4">
        <v>4</v>
      </c>
      <c r="R213" s="4" t="str">
        <f>IF(Table1[[#This Row],[Customer Ratings]]&gt;=4, "Good",IF(Table1[[#This Row],[Customer Ratings]]=3, "Average","Poor"))</f>
        <v>Good</v>
      </c>
      <c r="S213" s="3" t="s">
        <v>38</v>
      </c>
    </row>
    <row r="214" spans="1:19" x14ac:dyDescent="0.25">
      <c r="A214" s="3">
        <v>213</v>
      </c>
      <c r="B214" s="5">
        <f>DATE(Table1[[#This Row],[Year]],Table1[[#This Row],[Month]],Table1[[#This Row],[Day]])</f>
        <v>44538</v>
      </c>
      <c r="C214" s="3">
        <v>8</v>
      </c>
      <c r="D214" s="3">
        <v>12</v>
      </c>
      <c r="E214" s="3">
        <v>2021</v>
      </c>
      <c r="F214" s="3" t="str">
        <f>"Qtr"&amp; " " &amp;CHOOSE(MONTH(Table1[[#This Row],[Date]]),1,1,1,2,2,2,3,3,3,4,4,4)</f>
        <v>Qtr 4</v>
      </c>
      <c r="G214" s="3" t="str">
        <f>TEXT(Table1[[#This Row],[Date]],"mmmm")</f>
        <v>December</v>
      </c>
      <c r="H214" s="3" t="s">
        <v>1083</v>
      </c>
      <c r="I214" s="3" t="s">
        <v>18</v>
      </c>
      <c r="J214" s="3">
        <v>7</v>
      </c>
      <c r="K214" s="3">
        <v>56773.17</v>
      </c>
      <c r="L214" s="3">
        <f>Table1[[#This Row],[Price Per Unit]]*Table1[[#This Row],[Units Sold]]</f>
        <v>397412.19</v>
      </c>
      <c r="M214" s="3" t="s">
        <v>246</v>
      </c>
      <c r="N214" s="3">
        <v>32</v>
      </c>
      <c r="O214" s="3" t="s">
        <v>54</v>
      </c>
      <c r="P214" s="3" t="s">
        <v>31</v>
      </c>
      <c r="Q214" s="4">
        <v>5</v>
      </c>
      <c r="R214" s="4" t="str">
        <f>IF(Table1[[#This Row],[Customer Ratings]]&gt;=4, "Good",IF(Table1[[#This Row],[Customer Ratings]]=3, "Average","Poor"))</f>
        <v>Good</v>
      </c>
      <c r="S214" s="3" t="s">
        <v>55</v>
      </c>
    </row>
    <row r="215" spans="1:19" x14ac:dyDescent="0.25">
      <c r="A215" s="3">
        <v>214</v>
      </c>
      <c r="B215" s="5">
        <f>DATE(Table1[[#This Row],[Year]],Table1[[#This Row],[Month]],Table1[[#This Row],[Day]])</f>
        <v>44538</v>
      </c>
      <c r="C215" s="3">
        <v>8</v>
      </c>
      <c r="D215" s="3">
        <v>12</v>
      </c>
      <c r="E215" s="3">
        <v>2021</v>
      </c>
      <c r="F215" s="3" t="str">
        <f>"Qtr"&amp; " " &amp;CHOOSE(MONTH(Table1[[#This Row],[Date]]),1,1,1,2,2,2,3,3,3,4,4,4)</f>
        <v>Qtr 4</v>
      </c>
      <c r="G215" s="3" t="str">
        <f>TEXT(Table1[[#This Row],[Date]],"mmmm")</f>
        <v>December</v>
      </c>
      <c r="H215" s="3" t="s">
        <v>1083</v>
      </c>
      <c r="I215" s="3" t="s">
        <v>18</v>
      </c>
      <c r="J215" s="3">
        <v>5</v>
      </c>
      <c r="K215" s="3">
        <v>11346.95</v>
      </c>
      <c r="L215" s="3">
        <f>Table1[[#This Row],[Price Per Unit]]*Table1[[#This Row],[Units Sold]]</f>
        <v>56734.75</v>
      </c>
      <c r="M215" s="3" t="s">
        <v>247</v>
      </c>
      <c r="N215" s="3">
        <v>57</v>
      </c>
      <c r="O215" s="3" t="s">
        <v>98</v>
      </c>
      <c r="P215" s="3" t="s">
        <v>45</v>
      </c>
      <c r="Q215" s="4">
        <v>4</v>
      </c>
      <c r="R215" s="4" t="str">
        <f>IF(Table1[[#This Row],[Customer Ratings]]&gt;=4, "Good",IF(Table1[[#This Row],[Customer Ratings]]=3, "Average","Poor"))</f>
        <v>Good</v>
      </c>
      <c r="S215" s="3" t="s">
        <v>25</v>
      </c>
    </row>
    <row r="216" spans="1:19" x14ac:dyDescent="0.25">
      <c r="A216" s="3">
        <v>215</v>
      </c>
      <c r="B216" s="5">
        <f>DATE(Table1[[#This Row],[Year]],Table1[[#This Row],[Month]],Table1[[#This Row],[Day]])</f>
        <v>44539</v>
      </c>
      <c r="C216" s="3">
        <v>9</v>
      </c>
      <c r="D216" s="3">
        <v>12</v>
      </c>
      <c r="E216" s="3">
        <v>2021</v>
      </c>
      <c r="F216" s="3" t="str">
        <f>"Qtr"&amp; " " &amp;CHOOSE(MONTH(Table1[[#This Row],[Date]]),1,1,1,2,2,2,3,3,3,4,4,4)</f>
        <v>Qtr 4</v>
      </c>
      <c r="G216" s="3" t="str">
        <f>TEXT(Table1[[#This Row],[Date]],"mmmm")</f>
        <v>December</v>
      </c>
      <c r="H216" s="3" t="s">
        <v>1084</v>
      </c>
      <c r="I216" s="3" t="s">
        <v>33</v>
      </c>
      <c r="J216" s="3">
        <v>5</v>
      </c>
      <c r="K216" s="3">
        <v>45993.15</v>
      </c>
      <c r="L216" s="3">
        <f>Table1[[#This Row],[Price Per Unit]]*Table1[[#This Row],[Units Sold]]</f>
        <v>229965.75</v>
      </c>
      <c r="M216" s="3" t="s">
        <v>248</v>
      </c>
      <c r="N216" s="3">
        <v>33</v>
      </c>
      <c r="O216" s="3" t="s">
        <v>24</v>
      </c>
      <c r="P216" s="3" t="s">
        <v>45</v>
      </c>
      <c r="Q216" s="4">
        <v>3</v>
      </c>
      <c r="R216" s="4" t="str">
        <f>IF(Table1[[#This Row],[Customer Ratings]]&gt;=4, "Good",IF(Table1[[#This Row],[Customer Ratings]]=3, "Average","Poor"))</f>
        <v>Average</v>
      </c>
      <c r="S216" s="3" t="s">
        <v>36</v>
      </c>
    </row>
    <row r="217" spans="1:19" x14ac:dyDescent="0.25">
      <c r="A217" s="3">
        <v>216</v>
      </c>
      <c r="B217" s="5">
        <f>DATE(Table1[[#This Row],[Year]],Table1[[#This Row],[Month]],Table1[[#This Row],[Day]])</f>
        <v>44539</v>
      </c>
      <c r="C217" s="3">
        <v>9</v>
      </c>
      <c r="D217" s="3">
        <v>12</v>
      </c>
      <c r="E217" s="3">
        <v>2021</v>
      </c>
      <c r="F217" s="3" t="str">
        <f>"Qtr"&amp; " " &amp;CHOOSE(MONTH(Table1[[#This Row],[Date]]),1,1,1,2,2,2,3,3,3,4,4,4)</f>
        <v>Qtr 4</v>
      </c>
      <c r="G217" s="3" t="str">
        <f>TEXT(Table1[[#This Row],[Date]],"mmmm")</f>
        <v>December</v>
      </c>
      <c r="H217" s="3" t="s">
        <v>1084</v>
      </c>
      <c r="I217" s="3" t="s">
        <v>28</v>
      </c>
      <c r="J217" s="3">
        <v>7</v>
      </c>
      <c r="K217" s="3">
        <v>51724.639999999999</v>
      </c>
      <c r="L217" s="3">
        <f>Table1[[#This Row],[Price Per Unit]]*Table1[[#This Row],[Units Sold]]</f>
        <v>362072.48</v>
      </c>
      <c r="M217" s="3" t="s">
        <v>249</v>
      </c>
      <c r="N217" s="3">
        <v>49</v>
      </c>
      <c r="O217" s="3" t="s">
        <v>48</v>
      </c>
      <c r="P217" s="3" t="s">
        <v>21</v>
      </c>
      <c r="Q217" s="4">
        <v>5</v>
      </c>
      <c r="R217" s="4" t="str">
        <f>IF(Table1[[#This Row],[Customer Ratings]]&gt;=4, "Good",IF(Table1[[#This Row],[Customer Ratings]]=3, "Average","Poor"))</f>
        <v>Good</v>
      </c>
      <c r="S217" s="3" t="s">
        <v>32</v>
      </c>
    </row>
    <row r="218" spans="1:19" x14ac:dyDescent="0.25">
      <c r="A218" s="3">
        <v>217</v>
      </c>
      <c r="B218" s="5">
        <f>DATE(Table1[[#This Row],[Year]],Table1[[#This Row],[Month]],Table1[[#This Row],[Day]])</f>
        <v>44539</v>
      </c>
      <c r="C218" s="3">
        <v>9</v>
      </c>
      <c r="D218" s="3">
        <v>12</v>
      </c>
      <c r="E218" s="3">
        <v>2021</v>
      </c>
      <c r="F218" s="3" t="str">
        <f>"Qtr"&amp; " " &amp;CHOOSE(MONTH(Table1[[#This Row],[Date]]),1,1,1,2,2,2,3,3,3,4,4,4)</f>
        <v>Qtr 4</v>
      </c>
      <c r="G218" s="3" t="str">
        <f>TEXT(Table1[[#This Row],[Date]],"mmmm")</f>
        <v>December</v>
      </c>
      <c r="H218" s="3" t="s">
        <v>1084</v>
      </c>
      <c r="I218" s="3" t="s">
        <v>39</v>
      </c>
      <c r="J218" s="3">
        <v>5</v>
      </c>
      <c r="K218" s="3">
        <v>59527.5</v>
      </c>
      <c r="L218" s="3">
        <f>Table1[[#This Row],[Price Per Unit]]*Table1[[#This Row],[Units Sold]]</f>
        <v>297637.5</v>
      </c>
      <c r="M218" s="3" t="s">
        <v>196</v>
      </c>
      <c r="N218" s="3">
        <v>54</v>
      </c>
      <c r="O218" s="3" t="s">
        <v>137</v>
      </c>
      <c r="P218" s="3" t="s">
        <v>21</v>
      </c>
      <c r="Q218" s="4">
        <v>5</v>
      </c>
      <c r="R218" s="4" t="str">
        <f>IF(Table1[[#This Row],[Customer Ratings]]&gt;=4, "Good",IF(Table1[[#This Row],[Customer Ratings]]=3, "Average","Poor"))</f>
        <v>Good</v>
      </c>
      <c r="S218" s="3" t="s">
        <v>42</v>
      </c>
    </row>
    <row r="219" spans="1:19" x14ac:dyDescent="0.25">
      <c r="A219" s="3">
        <v>218</v>
      </c>
      <c r="B219" s="5">
        <f>DATE(Table1[[#This Row],[Year]],Table1[[#This Row],[Month]],Table1[[#This Row],[Day]])</f>
        <v>44540</v>
      </c>
      <c r="C219" s="3">
        <v>10</v>
      </c>
      <c r="D219" s="3">
        <v>12</v>
      </c>
      <c r="E219" s="3">
        <v>2021</v>
      </c>
      <c r="F219" s="3" t="str">
        <f>"Qtr"&amp; " " &amp;CHOOSE(MONTH(Table1[[#This Row],[Date]]),1,1,1,2,2,2,3,3,3,4,4,4)</f>
        <v>Qtr 4</v>
      </c>
      <c r="G219" s="3" t="str">
        <f>TEXT(Table1[[#This Row],[Date]],"mmmm")</f>
        <v>December</v>
      </c>
      <c r="H219" s="3" t="s">
        <v>1085</v>
      </c>
      <c r="I219" s="3" t="s">
        <v>18</v>
      </c>
      <c r="J219" s="3">
        <v>8</v>
      </c>
      <c r="K219" s="3">
        <v>13360.14</v>
      </c>
      <c r="L219" s="3">
        <f>Table1[[#This Row],[Price Per Unit]]*Table1[[#This Row],[Units Sold]]</f>
        <v>106881.12</v>
      </c>
      <c r="M219" s="3" t="s">
        <v>14</v>
      </c>
      <c r="N219" s="3">
        <v>35</v>
      </c>
      <c r="O219" s="3" t="s">
        <v>20</v>
      </c>
      <c r="P219" s="3" t="s">
        <v>16</v>
      </c>
      <c r="Q219" s="4">
        <v>5</v>
      </c>
      <c r="R219" s="4" t="str">
        <f>IF(Table1[[#This Row],[Customer Ratings]]&gt;=4, "Good",IF(Table1[[#This Row],[Customer Ratings]]=3, "Average","Poor"))</f>
        <v>Good</v>
      </c>
      <c r="S219" s="3" t="s">
        <v>25</v>
      </c>
    </row>
    <row r="220" spans="1:19" x14ac:dyDescent="0.25">
      <c r="A220" s="3">
        <v>219</v>
      </c>
      <c r="B220" s="5">
        <f>DATE(Table1[[#This Row],[Year]],Table1[[#This Row],[Month]],Table1[[#This Row],[Day]])</f>
        <v>44540</v>
      </c>
      <c r="C220" s="3">
        <v>10</v>
      </c>
      <c r="D220" s="3">
        <v>12</v>
      </c>
      <c r="E220" s="3">
        <v>2021</v>
      </c>
      <c r="F220" s="3" t="str">
        <f>"Qtr"&amp; " " &amp;CHOOSE(MONTH(Table1[[#This Row],[Date]]),1,1,1,2,2,2,3,3,3,4,4,4)</f>
        <v>Qtr 4</v>
      </c>
      <c r="G220" s="3" t="str">
        <f>TEXT(Table1[[#This Row],[Date]],"mmmm")</f>
        <v>December</v>
      </c>
      <c r="H220" s="3" t="s">
        <v>1085</v>
      </c>
      <c r="I220" s="3" t="s">
        <v>33</v>
      </c>
      <c r="J220" s="3">
        <v>6</v>
      </c>
      <c r="K220" s="3">
        <v>38806.47</v>
      </c>
      <c r="L220" s="3">
        <f>Table1[[#This Row],[Price Per Unit]]*Table1[[#This Row],[Units Sold]]</f>
        <v>232838.82</v>
      </c>
      <c r="M220" s="3" t="s">
        <v>250</v>
      </c>
      <c r="N220" s="3">
        <v>37</v>
      </c>
      <c r="O220" s="3" t="s">
        <v>35</v>
      </c>
      <c r="P220" s="3" t="s">
        <v>31</v>
      </c>
      <c r="Q220" s="4">
        <v>4</v>
      </c>
      <c r="R220" s="4" t="str">
        <f>IF(Table1[[#This Row],[Customer Ratings]]&gt;=4, "Good",IF(Table1[[#This Row],[Customer Ratings]]=3, "Average","Poor"))</f>
        <v>Good</v>
      </c>
      <c r="S220" s="3" t="s">
        <v>46</v>
      </c>
    </row>
    <row r="221" spans="1:19" x14ac:dyDescent="0.25">
      <c r="A221" s="3">
        <v>220</v>
      </c>
      <c r="B221" s="5">
        <f>DATE(Table1[[#This Row],[Year]],Table1[[#This Row],[Month]],Table1[[#This Row],[Day]])</f>
        <v>44540</v>
      </c>
      <c r="C221" s="3">
        <v>10</v>
      </c>
      <c r="D221" s="3">
        <v>12</v>
      </c>
      <c r="E221" s="3">
        <v>2021</v>
      </c>
      <c r="F221" s="3" t="str">
        <f>"Qtr"&amp; " " &amp;CHOOSE(MONTH(Table1[[#This Row],[Date]]),1,1,1,2,2,2,3,3,3,4,4,4)</f>
        <v>Qtr 4</v>
      </c>
      <c r="G221" s="3" t="str">
        <f>TEXT(Table1[[#This Row],[Date]],"mmmm")</f>
        <v>December</v>
      </c>
      <c r="H221" s="3" t="s">
        <v>1085</v>
      </c>
      <c r="I221" s="3" t="s">
        <v>39</v>
      </c>
      <c r="J221" s="3">
        <v>5</v>
      </c>
      <c r="K221" s="3">
        <v>42122.25</v>
      </c>
      <c r="L221" s="3">
        <f>Table1[[#This Row],[Price Per Unit]]*Table1[[#This Row],[Units Sold]]</f>
        <v>210611.25</v>
      </c>
      <c r="M221" s="3" t="s">
        <v>186</v>
      </c>
      <c r="N221" s="3">
        <v>19</v>
      </c>
      <c r="O221" s="3" t="s">
        <v>35</v>
      </c>
      <c r="P221" s="3" t="s">
        <v>21</v>
      </c>
      <c r="Q221" s="4">
        <v>4</v>
      </c>
      <c r="R221" s="4" t="str">
        <f>IF(Table1[[#This Row],[Customer Ratings]]&gt;=4, "Good",IF(Table1[[#This Row],[Customer Ratings]]=3, "Average","Poor"))</f>
        <v>Good</v>
      </c>
      <c r="S221" s="3" t="s">
        <v>42</v>
      </c>
    </row>
    <row r="222" spans="1:19" x14ac:dyDescent="0.25">
      <c r="A222" s="3">
        <v>221</v>
      </c>
      <c r="B222" s="5">
        <f>DATE(Table1[[#This Row],[Year]],Table1[[#This Row],[Month]],Table1[[#This Row],[Day]])</f>
        <v>44541</v>
      </c>
      <c r="C222" s="3">
        <v>11</v>
      </c>
      <c r="D222" s="3">
        <v>12</v>
      </c>
      <c r="E222" s="3">
        <v>2021</v>
      </c>
      <c r="F222" s="3" t="str">
        <f>"Qtr"&amp; " " &amp;CHOOSE(MONTH(Table1[[#This Row],[Date]]),1,1,1,2,2,2,3,3,3,4,4,4)</f>
        <v>Qtr 4</v>
      </c>
      <c r="G222" s="3" t="str">
        <f>TEXT(Table1[[#This Row],[Date]],"mmmm")</f>
        <v>December</v>
      </c>
      <c r="H222" s="3" t="s">
        <v>1079</v>
      </c>
      <c r="I222" s="3" t="s">
        <v>28</v>
      </c>
      <c r="J222" s="3">
        <v>9</v>
      </c>
      <c r="K222" s="3">
        <v>20147.490000000002</v>
      </c>
      <c r="L222" s="3">
        <f>Table1[[#This Row],[Price Per Unit]]*Table1[[#This Row],[Units Sold]]</f>
        <v>181327.41</v>
      </c>
      <c r="M222" s="3" t="s">
        <v>251</v>
      </c>
      <c r="N222" s="3">
        <v>40</v>
      </c>
      <c r="O222" s="3" t="s">
        <v>54</v>
      </c>
      <c r="P222" s="3" t="s">
        <v>45</v>
      </c>
      <c r="Q222" s="4">
        <v>4</v>
      </c>
      <c r="R222" s="4" t="str">
        <f>IF(Table1[[#This Row],[Customer Ratings]]&gt;=4, "Good",IF(Table1[[#This Row],[Customer Ratings]]=3, "Average","Poor"))</f>
        <v>Good</v>
      </c>
      <c r="S222" s="3" t="s">
        <v>32</v>
      </c>
    </row>
    <row r="223" spans="1:19" x14ac:dyDescent="0.25">
      <c r="A223" s="3">
        <v>222</v>
      </c>
      <c r="B223" s="5">
        <f>DATE(Table1[[#This Row],[Year]],Table1[[#This Row],[Month]],Table1[[#This Row],[Day]])</f>
        <v>44541</v>
      </c>
      <c r="C223" s="3">
        <v>11</v>
      </c>
      <c r="D223" s="3">
        <v>12</v>
      </c>
      <c r="E223" s="3">
        <v>2021</v>
      </c>
      <c r="F223" s="3" t="str">
        <f>"Qtr"&amp; " " &amp;CHOOSE(MONTH(Table1[[#This Row],[Date]]),1,1,1,2,2,2,3,3,3,4,4,4)</f>
        <v>Qtr 4</v>
      </c>
      <c r="G223" s="3" t="str">
        <f>TEXT(Table1[[#This Row],[Date]],"mmmm")</f>
        <v>December</v>
      </c>
      <c r="H223" s="3" t="s">
        <v>1079</v>
      </c>
      <c r="I223" s="3" t="s">
        <v>18</v>
      </c>
      <c r="J223" s="3">
        <v>2</v>
      </c>
      <c r="K223" s="3">
        <v>29346.99</v>
      </c>
      <c r="L223" s="3">
        <f>Table1[[#This Row],[Price Per Unit]]*Table1[[#This Row],[Units Sold]]</f>
        <v>58693.98</v>
      </c>
      <c r="M223" s="3" t="s">
        <v>252</v>
      </c>
      <c r="N223" s="3">
        <v>47</v>
      </c>
      <c r="O223" s="3" t="s">
        <v>102</v>
      </c>
      <c r="P223" s="3" t="s">
        <v>45</v>
      </c>
      <c r="Q223" s="4">
        <v>5</v>
      </c>
      <c r="R223" s="4" t="str">
        <f>IF(Table1[[#This Row],[Customer Ratings]]&gt;=4, "Good",IF(Table1[[#This Row],[Customer Ratings]]=3, "Average","Poor"))</f>
        <v>Good</v>
      </c>
      <c r="S223" s="3" t="s">
        <v>55</v>
      </c>
    </row>
    <row r="224" spans="1:19" x14ac:dyDescent="0.25">
      <c r="A224" s="3">
        <v>223</v>
      </c>
      <c r="B224" s="5">
        <f>DATE(Table1[[#This Row],[Year]],Table1[[#This Row],[Month]],Table1[[#This Row],[Day]])</f>
        <v>44541</v>
      </c>
      <c r="C224" s="3">
        <v>11</v>
      </c>
      <c r="D224" s="3">
        <v>12</v>
      </c>
      <c r="E224" s="3">
        <v>2021</v>
      </c>
      <c r="F224" s="3" t="str">
        <f>"Qtr"&amp; " " &amp;CHOOSE(MONTH(Table1[[#This Row],[Date]]),1,1,1,2,2,2,3,3,3,4,4,4)</f>
        <v>Qtr 4</v>
      </c>
      <c r="G224" s="3" t="str">
        <f>TEXT(Table1[[#This Row],[Date]],"mmmm")</f>
        <v>December</v>
      </c>
      <c r="H224" s="3" t="s">
        <v>1079</v>
      </c>
      <c r="I224" s="3" t="s">
        <v>39</v>
      </c>
      <c r="J224" s="3">
        <v>1</v>
      </c>
      <c r="K224" s="3">
        <v>36413.300000000003</v>
      </c>
      <c r="L224" s="3">
        <f>Table1[[#This Row],[Price Per Unit]]*Table1[[#This Row],[Units Sold]]</f>
        <v>36413.300000000003</v>
      </c>
      <c r="M224" s="3" t="s">
        <v>165</v>
      </c>
      <c r="N224" s="3">
        <v>20</v>
      </c>
      <c r="O224" s="3" t="s">
        <v>30</v>
      </c>
      <c r="P224" s="3" t="s">
        <v>21</v>
      </c>
      <c r="Q224" s="4">
        <v>5</v>
      </c>
      <c r="R224" s="4" t="str">
        <f>IF(Table1[[#This Row],[Customer Ratings]]&gt;=4, "Good",IF(Table1[[#This Row],[Customer Ratings]]=3, "Average","Poor"))</f>
        <v>Good</v>
      </c>
      <c r="S224" s="3" t="s">
        <v>76</v>
      </c>
    </row>
    <row r="225" spans="1:19" x14ac:dyDescent="0.25">
      <c r="A225" s="3">
        <v>224</v>
      </c>
      <c r="B225" s="5">
        <f>DATE(Table1[[#This Row],[Year]],Table1[[#This Row],[Month]],Table1[[#This Row],[Day]])</f>
        <v>44542</v>
      </c>
      <c r="C225" s="3">
        <v>12</v>
      </c>
      <c r="D225" s="3">
        <v>12</v>
      </c>
      <c r="E225" s="3">
        <v>2021</v>
      </c>
      <c r="F225" s="3" t="str">
        <f>"Qtr"&amp; " " &amp;CHOOSE(MONTH(Table1[[#This Row],[Date]]),1,1,1,2,2,2,3,3,3,4,4,4)</f>
        <v>Qtr 4</v>
      </c>
      <c r="G225" s="3" t="str">
        <f>TEXT(Table1[[#This Row],[Date]],"mmmm")</f>
        <v>December</v>
      </c>
      <c r="H225" s="3" t="s">
        <v>1080</v>
      </c>
      <c r="I225" s="3" t="s">
        <v>39</v>
      </c>
      <c r="J225" s="3">
        <v>8</v>
      </c>
      <c r="K225" s="3">
        <v>59992.58</v>
      </c>
      <c r="L225" s="3">
        <f>Table1[[#This Row],[Price Per Unit]]*Table1[[#This Row],[Units Sold]]</f>
        <v>479940.64</v>
      </c>
      <c r="M225" s="3" t="s">
        <v>85</v>
      </c>
      <c r="N225" s="3">
        <v>56</v>
      </c>
      <c r="O225" s="3" t="s">
        <v>15</v>
      </c>
      <c r="P225" s="3" t="s">
        <v>45</v>
      </c>
      <c r="Q225" s="4">
        <v>5</v>
      </c>
      <c r="R225" s="4" t="str">
        <f>IF(Table1[[#This Row],[Customer Ratings]]&gt;=4, "Good",IF(Table1[[#This Row],[Customer Ratings]]=3, "Average","Poor"))</f>
        <v>Good</v>
      </c>
      <c r="S225" s="3" t="s">
        <v>42</v>
      </c>
    </row>
    <row r="226" spans="1:19" x14ac:dyDescent="0.25">
      <c r="A226" s="3">
        <v>225</v>
      </c>
      <c r="B226" s="5">
        <f>DATE(Table1[[#This Row],[Year]],Table1[[#This Row],[Month]],Table1[[#This Row],[Day]])</f>
        <v>44542</v>
      </c>
      <c r="C226" s="3">
        <v>12</v>
      </c>
      <c r="D226" s="3">
        <v>12</v>
      </c>
      <c r="E226" s="3">
        <v>2021</v>
      </c>
      <c r="F226" s="3" t="str">
        <f>"Qtr"&amp; " " &amp;CHOOSE(MONTH(Table1[[#This Row],[Date]]),1,1,1,2,2,2,3,3,3,4,4,4)</f>
        <v>Qtr 4</v>
      </c>
      <c r="G226" s="3" t="str">
        <f>TEXT(Table1[[#This Row],[Date]],"mmmm")</f>
        <v>December</v>
      </c>
      <c r="H226" s="3" t="s">
        <v>1080</v>
      </c>
      <c r="I226" s="3" t="s">
        <v>39</v>
      </c>
      <c r="J226" s="3">
        <v>3</v>
      </c>
      <c r="K226" s="3">
        <v>65764.45</v>
      </c>
      <c r="L226" s="3">
        <f>Table1[[#This Row],[Price Per Unit]]*Table1[[#This Row],[Units Sold]]</f>
        <v>197293.34999999998</v>
      </c>
      <c r="M226" s="3" t="s">
        <v>82</v>
      </c>
      <c r="N226" s="3">
        <v>18</v>
      </c>
      <c r="O226" s="3" t="s">
        <v>20</v>
      </c>
      <c r="P226" s="3" t="s">
        <v>31</v>
      </c>
      <c r="Q226" s="4">
        <v>5</v>
      </c>
      <c r="R226" s="4" t="str">
        <f>IF(Table1[[#This Row],[Customer Ratings]]&gt;=4, "Good",IF(Table1[[#This Row],[Customer Ratings]]=3, "Average","Poor"))</f>
        <v>Good</v>
      </c>
      <c r="S226" s="3" t="s">
        <v>90</v>
      </c>
    </row>
    <row r="227" spans="1:19" x14ac:dyDescent="0.25">
      <c r="A227" s="3">
        <v>226</v>
      </c>
      <c r="B227" s="5">
        <f>DATE(Table1[[#This Row],[Year]],Table1[[#This Row],[Month]],Table1[[#This Row],[Day]])</f>
        <v>44542</v>
      </c>
      <c r="C227" s="3">
        <v>12</v>
      </c>
      <c r="D227" s="3">
        <v>12</v>
      </c>
      <c r="E227" s="3">
        <v>2021</v>
      </c>
      <c r="F227" s="3" t="str">
        <f>"Qtr"&amp; " " &amp;CHOOSE(MONTH(Table1[[#This Row],[Date]]),1,1,1,2,2,2,3,3,3,4,4,4)</f>
        <v>Qtr 4</v>
      </c>
      <c r="G227" s="3" t="str">
        <f>TEXT(Table1[[#This Row],[Date]],"mmmm")</f>
        <v>December</v>
      </c>
      <c r="H227" s="3" t="s">
        <v>1080</v>
      </c>
      <c r="I227" s="3" t="s">
        <v>18</v>
      </c>
      <c r="J227" s="3">
        <v>7</v>
      </c>
      <c r="K227" s="3">
        <v>47705.37</v>
      </c>
      <c r="L227" s="3">
        <f>Table1[[#This Row],[Price Per Unit]]*Table1[[#This Row],[Units Sold]]</f>
        <v>333937.59000000003</v>
      </c>
      <c r="M227" s="3" t="s">
        <v>253</v>
      </c>
      <c r="N227" s="3">
        <v>58</v>
      </c>
      <c r="O227" s="3" t="s">
        <v>137</v>
      </c>
      <c r="P227" s="3" t="s">
        <v>45</v>
      </c>
      <c r="Q227" s="4">
        <v>4</v>
      </c>
      <c r="R227" s="4" t="str">
        <f>IF(Table1[[#This Row],[Customer Ratings]]&gt;=4, "Good",IF(Table1[[#This Row],[Customer Ratings]]=3, "Average","Poor"))</f>
        <v>Good</v>
      </c>
      <c r="S227" s="3" t="s">
        <v>22</v>
      </c>
    </row>
    <row r="228" spans="1:19" x14ac:dyDescent="0.25">
      <c r="A228" s="3">
        <v>227</v>
      </c>
      <c r="B228" s="5">
        <f>DATE(Table1[[#This Row],[Year]],Table1[[#This Row],[Month]],Table1[[#This Row],[Day]])</f>
        <v>44543</v>
      </c>
      <c r="C228" s="3">
        <v>13</v>
      </c>
      <c r="D228" s="3">
        <v>12</v>
      </c>
      <c r="E228" s="3">
        <v>2021</v>
      </c>
      <c r="F228" s="3" t="str">
        <f>"Qtr"&amp; " " &amp;CHOOSE(MONTH(Table1[[#This Row],[Date]]),1,1,1,2,2,2,3,3,3,4,4,4)</f>
        <v>Qtr 4</v>
      </c>
      <c r="G228" s="3" t="str">
        <f>TEXT(Table1[[#This Row],[Date]],"mmmm")</f>
        <v>December</v>
      </c>
      <c r="H228" s="3" t="s">
        <v>1081</v>
      </c>
      <c r="I228" s="3" t="s">
        <v>18</v>
      </c>
      <c r="J228" s="3">
        <v>8</v>
      </c>
      <c r="K228" s="3">
        <v>33696.71</v>
      </c>
      <c r="L228" s="3">
        <f>Table1[[#This Row],[Price Per Unit]]*Table1[[#This Row],[Units Sold]]</f>
        <v>269573.68</v>
      </c>
      <c r="M228" s="3" t="s">
        <v>254</v>
      </c>
      <c r="N228" s="3">
        <v>39</v>
      </c>
      <c r="O228" s="3" t="s">
        <v>20</v>
      </c>
      <c r="P228" s="3" t="s">
        <v>45</v>
      </c>
      <c r="Q228" s="4">
        <v>3</v>
      </c>
      <c r="R228" s="4" t="str">
        <f>IF(Table1[[#This Row],[Customer Ratings]]&gt;=4, "Good",IF(Table1[[#This Row],[Customer Ratings]]=3, "Average","Poor"))</f>
        <v>Average</v>
      </c>
      <c r="S228" s="3" t="s">
        <v>25</v>
      </c>
    </row>
    <row r="229" spans="1:19" x14ac:dyDescent="0.25">
      <c r="A229" s="3">
        <v>228</v>
      </c>
      <c r="B229" s="5">
        <f>DATE(Table1[[#This Row],[Year]],Table1[[#This Row],[Month]],Table1[[#This Row],[Day]])</f>
        <v>44543</v>
      </c>
      <c r="C229" s="3">
        <v>13</v>
      </c>
      <c r="D229" s="3">
        <v>12</v>
      </c>
      <c r="E229" s="3">
        <v>2021</v>
      </c>
      <c r="F229" s="3" t="str">
        <f>"Qtr"&amp; " " &amp;CHOOSE(MONTH(Table1[[#This Row],[Date]]),1,1,1,2,2,2,3,3,3,4,4,4)</f>
        <v>Qtr 4</v>
      </c>
      <c r="G229" s="3" t="str">
        <f>TEXT(Table1[[#This Row],[Date]],"mmmm")</f>
        <v>December</v>
      </c>
      <c r="H229" s="3" t="s">
        <v>1081</v>
      </c>
      <c r="I229" s="3" t="s">
        <v>13</v>
      </c>
      <c r="J229" s="3">
        <v>6</v>
      </c>
      <c r="K229" s="3">
        <v>25241.86</v>
      </c>
      <c r="L229" s="3">
        <f>Table1[[#This Row],[Price Per Unit]]*Table1[[#This Row],[Units Sold]]</f>
        <v>151451.16</v>
      </c>
      <c r="M229" s="3" t="s">
        <v>255</v>
      </c>
      <c r="N229" s="3">
        <v>46</v>
      </c>
      <c r="O229" s="3" t="s">
        <v>20</v>
      </c>
      <c r="P229" s="3" t="s">
        <v>21</v>
      </c>
      <c r="Q229" s="4">
        <v>5</v>
      </c>
      <c r="R229" s="4" t="str">
        <f>IF(Table1[[#This Row],[Customer Ratings]]&gt;=4, "Good",IF(Table1[[#This Row],[Customer Ratings]]=3, "Average","Poor"))</f>
        <v>Good</v>
      </c>
      <c r="S229" s="3" t="s">
        <v>17</v>
      </c>
    </row>
    <row r="230" spans="1:19" x14ac:dyDescent="0.25">
      <c r="A230" s="3">
        <v>229</v>
      </c>
      <c r="B230" s="5">
        <f>DATE(Table1[[#This Row],[Year]],Table1[[#This Row],[Month]],Table1[[#This Row],[Day]])</f>
        <v>44543</v>
      </c>
      <c r="C230" s="3">
        <v>13</v>
      </c>
      <c r="D230" s="3">
        <v>12</v>
      </c>
      <c r="E230" s="3">
        <v>2021</v>
      </c>
      <c r="F230" s="3" t="str">
        <f>"Qtr"&amp; " " &amp;CHOOSE(MONTH(Table1[[#This Row],[Date]]),1,1,1,2,2,2,3,3,3,4,4,4)</f>
        <v>Qtr 4</v>
      </c>
      <c r="G230" s="3" t="str">
        <f>TEXT(Table1[[#This Row],[Date]],"mmmm")</f>
        <v>December</v>
      </c>
      <c r="H230" s="3" t="s">
        <v>1081</v>
      </c>
      <c r="I230" s="3" t="s">
        <v>28</v>
      </c>
      <c r="J230" s="3">
        <v>9</v>
      </c>
      <c r="K230" s="3">
        <v>68928.11</v>
      </c>
      <c r="L230" s="3">
        <f>Table1[[#This Row],[Price Per Unit]]*Table1[[#This Row],[Units Sold]]</f>
        <v>620352.99</v>
      </c>
      <c r="M230" s="3" t="s">
        <v>256</v>
      </c>
      <c r="N230" s="3">
        <v>31</v>
      </c>
      <c r="O230" s="3" t="s">
        <v>20</v>
      </c>
      <c r="P230" s="3" t="s">
        <v>31</v>
      </c>
      <c r="Q230" s="4">
        <v>4</v>
      </c>
      <c r="R230" s="4" t="str">
        <f>IF(Table1[[#This Row],[Customer Ratings]]&gt;=4, "Good",IF(Table1[[#This Row],[Customer Ratings]]=3, "Average","Poor"))</f>
        <v>Good</v>
      </c>
      <c r="S230" s="3" t="s">
        <v>32</v>
      </c>
    </row>
    <row r="231" spans="1:19" x14ac:dyDescent="0.25">
      <c r="A231" s="3">
        <v>230</v>
      </c>
      <c r="B231" s="5">
        <f>DATE(Table1[[#This Row],[Year]],Table1[[#This Row],[Month]],Table1[[#This Row],[Day]])</f>
        <v>44543</v>
      </c>
      <c r="C231" s="3">
        <v>13</v>
      </c>
      <c r="D231" s="3">
        <v>12</v>
      </c>
      <c r="E231" s="3">
        <v>2021</v>
      </c>
      <c r="F231" s="3" t="str">
        <f>"Qtr"&amp; " " &amp;CHOOSE(MONTH(Table1[[#This Row],[Date]]),1,1,1,2,2,2,3,3,3,4,4,4)</f>
        <v>Qtr 4</v>
      </c>
      <c r="G231" s="3" t="str">
        <f>TEXT(Table1[[#This Row],[Date]],"mmmm")</f>
        <v>December</v>
      </c>
      <c r="H231" s="3" t="s">
        <v>1081</v>
      </c>
      <c r="I231" s="3" t="s">
        <v>33</v>
      </c>
      <c r="J231" s="3">
        <v>7</v>
      </c>
      <c r="K231" s="3">
        <v>68981.2</v>
      </c>
      <c r="L231" s="3">
        <f>Table1[[#This Row],[Price Per Unit]]*Table1[[#This Row],[Units Sold]]</f>
        <v>482868.39999999997</v>
      </c>
      <c r="M231" s="3" t="s">
        <v>257</v>
      </c>
      <c r="N231" s="3">
        <v>45</v>
      </c>
      <c r="O231" s="3" t="s">
        <v>35</v>
      </c>
      <c r="P231" s="3" t="s">
        <v>31</v>
      </c>
      <c r="Q231" s="4">
        <v>5</v>
      </c>
      <c r="R231" s="4" t="str">
        <f>IF(Table1[[#This Row],[Customer Ratings]]&gt;=4, "Good",IF(Table1[[#This Row],[Customer Ratings]]=3, "Average","Poor"))</f>
        <v>Good</v>
      </c>
      <c r="S231" s="3" t="s">
        <v>36</v>
      </c>
    </row>
    <row r="232" spans="1:19" x14ac:dyDescent="0.25">
      <c r="A232" s="3">
        <v>231</v>
      </c>
      <c r="B232" s="5">
        <f>DATE(Table1[[#This Row],[Year]],Table1[[#This Row],[Month]],Table1[[#This Row],[Day]])</f>
        <v>44544</v>
      </c>
      <c r="C232" s="3">
        <v>14</v>
      </c>
      <c r="D232" s="3">
        <v>12</v>
      </c>
      <c r="E232" s="3">
        <v>2021</v>
      </c>
      <c r="F232" s="3" t="str">
        <f>"Qtr"&amp; " " &amp;CHOOSE(MONTH(Table1[[#This Row],[Date]]),1,1,1,2,2,2,3,3,3,4,4,4)</f>
        <v>Qtr 4</v>
      </c>
      <c r="G232" s="3" t="str">
        <f>TEXT(Table1[[#This Row],[Date]],"mmmm")</f>
        <v>December</v>
      </c>
      <c r="H232" s="3" t="s">
        <v>1082</v>
      </c>
      <c r="I232" s="3" t="s">
        <v>39</v>
      </c>
      <c r="J232" s="3">
        <v>5</v>
      </c>
      <c r="K232" s="3">
        <v>65498.62</v>
      </c>
      <c r="L232" s="3">
        <f>Table1[[#This Row],[Price Per Unit]]*Table1[[#This Row],[Units Sold]]</f>
        <v>327493.10000000003</v>
      </c>
      <c r="M232" s="3" t="s">
        <v>258</v>
      </c>
      <c r="N232" s="3">
        <v>38</v>
      </c>
      <c r="O232" s="3" t="s">
        <v>120</v>
      </c>
      <c r="P232" s="3" t="s">
        <v>16</v>
      </c>
      <c r="Q232" s="4">
        <v>4</v>
      </c>
      <c r="R232" s="4" t="str">
        <f>IF(Table1[[#This Row],[Customer Ratings]]&gt;=4, "Good",IF(Table1[[#This Row],[Customer Ratings]]=3, "Average","Poor"))</f>
        <v>Good</v>
      </c>
      <c r="S232" s="3" t="s">
        <v>42</v>
      </c>
    </row>
    <row r="233" spans="1:19" x14ac:dyDescent="0.25">
      <c r="A233" s="3">
        <v>232</v>
      </c>
      <c r="B233" s="5">
        <f>DATE(Table1[[#This Row],[Year]],Table1[[#This Row],[Month]],Table1[[#This Row],[Day]])</f>
        <v>44544</v>
      </c>
      <c r="C233" s="3">
        <v>14</v>
      </c>
      <c r="D233" s="3">
        <v>12</v>
      </c>
      <c r="E233" s="3">
        <v>2021</v>
      </c>
      <c r="F233" s="3" t="str">
        <f>"Qtr"&amp; " " &amp;CHOOSE(MONTH(Table1[[#This Row],[Date]]),1,1,1,2,2,2,3,3,3,4,4,4)</f>
        <v>Qtr 4</v>
      </c>
      <c r="G233" s="3" t="str">
        <f>TEXT(Table1[[#This Row],[Date]],"mmmm")</f>
        <v>December</v>
      </c>
      <c r="H233" s="3" t="s">
        <v>1082</v>
      </c>
      <c r="I233" s="3" t="s">
        <v>13</v>
      </c>
      <c r="J233" s="3">
        <v>8</v>
      </c>
      <c r="K233" s="3">
        <v>57140.15</v>
      </c>
      <c r="L233" s="3">
        <f>Table1[[#This Row],[Price Per Unit]]*Table1[[#This Row],[Units Sold]]</f>
        <v>457121.2</v>
      </c>
      <c r="M233" s="3" t="s">
        <v>254</v>
      </c>
      <c r="N233" s="3">
        <v>49</v>
      </c>
      <c r="O233" s="3" t="s">
        <v>20</v>
      </c>
      <c r="P233" s="3" t="s">
        <v>31</v>
      </c>
      <c r="Q233" s="4">
        <v>5</v>
      </c>
      <c r="R233" s="4" t="str">
        <f>IF(Table1[[#This Row],[Customer Ratings]]&gt;=4, "Good",IF(Table1[[#This Row],[Customer Ratings]]=3, "Average","Poor"))</f>
        <v>Good</v>
      </c>
      <c r="S233" s="3" t="s">
        <v>72</v>
      </c>
    </row>
    <row r="234" spans="1:19" x14ac:dyDescent="0.25">
      <c r="A234" s="3">
        <v>233</v>
      </c>
      <c r="B234" s="5">
        <f>DATE(Table1[[#This Row],[Year]],Table1[[#This Row],[Month]],Table1[[#This Row],[Day]])</f>
        <v>44544</v>
      </c>
      <c r="C234" s="3">
        <v>14</v>
      </c>
      <c r="D234" s="3">
        <v>12</v>
      </c>
      <c r="E234" s="3">
        <v>2021</v>
      </c>
      <c r="F234" s="3" t="str">
        <f>"Qtr"&amp; " " &amp;CHOOSE(MONTH(Table1[[#This Row],[Date]]),1,1,1,2,2,2,3,3,3,4,4,4)</f>
        <v>Qtr 4</v>
      </c>
      <c r="G234" s="3" t="str">
        <f>TEXT(Table1[[#This Row],[Date]],"mmmm")</f>
        <v>December</v>
      </c>
      <c r="H234" s="3" t="s">
        <v>1082</v>
      </c>
      <c r="I234" s="3" t="s">
        <v>33</v>
      </c>
      <c r="J234" s="3">
        <v>2</v>
      </c>
      <c r="K234" s="3">
        <v>29546.77</v>
      </c>
      <c r="L234" s="3">
        <f>Table1[[#This Row],[Price Per Unit]]*Table1[[#This Row],[Units Sold]]</f>
        <v>59093.54</v>
      </c>
      <c r="M234" s="3" t="s">
        <v>259</v>
      </c>
      <c r="N234" s="3">
        <v>23</v>
      </c>
      <c r="O234" s="3" t="s">
        <v>20</v>
      </c>
      <c r="P234" s="3" t="s">
        <v>16</v>
      </c>
      <c r="Q234" s="4">
        <v>5</v>
      </c>
      <c r="R234" s="4" t="str">
        <f>IF(Table1[[#This Row],[Customer Ratings]]&gt;=4, "Good",IF(Table1[[#This Row],[Customer Ratings]]=3, "Average","Poor"))</f>
        <v>Good</v>
      </c>
      <c r="S234" s="3" t="s">
        <v>46</v>
      </c>
    </row>
    <row r="235" spans="1:19" x14ac:dyDescent="0.25">
      <c r="A235" s="3">
        <v>234</v>
      </c>
      <c r="B235" s="5">
        <f>DATE(Table1[[#This Row],[Year]],Table1[[#This Row],[Month]],Table1[[#This Row],[Day]])</f>
        <v>44544</v>
      </c>
      <c r="C235" s="3">
        <v>14</v>
      </c>
      <c r="D235" s="3">
        <v>12</v>
      </c>
      <c r="E235" s="3">
        <v>2021</v>
      </c>
      <c r="F235" s="3" t="str">
        <f>"Qtr"&amp; " " &amp;CHOOSE(MONTH(Table1[[#This Row],[Date]]),1,1,1,2,2,2,3,3,3,4,4,4)</f>
        <v>Qtr 4</v>
      </c>
      <c r="G235" s="3" t="str">
        <f>TEXT(Table1[[#This Row],[Date]],"mmmm")</f>
        <v>December</v>
      </c>
      <c r="H235" s="3" t="s">
        <v>1082</v>
      </c>
      <c r="I235" s="3" t="s">
        <v>13</v>
      </c>
      <c r="J235" s="3">
        <v>7</v>
      </c>
      <c r="K235" s="3">
        <v>59020.03</v>
      </c>
      <c r="L235" s="3">
        <f>Table1[[#This Row],[Price Per Unit]]*Table1[[#This Row],[Units Sold]]</f>
        <v>413140.20999999996</v>
      </c>
      <c r="M235" s="3" t="s">
        <v>53</v>
      </c>
      <c r="N235" s="3">
        <v>18</v>
      </c>
      <c r="O235" s="3" t="s">
        <v>20</v>
      </c>
      <c r="P235" s="3" t="s">
        <v>21</v>
      </c>
      <c r="Q235" s="4">
        <v>5</v>
      </c>
      <c r="R235" s="4" t="str">
        <f>IF(Table1[[#This Row],[Customer Ratings]]&gt;=4, "Good",IF(Table1[[#This Row],[Customer Ratings]]=3, "Average","Poor"))</f>
        <v>Good</v>
      </c>
      <c r="S235" s="3" t="s">
        <v>72</v>
      </c>
    </row>
    <row r="236" spans="1:19" x14ac:dyDescent="0.25">
      <c r="A236" s="3">
        <v>235</v>
      </c>
      <c r="B236" s="5">
        <f>DATE(Table1[[#This Row],[Year]],Table1[[#This Row],[Month]],Table1[[#This Row],[Day]])</f>
        <v>44545</v>
      </c>
      <c r="C236" s="3">
        <v>15</v>
      </c>
      <c r="D236" s="3">
        <v>12</v>
      </c>
      <c r="E236" s="3">
        <v>2021</v>
      </c>
      <c r="F236" s="3" t="str">
        <f>"Qtr"&amp; " " &amp;CHOOSE(MONTH(Table1[[#This Row],[Date]]),1,1,1,2,2,2,3,3,3,4,4,4)</f>
        <v>Qtr 4</v>
      </c>
      <c r="G236" s="3" t="str">
        <f>TEXT(Table1[[#This Row],[Date]],"mmmm")</f>
        <v>December</v>
      </c>
      <c r="H236" s="3" t="s">
        <v>1083</v>
      </c>
      <c r="I236" s="3" t="s">
        <v>18</v>
      </c>
      <c r="J236" s="3">
        <v>4</v>
      </c>
      <c r="K236" s="3">
        <v>34527.58</v>
      </c>
      <c r="L236" s="3">
        <f>Table1[[#This Row],[Price Per Unit]]*Table1[[#This Row],[Units Sold]]</f>
        <v>138110.32</v>
      </c>
      <c r="M236" s="3" t="s">
        <v>260</v>
      </c>
      <c r="N236" s="3">
        <v>38</v>
      </c>
      <c r="O236" s="3" t="s">
        <v>102</v>
      </c>
      <c r="P236" s="3" t="s">
        <v>45</v>
      </c>
      <c r="Q236" s="4">
        <v>5</v>
      </c>
      <c r="R236" s="4" t="str">
        <f>IF(Table1[[#This Row],[Customer Ratings]]&gt;=4, "Good",IF(Table1[[#This Row],[Customer Ratings]]=3, "Average","Poor"))</f>
        <v>Good</v>
      </c>
      <c r="S236" s="3" t="s">
        <v>55</v>
      </c>
    </row>
    <row r="237" spans="1:19" x14ac:dyDescent="0.25">
      <c r="A237" s="3">
        <v>236</v>
      </c>
      <c r="B237" s="5">
        <f>DATE(Table1[[#This Row],[Year]],Table1[[#This Row],[Month]],Table1[[#This Row],[Day]])</f>
        <v>44545</v>
      </c>
      <c r="C237" s="3">
        <v>15</v>
      </c>
      <c r="D237" s="3">
        <v>12</v>
      </c>
      <c r="E237" s="3">
        <v>2021</v>
      </c>
      <c r="F237" s="3" t="str">
        <f>"Qtr"&amp; " " &amp;CHOOSE(MONTH(Table1[[#This Row],[Date]]),1,1,1,2,2,2,3,3,3,4,4,4)</f>
        <v>Qtr 4</v>
      </c>
      <c r="G237" s="3" t="str">
        <f>TEXT(Table1[[#This Row],[Date]],"mmmm")</f>
        <v>December</v>
      </c>
      <c r="H237" s="3" t="s">
        <v>1083</v>
      </c>
      <c r="I237" s="3" t="s">
        <v>39</v>
      </c>
      <c r="J237" s="3">
        <v>9</v>
      </c>
      <c r="K237" s="3">
        <v>29606.39</v>
      </c>
      <c r="L237" s="3">
        <f>Table1[[#This Row],[Price Per Unit]]*Table1[[#This Row],[Units Sold]]</f>
        <v>266457.51</v>
      </c>
      <c r="M237" s="3" t="s">
        <v>154</v>
      </c>
      <c r="N237" s="3">
        <v>21</v>
      </c>
      <c r="O237" s="3" t="s">
        <v>24</v>
      </c>
      <c r="P237" s="3" t="s">
        <v>31</v>
      </c>
      <c r="Q237" s="4">
        <v>5</v>
      </c>
      <c r="R237" s="4" t="str">
        <f>IF(Table1[[#This Row],[Customer Ratings]]&gt;=4, "Good",IF(Table1[[#This Row],[Customer Ratings]]=3, "Average","Poor"))</f>
        <v>Good</v>
      </c>
      <c r="S237" s="3" t="s">
        <v>42</v>
      </c>
    </row>
    <row r="238" spans="1:19" x14ac:dyDescent="0.25">
      <c r="A238" s="3">
        <v>237</v>
      </c>
      <c r="B238" s="5">
        <f>DATE(Table1[[#This Row],[Year]],Table1[[#This Row],[Month]],Table1[[#This Row],[Day]])</f>
        <v>44545</v>
      </c>
      <c r="C238" s="3">
        <v>15</v>
      </c>
      <c r="D238" s="3">
        <v>12</v>
      </c>
      <c r="E238" s="3">
        <v>2021</v>
      </c>
      <c r="F238" s="3" t="str">
        <f>"Qtr"&amp; " " &amp;CHOOSE(MONTH(Table1[[#This Row],[Date]]),1,1,1,2,2,2,3,3,3,4,4,4)</f>
        <v>Qtr 4</v>
      </c>
      <c r="G238" s="3" t="str">
        <f>TEXT(Table1[[#This Row],[Date]],"mmmm")</f>
        <v>December</v>
      </c>
      <c r="H238" s="3" t="s">
        <v>1083</v>
      </c>
      <c r="I238" s="3" t="s">
        <v>33</v>
      </c>
      <c r="J238" s="3">
        <v>1</v>
      </c>
      <c r="K238" s="3">
        <v>54691.92</v>
      </c>
      <c r="L238" s="3">
        <f>Table1[[#This Row],[Price Per Unit]]*Table1[[#This Row],[Units Sold]]</f>
        <v>54691.92</v>
      </c>
      <c r="M238" s="3" t="s">
        <v>261</v>
      </c>
      <c r="N238" s="3">
        <v>20</v>
      </c>
      <c r="O238" s="3" t="s">
        <v>15</v>
      </c>
      <c r="P238" s="3" t="s">
        <v>16</v>
      </c>
      <c r="Q238" s="4">
        <v>5</v>
      </c>
      <c r="R238" s="4" t="str">
        <f>IF(Table1[[#This Row],[Customer Ratings]]&gt;=4, "Good",IF(Table1[[#This Row],[Customer Ratings]]=3, "Average","Poor"))</f>
        <v>Good</v>
      </c>
      <c r="S238" s="3" t="s">
        <v>36</v>
      </c>
    </row>
    <row r="239" spans="1:19" x14ac:dyDescent="0.25">
      <c r="A239" s="3">
        <v>238</v>
      </c>
      <c r="B239" s="5">
        <f>DATE(Table1[[#This Row],[Year]],Table1[[#This Row],[Month]],Table1[[#This Row],[Day]])</f>
        <v>44546</v>
      </c>
      <c r="C239" s="3">
        <v>16</v>
      </c>
      <c r="D239" s="3">
        <v>12</v>
      </c>
      <c r="E239" s="3">
        <v>2021</v>
      </c>
      <c r="F239" s="3" t="str">
        <f>"Qtr"&amp; " " &amp;CHOOSE(MONTH(Table1[[#This Row],[Date]]),1,1,1,2,2,2,3,3,3,4,4,4)</f>
        <v>Qtr 4</v>
      </c>
      <c r="G239" s="3" t="str">
        <f>TEXT(Table1[[#This Row],[Date]],"mmmm")</f>
        <v>December</v>
      </c>
      <c r="H239" s="3" t="s">
        <v>1084</v>
      </c>
      <c r="I239" s="3" t="s">
        <v>33</v>
      </c>
      <c r="J239" s="3">
        <v>7</v>
      </c>
      <c r="K239" s="3">
        <v>14779.24</v>
      </c>
      <c r="L239" s="3">
        <f>Table1[[#This Row],[Price Per Unit]]*Table1[[#This Row],[Units Sold]]</f>
        <v>103454.68</v>
      </c>
      <c r="M239" s="3" t="s">
        <v>107</v>
      </c>
      <c r="N239" s="3">
        <v>47</v>
      </c>
      <c r="O239" s="3" t="s">
        <v>125</v>
      </c>
      <c r="P239" s="3" t="s">
        <v>31</v>
      </c>
      <c r="Q239" s="4">
        <v>5</v>
      </c>
      <c r="R239" s="4" t="str">
        <f>IF(Table1[[#This Row],[Customer Ratings]]&gt;=4, "Good",IF(Table1[[#This Row],[Customer Ratings]]=3, "Average","Poor"))</f>
        <v>Good</v>
      </c>
      <c r="S239" s="3" t="s">
        <v>36</v>
      </c>
    </row>
    <row r="240" spans="1:19" x14ac:dyDescent="0.25">
      <c r="A240" s="3">
        <v>239</v>
      </c>
      <c r="B240" s="5">
        <f>DATE(Table1[[#This Row],[Year]],Table1[[#This Row],[Month]],Table1[[#This Row],[Day]])</f>
        <v>44546</v>
      </c>
      <c r="C240" s="3">
        <v>16</v>
      </c>
      <c r="D240" s="3">
        <v>12</v>
      </c>
      <c r="E240" s="3">
        <v>2021</v>
      </c>
      <c r="F240" s="3" t="str">
        <f>"Qtr"&amp; " " &amp;CHOOSE(MONTH(Table1[[#This Row],[Date]]),1,1,1,2,2,2,3,3,3,4,4,4)</f>
        <v>Qtr 4</v>
      </c>
      <c r="G240" s="3" t="str">
        <f>TEXT(Table1[[#This Row],[Date]],"mmmm")</f>
        <v>December</v>
      </c>
      <c r="H240" s="3" t="s">
        <v>1084</v>
      </c>
      <c r="I240" s="3" t="s">
        <v>33</v>
      </c>
      <c r="J240" s="3">
        <v>6</v>
      </c>
      <c r="K240" s="3">
        <v>12913.76</v>
      </c>
      <c r="L240" s="3">
        <f>Table1[[#This Row],[Price Per Unit]]*Table1[[#This Row],[Units Sold]]</f>
        <v>77482.559999999998</v>
      </c>
      <c r="M240" s="3" t="s">
        <v>262</v>
      </c>
      <c r="N240" s="3">
        <v>48</v>
      </c>
      <c r="O240" s="3" t="s">
        <v>20</v>
      </c>
      <c r="P240" s="3" t="s">
        <v>21</v>
      </c>
      <c r="Q240" s="4">
        <v>3</v>
      </c>
      <c r="R240" s="4" t="str">
        <f>IF(Table1[[#This Row],[Customer Ratings]]&gt;=4, "Good",IF(Table1[[#This Row],[Customer Ratings]]=3, "Average","Poor"))</f>
        <v>Average</v>
      </c>
      <c r="S240" s="3" t="s">
        <v>46</v>
      </c>
    </row>
    <row r="241" spans="1:19" x14ac:dyDescent="0.25">
      <c r="A241" s="3">
        <v>240</v>
      </c>
      <c r="B241" s="5">
        <f>DATE(Table1[[#This Row],[Year]],Table1[[#This Row],[Month]],Table1[[#This Row],[Day]])</f>
        <v>44546</v>
      </c>
      <c r="C241" s="3">
        <v>16</v>
      </c>
      <c r="D241" s="3">
        <v>12</v>
      </c>
      <c r="E241" s="3">
        <v>2021</v>
      </c>
      <c r="F241" s="3" t="str">
        <f>"Qtr"&amp; " " &amp;CHOOSE(MONTH(Table1[[#This Row],[Date]]),1,1,1,2,2,2,3,3,3,4,4,4)</f>
        <v>Qtr 4</v>
      </c>
      <c r="G241" s="3" t="str">
        <f>TEXT(Table1[[#This Row],[Date]],"mmmm")</f>
        <v>December</v>
      </c>
      <c r="H241" s="3" t="s">
        <v>1084</v>
      </c>
      <c r="I241" s="3" t="s">
        <v>33</v>
      </c>
      <c r="J241" s="3">
        <v>8</v>
      </c>
      <c r="K241" s="3">
        <v>36877.22</v>
      </c>
      <c r="L241" s="3">
        <f>Table1[[#This Row],[Price Per Unit]]*Table1[[#This Row],[Units Sold]]</f>
        <v>295017.76</v>
      </c>
      <c r="M241" s="3" t="s">
        <v>263</v>
      </c>
      <c r="N241" s="3">
        <v>51</v>
      </c>
      <c r="O241" s="3" t="s">
        <v>20</v>
      </c>
      <c r="P241" s="3" t="s">
        <v>16</v>
      </c>
      <c r="Q241" s="4">
        <v>5</v>
      </c>
      <c r="R241" s="4" t="str">
        <f>IF(Table1[[#This Row],[Customer Ratings]]&gt;=4, "Good",IF(Table1[[#This Row],[Customer Ratings]]=3, "Average","Poor"))</f>
        <v>Good</v>
      </c>
      <c r="S241" s="3" t="s">
        <v>83</v>
      </c>
    </row>
    <row r="242" spans="1:19" x14ac:dyDescent="0.25">
      <c r="A242" s="3">
        <v>241</v>
      </c>
      <c r="B242" s="5">
        <f>DATE(Table1[[#This Row],[Year]],Table1[[#This Row],[Month]],Table1[[#This Row],[Day]])</f>
        <v>44546</v>
      </c>
      <c r="C242" s="3">
        <v>16</v>
      </c>
      <c r="D242" s="3">
        <v>12</v>
      </c>
      <c r="E242" s="3">
        <v>2021</v>
      </c>
      <c r="F242" s="3" t="str">
        <f>"Qtr"&amp; " " &amp;CHOOSE(MONTH(Table1[[#This Row],[Date]]),1,1,1,2,2,2,3,3,3,4,4,4)</f>
        <v>Qtr 4</v>
      </c>
      <c r="G242" s="3" t="str">
        <f>TEXT(Table1[[#This Row],[Date]],"mmmm")</f>
        <v>December</v>
      </c>
      <c r="H242" s="3" t="s">
        <v>1084</v>
      </c>
      <c r="I242" s="3" t="s">
        <v>33</v>
      </c>
      <c r="J242" s="3">
        <v>5</v>
      </c>
      <c r="K242" s="3">
        <v>36738.33</v>
      </c>
      <c r="L242" s="3">
        <f>Table1[[#This Row],[Price Per Unit]]*Table1[[#This Row],[Units Sold]]</f>
        <v>183691.65000000002</v>
      </c>
      <c r="M242" s="3" t="s">
        <v>163</v>
      </c>
      <c r="N242" s="3">
        <v>36</v>
      </c>
      <c r="O242" s="3" t="s">
        <v>20</v>
      </c>
      <c r="P242" s="3" t="s">
        <v>16</v>
      </c>
      <c r="Q242" s="4">
        <v>5</v>
      </c>
      <c r="R242" s="4" t="str">
        <f>IF(Table1[[#This Row],[Customer Ratings]]&gt;=4, "Good",IF(Table1[[#This Row],[Customer Ratings]]=3, "Average","Poor"))</f>
        <v>Good</v>
      </c>
      <c r="S242" s="3" t="s">
        <v>83</v>
      </c>
    </row>
    <row r="243" spans="1:19" x14ac:dyDescent="0.25">
      <c r="A243" s="3">
        <v>242</v>
      </c>
      <c r="B243" s="5">
        <f>DATE(Table1[[#This Row],[Year]],Table1[[#This Row],[Month]],Table1[[#This Row],[Day]])</f>
        <v>44547</v>
      </c>
      <c r="C243" s="3">
        <v>17</v>
      </c>
      <c r="D243" s="3">
        <v>12</v>
      </c>
      <c r="E243" s="3">
        <v>2021</v>
      </c>
      <c r="F243" s="3" t="str">
        <f>"Qtr"&amp; " " &amp;CHOOSE(MONTH(Table1[[#This Row],[Date]]),1,1,1,2,2,2,3,3,3,4,4,4)</f>
        <v>Qtr 4</v>
      </c>
      <c r="G243" s="3" t="str">
        <f>TEXT(Table1[[#This Row],[Date]],"mmmm")</f>
        <v>December</v>
      </c>
      <c r="H243" s="3" t="s">
        <v>1085</v>
      </c>
      <c r="I243" s="3" t="s">
        <v>13</v>
      </c>
      <c r="J243" s="3">
        <v>1</v>
      </c>
      <c r="K243" s="3">
        <v>63738.65</v>
      </c>
      <c r="L243" s="3">
        <f>Table1[[#This Row],[Price Per Unit]]*Table1[[#This Row],[Units Sold]]</f>
        <v>63738.65</v>
      </c>
      <c r="M243" s="3" t="s">
        <v>264</v>
      </c>
      <c r="N243" s="3">
        <v>37</v>
      </c>
      <c r="O243" s="3" t="s">
        <v>24</v>
      </c>
      <c r="P243" s="3" t="s">
        <v>16</v>
      </c>
      <c r="Q243" s="4">
        <v>5</v>
      </c>
      <c r="R243" s="4" t="str">
        <f>IF(Table1[[#This Row],[Customer Ratings]]&gt;=4, "Good",IF(Table1[[#This Row],[Customer Ratings]]=3, "Average","Poor"))</f>
        <v>Good</v>
      </c>
      <c r="S243" s="3" t="s">
        <v>72</v>
      </c>
    </row>
    <row r="244" spans="1:19" x14ac:dyDescent="0.25">
      <c r="A244" s="3">
        <v>243</v>
      </c>
      <c r="B244" s="5">
        <f>DATE(Table1[[#This Row],[Year]],Table1[[#This Row],[Month]],Table1[[#This Row],[Day]])</f>
        <v>44547</v>
      </c>
      <c r="C244" s="3">
        <v>17</v>
      </c>
      <c r="D244" s="3">
        <v>12</v>
      </c>
      <c r="E244" s="3">
        <v>2021</v>
      </c>
      <c r="F244" s="3" t="str">
        <f>"Qtr"&amp; " " &amp;CHOOSE(MONTH(Table1[[#This Row],[Date]]),1,1,1,2,2,2,3,3,3,4,4,4)</f>
        <v>Qtr 4</v>
      </c>
      <c r="G244" s="3" t="str">
        <f>TEXT(Table1[[#This Row],[Date]],"mmmm")</f>
        <v>December</v>
      </c>
      <c r="H244" s="3" t="s">
        <v>1085</v>
      </c>
      <c r="I244" s="3" t="s">
        <v>39</v>
      </c>
      <c r="J244" s="3">
        <v>1</v>
      </c>
      <c r="K244" s="3">
        <v>17569.189999999999</v>
      </c>
      <c r="L244" s="3">
        <f>Table1[[#This Row],[Price Per Unit]]*Table1[[#This Row],[Units Sold]]</f>
        <v>17569.189999999999</v>
      </c>
      <c r="M244" s="3" t="s">
        <v>265</v>
      </c>
      <c r="N244" s="3">
        <v>40</v>
      </c>
      <c r="O244" s="3" t="s">
        <v>125</v>
      </c>
      <c r="P244" s="3" t="s">
        <v>21</v>
      </c>
      <c r="Q244" s="4">
        <v>4</v>
      </c>
      <c r="R244" s="4" t="str">
        <f>IF(Table1[[#This Row],[Customer Ratings]]&gt;=4, "Good",IF(Table1[[#This Row],[Customer Ratings]]=3, "Average","Poor"))</f>
        <v>Good</v>
      </c>
      <c r="S244" s="3" t="s">
        <v>76</v>
      </c>
    </row>
    <row r="245" spans="1:19" x14ac:dyDescent="0.25">
      <c r="A245" s="3">
        <v>244</v>
      </c>
      <c r="B245" s="5">
        <f>DATE(Table1[[#This Row],[Year]],Table1[[#This Row],[Month]],Table1[[#This Row],[Day]])</f>
        <v>44547</v>
      </c>
      <c r="C245" s="3">
        <v>17</v>
      </c>
      <c r="D245" s="3">
        <v>12</v>
      </c>
      <c r="E245" s="3">
        <v>2021</v>
      </c>
      <c r="F245" s="3" t="str">
        <f>"Qtr"&amp; " " &amp;CHOOSE(MONTH(Table1[[#This Row],[Date]]),1,1,1,2,2,2,3,3,3,4,4,4)</f>
        <v>Qtr 4</v>
      </c>
      <c r="G245" s="3" t="str">
        <f>TEXT(Table1[[#This Row],[Date]],"mmmm")</f>
        <v>December</v>
      </c>
      <c r="H245" s="3" t="s">
        <v>1085</v>
      </c>
      <c r="I245" s="3" t="s">
        <v>18</v>
      </c>
      <c r="J245" s="3">
        <v>9</v>
      </c>
      <c r="K245" s="3">
        <v>17397.04</v>
      </c>
      <c r="L245" s="3">
        <f>Table1[[#This Row],[Price Per Unit]]*Table1[[#This Row],[Units Sold]]</f>
        <v>156573.36000000002</v>
      </c>
      <c r="M245" s="3" t="s">
        <v>194</v>
      </c>
      <c r="N245" s="3">
        <v>57</v>
      </c>
      <c r="O245" s="3" t="s">
        <v>81</v>
      </c>
      <c r="P245" s="3" t="s">
        <v>16</v>
      </c>
      <c r="Q245" s="4">
        <v>5</v>
      </c>
      <c r="R245" s="4" t="str">
        <f>IF(Table1[[#This Row],[Customer Ratings]]&gt;=4, "Good",IF(Table1[[#This Row],[Customer Ratings]]=3, "Average","Poor"))</f>
        <v>Good</v>
      </c>
      <c r="S245" s="3" t="s">
        <v>22</v>
      </c>
    </row>
    <row r="246" spans="1:19" x14ac:dyDescent="0.25">
      <c r="A246" s="3">
        <v>245</v>
      </c>
      <c r="B246" s="5">
        <f>DATE(Table1[[#This Row],[Year]],Table1[[#This Row],[Month]],Table1[[#This Row],[Day]])</f>
        <v>44547</v>
      </c>
      <c r="C246" s="3">
        <v>17</v>
      </c>
      <c r="D246" s="3">
        <v>12</v>
      </c>
      <c r="E246" s="3">
        <v>2021</v>
      </c>
      <c r="F246" s="3" t="str">
        <f>"Qtr"&amp; " " &amp;CHOOSE(MONTH(Table1[[#This Row],[Date]]),1,1,1,2,2,2,3,3,3,4,4,4)</f>
        <v>Qtr 4</v>
      </c>
      <c r="G246" s="3" t="str">
        <f>TEXT(Table1[[#This Row],[Date]],"mmmm")</f>
        <v>December</v>
      </c>
      <c r="H246" s="3" t="s">
        <v>1085</v>
      </c>
      <c r="I246" s="3" t="s">
        <v>18</v>
      </c>
      <c r="J246" s="3">
        <v>6</v>
      </c>
      <c r="K246" s="3">
        <v>18847.16</v>
      </c>
      <c r="L246" s="3">
        <f>Table1[[#This Row],[Price Per Unit]]*Table1[[#This Row],[Units Sold]]</f>
        <v>113082.95999999999</v>
      </c>
      <c r="M246" s="3" t="s">
        <v>266</v>
      </c>
      <c r="N246" s="3">
        <v>42</v>
      </c>
      <c r="O246" s="3" t="s">
        <v>81</v>
      </c>
      <c r="P246" s="3" t="s">
        <v>45</v>
      </c>
      <c r="Q246" s="4">
        <v>5</v>
      </c>
      <c r="R246" s="4" t="str">
        <f>IF(Table1[[#This Row],[Customer Ratings]]&gt;=4, "Good",IF(Table1[[#This Row],[Customer Ratings]]=3, "Average","Poor"))</f>
        <v>Good</v>
      </c>
      <c r="S246" s="3" t="s">
        <v>22</v>
      </c>
    </row>
    <row r="247" spans="1:19" x14ac:dyDescent="0.25">
      <c r="A247" s="3">
        <v>246</v>
      </c>
      <c r="B247" s="5">
        <f>DATE(Table1[[#This Row],[Year]],Table1[[#This Row],[Month]],Table1[[#This Row],[Day]])</f>
        <v>44548</v>
      </c>
      <c r="C247" s="3">
        <v>18</v>
      </c>
      <c r="D247" s="3">
        <v>12</v>
      </c>
      <c r="E247" s="3">
        <v>2021</v>
      </c>
      <c r="F247" s="3" t="str">
        <f>"Qtr"&amp; " " &amp;CHOOSE(MONTH(Table1[[#This Row],[Date]]),1,1,1,2,2,2,3,3,3,4,4,4)</f>
        <v>Qtr 4</v>
      </c>
      <c r="G247" s="3" t="str">
        <f>TEXT(Table1[[#This Row],[Date]],"mmmm")</f>
        <v>December</v>
      </c>
      <c r="H247" s="3" t="s">
        <v>1079</v>
      </c>
      <c r="I247" s="3" t="s">
        <v>18</v>
      </c>
      <c r="J247" s="3">
        <v>5</v>
      </c>
      <c r="K247" s="3">
        <v>11784.18</v>
      </c>
      <c r="L247" s="3">
        <f>Table1[[#This Row],[Price Per Unit]]*Table1[[#This Row],[Units Sold]]</f>
        <v>58920.9</v>
      </c>
      <c r="M247" s="3" t="s">
        <v>96</v>
      </c>
      <c r="N247" s="3">
        <v>32</v>
      </c>
      <c r="O247" s="3" t="s">
        <v>20</v>
      </c>
      <c r="P247" s="3" t="s">
        <v>21</v>
      </c>
      <c r="Q247" s="4">
        <v>3</v>
      </c>
      <c r="R247" s="4" t="str">
        <f>IF(Table1[[#This Row],[Customer Ratings]]&gt;=4, "Good",IF(Table1[[#This Row],[Customer Ratings]]=3, "Average","Poor"))</f>
        <v>Average</v>
      </c>
      <c r="S247" s="3" t="s">
        <v>25</v>
      </c>
    </row>
    <row r="248" spans="1:19" x14ac:dyDescent="0.25">
      <c r="A248" s="3">
        <v>247</v>
      </c>
      <c r="B248" s="5">
        <f>DATE(Table1[[#This Row],[Year]],Table1[[#This Row],[Month]],Table1[[#This Row],[Day]])</f>
        <v>44548</v>
      </c>
      <c r="C248" s="3">
        <v>18</v>
      </c>
      <c r="D248" s="3">
        <v>12</v>
      </c>
      <c r="E248" s="3">
        <v>2021</v>
      </c>
      <c r="F248" s="3" t="str">
        <f>"Qtr"&amp; " " &amp;CHOOSE(MONTH(Table1[[#This Row],[Date]]),1,1,1,2,2,2,3,3,3,4,4,4)</f>
        <v>Qtr 4</v>
      </c>
      <c r="G248" s="3" t="str">
        <f>TEXT(Table1[[#This Row],[Date]],"mmmm")</f>
        <v>December</v>
      </c>
      <c r="H248" s="3" t="s">
        <v>1079</v>
      </c>
      <c r="I248" s="3" t="s">
        <v>18</v>
      </c>
      <c r="J248" s="3">
        <v>1</v>
      </c>
      <c r="K248" s="3">
        <v>14303.9</v>
      </c>
      <c r="L248" s="3">
        <f>Table1[[#This Row],[Price Per Unit]]*Table1[[#This Row],[Units Sold]]</f>
        <v>14303.9</v>
      </c>
      <c r="M248" s="3" t="s">
        <v>267</v>
      </c>
      <c r="N248" s="3">
        <v>55</v>
      </c>
      <c r="O248" s="3" t="s">
        <v>24</v>
      </c>
      <c r="P248" s="3" t="s">
        <v>45</v>
      </c>
      <c r="Q248" s="4">
        <v>5</v>
      </c>
      <c r="R248" s="4" t="str">
        <f>IF(Table1[[#This Row],[Customer Ratings]]&gt;=4, "Good",IF(Table1[[#This Row],[Customer Ratings]]=3, "Average","Poor"))</f>
        <v>Good</v>
      </c>
      <c r="S248" s="3" t="s">
        <v>55</v>
      </c>
    </row>
    <row r="249" spans="1:19" x14ac:dyDescent="0.25">
      <c r="A249" s="3">
        <v>248</v>
      </c>
      <c r="B249" s="5">
        <f>DATE(Table1[[#This Row],[Year]],Table1[[#This Row],[Month]],Table1[[#This Row],[Day]])</f>
        <v>44548</v>
      </c>
      <c r="C249" s="3">
        <v>18</v>
      </c>
      <c r="D249" s="3">
        <v>12</v>
      </c>
      <c r="E249" s="3">
        <v>2021</v>
      </c>
      <c r="F249" s="3" t="str">
        <f>"Qtr"&amp; " " &amp;CHOOSE(MONTH(Table1[[#This Row],[Date]]),1,1,1,2,2,2,3,3,3,4,4,4)</f>
        <v>Qtr 4</v>
      </c>
      <c r="G249" s="3" t="str">
        <f>TEXT(Table1[[#This Row],[Date]],"mmmm")</f>
        <v>December</v>
      </c>
      <c r="H249" s="3" t="s">
        <v>1079</v>
      </c>
      <c r="I249" s="3" t="s">
        <v>13</v>
      </c>
      <c r="J249" s="3">
        <v>6</v>
      </c>
      <c r="K249" s="3">
        <v>49592.19</v>
      </c>
      <c r="L249" s="3">
        <f>Table1[[#This Row],[Price Per Unit]]*Table1[[#This Row],[Units Sold]]</f>
        <v>297553.14</v>
      </c>
      <c r="M249" s="3" t="s">
        <v>268</v>
      </c>
      <c r="N249" s="3">
        <v>40</v>
      </c>
      <c r="O249" s="3" t="s">
        <v>20</v>
      </c>
      <c r="P249" s="3" t="s">
        <v>45</v>
      </c>
      <c r="Q249" s="4">
        <v>4</v>
      </c>
      <c r="R249" s="4" t="str">
        <f>IF(Table1[[#This Row],[Customer Ratings]]&gt;=4, "Good",IF(Table1[[#This Row],[Customer Ratings]]=3, "Average","Poor"))</f>
        <v>Good</v>
      </c>
      <c r="S249" s="3" t="s">
        <v>27</v>
      </c>
    </row>
    <row r="250" spans="1:19" x14ac:dyDescent="0.25">
      <c r="A250" s="3">
        <v>249</v>
      </c>
      <c r="B250" s="5">
        <f>DATE(Table1[[#This Row],[Year]],Table1[[#This Row],[Month]],Table1[[#This Row],[Day]])</f>
        <v>44548</v>
      </c>
      <c r="C250" s="3">
        <v>18</v>
      </c>
      <c r="D250" s="3">
        <v>12</v>
      </c>
      <c r="E250" s="3">
        <v>2021</v>
      </c>
      <c r="F250" s="3" t="str">
        <f>"Qtr"&amp; " " &amp;CHOOSE(MONTH(Table1[[#This Row],[Date]]),1,1,1,2,2,2,3,3,3,4,4,4)</f>
        <v>Qtr 4</v>
      </c>
      <c r="G250" s="3" t="str">
        <f>TEXT(Table1[[#This Row],[Date]],"mmmm")</f>
        <v>December</v>
      </c>
      <c r="H250" s="3" t="s">
        <v>1079</v>
      </c>
      <c r="I250" s="3" t="s">
        <v>28</v>
      </c>
      <c r="J250" s="3">
        <v>6</v>
      </c>
      <c r="K250" s="3">
        <v>35895.06</v>
      </c>
      <c r="L250" s="3">
        <f>Table1[[#This Row],[Price Per Unit]]*Table1[[#This Row],[Units Sold]]</f>
        <v>215370.36</v>
      </c>
      <c r="M250" s="3" t="s">
        <v>96</v>
      </c>
      <c r="N250" s="3">
        <v>19</v>
      </c>
      <c r="O250" s="3" t="s">
        <v>137</v>
      </c>
      <c r="P250" s="3" t="s">
        <v>21</v>
      </c>
      <c r="Q250" s="4">
        <v>5</v>
      </c>
      <c r="R250" s="4" t="str">
        <f>IF(Table1[[#This Row],[Customer Ratings]]&gt;=4, "Good",IF(Table1[[#This Row],[Customer Ratings]]=3, "Average","Poor"))</f>
        <v>Good</v>
      </c>
      <c r="S250" s="3" t="s">
        <v>38</v>
      </c>
    </row>
    <row r="251" spans="1:19" x14ac:dyDescent="0.25">
      <c r="A251" s="3">
        <v>250</v>
      </c>
      <c r="B251" s="5">
        <f>DATE(Table1[[#This Row],[Year]],Table1[[#This Row],[Month]],Table1[[#This Row],[Day]])</f>
        <v>44549</v>
      </c>
      <c r="C251" s="3">
        <v>19</v>
      </c>
      <c r="D251" s="3">
        <v>12</v>
      </c>
      <c r="E251" s="3">
        <v>2021</v>
      </c>
      <c r="F251" s="3" t="str">
        <f>"Qtr"&amp; " " &amp;CHOOSE(MONTH(Table1[[#This Row],[Date]]),1,1,1,2,2,2,3,3,3,4,4,4)</f>
        <v>Qtr 4</v>
      </c>
      <c r="G251" s="3" t="str">
        <f>TEXT(Table1[[#This Row],[Date]],"mmmm")</f>
        <v>December</v>
      </c>
      <c r="H251" s="3" t="s">
        <v>1080</v>
      </c>
      <c r="I251" s="3" t="s">
        <v>39</v>
      </c>
      <c r="J251" s="3">
        <v>3</v>
      </c>
      <c r="K251" s="3">
        <v>55816.18</v>
      </c>
      <c r="L251" s="3">
        <f>Table1[[#This Row],[Price Per Unit]]*Table1[[#This Row],[Units Sold]]</f>
        <v>167448.54</v>
      </c>
      <c r="M251" s="3" t="s">
        <v>269</v>
      </c>
      <c r="N251" s="3">
        <v>32</v>
      </c>
      <c r="O251" s="3" t="s">
        <v>98</v>
      </c>
      <c r="P251" s="3" t="s">
        <v>31</v>
      </c>
      <c r="Q251" s="4">
        <v>5</v>
      </c>
      <c r="R251" s="4" t="str">
        <f>IF(Table1[[#This Row],[Customer Ratings]]&gt;=4, "Good",IF(Table1[[#This Row],[Customer Ratings]]=3, "Average","Poor"))</f>
        <v>Good</v>
      </c>
      <c r="S251" s="3" t="s">
        <v>42</v>
      </c>
    </row>
    <row r="252" spans="1:19" x14ac:dyDescent="0.25">
      <c r="A252" s="3">
        <v>251</v>
      </c>
      <c r="B252" s="5">
        <f>DATE(Table1[[#This Row],[Year]],Table1[[#This Row],[Month]],Table1[[#This Row],[Day]])</f>
        <v>44549</v>
      </c>
      <c r="C252" s="3">
        <v>19</v>
      </c>
      <c r="D252" s="3">
        <v>12</v>
      </c>
      <c r="E252" s="3">
        <v>2021</v>
      </c>
      <c r="F252" s="3" t="str">
        <f>"Qtr"&amp; " " &amp;CHOOSE(MONTH(Table1[[#This Row],[Date]]),1,1,1,2,2,2,3,3,3,4,4,4)</f>
        <v>Qtr 4</v>
      </c>
      <c r="G252" s="3" t="str">
        <f>TEXT(Table1[[#This Row],[Date]],"mmmm")</f>
        <v>December</v>
      </c>
      <c r="H252" s="3" t="s">
        <v>1080</v>
      </c>
      <c r="I252" s="3" t="s">
        <v>33</v>
      </c>
      <c r="J252" s="3">
        <v>8</v>
      </c>
      <c r="K252" s="3">
        <v>69555.86</v>
      </c>
      <c r="L252" s="3">
        <f>Table1[[#This Row],[Price Per Unit]]*Table1[[#This Row],[Units Sold]]</f>
        <v>556446.88</v>
      </c>
      <c r="M252" s="3" t="s">
        <v>270</v>
      </c>
      <c r="N252" s="3">
        <v>52</v>
      </c>
      <c r="O252" s="3" t="s">
        <v>81</v>
      </c>
      <c r="P252" s="3" t="s">
        <v>45</v>
      </c>
      <c r="Q252" s="4">
        <v>5</v>
      </c>
      <c r="R252" s="4" t="str">
        <f>IF(Table1[[#This Row],[Customer Ratings]]&gt;=4, "Good",IF(Table1[[#This Row],[Customer Ratings]]=3, "Average","Poor"))</f>
        <v>Good</v>
      </c>
      <c r="S252" s="3" t="s">
        <v>46</v>
      </c>
    </row>
    <row r="253" spans="1:19" x14ac:dyDescent="0.25">
      <c r="A253" s="3">
        <v>252</v>
      </c>
      <c r="B253" s="5">
        <f>DATE(Table1[[#This Row],[Year]],Table1[[#This Row],[Month]],Table1[[#This Row],[Day]])</f>
        <v>44549</v>
      </c>
      <c r="C253" s="3">
        <v>19</v>
      </c>
      <c r="D253" s="3">
        <v>12</v>
      </c>
      <c r="E253" s="3">
        <v>2021</v>
      </c>
      <c r="F253" s="3" t="str">
        <f>"Qtr"&amp; " " &amp;CHOOSE(MONTH(Table1[[#This Row],[Date]]),1,1,1,2,2,2,3,3,3,4,4,4)</f>
        <v>Qtr 4</v>
      </c>
      <c r="G253" s="3" t="str">
        <f>TEXT(Table1[[#This Row],[Date]],"mmmm")</f>
        <v>December</v>
      </c>
      <c r="H253" s="3" t="s">
        <v>1080</v>
      </c>
      <c r="I253" s="3" t="s">
        <v>28</v>
      </c>
      <c r="J253" s="3">
        <v>1</v>
      </c>
      <c r="K253" s="3">
        <v>49542.080000000002</v>
      </c>
      <c r="L253" s="3">
        <f>Table1[[#This Row],[Price Per Unit]]*Table1[[#This Row],[Units Sold]]</f>
        <v>49542.080000000002</v>
      </c>
      <c r="M253" s="3" t="s">
        <v>271</v>
      </c>
      <c r="N253" s="3">
        <v>27</v>
      </c>
      <c r="O253" s="3" t="s">
        <v>30</v>
      </c>
      <c r="P253" s="3" t="s">
        <v>21</v>
      </c>
      <c r="Q253" s="4">
        <v>5</v>
      </c>
      <c r="R253" s="4" t="str">
        <f>IF(Table1[[#This Row],[Customer Ratings]]&gt;=4, "Good",IF(Table1[[#This Row],[Customer Ratings]]=3, "Average","Poor"))</f>
        <v>Good</v>
      </c>
      <c r="S253" s="3" t="s">
        <v>32</v>
      </c>
    </row>
    <row r="254" spans="1:19" x14ac:dyDescent="0.25">
      <c r="A254" s="3">
        <v>253</v>
      </c>
      <c r="B254" s="5">
        <f>DATE(Table1[[#This Row],[Year]],Table1[[#This Row],[Month]],Table1[[#This Row],[Day]])</f>
        <v>44549</v>
      </c>
      <c r="C254" s="3">
        <v>19</v>
      </c>
      <c r="D254" s="3">
        <v>12</v>
      </c>
      <c r="E254" s="3">
        <v>2021</v>
      </c>
      <c r="F254" s="3" t="str">
        <f>"Qtr"&amp; " " &amp;CHOOSE(MONTH(Table1[[#This Row],[Date]]),1,1,1,2,2,2,3,3,3,4,4,4)</f>
        <v>Qtr 4</v>
      </c>
      <c r="G254" s="3" t="str">
        <f>TEXT(Table1[[#This Row],[Date]],"mmmm")</f>
        <v>December</v>
      </c>
      <c r="H254" s="3" t="s">
        <v>1080</v>
      </c>
      <c r="I254" s="3" t="s">
        <v>18</v>
      </c>
      <c r="J254" s="3">
        <v>1</v>
      </c>
      <c r="K254" s="3">
        <v>13027.33</v>
      </c>
      <c r="L254" s="3">
        <f>Table1[[#This Row],[Price Per Unit]]*Table1[[#This Row],[Units Sold]]</f>
        <v>13027.33</v>
      </c>
      <c r="M254" s="3" t="s">
        <v>272</v>
      </c>
      <c r="N254" s="3">
        <v>31</v>
      </c>
      <c r="O254" s="3" t="s">
        <v>58</v>
      </c>
      <c r="P254" s="3" t="s">
        <v>45</v>
      </c>
      <c r="Q254" s="4">
        <v>4</v>
      </c>
      <c r="R254" s="4" t="str">
        <f>IF(Table1[[#This Row],[Customer Ratings]]&gt;=4, "Good",IF(Table1[[#This Row],[Customer Ratings]]=3, "Average","Poor"))</f>
        <v>Good</v>
      </c>
      <c r="S254" s="3" t="s">
        <v>22</v>
      </c>
    </row>
    <row r="255" spans="1:19" x14ac:dyDescent="0.25">
      <c r="A255" s="3">
        <v>254</v>
      </c>
      <c r="B255" s="5">
        <f>DATE(Table1[[#This Row],[Year]],Table1[[#This Row],[Month]],Table1[[#This Row],[Day]])</f>
        <v>44550</v>
      </c>
      <c r="C255" s="3">
        <v>20</v>
      </c>
      <c r="D255" s="3">
        <v>12</v>
      </c>
      <c r="E255" s="3">
        <v>2021</v>
      </c>
      <c r="F255" s="3" t="str">
        <f>"Qtr"&amp; " " &amp;CHOOSE(MONTH(Table1[[#This Row],[Date]]),1,1,1,2,2,2,3,3,3,4,4,4)</f>
        <v>Qtr 4</v>
      </c>
      <c r="G255" s="3" t="str">
        <f>TEXT(Table1[[#This Row],[Date]],"mmmm")</f>
        <v>December</v>
      </c>
      <c r="H255" s="3" t="s">
        <v>1081</v>
      </c>
      <c r="I255" s="3" t="s">
        <v>28</v>
      </c>
      <c r="J255" s="3">
        <v>6</v>
      </c>
      <c r="K255" s="3">
        <v>16273.77</v>
      </c>
      <c r="L255" s="3">
        <f>Table1[[#This Row],[Price Per Unit]]*Table1[[#This Row],[Units Sold]]</f>
        <v>97642.62</v>
      </c>
      <c r="M255" s="3" t="s">
        <v>245</v>
      </c>
      <c r="N255" s="3">
        <v>44</v>
      </c>
      <c r="O255" s="3" t="s">
        <v>20</v>
      </c>
      <c r="P255" s="3" t="s">
        <v>16</v>
      </c>
      <c r="Q255" s="4">
        <v>5</v>
      </c>
      <c r="R255" s="4" t="str">
        <f>IF(Table1[[#This Row],[Customer Ratings]]&gt;=4, "Good",IF(Table1[[#This Row],[Customer Ratings]]=3, "Average","Poor"))</f>
        <v>Good</v>
      </c>
      <c r="S255" s="3" t="s">
        <v>32</v>
      </c>
    </row>
    <row r="256" spans="1:19" x14ac:dyDescent="0.25">
      <c r="A256" s="3">
        <v>255</v>
      </c>
      <c r="B256" s="5">
        <f>DATE(Table1[[#This Row],[Year]],Table1[[#This Row],[Month]],Table1[[#This Row],[Day]])</f>
        <v>44550</v>
      </c>
      <c r="C256" s="3">
        <v>20</v>
      </c>
      <c r="D256" s="3">
        <v>12</v>
      </c>
      <c r="E256" s="3">
        <v>2021</v>
      </c>
      <c r="F256" s="3" t="str">
        <f>"Qtr"&amp; " " &amp;CHOOSE(MONTH(Table1[[#This Row],[Date]]),1,1,1,2,2,2,3,3,3,4,4,4)</f>
        <v>Qtr 4</v>
      </c>
      <c r="G256" s="3" t="str">
        <f>TEXT(Table1[[#This Row],[Date]],"mmmm")</f>
        <v>December</v>
      </c>
      <c r="H256" s="3" t="s">
        <v>1081</v>
      </c>
      <c r="I256" s="3" t="s">
        <v>39</v>
      </c>
      <c r="J256" s="3">
        <v>1</v>
      </c>
      <c r="K256" s="3">
        <v>62860.25</v>
      </c>
      <c r="L256" s="3">
        <f>Table1[[#This Row],[Price Per Unit]]*Table1[[#This Row],[Units Sold]]</f>
        <v>62860.25</v>
      </c>
      <c r="M256" s="3" t="s">
        <v>273</v>
      </c>
      <c r="N256" s="3">
        <v>31</v>
      </c>
      <c r="O256" s="3" t="s">
        <v>102</v>
      </c>
      <c r="P256" s="3" t="s">
        <v>45</v>
      </c>
      <c r="Q256" s="4">
        <v>5</v>
      </c>
      <c r="R256" s="4" t="str">
        <f>IF(Table1[[#This Row],[Customer Ratings]]&gt;=4, "Good",IF(Table1[[#This Row],[Customer Ratings]]=3, "Average","Poor"))</f>
        <v>Good</v>
      </c>
      <c r="S256" s="3" t="s">
        <v>42</v>
      </c>
    </row>
    <row r="257" spans="1:19" x14ac:dyDescent="0.25">
      <c r="A257" s="3">
        <v>256</v>
      </c>
      <c r="B257" s="5">
        <f>DATE(Table1[[#This Row],[Year]],Table1[[#This Row],[Month]],Table1[[#This Row],[Day]])</f>
        <v>44550</v>
      </c>
      <c r="C257" s="3">
        <v>20</v>
      </c>
      <c r="D257" s="3">
        <v>12</v>
      </c>
      <c r="E257" s="3">
        <v>2021</v>
      </c>
      <c r="F257" s="3" t="str">
        <f>"Qtr"&amp; " " &amp;CHOOSE(MONTH(Table1[[#This Row],[Date]]),1,1,1,2,2,2,3,3,3,4,4,4)</f>
        <v>Qtr 4</v>
      </c>
      <c r="G257" s="3" t="str">
        <f>TEXT(Table1[[#This Row],[Date]],"mmmm")</f>
        <v>December</v>
      </c>
      <c r="H257" s="3" t="s">
        <v>1081</v>
      </c>
      <c r="I257" s="3" t="s">
        <v>33</v>
      </c>
      <c r="J257" s="3">
        <v>6</v>
      </c>
      <c r="K257" s="3">
        <v>41649.760000000002</v>
      </c>
      <c r="L257" s="3">
        <f>Table1[[#This Row],[Price Per Unit]]*Table1[[#This Row],[Units Sold]]</f>
        <v>249898.56</v>
      </c>
      <c r="M257" s="3" t="s">
        <v>274</v>
      </c>
      <c r="N257" s="3">
        <v>52</v>
      </c>
      <c r="O257" s="3" t="s">
        <v>65</v>
      </c>
      <c r="P257" s="3" t="s">
        <v>45</v>
      </c>
      <c r="Q257" s="4">
        <v>5</v>
      </c>
      <c r="R257" s="4" t="str">
        <f>IF(Table1[[#This Row],[Customer Ratings]]&gt;=4, "Good",IF(Table1[[#This Row],[Customer Ratings]]=3, "Average","Poor"))</f>
        <v>Good</v>
      </c>
      <c r="S257" s="3" t="s">
        <v>46</v>
      </c>
    </row>
    <row r="258" spans="1:19" x14ac:dyDescent="0.25">
      <c r="A258" s="3">
        <v>257</v>
      </c>
      <c r="B258" s="5">
        <f>DATE(Table1[[#This Row],[Year]],Table1[[#This Row],[Month]],Table1[[#This Row],[Day]])</f>
        <v>44551</v>
      </c>
      <c r="C258" s="3">
        <v>21</v>
      </c>
      <c r="D258" s="3">
        <v>12</v>
      </c>
      <c r="E258" s="3">
        <v>2021</v>
      </c>
      <c r="F258" s="3" t="str">
        <f>"Qtr"&amp; " " &amp;CHOOSE(MONTH(Table1[[#This Row],[Date]]),1,1,1,2,2,2,3,3,3,4,4,4)</f>
        <v>Qtr 4</v>
      </c>
      <c r="G258" s="3" t="str">
        <f>TEXT(Table1[[#This Row],[Date]],"mmmm")</f>
        <v>December</v>
      </c>
      <c r="H258" s="3" t="s">
        <v>1082</v>
      </c>
      <c r="I258" s="3" t="s">
        <v>33</v>
      </c>
      <c r="J258" s="3">
        <v>1</v>
      </c>
      <c r="K258" s="3">
        <v>59490.23</v>
      </c>
      <c r="L258" s="3">
        <f>Table1[[#This Row],[Price Per Unit]]*Table1[[#This Row],[Units Sold]]</f>
        <v>59490.23</v>
      </c>
      <c r="M258" s="3" t="s">
        <v>132</v>
      </c>
      <c r="N258" s="3">
        <v>50</v>
      </c>
      <c r="O258" s="3" t="s">
        <v>20</v>
      </c>
      <c r="P258" s="3" t="s">
        <v>45</v>
      </c>
      <c r="Q258" s="4">
        <v>5</v>
      </c>
      <c r="R258" s="4" t="str">
        <f>IF(Table1[[#This Row],[Customer Ratings]]&gt;=4, "Good",IF(Table1[[#This Row],[Customer Ratings]]=3, "Average","Poor"))</f>
        <v>Good</v>
      </c>
      <c r="S258" s="3" t="s">
        <v>83</v>
      </c>
    </row>
    <row r="259" spans="1:19" x14ac:dyDescent="0.25">
      <c r="A259" s="3">
        <v>258</v>
      </c>
      <c r="B259" s="5">
        <f>DATE(Table1[[#This Row],[Year]],Table1[[#This Row],[Month]],Table1[[#This Row],[Day]])</f>
        <v>44551</v>
      </c>
      <c r="C259" s="3">
        <v>21</v>
      </c>
      <c r="D259" s="3">
        <v>12</v>
      </c>
      <c r="E259" s="3">
        <v>2021</v>
      </c>
      <c r="F259" s="3" t="str">
        <f>"Qtr"&amp; " " &amp;CHOOSE(MONTH(Table1[[#This Row],[Date]]),1,1,1,2,2,2,3,3,3,4,4,4)</f>
        <v>Qtr 4</v>
      </c>
      <c r="G259" s="3" t="str">
        <f>TEXT(Table1[[#This Row],[Date]],"mmmm")</f>
        <v>December</v>
      </c>
      <c r="H259" s="3" t="s">
        <v>1082</v>
      </c>
      <c r="I259" s="3" t="s">
        <v>39</v>
      </c>
      <c r="J259" s="3">
        <v>6</v>
      </c>
      <c r="K259" s="3">
        <v>61396.74</v>
      </c>
      <c r="L259" s="3">
        <f>Table1[[#This Row],[Price Per Unit]]*Table1[[#This Row],[Units Sold]]</f>
        <v>368380.44</v>
      </c>
      <c r="M259" s="3" t="s">
        <v>275</v>
      </c>
      <c r="N259" s="3">
        <v>18</v>
      </c>
      <c r="O259" s="3" t="s">
        <v>24</v>
      </c>
      <c r="P259" s="3" t="s">
        <v>16</v>
      </c>
      <c r="Q259" s="4">
        <v>5</v>
      </c>
      <c r="R259" s="4" t="str">
        <f>IF(Table1[[#This Row],[Customer Ratings]]&gt;=4, "Good",IF(Table1[[#This Row],[Customer Ratings]]=3, "Average","Poor"))</f>
        <v>Good</v>
      </c>
      <c r="S259" s="3" t="s">
        <v>90</v>
      </c>
    </row>
    <row r="260" spans="1:19" x14ac:dyDescent="0.25">
      <c r="A260" s="3">
        <v>259</v>
      </c>
      <c r="B260" s="5">
        <f>DATE(Table1[[#This Row],[Year]],Table1[[#This Row],[Month]],Table1[[#This Row],[Day]])</f>
        <v>44551</v>
      </c>
      <c r="C260" s="3">
        <v>21</v>
      </c>
      <c r="D260" s="3">
        <v>12</v>
      </c>
      <c r="E260" s="3">
        <v>2021</v>
      </c>
      <c r="F260" s="3" t="str">
        <f>"Qtr"&amp; " " &amp;CHOOSE(MONTH(Table1[[#This Row],[Date]]),1,1,1,2,2,2,3,3,3,4,4,4)</f>
        <v>Qtr 4</v>
      </c>
      <c r="G260" s="3" t="str">
        <f>TEXT(Table1[[#This Row],[Date]],"mmmm")</f>
        <v>December</v>
      </c>
      <c r="H260" s="3" t="s">
        <v>1082</v>
      </c>
      <c r="I260" s="3" t="s">
        <v>39</v>
      </c>
      <c r="J260" s="3">
        <v>3</v>
      </c>
      <c r="K260" s="3">
        <v>65660.47</v>
      </c>
      <c r="L260" s="3">
        <f>Table1[[#This Row],[Price Per Unit]]*Table1[[#This Row],[Units Sold]]</f>
        <v>196981.41</v>
      </c>
      <c r="M260" s="3" t="s">
        <v>276</v>
      </c>
      <c r="N260" s="3">
        <v>51</v>
      </c>
      <c r="O260" s="3" t="s">
        <v>81</v>
      </c>
      <c r="P260" s="3" t="s">
        <v>45</v>
      </c>
      <c r="Q260" s="4">
        <v>4</v>
      </c>
      <c r="R260" s="4" t="str">
        <f>IF(Table1[[#This Row],[Customer Ratings]]&gt;=4, "Good",IF(Table1[[#This Row],[Customer Ratings]]=3, "Average","Poor"))</f>
        <v>Good</v>
      </c>
      <c r="S260" s="3" t="s">
        <v>76</v>
      </c>
    </row>
    <row r="261" spans="1:19" x14ac:dyDescent="0.25">
      <c r="A261" s="3">
        <v>260</v>
      </c>
      <c r="B261" s="5">
        <f>DATE(Table1[[#This Row],[Year]],Table1[[#This Row],[Month]],Table1[[#This Row],[Day]])</f>
        <v>44551</v>
      </c>
      <c r="C261" s="3">
        <v>21</v>
      </c>
      <c r="D261" s="3">
        <v>12</v>
      </c>
      <c r="E261" s="3">
        <v>2021</v>
      </c>
      <c r="F261" s="3" t="str">
        <f>"Qtr"&amp; " " &amp;CHOOSE(MONTH(Table1[[#This Row],[Date]]),1,1,1,2,2,2,3,3,3,4,4,4)</f>
        <v>Qtr 4</v>
      </c>
      <c r="G261" s="3" t="str">
        <f>TEXT(Table1[[#This Row],[Date]],"mmmm")</f>
        <v>December</v>
      </c>
      <c r="H261" s="3" t="s">
        <v>1082</v>
      </c>
      <c r="I261" s="3" t="s">
        <v>18</v>
      </c>
      <c r="J261" s="3">
        <v>8</v>
      </c>
      <c r="K261" s="3">
        <v>66989.75</v>
      </c>
      <c r="L261" s="3">
        <f>Table1[[#This Row],[Price Per Unit]]*Table1[[#This Row],[Units Sold]]</f>
        <v>535918</v>
      </c>
      <c r="M261" s="3" t="s">
        <v>277</v>
      </c>
      <c r="N261" s="3">
        <v>36</v>
      </c>
      <c r="O261" s="3" t="s">
        <v>98</v>
      </c>
      <c r="P261" s="3" t="s">
        <v>21</v>
      </c>
      <c r="Q261" s="4">
        <v>5</v>
      </c>
      <c r="R261" s="4" t="str">
        <f>IF(Table1[[#This Row],[Customer Ratings]]&gt;=4, "Good",IF(Table1[[#This Row],[Customer Ratings]]=3, "Average","Poor"))</f>
        <v>Good</v>
      </c>
      <c r="S261" s="3" t="s">
        <v>25</v>
      </c>
    </row>
    <row r="262" spans="1:19" x14ac:dyDescent="0.25">
      <c r="A262" s="3">
        <v>261</v>
      </c>
      <c r="B262" s="5">
        <f>DATE(Table1[[#This Row],[Year]],Table1[[#This Row],[Month]],Table1[[#This Row],[Day]])</f>
        <v>44552</v>
      </c>
      <c r="C262" s="3">
        <v>22</v>
      </c>
      <c r="D262" s="3">
        <v>12</v>
      </c>
      <c r="E262" s="3">
        <v>2021</v>
      </c>
      <c r="F262" s="3" t="str">
        <f>"Qtr"&amp; " " &amp;CHOOSE(MONTH(Table1[[#This Row],[Date]]),1,1,1,2,2,2,3,3,3,4,4,4)</f>
        <v>Qtr 4</v>
      </c>
      <c r="G262" s="3" t="str">
        <f>TEXT(Table1[[#This Row],[Date]],"mmmm")</f>
        <v>December</v>
      </c>
      <c r="H262" s="3" t="s">
        <v>1083</v>
      </c>
      <c r="I262" s="3" t="s">
        <v>33</v>
      </c>
      <c r="J262" s="3">
        <v>6</v>
      </c>
      <c r="K262" s="3">
        <v>43289.55</v>
      </c>
      <c r="L262" s="3">
        <f>Table1[[#This Row],[Price Per Unit]]*Table1[[#This Row],[Units Sold]]</f>
        <v>259737.30000000002</v>
      </c>
      <c r="M262" s="3" t="s">
        <v>278</v>
      </c>
      <c r="N262" s="3">
        <v>41</v>
      </c>
      <c r="O262" s="3" t="s">
        <v>20</v>
      </c>
      <c r="P262" s="3" t="s">
        <v>45</v>
      </c>
      <c r="Q262" s="4">
        <v>5</v>
      </c>
      <c r="R262" s="4" t="str">
        <f>IF(Table1[[#This Row],[Customer Ratings]]&gt;=4, "Good",IF(Table1[[#This Row],[Customer Ratings]]=3, "Average","Poor"))</f>
        <v>Good</v>
      </c>
      <c r="S262" s="3" t="s">
        <v>46</v>
      </c>
    </row>
    <row r="263" spans="1:19" x14ac:dyDescent="0.25">
      <c r="A263" s="3">
        <v>262</v>
      </c>
      <c r="B263" s="5">
        <f>DATE(Table1[[#This Row],[Year]],Table1[[#This Row],[Month]],Table1[[#This Row],[Day]])</f>
        <v>44552</v>
      </c>
      <c r="C263" s="3">
        <v>22</v>
      </c>
      <c r="D263" s="3">
        <v>12</v>
      </c>
      <c r="E263" s="3">
        <v>2021</v>
      </c>
      <c r="F263" s="3" t="str">
        <f>"Qtr"&amp; " " &amp;CHOOSE(MONTH(Table1[[#This Row],[Date]]),1,1,1,2,2,2,3,3,3,4,4,4)</f>
        <v>Qtr 4</v>
      </c>
      <c r="G263" s="3" t="str">
        <f>TEXT(Table1[[#This Row],[Date]],"mmmm")</f>
        <v>December</v>
      </c>
      <c r="H263" s="3" t="s">
        <v>1083</v>
      </c>
      <c r="I263" s="3" t="s">
        <v>28</v>
      </c>
      <c r="J263" s="3">
        <v>1</v>
      </c>
      <c r="K263" s="3">
        <v>30461.21</v>
      </c>
      <c r="L263" s="3">
        <f>Table1[[#This Row],[Price Per Unit]]*Table1[[#This Row],[Units Sold]]</f>
        <v>30461.21</v>
      </c>
      <c r="M263" s="3" t="s">
        <v>279</v>
      </c>
      <c r="N263" s="3">
        <v>59</v>
      </c>
      <c r="O263" s="3" t="s">
        <v>24</v>
      </c>
      <c r="P263" s="3" t="s">
        <v>21</v>
      </c>
      <c r="Q263" s="4">
        <v>4</v>
      </c>
      <c r="R263" s="4" t="str">
        <f>IF(Table1[[#This Row],[Customer Ratings]]&gt;=4, "Good",IF(Table1[[#This Row],[Customer Ratings]]=3, "Average","Poor"))</f>
        <v>Good</v>
      </c>
      <c r="S263" s="3" t="s">
        <v>38</v>
      </c>
    </row>
    <row r="264" spans="1:19" x14ac:dyDescent="0.25">
      <c r="A264" s="3">
        <v>263</v>
      </c>
      <c r="B264" s="5">
        <f>DATE(Table1[[#This Row],[Year]],Table1[[#This Row],[Month]],Table1[[#This Row],[Day]])</f>
        <v>44552</v>
      </c>
      <c r="C264" s="3">
        <v>22</v>
      </c>
      <c r="D264" s="3">
        <v>12</v>
      </c>
      <c r="E264" s="3">
        <v>2021</v>
      </c>
      <c r="F264" s="3" t="str">
        <f>"Qtr"&amp; " " &amp;CHOOSE(MONTH(Table1[[#This Row],[Date]]),1,1,1,2,2,2,3,3,3,4,4,4)</f>
        <v>Qtr 4</v>
      </c>
      <c r="G264" s="3" t="str">
        <f>TEXT(Table1[[#This Row],[Date]],"mmmm")</f>
        <v>December</v>
      </c>
      <c r="H264" s="3" t="s">
        <v>1083</v>
      </c>
      <c r="I264" s="3" t="s">
        <v>13</v>
      </c>
      <c r="J264" s="3">
        <v>5</v>
      </c>
      <c r="K264" s="3">
        <v>67711.89</v>
      </c>
      <c r="L264" s="3">
        <f>Table1[[#This Row],[Price Per Unit]]*Table1[[#This Row],[Units Sold]]</f>
        <v>338559.45</v>
      </c>
      <c r="M264" s="3" t="s">
        <v>280</v>
      </c>
      <c r="N264" s="3">
        <v>21</v>
      </c>
      <c r="O264" s="3" t="s">
        <v>24</v>
      </c>
      <c r="P264" s="3" t="s">
        <v>45</v>
      </c>
      <c r="Q264" s="4">
        <v>4</v>
      </c>
      <c r="R264" s="4" t="str">
        <f>IF(Table1[[#This Row],[Customer Ratings]]&gt;=4, "Good",IF(Table1[[#This Row],[Customer Ratings]]=3, "Average","Poor"))</f>
        <v>Good</v>
      </c>
      <c r="S264" s="3" t="s">
        <v>72</v>
      </c>
    </row>
    <row r="265" spans="1:19" x14ac:dyDescent="0.25">
      <c r="A265" s="3">
        <v>264</v>
      </c>
      <c r="B265" s="5">
        <f>DATE(Table1[[#This Row],[Year]],Table1[[#This Row],[Month]],Table1[[#This Row],[Day]])</f>
        <v>44553</v>
      </c>
      <c r="C265" s="3">
        <v>23</v>
      </c>
      <c r="D265" s="3">
        <v>12</v>
      </c>
      <c r="E265" s="3">
        <v>2021</v>
      </c>
      <c r="F265" s="3" t="str">
        <f>"Qtr"&amp; " " &amp;CHOOSE(MONTH(Table1[[#This Row],[Date]]),1,1,1,2,2,2,3,3,3,4,4,4)</f>
        <v>Qtr 4</v>
      </c>
      <c r="G265" s="3" t="str">
        <f>TEXT(Table1[[#This Row],[Date]],"mmmm")</f>
        <v>December</v>
      </c>
      <c r="H265" s="3" t="s">
        <v>1084</v>
      </c>
      <c r="I265" s="3" t="s">
        <v>13</v>
      </c>
      <c r="J265" s="3">
        <v>8</v>
      </c>
      <c r="K265" s="3">
        <v>42844.38</v>
      </c>
      <c r="L265" s="3">
        <f>Table1[[#This Row],[Price Per Unit]]*Table1[[#This Row],[Units Sold]]</f>
        <v>342755.04</v>
      </c>
      <c r="M265" s="3" t="s">
        <v>281</v>
      </c>
      <c r="N265" s="3">
        <v>53</v>
      </c>
      <c r="O265" s="3" t="s">
        <v>20</v>
      </c>
      <c r="P265" s="3" t="s">
        <v>45</v>
      </c>
      <c r="Q265" s="4">
        <v>4</v>
      </c>
      <c r="R265" s="4" t="str">
        <f>IF(Table1[[#This Row],[Customer Ratings]]&gt;=4, "Good",IF(Table1[[#This Row],[Customer Ratings]]=3, "Average","Poor"))</f>
        <v>Good</v>
      </c>
      <c r="S265" s="3" t="s">
        <v>72</v>
      </c>
    </row>
    <row r="266" spans="1:19" x14ac:dyDescent="0.25">
      <c r="A266" s="3">
        <v>265</v>
      </c>
      <c r="B266" s="5">
        <f>DATE(Table1[[#This Row],[Year]],Table1[[#This Row],[Month]],Table1[[#This Row],[Day]])</f>
        <v>44553</v>
      </c>
      <c r="C266" s="3">
        <v>23</v>
      </c>
      <c r="D266" s="3">
        <v>12</v>
      </c>
      <c r="E266" s="3">
        <v>2021</v>
      </c>
      <c r="F266" s="3" t="str">
        <f>"Qtr"&amp; " " &amp;CHOOSE(MONTH(Table1[[#This Row],[Date]]),1,1,1,2,2,2,3,3,3,4,4,4)</f>
        <v>Qtr 4</v>
      </c>
      <c r="G266" s="3" t="str">
        <f>TEXT(Table1[[#This Row],[Date]],"mmmm")</f>
        <v>December</v>
      </c>
      <c r="H266" s="3" t="s">
        <v>1084</v>
      </c>
      <c r="I266" s="3" t="s">
        <v>39</v>
      </c>
      <c r="J266" s="3">
        <v>3</v>
      </c>
      <c r="K266" s="3">
        <v>13855.16</v>
      </c>
      <c r="L266" s="3">
        <f>Table1[[#This Row],[Price Per Unit]]*Table1[[#This Row],[Units Sold]]</f>
        <v>41565.479999999996</v>
      </c>
      <c r="M266" s="3" t="s">
        <v>74</v>
      </c>
      <c r="N266" s="3">
        <v>30</v>
      </c>
      <c r="O266" s="3" t="s">
        <v>120</v>
      </c>
      <c r="P266" s="3" t="s">
        <v>45</v>
      </c>
      <c r="Q266" s="4">
        <v>5</v>
      </c>
      <c r="R266" s="4" t="str">
        <f>IF(Table1[[#This Row],[Customer Ratings]]&gt;=4, "Good",IF(Table1[[#This Row],[Customer Ratings]]=3, "Average","Poor"))</f>
        <v>Good</v>
      </c>
      <c r="S266" s="3" t="s">
        <v>76</v>
      </c>
    </row>
    <row r="267" spans="1:19" x14ac:dyDescent="0.25">
      <c r="A267" s="3">
        <v>266</v>
      </c>
      <c r="B267" s="5">
        <f>DATE(Table1[[#This Row],[Year]],Table1[[#This Row],[Month]],Table1[[#This Row],[Day]])</f>
        <v>44553</v>
      </c>
      <c r="C267" s="3">
        <v>23</v>
      </c>
      <c r="D267" s="3">
        <v>12</v>
      </c>
      <c r="E267" s="3">
        <v>2021</v>
      </c>
      <c r="F267" s="3" t="str">
        <f>"Qtr"&amp; " " &amp;CHOOSE(MONTH(Table1[[#This Row],[Date]]),1,1,1,2,2,2,3,3,3,4,4,4)</f>
        <v>Qtr 4</v>
      </c>
      <c r="G267" s="3" t="str">
        <f>TEXT(Table1[[#This Row],[Date]],"mmmm")</f>
        <v>December</v>
      </c>
      <c r="H267" s="3" t="s">
        <v>1084</v>
      </c>
      <c r="I267" s="3" t="s">
        <v>18</v>
      </c>
      <c r="J267" s="3">
        <v>6</v>
      </c>
      <c r="K267" s="3">
        <v>48566.59</v>
      </c>
      <c r="L267" s="3">
        <f>Table1[[#This Row],[Price Per Unit]]*Table1[[#This Row],[Units Sold]]</f>
        <v>291399.53999999998</v>
      </c>
      <c r="M267" s="3" t="s">
        <v>145</v>
      </c>
      <c r="N267" s="3">
        <v>49</v>
      </c>
      <c r="O267" s="3" t="s">
        <v>20</v>
      </c>
      <c r="P267" s="3" t="s">
        <v>31</v>
      </c>
      <c r="Q267" s="4">
        <v>4</v>
      </c>
      <c r="R267" s="4" t="str">
        <f>IF(Table1[[#This Row],[Customer Ratings]]&gt;=4, "Good",IF(Table1[[#This Row],[Customer Ratings]]=3, "Average","Poor"))</f>
        <v>Good</v>
      </c>
      <c r="S267" s="3" t="s">
        <v>22</v>
      </c>
    </row>
    <row r="268" spans="1:19" x14ac:dyDescent="0.25">
      <c r="A268" s="3">
        <v>267</v>
      </c>
      <c r="B268" s="5">
        <f>DATE(Table1[[#This Row],[Year]],Table1[[#This Row],[Month]],Table1[[#This Row],[Day]])</f>
        <v>44553</v>
      </c>
      <c r="C268" s="3">
        <v>23</v>
      </c>
      <c r="D268" s="3">
        <v>12</v>
      </c>
      <c r="E268" s="3">
        <v>2021</v>
      </c>
      <c r="F268" s="3" t="str">
        <f>"Qtr"&amp; " " &amp;CHOOSE(MONTH(Table1[[#This Row],[Date]]),1,1,1,2,2,2,3,3,3,4,4,4)</f>
        <v>Qtr 4</v>
      </c>
      <c r="G268" s="3" t="str">
        <f>TEXT(Table1[[#This Row],[Date]],"mmmm")</f>
        <v>December</v>
      </c>
      <c r="H268" s="3" t="s">
        <v>1084</v>
      </c>
      <c r="I268" s="3" t="s">
        <v>13</v>
      </c>
      <c r="J268" s="3">
        <v>5</v>
      </c>
      <c r="K268" s="3">
        <v>45261.09</v>
      </c>
      <c r="L268" s="3">
        <f>Table1[[#This Row],[Price Per Unit]]*Table1[[#This Row],[Units Sold]]</f>
        <v>226305.44999999998</v>
      </c>
      <c r="M268" s="3" t="s">
        <v>135</v>
      </c>
      <c r="N268" s="3">
        <v>26</v>
      </c>
      <c r="O268" s="3" t="s">
        <v>65</v>
      </c>
      <c r="P268" s="3" t="s">
        <v>31</v>
      </c>
      <c r="Q268" s="4">
        <v>3</v>
      </c>
      <c r="R268" s="4" t="str">
        <f>IF(Table1[[#This Row],[Customer Ratings]]&gt;=4, "Good",IF(Table1[[#This Row],[Customer Ratings]]=3, "Average","Poor"))</f>
        <v>Average</v>
      </c>
      <c r="S268" s="3" t="s">
        <v>27</v>
      </c>
    </row>
    <row r="269" spans="1:19" x14ac:dyDescent="0.25">
      <c r="A269" s="3">
        <v>268</v>
      </c>
      <c r="B269" s="5">
        <f>DATE(Table1[[#This Row],[Year]],Table1[[#This Row],[Month]],Table1[[#This Row],[Day]])</f>
        <v>44554</v>
      </c>
      <c r="C269" s="3">
        <v>24</v>
      </c>
      <c r="D269" s="3">
        <v>12</v>
      </c>
      <c r="E269" s="3">
        <v>2021</v>
      </c>
      <c r="F269" s="3" t="str">
        <f>"Qtr"&amp; " " &amp;CHOOSE(MONTH(Table1[[#This Row],[Date]]),1,1,1,2,2,2,3,3,3,4,4,4)</f>
        <v>Qtr 4</v>
      </c>
      <c r="G269" s="3" t="str">
        <f>TEXT(Table1[[#This Row],[Date]],"mmmm")</f>
        <v>December</v>
      </c>
      <c r="H269" s="3" t="s">
        <v>1085</v>
      </c>
      <c r="I269" s="3" t="s">
        <v>33</v>
      </c>
      <c r="J269" s="3">
        <v>6</v>
      </c>
      <c r="K269" s="3">
        <v>63747.57</v>
      </c>
      <c r="L269" s="3">
        <f>Table1[[#This Row],[Price Per Unit]]*Table1[[#This Row],[Units Sold]]</f>
        <v>382485.42</v>
      </c>
      <c r="M269" s="3" t="s">
        <v>282</v>
      </c>
      <c r="N269" s="3">
        <v>56</v>
      </c>
      <c r="O269" s="3" t="s">
        <v>15</v>
      </c>
      <c r="P269" s="3" t="s">
        <v>16</v>
      </c>
      <c r="Q269" s="4">
        <v>5</v>
      </c>
      <c r="R269" s="4" t="str">
        <f>IF(Table1[[#This Row],[Customer Ratings]]&gt;=4, "Good",IF(Table1[[#This Row],[Customer Ratings]]=3, "Average","Poor"))</f>
        <v>Good</v>
      </c>
      <c r="S269" s="3" t="s">
        <v>46</v>
      </c>
    </row>
    <row r="270" spans="1:19" x14ac:dyDescent="0.25">
      <c r="A270" s="3">
        <v>269</v>
      </c>
      <c r="B270" s="5">
        <f>DATE(Table1[[#This Row],[Year]],Table1[[#This Row],[Month]],Table1[[#This Row],[Day]])</f>
        <v>44554</v>
      </c>
      <c r="C270" s="3">
        <v>24</v>
      </c>
      <c r="D270" s="3">
        <v>12</v>
      </c>
      <c r="E270" s="3">
        <v>2021</v>
      </c>
      <c r="F270" s="3" t="str">
        <f>"Qtr"&amp; " " &amp;CHOOSE(MONTH(Table1[[#This Row],[Date]]),1,1,1,2,2,2,3,3,3,4,4,4)</f>
        <v>Qtr 4</v>
      </c>
      <c r="G270" s="3" t="str">
        <f>TEXT(Table1[[#This Row],[Date]],"mmmm")</f>
        <v>December</v>
      </c>
      <c r="H270" s="3" t="s">
        <v>1085</v>
      </c>
      <c r="I270" s="3" t="s">
        <v>39</v>
      </c>
      <c r="J270" s="3">
        <v>1</v>
      </c>
      <c r="K270" s="3">
        <v>49191.23</v>
      </c>
      <c r="L270" s="3">
        <f>Table1[[#This Row],[Price Per Unit]]*Table1[[#This Row],[Units Sold]]</f>
        <v>49191.23</v>
      </c>
      <c r="M270" s="3" t="s">
        <v>96</v>
      </c>
      <c r="N270" s="3">
        <v>33</v>
      </c>
      <c r="O270" s="3" t="s">
        <v>81</v>
      </c>
      <c r="P270" s="3" t="s">
        <v>21</v>
      </c>
      <c r="Q270" s="4">
        <v>4</v>
      </c>
      <c r="R270" s="4" t="str">
        <f>IF(Table1[[#This Row],[Customer Ratings]]&gt;=4, "Good",IF(Table1[[#This Row],[Customer Ratings]]=3, "Average","Poor"))</f>
        <v>Good</v>
      </c>
      <c r="S270" s="3" t="s">
        <v>42</v>
      </c>
    </row>
    <row r="271" spans="1:19" x14ac:dyDescent="0.25">
      <c r="A271" s="3">
        <v>270</v>
      </c>
      <c r="B271" s="5">
        <f>DATE(Table1[[#This Row],[Year]],Table1[[#This Row],[Month]],Table1[[#This Row],[Day]])</f>
        <v>44554</v>
      </c>
      <c r="C271" s="3">
        <v>24</v>
      </c>
      <c r="D271" s="3">
        <v>12</v>
      </c>
      <c r="E271" s="3">
        <v>2021</v>
      </c>
      <c r="F271" s="3" t="str">
        <f>"Qtr"&amp; " " &amp;CHOOSE(MONTH(Table1[[#This Row],[Date]]),1,1,1,2,2,2,3,3,3,4,4,4)</f>
        <v>Qtr 4</v>
      </c>
      <c r="G271" s="3" t="str">
        <f>TEXT(Table1[[#This Row],[Date]],"mmmm")</f>
        <v>December</v>
      </c>
      <c r="H271" s="3" t="s">
        <v>1085</v>
      </c>
      <c r="I271" s="3" t="s">
        <v>28</v>
      </c>
      <c r="J271" s="3">
        <v>7</v>
      </c>
      <c r="K271" s="3">
        <v>30943.15</v>
      </c>
      <c r="L271" s="3">
        <f>Table1[[#This Row],[Price Per Unit]]*Table1[[#This Row],[Units Sold]]</f>
        <v>216602.05000000002</v>
      </c>
      <c r="M271" s="3" t="s">
        <v>93</v>
      </c>
      <c r="N271" s="3">
        <v>20</v>
      </c>
      <c r="O271" s="3" t="s">
        <v>24</v>
      </c>
      <c r="P271" s="3" t="s">
        <v>16</v>
      </c>
      <c r="Q271" s="4">
        <v>2</v>
      </c>
      <c r="R271" s="4" t="str">
        <f>IF(Table1[[#This Row],[Customer Ratings]]&gt;=4, "Good",IF(Table1[[#This Row],[Customer Ratings]]=3, "Average","Poor"))</f>
        <v>Poor</v>
      </c>
      <c r="S271" s="3" t="s">
        <v>38</v>
      </c>
    </row>
    <row r="272" spans="1:19" x14ac:dyDescent="0.25">
      <c r="A272" s="3">
        <v>271</v>
      </c>
      <c r="B272" s="5">
        <f>DATE(Table1[[#This Row],[Year]],Table1[[#This Row],[Month]],Table1[[#This Row],[Day]])</f>
        <v>44554</v>
      </c>
      <c r="C272" s="3">
        <v>24</v>
      </c>
      <c r="D272" s="3">
        <v>12</v>
      </c>
      <c r="E272" s="3">
        <v>2021</v>
      </c>
      <c r="F272" s="3" t="str">
        <f>"Qtr"&amp; " " &amp;CHOOSE(MONTH(Table1[[#This Row],[Date]]),1,1,1,2,2,2,3,3,3,4,4,4)</f>
        <v>Qtr 4</v>
      </c>
      <c r="G272" s="3" t="str">
        <f>TEXT(Table1[[#This Row],[Date]],"mmmm")</f>
        <v>December</v>
      </c>
      <c r="H272" s="3" t="s">
        <v>1085</v>
      </c>
      <c r="I272" s="3" t="s">
        <v>39</v>
      </c>
      <c r="J272" s="3">
        <v>9</v>
      </c>
      <c r="K272" s="3">
        <v>67973.539999999994</v>
      </c>
      <c r="L272" s="3">
        <f>Table1[[#This Row],[Price Per Unit]]*Table1[[#This Row],[Units Sold]]</f>
        <v>611761.86</v>
      </c>
      <c r="M272" s="3" t="s">
        <v>255</v>
      </c>
      <c r="N272" s="3">
        <v>37</v>
      </c>
      <c r="O272" s="3" t="s">
        <v>58</v>
      </c>
      <c r="P272" s="3" t="s">
        <v>21</v>
      </c>
      <c r="Q272" s="4">
        <v>3</v>
      </c>
      <c r="R272" s="4" t="str">
        <f>IF(Table1[[#This Row],[Customer Ratings]]&gt;=4, "Good",IF(Table1[[#This Row],[Customer Ratings]]=3, "Average","Poor"))</f>
        <v>Average</v>
      </c>
      <c r="S272" s="3" t="s">
        <v>76</v>
      </c>
    </row>
    <row r="273" spans="1:19" x14ac:dyDescent="0.25">
      <c r="A273" s="3">
        <v>272</v>
      </c>
      <c r="B273" s="5">
        <f>DATE(Table1[[#This Row],[Year]],Table1[[#This Row],[Month]],Table1[[#This Row],[Day]])</f>
        <v>44555</v>
      </c>
      <c r="C273" s="3">
        <v>25</v>
      </c>
      <c r="D273" s="3">
        <v>12</v>
      </c>
      <c r="E273" s="3">
        <v>2021</v>
      </c>
      <c r="F273" s="3" t="str">
        <f>"Qtr"&amp; " " &amp;CHOOSE(MONTH(Table1[[#This Row],[Date]]),1,1,1,2,2,2,3,3,3,4,4,4)</f>
        <v>Qtr 4</v>
      </c>
      <c r="G273" s="3" t="str">
        <f>TEXT(Table1[[#This Row],[Date]],"mmmm")</f>
        <v>December</v>
      </c>
      <c r="H273" s="3" t="s">
        <v>1079</v>
      </c>
      <c r="I273" s="3" t="s">
        <v>28</v>
      </c>
      <c r="J273" s="3">
        <v>2</v>
      </c>
      <c r="K273" s="3">
        <v>58097.17</v>
      </c>
      <c r="L273" s="3">
        <f>Table1[[#This Row],[Price Per Unit]]*Table1[[#This Row],[Units Sold]]</f>
        <v>116194.34</v>
      </c>
      <c r="M273" s="3" t="s">
        <v>283</v>
      </c>
      <c r="N273" s="3">
        <v>27</v>
      </c>
      <c r="O273" s="3" t="s">
        <v>81</v>
      </c>
      <c r="P273" s="3" t="s">
        <v>16</v>
      </c>
      <c r="Q273" s="4">
        <v>2</v>
      </c>
      <c r="R273" s="4" t="str">
        <f>IF(Table1[[#This Row],[Customer Ratings]]&gt;=4, "Good",IF(Table1[[#This Row],[Customer Ratings]]=3, "Average","Poor"))</f>
        <v>Poor</v>
      </c>
      <c r="S273" s="3" t="s">
        <v>38</v>
      </c>
    </row>
    <row r="274" spans="1:19" x14ac:dyDescent="0.25">
      <c r="A274" s="3">
        <v>273</v>
      </c>
      <c r="B274" s="5">
        <f>DATE(Table1[[#This Row],[Year]],Table1[[#This Row],[Month]],Table1[[#This Row],[Day]])</f>
        <v>44555</v>
      </c>
      <c r="C274" s="3">
        <v>25</v>
      </c>
      <c r="D274" s="3">
        <v>12</v>
      </c>
      <c r="E274" s="3">
        <v>2021</v>
      </c>
      <c r="F274" s="3" t="str">
        <f>"Qtr"&amp; " " &amp;CHOOSE(MONTH(Table1[[#This Row],[Date]]),1,1,1,2,2,2,3,3,3,4,4,4)</f>
        <v>Qtr 4</v>
      </c>
      <c r="G274" s="3" t="str">
        <f>TEXT(Table1[[#This Row],[Date]],"mmmm")</f>
        <v>December</v>
      </c>
      <c r="H274" s="3" t="s">
        <v>1079</v>
      </c>
      <c r="I274" s="3" t="s">
        <v>39</v>
      </c>
      <c r="J274" s="3">
        <v>5</v>
      </c>
      <c r="K274" s="3">
        <v>47825.06</v>
      </c>
      <c r="L274" s="3">
        <f>Table1[[#This Row],[Price Per Unit]]*Table1[[#This Row],[Units Sold]]</f>
        <v>239125.3</v>
      </c>
      <c r="M274" s="3" t="s">
        <v>96</v>
      </c>
      <c r="N274" s="3">
        <v>39</v>
      </c>
      <c r="O274" s="3" t="s">
        <v>24</v>
      </c>
      <c r="P274" s="3" t="s">
        <v>16</v>
      </c>
      <c r="Q274" s="4">
        <v>5</v>
      </c>
      <c r="R274" s="4" t="str">
        <f>IF(Table1[[#This Row],[Customer Ratings]]&gt;=4, "Good",IF(Table1[[#This Row],[Customer Ratings]]=3, "Average","Poor"))</f>
        <v>Good</v>
      </c>
      <c r="S274" s="3" t="s">
        <v>42</v>
      </c>
    </row>
    <row r="275" spans="1:19" x14ac:dyDescent="0.25">
      <c r="A275" s="3">
        <v>274</v>
      </c>
      <c r="B275" s="5">
        <f>DATE(Table1[[#This Row],[Year]],Table1[[#This Row],[Month]],Table1[[#This Row],[Day]])</f>
        <v>44555</v>
      </c>
      <c r="C275" s="3">
        <v>25</v>
      </c>
      <c r="D275" s="3">
        <v>12</v>
      </c>
      <c r="E275" s="3">
        <v>2021</v>
      </c>
      <c r="F275" s="3" t="str">
        <f>"Qtr"&amp; " " &amp;CHOOSE(MONTH(Table1[[#This Row],[Date]]),1,1,1,2,2,2,3,3,3,4,4,4)</f>
        <v>Qtr 4</v>
      </c>
      <c r="G275" s="3" t="str">
        <f>TEXT(Table1[[#This Row],[Date]],"mmmm")</f>
        <v>December</v>
      </c>
      <c r="H275" s="3" t="s">
        <v>1079</v>
      </c>
      <c r="I275" s="3" t="s">
        <v>39</v>
      </c>
      <c r="J275" s="3">
        <v>4</v>
      </c>
      <c r="K275" s="3">
        <v>27575.51</v>
      </c>
      <c r="L275" s="3">
        <f>Table1[[#This Row],[Price Per Unit]]*Table1[[#This Row],[Units Sold]]</f>
        <v>110302.04</v>
      </c>
      <c r="M275" s="3" t="s">
        <v>284</v>
      </c>
      <c r="N275" s="3">
        <v>20</v>
      </c>
      <c r="O275" s="3" t="s">
        <v>41</v>
      </c>
      <c r="P275" s="3" t="s">
        <v>45</v>
      </c>
      <c r="Q275" s="4">
        <v>5</v>
      </c>
      <c r="R275" s="4" t="str">
        <f>IF(Table1[[#This Row],[Customer Ratings]]&gt;=4, "Good",IF(Table1[[#This Row],[Customer Ratings]]=3, "Average","Poor"))</f>
        <v>Good</v>
      </c>
      <c r="S275" s="3" t="s">
        <v>90</v>
      </c>
    </row>
    <row r="276" spans="1:19" x14ac:dyDescent="0.25">
      <c r="A276" s="3">
        <v>275</v>
      </c>
      <c r="B276" s="5">
        <f>DATE(Table1[[#This Row],[Year]],Table1[[#This Row],[Month]],Table1[[#This Row],[Day]])</f>
        <v>44555</v>
      </c>
      <c r="C276" s="3">
        <v>25</v>
      </c>
      <c r="D276" s="3">
        <v>12</v>
      </c>
      <c r="E276" s="3">
        <v>2021</v>
      </c>
      <c r="F276" s="3" t="str">
        <f>"Qtr"&amp; " " &amp;CHOOSE(MONTH(Table1[[#This Row],[Date]]),1,1,1,2,2,2,3,3,3,4,4,4)</f>
        <v>Qtr 4</v>
      </c>
      <c r="G276" s="3" t="str">
        <f>TEXT(Table1[[#This Row],[Date]],"mmmm")</f>
        <v>December</v>
      </c>
      <c r="H276" s="3" t="s">
        <v>1079</v>
      </c>
      <c r="I276" s="3" t="s">
        <v>39</v>
      </c>
      <c r="J276" s="3">
        <v>6</v>
      </c>
      <c r="K276" s="3">
        <v>32412.42</v>
      </c>
      <c r="L276" s="3">
        <f>Table1[[#This Row],[Price Per Unit]]*Table1[[#This Row],[Units Sold]]</f>
        <v>194474.52</v>
      </c>
      <c r="M276" s="3" t="s">
        <v>207</v>
      </c>
      <c r="N276" s="3">
        <v>28</v>
      </c>
      <c r="O276" s="3" t="s">
        <v>20</v>
      </c>
      <c r="P276" s="3" t="s">
        <v>45</v>
      </c>
      <c r="Q276" s="4">
        <v>5</v>
      </c>
      <c r="R276" s="4" t="str">
        <f>IF(Table1[[#This Row],[Customer Ratings]]&gt;=4, "Good",IF(Table1[[#This Row],[Customer Ratings]]=3, "Average","Poor"))</f>
        <v>Good</v>
      </c>
      <c r="S276" s="3" t="s">
        <v>42</v>
      </c>
    </row>
    <row r="277" spans="1:19" x14ac:dyDescent="0.25">
      <c r="A277" s="3">
        <v>276</v>
      </c>
      <c r="B277" s="5">
        <f>DATE(Table1[[#This Row],[Year]],Table1[[#This Row],[Month]],Table1[[#This Row],[Day]])</f>
        <v>44556</v>
      </c>
      <c r="C277" s="3">
        <v>26</v>
      </c>
      <c r="D277" s="3">
        <v>12</v>
      </c>
      <c r="E277" s="3">
        <v>2021</v>
      </c>
      <c r="F277" s="3" t="str">
        <f>"Qtr"&amp; " " &amp;CHOOSE(MONTH(Table1[[#This Row],[Date]]),1,1,1,2,2,2,3,3,3,4,4,4)</f>
        <v>Qtr 4</v>
      </c>
      <c r="G277" s="3" t="str">
        <f>TEXT(Table1[[#This Row],[Date]],"mmmm")</f>
        <v>December</v>
      </c>
      <c r="H277" s="3" t="s">
        <v>1080</v>
      </c>
      <c r="I277" s="3" t="s">
        <v>28</v>
      </c>
      <c r="J277" s="3">
        <v>6</v>
      </c>
      <c r="K277" s="3">
        <v>50198.2</v>
      </c>
      <c r="L277" s="3">
        <f>Table1[[#This Row],[Price Per Unit]]*Table1[[#This Row],[Units Sold]]</f>
        <v>301189.19999999995</v>
      </c>
      <c r="M277" s="3" t="s">
        <v>285</v>
      </c>
      <c r="N277" s="3">
        <v>42</v>
      </c>
      <c r="O277" s="3" t="s">
        <v>125</v>
      </c>
      <c r="P277" s="3" t="s">
        <v>45</v>
      </c>
      <c r="Q277" s="4">
        <v>5</v>
      </c>
      <c r="R277" s="4" t="str">
        <f>IF(Table1[[#This Row],[Customer Ratings]]&gt;=4, "Good",IF(Table1[[#This Row],[Customer Ratings]]=3, "Average","Poor"))</f>
        <v>Good</v>
      </c>
      <c r="S277" s="3" t="s">
        <v>32</v>
      </c>
    </row>
    <row r="278" spans="1:19" x14ac:dyDescent="0.25">
      <c r="A278" s="3">
        <v>277</v>
      </c>
      <c r="B278" s="5">
        <f>DATE(Table1[[#This Row],[Year]],Table1[[#This Row],[Month]],Table1[[#This Row],[Day]])</f>
        <v>44556</v>
      </c>
      <c r="C278" s="3">
        <v>26</v>
      </c>
      <c r="D278" s="3">
        <v>12</v>
      </c>
      <c r="E278" s="3">
        <v>2021</v>
      </c>
      <c r="F278" s="3" t="str">
        <f>"Qtr"&amp; " " &amp;CHOOSE(MONTH(Table1[[#This Row],[Date]]),1,1,1,2,2,2,3,3,3,4,4,4)</f>
        <v>Qtr 4</v>
      </c>
      <c r="G278" s="3" t="str">
        <f>TEXT(Table1[[#This Row],[Date]],"mmmm")</f>
        <v>December</v>
      </c>
      <c r="H278" s="3" t="s">
        <v>1080</v>
      </c>
      <c r="I278" s="3" t="s">
        <v>28</v>
      </c>
      <c r="J278" s="3">
        <v>2</v>
      </c>
      <c r="K278" s="3">
        <v>14318.85</v>
      </c>
      <c r="L278" s="3">
        <f>Table1[[#This Row],[Price Per Unit]]*Table1[[#This Row],[Units Sold]]</f>
        <v>28637.7</v>
      </c>
      <c r="M278" s="3" t="s">
        <v>286</v>
      </c>
      <c r="N278" s="3">
        <v>59</v>
      </c>
      <c r="O278" s="3" t="s">
        <v>20</v>
      </c>
      <c r="P278" s="3" t="s">
        <v>45</v>
      </c>
      <c r="Q278" s="4">
        <v>5</v>
      </c>
      <c r="R278" s="4" t="str">
        <f>IF(Table1[[#This Row],[Customer Ratings]]&gt;=4, "Good",IF(Table1[[#This Row],[Customer Ratings]]=3, "Average","Poor"))</f>
        <v>Good</v>
      </c>
      <c r="S278" s="3" t="s">
        <v>32</v>
      </c>
    </row>
    <row r="279" spans="1:19" x14ac:dyDescent="0.25">
      <c r="A279" s="3">
        <v>278</v>
      </c>
      <c r="B279" s="5">
        <f>DATE(Table1[[#This Row],[Year]],Table1[[#This Row],[Month]],Table1[[#This Row],[Day]])</f>
        <v>44556</v>
      </c>
      <c r="C279" s="3">
        <v>26</v>
      </c>
      <c r="D279" s="3">
        <v>12</v>
      </c>
      <c r="E279" s="3">
        <v>2021</v>
      </c>
      <c r="F279" s="3" t="str">
        <f>"Qtr"&amp; " " &amp;CHOOSE(MONTH(Table1[[#This Row],[Date]]),1,1,1,2,2,2,3,3,3,4,4,4)</f>
        <v>Qtr 4</v>
      </c>
      <c r="G279" s="3" t="str">
        <f>TEXT(Table1[[#This Row],[Date]],"mmmm")</f>
        <v>December</v>
      </c>
      <c r="H279" s="3" t="s">
        <v>1080</v>
      </c>
      <c r="I279" s="3" t="s">
        <v>39</v>
      </c>
      <c r="J279" s="3">
        <v>2</v>
      </c>
      <c r="K279" s="3">
        <v>25400.84</v>
      </c>
      <c r="L279" s="3">
        <f>Table1[[#This Row],[Price Per Unit]]*Table1[[#This Row],[Units Sold]]</f>
        <v>50801.68</v>
      </c>
      <c r="M279" s="3" t="s">
        <v>155</v>
      </c>
      <c r="N279" s="3">
        <v>25</v>
      </c>
      <c r="O279" s="3" t="s">
        <v>20</v>
      </c>
      <c r="P279" s="3" t="s">
        <v>45</v>
      </c>
      <c r="Q279" s="4">
        <v>5</v>
      </c>
      <c r="R279" s="4" t="str">
        <f>IF(Table1[[#This Row],[Customer Ratings]]&gt;=4, "Good",IF(Table1[[#This Row],[Customer Ratings]]=3, "Average","Poor"))</f>
        <v>Good</v>
      </c>
      <c r="S279" s="3" t="s">
        <v>42</v>
      </c>
    </row>
    <row r="280" spans="1:19" x14ac:dyDescent="0.25">
      <c r="A280" s="3">
        <v>279</v>
      </c>
      <c r="B280" s="5">
        <f>DATE(Table1[[#This Row],[Year]],Table1[[#This Row],[Month]],Table1[[#This Row],[Day]])</f>
        <v>44557</v>
      </c>
      <c r="C280" s="3">
        <v>27</v>
      </c>
      <c r="D280" s="3">
        <v>12</v>
      </c>
      <c r="E280" s="3">
        <v>2021</v>
      </c>
      <c r="F280" s="3" t="str">
        <f>"Qtr"&amp; " " &amp;CHOOSE(MONTH(Table1[[#This Row],[Date]]),1,1,1,2,2,2,3,3,3,4,4,4)</f>
        <v>Qtr 4</v>
      </c>
      <c r="G280" s="3" t="str">
        <f>TEXT(Table1[[#This Row],[Date]],"mmmm")</f>
        <v>December</v>
      </c>
      <c r="H280" s="3" t="s">
        <v>1081</v>
      </c>
      <c r="I280" s="3" t="s">
        <v>13</v>
      </c>
      <c r="J280" s="3">
        <v>4</v>
      </c>
      <c r="K280" s="3">
        <v>52834.06</v>
      </c>
      <c r="L280" s="3">
        <f>Table1[[#This Row],[Price Per Unit]]*Table1[[#This Row],[Units Sold]]</f>
        <v>211336.24</v>
      </c>
      <c r="M280" s="3" t="s">
        <v>287</v>
      </c>
      <c r="N280" s="3">
        <v>26</v>
      </c>
      <c r="O280" s="3" t="s">
        <v>20</v>
      </c>
      <c r="P280" s="3" t="s">
        <v>16</v>
      </c>
      <c r="Q280" s="4">
        <v>3</v>
      </c>
      <c r="R280" s="4" t="str">
        <f>IF(Table1[[#This Row],[Customer Ratings]]&gt;=4, "Good",IF(Table1[[#This Row],[Customer Ratings]]=3, "Average","Poor"))</f>
        <v>Average</v>
      </c>
      <c r="S280" s="3" t="s">
        <v>72</v>
      </c>
    </row>
    <row r="281" spans="1:19" x14ac:dyDescent="0.25">
      <c r="A281" s="3">
        <v>280</v>
      </c>
      <c r="B281" s="5">
        <f>DATE(Table1[[#This Row],[Year]],Table1[[#This Row],[Month]],Table1[[#This Row],[Day]])</f>
        <v>44557</v>
      </c>
      <c r="C281" s="3">
        <v>27</v>
      </c>
      <c r="D281" s="3">
        <v>12</v>
      </c>
      <c r="E281" s="3">
        <v>2021</v>
      </c>
      <c r="F281" s="3" t="str">
        <f>"Qtr"&amp; " " &amp;CHOOSE(MONTH(Table1[[#This Row],[Date]]),1,1,1,2,2,2,3,3,3,4,4,4)</f>
        <v>Qtr 4</v>
      </c>
      <c r="G281" s="3" t="str">
        <f>TEXT(Table1[[#This Row],[Date]],"mmmm")</f>
        <v>December</v>
      </c>
      <c r="H281" s="3" t="s">
        <v>1081</v>
      </c>
      <c r="I281" s="3" t="s">
        <v>18</v>
      </c>
      <c r="J281" s="3">
        <v>1</v>
      </c>
      <c r="K281" s="3">
        <v>38801.11</v>
      </c>
      <c r="L281" s="3">
        <f>Table1[[#This Row],[Price Per Unit]]*Table1[[#This Row],[Units Sold]]</f>
        <v>38801.11</v>
      </c>
      <c r="M281" s="3" t="s">
        <v>288</v>
      </c>
      <c r="N281" s="3">
        <v>32</v>
      </c>
      <c r="O281" s="3" t="s">
        <v>81</v>
      </c>
      <c r="P281" s="3" t="s">
        <v>21</v>
      </c>
      <c r="Q281" s="4">
        <v>5</v>
      </c>
      <c r="R281" s="4" t="str">
        <f>IF(Table1[[#This Row],[Customer Ratings]]&gt;=4, "Good",IF(Table1[[#This Row],[Customer Ratings]]=3, "Average","Poor"))</f>
        <v>Good</v>
      </c>
      <c r="S281" s="3" t="s">
        <v>22</v>
      </c>
    </row>
    <row r="282" spans="1:19" x14ac:dyDescent="0.25">
      <c r="A282" s="3">
        <v>281</v>
      </c>
      <c r="B282" s="5">
        <f>DATE(Table1[[#This Row],[Year]],Table1[[#This Row],[Month]],Table1[[#This Row],[Day]])</f>
        <v>44557</v>
      </c>
      <c r="C282" s="3">
        <v>27</v>
      </c>
      <c r="D282" s="3">
        <v>12</v>
      </c>
      <c r="E282" s="3">
        <v>2021</v>
      </c>
      <c r="F282" s="3" t="str">
        <f>"Qtr"&amp; " " &amp;CHOOSE(MONTH(Table1[[#This Row],[Date]]),1,1,1,2,2,2,3,3,3,4,4,4)</f>
        <v>Qtr 4</v>
      </c>
      <c r="G282" s="3" t="str">
        <f>TEXT(Table1[[#This Row],[Date]],"mmmm")</f>
        <v>December</v>
      </c>
      <c r="H282" s="3" t="s">
        <v>1081</v>
      </c>
      <c r="I282" s="3" t="s">
        <v>18</v>
      </c>
      <c r="J282" s="3">
        <v>9</v>
      </c>
      <c r="K282" s="3">
        <v>34143.61</v>
      </c>
      <c r="L282" s="3">
        <f>Table1[[#This Row],[Price Per Unit]]*Table1[[#This Row],[Units Sold]]</f>
        <v>307292.49</v>
      </c>
      <c r="M282" s="3" t="s">
        <v>289</v>
      </c>
      <c r="N282" s="3">
        <v>49</v>
      </c>
      <c r="O282" s="3" t="s">
        <v>24</v>
      </c>
      <c r="P282" s="3" t="s">
        <v>31</v>
      </c>
      <c r="Q282" s="4">
        <v>3</v>
      </c>
      <c r="R282" s="4" t="str">
        <f>IF(Table1[[#This Row],[Customer Ratings]]&gt;=4, "Good",IF(Table1[[#This Row],[Customer Ratings]]=3, "Average","Poor"))</f>
        <v>Average</v>
      </c>
      <c r="S282" s="3" t="s">
        <v>55</v>
      </c>
    </row>
    <row r="283" spans="1:19" x14ac:dyDescent="0.25">
      <c r="A283" s="3">
        <v>282</v>
      </c>
      <c r="B283" s="5">
        <f>DATE(Table1[[#This Row],[Year]],Table1[[#This Row],[Month]],Table1[[#This Row],[Day]])</f>
        <v>44557</v>
      </c>
      <c r="C283" s="3">
        <v>27</v>
      </c>
      <c r="D283" s="3">
        <v>12</v>
      </c>
      <c r="E283" s="3">
        <v>2021</v>
      </c>
      <c r="F283" s="3" t="str">
        <f>"Qtr"&amp; " " &amp;CHOOSE(MONTH(Table1[[#This Row],[Date]]),1,1,1,2,2,2,3,3,3,4,4,4)</f>
        <v>Qtr 4</v>
      </c>
      <c r="G283" s="3" t="str">
        <f>TEXT(Table1[[#This Row],[Date]],"mmmm")</f>
        <v>December</v>
      </c>
      <c r="H283" s="3" t="s">
        <v>1081</v>
      </c>
      <c r="I283" s="3" t="s">
        <v>18</v>
      </c>
      <c r="J283" s="3">
        <v>7</v>
      </c>
      <c r="K283" s="3">
        <v>19087.46</v>
      </c>
      <c r="L283" s="3">
        <f>Table1[[#This Row],[Price Per Unit]]*Table1[[#This Row],[Units Sold]]</f>
        <v>133612.22</v>
      </c>
      <c r="M283" s="3" t="s">
        <v>290</v>
      </c>
      <c r="N283" s="3">
        <v>20</v>
      </c>
      <c r="O283" s="3" t="s">
        <v>81</v>
      </c>
      <c r="P283" s="3" t="s">
        <v>31</v>
      </c>
      <c r="Q283" s="4">
        <v>4</v>
      </c>
      <c r="R283" s="4" t="str">
        <f>IF(Table1[[#This Row],[Customer Ratings]]&gt;=4, "Good",IF(Table1[[#This Row],[Customer Ratings]]=3, "Average","Poor"))</f>
        <v>Good</v>
      </c>
      <c r="S283" s="3" t="s">
        <v>22</v>
      </c>
    </row>
    <row r="284" spans="1:19" x14ac:dyDescent="0.25">
      <c r="A284" s="3">
        <v>283</v>
      </c>
      <c r="B284" s="5">
        <f>DATE(Table1[[#This Row],[Year]],Table1[[#This Row],[Month]],Table1[[#This Row],[Day]])</f>
        <v>44558</v>
      </c>
      <c r="C284" s="3">
        <v>28</v>
      </c>
      <c r="D284" s="3">
        <v>12</v>
      </c>
      <c r="E284" s="3">
        <v>2021</v>
      </c>
      <c r="F284" s="3" t="str">
        <f>"Qtr"&amp; " " &amp;CHOOSE(MONTH(Table1[[#This Row],[Date]]),1,1,1,2,2,2,3,3,3,4,4,4)</f>
        <v>Qtr 4</v>
      </c>
      <c r="G284" s="3" t="str">
        <f>TEXT(Table1[[#This Row],[Date]],"mmmm")</f>
        <v>December</v>
      </c>
      <c r="H284" s="3" t="s">
        <v>1082</v>
      </c>
      <c r="I284" s="3" t="s">
        <v>28</v>
      </c>
      <c r="J284" s="3">
        <v>7</v>
      </c>
      <c r="K284" s="3">
        <v>36510.94</v>
      </c>
      <c r="L284" s="3">
        <f>Table1[[#This Row],[Price Per Unit]]*Table1[[#This Row],[Units Sold]]</f>
        <v>255576.58000000002</v>
      </c>
      <c r="M284" s="3" t="s">
        <v>291</v>
      </c>
      <c r="N284" s="3">
        <v>21</v>
      </c>
      <c r="O284" s="3" t="s">
        <v>54</v>
      </c>
      <c r="P284" s="3" t="s">
        <v>21</v>
      </c>
      <c r="Q284" s="4">
        <v>3</v>
      </c>
      <c r="R284" s="4" t="str">
        <f>IF(Table1[[#This Row],[Customer Ratings]]&gt;=4, "Good",IF(Table1[[#This Row],[Customer Ratings]]=3, "Average","Poor"))</f>
        <v>Average</v>
      </c>
      <c r="S284" s="3" t="s">
        <v>38</v>
      </c>
    </row>
    <row r="285" spans="1:19" x14ac:dyDescent="0.25">
      <c r="A285" s="3">
        <v>284</v>
      </c>
      <c r="B285" s="5">
        <f>DATE(Table1[[#This Row],[Year]],Table1[[#This Row],[Month]],Table1[[#This Row],[Day]])</f>
        <v>44558</v>
      </c>
      <c r="C285" s="3">
        <v>28</v>
      </c>
      <c r="D285" s="3">
        <v>12</v>
      </c>
      <c r="E285" s="3">
        <v>2021</v>
      </c>
      <c r="F285" s="3" t="str">
        <f>"Qtr"&amp; " " &amp;CHOOSE(MONTH(Table1[[#This Row],[Date]]),1,1,1,2,2,2,3,3,3,4,4,4)</f>
        <v>Qtr 4</v>
      </c>
      <c r="G285" s="3" t="str">
        <f>TEXT(Table1[[#This Row],[Date]],"mmmm")</f>
        <v>December</v>
      </c>
      <c r="H285" s="3" t="s">
        <v>1082</v>
      </c>
      <c r="I285" s="3" t="s">
        <v>28</v>
      </c>
      <c r="J285" s="3">
        <v>3</v>
      </c>
      <c r="K285" s="3">
        <v>56241.52</v>
      </c>
      <c r="L285" s="3">
        <f>Table1[[#This Row],[Price Per Unit]]*Table1[[#This Row],[Units Sold]]</f>
        <v>168724.56</v>
      </c>
      <c r="M285" s="3" t="s">
        <v>292</v>
      </c>
      <c r="N285" s="3">
        <v>47</v>
      </c>
      <c r="O285" s="3" t="s">
        <v>105</v>
      </c>
      <c r="P285" s="3" t="s">
        <v>31</v>
      </c>
      <c r="Q285" s="4">
        <v>5</v>
      </c>
      <c r="R285" s="4" t="str">
        <f>IF(Table1[[#This Row],[Customer Ratings]]&gt;=4, "Good",IF(Table1[[#This Row],[Customer Ratings]]=3, "Average","Poor"))</f>
        <v>Good</v>
      </c>
      <c r="S285" s="3" t="s">
        <v>38</v>
      </c>
    </row>
    <row r="286" spans="1:19" x14ac:dyDescent="0.25">
      <c r="A286" s="3">
        <v>285</v>
      </c>
      <c r="B286" s="5">
        <f>DATE(Table1[[#This Row],[Year]],Table1[[#This Row],[Month]],Table1[[#This Row],[Day]])</f>
        <v>44558</v>
      </c>
      <c r="C286" s="3">
        <v>28</v>
      </c>
      <c r="D286" s="3">
        <v>12</v>
      </c>
      <c r="E286" s="3">
        <v>2021</v>
      </c>
      <c r="F286" s="3" t="str">
        <f>"Qtr"&amp; " " &amp;CHOOSE(MONTH(Table1[[#This Row],[Date]]),1,1,1,2,2,2,3,3,3,4,4,4)</f>
        <v>Qtr 4</v>
      </c>
      <c r="G286" s="3" t="str">
        <f>TEXT(Table1[[#This Row],[Date]],"mmmm")</f>
        <v>December</v>
      </c>
      <c r="H286" s="3" t="s">
        <v>1082</v>
      </c>
      <c r="I286" s="3" t="s">
        <v>13</v>
      </c>
      <c r="J286" s="3">
        <v>3</v>
      </c>
      <c r="K286" s="3">
        <v>25840.77</v>
      </c>
      <c r="L286" s="3">
        <f>Table1[[#This Row],[Price Per Unit]]*Table1[[#This Row],[Units Sold]]</f>
        <v>77522.31</v>
      </c>
      <c r="M286" s="3" t="s">
        <v>293</v>
      </c>
      <c r="N286" s="3">
        <v>30</v>
      </c>
      <c r="O286" s="3" t="s">
        <v>20</v>
      </c>
      <c r="P286" s="3" t="s">
        <v>16</v>
      </c>
      <c r="Q286" s="4">
        <v>5</v>
      </c>
      <c r="R286" s="4" t="str">
        <f>IF(Table1[[#This Row],[Customer Ratings]]&gt;=4, "Good",IF(Table1[[#This Row],[Customer Ratings]]=3, "Average","Poor"))</f>
        <v>Good</v>
      </c>
      <c r="S286" s="3" t="s">
        <v>27</v>
      </c>
    </row>
    <row r="287" spans="1:19" x14ac:dyDescent="0.25">
      <c r="A287" s="3">
        <v>286</v>
      </c>
      <c r="B287" s="5">
        <f>DATE(Table1[[#This Row],[Year]],Table1[[#This Row],[Month]],Table1[[#This Row],[Day]])</f>
        <v>44559</v>
      </c>
      <c r="C287" s="3">
        <v>29</v>
      </c>
      <c r="D287" s="3">
        <v>12</v>
      </c>
      <c r="E287" s="3">
        <v>2021</v>
      </c>
      <c r="F287" s="3" t="str">
        <f>"Qtr"&amp; " " &amp;CHOOSE(MONTH(Table1[[#This Row],[Date]]),1,1,1,2,2,2,3,3,3,4,4,4)</f>
        <v>Qtr 4</v>
      </c>
      <c r="G287" s="3" t="str">
        <f>TEXT(Table1[[#This Row],[Date]],"mmmm")</f>
        <v>December</v>
      </c>
      <c r="H287" s="3" t="s">
        <v>1083</v>
      </c>
      <c r="I287" s="3" t="s">
        <v>18</v>
      </c>
      <c r="J287" s="3">
        <v>1</v>
      </c>
      <c r="K287" s="3">
        <v>10323.91</v>
      </c>
      <c r="L287" s="3">
        <f>Table1[[#This Row],[Price Per Unit]]*Table1[[#This Row],[Units Sold]]</f>
        <v>10323.91</v>
      </c>
      <c r="M287" s="3" t="s">
        <v>202</v>
      </c>
      <c r="N287" s="3">
        <v>38</v>
      </c>
      <c r="O287" s="3" t="s">
        <v>137</v>
      </c>
      <c r="P287" s="3" t="s">
        <v>21</v>
      </c>
      <c r="Q287" s="4">
        <v>3</v>
      </c>
      <c r="R287" s="4" t="str">
        <f>IF(Table1[[#This Row],[Customer Ratings]]&gt;=4, "Good",IF(Table1[[#This Row],[Customer Ratings]]=3, "Average","Poor"))</f>
        <v>Average</v>
      </c>
      <c r="S287" s="3" t="s">
        <v>25</v>
      </c>
    </row>
    <row r="288" spans="1:19" x14ac:dyDescent="0.25">
      <c r="A288" s="3">
        <v>287</v>
      </c>
      <c r="B288" s="5">
        <f>DATE(Table1[[#This Row],[Year]],Table1[[#This Row],[Month]],Table1[[#This Row],[Day]])</f>
        <v>44559</v>
      </c>
      <c r="C288" s="3">
        <v>29</v>
      </c>
      <c r="D288" s="3">
        <v>12</v>
      </c>
      <c r="E288" s="3">
        <v>2021</v>
      </c>
      <c r="F288" s="3" t="str">
        <f>"Qtr"&amp; " " &amp;CHOOSE(MONTH(Table1[[#This Row],[Date]]),1,1,1,2,2,2,3,3,3,4,4,4)</f>
        <v>Qtr 4</v>
      </c>
      <c r="G288" s="3" t="str">
        <f>TEXT(Table1[[#This Row],[Date]],"mmmm")</f>
        <v>December</v>
      </c>
      <c r="H288" s="3" t="s">
        <v>1083</v>
      </c>
      <c r="I288" s="3" t="s">
        <v>18</v>
      </c>
      <c r="J288" s="3">
        <v>3</v>
      </c>
      <c r="K288" s="3">
        <v>50110.29</v>
      </c>
      <c r="L288" s="3">
        <f>Table1[[#This Row],[Price Per Unit]]*Table1[[#This Row],[Units Sold]]</f>
        <v>150330.87</v>
      </c>
      <c r="M288" s="3" t="s">
        <v>294</v>
      </c>
      <c r="N288" s="3">
        <v>58</v>
      </c>
      <c r="O288" s="3" t="s">
        <v>35</v>
      </c>
      <c r="P288" s="3" t="s">
        <v>21</v>
      </c>
      <c r="Q288" s="4">
        <v>5</v>
      </c>
      <c r="R288" s="4" t="str">
        <f>IF(Table1[[#This Row],[Customer Ratings]]&gt;=4, "Good",IF(Table1[[#This Row],[Customer Ratings]]=3, "Average","Poor"))</f>
        <v>Good</v>
      </c>
      <c r="S288" s="3" t="s">
        <v>22</v>
      </c>
    </row>
    <row r="289" spans="1:19" x14ac:dyDescent="0.25">
      <c r="A289" s="3">
        <v>288</v>
      </c>
      <c r="B289" s="5">
        <f>DATE(Table1[[#This Row],[Year]],Table1[[#This Row],[Month]],Table1[[#This Row],[Day]])</f>
        <v>44559</v>
      </c>
      <c r="C289" s="3">
        <v>29</v>
      </c>
      <c r="D289" s="3">
        <v>12</v>
      </c>
      <c r="E289" s="3">
        <v>2021</v>
      </c>
      <c r="F289" s="3" t="str">
        <f>"Qtr"&amp; " " &amp;CHOOSE(MONTH(Table1[[#This Row],[Date]]),1,1,1,2,2,2,3,3,3,4,4,4)</f>
        <v>Qtr 4</v>
      </c>
      <c r="G289" s="3" t="str">
        <f>TEXT(Table1[[#This Row],[Date]],"mmmm")</f>
        <v>December</v>
      </c>
      <c r="H289" s="3" t="s">
        <v>1083</v>
      </c>
      <c r="I289" s="3" t="s">
        <v>39</v>
      </c>
      <c r="J289" s="3">
        <v>3</v>
      </c>
      <c r="K289" s="3">
        <v>68357.600000000006</v>
      </c>
      <c r="L289" s="3">
        <f>Table1[[#This Row],[Price Per Unit]]*Table1[[#This Row],[Units Sold]]</f>
        <v>205072.80000000002</v>
      </c>
      <c r="M289" s="3" t="s">
        <v>295</v>
      </c>
      <c r="N289" s="3">
        <v>36</v>
      </c>
      <c r="O289" s="3" t="s">
        <v>52</v>
      </c>
      <c r="P289" s="3" t="s">
        <v>31</v>
      </c>
      <c r="Q289" s="4">
        <v>3</v>
      </c>
      <c r="R289" s="4" t="str">
        <f>IF(Table1[[#This Row],[Customer Ratings]]&gt;=4, "Good",IF(Table1[[#This Row],[Customer Ratings]]=3, "Average","Poor"))</f>
        <v>Average</v>
      </c>
      <c r="S289" s="3" t="s">
        <v>42</v>
      </c>
    </row>
    <row r="290" spans="1:19" x14ac:dyDescent="0.25">
      <c r="A290" s="3">
        <v>289</v>
      </c>
      <c r="B290" s="5">
        <f>DATE(Table1[[#This Row],[Year]],Table1[[#This Row],[Month]],Table1[[#This Row],[Day]])</f>
        <v>44559</v>
      </c>
      <c r="C290" s="3">
        <v>29</v>
      </c>
      <c r="D290" s="3">
        <v>12</v>
      </c>
      <c r="E290" s="3">
        <v>2021</v>
      </c>
      <c r="F290" s="3" t="str">
        <f>"Qtr"&amp; " " &amp;CHOOSE(MONTH(Table1[[#This Row],[Date]]),1,1,1,2,2,2,3,3,3,4,4,4)</f>
        <v>Qtr 4</v>
      </c>
      <c r="G290" s="3" t="str">
        <f>TEXT(Table1[[#This Row],[Date]],"mmmm")</f>
        <v>December</v>
      </c>
      <c r="H290" s="3" t="s">
        <v>1083</v>
      </c>
      <c r="I290" s="3" t="s">
        <v>28</v>
      </c>
      <c r="J290" s="3">
        <v>4</v>
      </c>
      <c r="K290" s="3">
        <v>46409.59</v>
      </c>
      <c r="L290" s="3">
        <f>Table1[[#This Row],[Price Per Unit]]*Table1[[#This Row],[Units Sold]]</f>
        <v>185638.36</v>
      </c>
      <c r="M290" s="3" t="s">
        <v>296</v>
      </c>
      <c r="N290" s="3">
        <v>56</v>
      </c>
      <c r="O290" s="3" t="s">
        <v>81</v>
      </c>
      <c r="P290" s="3" t="s">
        <v>31</v>
      </c>
      <c r="Q290" s="4">
        <v>5</v>
      </c>
      <c r="R290" s="4" t="str">
        <f>IF(Table1[[#This Row],[Customer Ratings]]&gt;=4, "Good",IF(Table1[[#This Row],[Customer Ratings]]=3, "Average","Poor"))</f>
        <v>Good</v>
      </c>
      <c r="S290" s="3" t="s">
        <v>38</v>
      </c>
    </row>
    <row r="291" spans="1:19" x14ac:dyDescent="0.25">
      <c r="A291" s="3">
        <v>290</v>
      </c>
      <c r="B291" s="5">
        <f>DATE(Table1[[#This Row],[Year]],Table1[[#This Row],[Month]],Table1[[#This Row],[Day]])</f>
        <v>44560</v>
      </c>
      <c r="C291" s="3">
        <v>30</v>
      </c>
      <c r="D291" s="3">
        <v>12</v>
      </c>
      <c r="E291" s="3">
        <v>2021</v>
      </c>
      <c r="F291" s="3" t="str">
        <f>"Qtr"&amp; " " &amp;CHOOSE(MONTH(Table1[[#This Row],[Date]]),1,1,1,2,2,2,3,3,3,4,4,4)</f>
        <v>Qtr 4</v>
      </c>
      <c r="G291" s="3" t="str">
        <f>TEXT(Table1[[#This Row],[Date]],"mmmm")</f>
        <v>December</v>
      </c>
      <c r="H291" s="3" t="s">
        <v>1084</v>
      </c>
      <c r="I291" s="3" t="s">
        <v>18</v>
      </c>
      <c r="J291" s="3">
        <v>4</v>
      </c>
      <c r="K291" s="3">
        <v>17195.310000000001</v>
      </c>
      <c r="L291" s="3">
        <f>Table1[[#This Row],[Price Per Unit]]*Table1[[#This Row],[Units Sold]]</f>
        <v>68781.240000000005</v>
      </c>
      <c r="M291" s="3" t="s">
        <v>297</v>
      </c>
      <c r="N291" s="3">
        <v>39</v>
      </c>
      <c r="O291" s="3" t="s">
        <v>20</v>
      </c>
      <c r="P291" s="3" t="s">
        <v>16</v>
      </c>
      <c r="Q291" s="4">
        <v>5</v>
      </c>
      <c r="R291" s="4" t="str">
        <f>IF(Table1[[#This Row],[Customer Ratings]]&gt;=4, "Good",IF(Table1[[#This Row],[Customer Ratings]]=3, "Average","Poor"))</f>
        <v>Good</v>
      </c>
      <c r="S291" s="3" t="s">
        <v>25</v>
      </c>
    </row>
    <row r="292" spans="1:19" x14ac:dyDescent="0.25">
      <c r="A292" s="3">
        <v>291</v>
      </c>
      <c r="B292" s="5">
        <f>DATE(Table1[[#This Row],[Year]],Table1[[#This Row],[Month]],Table1[[#This Row],[Day]])</f>
        <v>44560</v>
      </c>
      <c r="C292" s="3">
        <v>30</v>
      </c>
      <c r="D292" s="3">
        <v>12</v>
      </c>
      <c r="E292" s="3">
        <v>2021</v>
      </c>
      <c r="F292" s="3" t="str">
        <f>"Qtr"&amp; " " &amp;CHOOSE(MONTH(Table1[[#This Row],[Date]]),1,1,1,2,2,2,3,3,3,4,4,4)</f>
        <v>Qtr 4</v>
      </c>
      <c r="G292" s="3" t="str">
        <f>TEXT(Table1[[#This Row],[Date]],"mmmm")</f>
        <v>December</v>
      </c>
      <c r="H292" s="3" t="s">
        <v>1084</v>
      </c>
      <c r="I292" s="3" t="s">
        <v>13</v>
      </c>
      <c r="J292" s="3">
        <v>3</v>
      </c>
      <c r="K292" s="3">
        <v>29243.99</v>
      </c>
      <c r="L292" s="3">
        <f>Table1[[#This Row],[Price Per Unit]]*Table1[[#This Row],[Units Sold]]</f>
        <v>87731.97</v>
      </c>
      <c r="M292" s="3" t="s">
        <v>123</v>
      </c>
      <c r="N292" s="3">
        <v>37</v>
      </c>
      <c r="O292" s="3" t="s">
        <v>24</v>
      </c>
      <c r="P292" s="3" t="s">
        <v>45</v>
      </c>
      <c r="Q292" s="4">
        <v>3</v>
      </c>
      <c r="R292" s="4" t="str">
        <f>IF(Table1[[#This Row],[Customer Ratings]]&gt;=4, "Good",IF(Table1[[#This Row],[Customer Ratings]]=3, "Average","Poor"))</f>
        <v>Average</v>
      </c>
      <c r="S292" s="3" t="s">
        <v>27</v>
      </c>
    </row>
    <row r="293" spans="1:19" x14ac:dyDescent="0.25">
      <c r="A293" s="3">
        <v>292</v>
      </c>
      <c r="B293" s="5">
        <f>DATE(Table1[[#This Row],[Year]],Table1[[#This Row],[Month]],Table1[[#This Row],[Day]])</f>
        <v>44560</v>
      </c>
      <c r="C293" s="3">
        <v>30</v>
      </c>
      <c r="D293" s="3">
        <v>12</v>
      </c>
      <c r="E293" s="3">
        <v>2021</v>
      </c>
      <c r="F293" s="3" t="str">
        <f>"Qtr"&amp; " " &amp;CHOOSE(MONTH(Table1[[#This Row],[Date]]),1,1,1,2,2,2,3,3,3,4,4,4)</f>
        <v>Qtr 4</v>
      </c>
      <c r="G293" s="3" t="str">
        <f>TEXT(Table1[[#This Row],[Date]],"mmmm")</f>
        <v>December</v>
      </c>
      <c r="H293" s="3" t="s">
        <v>1084</v>
      </c>
      <c r="I293" s="3" t="s">
        <v>13</v>
      </c>
      <c r="J293" s="3">
        <v>8</v>
      </c>
      <c r="K293" s="3">
        <v>62058.5</v>
      </c>
      <c r="L293" s="3">
        <f>Table1[[#This Row],[Price Per Unit]]*Table1[[#This Row],[Units Sold]]</f>
        <v>496468</v>
      </c>
      <c r="M293" s="3" t="s">
        <v>298</v>
      </c>
      <c r="N293" s="3">
        <v>54</v>
      </c>
      <c r="O293" s="3" t="s">
        <v>30</v>
      </c>
      <c r="P293" s="3" t="s">
        <v>21</v>
      </c>
      <c r="Q293" s="4">
        <v>5</v>
      </c>
      <c r="R293" s="4" t="str">
        <f>IF(Table1[[#This Row],[Customer Ratings]]&gt;=4, "Good",IF(Table1[[#This Row],[Customer Ratings]]=3, "Average","Poor"))</f>
        <v>Good</v>
      </c>
      <c r="S293" s="3" t="s">
        <v>72</v>
      </c>
    </row>
    <row r="294" spans="1:19" x14ac:dyDescent="0.25">
      <c r="A294" s="3">
        <v>293</v>
      </c>
      <c r="B294" s="5">
        <f>DATE(Table1[[#This Row],[Year]],Table1[[#This Row],[Month]],Table1[[#This Row],[Day]])</f>
        <v>44561</v>
      </c>
      <c r="C294" s="3">
        <v>31</v>
      </c>
      <c r="D294" s="3">
        <v>12</v>
      </c>
      <c r="E294" s="3">
        <v>2021</v>
      </c>
      <c r="F294" s="3" t="str">
        <f>"Qtr"&amp; " " &amp;CHOOSE(MONTH(Table1[[#This Row],[Date]]),1,1,1,2,2,2,3,3,3,4,4,4)</f>
        <v>Qtr 4</v>
      </c>
      <c r="G294" s="3" t="str">
        <f>TEXT(Table1[[#This Row],[Date]],"mmmm")</f>
        <v>December</v>
      </c>
      <c r="H294" s="3" t="s">
        <v>1085</v>
      </c>
      <c r="I294" s="3" t="s">
        <v>18</v>
      </c>
      <c r="J294" s="3">
        <v>8</v>
      </c>
      <c r="K294" s="3">
        <v>23954.080000000002</v>
      </c>
      <c r="L294" s="3">
        <f>Table1[[#This Row],[Price Per Unit]]*Table1[[#This Row],[Units Sold]]</f>
        <v>191632.64000000001</v>
      </c>
      <c r="M294" s="3" t="s">
        <v>299</v>
      </c>
      <c r="N294" s="3">
        <v>48</v>
      </c>
      <c r="O294" s="3" t="s">
        <v>41</v>
      </c>
      <c r="P294" s="3" t="s">
        <v>45</v>
      </c>
      <c r="Q294" s="4">
        <v>5</v>
      </c>
      <c r="R294" s="4" t="str">
        <f>IF(Table1[[#This Row],[Customer Ratings]]&gt;=4, "Good",IF(Table1[[#This Row],[Customer Ratings]]=3, "Average","Poor"))</f>
        <v>Good</v>
      </c>
      <c r="S294" s="3" t="s">
        <v>55</v>
      </c>
    </row>
    <row r="295" spans="1:19" x14ac:dyDescent="0.25">
      <c r="A295" s="3">
        <v>294</v>
      </c>
      <c r="B295" s="5">
        <f>DATE(Table1[[#This Row],[Year]],Table1[[#This Row],[Month]],Table1[[#This Row],[Day]])</f>
        <v>44561</v>
      </c>
      <c r="C295" s="3">
        <v>31</v>
      </c>
      <c r="D295" s="3">
        <v>12</v>
      </c>
      <c r="E295" s="3">
        <v>2021</v>
      </c>
      <c r="F295" s="3" t="str">
        <f>"Qtr"&amp; " " &amp;CHOOSE(MONTH(Table1[[#This Row],[Date]]),1,1,1,2,2,2,3,3,3,4,4,4)</f>
        <v>Qtr 4</v>
      </c>
      <c r="G295" s="3" t="str">
        <f>TEXT(Table1[[#This Row],[Date]],"mmmm")</f>
        <v>December</v>
      </c>
      <c r="H295" s="3" t="s">
        <v>1085</v>
      </c>
      <c r="I295" s="3" t="s">
        <v>28</v>
      </c>
      <c r="J295" s="3">
        <v>1</v>
      </c>
      <c r="K295" s="3">
        <v>46461.75</v>
      </c>
      <c r="L295" s="3">
        <f>Table1[[#This Row],[Price Per Unit]]*Table1[[#This Row],[Units Sold]]</f>
        <v>46461.75</v>
      </c>
      <c r="M295" s="3" t="s">
        <v>300</v>
      </c>
      <c r="N295" s="3">
        <v>27</v>
      </c>
      <c r="O295" s="3" t="s">
        <v>137</v>
      </c>
      <c r="P295" s="3" t="s">
        <v>31</v>
      </c>
      <c r="Q295" s="4">
        <v>5</v>
      </c>
      <c r="R295" s="4" t="str">
        <f>IF(Table1[[#This Row],[Customer Ratings]]&gt;=4, "Good",IF(Table1[[#This Row],[Customer Ratings]]=3, "Average","Poor"))</f>
        <v>Good</v>
      </c>
      <c r="S295" s="3" t="s">
        <v>38</v>
      </c>
    </row>
    <row r="296" spans="1:19" x14ac:dyDescent="0.25">
      <c r="A296" s="3">
        <v>295</v>
      </c>
      <c r="B296" s="5">
        <f>DATE(Table1[[#This Row],[Year]],Table1[[#This Row],[Month]],Table1[[#This Row],[Day]])</f>
        <v>44561</v>
      </c>
      <c r="C296" s="3">
        <v>31</v>
      </c>
      <c r="D296" s="3">
        <v>12</v>
      </c>
      <c r="E296" s="3">
        <v>2021</v>
      </c>
      <c r="F296" s="3" t="str">
        <f>"Qtr"&amp; " " &amp;CHOOSE(MONTH(Table1[[#This Row],[Date]]),1,1,1,2,2,2,3,3,3,4,4,4)</f>
        <v>Qtr 4</v>
      </c>
      <c r="G296" s="3" t="str">
        <f>TEXT(Table1[[#This Row],[Date]],"mmmm")</f>
        <v>December</v>
      </c>
      <c r="H296" s="3" t="s">
        <v>1085</v>
      </c>
      <c r="I296" s="3" t="s">
        <v>13</v>
      </c>
      <c r="J296" s="3">
        <v>7</v>
      </c>
      <c r="K296" s="3">
        <v>34160.269999999997</v>
      </c>
      <c r="L296" s="3">
        <f>Table1[[#This Row],[Price Per Unit]]*Table1[[#This Row],[Units Sold]]</f>
        <v>239121.88999999998</v>
      </c>
      <c r="M296" s="3" t="s">
        <v>221</v>
      </c>
      <c r="N296" s="3">
        <v>35</v>
      </c>
      <c r="O296" s="3" t="s">
        <v>81</v>
      </c>
      <c r="P296" s="3" t="s">
        <v>21</v>
      </c>
      <c r="Q296" s="4">
        <v>5</v>
      </c>
      <c r="R296" s="4" t="str">
        <f>IF(Table1[[#This Row],[Customer Ratings]]&gt;=4, "Good",IF(Table1[[#This Row],[Customer Ratings]]=3, "Average","Poor"))</f>
        <v>Good</v>
      </c>
      <c r="S296" s="3" t="s">
        <v>72</v>
      </c>
    </row>
    <row r="297" spans="1:19" x14ac:dyDescent="0.25">
      <c r="A297" s="3">
        <v>296</v>
      </c>
      <c r="B297" s="5">
        <f>DATE(Table1[[#This Row],[Year]],Table1[[#This Row],[Month]],Table1[[#This Row],[Day]])</f>
        <v>44561</v>
      </c>
      <c r="C297" s="3">
        <v>31</v>
      </c>
      <c r="D297" s="3">
        <v>12</v>
      </c>
      <c r="E297" s="3">
        <v>2021</v>
      </c>
      <c r="F297" s="3" t="str">
        <f>"Qtr"&amp; " " &amp;CHOOSE(MONTH(Table1[[#This Row],[Date]]),1,1,1,2,2,2,3,3,3,4,4,4)</f>
        <v>Qtr 4</v>
      </c>
      <c r="G297" s="3" t="str">
        <f>TEXT(Table1[[#This Row],[Date]],"mmmm")</f>
        <v>December</v>
      </c>
      <c r="H297" s="3" t="s">
        <v>1085</v>
      </c>
      <c r="I297" s="3" t="s">
        <v>39</v>
      </c>
      <c r="J297" s="3">
        <v>2</v>
      </c>
      <c r="K297" s="3">
        <v>22470.62</v>
      </c>
      <c r="L297" s="3">
        <f>Table1[[#This Row],[Price Per Unit]]*Table1[[#This Row],[Units Sold]]</f>
        <v>44941.24</v>
      </c>
      <c r="M297" s="3" t="s">
        <v>301</v>
      </c>
      <c r="N297" s="3">
        <v>56</v>
      </c>
      <c r="O297" s="3" t="s">
        <v>52</v>
      </c>
      <c r="P297" s="3" t="s">
        <v>45</v>
      </c>
      <c r="Q297" s="4">
        <v>3</v>
      </c>
      <c r="R297" s="4" t="str">
        <f>IF(Table1[[#This Row],[Customer Ratings]]&gt;=4, "Good",IF(Table1[[#This Row],[Customer Ratings]]=3, "Average","Poor"))</f>
        <v>Average</v>
      </c>
      <c r="S297" s="3" t="s">
        <v>76</v>
      </c>
    </row>
    <row r="298" spans="1:19" x14ac:dyDescent="0.25">
      <c r="A298" s="3">
        <v>297</v>
      </c>
      <c r="B298" s="5">
        <f>DATE(Table1[[#This Row],[Year]],Table1[[#This Row],[Month]],Table1[[#This Row],[Day]])</f>
        <v>44562</v>
      </c>
      <c r="C298" s="3">
        <v>1</v>
      </c>
      <c r="D298" s="3">
        <v>1</v>
      </c>
      <c r="E298" s="3">
        <v>2022</v>
      </c>
      <c r="F298" s="3" t="str">
        <f>"Qtr"&amp; " " &amp;CHOOSE(MONTH(Table1[[#This Row],[Date]]),1,1,1,2,2,2,3,3,3,4,4,4)</f>
        <v>Qtr 1</v>
      </c>
      <c r="G298" s="3" t="str">
        <f>TEXT(Table1[[#This Row],[Date]],"mmmm")</f>
        <v>January</v>
      </c>
      <c r="H298" s="3" t="s">
        <v>1079</v>
      </c>
      <c r="I298" s="3" t="s">
        <v>13</v>
      </c>
      <c r="J298" s="3">
        <v>1</v>
      </c>
      <c r="K298" s="3">
        <v>58804.41</v>
      </c>
      <c r="L298" s="3">
        <f>Table1[[#This Row],[Price Per Unit]]*Table1[[#This Row],[Units Sold]]</f>
        <v>58804.41</v>
      </c>
      <c r="M298" s="3" t="s">
        <v>302</v>
      </c>
      <c r="N298" s="3">
        <v>37</v>
      </c>
      <c r="O298" s="3" t="s">
        <v>102</v>
      </c>
      <c r="P298" s="3" t="s">
        <v>16</v>
      </c>
      <c r="Q298" s="4">
        <v>5</v>
      </c>
      <c r="R298" s="4" t="str">
        <f>IF(Table1[[#This Row],[Customer Ratings]]&gt;=4, "Good",IF(Table1[[#This Row],[Customer Ratings]]=3, "Average","Poor"))</f>
        <v>Good</v>
      </c>
      <c r="S298" s="3" t="s">
        <v>27</v>
      </c>
    </row>
    <row r="299" spans="1:19" x14ac:dyDescent="0.25">
      <c r="A299" s="3">
        <v>298</v>
      </c>
      <c r="B299" s="5">
        <f>DATE(Table1[[#This Row],[Year]],Table1[[#This Row],[Month]],Table1[[#This Row],[Day]])</f>
        <v>44562</v>
      </c>
      <c r="C299" s="3">
        <v>1</v>
      </c>
      <c r="D299" s="3">
        <v>1</v>
      </c>
      <c r="E299" s="3">
        <v>2022</v>
      </c>
      <c r="F299" s="3" t="str">
        <f>"Qtr"&amp; " " &amp;CHOOSE(MONTH(Table1[[#This Row],[Date]]),1,1,1,2,2,2,3,3,3,4,4,4)</f>
        <v>Qtr 1</v>
      </c>
      <c r="G299" s="3" t="str">
        <f>TEXT(Table1[[#This Row],[Date]],"mmmm")</f>
        <v>January</v>
      </c>
      <c r="H299" s="3" t="s">
        <v>1079</v>
      </c>
      <c r="I299" s="3" t="s">
        <v>33</v>
      </c>
      <c r="J299" s="3">
        <v>3</v>
      </c>
      <c r="K299" s="3">
        <v>54569.88</v>
      </c>
      <c r="L299" s="3">
        <f>Table1[[#This Row],[Price Per Unit]]*Table1[[#This Row],[Units Sold]]</f>
        <v>163709.63999999998</v>
      </c>
      <c r="M299" s="3" t="s">
        <v>303</v>
      </c>
      <c r="N299" s="3">
        <v>35</v>
      </c>
      <c r="O299" s="3" t="s">
        <v>20</v>
      </c>
      <c r="P299" s="3" t="s">
        <v>16</v>
      </c>
      <c r="Q299" s="4">
        <v>5</v>
      </c>
      <c r="R299" s="4" t="str">
        <f>IF(Table1[[#This Row],[Customer Ratings]]&gt;=4, "Good",IF(Table1[[#This Row],[Customer Ratings]]=3, "Average","Poor"))</f>
        <v>Good</v>
      </c>
      <c r="S299" s="3" t="s">
        <v>83</v>
      </c>
    </row>
    <row r="300" spans="1:19" x14ac:dyDescent="0.25">
      <c r="A300" s="3">
        <v>299</v>
      </c>
      <c r="B300" s="5">
        <f>DATE(Table1[[#This Row],[Year]],Table1[[#This Row],[Month]],Table1[[#This Row],[Day]])</f>
        <v>44562</v>
      </c>
      <c r="C300" s="3">
        <v>1</v>
      </c>
      <c r="D300" s="3">
        <v>1</v>
      </c>
      <c r="E300" s="3">
        <v>2022</v>
      </c>
      <c r="F300" s="3" t="str">
        <f>"Qtr"&amp; " " &amp;CHOOSE(MONTH(Table1[[#This Row],[Date]]),1,1,1,2,2,2,3,3,3,4,4,4)</f>
        <v>Qtr 1</v>
      </c>
      <c r="G300" s="3" t="str">
        <f>TEXT(Table1[[#This Row],[Date]],"mmmm")</f>
        <v>January</v>
      </c>
      <c r="H300" s="3" t="s">
        <v>1079</v>
      </c>
      <c r="I300" s="3" t="s">
        <v>33</v>
      </c>
      <c r="J300" s="3">
        <v>4</v>
      </c>
      <c r="K300" s="3">
        <v>49695.46</v>
      </c>
      <c r="L300" s="3">
        <f>Table1[[#This Row],[Price Per Unit]]*Table1[[#This Row],[Units Sold]]</f>
        <v>198781.84</v>
      </c>
      <c r="M300" s="3" t="s">
        <v>304</v>
      </c>
      <c r="N300" s="3">
        <v>28</v>
      </c>
      <c r="O300" s="3" t="s">
        <v>65</v>
      </c>
      <c r="P300" s="3" t="s">
        <v>16</v>
      </c>
      <c r="Q300" s="4">
        <v>4</v>
      </c>
      <c r="R300" s="4" t="str">
        <f>IF(Table1[[#This Row],[Customer Ratings]]&gt;=4, "Good",IF(Table1[[#This Row],[Customer Ratings]]=3, "Average","Poor"))</f>
        <v>Good</v>
      </c>
      <c r="S300" s="3" t="s">
        <v>83</v>
      </c>
    </row>
    <row r="301" spans="1:19" x14ac:dyDescent="0.25">
      <c r="A301" s="3">
        <v>300</v>
      </c>
      <c r="B301" s="5">
        <f>DATE(Table1[[#This Row],[Year]],Table1[[#This Row],[Month]],Table1[[#This Row],[Day]])</f>
        <v>44563</v>
      </c>
      <c r="C301" s="3">
        <v>2</v>
      </c>
      <c r="D301" s="3">
        <v>1</v>
      </c>
      <c r="E301" s="3">
        <v>2022</v>
      </c>
      <c r="F301" s="3" t="str">
        <f>"Qtr"&amp; " " &amp;CHOOSE(MONTH(Table1[[#This Row],[Date]]),1,1,1,2,2,2,3,3,3,4,4,4)</f>
        <v>Qtr 1</v>
      </c>
      <c r="G301" s="3" t="str">
        <f>TEXT(Table1[[#This Row],[Date]],"mmmm")</f>
        <v>January</v>
      </c>
      <c r="H301" s="3" t="s">
        <v>1080</v>
      </c>
      <c r="I301" s="3" t="s">
        <v>28</v>
      </c>
      <c r="J301" s="3">
        <v>6</v>
      </c>
      <c r="K301" s="3">
        <v>24180.2</v>
      </c>
      <c r="L301" s="3">
        <f>Table1[[#This Row],[Price Per Unit]]*Table1[[#This Row],[Units Sold]]</f>
        <v>145081.20000000001</v>
      </c>
      <c r="M301" s="3" t="s">
        <v>305</v>
      </c>
      <c r="N301" s="3">
        <v>39</v>
      </c>
      <c r="O301" s="3" t="s">
        <v>24</v>
      </c>
      <c r="P301" s="3" t="s">
        <v>21</v>
      </c>
      <c r="Q301" s="4">
        <v>5</v>
      </c>
      <c r="R301" s="4" t="str">
        <f>IF(Table1[[#This Row],[Customer Ratings]]&gt;=4, "Good",IF(Table1[[#This Row],[Customer Ratings]]=3, "Average","Poor"))</f>
        <v>Good</v>
      </c>
      <c r="S301" s="3" t="s">
        <v>38</v>
      </c>
    </row>
    <row r="302" spans="1:19" x14ac:dyDescent="0.25">
      <c r="A302" s="3">
        <v>301</v>
      </c>
      <c r="B302" s="5">
        <f>DATE(Table1[[#This Row],[Year]],Table1[[#This Row],[Month]],Table1[[#This Row],[Day]])</f>
        <v>44563</v>
      </c>
      <c r="C302" s="3">
        <v>2</v>
      </c>
      <c r="D302" s="3">
        <v>1</v>
      </c>
      <c r="E302" s="3">
        <v>2022</v>
      </c>
      <c r="F302" s="3" t="str">
        <f>"Qtr"&amp; " " &amp;CHOOSE(MONTH(Table1[[#This Row],[Date]]),1,1,1,2,2,2,3,3,3,4,4,4)</f>
        <v>Qtr 1</v>
      </c>
      <c r="G302" s="3" t="str">
        <f>TEXT(Table1[[#This Row],[Date]],"mmmm")</f>
        <v>January</v>
      </c>
      <c r="H302" s="3" t="s">
        <v>1080</v>
      </c>
      <c r="I302" s="3" t="s">
        <v>18</v>
      </c>
      <c r="J302" s="3">
        <v>5</v>
      </c>
      <c r="K302" s="3">
        <v>15871.42</v>
      </c>
      <c r="L302" s="3">
        <f>Table1[[#This Row],[Price Per Unit]]*Table1[[#This Row],[Units Sold]]</f>
        <v>79357.100000000006</v>
      </c>
      <c r="M302" s="3" t="s">
        <v>306</v>
      </c>
      <c r="N302" s="3">
        <v>35</v>
      </c>
      <c r="O302" s="3" t="s">
        <v>24</v>
      </c>
      <c r="P302" s="3" t="s">
        <v>21</v>
      </c>
      <c r="Q302" s="4">
        <v>5</v>
      </c>
      <c r="R302" s="4" t="str">
        <f>IF(Table1[[#This Row],[Customer Ratings]]&gt;=4, "Good",IF(Table1[[#This Row],[Customer Ratings]]=3, "Average","Poor"))</f>
        <v>Good</v>
      </c>
      <c r="S302" s="3" t="s">
        <v>25</v>
      </c>
    </row>
    <row r="303" spans="1:19" x14ac:dyDescent="0.25">
      <c r="A303" s="3">
        <v>302</v>
      </c>
      <c r="B303" s="5">
        <f>DATE(Table1[[#This Row],[Year]],Table1[[#This Row],[Month]],Table1[[#This Row],[Day]])</f>
        <v>44563</v>
      </c>
      <c r="C303" s="3">
        <v>2</v>
      </c>
      <c r="D303" s="3">
        <v>1</v>
      </c>
      <c r="E303" s="3">
        <v>2022</v>
      </c>
      <c r="F303" s="3" t="str">
        <f>"Qtr"&amp; " " &amp;CHOOSE(MONTH(Table1[[#This Row],[Date]]),1,1,1,2,2,2,3,3,3,4,4,4)</f>
        <v>Qtr 1</v>
      </c>
      <c r="G303" s="3" t="str">
        <f>TEXT(Table1[[#This Row],[Date]],"mmmm")</f>
        <v>January</v>
      </c>
      <c r="H303" s="3" t="s">
        <v>1080</v>
      </c>
      <c r="I303" s="3" t="s">
        <v>28</v>
      </c>
      <c r="J303" s="3">
        <v>4</v>
      </c>
      <c r="K303" s="3">
        <v>44569.56</v>
      </c>
      <c r="L303" s="3">
        <f>Table1[[#This Row],[Price Per Unit]]*Table1[[#This Row],[Units Sold]]</f>
        <v>178278.24</v>
      </c>
      <c r="M303" s="3" t="s">
        <v>307</v>
      </c>
      <c r="N303" s="3">
        <v>51</v>
      </c>
      <c r="O303" s="3" t="s">
        <v>105</v>
      </c>
      <c r="P303" s="3" t="s">
        <v>21</v>
      </c>
      <c r="Q303" s="4">
        <v>5</v>
      </c>
      <c r="R303" s="4" t="str">
        <f>IF(Table1[[#This Row],[Customer Ratings]]&gt;=4, "Good",IF(Table1[[#This Row],[Customer Ratings]]=3, "Average","Poor"))</f>
        <v>Good</v>
      </c>
      <c r="S303" s="3" t="s">
        <v>87</v>
      </c>
    </row>
    <row r="304" spans="1:19" x14ac:dyDescent="0.25">
      <c r="A304" s="3">
        <v>303</v>
      </c>
      <c r="B304" s="5">
        <f>DATE(Table1[[#This Row],[Year]],Table1[[#This Row],[Month]],Table1[[#This Row],[Day]])</f>
        <v>44564</v>
      </c>
      <c r="C304" s="3">
        <v>3</v>
      </c>
      <c r="D304" s="3">
        <v>1</v>
      </c>
      <c r="E304" s="3">
        <v>2022</v>
      </c>
      <c r="F304" s="3" t="str">
        <f>"Qtr"&amp; " " &amp;CHOOSE(MONTH(Table1[[#This Row],[Date]]),1,1,1,2,2,2,3,3,3,4,4,4)</f>
        <v>Qtr 1</v>
      </c>
      <c r="G304" s="3" t="str">
        <f>TEXT(Table1[[#This Row],[Date]],"mmmm")</f>
        <v>January</v>
      </c>
      <c r="H304" s="3" t="s">
        <v>1081</v>
      </c>
      <c r="I304" s="3" t="s">
        <v>28</v>
      </c>
      <c r="J304" s="3">
        <v>8</v>
      </c>
      <c r="K304" s="3">
        <v>43220.67</v>
      </c>
      <c r="L304" s="3">
        <f>Table1[[#This Row],[Price Per Unit]]*Table1[[#This Row],[Units Sold]]</f>
        <v>345765.36</v>
      </c>
      <c r="M304" s="3" t="s">
        <v>155</v>
      </c>
      <c r="N304" s="3">
        <v>40</v>
      </c>
      <c r="O304" s="3" t="s">
        <v>125</v>
      </c>
      <c r="P304" s="3" t="s">
        <v>21</v>
      </c>
      <c r="Q304" s="4">
        <v>5</v>
      </c>
      <c r="R304" s="4" t="str">
        <f>IF(Table1[[#This Row],[Customer Ratings]]&gt;=4, "Good",IF(Table1[[#This Row],[Customer Ratings]]=3, "Average","Poor"))</f>
        <v>Good</v>
      </c>
      <c r="S304" s="3" t="s">
        <v>32</v>
      </c>
    </row>
    <row r="305" spans="1:19" x14ac:dyDescent="0.25">
      <c r="A305" s="3">
        <v>304</v>
      </c>
      <c r="B305" s="5">
        <f>DATE(Table1[[#This Row],[Year]],Table1[[#This Row],[Month]],Table1[[#This Row],[Day]])</f>
        <v>44564</v>
      </c>
      <c r="C305" s="3">
        <v>3</v>
      </c>
      <c r="D305" s="3">
        <v>1</v>
      </c>
      <c r="E305" s="3">
        <v>2022</v>
      </c>
      <c r="F305" s="3" t="str">
        <f>"Qtr"&amp; " " &amp;CHOOSE(MONTH(Table1[[#This Row],[Date]]),1,1,1,2,2,2,3,3,3,4,4,4)</f>
        <v>Qtr 1</v>
      </c>
      <c r="G305" s="3" t="str">
        <f>TEXT(Table1[[#This Row],[Date]],"mmmm")</f>
        <v>January</v>
      </c>
      <c r="H305" s="3" t="s">
        <v>1081</v>
      </c>
      <c r="I305" s="3" t="s">
        <v>28</v>
      </c>
      <c r="J305" s="3">
        <v>4</v>
      </c>
      <c r="K305" s="3">
        <v>21303.1</v>
      </c>
      <c r="L305" s="3">
        <f>Table1[[#This Row],[Price Per Unit]]*Table1[[#This Row],[Units Sold]]</f>
        <v>85212.4</v>
      </c>
      <c r="M305" s="3" t="s">
        <v>308</v>
      </c>
      <c r="N305" s="3">
        <v>18</v>
      </c>
      <c r="O305" s="3" t="s">
        <v>20</v>
      </c>
      <c r="P305" s="3" t="s">
        <v>21</v>
      </c>
      <c r="Q305" s="4">
        <v>5</v>
      </c>
      <c r="R305" s="4" t="str">
        <f>IF(Table1[[#This Row],[Customer Ratings]]&gt;=4, "Good",IF(Table1[[#This Row],[Customer Ratings]]=3, "Average","Poor"))</f>
        <v>Good</v>
      </c>
      <c r="S305" s="3" t="s">
        <v>38</v>
      </c>
    </row>
    <row r="306" spans="1:19" x14ac:dyDescent="0.25">
      <c r="A306" s="3">
        <v>305</v>
      </c>
      <c r="B306" s="5">
        <f>DATE(Table1[[#This Row],[Year]],Table1[[#This Row],[Month]],Table1[[#This Row],[Day]])</f>
        <v>44564</v>
      </c>
      <c r="C306" s="3">
        <v>3</v>
      </c>
      <c r="D306" s="3">
        <v>1</v>
      </c>
      <c r="E306" s="3">
        <v>2022</v>
      </c>
      <c r="F306" s="3" t="str">
        <f>"Qtr"&amp; " " &amp;CHOOSE(MONTH(Table1[[#This Row],[Date]]),1,1,1,2,2,2,3,3,3,4,4,4)</f>
        <v>Qtr 1</v>
      </c>
      <c r="G306" s="3" t="str">
        <f>TEXT(Table1[[#This Row],[Date]],"mmmm")</f>
        <v>January</v>
      </c>
      <c r="H306" s="3" t="s">
        <v>1081</v>
      </c>
      <c r="I306" s="3" t="s">
        <v>28</v>
      </c>
      <c r="J306" s="3">
        <v>2</v>
      </c>
      <c r="K306" s="3">
        <v>13374.8</v>
      </c>
      <c r="L306" s="3">
        <f>Table1[[#This Row],[Price Per Unit]]*Table1[[#This Row],[Units Sold]]</f>
        <v>26749.599999999999</v>
      </c>
      <c r="M306" s="3" t="s">
        <v>309</v>
      </c>
      <c r="N306" s="3">
        <v>27</v>
      </c>
      <c r="O306" s="3" t="s">
        <v>102</v>
      </c>
      <c r="P306" s="3" t="s">
        <v>45</v>
      </c>
      <c r="Q306" s="4">
        <v>5</v>
      </c>
      <c r="R306" s="4" t="str">
        <f>IF(Table1[[#This Row],[Customer Ratings]]&gt;=4, "Good",IF(Table1[[#This Row],[Customer Ratings]]=3, "Average","Poor"))</f>
        <v>Good</v>
      </c>
      <c r="S306" s="3" t="s">
        <v>32</v>
      </c>
    </row>
    <row r="307" spans="1:19" x14ac:dyDescent="0.25">
      <c r="A307" s="3">
        <v>306</v>
      </c>
      <c r="B307" s="5">
        <f>DATE(Table1[[#This Row],[Year]],Table1[[#This Row],[Month]],Table1[[#This Row],[Day]])</f>
        <v>44564</v>
      </c>
      <c r="C307" s="3">
        <v>3</v>
      </c>
      <c r="D307" s="3">
        <v>1</v>
      </c>
      <c r="E307" s="3">
        <v>2022</v>
      </c>
      <c r="F307" s="3" t="str">
        <f>"Qtr"&amp; " " &amp;CHOOSE(MONTH(Table1[[#This Row],[Date]]),1,1,1,2,2,2,3,3,3,4,4,4)</f>
        <v>Qtr 1</v>
      </c>
      <c r="G307" s="3" t="str">
        <f>TEXT(Table1[[#This Row],[Date]],"mmmm")</f>
        <v>January</v>
      </c>
      <c r="H307" s="3" t="s">
        <v>1081</v>
      </c>
      <c r="I307" s="3" t="s">
        <v>39</v>
      </c>
      <c r="J307" s="3">
        <v>3</v>
      </c>
      <c r="K307" s="3">
        <v>14842.51</v>
      </c>
      <c r="L307" s="3">
        <f>Table1[[#This Row],[Price Per Unit]]*Table1[[#This Row],[Units Sold]]</f>
        <v>44527.53</v>
      </c>
      <c r="M307" s="3" t="s">
        <v>119</v>
      </c>
      <c r="N307" s="3">
        <v>18</v>
      </c>
      <c r="O307" s="3" t="s">
        <v>24</v>
      </c>
      <c r="P307" s="3" t="s">
        <v>45</v>
      </c>
      <c r="Q307" s="4">
        <v>5</v>
      </c>
      <c r="R307" s="4" t="str">
        <f>IF(Table1[[#This Row],[Customer Ratings]]&gt;=4, "Good",IF(Table1[[#This Row],[Customer Ratings]]=3, "Average","Poor"))</f>
        <v>Good</v>
      </c>
      <c r="S307" s="3" t="s">
        <v>76</v>
      </c>
    </row>
    <row r="308" spans="1:19" x14ac:dyDescent="0.25">
      <c r="A308" s="3">
        <v>307</v>
      </c>
      <c r="B308" s="5">
        <f>DATE(Table1[[#This Row],[Year]],Table1[[#This Row],[Month]],Table1[[#This Row],[Day]])</f>
        <v>44565</v>
      </c>
      <c r="C308" s="3">
        <v>4</v>
      </c>
      <c r="D308" s="3">
        <v>1</v>
      </c>
      <c r="E308" s="3">
        <v>2022</v>
      </c>
      <c r="F308" s="3" t="str">
        <f>"Qtr"&amp; " " &amp;CHOOSE(MONTH(Table1[[#This Row],[Date]]),1,1,1,2,2,2,3,3,3,4,4,4)</f>
        <v>Qtr 1</v>
      </c>
      <c r="G308" s="3" t="str">
        <f>TEXT(Table1[[#This Row],[Date]],"mmmm")</f>
        <v>January</v>
      </c>
      <c r="H308" s="3" t="s">
        <v>1082</v>
      </c>
      <c r="I308" s="3" t="s">
        <v>39</v>
      </c>
      <c r="J308" s="3">
        <v>6</v>
      </c>
      <c r="K308" s="3">
        <v>69566.259999999995</v>
      </c>
      <c r="L308" s="3">
        <f>Table1[[#This Row],[Price Per Unit]]*Table1[[#This Row],[Units Sold]]</f>
        <v>417397.55999999994</v>
      </c>
      <c r="M308" s="3" t="s">
        <v>310</v>
      </c>
      <c r="N308" s="3">
        <v>55</v>
      </c>
      <c r="O308" s="3" t="s">
        <v>20</v>
      </c>
      <c r="P308" s="3" t="s">
        <v>16</v>
      </c>
      <c r="Q308" s="4">
        <v>5</v>
      </c>
      <c r="R308" s="4" t="str">
        <f>IF(Table1[[#This Row],[Customer Ratings]]&gt;=4, "Good",IF(Table1[[#This Row],[Customer Ratings]]=3, "Average","Poor"))</f>
        <v>Good</v>
      </c>
      <c r="S308" s="3" t="s">
        <v>76</v>
      </c>
    </row>
    <row r="309" spans="1:19" x14ac:dyDescent="0.25">
      <c r="A309" s="3">
        <v>308</v>
      </c>
      <c r="B309" s="5">
        <f>DATE(Table1[[#This Row],[Year]],Table1[[#This Row],[Month]],Table1[[#This Row],[Day]])</f>
        <v>44565</v>
      </c>
      <c r="C309" s="3">
        <v>4</v>
      </c>
      <c r="D309" s="3">
        <v>1</v>
      </c>
      <c r="E309" s="3">
        <v>2022</v>
      </c>
      <c r="F309" s="3" t="str">
        <f>"Qtr"&amp; " " &amp;CHOOSE(MONTH(Table1[[#This Row],[Date]]),1,1,1,2,2,2,3,3,3,4,4,4)</f>
        <v>Qtr 1</v>
      </c>
      <c r="G309" s="3" t="str">
        <f>TEXT(Table1[[#This Row],[Date]],"mmmm")</f>
        <v>January</v>
      </c>
      <c r="H309" s="3" t="s">
        <v>1082</v>
      </c>
      <c r="I309" s="3" t="s">
        <v>13</v>
      </c>
      <c r="J309" s="3">
        <v>8</v>
      </c>
      <c r="K309" s="3">
        <v>57015.03</v>
      </c>
      <c r="L309" s="3">
        <f>Table1[[#This Row],[Price Per Unit]]*Table1[[#This Row],[Units Sold]]</f>
        <v>456120.24</v>
      </c>
      <c r="M309" s="3" t="s">
        <v>311</v>
      </c>
      <c r="N309" s="3">
        <v>56</v>
      </c>
      <c r="O309" s="3" t="s">
        <v>105</v>
      </c>
      <c r="P309" s="3" t="s">
        <v>45</v>
      </c>
      <c r="Q309" s="4">
        <v>5</v>
      </c>
      <c r="R309" s="4" t="str">
        <f>IF(Table1[[#This Row],[Customer Ratings]]&gt;=4, "Good",IF(Table1[[#This Row],[Customer Ratings]]=3, "Average","Poor"))</f>
        <v>Good</v>
      </c>
      <c r="S309" s="3" t="s">
        <v>27</v>
      </c>
    </row>
    <row r="310" spans="1:19" x14ac:dyDescent="0.25">
      <c r="A310" s="3">
        <v>309</v>
      </c>
      <c r="B310" s="5">
        <f>DATE(Table1[[#This Row],[Year]],Table1[[#This Row],[Month]],Table1[[#This Row],[Day]])</f>
        <v>44565</v>
      </c>
      <c r="C310" s="3">
        <v>4</v>
      </c>
      <c r="D310" s="3">
        <v>1</v>
      </c>
      <c r="E310" s="3">
        <v>2022</v>
      </c>
      <c r="F310" s="3" t="str">
        <f>"Qtr"&amp; " " &amp;CHOOSE(MONTH(Table1[[#This Row],[Date]]),1,1,1,2,2,2,3,3,3,4,4,4)</f>
        <v>Qtr 1</v>
      </c>
      <c r="G310" s="3" t="str">
        <f>TEXT(Table1[[#This Row],[Date]],"mmmm")</f>
        <v>January</v>
      </c>
      <c r="H310" s="3" t="s">
        <v>1082</v>
      </c>
      <c r="I310" s="3" t="s">
        <v>33</v>
      </c>
      <c r="J310" s="3">
        <v>8</v>
      </c>
      <c r="K310" s="3">
        <v>65319.25</v>
      </c>
      <c r="L310" s="3">
        <f>Table1[[#This Row],[Price Per Unit]]*Table1[[#This Row],[Units Sold]]</f>
        <v>522554</v>
      </c>
      <c r="M310" s="3" t="s">
        <v>101</v>
      </c>
      <c r="N310" s="3">
        <v>26</v>
      </c>
      <c r="O310" s="3" t="s">
        <v>105</v>
      </c>
      <c r="P310" s="3" t="s">
        <v>45</v>
      </c>
      <c r="Q310" s="4">
        <v>4</v>
      </c>
      <c r="R310" s="4" t="str">
        <f>IF(Table1[[#This Row],[Customer Ratings]]&gt;=4, "Good",IF(Table1[[#This Row],[Customer Ratings]]=3, "Average","Poor"))</f>
        <v>Good</v>
      </c>
      <c r="S310" s="3" t="s">
        <v>83</v>
      </c>
    </row>
    <row r="311" spans="1:19" x14ac:dyDescent="0.25">
      <c r="A311" s="3">
        <v>310</v>
      </c>
      <c r="B311" s="5">
        <f>DATE(Table1[[#This Row],[Year]],Table1[[#This Row],[Month]],Table1[[#This Row],[Day]])</f>
        <v>44566</v>
      </c>
      <c r="C311" s="3">
        <v>5</v>
      </c>
      <c r="D311" s="3">
        <v>1</v>
      </c>
      <c r="E311" s="3">
        <v>2022</v>
      </c>
      <c r="F311" s="3" t="str">
        <f>"Qtr"&amp; " " &amp;CHOOSE(MONTH(Table1[[#This Row],[Date]]),1,1,1,2,2,2,3,3,3,4,4,4)</f>
        <v>Qtr 1</v>
      </c>
      <c r="G311" s="3" t="str">
        <f>TEXT(Table1[[#This Row],[Date]],"mmmm")</f>
        <v>January</v>
      </c>
      <c r="H311" s="3" t="s">
        <v>1083</v>
      </c>
      <c r="I311" s="3" t="s">
        <v>28</v>
      </c>
      <c r="J311" s="3">
        <v>9</v>
      </c>
      <c r="K311" s="3">
        <v>21703.279999999999</v>
      </c>
      <c r="L311" s="3">
        <f>Table1[[#This Row],[Price Per Unit]]*Table1[[#This Row],[Units Sold]]</f>
        <v>195329.52</v>
      </c>
      <c r="M311" s="3" t="s">
        <v>312</v>
      </c>
      <c r="N311" s="3">
        <v>48</v>
      </c>
      <c r="O311" s="3" t="s">
        <v>98</v>
      </c>
      <c r="P311" s="3" t="s">
        <v>16</v>
      </c>
      <c r="Q311" s="4">
        <v>3</v>
      </c>
      <c r="R311" s="4" t="str">
        <f>IF(Table1[[#This Row],[Customer Ratings]]&gt;=4, "Good",IF(Table1[[#This Row],[Customer Ratings]]=3, "Average","Poor"))</f>
        <v>Average</v>
      </c>
      <c r="S311" s="3" t="s">
        <v>32</v>
      </c>
    </row>
    <row r="312" spans="1:19" x14ac:dyDescent="0.25">
      <c r="A312" s="3">
        <v>311</v>
      </c>
      <c r="B312" s="5">
        <f>DATE(Table1[[#This Row],[Year]],Table1[[#This Row],[Month]],Table1[[#This Row],[Day]])</f>
        <v>44566</v>
      </c>
      <c r="C312" s="3">
        <v>5</v>
      </c>
      <c r="D312" s="3">
        <v>1</v>
      </c>
      <c r="E312" s="3">
        <v>2022</v>
      </c>
      <c r="F312" s="3" t="str">
        <f>"Qtr"&amp; " " &amp;CHOOSE(MONTH(Table1[[#This Row],[Date]]),1,1,1,2,2,2,3,3,3,4,4,4)</f>
        <v>Qtr 1</v>
      </c>
      <c r="G312" s="3" t="str">
        <f>TEXT(Table1[[#This Row],[Date]],"mmmm")</f>
        <v>January</v>
      </c>
      <c r="H312" s="3" t="s">
        <v>1083</v>
      </c>
      <c r="I312" s="3" t="s">
        <v>13</v>
      </c>
      <c r="J312" s="3">
        <v>7</v>
      </c>
      <c r="K312" s="3">
        <v>67634.11</v>
      </c>
      <c r="L312" s="3">
        <f>Table1[[#This Row],[Price Per Unit]]*Table1[[#This Row],[Units Sold]]</f>
        <v>473438.77</v>
      </c>
      <c r="M312" s="3" t="s">
        <v>313</v>
      </c>
      <c r="N312" s="3">
        <v>24</v>
      </c>
      <c r="O312" s="3" t="s">
        <v>24</v>
      </c>
      <c r="P312" s="3" t="s">
        <v>16</v>
      </c>
      <c r="Q312" s="4">
        <v>5</v>
      </c>
      <c r="R312" s="4" t="str">
        <f>IF(Table1[[#This Row],[Customer Ratings]]&gt;=4, "Good",IF(Table1[[#This Row],[Customer Ratings]]=3, "Average","Poor"))</f>
        <v>Good</v>
      </c>
      <c r="S312" s="3" t="s">
        <v>72</v>
      </c>
    </row>
    <row r="313" spans="1:19" x14ac:dyDescent="0.25">
      <c r="A313" s="3">
        <v>312</v>
      </c>
      <c r="B313" s="5">
        <f>DATE(Table1[[#This Row],[Year]],Table1[[#This Row],[Month]],Table1[[#This Row],[Day]])</f>
        <v>44566</v>
      </c>
      <c r="C313" s="3">
        <v>5</v>
      </c>
      <c r="D313" s="3">
        <v>1</v>
      </c>
      <c r="E313" s="3">
        <v>2022</v>
      </c>
      <c r="F313" s="3" t="str">
        <f>"Qtr"&amp; " " &amp;CHOOSE(MONTH(Table1[[#This Row],[Date]]),1,1,1,2,2,2,3,3,3,4,4,4)</f>
        <v>Qtr 1</v>
      </c>
      <c r="G313" s="3" t="str">
        <f>TEXT(Table1[[#This Row],[Date]],"mmmm")</f>
        <v>January</v>
      </c>
      <c r="H313" s="3" t="s">
        <v>1083</v>
      </c>
      <c r="I313" s="3" t="s">
        <v>33</v>
      </c>
      <c r="J313" s="3">
        <v>2</v>
      </c>
      <c r="K313" s="3">
        <v>18559.259999999998</v>
      </c>
      <c r="L313" s="3">
        <f>Table1[[#This Row],[Price Per Unit]]*Table1[[#This Row],[Units Sold]]</f>
        <v>37118.519999999997</v>
      </c>
      <c r="M313" s="3" t="s">
        <v>314</v>
      </c>
      <c r="N313" s="3">
        <v>34</v>
      </c>
      <c r="O313" s="3" t="s">
        <v>20</v>
      </c>
      <c r="P313" s="3" t="s">
        <v>31</v>
      </c>
      <c r="Q313" s="4">
        <v>5</v>
      </c>
      <c r="R313" s="4" t="str">
        <f>IF(Table1[[#This Row],[Customer Ratings]]&gt;=4, "Good",IF(Table1[[#This Row],[Customer Ratings]]=3, "Average","Poor"))</f>
        <v>Good</v>
      </c>
      <c r="S313" s="3" t="s">
        <v>46</v>
      </c>
    </row>
    <row r="314" spans="1:19" x14ac:dyDescent="0.25">
      <c r="A314" s="3">
        <v>313</v>
      </c>
      <c r="B314" s="5">
        <f>DATE(Table1[[#This Row],[Year]],Table1[[#This Row],[Month]],Table1[[#This Row],[Day]])</f>
        <v>44566</v>
      </c>
      <c r="C314" s="3">
        <v>5</v>
      </c>
      <c r="D314" s="3">
        <v>1</v>
      </c>
      <c r="E314" s="3">
        <v>2022</v>
      </c>
      <c r="F314" s="3" t="str">
        <f>"Qtr"&amp; " " &amp;CHOOSE(MONTH(Table1[[#This Row],[Date]]),1,1,1,2,2,2,3,3,3,4,4,4)</f>
        <v>Qtr 1</v>
      </c>
      <c r="G314" s="3" t="str">
        <f>TEXT(Table1[[#This Row],[Date]],"mmmm")</f>
        <v>January</v>
      </c>
      <c r="H314" s="3" t="s">
        <v>1083</v>
      </c>
      <c r="I314" s="3" t="s">
        <v>18</v>
      </c>
      <c r="J314" s="3">
        <v>8</v>
      </c>
      <c r="K314" s="3">
        <v>40544.910000000003</v>
      </c>
      <c r="L314" s="3">
        <f>Table1[[#This Row],[Price Per Unit]]*Table1[[#This Row],[Units Sold]]</f>
        <v>324359.28000000003</v>
      </c>
      <c r="M314" s="3" t="s">
        <v>315</v>
      </c>
      <c r="N314" s="3">
        <v>52</v>
      </c>
      <c r="O314" s="3" t="s">
        <v>35</v>
      </c>
      <c r="P314" s="3" t="s">
        <v>16</v>
      </c>
      <c r="Q314" s="4">
        <v>5</v>
      </c>
      <c r="R314" s="4" t="str">
        <f>IF(Table1[[#This Row],[Customer Ratings]]&gt;=4, "Good",IF(Table1[[#This Row],[Customer Ratings]]=3, "Average","Poor"))</f>
        <v>Good</v>
      </c>
      <c r="S314" s="3" t="s">
        <v>22</v>
      </c>
    </row>
    <row r="315" spans="1:19" x14ac:dyDescent="0.25">
      <c r="A315" s="3">
        <v>314</v>
      </c>
      <c r="B315" s="5">
        <f>DATE(Table1[[#This Row],[Year]],Table1[[#This Row],[Month]],Table1[[#This Row],[Day]])</f>
        <v>44567</v>
      </c>
      <c r="C315" s="3">
        <v>6</v>
      </c>
      <c r="D315" s="3">
        <v>1</v>
      </c>
      <c r="E315" s="3">
        <v>2022</v>
      </c>
      <c r="F315" s="3" t="str">
        <f>"Qtr"&amp; " " &amp;CHOOSE(MONTH(Table1[[#This Row],[Date]]),1,1,1,2,2,2,3,3,3,4,4,4)</f>
        <v>Qtr 1</v>
      </c>
      <c r="G315" s="3" t="str">
        <f>TEXT(Table1[[#This Row],[Date]],"mmmm")</f>
        <v>January</v>
      </c>
      <c r="H315" s="3" t="s">
        <v>1084</v>
      </c>
      <c r="I315" s="3" t="s">
        <v>39</v>
      </c>
      <c r="J315" s="3">
        <v>7</v>
      </c>
      <c r="K315" s="3">
        <v>59781.74</v>
      </c>
      <c r="L315" s="3">
        <f>Table1[[#This Row],[Price Per Unit]]*Table1[[#This Row],[Units Sold]]</f>
        <v>418472.18</v>
      </c>
      <c r="M315" s="3" t="s">
        <v>316</v>
      </c>
      <c r="N315" s="3">
        <v>54</v>
      </c>
      <c r="O315" s="3" t="s">
        <v>15</v>
      </c>
      <c r="P315" s="3" t="s">
        <v>45</v>
      </c>
      <c r="Q315" s="4">
        <v>5</v>
      </c>
      <c r="R315" s="4" t="str">
        <f>IF(Table1[[#This Row],[Customer Ratings]]&gt;=4, "Good",IF(Table1[[#This Row],[Customer Ratings]]=3, "Average","Poor"))</f>
        <v>Good</v>
      </c>
      <c r="S315" s="3" t="s">
        <v>76</v>
      </c>
    </row>
    <row r="316" spans="1:19" x14ac:dyDescent="0.25">
      <c r="A316" s="3">
        <v>315</v>
      </c>
      <c r="B316" s="5">
        <f>DATE(Table1[[#This Row],[Year]],Table1[[#This Row],[Month]],Table1[[#This Row],[Day]])</f>
        <v>44567</v>
      </c>
      <c r="C316" s="3">
        <v>6</v>
      </c>
      <c r="D316" s="3">
        <v>1</v>
      </c>
      <c r="E316" s="3">
        <v>2022</v>
      </c>
      <c r="F316" s="3" t="str">
        <f>"Qtr"&amp; " " &amp;CHOOSE(MONTH(Table1[[#This Row],[Date]]),1,1,1,2,2,2,3,3,3,4,4,4)</f>
        <v>Qtr 1</v>
      </c>
      <c r="G316" s="3" t="str">
        <f>TEXT(Table1[[#This Row],[Date]],"mmmm")</f>
        <v>January</v>
      </c>
      <c r="H316" s="3" t="s">
        <v>1084</v>
      </c>
      <c r="I316" s="3" t="s">
        <v>33</v>
      </c>
      <c r="J316" s="3">
        <v>8</v>
      </c>
      <c r="K316" s="3">
        <v>30988.2</v>
      </c>
      <c r="L316" s="3">
        <f>Table1[[#This Row],[Price Per Unit]]*Table1[[#This Row],[Units Sold]]</f>
        <v>247905.6</v>
      </c>
      <c r="M316" s="3" t="s">
        <v>317</v>
      </c>
      <c r="N316" s="3">
        <v>35</v>
      </c>
      <c r="O316" s="3" t="s">
        <v>120</v>
      </c>
      <c r="P316" s="3" t="s">
        <v>21</v>
      </c>
      <c r="Q316" s="4">
        <v>5</v>
      </c>
      <c r="R316" s="4" t="str">
        <f>IF(Table1[[#This Row],[Customer Ratings]]&gt;=4, "Good",IF(Table1[[#This Row],[Customer Ratings]]=3, "Average","Poor"))</f>
        <v>Good</v>
      </c>
      <c r="S316" s="3" t="s">
        <v>83</v>
      </c>
    </row>
    <row r="317" spans="1:19" x14ac:dyDescent="0.25">
      <c r="A317" s="3">
        <v>316</v>
      </c>
      <c r="B317" s="5">
        <f>DATE(Table1[[#This Row],[Year]],Table1[[#This Row],[Month]],Table1[[#This Row],[Day]])</f>
        <v>44567</v>
      </c>
      <c r="C317" s="3">
        <v>6</v>
      </c>
      <c r="D317" s="3">
        <v>1</v>
      </c>
      <c r="E317" s="3">
        <v>2022</v>
      </c>
      <c r="F317" s="3" t="str">
        <f>"Qtr"&amp; " " &amp;CHOOSE(MONTH(Table1[[#This Row],[Date]]),1,1,1,2,2,2,3,3,3,4,4,4)</f>
        <v>Qtr 1</v>
      </c>
      <c r="G317" s="3" t="str">
        <f>TEXT(Table1[[#This Row],[Date]],"mmmm")</f>
        <v>January</v>
      </c>
      <c r="H317" s="3" t="s">
        <v>1084</v>
      </c>
      <c r="I317" s="3" t="s">
        <v>18</v>
      </c>
      <c r="J317" s="3">
        <v>3</v>
      </c>
      <c r="K317" s="3">
        <v>35489.71</v>
      </c>
      <c r="L317" s="3">
        <f>Table1[[#This Row],[Price Per Unit]]*Table1[[#This Row],[Units Sold]]</f>
        <v>106469.13</v>
      </c>
      <c r="M317" s="3" t="s">
        <v>318</v>
      </c>
      <c r="N317" s="3">
        <v>50</v>
      </c>
      <c r="O317" s="3" t="s">
        <v>41</v>
      </c>
      <c r="P317" s="3" t="s">
        <v>16</v>
      </c>
      <c r="Q317" s="4">
        <v>5</v>
      </c>
      <c r="R317" s="4" t="str">
        <f>IF(Table1[[#This Row],[Customer Ratings]]&gt;=4, "Good",IF(Table1[[#This Row],[Customer Ratings]]=3, "Average","Poor"))</f>
        <v>Good</v>
      </c>
      <c r="S317" s="3" t="s">
        <v>22</v>
      </c>
    </row>
    <row r="318" spans="1:19" x14ac:dyDescent="0.25">
      <c r="A318" s="3">
        <v>317</v>
      </c>
      <c r="B318" s="5">
        <f>DATE(Table1[[#This Row],[Year]],Table1[[#This Row],[Month]],Table1[[#This Row],[Day]])</f>
        <v>44567</v>
      </c>
      <c r="C318" s="3">
        <v>6</v>
      </c>
      <c r="D318" s="3">
        <v>1</v>
      </c>
      <c r="E318" s="3">
        <v>2022</v>
      </c>
      <c r="F318" s="3" t="str">
        <f>"Qtr"&amp; " " &amp;CHOOSE(MONTH(Table1[[#This Row],[Date]]),1,1,1,2,2,2,3,3,3,4,4,4)</f>
        <v>Qtr 1</v>
      </c>
      <c r="G318" s="3" t="str">
        <f>TEXT(Table1[[#This Row],[Date]],"mmmm")</f>
        <v>January</v>
      </c>
      <c r="H318" s="3" t="s">
        <v>1084</v>
      </c>
      <c r="I318" s="3" t="s">
        <v>33</v>
      </c>
      <c r="J318" s="3">
        <v>7</v>
      </c>
      <c r="K318" s="3">
        <v>17691.11</v>
      </c>
      <c r="L318" s="3">
        <f>Table1[[#This Row],[Price Per Unit]]*Table1[[#This Row],[Units Sold]]</f>
        <v>123837.77</v>
      </c>
      <c r="M318" s="3" t="s">
        <v>319</v>
      </c>
      <c r="N318" s="3">
        <v>21</v>
      </c>
      <c r="O318" s="3" t="s">
        <v>48</v>
      </c>
      <c r="P318" s="3" t="s">
        <v>31</v>
      </c>
      <c r="Q318" s="4">
        <v>4</v>
      </c>
      <c r="R318" s="4" t="str">
        <f>IF(Table1[[#This Row],[Customer Ratings]]&gt;=4, "Good",IF(Table1[[#This Row],[Customer Ratings]]=3, "Average","Poor"))</f>
        <v>Good</v>
      </c>
      <c r="S318" s="3" t="s">
        <v>83</v>
      </c>
    </row>
    <row r="319" spans="1:19" x14ac:dyDescent="0.25">
      <c r="A319" s="3">
        <v>318</v>
      </c>
      <c r="B319" s="5">
        <f>DATE(Table1[[#This Row],[Year]],Table1[[#This Row],[Month]],Table1[[#This Row],[Day]])</f>
        <v>44568</v>
      </c>
      <c r="C319" s="3">
        <v>7</v>
      </c>
      <c r="D319" s="3">
        <v>1</v>
      </c>
      <c r="E319" s="3">
        <v>2022</v>
      </c>
      <c r="F319" s="3" t="str">
        <f>"Qtr"&amp; " " &amp;CHOOSE(MONTH(Table1[[#This Row],[Date]]),1,1,1,2,2,2,3,3,3,4,4,4)</f>
        <v>Qtr 1</v>
      </c>
      <c r="G319" s="3" t="str">
        <f>TEXT(Table1[[#This Row],[Date]],"mmmm")</f>
        <v>January</v>
      </c>
      <c r="H319" s="3" t="s">
        <v>1085</v>
      </c>
      <c r="I319" s="3" t="s">
        <v>39</v>
      </c>
      <c r="J319" s="3">
        <v>9</v>
      </c>
      <c r="K319" s="3">
        <v>17375.310000000001</v>
      </c>
      <c r="L319" s="3">
        <f>Table1[[#This Row],[Price Per Unit]]*Table1[[#This Row],[Units Sold]]</f>
        <v>156377.79</v>
      </c>
      <c r="M319" s="3" t="s">
        <v>320</v>
      </c>
      <c r="N319" s="3">
        <v>40</v>
      </c>
      <c r="O319" s="3" t="s">
        <v>98</v>
      </c>
      <c r="P319" s="3" t="s">
        <v>45</v>
      </c>
      <c r="Q319" s="4">
        <v>5</v>
      </c>
      <c r="R319" s="4" t="str">
        <f>IF(Table1[[#This Row],[Customer Ratings]]&gt;=4, "Good",IF(Table1[[#This Row],[Customer Ratings]]=3, "Average","Poor"))</f>
        <v>Good</v>
      </c>
      <c r="S319" s="3" t="s">
        <v>90</v>
      </c>
    </row>
    <row r="320" spans="1:19" x14ac:dyDescent="0.25">
      <c r="A320" s="3">
        <v>319</v>
      </c>
      <c r="B320" s="5">
        <f>DATE(Table1[[#This Row],[Year]],Table1[[#This Row],[Month]],Table1[[#This Row],[Day]])</f>
        <v>44568</v>
      </c>
      <c r="C320" s="3">
        <v>7</v>
      </c>
      <c r="D320" s="3">
        <v>1</v>
      </c>
      <c r="E320" s="3">
        <v>2022</v>
      </c>
      <c r="F320" s="3" t="str">
        <f>"Qtr"&amp; " " &amp;CHOOSE(MONTH(Table1[[#This Row],[Date]]),1,1,1,2,2,2,3,3,3,4,4,4)</f>
        <v>Qtr 1</v>
      </c>
      <c r="G320" s="3" t="str">
        <f>TEXT(Table1[[#This Row],[Date]],"mmmm")</f>
        <v>January</v>
      </c>
      <c r="H320" s="3" t="s">
        <v>1085</v>
      </c>
      <c r="I320" s="3" t="s">
        <v>39</v>
      </c>
      <c r="J320" s="3">
        <v>3</v>
      </c>
      <c r="K320" s="3">
        <v>47174.09</v>
      </c>
      <c r="L320" s="3">
        <f>Table1[[#This Row],[Price Per Unit]]*Table1[[#This Row],[Units Sold]]</f>
        <v>141522.26999999999</v>
      </c>
      <c r="M320" s="3" t="s">
        <v>91</v>
      </c>
      <c r="N320" s="3">
        <v>28</v>
      </c>
      <c r="O320" s="3" t="s">
        <v>20</v>
      </c>
      <c r="P320" s="3" t="s">
        <v>31</v>
      </c>
      <c r="Q320" s="4">
        <v>3</v>
      </c>
      <c r="R320" s="4" t="str">
        <f>IF(Table1[[#This Row],[Customer Ratings]]&gt;=4, "Good",IF(Table1[[#This Row],[Customer Ratings]]=3, "Average","Poor"))</f>
        <v>Average</v>
      </c>
      <c r="S320" s="3" t="s">
        <v>42</v>
      </c>
    </row>
    <row r="321" spans="1:19" x14ac:dyDescent="0.25">
      <c r="A321" s="3">
        <v>320</v>
      </c>
      <c r="B321" s="5">
        <f>DATE(Table1[[#This Row],[Year]],Table1[[#This Row],[Month]],Table1[[#This Row],[Day]])</f>
        <v>44568</v>
      </c>
      <c r="C321" s="3">
        <v>7</v>
      </c>
      <c r="D321" s="3">
        <v>1</v>
      </c>
      <c r="E321" s="3">
        <v>2022</v>
      </c>
      <c r="F321" s="3" t="str">
        <f>"Qtr"&amp; " " &amp;CHOOSE(MONTH(Table1[[#This Row],[Date]]),1,1,1,2,2,2,3,3,3,4,4,4)</f>
        <v>Qtr 1</v>
      </c>
      <c r="G321" s="3" t="str">
        <f>TEXT(Table1[[#This Row],[Date]],"mmmm")</f>
        <v>January</v>
      </c>
      <c r="H321" s="3" t="s">
        <v>1085</v>
      </c>
      <c r="I321" s="3" t="s">
        <v>13</v>
      </c>
      <c r="J321" s="3">
        <v>6</v>
      </c>
      <c r="K321" s="3">
        <v>50531.94</v>
      </c>
      <c r="L321" s="3">
        <f>Table1[[#This Row],[Price Per Unit]]*Table1[[#This Row],[Units Sold]]</f>
        <v>303191.64</v>
      </c>
      <c r="M321" s="3" t="s">
        <v>181</v>
      </c>
      <c r="N321" s="3">
        <v>26</v>
      </c>
      <c r="O321" s="3" t="s">
        <v>65</v>
      </c>
      <c r="P321" s="3" t="s">
        <v>31</v>
      </c>
      <c r="Q321" s="4">
        <v>4</v>
      </c>
      <c r="R321" s="4" t="str">
        <f>IF(Table1[[#This Row],[Customer Ratings]]&gt;=4, "Good",IF(Table1[[#This Row],[Customer Ratings]]=3, "Average","Poor"))</f>
        <v>Good</v>
      </c>
      <c r="S321" s="3" t="s">
        <v>72</v>
      </c>
    </row>
    <row r="322" spans="1:19" x14ac:dyDescent="0.25">
      <c r="A322" s="3">
        <v>321</v>
      </c>
      <c r="B322" s="5">
        <f>DATE(Table1[[#This Row],[Year]],Table1[[#This Row],[Month]],Table1[[#This Row],[Day]])</f>
        <v>44568</v>
      </c>
      <c r="C322" s="3">
        <v>7</v>
      </c>
      <c r="D322" s="3">
        <v>1</v>
      </c>
      <c r="E322" s="3">
        <v>2022</v>
      </c>
      <c r="F322" s="3" t="str">
        <f>"Qtr"&amp; " " &amp;CHOOSE(MONTH(Table1[[#This Row],[Date]]),1,1,1,2,2,2,3,3,3,4,4,4)</f>
        <v>Qtr 1</v>
      </c>
      <c r="G322" s="3" t="str">
        <f>TEXT(Table1[[#This Row],[Date]],"mmmm")</f>
        <v>January</v>
      </c>
      <c r="H322" s="3" t="s">
        <v>1085</v>
      </c>
      <c r="I322" s="3" t="s">
        <v>28</v>
      </c>
      <c r="J322" s="3">
        <v>2</v>
      </c>
      <c r="K322" s="3">
        <v>56639.95</v>
      </c>
      <c r="L322" s="3">
        <f>Table1[[#This Row],[Price Per Unit]]*Table1[[#This Row],[Units Sold]]</f>
        <v>113279.9</v>
      </c>
      <c r="M322" s="3" t="s">
        <v>321</v>
      </c>
      <c r="N322" s="3">
        <v>47</v>
      </c>
      <c r="O322" s="3" t="s">
        <v>15</v>
      </c>
      <c r="P322" s="3" t="s">
        <v>45</v>
      </c>
      <c r="Q322" s="4">
        <v>3</v>
      </c>
      <c r="R322" s="4" t="str">
        <f>IF(Table1[[#This Row],[Customer Ratings]]&gt;=4, "Good",IF(Table1[[#This Row],[Customer Ratings]]=3, "Average","Poor"))</f>
        <v>Average</v>
      </c>
      <c r="S322" s="3" t="s">
        <v>32</v>
      </c>
    </row>
    <row r="323" spans="1:19" x14ac:dyDescent="0.25">
      <c r="A323" s="3">
        <v>322</v>
      </c>
      <c r="B323" s="5">
        <f>DATE(Table1[[#This Row],[Year]],Table1[[#This Row],[Month]],Table1[[#This Row],[Day]])</f>
        <v>44569</v>
      </c>
      <c r="C323" s="3">
        <v>8</v>
      </c>
      <c r="D323" s="3">
        <v>1</v>
      </c>
      <c r="E323" s="3">
        <v>2022</v>
      </c>
      <c r="F323" s="3" t="str">
        <f>"Qtr"&amp; " " &amp;CHOOSE(MONTH(Table1[[#This Row],[Date]]),1,1,1,2,2,2,3,3,3,4,4,4)</f>
        <v>Qtr 1</v>
      </c>
      <c r="G323" s="3" t="str">
        <f>TEXT(Table1[[#This Row],[Date]],"mmmm")</f>
        <v>January</v>
      </c>
      <c r="H323" s="3" t="s">
        <v>1079</v>
      </c>
      <c r="I323" s="3" t="s">
        <v>33</v>
      </c>
      <c r="J323" s="3">
        <v>2</v>
      </c>
      <c r="K323" s="3">
        <v>43400.92</v>
      </c>
      <c r="L323" s="3">
        <f>Table1[[#This Row],[Price Per Unit]]*Table1[[#This Row],[Units Sold]]</f>
        <v>86801.84</v>
      </c>
      <c r="M323" s="3" t="s">
        <v>322</v>
      </c>
      <c r="N323" s="3">
        <v>25</v>
      </c>
      <c r="O323" s="3" t="s">
        <v>48</v>
      </c>
      <c r="P323" s="3" t="s">
        <v>31</v>
      </c>
      <c r="Q323" s="4">
        <v>5</v>
      </c>
      <c r="R323" s="4" t="str">
        <f>IF(Table1[[#This Row],[Customer Ratings]]&gt;=4, "Good",IF(Table1[[#This Row],[Customer Ratings]]=3, "Average","Poor"))</f>
        <v>Good</v>
      </c>
      <c r="S323" s="3" t="s">
        <v>83</v>
      </c>
    </row>
    <row r="324" spans="1:19" x14ac:dyDescent="0.25">
      <c r="A324" s="3">
        <v>323</v>
      </c>
      <c r="B324" s="5">
        <f>DATE(Table1[[#This Row],[Year]],Table1[[#This Row],[Month]],Table1[[#This Row],[Day]])</f>
        <v>44569</v>
      </c>
      <c r="C324" s="3">
        <v>8</v>
      </c>
      <c r="D324" s="3">
        <v>1</v>
      </c>
      <c r="E324" s="3">
        <v>2022</v>
      </c>
      <c r="F324" s="3" t="str">
        <f>"Qtr"&amp; " " &amp;CHOOSE(MONTH(Table1[[#This Row],[Date]]),1,1,1,2,2,2,3,3,3,4,4,4)</f>
        <v>Qtr 1</v>
      </c>
      <c r="G324" s="3" t="str">
        <f>TEXT(Table1[[#This Row],[Date]],"mmmm")</f>
        <v>January</v>
      </c>
      <c r="H324" s="3" t="s">
        <v>1079</v>
      </c>
      <c r="I324" s="3" t="s">
        <v>33</v>
      </c>
      <c r="J324" s="3">
        <v>5</v>
      </c>
      <c r="K324" s="3">
        <v>48745.56</v>
      </c>
      <c r="L324" s="3">
        <f>Table1[[#This Row],[Price Per Unit]]*Table1[[#This Row],[Units Sold]]</f>
        <v>243727.8</v>
      </c>
      <c r="M324" s="3" t="s">
        <v>323</v>
      </c>
      <c r="N324" s="3">
        <v>57</v>
      </c>
      <c r="O324" s="3" t="s">
        <v>35</v>
      </c>
      <c r="P324" s="3" t="s">
        <v>45</v>
      </c>
      <c r="Q324" s="4">
        <v>5</v>
      </c>
      <c r="R324" s="4" t="str">
        <f>IF(Table1[[#This Row],[Customer Ratings]]&gt;=4, "Good",IF(Table1[[#This Row],[Customer Ratings]]=3, "Average","Poor"))</f>
        <v>Good</v>
      </c>
      <c r="S324" s="3" t="s">
        <v>36</v>
      </c>
    </row>
    <row r="325" spans="1:19" x14ac:dyDescent="0.25">
      <c r="A325" s="3">
        <v>324</v>
      </c>
      <c r="B325" s="5">
        <f>DATE(Table1[[#This Row],[Year]],Table1[[#This Row],[Month]],Table1[[#This Row],[Day]])</f>
        <v>44569</v>
      </c>
      <c r="C325" s="3">
        <v>8</v>
      </c>
      <c r="D325" s="3">
        <v>1</v>
      </c>
      <c r="E325" s="3">
        <v>2022</v>
      </c>
      <c r="F325" s="3" t="str">
        <f>"Qtr"&amp; " " &amp;CHOOSE(MONTH(Table1[[#This Row],[Date]]),1,1,1,2,2,2,3,3,3,4,4,4)</f>
        <v>Qtr 1</v>
      </c>
      <c r="G325" s="3" t="str">
        <f>TEXT(Table1[[#This Row],[Date]],"mmmm")</f>
        <v>January</v>
      </c>
      <c r="H325" s="3" t="s">
        <v>1079</v>
      </c>
      <c r="I325" s="3" t="s">
        <v>18</v>
      </c>
      <c r="J325" s="3">
        <v>5</v>
      </c>
      <c r="K325" s="3">
        <v>10811.04</v>
      </c>
      <c r="L325" s="3">
        <f>Table1[[#This Row],[Price Per Unit]]*Table1[[#This Row],[Units Sold]]</f>
        <v>54055.200000000004</v>
      </c>
      <c r="M325" s="3" t="s">
        <v>44</v>
      </c>
      <c r="N325" s="3">
        <v>22</v>
      </c>
      <c r="O325" s="3" t="s">
        <v>98</v>
      </c>
      <c r="P325" s="3" t="s">
        <v>31</v>
      </c>
      <c r="Q325" s="4">
        <v>4</v>
      </c>
      <c r="R325" s="4" t="str">
        <f>IF(Table1[[#This Row],[Customer Ratings]]&gt;=4, "Good",IF(Table1[[#This Row],[Customer Ratings]]=3, "Average","Poor"))</f>
        <v>Good</v>
      </c>
      <c r="S325" s="3" t="s">
        <v>55</v>
      </c>
    </row>
    <row r="326" spans="1:19" x14ac:dyDescent="0.25">
      <c r="A326" s="3">
        <v>325</v>
      </c>
      <c r="B326" s="5">
        <f>DATE(Table1[[#This Row],[Year]],Table1[[#This Row],[Month]],Table1[[#This Row],[Day]])</f>
        <v>44569</v>
      </c>
      <c r="C326" s="3">
        <v>8</v>
      </c>
      <c r="D326" s="3">
        <v>1</v>
      </c>
      <c r="E326" s="3">
        <v>2022</v>
      </c>
      <c r="F326" s="3" t="str">
        <f>"Qtr"&amp; " " &amp;CHOOSE(MONTH(Table1[[#This Row],[Date]]),1,1,1,2,2,2,3,3,3,4,4,4)</f>
        <v>Qtr 1</v>
      </c>
      <c r="G326" s="3" t="str">
        <f>TEXT(Table1[[#This Row],[Date]],"mmmm")</f>
        <v>January</v>
      </c>
      <c r="H326" s="3" t="s">
        <v>1079</v>
      </c>
      <c r="I326" s="3" t="s">
        <v>39</v>
      </c>
      <c r="J326" s="3">
        <v>7</v>
      </c>
      <c r="K326" s="3">
        <v>19730.240000000002</v>
      </c>
      <c r="L326" s="3">
        <f>Table1[[#This Row],[Price Per Unit]]*Table1[[#This Row],[Units Sold]]</f>
        <v>138111.68000000002</v>
      </c>
      <c r="M326" s="3" t="s">
        <v>324</v>
      </c>
      <c r="N326" s="3">
        <v>29</v>
      </c>
      <c r="O326" s="3" t="s">
        <v>54</v>
      </c>
      <c r="P326" s="3" t="s">
        <v>21</v>
      </c>
      <c r="Q326" s="4">
        <v>3</v>
      </c>
      <c r="R326" s="4" t="str">
        <f>IF(Table1[[#This Row],[Customer Ratings]]&gt;=4, "Good",IF(Table1[[#This Row],[Customer Ratings]]=3, "Average","Poor"))</f>
        <v>Average</v>
      </c>
      <c r="S326" s="3" t="s">
        <v>76</v>
      </c>
    </row>
    <row r="327" spans="1:19" x14ac:dyDescent="0.25">
      <c r="A327" s="3">
        <v>326</v>
      </c>
      <c r="B327" s="5">
        <f>DATE(Table1[[#This Row],[Year]],Table1[[#This Row],[Month]],Table1[[#This Row],[Day]])</f>
        <v>44570</v>
      </c>
      <c r="C327" s="3">
        <v>9</v>
      </c>
      <c r="D327" s="3">
        <v>1</v>
      </c>
      <c r="E327" s="3">
        <v>2022</v>
      </c>
      <c r="F327" s="3" t="str">
        <f>"Qtr"&amp; " " &amp;CHOOSE(MONTH(Table1[[#This Row],[Date]]),1,1,1,2,2,2,3,3,3,4,4,4)</f>
        <v>Qtr 1</v>
      </c>
      <c r="G327" s="3" t="str">
        <f>TEXT(Table1[[#This Row],[Date]],"mmmm")</f>
        <v>January</v>
      </c>
      <c r="H327" s="3" t="s">
        <v>1080</v>
      </c>
      <c r="I327" s="3" t="s">
        <v>33</v>
      </c>
      <c r="J327" s="3">
        <v>2</v>
      </c>
      <c r="K327" s="3">
        <v>69094.89</v>
      </c>
      <c r="L327" s="3">
        <f>Table1[[#This Row],[Price Per Unit]]*Table1[[#This Row],[Units Sold]]</f>
        <v>138189.78</v>
      </c>
      <c r="M327" s="3" t="s">
        <v>190</v>
      </c>
      <c r="N327" s="3">
        <v>18</v>
      </c>
      <c r="O327" s="3" t="s">
        <v>58</v>
      </c>
      <c r="P327" s="3" t="s">
        <v>16</v>
      </c>
      <c r="Q327" s="4">
        <v>5</v>
      </c>
      <c r="R327" s="4" t="str">
        <f>IF(Table1[[#This Row],[Customer Ratings]]&gt;=4, "Good",IF(Table1[[#This Row],[Customer Ratings]]=3, "Average","Poor"))</f>
        <v>Good</v>
      </c>
      <c r="S327" s="3" t="s">
        <v>36</v>
      </c>
    </row>
    <row r="328" spans="1:19" x14ac:dyDescent="0.25">
      <c r="A328" s="3">
        <v>327</v>
      </c>
      <c r="B328" s="5">
        <f>DATE(Table1[[#This Row],[Year]],Table1[[#This Row],[Month]],Table1[[#This Row],[Day]])</f>
        <v>44570</v>
      </c>
      <c r="C328" s="3">
        <v>9</v>
      </c>
      <c r="D328" s="3">
        <v>1</v>
      </c>
      <c r="E328" s="3">
        <v>2022</v>
      </c>
      <c r="F328" s="3" t="str">
        <f>"Qtr"&amp; " " &amp;CHOOSE(MONTH(Table1[[#This Row],[Date]]),1,1,1,2,2,2,3,3,3,4,4,4)</f>
        <v>Qtr 1</v>
      </c>
      <c r="G328" s="3" t="str">
        <f>TEXT(Table1[[#This Row],[Date]],"mmmm")</f>
        <v>January</v>
      </c>
      <c r="H328" s="3" t="s">
        <v>1080</v>
      </c>
      <c r="I328" s="3" t="s">
        <v>39</v>
      </c>
      <c r="J328" s="3">
        <v>7</v>
      </c>
      <c r="K328" s="3">
        <v>14559.61</v>
      </c>
      <c r="L328" s="3">
        <f>Table1[[#This Row],[Price Per Unit]]*Table1[[#This Row],[Units Sold]]</f>
        <v>101917.27</v>
      </c>
      <c r="M328" s="3" t="s">
        <v>325</v>
      </c>
      <c r="N328" s="3">
        <v>32</v>
      </c>
      <c r="O328" s="3" t="s">
        <v>120</v>
      </c>
      <c r="P328" s="3" t="s">
        <v>21</v>
      </c>
      <c r="Q328" s="4">
        <v>5</v>
      </c>
      <c r="R328" s="4" t="str">
        <f>IF(Table1[[#This Row],[Customer Ratings]]&gt;=4, "Good",IF(Table1[[#This Row],[Customer Ratings]]=3, "Average","Poor"))</f>
        <v>Good</v>
      </c>
      <c r="S328" s="3" t="s">
        <v>90</v>
      </c>
    </row>
    <row r="329" spans="1:19" x14ac:dyDescent="0.25">
      <c r="A329" s="3">
        <v>328</v>
      </c>
      <c r="B329" s="5">
        <f>DATE(Table1[[#This Row],[Year]],Table1[[#This Row],[Month]],Table1[[#This Row],[Day]])</f>
        <v>44570</v>
      </c>
      <c r="C329" s="3">
        <v>9</v>
      </c>
      <c r="D329" s="3">
        <v>1</v>
      </c>
      <c r="E329" s="3">
        <v>2022</v>
      </c>
      <c r="F329" s="3" t="str">
        <f>"Qtr"&amp; " " &amp;CHOOSE(MONTH(Table1[[#This Row],[Date]]),1,1,1,2,2,2,3,3,3,4,4,4)</f>
        <v>Qtr 1</v>
      </c>
      <c r="G329" s="3" t="str">
        <f>TEXT(Table1[[#This Row],[Date]],"mmmm")</f>
        <v>January</v>
      </c>
      <c r="H329" s="3" t="s">
        <v>1080</v>
      </c>
      <c r="I329" s="3" t="s">
        <v>33</v>
      </c>
      <c r="J329" s="3">
        <v>5</v>
      </c>
      <c r="K329" s="3">
        <v>50727.29</v>
      </c>
      <c r="L329" s="3">
        <f>Table1[[#This Row],[Price Per Unit]]*Table1[[#This Row],[Units Sold]]</f>
        <v>253636.45</v>
      </c>
      <c r="M329" s="3" t="s">
        <v>326</v>
      </c>
      <c r="N329" s="3">
        <v>42</v>
      </c>
      <c r="O329" s="3" t="s">
        <v>20</v>
      </c>
      <c r="P329" s="3" t="s">
        <v>21</v>
      </c>
      <c r="Q329" s="4">
        <v>5</v>
      </c>
      <c r="R329" s="4" t="str">
        <f>IF(Table1[[#This Row],[Customer Ratings]]&gt;=4, "Good",IF(Table1[[#This Row],[Customer Ratings]]=3, "Average","Poor"))</f>
        <v>Good</v>
      </c>
      <c r="S329" s="3" t="s">
        <v>83</v>
      </c>
    </row>
    <row r="330" spans="1:19" x14ac:dyDescent="0.25">
      <c r="A330" s="3">
        <v>329</v>
      </c>
      <c r="B330" s="5">
        <f>DATE(Table1[[#This Row],[Year]],Table1[[#This Row],[Month]],Table1[[#This Row],[Day]])</f>
        <v>44570</v>
      </c>
      <c r="C330" s="3">
        <v>9</v>
      </c>
      <c r="D330" s="3">
        <v>1</v>
      </c>
      <c r="E330" s="3">
        <v>2022</v>
      </c>
      <c r="F330" s="3" t="str">
        <f>"Qtr"&amp; " " &amp;CHOOSE(MONTH(Table1[[#This Row],[Date]]),1,1,1,2,2,2,3,3,3,4,4,4)</f>
        <v>Qtr 1</v>
      </c>
      <c r="G330" s="3" t="str">
        <f>TEXT(Table1[[#This Row],[Date]],"mmmm")</f>
        <v>January</v>
      </c>
      <c r="H330" s="3" t="s">
        <v>1080</v>
      </c>
      <c r="I330" s="3" t="s">
        <v>13</v>
      </c>
      <c r="J330" s="3">
        <v>6</v>
      </c>
      <c r="K330" s="3">
        <v>20564.96</v>
      </c>
      <c r="L330" s="3">
        <f>Table1[[#This Row],[Price Per Unit]]*Table1[[#This Row],[Units Sold]]</f>
        <v>123389.75999999999</v>
      </c>
      <c r="M330" s="3" t="s">
        <v>252</v>
      </c>
      <c r="N330" s="3">
        <v>35</v>
      </c>
      <c r="O330" s="3" t="s">
        <v>54</v>
      </c>
      <c r="P330" s="3" t="s">
        <v>31</v>
      </c>
      <c r="Q330" s="4">
        <v>5</v>
      </c>
      <c r="R330" s="4" t="str">
        <f>IF(Table1[[#This Row],[Customer Ratings]]&gt;=4, "Good",IF(Table1[[#This Row],[Customer Ratings]]=3, "Average","Poor"))</f>
        <v>Good</v>
      </c>
      <c r="S330" s="3" t="s">
        <v>27</v>
      </c>
    </row>
    <row r="331" spans="1:19" x14ac:dyDescent="0.25">
      <c r="A331" s="3">
        <v>330</v>
      </c>
      <c r="B331" s="5">
        <f>DATE(Table1[[#This Row],[Year]],Table1[[#This Row],[Month]],Table1[[#This Row],[Day]])</f>
        <v>44571</v>
      </c>
      <c r="C331" s="3">
        <v>10</v>
      </c>
      <c r="D331" s="3">
        <v>1</v>
      </c>
      <c r="E331" s="3">
        <v>2022</v>
      </c>
      <c r="F331" s="3" t="str">
        <f>"Qtr"&amp; " " &amp;CHOOSE(MONTH(Table1[[#This Row],[Date]]),1,1,1,2,2,2,3,3,3,4,4,4)</f>
        <v>Qtr 1</v>
      </c>
      <c r="G331" s="3" t="str">
        <f>TEXT(Table1[[#This Row],[Date]],"mmmm")</f>
        <v>January</v>
      </c>
      <c r="H331" s="3" t="s">
        <v>1081</v>
      </c>
      <c r="I331" s="3" t="s">
        <v>28</v>
      </c>
      <c r="J331" s="3">
        <v>8</v>
      </c>
      <c r="K331" s="3">
        <v>53003.12</v>
      </c>
      <c r="L331" s="3">
        <f>Table1[[#This Row],[Price Per Unit]]*Table1[[#This Row],[Units Sold]]</f>
        <v>424024.96</v>
      </c>
      <c r="M331" s="3" t="s">
        <v>327</v>
      </c>
      <c r="N331" s="3">
        <v>55</v>
      </c>
      <c r="O331" s="3" t="s">
        <v>20</v>
      </c>
      <c r="P331" s="3" t="s">
        <v>16</v>
      </c>
      <c r="Q331" s="4">
        <v>5</v>
      </c>
      <c r="R331" s="4" t="str">
        <f>IF(Table1[[#This Row],[Customer Ratings]]&gt;=4, "Good",IF(Table1[[#This Row],[Customer Ratings]]=3, "Average","Poor"))</f>
        <v>Good</v>
      </c>
      <c r="S331" s="3" t="s">
        <v>38</v>
      </c>
    </row>
    <row r="332" spans="1:19" x14ac:dyDescent="0.25">
      <c r="A332" s="3">
        <v>331</v>
      </c>
      <c r="B332" s="5">
        <f>DATE(Table1[[#This Row],[Year]],Table1[[#This Row],[Month]],Table1[[#This Row],[Day]])</f>
        <v>44571</v>
      </c>
      <c r="C332" s="3">
        <v>10</v>
      </c>
      <c r="D332" s="3">
        <v>1</v>
      </c>
      <c r="E332" s="3">
        <v>2022</v>
      </c>
      <c r="F332" s="3" t="str">
        <f>"Qtr"&amp; " " &amp;CHOOSE(MONTH(Table1[[#This Row],[Date]]),1,1,1,2,2,2,3,3,3,4,4,4)</f>
        <v>Qtr 1</v>
      </c>
      <c r="G332" s="3" t="str">
        <f>TEXT(Table1[[#This Row],[Date]],"mmmm")</f>
        <v>January</v>
      </c>
      <c r="H332" s="3" t="s">
        <v>1081</v>
      </c>
      <c r="I332" s="3" t="s">
        <v>33</v>
      </c>
      <c r="J332" s="3">
        <v>4</v>
      </c>
      <c r="K332" s="3">
        <v>52359.42</v>
      </c>
      <c r="L332" s="3">
        <f>Table1[[#This Row],[Price Per Unit]]*Table1[[#This Row],[Units Sold]]</f>
        <v>209437.68</v>
      </c>
      <c r="M332" s="3" t="s">
        <v>328</v>
      </c>
      <c r="N332" s="3">
        <v>59</v>
      </c>
      <c r="O332" s="3" t="s">
        <v>24</v>
      </c>
      <c r="P332" s="3" t="s">
        <v>16</v>
      </c>
      <c r="Q332" s="4">
        <v>3</v>
      </c>
      <c r="R332" s="4" t="str">
        <f>IF(Table1[[#This Row],[Customer Ratings]]&gt;=4, "Good",IF(Table1[[#This Row],[Customer Ratings]]=3, "Average","Poor"))</f>
        <v>Average</v>
      </c>
      <c r="S332" s="3" t="s">
        <v>83</v>
      </c>
    </row>
    <row r="333" spans="1:19" x14ac:dyDescent="0.25">
      <c r="A333" s="3">
        <v>332</v>
      </c>
      <c r="B333" s="5">
        <f>DATE(Table1[[#This Row],[Year]],Table1[[#This Row],[Month]],Table1[[#This Row],[Day]])</f>
        <v>44571</v>
      </c>
      <c r="C333" s="3">
        <v>10</v>
      </c>
      <c r="D333" s="3">
        <v>1</v>
      </c>
      <c r="E333" s="3">
        <v>2022</v>
      </c>
      <c r="F333" s="3" t="str">
        <f>"Qtr"&amp; " " &amp;CHOOSE(MONTH(Table1[[#This Row],[Date]]),1,1,1,2,2,2,3,3,3,4,4,4)</f>
        <v>Qtr 1</v>
      </c>
      <c r="G333" s="3" t="str">
        <f>TEXT(Table1[[#This Row],[Date]],"mmmm")</f>
        <v>January</v>
      </c>
      <c r="H333" s="3" t="s">
        <v>1081</v>
      </c>
      <c r="I333" s="3" t="s">
        <v>39</v>
      </c>
      <c r="J333" s="3">
        <v>7</v>
      </c>
      <c r="K333" s="3">
        <v>24051.94</v>
      </c>
      <c r="L333" s="3">
        <f>Table1[[#This Row],[Price Per Unit]]*Table1[[#This Row],[Units Sold]]</f>
        <v>168363.58</v>
      </c>
      <c r="M333" s="3" t="s">
        <v>329</v>
      </c>
      <c r="N333" s="3">
        <v>43</v>
      </c>
      <c r="O333" s="3" t="s">
        <v>24</v>
      </c>
      <c r="P333" s="3" t="s">
        <v>16</v>
      </c>
      <c r="Q333" s="4">
        <v>3</v>
      </c>
      <c r="R333" s="4" t="str">
        <f>IF(Table1[[#This Row],[Customer Ratings]]&gt;=4, "Good",IF(Table1[[#This Row],[Customer Ratings]]=3, "Average","Poor"))</f>
        <v>Average</v>
      </c>
      <c r="S333" s="3" t="s">
        <v>76</v>
      </c>
    </row>
    <row r="334" spans="1:19" x14ac:dyDescent="0.25">
      <c r="A334" s="3">
        <v>333</v>
      </c>
      <c r="B334" s="5">
        <f>DATE(Table1[[#This Row],[Year]],Table1[[#This Row],[Month]],Table1[[#This Row],[Day]])</f>
        <v>44571</v>
      </c>
      <c r="C334" s="3">
        <v>10</v>
      </c>
      <c r="D334" s="3">
        <v>1</v>
      </c>
      <c r="E334" s="3">
        <v>2022</v>
      </c>
      <c r="F334" s="3" t="str">
        <f>"Qtr"&amp; " " &amp;CHOOSE(MONTH(Table1[[#This Row],[Date]]),1,1,1,2,2,2,3,3,3,4,4,4)</f>
        <v>Qtr 1</v>
      </c>
      <c r="G334" s="3" t="str">
        <f>TEXT(Table1[[#This Row],[Date]],"mmmm")</f>
        <v>January</v>
      </c>
      <c r="H334" s="3" t="s">
        <v>1081</v>
      </c>
      <c r="I334" s="3" t="s">
        <v>13</v>
      </c>
      <c r="J334" s="3">
        <v>6</v>
      </c>
      <c r="K334" s="3">
        <v>26178.06</v>
      </c>
      <c r="L334" s="3">
        <f>Table1[[#This Row],[Price Per Unit]]*Table1[[#This Row],[Units Sold]]</f>
        <v>157068.36000000002</v>
      </c>
      <c r="M334" s="3" t="s">
        <v>330</v>
      </c>
      <c r="N334" s="3">
        <v>57</v>
      </c>
      <c r="O334" s="3" t="s">
        <v>24</v>
      </c>
      <c r="P334" s="3" t="s">
        <v>31</v>
      </c>
      <c r="Q334" s="4">
        <v>5</v>
      </c>
      <c r="R334" s="4" t="str">
        <f>IF(Table1[[#This Row],[Customer Ratings]]&gt;=4, "Good",IF(Table1[[#This Row],[Customer Ratings]]=3, "Average","Poor"))</f>
        <v>Good</v>
      </c>
      <c r="S334" s="3" t="s">
        <v>17</v>
      </c>
    </row>
    <row r="335" spans="1:19" x14ac:dyDescent="0.25">
      <c r="A335" s="3">
        <v>334</v>
      </c>
      <c r="B335" s="5">
        <f>DATE(Table1[[#This Row],[Year]],Table1[[#This Row],[Month]],Table1[[#This Row],[Day]])</f>
        <v>44572</v>
      </c>
      <c r="C335" s="3">
        <v>11</v>
      </c>
      <c r="D335" s="3">
        <v>1</v>
      </c>
      <c r="E335" s="3">
        <v>2022</v>
      </c>
      <c r="F335" s="3" t="str">
        <f>"Qtr"&amp; " " &amp;CHOOSE(MONTH(Table1[[#This Row],[Date]]),1,1,1,2,2,2,3,3,3,4,4,4)</f>
        <v>Qtr 1</v>
      </c>
      <c r="G335" s="3" t="str">
        <f>TEXT(Table1[[#This Row],[Date]],"mmmm")</f>
        <v>January</v>
      </c>
      <c r="H335" s="3" t="s">
        <v>1082</v>
      </c>
      <c r="I335" s="3" t="s">
        <v>33</v>
      </c>
      <c r="J335" s="3">
        <v>2</v>
      </c>
      <c r="K335" s="3">
        <v>49286.239999999998</v>
      </c>
      <c r="L335" s="3">
        <f>Table1[[#This Row],[Price Per Unit]]*Table1[[#This Row],[Units Sold]]</f>
        <v>98572.479999999996</v>
      </c>
      <c r="M335" s="3" t="s">
        <v>331</v>
      </c>
      <c r="N335" s="3">
        <v>20</v>
      </c>
      <c r="O335" s="3" t="s">
        <v>20</v>
      </c>
      <c r="P335" s="3" t="s">
        <v>21</v>
      </c>
      <c r="Q335" s="4">
        <v>3</v>
      </c>
      <c r="R335" s="4" t="str">
        <f>IF(Table1[[#This Row],[Customer Ratings]]&gt;=4, "Good",IF(Table1[[#This Row],[Customer Ratings]]=3, "Average","Poor"))</f>
        <v>Average</v>
      </c>
      <c r="S335" s="3" t="s">
        <v>83</v>
      </c>
    </row>
    <row r="336" spans="1:19" x14ac:dyDescent="0.25">
      <c r="A336" s="3">
        <v>335</v>
      </c>
      <c r="B336" s="5">
        <f>DATE(Table1[[#This Row],[Year]],Table1[[#This Row],[Month]],Table1[[#This Row],[Day]])</f>
        <v>44572</v>
      </c>
      <c r="C336" s="3">
        <v>11</v>
      </c>
      <c r="D336" s="3">
        <v>1</v>
      </c>
      <c r="E336" s="3">
        <v>2022</v>
      </c>
      <c r="F336" s="3" t="str">
        <f>"Qtr"&amp; " " &amp;CHOOSE(MONTH(Table1[[#This Row],[Date]]),1,1,1,2,2,2,3,3,3,4,4,4)</f>
        <v>Qtr 1</v>
      </c>
      <c r="G336" s="3" t="str">
        <f>TEXT(Table1[[#This Row],[Date]],"mmmm")</f>
        <v>January</v>
      </c>
      <c r="H336" s="3" t="s">
        <v>1082</v>
      </c>
      <c r="I336" s="3" t="s">
        <v>18</v>
      </c>
      <c r="J336" s="3">
        <v>8</v>
      </c>
      <c r="K336" s="3">
        <v>33405.160000000003</v>
      </c>
      <c r="L336" s="3">
        <f>Table1[[#This Row],[Price Per Unit]]*Table1[[#This Row],[Units Sold]]</f>
        <v>267241.28000000003</v>
      </c>
      <c r="M336" s="3" t="s">
        <v>332</v>
      </c>
      <c r="N336" s="3">
        <v>39</v>
      </c>
      <c r="O336" s="3" t="s">
        <v>102</v>
      </c>
      <c r="P336" s="3" t="s">
        <v>45</v>
      </c>
      <c r="Q336" s="4">
        <v>5</v>
      </c>
      <c r="R336" s="4" t="str">
        <f>IF(Table1[[#This Row],[Customer Ratings]]&gt;=4, "Good",IF(Table1[[#This Row],[Customer Ratings]]=3, "Average","Poor"))</f>
        <v>Good</v>
      </c>
      <c r="S336" s="3" t="s">
        <v>22</v>
      </c>
    </row>
    <row r="337" spans="1:19" x14ac:dyDescent="0.25">
      <c r="A337" s="3">
        <v>336</v>
      </c>
      <c r="B337" s="5">
        <f>DATE(Table1[[#This Row],[Year]],Table1[[#This Row],[Month]],Table1[[#This Row],[Day]])</f>
        <v>44572</v>
      </c>
      <c r="C337" s="3">
        <v>11</v>
      </c>
      <c r="D337" s="3">
        <v>1</v>
      </c>
      <c r="E337" s="3">
        <v>2022</v>
      </c>
      <c r="F337" s="3" t="str">
        <f>"Qtr"&amp; " " &amp;CHOOSE(MONTH(Table1[[#This Row],[Date]]),1,1,1,2,2,2,3,3,3,4,4,4)</f>
        <v>Qtr 1</v>
      </c>
      <c r="G337" s="3" t="str">
        <f>TEXT(Table1[[#This Row],[Date]],"mmmm")</f>
        <v>January</v>
      </c>
      <c r="H337" s="3" t="s">
        <v>1082</v>
      </c>
      <c r="I337" s="3" t="s">
        <v>28</v>
      </c>
      <c r="J337" s="3">
        <v>9</v>
      </c>
      <c r="K337" s="3">
        <v>21672.880000000001</v>
      </c>
      <c r="L337" s="3">
        <f>Table1[[#This Row],[Price Per Unit]]*Table1[[#This Row],[Units Sold]]</f>
        <v>195055.92</v>
      </c>
      <c r="M337" s="3" t="s">
        <v>333</v>
      </c>
      <c r="N337" s="3">
        <v>43</v>
      </c>
      <c r="O337" s="3" t="s">
        <v>48</v>
      </c>
      <c r="P337" s="3" t="s">
        <v>45</v>
      </c>
      <c r="Q337" s="4">
        <v>5</v>
      </c>
      <c r="R337" s="4" t="str">
        <f>IF(Table1[[#This Row],[Customer Ratings]]&gt;=4, "Good",IF(Table1[[#This Row],[Customer Ratings]]=3, "Average","Poor"))</f>
        <v>Good</v>
      </c>
      <c r="S337" s="3" t="s">
        <v>87</v>
      </c>
    </row>
    <row r="338" spans="1:19" x14ac:dyDescent="0.25">
      <c r="A338" s="3">
        <v>337</v>
      </c>
      <c r="B338" s="5">
        <f>DATE(Table1[[#This Row],[Year]],Table1[[#This Row],[Month]],Table1[[#This Row],[Day]])</f>
        <v>44572</v>
      </c>
      <c r="C338" s="3">
        <v>11</v>
      </c>
      <c r="D338" s="3">
        <v>1</v>
      </c>
      <c r="E338" s="3">
        <v>2022</v>
      </c>
      <c r="F338" s="3" t="str">
        <f>"Qtr"&amp; " " &amp;CHOOSE(MONTH(Table1[[#This Row],[Date]]),1,1,1,2,2,2,3,3,3,4,4,4)</f>
        <v>Qtr 1</v>
      </c>
      <c r="G338" s="3" t="str">
        <f>TEXT(Table1[[#This Row],[Date]],"mmmm")</f>
        <v>January</v>
      </c>
      <c r="H338" s="3" t="s">
        <v>1082</v>
      </c>
      <c r="I338" s="3" t="s">
        <v>33</v>
      </c>
      <c r="J338" s="3">
        <v>5</v>
      </c>
      <c r="K338" s="3">
        <v>53900.78</v>
      </c>
      <c r="L338" s="3">
        <f>Table1[[#This Row],[Price Per Unit]]*Table1[[#This Row],[Units Sold]]</f>
        <v>269503.90000000002</v>
      </c>
      <c r="M338" s="3" t="s">
        <v>334</v>
      </c>
      <c r="N338" s="3">
        <v>36</v>
      </c>
      <c r="O338" s="3" t="s">
        <v>20</v>
      </c>
      <c r="P338" s="3" t="s">
        <v>45</v>
      </c>
      <c r="Q338" s="4">
        <v>5</v>
      </c>
      <c r="R338" s="4" t="str">
        <f>IF(Table1[[#This Row],[Customer Ratings]]&gt;=4, "Good",IF(Table1[[#This Row],[Customer Ratings]]=3, "Average","Poor"))</f>
        <v>Good</v>
      </c>
      <c r="S338" s="3" t="s">
        <v>36</v>
      </c>
    </row>
    <row r="339" spans="1:19" x14ac:dyDescent="0.25">
      <c r="A339" s="3">
        <v>338</v>
      </c>
      <c r="B339" s="5">
        <f>DATE(Table1[[#This Row],[Year]],Table1[[#This Row],[Month]],Table1[[#This Row],[Day]])</f>
        <v>44573</v>
      </c>
      <c r="C339" s="3">
        <v>12</v>
      </c>
      <c r="D339" s="3">
        <v>1</v>
      </c>
      <c r="E339" s="3">
        <v>2022</v>
      </c>
      <c r="F339" s="3" t="str">
        <f>"Qtr"&amp; " " &amp;CHOOSE(MONTH(Table1[[#This Row],[Date]]),1,1,1,2,2,2,3,3,3,4,4,4)</f>
        <v>Qtr 1</v>
      </c>
      <c r="G339" s="3" t="str">
        <f>TEXT(Table1[[#This Row],[Date]],"mmmm")</f>
        <v>January</v>
      </c>
      <c r="H339" s="3" t="s">
        <v>1083</v>
      </c>
      <c r="I339" s="3" t="s">
        <v>13</v>
      </c>
      <c r="J339" s="3">
        <v>4</v>
      </c>
      <c r="K339" s="3">
        <v>19248.849999999999</v>
      </c>
      <c r="L339" s="3">
        <f>Table1[[#This Row],[Price Per Unit]]*Table1[[#This Row],[Units Sold]]</f>
        <v>76995.399999999994</v>
      </c>
      <c r="M339" s="3" t="s">
        <v>234</v>
      </c>
      <c r="N339" s="3">
        <v>56</v>
      </c>
      <c r="O339" s="3" t="s">
        <v>137</v>
      </c>
      <c r="P339" s="3" t="s">
        <v>16</v>
      </c>
      <c r="Q339" s="4">
        <v>5</v>
      </c>
      <c r="R339" s="4" t="str">
        <f>IF(Table1[[#This Row],[Customer Ratings]]&gt;=4, "Good",IF(Table1[[#This Row],[Customer Ratings]]=3, "Average","Poor"))</f>
        <v>Good</v>
      </c>
      <c r="S339" s="3" t="s">
        <v>17</v>
      </c>
    </row>
    <row r="340" spans="1:19" x14ac:dyDescent="0.25">
      <c r="A340" s="3">
        <v>339</v>
      </c>
      <c r="B340" s="5">
        <f>DATE(Table1[[#This Row],[Year]],Table1[[#This Row],[Month]],Table1[[#This Row],[Day]])</f>
        <v>44573</v>
      </c>
      <c r="C340" s="3">
        <v>12</v>
      </c>
      <c r="D340" s="3">
        <v>1</v>
      </c>
      <c r="E340" s="3">
        <v>2022</v>
      </c>
      <c r="F340" s="3" t="str">
        <f>"Qtr"&amp; " " &amp;CHOOSE(MONTH(Table1[[#This Row],[Date]]),1,1,1,2,2,2,3,3,3,4,4,4)</f>
        <v>Qtr 1</v>
      </c>
      <c r="G340" s="3" t="str">
        <f>TEXT(Table1[[#This Row],[Date]],"mmmm")</f>
        <v>January</v>
      </c>
      <c r="H340" s="3" t="s">
        <v>1083</v>
      </c>
      <c r="I340" s="3" t="s">
        <v>18</v>
      </c>
      <c r="J340" s="3">
        <v>6</v>
      </c>
      <c r="K340" s="3">
        <v>61338.62</v>
      </c>
      <c r="L340" s="3">
        <f>Table1[[#This Row],[Price Per Unit]]*Table1[[#This Row],[Units Sold]]</f>
        <v>368031.72000000003</v>
      </c>
      <c r="M340" s="3" t="s">
        <v>335</v>
      </c>
      <c r="N340" s="3">
        <v>53</v>
      </c>
      <c r="O340" s="3" t="s">
        <v>125</v>
      </c>
      <c r="P340" s="3" t="s">
        <v>45</v>
      </c>
      <c r="Q340" s="4">
        <v>5</v>
      </c>
      <c r="R340" s="4" t="str">
        <f>IF(Table1[[#This Row],[Customer Ratings]]&gt;=4, "Good",IF(Table1[[#This Row],[Customer Ratings]]=3, "Average","Poor"))</f>
        <v>Good</v>
      </c>
      <c r="S340" s="3" t="s">
        <v>22</v>
      </c>
    </row>
    <row r="341" spans="1:19" x14ac:dyDescent="0.25">
      <c r="A341" s="3">
        <v>340</v>
      </c>
      <c r="B341" s="5">
        <f>DATE(Table1[[#This Row],[Year]],Table1[[#This Row],[Month]],Table1[[#This Row],[Day]])</f>
        <v>44573</v>
      </c>
      <c r="C341" s="3">
        <v>12</v>
      </c>
      <c r="D341" s="3">
        <v>1</v>
      </c>
      <c r="E341" s="3">
        <v>2022</v>
      </c>
      <c r="F341" s="3" t="str">
        <f>"Qtr"&amp; " " &amp;CHOOSE(MONTH(Table1[[#This Row],[Date]]),1,1,1,2,2,2,3,3,3,4,4,4)</f>
        <v>Qtr 1</v>
      </c>
      <c r="G341" s="3" t="str">
        <f>TEXT(Table1[[#This Row],[Date]],"mmmm")</f>
        <v>January</v>
      </c>
      <c r="H341" s="3" t="s">
        <v>1083</v>
      </c>
      <c r="I341" s="3" t="s">
        <v>13</v>
      </c>
      <c r="J341" s="3">
        <v>8</v>
      </c>
      <c r="K341" s="3">
        <v>40880.17</v>
      </c>
      <c r="L341" s="3">
        <f>Table1[[#This Row],[Price Per Unit]]*Table1[[#This Row],[Units Sold]]</f>
        <v>327041.36</v>
      </c>
      <c r="M341" s="3" t="s">
        <v>336</v>
      </c>
      <c r="N341" s="3">
        <v>38</v>
      </c>
      <c r="O341" s="3" t="s">
        <v>20</v>
      </c>
      <c r="P341" s="3" t="s">
        <v>21</v>
      </c>
      <c r="Q341" s="4">
        <v>3</v>
      </c>
      <c r="R341" s="4" t="str">
        <f>IF(Table1[[#This Row],[Customer Ratings]]&gt;=4, "Good",IF(Table1[[#This Row],[Customer Ratings]]=3, "Average","Poor"))</f>
        <v>Average</v>
      </c>
      <c r="S341" s="3" t="s">
        <v>72</v>
      </c>
    </row>
    <row r="342" spans="1:19" x14ac:dyDescent="0.25">
      <c r="A342" s="3">
        <v>341</v>
      </c>
      <c r="B342" s="5">
        <f>DATE(Table1[[#This Row],[Year]],Table1[[#This Row],[Month]],Table1[[#This Row],[Day]])</f>
        <v>44573</v>
      </c>
      <c r="C342" s="3">
        <v>12</v>
      </c>
      <c r="D342" s="3">
        <v>1</v>
      </c>
      <c r="E342" s="3">
        <v>2022</v>
      </c>
      <c r="F342" s="3" t="str">
        <f>"Qtr"&amp; " " &amp;CHOOSE(MONTH(Table1[[#This Row],[Date]]),1,1,1,2,2,2,3,3,3,4,4,4)</f>
        <v>Qtr 1</v>
      </c>
      <c r="G342" s="3" t="str">
        <f>TEXT(Table1[[#This Row],[Date]],"mmmm")</f>
        <v>January</v>
      </c>
      <c r="H342" s="3" t="s">
        <v>1083</v>
      </c>
      <c r="I342" s="3" t="s">
        <v>13</v>
      </c>
      <c r="J342" s="3">
        <v>3</v>
      </c>
      <c r="K342" s="3">
        <v>16342.04</v>
      </c>
      <c r="L342" s="3">
        <f>Table1[[#This Row],[Price Per Unit]]*Table1[[#This Row],[Units Sold]]</f>
        <v>49026.12</v>
      </c>
      <c r="M342" s="3" t="s">
        <v>337</v>
      </c>
      <c r="N342" s="3">
        <v>58</v>
      </c>
      <c r="O342" s="3" t="s">
        <v>20</v>
      </c>
      <c r="P342" s="3" t="s">
        <v>45</v>
      </c>
      <c r="Q342" s="4">
        <v>3</v>
      </c>
      <c r="R342" s="4" t="str">
        <f>IF(Table1[[#This Row],[Customer Ratings]]&gt;=4, "Good",IF(Table1[[#This Row],[Customer Ratings]]=3, "Average","Poor"))</f>
        <v>Average</v>
      </c>
      <c r="S342" s="3" t="s">
        <v>27</v>
      </c>
    </row>
    <row r="343" spans="1:19" x14ac:dyDescent="0.25">
      <c r="A343" s="3">
        <v>342</v>
      </c>
      <c r="B343" s="5">
        <f>DATE(Table1[[#This Row],[Year]],Table1[[#This Row],[Month]],Table1[[#This Row],[Day]])</f>
        <v>44574</v>
      </c>
      <c r="C343" s="3">
        <v>13</v>
      </c>
      <c r="D343" s="3">
        <v>1</v>
      </c>
      <c r="E343" s="3">
        <v>2022</v>
      </c>
      <c r="F343" s="3" t="str">
        <f>"Qtr"&amp; " " &amp;CHOOSE(MONTH(Table1[[#This Row],[Date]]),1,1,1,2,2,2,3,3,3,4,4,4)</f>
        <v>Qtr 1</v>
      </c>
      <c r="G343" s="3" t="str">
        <f>TEXT(Table1[[#This Row],[Date]],"mmmm")</f>
        <v>January</v>
      </c>
      <c r="H343" s="3" t="s">
        <v>1084</v>
      </c>
      <c r="I343" s="3" t="s">
        <v>18</v>
      </c>
      <c r="J343" s="3">
        <v>1</v>
      </c>
      <c r="K343" s="3">
        <v>51644.34</v>
      </c>
      <c r="L343" s="3">
        <f>Table1[[#This Row],[Price Per Unit]]*Table1[[#This Row],[Units Sold]]</f>
        <v>51644.34</v>
      </c>
      <c r="M343" s="3" t="s">
        <v>338</v>
      </c>
      <c r="N343" s="3">
        <v>43</v>
      </c>
      <c r="O343" s="3" t="s">
        <v>20</v>
      </c>
      <c r="P343" s="3" t="s">
        <v>16</v>
      </c>
      <c r="Q343" s="4">
        <v>5</v>
      </c>
      <c r="R343" s="4" t="str">
        <f>IF(Table1[[#This Row],[Customer Ratings]]&gt;=4, "Good",IF(Table1[[#This Row],[Customer Ratings]]=3, "Average","Poor"))</f>
        <v>Good</v>
      </c>
      <c r="S343" s="3" t="s">
        <v>25</v>
      </c>
    </row>
    <row r="344" spans="1:19" x14ac:dyDescent="0.25">
      <c r="A344" s="3">
        <v>343</v>
      </c>
      <c r="B344" s="5">
        <f>DATE(Table1[[#This Row],[Year]],Table1[[#This Row],[Month]],Table1[[#This Row],[Day]])</f>
        <v>44574</v>
      </c>
      <c r="C344" s="3">
        <v>13</v>
      </c>
      <c r="D344" s="3">
        <v>1</v>
      </c>
      <c r="E344" s="3">
        <v>2022</v>
      </c>
      <c r="F344" s="3" t="str">
        <f>"Qtr"&amp; " " &amp;CHOOSE(MONTH(Table1[[#This Row],[Date]]),1,1,1,2,2,2,3,3,3,4,4,4)</f>
        <v>Qtr 1</v>
      </c>
      <c r="G344" s="3" t="str">
        <f>TEXT(Table1[[#This Row],[Date]],"mmmm")</f>
        <v>January</v>
      </c>
      <c r="H344" s="3" t="s">
        <v>1084</v>
      </c>
      <c r="I344" s="3" t="s">
        <v>13</v>
      </c>
      <c r="J344" s="3">
        <v>4</v>
      </c>
      <c r="K344" s="3">
        <v>41149.78</v>
      </c>
      <c r="L344" s="3">
        <f>Table1[[#This Row],[Price Per Unit]]*Table1[[#This Row],[Units Sold]]</f>
        <v>164599.12</v>
      </c>
      <c r="M344" s="3" t="s">
        <v>207</v>
      </c>
      <c r="N344" s="3">
        <v>30</v>
      </c>
      <c r="O344" s="3" t="s">
        <v>20</v>
      </c>
      <c r="P344" s="3" t="s">
        <v>16</v>
      </c>
      <c r="Q344" s="4">
        <v>5</v>
      </c>
      <c r="R344" s="4" t="str">
        <f>IF(Table1[[#This Row],[Customer Ratings]]&gt;=4, "Good",IF(Table1[[#This Row],[Customer Ratings]]=3, "Average","Poor"))</f>
        <v>Good</v>
      </c>
      <c r="S344" s="3" t="s">
        <v>27</v>
      </c>
    </row>
    <row r="345" spans="1:19" x14ac:dyDescent="0.25">
      <c r="A345" s="3">
        <v>344</v>
      </c>
      <c r="B345" s="5">
        <f>DATE(Table1[[#This Row],[Year]],Table1[[#This Row],[Month]],Table1[[#This Row],[Day]])</f>
        <v>44574</v>
      </c>
      <c r="C345" s="3">
        <v>13</v>
      </c>
      <c r="D345" s="3">
        <v>1</v>
      </c>
      <c r="E345" s="3">
        <v>2022</v>
      </c>
      <c r="F345" s="3" t="str">
        <f>"Qtr"&amp; " " &amp;CHOOSE(MONTH(Table1[[#This Row],[Date]]),1,1,1,2,2,2,3,3,3,4,4,4)</f>
        <v>Qtr 1</v>
      </c>
      <c r="G345" s="3" t="str">
        <f>TEXT(Table1[[#This Row],[Date]],"mmmm")</f>
        <v>January</v>
      </c>
      <c r="H345" s="3" t="s">
        <v>1084</v>
      </c>
      <c r="I345" s="3" t="s">
        <v>18</v>
      </c>
      <c r="J345" s="3">
        <v>4</v>
      </c>
      <c r="K345" s="3">
        <v>27883.45</v>
      </c>
      <c r="L345" s="3">
        <f>Table1[[#This Row],[Price Per Unit]]*Table1[[#This Row],[Units Sold]]</f>
        <v>111533.8</v>
      </c>
      <c r="M345" s="3" t="s">
        <v>339</v>
      </c>
      <c r="N345" s="3">
        <v>53</v>
      </c>
      <c r="O345" s="3" t="s">
        <v>120</v>
      </c>
      <c r="P345" s="3" t="s">
        <v>45</v>
      </c>
      <c r="Q345" s="4">
        <v>5</v>
      </c>
      <c r="R345" s="4" t="str">
        <f>IF(Table1[[#This Row],[Customer Ratings]]&gt;=4, "Good",IF(Table1[[#This Row],[Customer Ratings]]=3, "Average","Poor"))</f>
        <v>Good</v>
      </c>
      <c r="S345" s="3" t="s">
        <v>55</v>
      </c>
    </row>
    <row r="346" spans="1:19" x14ac:dyDescent="0.25">
      <c r="A346" s="3">
        <v>345</v>
      </c>
      <c r="B346" s="5">
        <f>DATE(Table1[[#This Row],[Year]],Table1[[#This Row],[Month]],Table1[[#This Row],[Day]])</f>
        <v>44574</v>
      </c>
      <c r="C346" s="3">
        <v>13</v>
      </c>
      <c r="D346" s="3">
        <v>1</v>
      </c>
      <c r="E346" s="3">
        <v>2022</v>
      </c>
      <c r="F346" s="3" t="str">
        <f>"Qtr"&amp; " " &amp;CHOOSE(MONTH(Table1[[#This Row],[Date]]),1,1,1,2,2,2,3,3,3,4,4,4)</f>
        <v>Qtr 1</v>
      </c>
      <c r="G346" s="3" t="str">
        <f>TEXT(Table1[[#This Row],[Date]],"mmmm")</f>
        <v>January</v>
      </c>
      <c r="H346" s="3" t="s">
        <v>1084</v>
      </c>
      <c r="I346" s="3" t="s">
        <v>33</v>
      </c>
      <c r="J346" s="3">
        <v>1</v>
      </c>
      <c r="K346" s="3">
        <v>35352.36</v>
      </c>
      <c r="L346" s="3">
        <f>Table1[[#This Row],[Price Per Unit]]*Table1[[#This Row],[Units Sold]]</f>
        <v>35352.36</v>
      </c>
      <c r="M346" s="3" t="s">
        <v>340</v>
      </c>
      <c r="N346" s="3">
        <v>41</v>
      </c>
      <c r="O346" s="3" t="s">
        <v>20</v>
      </c>
      <c r="P346" s="3" t="s">
        <v>16</v>
      </c>
      <c r="Q346" s="4">
        <v>5</v>
      </c>
      <c r="R346" s="4" t="str">
        <f>IF(Table1[[#This Row],[Customer Ratings]]&gt;=4, "Good",IF(Table1[[#This Row],[Customer Ratings]]=3, "Average","Poor"))</f>
        <v>Good</v>
      </c>
      <c r="S346" s="3" t="s">
        <v>36</v>
      </c>
    </row>
    <row r="347" spans="1:19" x14ac:dyDescent="0.25">
      <c r="A347" s="3">
        <v>346</v>
      </c>
      <c r="B347" s="5">
        <f>DATE(Table1[[#This Row],[Year]],Table1[[#This Row],[Month]],Table1[[#This Row],[Day]])</f>
        <v>44575</v>
      </c>
      <c r="C347" s="3">
        <v>14</v>
      </c>
      <c r="D347" s="3">
        <v>1</v>
      </c>
      <c r="E347" s="3">
        <v>2022</v>
      </c>
      <c r="F347" s="3" t="str">
        <f>"Qtr"&amp; " " &amp;CHOOSE(MONTH(Table1[[#This Row],[Date]]),1,1,1,2,2,2,3,3,3,4,4,4)</f>
        <v>Qtr 1</v>
      </c>
      <c r="G347" s="3" t="str">
        <f>TEXT(Table1[[#This Row],[Date]],"mmmm")</f>
        <v>January</v>
      </c>
      <c r="H347" s="3" t="s">
        <v>1085</v>
      </c>
      <c r="I347" s="3" t="s">
        <v>18</v>
      </c>
      <c r="J347" s="3">
        <v>9</v>
      </c>
      <c r="K347" s="3">
        <v>27900.26</v>
      </c>
      <c r="L347" s="3">
        <f>Table1[[#This Row],[Price Per Unit]]*Table1[[#This Row],[Units Sold]]</f>
        <v>251102.34</v>
      </c>
      <c r="M347" s="3" t="s">
        <v>341</v>
      </c>
      <c r="N347" s="3">
        <v>58</v>
      </c>
      <c r="O347" s="3" t="s">
        <v>20</v>
      </c>
      <c r="P347" s="3" t="s">
        <v>45</v>
      </c>
      <c r="Q347" s="4">
        <v>4</v>
      </c>
      <c r="R347" s="4" t="str">
        <f>IF(Table1[[#This Row],[Customer Ratings]]&gt;=4, "Good",IF(Table1[[#This Row],[Customer Ratings]]=3, "Average","Poor"))</f>
        <v>Good</v>
      </c>
      <c r="S347" s="3" t="s">
        <v>25</v>
      </c>
    </row>
    <row r="348" spans="1:19" x14ac:dyDescent="0.25">
      <c r="A348" s="3">
        <v>347</v>
      </c>
      <c r="B348" s="5">
        <f>DATE(Table1[[#This Row],[Year]],Table1[[#This Row],[Month]],Table1[[#This Row],[Day]])</f>
        <v>44575</v>
      </c>
      <c r="C348" s="3">
        <v>14</v>
      </c>
      <c r="D348" s="3">
        <v>1</v>
      </c>
      <c r="E348" s="3">
        <v>2022</v>
      </c>
      <c r="F348" s="3" t="str">
        <f>"Qtr"&amp; " " &amp;CHOOSE(MONTH(Table1[[#This Row],[Date]]),1,1,1,2,2,2,3,3,3,4,4,4)</f>
        <v>Qtr 1</v>
      </c>
      <c r="G348" s="3" t="str">
        <f>TEXT(Table1[[#This Row],[Date]],"mmmm")</f>
        <v>January</v>
      </c>
      <c r="H348" s="3" t="s">
        <v>1085</v>
      </c>
      <c r="I348" s="3" t="s">
        <v>18</v>
      </c>
      <c r="J348" s="3">
        <v>3</v>
      </c>
      <c r="K348" s="3">
        <v>25781.55</v>
      </c>
      <c r="L348" s="3">
        <f>Table1[[#This Row],[Price Per Unit]]*Table1[[#This Row],[Units Sold]]</f>
        <v>77344.649999999994</v>
      </c>
      <c r="M348" s="3" t="s">
        <v>342</v>
      </c>
      <c r="N348" s="3">
        <v>43</v>
      </c>
      <c r="O348" s="3" t="s">
        <v>35</v>
      </c>
      <c r="P348" s="3" t="s">
        <v>16</v>
      </c>
      <c r="Q348" s="4">
        <v>4</v>
      </c>
      <c r="R348" s="4" t="str">
        <f>IF(Table1[[#This Row],[Customer Ratings]]&gt;=4, "Good",IF(Table1[[#This Row],[Customer Ratings]]=3, "Average","Poor"))</f>
        <v>Good</v>
      </c>
      <c r="S348" s="3" t="s">
        <v>25</v>
      </c>
    </row>
    <row r="349" spans="1:19" x14ac:dyDescent="0.25">
      <c r="A349" s="3">
        <v>348</v>
      </c>
      <c r="B349" s="5">
        <f>DATE(Table1[[#This Row],[Year]],Table1[[#This Row],[Month]],Table1[[#This Row],[Day]])</f>
        <v>44575</v>
      </c>
      <c r="C349" s="3">
        <v>14</v>
      </c>
      <c r="D349" s="3">
        <v>1</v>
      </c>
      <c r="E349" s="3">
        <v>2022</v>
      </c>
      <c r="F349" s="3" t="str">
        <f>"Qtr"&amp; " " &amp;CHOOSE(MONTH(Table1[[#This Row],[Date]]),1,1,1,2,2,2,3,3,3,4,4,4)</f>
        <v>Qtr 1</v>
      </c>
      <c r="G349" s="3" t="str">
        <f>TEXT(Table1[[#This Row],[Date]],"mmmm")</f>
        <v>January</v>
      </c>
      <c r="H349" s="3" t="s">
        <v>1085</v>
      </c>
      <c r="I349" s="3" t="s">
        <v>28</v>
      </c>
      <c r="J349" s="3">
        <v>5</v>
      </c>
      <c r="K349" s="3">
        <v>19816.509999999998</v>
      </c>
      <c r="L349" s="3">
        <f>Table1[[#This Row],[Price Per Unit]]*Table1[[#This Row],[Units Sold]]</f>
        <v>99082.549999999988</v>
      </c>
      <c r="M349" s="3" t="s">
        <v>300</v>
      </c>
      <c r="N349" s="3">
        <v>38</v>
      </c>
      <c r="O349" s="3" t="s">
        <v>137</v>
      </c>
      <c r="P349" s="3" t="s">
        <v>31</v>
      </c>
      <c r="Q349" s="4">
        <v>3</v>
      </c>
      <c r="R349" s="4" t="str">
        <f>IF(Table1[[#This Row],[Customer Ratings]]&gt;=4, "Good",IF(Table1[[#This Row],[Customer Ratings]]=3, "Average","Poor"))</f>
        <v>Average</v>
      </c>
      <c r="S349" s="3" t="s">
        <v>87</v>
      </c>
    </row>
    <row r="350" spans="1:19" x14ac:dyDescent="0.25">
      <c r="A350" s="3">
        <v>349</v>
      </c>
      <c r="B350" s="5">
        <f>DATE(Table1[[#This Row],[Year]],Table1[[#This Row],[Month]],Table1[[#This Row],[Day]])</f>
        <v>44575</v>
      </c>
      <c r="C350" s="3">
        <v>14</v>
      </c>
      <c r="D350" s="3">
        <v>1</v>
      </c>
      <c r="E350" s="3">
        <v>2022</v>
      </c>
      <c r="F350" s="3" t="str">
        <f>"Qtr"&amp; " " &amp;CHOOSE(MONTH(Table1[[#This Row],[Date]]),1,1,1,2,2,2,3,3,3,4,4,4)</f>
        <v>Qtr 1</v>
      </c>
      <c r="G350" s="3" t="str">
        <f>TEXT(Table1[[#This Row],[Date]],"mmmm")</f>
        <v>January</v>
      </c>
      <c r="H350" s="3" t="s">
        <v>1085</v>
      </c>
      <c r="I350" s="3" t="s">
        <v>18</v>
      </c>
      <c r="J350" s="3">
        <v>6</v>
      </c>
      <c r="K350" s="3">
        <v>31766.03</v>
      </c>
      <c r="L350" s="3">
        <f>Table1[[#This Row],[Price Per Unit]]*Table1[[#This Row],[Units Sold]]</f>
        <v>190596.18</v>
      </c>
      <c r="M350" s="3" t="s">
        <v>343</v>
      </c>
      <c r="N350" s="3">
        <v>35</v>
      </c>
      <c r="O350" s="3" t="s">
        <v>20</v>
      </c>
      <c r="P350" s="3" t="s">
        <v>31</v>
      </c>
      <c r="Q350" s="4">
        <v>4</v>
      </c>
      <c r="R350" s="4" t="str">
        <f>IF(Table1[[#This Row],[Customer Ratings]]&gt;=4, "Good",IF(Table1[[#This Row],[Customer Ratings]]=3, "Average","Poor"))</f>
        <v>Good</v>
      </c>
      <c r="S350" s="3" t="s">
        <v>25</v>
      </c>
    </row>
    <row r="351" spans="1:19" x14ac:dyDescent="0.25">
      <c r="A351" s="3">
        <v>350</v>
      </c>
      <c r="B351" s="5">
        <f>DATE(Table1[[#This Row],[Year]],Table1[[#This Row],[Month]],Table1[[#This Row],[Day]])</f>
        <v>44576</v>
      </c>
      <c r="C351" s="3">
        <v>15</v>
      </c>
      <c r="D351" s="3">
        <v>1</v>
      </c>
      <c r="E351" s="3">
        <v>2022</v>
      </c>
      <c r="F351" s="3" t="str">
        <f>"Qtr"&amp; " " &amp;CHOOSE(MONTH(Table1[[#This Row],[Date]]),1,1,1,2,2,2,3,3,3,4,4,4)</f>
        <v>Qtr 1</v>
      </c>
      <c r="G351" s="3" t="str">
        <f>TEXT(Table1[[#This Row],[Date]],"mmmm")</f>
        <v>January</v>
      </c>
      <c r="H351" s="3" t="s">
        <v>1079</v>
      </c>
      <c r="I351" s="3" t="s">
        <v>18</v>
      </c>
      <c r="J351" s="3">
        <v>8</v>
      </c>
      <c r="K351" s="3">
        <v>25059.23</v>
      </c>
      <c r="L351" s="3">
        <f>Table1[[#This Row],[Price Per Unit]]*Table1[[#This Row],[Units Sold]]</f>
        <v>200473.84</v>
      </c>
      <c r="M351" s="3" t="s">
        <v>344</v>
      </c>
      <c r="N351" s="3">
        <v>32</v>
      </c>
      <c r="O351" s="3" t="s">
        <v>102</v>
      </c>
      <c r="P351" s="3" t="s">
        <v>21</v>
      </c>
      <c r="Q351" s="4">
        <v>4</v>
      </c>
      <c r="R351" s="4" t="str">
        <f>IF(Table1[[#This Row],[Customer Ratings]]&gt;=4, "Good",IF(Table1[[#This Row],[Customer Ratings]]=3, "Average","Poor"))</f>
        <v>Good</v>
      </c>
      <c r="S351" s="3" t="s">
        <v>55</v>
      </c>
    </row>
    <row r="352" spans="1:19" x14ac:dyDescent="0.25">
      <c r="A352" s="3">
        <v>351</v>
      </c>
      <c r="B352" s="5">
        <f>DATE(Table1[[#This Row],[Year]],Table1[[#This Row],[Month]],Table1[[#This Row],[Day]])</f>
        <v>44576</v>
      </c>
      <c r="C352" s="3">
        <v>15</v>
      </c>
      <c r="D352" s="3">
        <v>1</v>
      </c>
      <c r="E352" s="3">
        <v>2022</v>
      </c>
      <c r="F352" s="3" t="str">
        <f>"Qtr"&amp; " " &amp;CHOOSE(MONTH(Table1[[#This Row],[Date]]),1,1,1,2,2,2,3,3,3,4,4,4)</f>
        <v>Qtr 1</v>
      </c>
      <c r="G352" s="3" t="str">
        <f>TEXT(Table1[[#This Row],[Date]],"mmmm")</f>
        <v>January</v>
      </c>
      <c r="H352" s="3" t="s">
        <v>1079</v>
      </c>
      <c r="I352" s="3" t="s">
        <v>33</v>
      </c>
      <c r="J352" s="3">
        <v>6</v>
      </c>
      <c r="K352" s="3">
        <v>51006.07</v>
      </c>
      <c r="L352" s="3">
        <f>Table1[[#This Row],[Price Per Unit]]*Table1[[#This Row],[Units Sold]]</f>
        <v>306036.42</v>
      </c>
      <c r="M352" s="3" t="s">
        <v>345</v>
      </c>
      <c r="N352" s="3">
        <v>32</v>
      </c>
      <c r="O352" s="3" t="s">
        <v>48</v>
      </c>
      <c r="P352" s="3" t="s">
        <v>31</v>
      </c>
      <c r="Q352" s="4">
        <v>5</v>
      </c>
      <c r="R352" s="4" t="str">
        <f>IF(Table1[[#This Row],[Customer Ratings]]&gt;=4, "Good",IF(Table1[[#This Row],[Customer Ratings]]=3, "Average","Poor"))</f>
        <v>Good</v>
      </c>
      <c r="S352" s="3" t="s">
        <v>36</v>
      </c>
    </row>
    <row r="353" spans="1:19" x14ac:dyDescent="0.25">
      <c r="A353" s="3">
        <v>352</v>
      </c>
      <c r="B353" s="5">
        <f>DATE(Table1[[#This Row],[Year]],Table1[[#This Row],[Month]],Table1[[#This Row],[Day]])</f>
        <v>44576</v>
      </c>
      <c r="C353" s="3">
        <v>15</v>
      </c>
      <c r="D353" s="3">
        <v>1</v>
      </c>
      <c r="E353" s="3">
        <v>2022</v>
      </c>
      <c r="F353" s="3" t="str">
        <f>"Qtr"&amp; " " &amp;CHOOSE(MONTH(Table1[[#This Row],[Date]]),1,1,1,2,2,2,3,3,3,4,4,4)</f>
        <v>Qtr 1</v>
      </c>
      <c r="G353" s="3" t="str">
        <f>TEXT(Table1[[#This Row],[Date]],"mmmm")</f>
        <v>January</v>
      </c>
      <c r="H353" s="3" t="s">
        <v>1079</v>
      </c>
      <c r="I353" s="3" t="s">
        <v>28</v>
      </c>
      <c r="J353" s="3">
        <v>3</v>
      </c>
      <c r="K353" s="3">
        <v>51032.6</v>
      </c>
      <c r="L353" s="3">
        <f>Table1[[#This Row],[Price Per Unit]]*Table1[[#This Row],[Units Sold]]</f>
        <v>153097.79999999999</v>
      </c>
      <c r="M353" s="3" t="s">
        <v>346</v>
      </c>
      <c r="N353" s="3">
        <v>23</v>
      </c>
      <c r="O353" s="3" t="s">
        <v>30</v>
      </c>
      <c r="P353" s="3" t="s">
        <v>45</v>
      </c>
      <c r="Q353" s="4">
        <v>5</v>
      </c>
      <c r="R353" s="4" t="str">
        <f>IF(Table1[[#This Row],[Customer Ratings]]&gt;=4, "Good",IF(Table1[[#This Row],[Customer Ratings]]=3, "Average","Poor"))</f>
        <v>Good</v>
      </c>
      <c r="S353" s="3" t="s">
        <v>38</v>
      </c>
    </row>
    <row r="354" spans="1:19" x14ac:dyDescent="0.25">
      <c r="A354" s="3">
        <v>353</v>
      </c>
      <c r="B354" s="5">
        <f>DATE(Table1[[#This Row],[Year]],Table1[[#This Row],[Month]],Table1[[#This Row],[Day]])</f>
        <v>44576</v>
      </c>
      <c r="C354" s="3">
        <v>15</v>
      </c>
      <c r="D354" s="3">
        <v>1</v>
      </c>
      <c r="E354" s="3">
        <v>2022</v>
      </c>
      <c r="F354" s="3" t="str">
        <f>"Qtr"&amp; " " &amp;CHOOSE(MONTH(Table1[[#This Row],[Date]]),1,1,1,2,2,2,3,3,3,4,4,4)</f>
        <v>Qtr 1</v>
      </c>
      <c r="G354" s="3" t="str">
        <f>TEXT(Table1[[#This Row],[Date]],"mmmm")</f>
        <v>January</v>
      </c>
      <c r="H354" s="3" t="s">
        <v>1079</v>
      </c>
      <c r="I354" s="3" t="s">
        <v>39</v>
      </c>
      <c r="J354" s="3">
        <v>6</v>
      </c>
      <c r="K354" s="3">
        <v>40110.410000000003</v>
      </c>
      <c r="L354" s="3">
        <f>Table1[[#This Row],[Price Per Unit]]*Table1[[#This Row],[Units Sold]]</f>
        <v>240662.46000000002</v>
      </c>
      <c r="M354" s="3" t="s">
        <v>347</v>
      </c>
      <c r="N354" s="3">
        <v>48</v>
      </c>
      <c r="O354" s="3" t="s">
        <v>15</v>
      </c>
      <c r="P354" s="3" t="s">
        <v>16</v>
      </c>
      <c r="Q354" s="4">
        <v>5</v>
      </c>
      <c r="R354" s="4" t="str">
        <f>IF(Table1[[#This Row],[Customer Ratings]]&gt;=4, "Good",IF(Table1[[#This Row],[Customer Ratings]]=3, "Average","Poor"))</f>
        <v>Good</v>
      </c>
      <c r="S354" s="3" t="s">
        <v>90</v>
      </c>
    </row>
    <row r="355" spans="1:19" x14ac:dyDescent="0.25">
      <c r="A355" s="3">
        <v>354</v>
      </c>
      <c r="B355" s="5">
        <f>DATE(Table1[[#This Row],[Year]],Table1[[#This Row],[Month]],Table1[[#This Row],[Day]])</f>
        <v>44577</v>
      </c>
      <c r="C355" s="3">
        <v>16</v>
      </c>
      <c r="D355" s="3">
        <v>1</v>
      </c>
      <c r="E355" s="3">
        <v>2022</v>
      </c>
      <c r="F355" s="3" t="str">
        <f>"Qtr"&amp; " " &amp;CHOOSE(MONTH(Table1[[#This Row],[Date]]),1,1,1,2,2,2,3,3,3,4,4,4)</f>
        <v>Qtr 1</v>
      </c>
      <c r="G355" s="3" t="str">
        <f>TEXT(Table1[[#This Row],[Date]],"mmmm")</f>
        <v>January</v>
      </c>
      <c r="H355" s="3" t="s">
        <v>1080</v>
      </c>
      <c r="I355" s="3" t="s">
        <v>33</v>
      </c>
      <c r="J355" s="3">
        <v>1</v>
      </c>
      <c r="K355" s="3">
        <v>56676.67</v>
      </c>
      <c r="L355" s="3">
        <f>Table1[[#This Row],[Price Per Unit]]*Table1[[#This Row],[Units Sold]]</f>
        <v>56676.67</v>
      </c>
      <c r="M355" s="3" t="s">
        <v>348</v>
      </c>
      <c r="N355" s="3">
        <v>45</v>
      </c>
      <c r="O355" s="3" t="s">
        <v>78</v>
      </c>
      <c r="P355" s="3" t="s">
        <v>21</v>
      </c>
      <c r="Q355" s="4">
        <v>5</v>
      </c>
      <c r="R355" s="4" t="str">
        <f>IF(Table1[[#This Row],[Customer Ratings]]&gt;=4, "Good",IF(Table1[[#This Row],[Customer Ratings]]=3, "Average","Poor"))</f>
        <v>Good</v>
      </c>
      <c r="S355" s="3" t="s">
        <v>36</v>
      </c>
    </row>
    <row r="356" spans="1:19" x14ac:dyDescent="0.25">
      <c r="A356" s="3">
        <v>355</v>
      </c>
      <c r="B356" s="5">
        <f>DATE(Table1[[#This Row],[Year]],Table1[[#This Row],[Month]],Table1[[#This Row],[Day]])</f>
        <v>44577</v>
      </c>
      <c r="C356" s="3">
        <v>16</v>
      </c>
      <c r="D356" s="3">
        <v>1</v>
      </c>
      <c r="E356" s="3">
        <v>2022</v>
      </c>
      <c r="F356" s="3" t="str">
        <f>"Qtr"&amp; " " &amp;CHOOSE(MONTH(Table1[[#This Row],[Date]]),1,1,1,2,2,2,3,3,3,4,4,4)</f>
        <v>Qtr 1</v>
      </c>
      <c r="G356" s="3" t="str">
        <f>TEXT(Table1[[#This Row],[Date]],"mmmm")</f>
        <v>January</v>
      </c>
      <c r="H356" s="3" t="s">
        <v>1080</v>
      </c>
      <c r="I356" s="3" t="s">
        <v>33</v>
      </c>
      <c r="J356" s="3">
        <v>4</v>
      </c>
      <c r="K356" s="3">
        <v>60480.38</v>
      </c>
      <c r="L356" s="3">
        <f>Table1[[#This Row],[Price Per Unit]]*Table1[[#This Row],[Units Sold]]</f>
        <v>241921.52</v>
      </c>
      <c r="M356" s="3" t="s">
        <v>349</v>
      </c>
      <c r="N356" s="3">
        <v>25</v>
      </c>
      <c r="O356" s="3" t="s">
        <v>30</v>
      </c>
      <c r="P356" s="3" t="s">
        <v>45</v>
      </c>
      <c r="Q356" s="4">
        <v>5</v>
      </c>
      <c r="R356" s="4" t="str">
        <f>IF(Table1[[#This Row],[Customer Ratings]]&gt;=4, "Good",IF(Table1[[#This Row],[Customer Ratings]]=3, "Average","Poor"))</f>
        <v>Good</v>
      </c>
      <c r="S356" s="3" t="s">
        <v>36</v>
      </c>
    </row>
    <row r="357" spans="1:19" x14ac:dyDescent="0.25">
      <c r="A357" s="3">
        <v>356</v>
      </c>
      <c r="B357" s="5">
        <f>DATE(Table1[[#This Row],[Year]],Table1[[#This Row],[Month]],Table1[[#This Row],[Day]])</f>
        <v>44577</v>
      </c>
      <c r="C357" s="3">
        <v>16</v>
      </c>
      <c r="D357" s="3">
        <v>1</v>
      </c>
      <c r="E357" s="3">
        <v>2022</v>
      </c>
      <c r="F357" s="3" t="str">
        <f>"Qtr"&amp; " " &amp;CHOOSE(MONTH(Table1[[#This Row],[Date]]),1,1,1,2,2,2,3,3,3,4,4,4)</f>
        <v>Qtr 1</v>
      </c>
      <c r="G357" s="3" t="str">
        <f>TEXT(Table1[[#This Row],[Date]],"mmmm")</f>
        <v>January</v>
      </c>
      <c r="H357" s="3" t="s">
        <v>1080</v>
      </c>
      <c r="I357" s="3" t="s">
        <v>39</v>
      </c>
      <c r="J357" s="3">
        <v>6</v>
      </c>
      <c r="K357" s="3">
        <v>44785.99</v>
      </c>
      <c r="L357" s="3">
        <f>Table1[[#This Row],[Price Per Unit]]*Table1[[#This Row],[Units Sold]]</f>
        <v>268715.94</v>
      </c>
      <c r="M357" s="3" t="s">
        <v>350</v>
      </c>
      <c r="N357" s="3">
        <v>46</v>
      </c>
      <c r="O357" s="3" t="s">
        <v>24</v>
      </c>
      <c r="P357" s="3" t="s">
        <v>45</v>
      </c>
      <c r="Q357" s="4">
        <v>5</v>
      </c>
      <c r="R357" s="4" t="str">
        <f>IF(Table1[[#This Row],[Customer Ratings]]&gt;=4, "Good",IF(Table1[[#This Row],[Customer Ratings]]=3, "Average","Poor"))</f>
        <v>Good</v>
      </c>
      <c r="S357" s="3" t="s">
        <v>90</v>
      </c>
    </row>
    <row r="358" spans="1:19" x14ac:dyDescent="0.25">
      <c r="A358" s="3">
        <v>357</v>
      </c>
      <c r="B358" s="5">
        <f>DATE(Table1[[#This Row],[Year]],Table1[[#This Row],[Month]],Table1[[#This Row],[Day]])</f>
        <v>44578</v>
      </c>
      <c r="C358" s="3">
        <v>17</v>
      </c>
      <c r="D358" s="3">
        <v>1</v>
      </c>
      <c r="E358" s="3">
        <v>2022</v>
      </c>
      <c r="F358" s="3" t="str">
        <f>"Qtr"&amp; " " &amp;CHOOSE(MONTH(Table1[[#This Row],[Date]]),1,1,1,2,2,2,3,3,3,4,4,4)</f>
        <v>Qtr 1</v>
      </c>
      <c r="G358" s="3" t="str">
        <f>TEXT(Table1[[#This Row],[Date]],"mmmm")</f>
        <v>January</v>
      </c>
      <c r="H358" s="3" t="s">
        <v>1081</v>
      </c>
      <c r="I358" s="3" t="s">
        <v>18</v>
      </c>
      <c r="J358" s="3">
        <v>7</v>
      </c>
      <c r="K358" s="3">
        <v>47136.11</v>
      </c>
      <c r="L358" s="3">
        <f>Table1[[#This Row],[Price Per Unit]]*Table1[[#This Row],[Units Sold]]</f>
        <v>329952.77</v>
      </c>
      <c r="M358" s="3" t="s">
        <v>351</v>
      </c>
      <c r="N358" s="3">
        <v>38</v>
      </c>
      <c r="O358" s="3" t="s">
        <v>78</v>
      </c>
      <c r="P358" s="3" t="s">
        <v>21</v>
      </c>
      <c r="Q358" s="4">
        <v>5</v>
      </c>
      <c r="R358" s="4" t="str">
        <f>IF(Table1[[#This Row],[Customer Ratings]]&gt;=4, "Good",IF(Table1[[#This Row],[Customer Ratings]]=3, "Average","Poor"))</f>
        <v>Good</v>
      </c>
      <c r="S358" s="3" t="s">
        <v>22</v>
      </c>
    </row>
    <row r="359" spans="1:19" x14ac:dyDescent="0.25">
      <c r="A359" s="3">
        <v>358</v>
      </c>
      <c r="B359" s="5">
        <f>DATE(Table1[[#This Row],[Year]],Table1[[#This Row],[Month]],Table1[[#This Row],[Day]])</f>
        <v>44578</v>
      </c>
      <c r="C359" s="3">
        <v>17</v>
      </c>
      <c r="D359" s="3">
        <v>1</v>
      </c>
      <c r="E359" s="3">
        <v>2022</v>
      </c>
      <c r="F359" s="3" t="str">
        <f>"Qtr"&amp; " " &amp;CHOOSE(MONTH(Table1[[#This Row],[Date]]),1,1,1,2,2,2,3,3,3,4,4,4)</f>
        <v>Qtr 1</v>
      </c>
      <c r="G359" s="3" t="str">
        <f>TEXT(Table1[[#This Row],[Date]],"mmmm")</f>
        <v>January</v>
      </c>
      <c r="H359" s="3" t="s">
        <v>1081</v>
      </c>
      <c r="I359" s="3" t="s">
        <v>13</v>
      </c>
      <c r="J359" s="3">
        <v>3</v>
      </c>
      <c r="K359" s="3">
        <v>26973.15</v>
      </c>
      <c r="L359" s="3">
        <f>Table1[[#This Row],[Price Per Unit]]*Table1[[#This Row],[Units Sold]]</f>
        <v>80919.450000000012</v>
      </c>
      <c r="M359" s="3" t="s">
        <v>329</v>
      </c>
      <c r="N359" s="3">
        <v>34</v>
      </c>
      <c r="O359" s="3" t="s">
        <v>24</v>
      </c>
      <c r="P359" s="3" t="s">
        <v>21</v>
      </c>
      <c r="Q359" s="4">
        <v>4</v>
      </c>
      <c r="R359" s="4" t="str">
        <f>IF(Table1[[#This Row],[Customer Ratings]]&gt;=4, "Good",IF(Table1[[#This Row],[Customer Ratings]]=3, "Average","Poor"))</f>
        <v>Good</v>
      </c>
      <c r="S359" s="3" t="s">
        <v>17</v>
      </c>
    </row>
    <row r="360" spans="1:19" x14ac:dyDescent="0.25">
      <c r="A360" s="3">
        <v>359</v>
      </c>
      <c r="B360" s="5">
        <f>DATE(Table1[[#This Row],[Year]],Table1[[#This Row],[Month]],Table1[[#This Row],[Day]])</f>
        <v>44578</v>
      </c>
      <c r="C360" s="3">
        <v>17</v>
      </c>
      <c r="D360" s="3">
        <v>1</v>
      </c>
      <c r="E360" s="3">
        <v>2022</v>
      </c>
      <c r="F360" s="3" t="str">
        <f>"Qtr"&amp; " " &amp;CHOOSE(MONTH(Table1[[#This Row],[Date]]),1,1,1,2,2,2,3,3,3,4,4,4)</f>
        <v>Qtr 1</v>
      </c>
      <c r="G360" s="3" t="str">
        <f>TEXT(Table1[[#This Row],[Date]],"mmmm")</f>
        <v>January</v>
      </c>
      <c r="H360" s="3" t="s">
        <v>1081</v>
      </c>
      <c r="I360" s="3" t="s">
        <v>28</v>
      </c>
      <c r="J360" s="3">
        <v>9</v>
      </c>
      <c r="K360" s="3">
        <v>63692.15</v>
      </c>
      <c r="L360" s="3">
        <f>Table1[[#This Row],[Price Per Unit]]*Table1[[#This Row],[Units Sold]]</f>
        <v>573229.35</v>
      </c>
      <c r="M360" s="3" t="s">
        <v>352</v>
      </c>
      <c r="N360" s="3">
        <v>41</v>
      </c>
      <c r="O360" s="3" t="s">
        <v>24</v>
      </c>
      <c r="P360" s="3" t="s">
        <v>45</v>
      </c>
      <c r="Q360" s="4">
        <v>5</v>
      </c>
      <c r="R360" s="4" t="str">
        <f>IF(Table1[[#This Row],[Customer Ratings]]&gt;=4, "Good",IF(Table1[[#This Row],[Customer Ratings]]=3, "Average","Poor"))</f>
        <v>Good</v>
      </c>
      <c r="S360" s="3" t="s">
        <v>87</v>
      </c>
    </row>
    <row r="361" spans="1:19" x14ac:dyDescent="0.25">
      <c r="A361" s="3">
        <v>360</v>
      </c>
      <c r="B361" s="5">
        <f>DATE(Table1[[#This Row],[Year]],Table1[[#This Row],[Month]],Table1[[#This Row],[Day]])</f>
        <v>44579</v>
      </c>
      <c r="C361" s="3">
        <v>18</v>
      </c>
      <c r="D361" s="3">
        <v>1</v>
      </c>
      <c r="E361" s="3">
        <v>2022</v>
      </c>
      <c r="F361" s="3" t="str">
        <f>"Qtr"&amp; " " &amp;CHOOSE(MONTH(Table1[[#This Row],[Date]]),1,1,1,2,2,2,3,3,3,4,4,4)</f>
        <v>Qtr 1</v>
      </c>
      <c r="G361" s="3" t="str">
        <f>TEXT(Table1[[#This Row],[Date]],"mmmm")</f>
        <v>January</v>
      </c>
      <c r="H361" s="3" t="s">
        <v>1082</v>
      </c>
      <c r="I361" s="3" t="s">
        <v>13</v>
      </c>
      <c r="J361" s="3">
        <v>7</v>
      </c>
      <c r="K361" s="3">
        <v>11452.36</v>
      </c>
      <c r="L361" s="3">
        <f>Table1[[#This Row],[Price Per Unit]]*Table1[[#This Row],[Units Sold]]</f>
        <v>80166.52</v>
      </c>
      <c r="M361" s="3" t="s">
        <v>353</v>
      </c>
      <c r="N361" s="3">
        <v>53</v>
      </c>
      <c r="O361" s="3" t="s">
        <v>20</v>
      </c>
      <c r="P361" s="3" t="s">
        <v>16</v>
      </c>
      <c r="Q361" s="4">
        <v>5</v>
      </c>
      <c r="R361" s="4" t="str">
        <f>IF(Table1[[#This Row],[Customer Ratings]]&gt;=4, "Good",IF(Table1[[#This Row],[Customer Ratings]]=3, "Average","Poor"))</f>
        <v>Good</v>
      </c>
      <c r="S361" s="3" t="s">
        <v>17</v>
      </c>
    </row>
    <row r="362" spans="1:19" x14ac:dyDescent="0.25">
      <c r="A362" s="3">
        <v>361</v>
      </c>
      <c r="B362" s="5">
        <f>DATE(Table1[[#This Row],[Year]],Table1[[#This Row],[Month]],Table1[[#This Row],[Day]])</f>
        <v>44579</v>
      </c>
      <c r="C362" s="3">
        <v>18</v>
      </c>
      <c r="D362" s="3">
        <v>1</v>
      </c>
      <c r="E362" s="3">
        <v>2022</v>
      </c>
      <c r="F362" s="3" t="str">
        <f>"Qtr"&amp; " " &amp;CHOOSE(MONTH(Table1[[#This Row],[Date]]),1,1,1,2,2,2,3,3,3,4,4,4)</f>
        <v>Qtr 1</v>
      </c>
      <c r="G362" s="3" t="str">
        <f>TEXT(Table1[[#This Row],[Date]],"mmmm")</f>
        <v>January</v>
      </c>
      <c r="H362" s="3" t="s">
        <v>1082</v>
      </c>
      <c r="I362" s="3" t="s">
        <v>39</v>
      </c>
      <c r="J362" s="3">
        <v>1</v>
      </c>
      <c r="K362" s="3">
        <v>30916.15</v>
      </c>
      <c r="L362" s="3">
        <f>Table1[[#This Row],[Price Per Unit]]*Table1[[#This Row],[Units Sold]]</f>
        <v>30916.15</v>
      </c>
      <c r="M362" s="3" t="s">
        <v>354</v>
      </c>
      <c r="N362" s="3">
        <v>48</v>
      </c>
      <c r="O362" s="3" t="s">
        <v>105</v>
      </c>
      <c r="P362" s="3" t="s">
        <v>45</v>
      </c>
      <c r="Q362" s="4">
        <v>4</v>
      </c>
      <c r="R362" s="4" t="str">
        <f>IF(Table1[[#This Row],[Customer Ratings]]&gt;=4, "Good",IF(Table1[[#This Row],[Customer Ratings]]=3, "Average","Poor"))</f>
        <v>Good</v>
      </c>
      <c r="S362" s="3" t="s">
        <v>90</v>
      </c>
    </row>
    <row r="363" spans="1:19" x14ac:dyDescent="0.25">
      <c r="A363" s="3">
        <v>362</v>
      </c>
      <c r="B363" s="5">
        <f>DATE(Table1[[#This Row],[Year]],Table1[[#This Row],[Month]],Table1[[#This Row],[Day]])</f>
        <v>44579</v>
      </c>
      <c r="C363" s="3">
        <v>18</v>
      </c>
      <c r="D363" s="3">
        <v>1</v>
      </c>
      <c r="E363" s="3">
        <v>2022</v>
      </c>
      <c r="F363" s="3" t="str">
        <f>"Qtr"&amp; " " &amp;CHOOSE(MONTH(Table1[[#This Row],[Date]]),1,1,1,2,2,2,3,3,3,4,4,4)</f>
        <v>Qtr 1</v>
      </c>
      <c r="G363" s="3" t="str">
        <f>TEXT(Table1[[#This Row],[Date]],"mmmm")</f>
        <v>January</v>
      </c>
      <c r="H363" s="3" t="s">
        <v>1082</v>
      </c>
      <c r="I363" s="3" t="s">
        <v>33</v>
      </c>
      <c r="J363" s="3">
        <v>2</v>
      </c>
      <c r="K363" s="3">
        <v>53308.03</v>
      </c>
      <c r="L363" s="3">
        <f>Table1[[#This Row],[Price Per Unit]]*Table1[[#This Row],[Units Sold]]</f>
        <v>106616.06</v>
      </c>
      <c r="M363" s="3" t="s">
        <v>355</v>
      </c>
      <c r="N363" s="3">
        <v>51</v>
      </c>
      <c r="O363" s="3" t="s">
        <v>81</v>
      </c>
      <c r="P363" s="3" t="s">
        <v>16</v>
      </c>
      <c r="Q363" s="4">
        <v>3</v>
      </c>
      <c r="R363" s="4" t="str">
        <f>IF(Table1[[#This Row],[Customer Ratings]]&gt;=4, "Good",IF(Table1[[#This Row],[Customer Ratings]]=3, "Average","Poor"))</f>
        <v>Average</v>
      </c>
      <c r="S363" s="3" t="s">
        <v>46</v>
      </c>
    </row>
    <row r="364" spans="1:19" x14ac:dyDescent="0.25">
      <c r="A364" s="3">
        <v>363</v>
      </c>
      <c r="B364" s="5">
        <f>DATE(Table1[[#This Row],[Year]],Table1[[#This Row],[Month]],Table1[[#This Row],[Day]])</f>
        <v>44579</v>
      </c>
      <c r="C364" s="3">
        <v>18</v>
      </c>
      <c r="D364" s="3">
        <v>1</v>
      </c>
      <c r="E364" s="3">
        <v>2022</v>
      </c>
      <c r="F364" s="3" t="str">
        <f>"Qtr"&amp; " " &amp;CHOOSE(MONTH(Table1[[#This Row],[Date]]),1,1,1,2,2,2,3,3,3,4,4,4)</f>
        <v>Qtr 1</v>
      </c>
      <c r="G364" s="3" t="str">
        <f>TEXT(Table1[[#This Row],[Date]],"mmmm")</f>
        <v>January</v>
      </c>
      <c r="H364" s="3" t="s">
        <v>1082</v>
      </c>
      <c r="I364" s="3" t="s">
        <v>33</v>
      </c>
      <c r="J364" s="3">
        <v>1</v>
      </c>
      <c r="K364" s="3">
        <v>14805.37</v>
      </c>
      <c r="L364" s="3">
        <f>Table1[[#This Row],[Price Per Unit]]*Table1[[#This Row],[Units Sold]]</f>
        <v>14805.37</v>
      </c>
      <c r="M364" s="3" t="s">
        <v>356</v>
      </c>
      <c r="N364" s="3">
        <v>19</v>
      </c>
      <c r="O364" s="3" t="s">
        <v>20</v>
      </c>
      <c r="P364" s="3" t="s">
        <v>21</v>
      </c>
      <c r="Q364" s="4">
        <v>5</v>
      </c>
      <c r="R364" s="4" t="str">
        <f>IF(Table1[[#This Row],[Customer Ratings]]&gt;=4, "Good",IF(Table1[[#This Row],[Customer Ratings]]=3, "Average","Poor"))</f>
        <v>Good</v>
      </c>
      <c r="S364" s="3" t="s">
        <v>36</v>
      </c>
    </row>
    <row r="365" spans="1:19" x14ac:dyDescent="0.25">
      <c r="A365" s="3">
        <v>364</v>
      </c>
      <c r="B365" s="5">
        <f>DATE(Table1[[#This Row],[Year]],Table1[[#This Row],[Month]],Table1[[#This Row],[Day]])</f>
        <v>44580</v>
      </c>
      <c r="C365" s="3">
        <v>19</v>
      </c>
      <c r="D365" s="3">
        <v>1</v>
      </c>
      <c r="E365" s="3">
        <v>2022</v>
      </c>
      <c r="F365" s="3" t="str">
        <f>"Qtr"&amp; " " &amp;CHOOSE(MONTH(Table1[[#This Row],[Date]]),1,1,1,2,2,2,3,3,3,4,4,4)</f>
        <v>Qtr 1</v>
      </c>
      <c r="G365" s="3" t="str">
        <f>TEXT(Table1[[#This Row],[Date]],"mmmm")</f>
        <v>January</v>
      </c>
      <c r="H365" s="3" t="s">
        <v>1083</v>
      </c>
      <c r="I365" s="3" t="s">
        <v>28</v>
      </c>
      <c r="J365" s="3">
        <v>9</v>
      </c>
      <c r="K365" s="3">
        <v>20990.17</v>
      </c>
      <c r="L365" s="3">
        <f>Table1[[#This Row],[Price Per Unit]]*Table1[[#This Row],[Units Sold]]</f>
        <v>188911.52999999997</v>
      </c>
      <c r="M365" s="3" t="s">
        <v>357</v>
      </c>
      <c r="N365" s="3">
        <v>59</v>
      </c>
      <c r="O365" s="3" t="s">
        <v>137</v>
      </c>
      <c r="P365" s="3" t="s">
        <v>45</v>
      </c>
      <c r="Q365" s="4">
        <v>5</v>
      </c>
      <c r="R365" s="4" t="str">
        <f>IF(Table1[[#This Row],[Customer Ratings]]&gt;=4, "Good",IF(Table1[[#This Row],[Customer Ratings]]=3, "Average","Poor"))</f>
        <v>Good</v>
      </c>
      <c r="S365" s="3" t="s">
        <v>87</v>
      </c>
    </row>
    <row r="366" spans="1:19" x14ac:dyDescent="0.25">
      <c r="A366" s="3">
        <v>365</v>
      </c>
      <c r="B366" s="5">
        <f>DATE(Table1[[#This Row],[Year]],Table1[[#This Row],[Month]],Table1[[#This Row],[Day]])</f>
        <v>44580</v>
      </c>
      <c r="C366" s="3">
        <v>19</v>
      </c>
      <c r="D366" s="3">
        <v>1</v>
      </c>
      <c r="E366" s="3">
        <v>2022</v>
      </c>
      <c r="F366" s="3" t="str">
        <f>"Qtr"&amp; " " &amp;CHOOSE(MONTH(Table1[[#This Row],[Date]]),1,1,1,2,2,2,3,3,3,4,4,4)</f>
        <v>Qtr 1</v>
      </c>
      <c r="G366" s="3" t="str">
        <f>TEXT(Table1[[#This Row],[Date]],"mmmm")</f>
        <v>January</v>
      </c>
      <c r="H366" s="3" t="s">
        <v>1083</v>
      </c>
      <c r="I366" s="3" t="s">
        <v>33</v>
      </c>
      <c r="J366" s="3">
        <v>9</v>
      </c>
      <c r="K366" s="3">
        <v>45357.14</v>
      </c>
      <c r="L366" s="3">
        <f>Table1[[#This Row],[Price Per Unit]]*Table1[[#This Row],[Units Sold]]</f>
        <v>408214.26</v>
      </c>
      <c r="M366" s="3" t="s">
        <v>358</v>
      </c>
      <c r="N366" s="3">
        <v>20</v>
      </c>
      <c r="O366" s="3" t="s">
        <v>98</v>
      </c>
      <c r="P366" s="3" t="s">
        <v>31</v>
      </c>
      <c r="Q366" s="4">
        <v>3</v>
      </c>
      <c r="R366" s="4" t="str">
        <f>IF(Table1[[#This Row],[Customer Ratings]]&gt;=4, "Good",IF(Table1[[#This Row],[Customer Ratings]]=3, "Average","Poor"))</f>
        <v>Average</v>
      </c>
      <c r="S366" s="3" t="s">
        <v>46</v>
      </c>
    </row>
    <row r="367" spans="1:19" x14ac:dyDescent="0.25">
      <c r="A367" s="3">
        <v>366</v>
      </c>
      <c r="B367" s="5">
        <f>DATE(Table1[[#This Row],[Year]],Table1[[#This Row],[Month]],Table1[[#This Row],[Day]])</f>
        <v>44580</v>
      </c>
      <c r="C367" s="3">
        <v>19</v>
      </c>
      <c r="D367" s="3">
        <v>1</v>
      </c>
      <c r="E367" s="3">
        <v>2022</v>
      </c>
      <c r="F367" s="3" t="str">
        <f>"Qtr"&amp; " " &amp;CHOOSE(MONTH(Table1[[#This Row],[Date]]),1,1,1,2,2,2,3,3,3,4,4,4)</f>
        <v>Qtr 1</v>
      </c>
      <c r="G367" s="3" t="str">
        <f>TEXT(Table1[[#This Row],[Date]],"mmmm")</f>
        <v>January</v>
      </c>
      <c r="H367" s="3" t="s">
        <v>1083</v>
      </c>
      <c r="I367" s="3" t="s">
        <v>33</v>
      </c>
      <c r="J367" s="3">
        <v>7</v>
      </c>
      <c r="K367" s="3">
        <v>43599.62</v>
      </c>
      <c r="L367" s="3">
        <f>Table1[[#This Row],[Price Per Unit]]*Table1[[#This Row],[Units Sold]]</f>
        <v>305197.34000000003</v>
      </c>
      <c r="M367" s="3" t="s">
        <v>359</v>
      </c>
      <c r="N367" s="3">
        <v>47</v>
      </c>
      <c r="O367" s="3" t="s">
        <v>24</v>
      </c>
      <c r="P367" s="3" t="s">
        <v>45</v>
      </c>
      <c r="Q367" s="4">
        <v>4</v>
      </c>
      <c r="R367" s="4" t="str">
        <f>IF(Table1[[#This Row],[Customer Ratings]]&gt;=4, "Good",IF(Table1[[#This Row],[Customer Ratings]]=3, "Average","Poor"))</f>
        <v>Good</v>
      </c>
      <c r="S367" s="3" t="s">
        <v>83</v>
      </c>
    </row>
    <row r="368" spans="1:19" x14ac:dyDescent="0.25">
      <c r="A368" s="3">
        <v>367</v>
      </c>
      <c r="B368" s="5">
        <f>DATE(Table1[[#This Row],[Year]],Table1[[#This Row],[Month]],Table1[[#This Row],[Day]])</f>
        <v>44580</v>
      </c>
      <c r="C368" s="3">
        <v>19</v>
      </c>
      <c r="D368" s="3">
        <v>1</v>
      </c>
      <c r="E368" s="3">
        <v>2022</v>
      </c>
      <c r="F368" s="3" t="str">
        <f>"Qtr"&amp; " " &amp;CHOOSE(MONTH(Table1[[#This Row],[Date]]),1,1,1,2,2,2,3,3,3,4,4,4)</f>
        <v>Qtr 1</v>
      </c>
      <c r="G368" s="3" t="str">
        <f>TEXT(Table1[[#This Row],[Date]],"mmmm")</f>
        <v>January</v>
      </c>
      <c r="H368" s="3" t="s">
        <v>1083</v>
      </c>
      <c r="I368" s="3" t="s">
        <v>28</v>
      </c>
      <c r="J368" s="3">
        <v>3</v>
      </c>
      <c r="K368" s="3">
        <v>54335.7</v>
      </c>
      <c r="L368" s="3">
        <f>Table1[[#This Row],[Price Per Unit]]*Table1[[#This Row],[Units Sold]]</f>
        <v>163007.09999999998</v>
      </c>
      <c r="M368" s="3" t="s">
        <v>360</v>
      </c>
      <c r="N368" s="3">
        <v>25</v>
      </c>
      <c r="O368" s="3" t="s">
        <v>102</v>
      </c>
      <c r="P368" s="3" t="s">
        <v>16</v>
      </c>
      <c r="Q368" s="4">
        <v>5</v>
      </c>
      <c r="R368" s="4" t="str">
        <f>IF(Table1[[#This Row],[Customer Ratings]]&gt;=4, "Good",IF(Table1[[#This Row],[Customer Ratings]]=3, "Average","Poor"))</f>
        <v>Good</v>
      </c>
      <c r="S368" s="3" t="s">
        <v>32</v>
      </c>
    </row>
    <row r="369" spans="1:19" x14ac:dyDescent="0.25">
      <c r="A369" s="3">
        <v>368</v>
      </c>
      <c r="B369" s="5">
        <f>DATE(Table1[[#This Row],[Year]],Table1[[#This Row],[Month]],Table1[[#This Row],[Day]])</f>
        <v>44581</v>
      </c>
      <c r="C369" s="3">
        <v>20</v>
      </c>
      <c r="D369" s="3">
        <v>1</v>
      </c>
      <c r="E369" s="3">
        <v>2022</v>
      </c>
      <c r="F369" s="3" t="str">
        <f>"Qtr"&amp; " " &amp;CHOOSE(MONTH(Table1[[#This Row],[Date]]),1,1,1,2,2,2,3,3,3,4,4,4)</f>
        <v>Qtr 1</v>
      </c>
      <c r="G369" s="3" t="str">
        <f>TEXT(Table1[[#This Row],[Date]],"mmmm")</f>
        <v>January</v>
      </c>
      <c r="H369" s="3" t="s">
        <v>1084</v>
      </c>
      <c r="I369" s="3" t="s">
        <v>28</v>
      </c>
      <c r="J369" s="3">
        <v>5</v>
      </c>
      <c r="K369" s="3">
        <v>58756.76</v>
      </c>
      <c r="L369" s="3">
        <f>Table1[[#This Row],[Price Per Unit]]*Table1[[#This Row],[Units Sold]]</f>
        <v>293783.8</v>
      </c>
      <c r="M369" s="3" t="s">
        <v>361</v>
      </c>
      <c r="N369" s="3">
        <v>24</v>
      </c>
      <c r="O369" s="3" t="s">
        <v>20</v>
      </c>
      <c r="P369" s="3" t="s">
        <v>45</v>
      </c>
      <c r="Q369" s="4">
        <v>4</v>
      </c>
      <c r="R369" s="4" t="str">
        <f>IF(Table1[[#This Row],[Customer Ratings]]&gt;=4, "Good",IF(Table1[[#This Row],[Customer Ratings]]=3, "Average","Poor"))</f>
        <v>Good</v>
      </c>
      <c r="S369" s="3" t="s">
        <v>32</v>
      </c>
    </row>
    <row r="370" spans="1:19" x14ac:dyDescent="0.25">
      <c r="A370" s="3">
        <v>369</v>
      </c>
      <c r="B370" s="5">
        <f>DATE(Table1[[#This Row],[Year]],Table1[[#This Row],[Month]],Table1[[#This Row],[Day]])</f>
        <v>44581</v>
      </c>
      <c r="C370" s="3">
        <v>20</v>
      </c>
      <c r="D370" s="3">
        <v>1</v>
      </c>
      <c r="E370" s="3">
        <v>2022</v>
      </c>
      <c r="F370" s="3" t="str">
        <f>"Qtr"&amp; " " &amp;CHOOSE(MONTH(Table1[[#This Row],[Date]]),1,1,1,2,2,2,3,3,3,4,4,4)</f>
        <v>Qtr 1</v>
      </c>
      <c r="G370" s="3" t="str">
        <f>TEXT(Table1[[#This Row],[Date]],"mmmm")</f>
        <v>January</v>
      </c>
      <c r="H370" s="3" t="s">
        <v>1084</v>
      </c>
      <c r="I370" s="3" t="s">
        <v>39</v>
      </c>
      <c r="J370" s="3">
        <v>4</v>
      </c>
      <c r="K370" s="3">
        <v>17714.77</v>
      </c>
      <c r="L370" s="3">
        <f>Table1[[#This Row],[Price Per Unit]]*Table1[[#This Row],[Units Sold]]</f>
        <v>70859.08</v>
      </c>
      <c r="M370" s="3" t="s">
        <v>362</v>
      </c>
      <c r="N370" s="3">
        <v>29</v>
      </c>
      <c r="O370" s="3" t="s">
        <v>78</v>
      </c>
      <c r="P370" s="3" t="s">
        <v>16</v>
      </c>
      <c r="Q370" s="4">
        <v>4</v>
      </c>
      <c r="R370" s="4" t="str">
        <f>IF(Table1[[#This Row],[Customer Ratings]]&gt;=4, "Good",IF(Table1[[#This Row],[Customer Ratings]]=3, "Average","Poor"))</f>
        <v>Good</v>
      </c>
      <c r="S370" s="3" t="s">
        <v>42</v>
      </c>
    </row>
    <row r="371" spans="1:19" x14ac:dyDescent="0.25">
      <c r="A371" s="3">
        <v>370</v>
      </c>
      <c r="B371" s="5">
        <f>DATE(Table1[[#This Row],[Year]],Table1[[#This Row],[Month]],Table1[[#This Row],[Day]])</f>
        <v>44581</v>
      </c>
      <c r="C371" s="3">
        <v>20</v>
      </c>
      <c r="D371" s="3">
        <v>1</v>
      </c>
      <c r="E371" s="3">
        <v>2022</v>
      </c>
      <c r="F371" s="3" t="str">
        <f>"Qtr"&amp; " " &amp;CHOOSE(MONTH(Table1[[#This Row],[Date]]),1,1,1,2,2,2,3,3,3,4,4,4)</f>
        <v>Qtr 1</v>
      </c>
      <c r="G371" s="3" t="str">
        <f>TEXT(Table1[[#This Row],[Date]],"mmmm")</f>
        <v>January</v>
      </c>
      <c r="H371" s="3" t="s">
        <v>1084</v>
      </c>
      <c r="I371" s="3" t="s">
        <v>33</v>
      </c>
      <c r="J371" s="3">
        <v>7</v>
      </c>
      <c r="K371" s="3">
        <v>11102.86</v>
      </c>
      <c r="L371" s="3">
        <f>Table1[[#This Row],[Price Per Unit]]*Table1[[#This Row],[Units Sold]]</f>
        <v>77720.02</v>
      </c>
      <c r="M371" s="3" t="s">
        <v>67</v>
      </c>
      <c r="N371" s="3">
        <v>36</v>
      </c>
      <c r="O371" s="3" t="s">
        <v>20</v>
      </c>
      <c r="P371" s="3" t="s">
        <v>31</v>
      </c>
      <c r="Q371" s="4">
        <v>4</v>
      </c>
      <c r="R371" s="4" t="str">
        <f>IF(Table1[[#This Row],[Customer Ratings]]&gt;=4, "Good",IF(Table1[[#This Row],[Customer Ratings]]=3, "Average","Poor"))</f>
        <v>Good</v>
      </c>
      <c r="S371" s="3" t="s">
        <v>46</v>
      </c>
    </row>
    <row r="372" spans="1:19" x14ac:dyDescent="0.25">
      <c r="A372" s="3">
        <v>371</v>
      </c>
      <c r="B372" s="5">
        <f>DATE(Table1[[#This Row],[Year]],Table1[[#This Row],[Month]],Table1[[#This Row],[Day]])</f>
        <v>44581</v>
      </c>
      <c r="C372" s="3">
        <v>20</v>
      </c>
      <c r="D372" s="3">
        <v>1</v>
      </c>
      <c r="E372" s="3">
        <v>2022</v>
      </c>
      <c r="F372" s="3" t="str">
        <f>"Qtr"&amp; " " &amp;CHOOSE(MONTH(Table1[[#This Row],[Date]]),1,1,1,2,2,2,3,3,3,4,4,4)</f>
        <v>Qtr 1</v>
      </c>
      <c r="G372" s="3" t="str">
        <f>TEXT(Table1[[#This Row],[Date]],"mmmm")</f>
        <v>January</v>
      </c>
      <c r="H372" s="3" t="s">
        <v>1084</v>
      </c>
      <c r="I372" s="3" t="s">
        <v>33</v>
      </c>
      <c r="J372" s="3">
        <v>9</v>
      </c>
      <c r="K372" s="3">
        <v>51378.31</v>
      </c>
      <c r="L372" s="3">
        <f>Table1[[#This Row],[Price Per Unit]]*Table1[[#This Row],[Units Sold]]</f>
        <v>462404.79</v>
      </c>
      <c r="M372" s="3" t="s">
        <v>310</v>
      </c>
      <c r="N372" s="3">
        <v>43</v>
      </c>
      <c r="O372" s="3" t="s">
        <v>54</v>
      </c>
      <c r="P372" s="3" t="s">
        <v>21</v>
      </c>
      <c r="Q372" s="4">
        <v>5</v>
      </c>
      <c r="R372" s="4" t="str">
        <f>IF(Table1[[#This Row],[Customer Ratings]]&gt;=4, "Good",IF(Table1[[#This Row],[Customer Ratings]]=3, "Average","Poor"))</f>
        <v>Good</v>
      </c>
      <c r="S372" s="3" t="s">
        <v>83</v>
      </c>
    </row>
    <row r="373" spans="1:19" x14ac:dyDescent="0.25">
      <c r="A373" s="3">
        <v>372</v>
      </c>
      <c r="B373" s="5">
        <f>DATE(Table1[[#This Row],[Year]],Table1[[#This Row],[Month]],Table1[[#This Row],[Day]])</f>
        <v>44582</v>
      </c>
      <c r="C373" s="3">
        <v>21</v>
      </c>
      <c r="D373" s="3">
        <v>1</v>
      </c>
      <c r="E373" s="3">
        <v>2022</v>
      </c>
      <c r="F373" s="3" t="str">
        <f>"Qtr"&amp; " " &amp;CHOOSE(MONTH(Table1[[#This Row],[Date]]),1,1,1,2,2,2,3,3,3,4,4,4)</f>
        <v>Qtr 1</v>
      </c>
      <c r="G373" s="3" t="str">
        <f>TEXT(Table1[[#This Row],[Date]],"mmmm")</f>
        <v>January</v>
      </c>
      <c r="H373" s="3" t="s">
        <v>1085</v>
      </c>
      <c r="I373" s="3" t="s">
        <v>39</v>
      </c>
      <c r="J373" s="3">
        <v>2</v>
      </c>
      <c r="K373" s="3">
        <v>28083.51</v>
      </c>
      <c r="L373" s="3">
        <f>Table1[[#This Row],[Price Per Unit]]*Table1[[#This Row],[Units Sold]]</f>
        <v>56167.02</v>
      </c>
      <c r="M373" s="3" t="s">
        <v>295</v>
      </c>
      <c r="N373" s="3">
        <v>45</v>
      </c>
      <c r="O373" s="3" t="s">
        <v>41</v>
      </c>
      <c r="P373" s="3" t="s">
        <v>31</v>
      </c>
      <c r="Q373" s="4">
        <v>3</v>
      </c>
      <c r="R373" s="4" t="str">
        <f>IF(Table1[[#This Row],[Customer Ratings]]&gt;=4, "Good",IF(Table1[[#This Row],[Customer Ratings]]=3, "Average","Poor"))</f>
        <v>Average</v>
      </c>
      <c r="S373" s="3" t="s">
        <v>42</v>
      </c>
    </row>
    <row r="374" spans="1:19" x14ac:dyDescent="0.25">
      <c r="A374" s="3">
        <v>373</v>
      </c>
      <c r="B374" s="5">
        <f>DATE(Table1[[#This Row],[Year]],Table1[[#This Row],[Month]],Table1[[#This Row],[Day]])</f>
        <v>44582</v>
      </c>
      <c r="C374" s="3">
        <v>21</v>
      </c>
      <c r="D374" s="3">
        <v>1</v>
      </c>
      <c r="E374" s="3">
        <v>2022</v>
      </c>
      <c r="F374" s="3" t="str">
        <f>"Qtr"&amp; " " &amp;CHOOSE(MONTH(Table1[[#This Row],[Date]]),1,1,1,2,2,2,3,3,3,4,4,4)</f>
        <v>Qtr 1</v>
      </c>
      <c r="G374" s="3" t="str">
        <f>TEXT(Table1[[#This Row],[Date]],"mmmm")</f>
        <v>January</v>
      </c>
      <c r="H374" s="3" t="s">
        <v>1085</v>
      </c>
      <c r="I374" s="3" t="s">
        <v>18</v>
      </c>
      <c r="J374" s="3">
        <v>8</v>
      </c>
      <c r="K374" s="3">
        <v>47559.03</v>
      </c>
      <c r="L374" s="3">
        <f>Table1[[#This Row],[Price Per Unit]]*Table1[[#This Row],[Units Sold]]</f>
        <v>380472.24</v>
      </c>
      <c r="M374" s="3" t="s">
        <v>363</v>
      </c>
      <c r="N374" s="3">
        <v>32</v>
      </c>
      <c r="O374" s="3" t="s">
        <v>52</v>
      </c>
      <c r="P374" s="3" t="s">
        <v>16</v>
      </c>
      <c r="Q374" s="4">
        <v>3</v>
      </c>
      <c r="R374" s="4" t="str">
        <f>IF(Table1[[#This Row],[Customer Ratings]]&gt;=4, "Good",IF(Table1[[#This Row],[Customer Ratings]]=3, "Average","Poor"))</f>
        <v>Average</v>
      </c>
      <c r="S374" s="3" t="s">
        <v>55</v>
      </c>
    </row>
    <row r="375" spans="1:19" x14ac:dyDescent="0.25">
      <c r="A375" s="3">
        <v>374</v>
      </c>
      <c r="B375" s="5">
        <f>DATE(Table1[[#This Row],[Year]],Table1[[#This Row],[Month]],Table1[[#This Row],[Day]])</f>
        <v>44582</v>
      </c>
      <c r="C375" s="3">
        <v>21</v>
      </c>
      <c r="D375" s="3">
        <v>1</v>
      </c>
      <c r="E375" s="3">
        <v>2022</v>
      </c>
      <c r="F375" s="3" t="str">
        <f>"Qtr"&amp; " " &amp;CHOOSE(MONTH(Table1[[#This Row],[Date]]),1,1,1,2,2,2,3,3,3,4,4,4)</f>
        <v>Qtr 1</v>
      </c>
      <c r="G375" s="3" t="str">
        <f>TEXT(Table1[[#This Row],[Date]],"mmmm")</f>
        <v>January</v>
      </c>
      <c r="H375" s="3" t="s">
        <v>1085</v>
      </c>
      <c r="I375" s="3" t="s">
        <v>18</v>
      </c>
      <c r="J375" s="3">
        <v>9</v>
      </c>
      <c r="K375" s="3">
        <v>19032.68</v>
      </c>
      <c r="L375" s="3">
        <f>Table1[[#This Row],[Price Per Unit]]*Table1[[#This Row],[Units Sold]]</f>
        <v>171294.12</v>
      </c>
      <c r="M375" s="3" t="s">
        <v>166</v>
      </c>
      <c r="N375" s="3">
        <v>31</v>
      </c>
      <c r="O375" s="3" t="s">
        <v>54</v>
      </c>
      <c r="P375" s="3" t="s">
        <v>21</v>
      </c>
      <c r="Q375" s="4">
        <v>5</v>
      </c>
      <c r="R375" s="4" t="str">
        <f>IF(Table1[[#This Row],[Customer Ratings]]&gt;=4, "Good",IF(Table1[[#This Row],[Customer Ratings]]=3, "Average","Poor"))</f>
        <v>Good</v>
      </c>
      <c r="S375" s="3" t="s">
        <v>55</v>
      </c>
    </row>
    <row r="376" spans="1:19" x14ac:dyDescent="0.25">
      <c r="A376" s="3">
        <v>375</v>
      </c>
      <c r="B376" s="5">
        <f>DATE(Table1[[#This Row],[Year]],Table1[[#This Row],[Month]],Table1[[#This Row],[Day]])</f>
        <v>44582</v>
      </c>
      <c r="C376" s="3">
        <v>21</v>
      </c>
      <c r="D376" s="3">
        <v>1</v>
      </c>
      <c r="E376" s="3">
        <v>2022</v>
      </c>
      <c r="F376" s="3" t="str">
        <f>"Qtr"&amp; " " &amp;CHOOSE(MONTH(Table1[[#This Row],[Date]]),1,1,1,2,2,2,3,3,3,4,4,4)</f>
        <v>Qtr 1</v>
      </c>
      <c r="G376" s="3" t="str">
        <f>TEXT(Table1[[#This Row],[Date]],"mmmm")</f>
        <v>January</v>
      </c>
      <c r="H376" s="3" t="s">
        <v>1085</v>
      </c>
      <c r="I376" s="3" t="s">
        <v>18</v>
      </c>
      <c r="J376" s="3">
        <v>9</v>
      </c>
      <c r="K376" s="3">
        <v>38142.400000000001</v>
      </c>
      <c r="L376" s="3">
        <f>Table1[[#This Row],[Price Per Unit]]*Table1[[#This Row],[Units Sold]]</f>
        <v>343281.60000000003</v>
      </c>
      <c r="M376" s="3" t="s">
        <v>364</v>
      </c>
      <c r="N376" s="3">
        <v>31</v>
      </c>
      <c r="O376" s="3" t="s">
        <v>30</v>
      </c>
      <c r="P376" s="3" t="s">
        <v>21</v>
      </c>
      <c r="Q376" s="4">
        <v>5</v>
      </c>
      <c r="R376" s="4" t="str">
        <f>IF(Table1[[#This Row],[Customer Ratings]]&gt;=4, "Good",IF(Table1[[#This Row],[Customer Ratings]]=3, "Average","Poor"))</f>
        <v>Good</v>
      </c>
      <c r="S376" s="3" t="s">
        <v>55</v>
      </c>
    </row>
    <row r="377" spans="1:19" x14ac:dyDescent="0.25">
      <c r="A377" s="3">
        <v>376</v>
      </c>
      <c r="B377" s="5">
        <f>DATE(Table1[[#This Row],[Year]],Table1[[#This Row],[Month]],Table1[[#This Row],[Day]])</f>
        <v>44583</v>
      </c>
      <c r="C377" s="3">
        <v>22</v>
      </c>
      <c r="D377" s="3">
        <v>1</v>
      </c>
      <c r="E377" s="3">
        <v>2022</v>
      </c>
      <c r="F377" s="3" t="str">
        <f>"Qtr"&amp; " " &amp;CHOOSE(MONTH(Table1[[#This Row],[Date]]),1,1,1,2,2,2,3,3,3,4,4,4)</f>
        <v>Qtr 1</v>
      </c>
      <c r="G377" s="3" t="str">
        <f>TEXT(Table1[[#This Row],[Date]],"mmmm")</f>
        <v>January</v>
      </c>
      <c r="H377" s="3" t="s">
        <v>1079</v>
      </c>
      <c r="I377" s="3" t="s">
        <v>39</v>
      </c>
      <c r="J377" s="3">
        <v>7</v>
      </c>
      <c r="K377" s="3">
        <v>40265.480000000003</v>
      </c>
      <c r="L377" s="3">
        <f>Table1[[#This Row],[Price Per Unit]]*Table1[[#This Row],[Units Sold]]</f>
        <v>281858.36000000004</v>
      </c>
      <c r="M377" s="3" t="s">
        <v>254</v>
      </c>
      <c r="N377" s="3">
        <v>20</v>
      </c>
      <c r="O377" s="3" t="s">
        <v>30</v>
      </c>
      <c r="P377" s="3" t="s">
        <v>45</v>
      </c>
      <c r="Q377" s="4">
        <v>4</v>
      </c>
      <c r="R377" s="4" t="str">
        <f>IF(Table1[[#This Row],[Customer Ratings]]&gt;=4, "Good",IF(Table1[[#This Row],[Customer Ratings]]=3, "Average","Poor"))</f>
        <v>Good</v>
      </c>
      <c r="S377" s="3" t="s">
        <v>90</v>
      </c>
    </row>
    <row r="378" spans="1:19" x14ac:dyDescent="0.25">
      <c r="A378" s="3">
        <v>377</v>
      </c>
      <c r="B378" s="5">
        <f>DATE(Table1[[#This Row],[Year]],Table1[[#This Row],[Month]],Table1[[#This Row],[Day]])</f>
        <v>44583</v>
      </c>
      <c r="C378" s="3">
        <v>22</v>
      </c>
      <c r="D378" s="3">
        <v>1</v>
      </c>
      <c r="E378" s="3">
        <v>2022</v>
      </c>
      <c r="F378" s="3" t="str">
        <f>"Qtr"&amp; " " &amp;CHOOSE(MONTH(Table1[[#This Row],[Date]]),1,1,1,2,2,2,3,3,3,4,4,4)</f>
        <v>Qtr 1</v>
      </c>
      <c r="G378" s="3" t="str">
        <f>TEXT(Table1[[#This Row],[Date]],"mmmm")</f>
        <v>January</v>
      </c>
      <c r="H378" s="3" t="s">
        <v>1079</v>
      </c>
      <c r="I378" s="3" t="s">
        <v>33</v>
      </c>
      <c r="J378" s="3">
        <v>9</v>
      </c>
      <c r="K378" s="3">
        <v>45104.67</v>
      </c>
      <c r="L378" s="3">
        <f>Table1[[#This Row],[Price Per Unit]]*Table1[[#This Row],[Units Sold]]</f>
        <v>405942.02999999997</v>
      </c>
      <c r="M378" s="3" t="s">
        <v>365</v>
      </c>
      <c r="N378" s="3">
        <v>46</v>
      </c>
      <c r="O378" s="3" t="s">
        <v>20</v>
      </c>
      <c r="P378" s="3" t="s">
        <v>31</v>
      </c>
      <c r="Q378" s="4">
        <v>5</v>
      </c>
      <c r="R378" s="4" t="str">
        <f>IF(Table1[[#This Row],[Customer Ratings]]&gt;=4, "Good",IF(Table1[[#This Row],[Customer Ratings]]=3, "Average","Poor"))</f>
        <v>Good</v>
      </c>
      <c r="S378" s="3" t="s">
        <v>36</v>
      </c>
    </row>
    <row r="379" spans="1:19" x14ac:dyDescent="0.25">
      <c r="A379" s="3">
        <v>378</v>
      </c>
      <c r="B379" s="5">
        <f>DATE(Table1[[#This Row],[Year]],Table1[[#This Row],[Month]],Table1[[#This Row],[Day]])</f>
        <v>44583</v>
      </c>
      <c r="C379" s="3">
        <v>22</v>
      </c>
      <c r="D379" s="3">
        <v>1</v>
      </c>
      <c r="E379" s="3">
        <v>2022</v>
      </c>
      <c r="F379" s="3" t="str">
        <f>"Qtr"&amp; " " &amp;CHOOSE(MONTH(Table1[[#This Row],[Date]]),1,1,1,2,2,2,3,3,3,4,4,4)</f>
        <v>Qtr 1</v>
      </c>
      <c r="G379" s="3" t="str">
        <f>TEXT(Table1[[#This Row],[Date]],"mmmm")</f>
        <v>January</v>
      </c>
      <c r="H379" s="3" t="s">
        <v>1079</v>
      </c>
      <c r="I379" s="3" t="s">
        <v>39</v>
      </c>
      <c r="J379" s="3">
        <v>9</v>
      </c>
      <c r="K379" s="3">
        <v>40790.199999999997</v>
      </c>
      <c r="L379" s="3">
        <f>Table1[[#This Row],[Price Per Unit]]*Table1[[#This Row],[Units Sold]]</f>
        <v>367111.8</v>
      </c>
      <c r="M379" s="3" t="s">
        <v>366</v>
      </c>
      <c r="N379" s="3">
        <v>23</v>
      </c>
      <c r="O379" s="3" t="s">
        <v>137</v>
      </c>
      <c r="P379" s="3" t="s">
        <v>16</v>
      </c>
      <c r="Q379" s="4">
        <v>3</v>
      </c>
      <c r="R379" s="4" t="str">
        <f>IF(Table1[[#This Row],[Customer Ratings]]&gt;=4, "Good",IF(Table1[[#This Row],[Customer Ratings]]=3, "Average","Poor"))</f>
        <v>Average</v>
      </c>
      <c r="S379" s="3" t="s">
        <v>42</v>
      </c>
    </row>
    <row r="380" spans="1:19" x14ac:dyDescent="0.25">
      <c r="A380" s="3">
        <v>379</v>
      </c>
      <c r="B380" s="5">
        <f>DATE(Table1[[#This Row],[Year]],Table1[[#This Row],[Month]],Table1[[#This Row],[Day]])</f>
        <v>44583</v>
      </c>
      <c r="C380" s="3">
        <v>22</v>
      </c>
      <c r="D380" s="3">
        <v>1</v>
      </c>
      <c r="E380" s="3">
        <v>2022</v>
      </c>
      <c r="F380" s="3" t="str">
        <f>"Qtr"&amp; " " &amp;CHOOSE(MONTH(Table1[[#This Row],[Date]]),1,1,1,2,2,2,3,3,3,4,4,4)</f>
        <v>Qtr 1</v>
      </c>
      <c r="G380" s="3" t="str">
        <f>TEXT(Table1[[#This Row],[Date]],"mmmm")</f>
        <v>January</v>
      </c>
      <c r="H380" s="3" t="s">
        <v>1079</v>
      </c>
      <c r="I380" s="3" t="s">
        <v>39</v>
      </c>
      <c r="J380" s="3">
        <v>3</v>
      </c>
      <c r="K380" s="3">
        <v>39741.449999999997</v>
      </c>
      <c r="L380" s="3">
        <f>Table1[[#This Row],[Price Per Unit]]*Table1[[#This Row],[Units Sold]]</f>
        <v>119224.34999999999</v>
      </c>
      <c r="M380" s="3" t="s">
        <v>367</v>
      </c>
      <c r="N380" s="3">
        <v>40</v>
      </c>
      <c r="O380" s="3" t="s">
        <v>20</v>
      </c>
      <c r="P380" s="3" t="s">
        <v>16</v>
      </c>
      <c r="Q380" s="4">
        <v>3</v>
      </c>
      <c r="R380" s="4" t="str">
        <f>IF(Table1[[#This Row],[Customer Ratings]]&gt;=4, "Good",IF(Table1[[#This Row],[Customer Ratings]]=3, "Average","Poor"))</f>
        <v>Average</v>
      </c>
      <c r="S380" s="3" t="s">
        <v>76</v>
      </c>
    </row>
    <row r="381" spans="1:19" x14ac:dyDescent="0.25">
      <c r="A381" s="3">
        <v>380</v>
      </c>
      <c r="B381" s="5">
        <f>DATE(Table1[[#This Row],[Year]],Table1[[#This Row],[Month]],Table1[[#This Row],[Day]])</f>
        <v>44584</v>
      </c>
      <c r="C381" s="3">
        <v>23</v>
      </c>
      <c r="D381" s="3">
        <v>1</v>
      </c>
      <c r="E381" s="3">
        <v>2022</v>
      </c>
      <c r="F381" s="3" t="str">
        <f>"Qtr"&amp; " " &amp;CHOOSE(MONTH(Table1[[#This Row],[Date]]),1,1,1,2,2,2,3,3,3,4,4,4)</f>
        <v>Qtr 1</v>
      </c>
      <c r="G381" s="3" t="str">
        <f>TEXT(Table1[[#This Row],[Date]],"mmmm")</f>
        <v>January</v>
      </c>
      <c r="H381" s="3" t="s">
        <v>1080</v>
      </c>
      <c r="I381" s="3" t="s">
        <v>18</v>
      </c>
      <c r="J381" s="3">
        <v>4</v>
      </c>
      <c r="K381" s="3">
        <v>29964.05</v>
      </c>
      <c r="L381" s="3">
        <f>Table1[[#This Row],[Price Per Unit]]*Table1[[#This Row],[Units Sold]]</f>
        <v>119856.2</v>
      </c>
      <c r="M381" s="3" t="s">
        <v>368</v>
      </c>
      <c r="N381" s="3">
        <v>45</v>
      </c>
      <c r="O381" s="3" t="s">
        <v>35</v>
      </c>
      <c r="P381" s="3" t="s">
        <v>21</v>
      </c>
      <c r="Q381" s="4">
        <v>4</v>
      </c>
      <c r="R381" s="4" t="str">
        <f>IF(Table1[[#This Row],[Customer Ratings]]&gt;=4, "Good",IF(Table1[[#This Row],[Customer Ratings]]=3, "Average","Poor"))</f>
        <v>Good</v>
      </c>
      <c r="S381" s="3" t="s">
        <v>25</v>
      </c>
    </row>
    <row r="382" spans="1:19" x14ac:dyDescent="0.25">
      <c r="A382" s="3">
        <v>381</v>
      </c>
      <c r="B382" s="5">
        <f>DATE(Table1[[#This Row],[Year]],Table1[[#This Row],[Month]],Table1[[#This Row],[Day]])</f>
        <v>44584</v>
      </c>
      <c r="C382" s="3">
        <v>23</v>
      </c>
      <c r="D382" s="3">
        <v>1</v>
      </c>
      <c r="E382" s="3">
        <v>2022</v>
      </c>
      <c r="F382" s="3" t="str">
        <f>"Qtr"&amp; " " &amp;CHOOSE(MONTH(Table1[[#This Row],[Date]]),1,1,1,2,2,2,3,3,3,4,4,4)</f>
        <v>Qtr 1</v>
      </c>
      <c r="G382" s="3" t="str">
        <f>TEXT(Table1[[#This Row],[Date]],"mmmm")</f>
        <v>January</v>
      </c>
      <c r="H382" s="3" t="s">
        <v>1080</v>
      </c>
      <c r="I382" s="3" t="s">
        <v>13</v>
      </c>
      <c r="J382" s="3">
        <v>2</v>
      </c>
      <c r="K382" s="3">
        <v>14270.81</v>
      </c>
      <c r="L382" s="3">
        <f>Table1[[#This Row],[Price Per Unit]]*Table1[[#This Row],[Units Sold]]</f>
        <v>28541.62</v>
      </c>
      <c r="M382" s="3" t="s">
        <v>369</v>
      </c>
      <c r="N382" s="3">
        <v>31</v>
      </c>
      <c r="O382" s="3" t="s">
        <v>24</v>
      </c>
      <c r="P382" s="3" t="s">
        <v>45</v>
      </c>
      <c r="Q382" s="4">
        <v>5</v>
      </c>
      <c r="R382" s="4" t="str">
        <f>IF(Table1[[#This Row],[Customer Ratings]]&gt;=4, "Good",IF(Table1[[#This Row],[Customer Ratings]]=3, "Average","Poor"))</f>
        <v>Good</v>
      </c>
      <c r="S382" s="3" t="s">
        <v>27</v>
      </c>
    </row>
    <row r="383" spans="1:19" x14ac:dyDescent="0.25">
      <c r="A383" s="3">
        <v>382</v>
      </c>
      <c r="B383" s="5">
        <f>DATE(Table1[[#This Row],[Year]],Table1[[#This Row],[Month]],Table1[[#This Row],[Day]])</f>
        <v>44584</v>
      </c>
      <c r="C383" s="3">
        <v>23</v>
      </c>
      <c r="D383" s="3">
        <v>1</v>
      </c>
      <c r="E383" s="3">
        <v>2022</v>
      </c>
      <c r="F383" s="3" t="str">
        <f>"Qtr"&amp; " " &amp;CHOOSE(MONTH(Table1[[#This Row],[Date]]),1,1,1,2,2,2,3,3,3,4,4,4)</f>
        <v>Qtr 1</v>
      </c>
      <c r="G383" s="3" t="str">
        <f>TEXT(Table1[[#This Row],[Date]],"mmmm")</f>
        <v>January</v>
      </c>
      <c r="H383" s="3" t="s">
        <v>1080</v>
      </c>
      <c r="I383" s="3" t="s">
        <v>33</v>
      </c>
      <c r="J383" s="3">
        <v>3</v>
      </c>
      <c r="K383" s="3">
        <v>15371.21</v>
      </c>
      <c r="L383" s="3">
        <f>Table1[[#This Row],[Price Per Unit]]*Table1[[#This Row],[Units Sold]]</f>
        <v>46113.63</v>
      </c>
      <c r="M383" s="3" t="s">
        <v>370</v>
      </c>
      <c r="N383" s="3">
        <v>31</v>
      </c>
      <c r="O383" s="3" t="s">
        <v>20</v>
      </c>
      <c r="P383" s="3" t="s">
        <v>16</v>
      </c>
      <c r="Q383" s="4">
        <v>4</v>
      </c>
      <c r="R383" s="4" t="str">
        <f>IF(Table1[[#This Row],[Customer Ratings]]&gt;=4, "Good",IF(Table1[[#This Row],[Customer Ratings]]=3, "Average","Poor"))</f>
        <v>Good</v>
      </c>
      <c r="S383" s="3" t="s">
        <v>46</v>
      </c>
    </row>
    <row r="384" spans="1:19" x14ac:dyDescent="0.25">
      <c r="A384" s="3">
        <v>383</v>
      </c>
      <c r="B384" s="5">
        <f>DATE(Table1[[#This Row],[Year]],Table1[[#This Row],[Month]],Table1[[#This Row],[Day]])</f>
        <v>44584</v>
      </c>
      <c r="C384" s="3">
        <v>23</v>
      </c>
      <c r="D384" s="3">
        <v>1</v>
      </c>
      <c r="E384" s="3">
        <v>2022</v>
      </c>
      <c r="F384" s="3" t="str">
        <f>"Qtr"&amp; " " &amp;CHOOSE(MONTH(Table1[[#This Row],[Date]]),1,1,1,2,2,2,3,3,3,4,4,4)</f>
        <v>Qtr 1</v>
      </c>
      <c r="G384" s="3" t="str">
        <f>TEXT(Table1[[#This Row],[Date]],"mmmm")</f>
        <v>January</v>
      </c>
      <c r="H384" s="3" t="s">
        <v>1080</v>
      </c>
      <c r="I384" s="3" t="s">
        <v>18</v>
      </c>
      <c r="J384" s="3">
        <v>5</v>
      </c>
      <c r="K384" s="3">
        <v>36026.699999999997</v>
      </c>
      <c r="L384" s="3">
        <f>Table1[[#This Row],[Price Per Unit]]*Table1[[#This Row],[Units Sold]]</f>
        <v>180133.5</v>
      </c>
      <c r="M384" s="3" t="s">
        <v>371</v>
      </c>
      <c r="N384" s="3">
        <v>37</v>
      </c>
      <c r="O384" s="3" t="s">
        <v>41</v>
      </c>
      <c r="P384" s="3" t="s">
        <v>45</v>
      </c>
      <c r="Q384" s="4">
        <v>4</v>
      </c>
      <c r="R384" s="4" t="str">
        <f>IF(Table1[[#This Row],[Customer Ratings]]&gt;=4, "Good",IF(Table1[[#This Row],[Customer Ratings]]=3, "Average","Poor"))</f>
        <v>Good</v>
      </c>
      <c r="S384" s="3" t="s">
        <v>22</v>
      </c>
    </row>
    <row r="385" spans="1:19" x14ac:dyDescent="0.25">
      <c r="A385" s="3">
        <v>384</v>
      </c>
      <c r="B385" s="5">
        <f>DATE(Table1[[#This Row],[Year]],Table1[[#This Row],[Month]],Table1[[#This Row],[Day]])</f>
        <v>44585</v>
      </c>
      <c r="C385" s="3">
        <v>24</v>
      </c>
      <c r="D385" s="3">
        <v>1</v>
      </c>
      <c r="E385" s="3">
        <v>2022</v>
      </c>
      <c r="F385" s="3" t="str">
        <f>"Qtr"&amp; " " &amp;CHOOSE(MONTH(Table1[[#This Row],[Date]]),1,1,1,2,2,2,3,3,3,4,4,4)</f>
        <v>Qtr 1</v>
      </c>
      <c r="G385" s="3" t="str">
        <f>TEXT(Table1[[#This Row],[Date]],"mmmm")</f>
        <v>January</v>
      </c>
      <c r="H385" s="3" t="s">
        <v>1081</v>
      </c>
      <c r="I385" s="3" t="s">
        <v>13</v>
      </c>
      <c r="J385" s="3">
        <v>5</v>
      </c>
      <c r="K385" s="3">
        <v>31347.59</v>
      </c>
      <c r="L385" s="3">
        <f>Table1[[#This Row],[Price Per Unit]]*Table1[[#This Row],[Units Sold]]</f>
        <v>156737.95000000001</v>
      </c>
      <c r="M385" s="3" t="s">
        <v>199</v>
      </c>
      <c r="N385" s="3">
        <v>30</v>
      </c>
      <c r="O385" s="3" t="s">
        <v>52</v>
      </c>
      <c r="P385" s="3" t="s">
        <v>21</v>
      </c>
      <c r="Q385" s="4">
        <v>5</v>
      </c>
      <c r="R385" s="4" t="str">
        <f>IF(Table1[[#This Row],[Customer Ratings]]&gt;=4, "Good",IF(Table1[[#This Row],[Customer Ratings]]=3, "Average","Poor"))</f>
        <v>Good</v>
      </c>
      <c r="S385" s="3" t="s">
        <v>17</v>
      </c>
    </row>
    <row r="386" spans="1:19" x14ac:dyDescent="0.25">
      <c r="A386" s="3">
        <v>385</v>
      </c>
      <c r="B386" s="5">
        <f>DATE(Table1[[#This Row],[Year]],Table1[[#This Row],[Month]],Table1[[#This Row],[Day]])</f>
        <v>44585</v>
      </c>
      <c r="C386" s="3">
        <v>24</v>
      </c>
      <c r="D386" s="3">
        <v>1</v>
      </c>
      <c r="E386" s="3">
        <v>2022</v>
      </c>
      <c r="F386" s="3" t="str">
        <f>"Qtr"&amp; " " &amp;CHOOSE(MONTH(Table1[[#This Row],[Date]]),1,1,1,2,2,2,3,3,3,4,4,4)</f>
        <v>Qtr 1</v>
      </c>
      <c r="G386" s="3" t="str">
        <f>TEXT(Table1[[#This Row],[Date]],"mmmm")</f>
        <v>January</v>
      </c>
      <c r="H386" s="3" t="s">
        <v>1081</v>
      </c>
      <c r="I386" s="3" t="s">
        <v>13</v>
      </c>
      <c r="J386" s="3">
        <v>6</v>
      </c>
      <c r="K386" s="3">
        <v>40968.089999999997</v>
      </c>
      <c r="L386" s="3">
        <f>Table1[[#This Row],[Price Per Unit]]*Table1[[#This Row],[Units Sold]]</f>
        <v>245808.53999999998</v>
      </c>
      <c r="M386" s="3" t="s">
        <v>352</v>
      </c>
      <c r="N386" s="3">
        <v>44</v>
      </c>
      <c r="O386" s="3" t="s">
        <v>20</v>
      </c>
      <c r="P386" s="3" t="s">
        <v>21</v>
      </c>
      <c r="Q386" s="4">
        <v>5</v>
      </c>
      <c r="R386" s="4" t="str">
        <f>IF(Table1[[#This Row],[Customer Ratings]]&gt;=4, "Good",IF(Table1[[#This Row],[Customer Ratings]]=3, "Average","Poor"))</f>
        <v>Good</v>
      </c>
      <c r="S386" s="3" t="s">
        <v>17</v>
      </c>
    </row>
    <row r="387" spans="1:19" x14ac:dyDescent="0.25">
      <c r="A387" s="3">
        <v>386</v>
      </c>
      <c r="B387" s="5">
        <f>DATE(Table1[[#This Row],[Year]],Table1[[#This Row],[Month]],Table1[[#This Row],[Day]])</f>
        <v>44585</v>
      </c>
      <c r="C387" s="3">
        <v>24</v>
      </c>
      <c r="D387" s="3">
        <v>1</v>
      </c>
      <c r="E387" s="3">
        <v>2022</v>
      </c>
      <c r="F387" s="3" t="str">
        <f>"Qtr"&amp; " " &amp;CHOOSE(MONTH(Table1[[#This Row],[Date]]),1,1,1,2,2,2,3,3,3,4,4,4)</f>
        <v>Qtr 1</v>
      </c>
      <c r="G387" s="3" t="str">
        <f>TEXT(Table1[[#This Row],[Date]],"mmmm")</f>
        <v>January</v>
      </c>
      <c r="H387" s="3" t="s">
        <v>1081</v>
      </c>
      <c r="I387" s="3" t="s">
        <v>28</v>
      </c>
      <c r="J387" s="3">
        <v>7</v>
      </c>
      <c r="K387" s="3">
        <v>28290.29</v>
      </c>
      <c r="L387" s="3">
        <f>Table1[[#This Row],[Price Per Unit]]*Table1[[#This Row],[Units Sold]]</f>
        <v>198032.03</v>
      </c>
      <c r="M387" s="3" t="s">
        <v>372</v>
      </c>
      <c r="N387" s="3">
        <v>52</v>
      </c>
      <c r="O387" s="3" t="s">
        <v>65</v>
      </c>
      <c r="P387" s="3" t="s">
        <v>21</v>
      </c>
      <c r="Q387" s="4">
        <v>5</v>
      </c>
      <c r="R387" s="4" t="str">
        <f>IF(Table1[[#This Row],[Customer Ratings]]&gt;=4, "Good",IF(Table1[[#This Row],[Customer Ratings]]=3, "Average","Poor"))</f>
        <v>Good</v>
      </c>
      <c r="S387" s="3" t="s">
        <v>38</v>
      </c>
    </row>
    <row r="388" spans="1:19" x14ac:dyDescent="0.25">
      <c r="A388" s="3">
        <v>387</v>
      </c>
      <c r="B388" s="5">
        <f>DATE(Table1[[#This Row],[Year]],Table1[[#This Row],[Month]],Table1[[#This Row],[Day]])</f>
        <v>44585</v>
      </c>
      <c r="C388" s="3">
        <v>24</v>
      </c>
      <c r="D388" s="3">
        <v>1</v>
      </c>
      <c r="E388" s="3">
        <v>2022</v>
      </c>
      <c r="F388" s="3" t="str">
        <f>"Qtr"&amp; " " &amp;CHOOSE(MONTH(Table1[[#This Row],[Date]]),1,1,1,2,2,2,3,3,3,4,4,4)</f>
        <v>Qtr 1</v>
      </c>
      <c r="G388" s="3" t="str">
        <f>TEXT(Table1[[#This Row],[Date]],"mmmm")</f>
        <v>January</v>
      </c>
      <c r="H388" s="3" t="s">
        <v>1081</v>
      </c>
      <c r="I388" s="3" t="s">
        <v>33</v>
      </c>
      <c r="J388" s="3">
        <v>7</v>
      </c>
      <c r="K388" s="3">
        <v>51274.61</v>
      </c>
      <c r="L388" s="3">
        <f>Table1[[#This Row],[Price Per Unit]]*Table1[[#This Row],[Units Sold]]</f>
        <v>358922.27</v>
      </c>
      <c r="M388" s="3" t="s">
        <v>251</v>
      </c>
      <c r="N388" s="3">
        <v>19</v>
      </c>
      <c r="O388" s="3" t="s">
        <v>35</v>
      </c>
      <c r="P388" s="3" t="s">
        <v>45</v>
      </c>
      <c r="Q388" s="4">
        <v>5</v>
      </c>
      <c r="R388" s="4" t="str">
        <f>IF(Table1[[#This Row],[Customer Ratings]]&gt;=4, "Good",IF(Table1[[#This Row],[Customer Ratings]]=3, "Average","Poor"))</f>
        <v>Good</v>
      </c>
      <c r="S388" s="3" t="s">
        <v>46</v>
      </c>
    </row>
    <row r="389" spans="1:19" x14ac:dyDescent="0.25">
      <c r="A389" s="3">
        <v>388</v>
      </c>
      <c r="B389" s="5">
        <f>DATE(Table1[[#This Row],[Year]],Table1[[#This Row],[Month]],Table1[[#This Row],[Day]])</f>
        <v>44586</v>
      </c>
      <c r="C389" s="3">
        <v>25</v>
      </c>
      <c r="D389" s="3">
        <v>1</v>
      </c>
      <c r="E389" s="3">
        <v>2022</v>
      </c>
      <c r="F389" s="3" t="str">
        <f>"Qtr"&amp; " " &amp;CHOOSE(MONTH(Table1[[#This Row],[Date]]),1,1,1,2,2,2,3,3,3,4,4,4)</f>
        <v>Qtr 1</v>
      </c>
      <c r="G389" s="3" t="str">
        <f>TEXT(Table1[[#This Row],[Date]],"mmmm")</f>
        <v>January</v>
      </c>
      <c r="H389" s="3" t="s">
        <v>1082</v>
      </c>
      <c r="I389" s="3" t="s">
        <v>13</v>
      </c>
      <c r="J389" s="3">
        <v>1</v>
      </c>
      <c r="K389" s="3">
        <v>61837.29</v>
      </c>
      <c r="L389" s="3">
        <f>Table1[[#This Row],[Price Per Unit]]*Table1[[#This Row],[Units Sold]]</f>
        <v>61837.29</v>
      </c>
      <c r="M389" s="3" t="s">
        <v>373</v>
      </c>
      <c r="N389" s="3">
        <v>58</v>
      </c>
      <c r="O389" s="3" t="s">
        <v>105</v>
      </c>
      <c r="P389" s="3" t="s">
        <v>16</v>
      </c>
      <c r="Q389" s="4">
        <v>4</v>
      </c>
      <c r="R389" s="4" t="str">
        <f>IF(Table1[[#This Row],[Customer Ratings]]&gt;=4, "Good",IF(Table1[[#This Row],[Customer Ratings]]=3, "Average","Poor"))</f>
        <v>Good</v>
      </c>
      <c r="S389" s="3" t="s">
        <v>72</v>
      </c>
    </row>
    <row r="390" spans="1:19" x14ac:dyDescent="0.25">
      <c r="A390" s="3">
        <v>389</v>
      </c>
      <c r="B390" s="5">
        <f>DATE(Table1[[#This Row],[Year]],Table1[[#This Row],[Month]],Table1[[#This Row],[Day]])</f>
        <v>44586</v>
      </c>
      <c r="C390" s="3">
        <v>25</v>
      </c>
      <c r="D390" s="3">
        <v>1</v>
      </c>
      <c r="E390" s="3">
        <v>2022</v>
      </c>
      <c r="F390" s="3" t="str">
        <f>"Qtr"&amp; " " &amp;CHOOSE(MONTH(Table1[[#This Row],[Date]]),1,1,1,2,2,2,3,3,3,4,4,4)</f>
        <v>Qtr 1</v>
      </c>
      <c r="G390" s="3" t="str">
        <f>TEXT(Table1[[#This Row],[Date]],"mmmm")</f>
        <v>January</v>
      </c>
      <c r="H390" s="3" t="s">
        <v>1082</v>
      </c>
      <c r="I390" s="3" t="s">
        <v>18</v>
      </c>
      <c r="J390" s="3">
        <v>2</v>
      </c>
      <c r="K390" s="3">
        <v>27931.79</v>
      </c>
      <c r="L390" s="3">
        <f>Table1[[#This Row],[Price Per Unit]]*Table1[[#This Row],[Units Sold]]</f>
        <v>55863.58</v>
      </c>
      <c r="M390" s="3" t="s">
        <v>374</v>
      </c>
      <c r="N390" s="3">
        <v>57</v>
      </c>
      <c r="O390" s="3" t="s">
        <v>65</v>
      </c>
      <c r="P390" s="3" t="s">
        <v>31</v>
      </c>
      <c r="Q390" s="4">
        <v>4</v>
      </c>
      <c r="R390" s="4" t="str">
        <f>IF(Table1[[#This Row],[Customer Ratings]]&gt;=4, "Good",IF(Table1[[#This Row],[Customer Ratings]]=3, "Average","Poor"))</f>
        <v>Good</v>
      </c>
      <c r="S390" s="3" t="s">
        <v>55</v>
      </c>
    </row>
    <row r="391" spans="1:19" x14ac:dyDescent="0.25">
      <c r="A391" s="3">
        <v>390</v>
      </c>
      <c r="B391" s="5">
        <f>DATE(Table1[[#This Row],[Year]],Table1[[#This Row],[Month]],Table1[[#This Row],[Day]])</f>
        <v>44586</v>
      </c>
      <c r="C391" s="3">
        <v>25</v>
      </c>
      <c r="D391" s="3">
        <v>1</v>
      </c>
      <c r="E391" s="3">
        <v>2022</v>
      </c>
      <c r="F391" s="3" t="str">
        <f>"Qtr"&amp; " " &amp;CHOOSE(MONTH(Table1[[#This Row],[Date]]),1,1,1,2,2,2,3,3,3,4,4,4)</f>
        <v>Qtr 1</v>
      </c>
      <c r="G391" s="3" t="str">
        <f>TEXT(Table1[[#This Row],[Date]],"mmmm")</f>
        <v>January</v>
      </c>
      <c r="H391" s="3" t="s">
        <v>1082</v>
      </c>
      <c r="I391" s="3" t="s">
        <v>28</v>
      </c>
      <c r="J391" s="3">
        <v>9</v>
      </c>
      <c r="K391" s="3">
        <v>21579.040000000001</v>
      </c>
      <c r="L391" s="3">
        <f>Table1[[#This Row],[Price Per Unit]]*Table1[[#This Row],[Units Sold]]</f>
        <v>194211.36000000002</v>
      </c>
      <c r="M391" s="3" t="s">
        <v>375</v>
      </c>
      <c r="N391" s="3">
        <v>41</v>
      </c>
      <c r="O391" s="3" t="s">
        <v>15</v>
      </c>
      <c r="P391" s="3" t="s">
        <v>45</v>
      </c>
      <c r="Q391" s="4">
        <v>4</v>
      </c>
      <c r="R391" s="4" t="str">
        <f>IF(Table1[[#This Row],[Customer Ratings]]&gt;=4, "Good",IF(Table1[[#This Row],[Customer Ratings]]=3, "Average","Poor"))</f>
        <v>Good</v>
      </c>
      <c r="S391" s="3" t="s">
        <v>32</v>
      </c>
    </row>
    <row r="392" spans="1:19" x14ac:dyDescent="0.25">
      <c r="A392" s="3">
        <v>391</v>
      </c>
      <c r="B392" s="5">
        <f>DATE(Table1[[#This Row],[Year]],Table1[[#This Row],[Month]],Table1[[#This Row],[Day]])</f>
        <v>44586</v>
      </c>
      <c r="C392" s="3">
        <v>25</v>
      </c>
      <c r="D392" s="3">
        <v>1</v>
      </c>
      <c r="E392" s="3">
        <v>2022</v>
      </c>
      <c r="F392" s="3" t="str">
        <f>"Qtr"&amp; " " &amp;CHOOSE(MONTH(Table1[[#This Row],[Date]]),1,1,1,2,2,2,3,3,3,4,4,4)</f>
        <v>Qtr 1</v>
      </c>
      <c r="G392" s="3" t="str">
        <f>TEXT(Table1[[#This Row],[Date]],"mmmm")</f>
        <v>January</v>
      </c>
      <c r="H392" s="3" t="s">
        <v>1082</v>
      </c>
      <c r="I392" s="3" t="s">
        <v>33</v>
      </c>
      <c r="J392" s="3">
        <v>2</v>
      </c>
      <c r="K392" s="3">
        <v>16970.830000000002</v>
      </c>
      <c r="L392" s="3">
        <f>Table1[[#This Row],[Price Per Unit]]*Table1[[#This Row],[Units Sold]]</f>
        <v>33941.660000000003</v>
      </c>
      <c r="M392" s="3" t="s">
        <v>294</v>
      </c>
      <c r="N392" s="3">
        <v>46</v>
      </c>
      <c r="O392" s="3" t="s">
        <v>24</v>
      </c>
      <c r="P392" s="3" t="s">
        <v>21</v>
      </c>
      <c r="Q392" s="4">
        <v>4</v>
      </c>
      <c r="R392" s="4" t="str">
        <f>IF(Table1[[#This Row],[Customer Ratings]]&gt;=4, "Good",IF(Table1[[#This Row],[Customer Ratings]]=3, "Average","Poor"))</f>
        <v>Good</v>
      </c>
      <c r="S392" s="3" t="s">
        <v>46</v>
      </c>
    </row>
    <row r="393" spans="1:19" x14ac:dyDescent="0.25">
      <c r="A393" s="3">
        <v>392</v>
      </c>
      <c r="B393" s="5">
        <f>DATE(Table1[[#This Row],[Year]],Table1[[#This Row],[Month]],Table1[[#This Row],[Day]])</f>
        <v>44587</v>
      </c>
      <c r="C393" s="3">
        <v>26</v>
      </c>
      <c r="D393" s="3">
        <v>1</v>
      </c>
      <c r="E393" s="3">
        <v>2022</v>
      </c>
      <c r="F393" s="3" t="str">
        <f>"Qtr"&amp; " " &amp;CHOOSE(MONTH(Table1[[#This Row],[Date]]),1,1,1,2,2,2,3,3,3,4,4,4)</f>
        <v>Qtr 1</v>
      </c>
      <c r="G393" s="3" t="str">
        <f>TEXT(Table1[[#This Row],[Date]],"mmmm")</f>
        <v>January</v>
      </c>
      <c r="H393" s="3" t="s">
        <v>1083</v>
      </c>
      <c r="I393" s="3" t="s">
        <v>39</v>
      </c>
      <c r="J393" s="3">
        <v>6</v>
      </c>
      <c r="K393" s="3">
        <v>46975.24</v>
      </c>
      <c r="L393" s="3">
        <f>Table1[[#This Row],[Price Per Unit]]*Table1[[#This Row],[Units Sold]]</f>
        <v>281851.44</v>
      </c>
      <c r="M393" s="3" t="s">
        <v>376</v>
      </c>
      <c r="N393" s="3">
        <v>20</v>
      </c>
      <c r="O393" s="3" t="s">
        <v>52</v>
      </c>
      <c r="P393" s="3" t="s">
        <v>31</v>
      </c>
      <c r="Q393" s="4">
        <v>4</v>
      </c>
      <c r="R393" s="4" t="str">
        <f>IF(Table1[[#This Row],[Customer Ratings]]&gt;=4, "Good",IF(Table1[[#This Row],[Customer Ratings]]=3, "Average","Poor"))</f>
        <v>Good</v>
      </c>
      <c r="S393" s="3" t="s">
        <v>76</v>
      </c>
    </row>
    <row r="394" spans="1:19" x14ac:dyDescent="0.25">
      <c r="A394" s="3">
        <v>393</v>
      </c>
      <c r="B394" s="5">
        <f>DATE(Table1[[#This Row],[Year]],Table1[[#This Row],[Month]],Table1[[#This Row],[Day]])</f>
        <v>44587</v>
      </c>
      <c r="C394" s="3">
        <v>26</v>
      </c>
      <c r="D394" s="3">
        <v>1</v>
      </c>
      <c r="E394" s="3">
        <v>2022</v>
      </c>
      <c r="F394" s="3" t="str">
        <f>"Qtr"&amp; " " &amp;CHOOSE(MONTH(Table1[[#This Row],[Date]]),1,1,1,2,2,2,3,3,3,4,4,4)</f>
        <v>Qtr 1</v>
      </c>
      <c r="G394" s="3" t="str">
        <f>TEXT(Table1[[#This Row],[Date]],"mmmm")</f>
        <v>January</v>
      </c>
      <c r="H394" s="3" t="s">
        <v>1083</v>
      </c>
      <c r="I394" s="3" t="s">
        <v>18</v>
      </c>
      <c r="J394" s="3">
        <v>1</v>
      </c>
      <c r="K394" s="3">
        <v>36631.360000000001</v>
      </c>
      <c r="L394" s="3">
        <f>Table1[[#This Row],[Price Per Unit]]*Table1[[#This Row],[Units Sold]]</f>
        <v>36631.360000000001</v>
      </c>
      <c r="M394" s="3" t="s">
        <v>377</v>
      </c>
      <c r="N394" s="3">
        <v>21</v>
      </c>
      <c r="O394" s="3" t="s">
        <v>30</v>
      </c>
      <c r="P394" s="3" t="s">
        <v>31</v>
      </c>
      <c r="Q394" s="4">
        <v>5</v>
      </c>
      <c r="R394" s="4" t="str">
        <f>IF(Table1[[#This Row],[Customer Ratings]]&gt;=4, "Good",IF(Table1[[#This Row],[Customer Ratings]]=3, "Average","Poor"))</f>
        <v>Good</v>
      </c>
      <c r="S394" s="3" t="s">
        <v>25</v>
      </c>
    </row>
    <row r="395" spans="1:19" x14ac:dyDescent="0.25">
      <c r="A395" s="3">
        <v>394</v>
      </c>
      <c r="B395" s="5">
        <f>DATE(Table1[[#This Row],[Year]],Table1[[#This Row],[Month]],Table1[[#This Row],[Day]])</f>
        <v>44587</v>
      </c>
      <c r="C395" s="3">
        <v>26</v>
      </c>
      <c r="D395" s="3">
        <v>1</v>
      </c>
      <c r="E395" s="3">
        <v>2022</v>
      </c>
      <c r="F395" s="3" t="str">
        <f>"Qtr"&amp; " " &amp;CHOOSE(MONTH(Table1[[#This Row],[Date]]),1,1,1,2,2,2,3,3,3,4,4,4)</f>
        <v>Qtr 1</v>
      </c>
      <c r="G395" s="3" t="str">
        <f>TEXT(Table1[[#This Row],[Date]],"mmmm")</f>
        <v>January</v>
      </c>
      <c r="H395" s="3" t="s">
        <v>1083</v>
      </c>
      <c r="I395" s="3" t="s">
        <v>13</v>
      </c>
      <c r="J395" s="3">
        <v>3</v>
      </c>
      <c r="K395" s="3">
        <v>21280.94</v>
      </c>
      <c r="L395" s="3">
        <f>Table1[[#This Row],[Price Per Unit]]*Table1[[#This Row],[Units Sold]]</f>
        <v>63842.819999999992</v>
      </c>
      <c r="M395" s="3" t="s">
        <v>378</v>
      </c>
      <c r="N395" s="3">
        <v>19</v>
      </c>
      <c r="O395" s="3" t="s">
        <v>30</v>
      </c>
      <c r="P395" s="3" t="s">
        <v>31</v>
      </c>
      <c r="Q395" s="4">
        <v>4</v>
      </c>
      <c r="R395" s="4" t="str">
        <f>IF(Table1[[#This Row],[Customer Ratings]]&gt;=4, "Good",IF(Table1[[#This Row],[Customer Ratings]]=3, "Average","Poor"))</f>
        <v>Good</v>
      </c>
      <c r="S395" s="3" t="s">
        <v>72</v>
      </c>
    </row>
    <row r="396" spans="1:19" x14ac:dyDescent="0.25">
      <c r="A396" s="3">
        <v>395</v>
      </c>
      <c r="B396" s="5">
        <f>DATE(Table1[[#This Row],[Year]],Table1[[#This Row],[Month]],Table1[[#This Row],[Day]])</f>
        <v>44588</v>
      </c>
      <c r="C396" s="3">
        <v>27</v>
      </c>
      <c r="D396" s="3">
        <v>1</v>
      </c>
      <c r="E396" s="3">
        <v>2022</v>
      </c>
      <c r="F396" s="3" t="str">
        <f>"Qtr"&amp; " " &amp;CHOOSE(MONTH(Table1[[#This Row],[Date]]),1,1,1,2,2,2,3,3,3,4,4,4)</f>
        <v>Qtr 1</v>
      </c>
      <c r="G396" s="3" t="str">
        <f>TEXT(Table1[[#This Row],[Date]],"mmmm")</f>
        <v>January</v>
      </c>
      <c r="H396" s="3" t="s">
        <v>1084</v>
      </c>
      <c r="I396" s="3" t="s">
        <v>13</v>
      </c>
      <c r="J396" s="3">
        <v>2</v>
      </c>
      <c r="K396" s="3">
        <v>49188.2</v>
      </c>
      <c r="L396" s="3">
        <f>Table1[[#This Row],[Price Per Unit]]*Table1[[#This Row],[Units Sold]]</f>
        <v>98376.4</v>
      </c>
      <c r="M396" s="3" t="s">
        <v>208</v>
      </c>
      <c r="N396" s="3">
        <v>37</v>
      </c>
      <c r="O396" s="3" t="s">
        <v>24</v>
      </c>
      <c r="P396" s="3" t="s">
        <v>31</v>
      </c>
      <c r="Q396" s="4">
        <v>3</v>
      </c>
      <c r="R396" s="4" t="str">
        <f>IF(Table1[[#This Row],[Customer Ratings]]&gt;=4, "Good",IF(Table1[[#This Row],[Customer Ratings]]=3, "Average","Poor"))</f>
        <v>Average</v>
      </c>
      <c r="S396" s="3" t="s">
        <v>27</v>
      </c>
    </row>
    <row r="397" spans="1:19" x14ac:dyDescent="0.25">
      <c r="A397" s="3">
        <v>396</v>
      </c>
      <c r="B397" s="5">
        <f>DATE(Table1[[#This Row],[Year]],Table1[[#This Row],[Month]],Table1[[#This Row],[Day]])</f>
        <v>44588</v>
      </c>
      <c r="C397" s="3">
        <v>27</v>
      </c>
      <c r="D397" s="3">
        <v>1</v>
      </c>
      <c r="E397" s="3">
        <v>2022</v>
      </c>
      <c r="F397" s="3" t="str">
        <f>"Qtr"&amp; " " &amp;CHOOSE(MONTH(Table1[[#This Row],[Date]]),1,1,1,2,2,2,3,3,3,4,4,4)</f>
        <v>Qtr 1</v>
      </c>
      <c r="G397" s="3" t="str">
        <f>TEXT(Table1[[#This Row],[Date]],"mmmm")</f>
        <v>January</v>
      </c>
      <c r="H397" s="3" t="s">
        <v>1084</v>
      </c>
      <c r="I397" s="3" t="s">
        <v>18</v>
      </c>
      <c r="J397" s="3">
        <v>3</v>
      </c>
      <c r="K397" s="3">
        <v>18908.990000000002</v>
      </c>
      <c r="L397" s="3">
        <f>Table1[[#This Row],[Price Per Unit]]*Table1[[#This Row],[Units Sold]]</f>
        <v>56726.97</v>
      </c>
      <c r="M397" s="3" t="s">
        <v>379</v>
      </c>
      <c r="N397" s="3">
        <v>32</v>
      </c>
      <c r="O397" s="3" t="s">
        <v>41</v>
      </c>
      <c r="P397" s="3" t="s">
        <v>31</v>
      </c>
      <c r="Q397" s="4">
        <v>3</v>
      </c>
      <c r="R397" s="4" t="str">
        <f>IF(Table1[[#This Row],[Customer Ratings]]&gt;=4, "Good",IF(Table1[[#This Row],[Customer Ratings]]=3, "Average","Poor"))</f>
        <v>Average</v>
      </c>
      <c r="S397" s="3" t="s">
        <v>25</v>
      </c>
    </row>
    <row r="398" spans="1:19" x14ac:dyDescent="0.25">
      <c r="A398" s="3">
        <v>397</v>
      </c>
      <c r="B398" s="5">
        <f>DATE(Table1[[#This Row],[Year]],Table1[[#This Row],[Month]],Table1[[#This Row],[Day]])</f>
        <v>44588</v>
      </c>
      <c r="C398" s="3">
        <v>27</v>
      </c>
      <c r="D398" s="3">
        <v>1</v>
      </c>
      <c r="E398" s="3">
        <v>2022</v>
      </c>
      <c r="F398" s="3" t="str">
        <f>"Qtr"&amp; " " &amp;CHOOSE(MONTH(Table1[[#This Row],[Date]]),1,1,1,2,2,2,3,3,3,4,4,4)</f>
        <v>Qtr 1</v>
      </c>
      <c r="G398" s="3" t="str">
        <f>TEXT(Table1[[#This Row],[Date]],"mmmm")</f>
        <v>January</v>
      </c>
      <c r="H398" s="3" t="s">
        <v>1084</v>
      </c>
      <c r="I398" s="3" t="s">
        <v>13</v>
      </c>
      <c r="J398" s="3">
        <v>5</v>
      </c>
      <c r="K398" s="3">
        <v>43258.04</v>
      </c>
      <c r="L398" s="3">
        <f>Table1[[#This Row],[Price Per Unit]]*Table1[[#This Row],[Units Sold]]</f>
        <v>216290.2</v>
      </c>
      <c r="M398" s="3" t="s">
        <v>380</v>
      </c>
      <c r="N398" s="3">
        <v>49</v>
      </c>
      <c r="O398" s="3" t="s">
        <v>78</v>
      </c>
      <c r="P398" s="3" t="s">
        <v>21</v>
      </c>
      <c r="Q398" s="4">
        <v>5</v>
      </c>
      <c r="R398" s="4" t="str">
        <f>IF(Table1[[#This Row],[Customer Ratings]]&gt;=4, "Good",IF(Table1[[#This Row],[Customer Ratings]]=3, "Average","Poor"))</f>
        <v>Good</v>
      </c>
      <c r="S398" s="3" t="s">
        <v>72</v>
      </c>
    </row>
    <row r="399" spans="1:19" x14ac:dyDescent="0.25">
      <c r="A399" s="3">
        <v>398</v>
      </c>
      <c r="B399" s="5">
        <f>DATE(Table1[[#This Row],[Year]],Table1[[#This Row],[Month]],Table1[[#This Row],[Day]])</f>
        <v>44588</v>
      </c>
      <c r="C399" s="3">
        <v>27</v>
      </c>
      <c r="D399" s="3">
        <v>1</v>
      </c>
      <c r="E399" s="3">
        <v>2022</v>
      </c>
      <c r="F399" s="3" t="str">
        <f>"Qtr"&amp; " " &amp;CHOOSE(MONTH(Table1[[#This Row],[Date]]),1,1,1,2,2,2,3,3,3,4,4,4)</f>
        <v>Qtr 1</v>
      </c>
      <c r="G399" s="3" t="str">
        <f>TEXT(Table1[[#This Row],[Date]],"mmmm")</f>
        <v>January</v>
      </c>
      <c r="H399" s="3" t="s">
        <v>1084</v>
      </c>
      <c r="I399" s="3" t="s">
        <v>28</v>
      </c>
      <c r="J399" s="3">
        <v>6</v>
      </c>
      <c r="K399" s="3">
        <v>41628.9</v>
      </c>
      <c r="L399" s="3">
        <f>Table1[[#This Row],[Price Per Unit]]*Table1[[#This Row],[Units Sold]]</f>
        <v>249773.40000000002</v>
      </c>
      <c r="M399" s="3" t="s">
        <v>381</v>
      </c>
      <c r="N399" s="3">
        <v>59</v>
      </c>
      <c r="O399" s="3" t="s">
        <v>58</v>
      </c>
      <c r="P399" s="3" t="s">
        <v>16</v>
      </c>
      <c r="Q399" s="4">
        <v>5</v>
      </c>
      <c r="R399" s="4" t="str">
        <f>IF(Table1[[#This Row],[Customer Ratings]]&gt;=4, "Good",IF(Table1[[#This Row],[Customer Ratings]]=3, "Average","Poor"))</f>
        <v>Good</v>
      </c>
      <c r="S399" s="3" t="s">
        <v>87</v>
      </c>
    </row>
    <row r="400" spans="1:19" x14ac:dyDescent="0.25">
      <c r="A400" s="3">
        <v>399</v>
      </c>
      <c r="B400" s="5">
        <f>DATE(Table1[[#This Row],[Year]],Table1[[#This Row],[Month]],Table1[[#This Row],[Day]])</f>
        <v>44589</v>
      </c>
      <c r="C400" s="3">
        <v>28</v>
      </c>
      <c r="D400" s="3">
        <v>1</v>
      </c>
      <c r="E400" s="3">
        <v>2022</v>
      </c>
      <c r="F400" s="3" t="str">
        <f>"Qtr"&amp; " " &amp;CHOOSE(MONTH(Table1[[#This Row],[Date]]),1,1,1,2,2,2,3,3,3,4,4,4)</f>
        <v>Qtr 1</v>
      </c>
      <c r="G400" s="3" t="str">
        <f>TEXT(Table1[[#This Row],[Date]],"mmmm")</f>
        <v>January</v>
      </c>
      <c r="H400" s="3" t="s">
        <v>1085</v>
      </c>
      <c r="I400" s="3" t="s">
        <v>33</v>
      </c>
      <c r="J400" s="3">
        <v>9</v>
      </c>
      <c r="K400" s="3">
        <v>54053.67</v>
      </c>
      <c r="L400" s="3">
        <f>Table1[[#This Row],[Price Per Unit]]*Table1[[#This Row],[Units Sold]]</f>
        <v>486483.02999999997</v>
      </c>
      <c r="M400" s="3" t="s">
        <v>382</v>
      </c>
      <c r="N400" s="3">
        <v>18</v>
      </c>
      <c r="O400" s="3" t="s">
        <v>20</v>
      </c>
      <c r="P400" s="3" t="s">
        <v>31</v>
      </c>
      <c r="Q400" s="4">
        <v>3</v>
      </c>
      <c r="R400" s="4" t="str">
        <f>IF(Table1[[#This Row],[Customer Ratings]]&gt;=4, "Good",IF(Table1[[#This Row],[Customer Ratings]]=3, "Average","Poor"))</f>
        <v>Average</v>
      </c>
      <c r="S400" s="3" t="s">
        <v>36</v>
      </c>
    </row>
    <row r="401" spans="1:19" x14ac:dyDescent="0.25">
      <c r="A401" s="3">
        <v>400</v>
      </c>
      <c r="B401" s="5">
        <f>DATE(Table1[[#This Row],[Year]],Table1[[#This Row],[Month]],Table1[[#This Row],[Day]])</f>
        <v>44589</v>
      </c>
      <c r="C401" s="3">
        <v>28</v>
      </c>
      <c r="D401" s="3">
        <v>1</v>
      </c>
      <c r="E401" s="3">
        <v>2022</v>
      </c>
      <c r="F401" s="3" t="str">
        <f>"Qtr"&amp; " " &amp;CHOOSE(MONTH(Table1[[#This Row],[Date]]),1,1,1,2,2,2,3,3,3,4,4,4)</f>
        <v>Qtr 1</v>
      </c>
      <c r="G401" s="3" t="str">
        <f>TEXT(Table1[[#This Row],[Date]],"mmmm")</f>
        <v>January</v>
      </c>
      <c r="H401" s="3" t="s">
        <v>1085</v>
      </c>
      <c r="I401" s="3" t="s">
        <v>28</v>
      </c>
      <c r="J401" s="3">
        <v>4</v>
      </c>
      <c r="K401" s="3">
        <v>13306.58</v>
      </c>
      <c r="L401" s="3">
        <f>Table1[[#This Row],[Price Per Unit]]*Table1[[#This Row],[Units Sold]]</f>
        <v>53226.32</v>
      </c>
      <c r="M401" s="3" t="s">
        <v>383</v>
      </c>
      <c r="N401" s="3">
        <v>55</v>
      </c>
      <c r="O401" s="3" t="s">
        <v>24</v>
      </c>
      <c r="P401" s="3" t="s">
        <v>16</v>
      </c>
      <c r="Q401" s="4">
        <v>5</v>
      </c>
      <c r="R401" s="4" t="str">
        <f>IF(Table1[[#This Row],[Customer Ratings]]&gt;=4, "Good",IF(Table1[[#This Row],[Customer Ratings]]=3, "Average","Poor"))</f>
        <v>Good</v>
      </c>
      <c r="S401" s="3" t="s">
        <v>87</v>
      </c>
    </row>
    <row r="402" spans="1:19" x14ac:dyDescent="0.25">
      <c r="A402" s="3">
        <v>401</v>
      </c>
      <c r="B402" s="5">
        <f>DATE(Table1[[#This Row],[Year]],Table1[[#This Row],[Month]],Table1[[#This Row],[Day]])</f>
        <v>44589</v>
      </c>
      <c r="C402" s="3">
        <v>28</v>
      </c>
      <c r="D402" s="3">
        <v>1</v>
      </c>
      <c r="E402" s="3">
        <v>2022</v>
      </c>
      <c r="F402" s="3" t="str">
        <f>"Qtr"&amp; " " &amp;CHOOSE(MONTH(Table1[[#This Row],[Date]]),1,1,1,2,2,2,3,3,3,4,4,4)</f>
        <v>Qtr 1</v>
      </c>
      <c r="G402" s="3" t="str">
        <f>TEXT(Table1[[#This Row],[Date]],"mmmm")</f>
        <v>January</v>
      </c>
      <c r="H402" s="3" t="s">
        <v>1085</v>
      </c>
      <c r="I402" s="3" t="s">
        <v>13</v>
      </c>
      <c r="J402" s="3">
        <v>7</v>
      </c>
      <c r="K402" s="3">
        <v>63272.38</v>
      </c>
      <c r="L402" s="3">
        <f>Table1[[#This Row],[Price Per Unit]]*Table1[[#This Row],[Units Sold]]</f>
        <v>442906.66</v>
      </c>
      <c r="M402" s="3" t="s">
        <v>384</v>
      </c>
      <c r="N402" s="3">
        <v>52</v>
      </c>
      <c r="O402" s="3" t="s">
        <v>41</v>
      </c>
      <c r="P402" s="3" t="s">
        <v>16</v>
      </c>
      <c r="Q402" s="4">
        <v>5</v>
      </c>
      <c r="R402" s="4" t="str">
        <f>IF(Table1[[#This Row],[Customer Ratings]]&gt;=4, "Good",IF(Table1[[#This Row],[Customer Ratings]]=3, "Average","Poor"))</f>
        <v>Good</v>
      </c>
      <c r="S402" s="3" t="s">
        <v>27</v>
      </c>
    </row>
    <row r="403" spans="1:19" x14ac:dyDescent="0.25">
      <c r="A403" s="3">
        <v>402</v>
      </c>
      <c r="B403" s="5">
        <f>DATE(Table1[[#This Row],[Year]],Table1[[#This Row],[Month]],Table1[[#This Row],[Day]])</f>
        <v>44590</v>
      </c>
      <c r="C403" s="3">
        <v>29</v>
      </c>
      <c r="D403" s="3">
        <v>1</v>
      </c>
      <c r="E403" s="3">
        <v>2022</v>
      </c>
      <c r="F403" s="3" t="str">
        <f>"Qtr"&amp; " " &amp;CHOOSE(MONTH(Table1[[#This Row],[Date]]),1,1,1,2,2,2,3,3,3,4,4,4)</f>
        <v>Qtr 1</v>
      </c>
      <c r="G403" s="3" t="str">
        <f>TEXT(Table1[[#This Row],[Date]],"mmmm")</f>
        <v>January</v>
      </c>
      <c r="H403" s="3" t="s">
        <v>1079</v>
      </c>
      <c r="I403" s="3" t="s">
        <v>39</v>
      </c>
      <c r="J403" s="3">
        <v>6</v>
      </c>
      <c r="K403" s="3">
        <v>52179.5</v>
      </c>
      <c r="L403" s="3">
        <f>Table1[[#This Row],[Price Per Unit]]*Table1[[#This Row],[Units Sold]]</f>
        <v>313077</v>
      </c>
      <c r="M403" s="3" t="s">
        <v>385</v>
      </c>
      <c r="N403" s="3">
        <v>24</v>
      </c>
      <c r="O403" s="3" t="s">
        <v>52</v>
      </c>
      <c r="P403" s="3" t="s">
        <v>45</v>
      </c>
      <c r="Q403" s="4">
        <v>5</v>
      </c>
      <c r="R403" s="4" t="str">
        <f>IF(Table1[[#This Row],[Customer Ratings]]&gt;=4, "Good",IF(Table1[[#This Row],[Customer Ratings]]=3, "Average","Poor"))</f>
        <v>Good</v>
      </c>
      <c r="S403" s="3" t="s">
        <v>76</v>
      </c>
    </row>
    <row r="404" spans="1:19" x14ac:dyDescent="0.25">
      <c r="A404" s="3">
        <v>403</v>
      </c>
      <c r="B404" s="5">
        <f>DATE(Table1[[#This Row],[Year]],Table1[[#This Row],[Month]],Table1[[#This Row],[Day]])</f>
        <v>44590</v>
      </c>
      <c r="C404" s="3">
        <v>29</v>
      </c>
      <c r="D404" s="3">
        <v>1</v>
      </c>
      <c r="E404" s="3">
        <v>2022</v>
      </c>
      <c r="F404" s="3" t="str">
        <f>"Qtr"&amp; " " &amp;CHOOSE(MONTH(Table1[[#This Row],[Date]]),1,1,1,2,2,2,3,3,3,4,4,4)</f>
        <v>Qtr 1</v>
      </c>
      <c r="G404" s="3" t="str">
        <f>TEXT(Table1[[#This Row],[Date]],"mmmm")</f>
        <v>January</v>
      </c>
      <c r="H404" s="3" t="s">
        <v>1079</v>
      </c>
      <c r="I404" s="3" t="s">
        <v>33</v>
      </c>
      <c r="J404" s="3">
        <v>2</v>
      </c>
      <c r="K404" s="3">
        <v>22967.56</v>
      </c>
      <c r="L404" s="3">
        <f>Table1[[#This Row],[Price Per Unit]]*Table1[[#This Row],[Units Sold]]</f>
        <v>45935.12</v>
      </c>
      <c r="M404" s="3" t="s">
        <v>128</v>
      </c>
      <c r="N404" s="3">
        <v>30</v>
      </c>
      <c r="O404" s="3" t="s">
        <v>20</v>
      </c>
      <c r="P404" s="3" t="s">
        <v>21</v>
      </c>
      <c r="Q404" s="4">
        <v>4</v>
      </c>
      <c r="R404" s="4" t="str">
        <f>IF(Table1[[#This Row],[Customer Ratings]]&gt;=4, "Good",IF(Table1[[#This Row],[Customer Ratings]]=3, "Average","Poor"))</f>
        <v>Good</v>
      </c>
      <c r="S404" s="3" t="s">
        <v>83</v>
      </c>
    </row>
    <row r="405" spans="1:19" x14ac:dyDescent="0.25">
      <c r="A405" s="3">
        <v>404</v>
      </c>
      <c r="B405" s="5">
        <f>DATE(Table1[[#This Row],[Year]],Table1[[#This Row],[Month]],Table1[[#This Row],[Day]])</f>
        <v>44590</v>
      </c>
      <c r="C405" s="3">
        <v>29</v>
      </c>
      <c r="D405" s="3">
        <v>1</v>
      </c>
      <c r="E405" s="3">
        <v>2022</v>
      </c>
      <c r="F405" s="3" t="str">
        <f>"Qtr"&amp; " " &amp;CHOOSE(MONTH(Table1[[#This Row],[Date]]),1,1,1,2,2,2,3,3,3,4,4,4)</f>
        <v>Qtr 1</v>
      </c>
      <c r="G405" s="3" t="str">
        <f>TEXT(Table1[[#This Row],[Date]],"mmmm")</f>
        <v>January</v>
      </c>
      <c r="H405" s="3" t="s">
        <v>1079</v>
      </c>
      <c r="I405" s="3" t="s">
        <v>33</v>
      </c>
      <c r="J405" s="3">
        <v>8</v>
      </c>
      <c r="K405" s="3">
        <v>21004.32</v>
      </c>
      <c r="L405" s="3">
        <f>Table1[[#This Row],[Price Per Unit]]*Table1[[#This Row],[Units Sold]]</f>
        <v>168034.56</v>
      </c>
      <c r="M405" s="3" t="s">
        <v>386</v>
      </c>
      <c r="N405" s="3">
        <v>18</v>
      </c>
      <c r="O405" s="3" t="s">
        <v>65</v>
      </c>
      <c r="P405" s="3" t="s">
        <v>31</v>
      </c>
      <c r="Q405" s="4">
        <v>4</v>
      </c>
      <c r="R405" s="4" t="str">
        <f>IF(Table1[[#This Row],[Customer Ratings]]&gt;=4, "Good",IF(Table1[[#This Row],[Customer Ratings]]=3, "Average","Poor"))</f>
        <v>Good</v>
      </c>
      <c r="S405" s="3" t="s">
        <v>83</v>
      </c>
    </row>
    <row r="406" spans="1:19" x14ac:dyDescent="0.25">
      <c r="A406" s="3">
        <v>405</v>
      </c>
      <c r="B406" s="5">
        <f>DATE(Table1[[#This Row],[Year]],Table1[[#This Row],[Month]],Table1[[#This Row],[Day]])</f>
        <v>44590</v>
      </c>
      <c r="C406" s="3">
        <v>29</v>
      </c>
      <c r="D406" s="3">
        <v>1</v>
      </c>
      <c r="E406" s="3">
        <v>2022</v>
      </c>
      <c r="F406" s="3" t="str">
        <f>"Qtr"&amp; " " &amp;CHOOSE(MONTH(Table1[[#This Row],[Date]]),1,1,1,2,2,2,3,3,3,4,4,4)</f>
        <v>Qtr 1</v>
      </c>
      <c r="G406" s="3" t="str">
        <f>TEXT(Table1[[#This Row],[Date]],"mmmm")</f>
        <v>January</v>
      </c>
      <c r="H406" s="3" t="s">
        <v>1079</v>
      </c>
      <c r="I406" s="3" t="s">
        <v>18</v>
      </c>
      <c r="J406" s="3">
        <v>7</v>
      </c>
      <c r="K406" s="3">
        <v>35899.61</v>
      </c>
      <c r="L406" s="3">
        <f>Table1[[#This Row],[Price Per Unit]]*Table1[[#This Row],[Units Sold]]</f>
        <v>251297.27000000002</v>
      </c>
      <c r="M406" s="3" t="s">
        <v>387</v>
      </c>
      <c r="N406" s="3">
        <v>31</v>
      </c>
      <c r="O406" s="3" t="s">
        <v>78</v>
      </c>
      <c r="P406" s="3" t="s">
        <v>16</v>
      </c>
      <c r="Q406" s="4">
        <v>5</v>
      </c>
      <c r="R406" s="4" t="str">
        <f>IF(Table1[[#This Row],[Customer Ratings]]&gt;=4, "Good",IF(Table1[[#This Row],[Customer Ratings]]=3, "Average","Poor"))</f>
        <v>Good</v>
      </c>
      <c r="S406" s="3" t="s">
        <v>55</v>
      </c>
    </row>
    <row r="407" spans="1:19" x14ac:dyDescent="0.25">
      <c r="A407" s="3">
        <v>406</v>
      </c>
      <c r="B407" s="5">
        <f>DATE(Table1[[#This Row],[Year]],Table1[[#This Row],[Month]],Table1[[#This Row],[Day]])</f>
        <v>44591</v>
      </c>
      <c r="C407" s="3">
        <v>30</v>
      </c>
      <c r="D407" s="3">
        <v>1</v>
      </c>
      <c r="E407" s="3">
        <v>2022</v>
      </c>
      <c r="F407" s="3" t="str">
        <f>"Qtr"&amp; " " &amp;CHOOSE(MONTH(Table1[[#This Row],[Date]]),1,1,1,2,2,2,3,3,3,4,4,4)</f>
        <v>Qtr 1</v>
      </c>
      <c r="G407" s="3" t="str">
        <f>TEXT(Table1[[#This Row],[Date]],"mmmm")</f>
        <v>January</v>
      </c>
      <c r="H407" s="3" t="s">
        <v>1080</v>
      </c>
      <c r="I407" s="3" t="s">
        <v>18</v>
      </c>
      <c r="J407" s="3">
        <v>7</v>
      </c>
      <c r="K407" s="3">
        <v>59053.919999999998</v>
      </c>
      <c r="L407" s="3">
        <f>Table1[[#This Row],[Price Per Unit]]*Table1[[#This Row],[Units Sold]]</f>
        <v>413377.44</v>
      </c>
      <c r="M407" s="3" t="s">
        <v>388</v>
      </c>
      <c r="N407" s="3">
        <v>46</v>
      </c>
      <c r="O407" s="3" t="s">
        <v>24</v>
      </c>
      <c r="P407" s="3" t="s">
        <v>45</v>
      </c>
      <c r="Q407" s="4">
        <v>5</v>
      </c>
      <c r="R407" s="4" t="str">
        <f>IF(Table1[[#This Row],[Customer Ratings]]&gt;=4, "Good",IF(Table1[[#This Row],[Customer Ratings]]=3, "Average","Poor"))</f>
        <v>Good</v>
      </c>
      <c r="S407" s="3" t="s">
        <v>55</v>
      </c>
    </row>
    <row r="408" spans="1:19" x14ac:dyDescent="0.25">
      <c r="A408" s="3">
        <v>407</v>
      </c>
      <c r="B408" s="5">
        <f>DATE(Table1[[#This Row],[Year]],Table1[[#This Row],[Month]],Table1[[#This Row],[Day]])</f>
        <v>44591</v>
      </c>
      <c r="C408" s="3">
        <v>30</v>
      </c>
      <c r="D408" s="3">
        <v>1</v>
      </c>
      <c r="E408" s="3">
        <v>2022</v>
      </c>
      <c r="F408" s="3" t="str">
        <f>"Qtr"&amp; " " &amp;CHOOSE(MONTH(Table1[[#This Row],[Date]]),1,1,1,2,2,2,3,3,3,4,4,4)</f>
        <v>Qtr 1</v>
      </c>
      <c r="G408" s="3" t="str">
        <f>TEXT(Table1[[#This Row],[Date]],"mmmm")</f>
        <v>January</v>
      </c>
      <c r="H408" s="3" t="s">
        <v>1080</v>
      </c>
      <c r="I408" s="3" t="s">
        <v>39</v>
      </c>
      <c r="J408" s="3">
        <v>8</v>
      </c>
      <c r="K408" s="3">
        <v>60577</v>
      </c>
      <c r="L408" s="3">
        <f>Table1[[#This Row],[Price Per Unit]]*Table1[[#This Row],[Units Sold]]</f>
        <v>484616</v>
      </c>
      <c r="M408" s="3" t="s">
        <v>389</v>
      </c>
      <c r="N408" s="3">
        <v>20</v>
      </c>
      <c r="O408" s="3" t="s">
        <v>137</v>
      </c>
      <c r="P408" s="3" t="s">
        <v>16</v>
      </c>
      <c r="Q408" s="4">
        <v>3</v>
      </c>
      <c r="R408" s="4" t="str">
        <f>IF(Table1[[#This Row],[Customer Ratings]]&gt;=4, "Good",IF(Table1[[#This Row],[Customer Ratings]]=3, "Average","Poor"))</f>
        <v>Average</v>
      </c>
      <c r="S408" s="3" t="s">
        <v>42</v>
      </c>
    </row>
    <row r="409" spans="1:19" x14ac:dyDescent="0.25">
      <c r="A409" s="3">
        <v>408</v>
      </c>
      <c r="B409" s="5">
        <f>DATE(Table1[[#This Row],[Year]],Table1[[#This Row],[Month]],Table1[[#This Row],[Day]])</f>
        <v>44591</v>
      </c>
      <c r="C409" s="3">
        <v>30</v>
      </c>
      <c r="D409" s="3">
        <v>1</v>
      </c>
      <c r="E409" s="3">
        <v>2022</v>
      </c>
      <c r="F409" s="3" t="str">
        <f>"Qtr"&amp; " " &amp;CHOOSE(MONTH(Table1[[#This Row],[Date]]),1,1,1,2,2,2,3,3,3,4,4,4)</f>
        <v>Qtr 1</v>
      </c>
      <c r="G409" s="3" t="str">
        <f>TEXT(Table1[[#This Row],[Date]],"mmmm")</f>
        <v>January</v>
      </c>
      <c r="H409" s="3" t="s">
        <v>1080</v>
      </c>
      <c r="I409" s="3" t="s">
        <v>33</v>
      </c>
      <c r="J409" s="3">
        <v>1</v>
      </c>
      <c r="K409" s="3">
        <v>41227.370000000003</v>
      </c>
      <c r="L409" s="3">
        <f>Table1[[#This Row],[Price Per Unit]]*Table1[[#This Row],[Units Sold]]</f>
        <v>41227.370000000003</v>
      </c>
      <c r="M409" s="3" t="s">
        <v>390</v>
      </c>
      <c r="N409" s="3">
        <v>41</v>
      </c>
      <c r="O409" s="3" t="s">
        <v>15</v>
      </c>
      <c r="P409" s="3" t="s">
        <v>31</v>
      </c>
      <c r="Q409" s="4">
        <v>5</v>
      </c>
      <c r="R409" s="4" t="str">
        <f>IF(Table1[[#This Row],[Customer Ratings]]&gt;=4, "Good",IF(Table1[[#This Row],[Customer Ratings]]=3, "Average","Poor"))</f>
        <v>Good</v>
      </c>
      <c r="S409" s="3" t="s">
        <v>83</v>
      </c>
    </row>
    <row r="410" spans="1:19" x14ac:dyDescent="0.25">
      <c r="A410" s="3">
        <v>409</v>
      </c>
      <c r="B410" s="5">
        <f>DATE(Table1[[#This Row],[Year]],Table1[[#This Row],[Month]],Table1[[#This Row],[Day]])</f>
        <v>44591</v>
      </c>
      <c r="C410" s="3">
        <v>30</v>
      </c>
      <c r="D410" s="3">
        <v>1</v>
      </c>
      <c r="E410" s="3">
        <v>2022</v>
      </c>
      <c r="F410" s="3" t="str">
        <f>"Qtr"&amp; " " &amp;CHOOSE(MONTH(Table1[[#This Row],[Date]]),1,1,1,2,2,2,3,3,3,4,4,4)</f>
        <v>Qtr 1</v>
      </c>
      <c r="G410" s="3" t="str">
        <f>TEXT(Table1[[#This Row],[Date]],"mmmm")</f>
        <v>January</v>
      </c>
      <c r="H410" s="3" t="s">
        <v>1080</v>
      </c>
      <c r="I410" s="3" t="s">
        <v>39</v>
      </c>
      <c r="J410" s="3">
        <v>1</v>
      </c>
      <c r="K410" s="3">
        <v>61648.65</v>
      </c>
      <c r="L410" s="3">
        <f>Table1[[#This Row],[Price Per Unit]]*Table1[[#This Row],[Units Sold]]</f>
        <v>61648.65</v>
      </c>
      <c r="M410" s="3" t="s">
        <v>391</v>
      </c>
      <c r="N410" s="3">
        <v>18</v>
      </c>
      <c r="O410" s="3" t="s">
        <v>78</v>
      </c>
      <c r="P410" s="3" t="s">
        <v>21</v>
      </c>
      <c r="Q410" s="4">
        <v>5</v>
      </c>
      <c r="R410" s="4" t="str">
        <f>IF(Table1[[#This Row],[Customer Ratings]]&gt;=4, "Good",IF(Table1[[#This Row],[Customer Ratings]]=3, "Average","Poor"))</f>
        <v>Good</v>
      </c>
      <c r="S410" s="3" t="s">
        <v>90</v>
      </c>
    </row>
    <row r="411" spans="1:19" x14ac:dyDescent="0.25">
      <c r="A411" s="3">
        <v>410</v>
      </c>
      <c r="B411" s="5">
        <f>DATE(Table1[[#This Row],[Year]],Table1[[#This Row],[Month]],Table1[[#This Row],[Day]])</f>
        <v>44592</v>
      </c>
      <c r="C411" s="3">
        <v>31</v>
      </c>
      <c r="D411" s="3">
        <v>1</v>
      </c>
      <c r="E411" s="3">
        <v>2022</v>
      </c>
      <c r="F411" s="3" t="str">
        <f>"Qtr"&amp; " " &amp;CHOOSE(MONTH(Table1[[#This Row],[Date]]),1,1,1,2,2,2,3,3,3,4,4,4)</f>
        <v>Qtr 1</v>
      </c>
      <c r="G411" s="3" t="str">
        <f>TEXT(Table1[[#This Row],[Date]],"mmmm")</f>
        <v>January</v>
      </c>
      <c r="H411" s="3" t="s">
        <v>1081</v>
      </c>
      <c r="I411" s="3" t="s">
        <v>18</v>
      </c>
      <c r="J411" s="3">
        <v>8</v>
      </c>
      <c r="K411" s="3">
        <v>10326.620000000001</v>
      </c>
      <c r="L411" s="3">
        <f>Table1[[#This Row],[Price Per Unit]]*Table1[[#This Row],[Units Sold]]</f>
        <v>82612.960000000006</v>
      </c>
      <c r="M411" s="3" t="s">
        <v>392</v>
      </c>
      <c r="N411" s="3">
        <v>27</v>
      </c>
      <c r="O411" s="3" t="s">
        <v>102</v>
      </c>
      <c r="P411" s="3" t="s">
        <v>21</v>
      </c>
      <c r="Q411" s="4">
        <v>5</v>
      </c>
      <c r="R411" s="4" t="str">
        <f>IF(Table1[[#This Row],[Customer Ratings]]&gt;=4, "Good",IF(Table1[[#This Row],[Customer Ratings]]=3, "Average","Poor"))</f>
        <v>Good</v>
      </c>
      <c r="S411" s="3" t="s">
        <v>22</v>
      </c>
    </row>
    <row r="412" spans="1:19" x14ac:dyDescent="0.25">
      <c r="A412" s="3">
        <v>411</v>
      </c>
      <c r="B412" s="5">
        <f>DATE(Table1[[#This Row],[Year]],Table1[[#This Row],[Month]],Table1[[#This Row],[Day]])</f>
        <v>44592</v>
      </c>
      <c r="C412" s="3">
        <v>31</v>
      </c>
      <c r="D412" s="3">
        <v>1</v>
      </c>
      <c r="E412" s="3">
        <v>2022</v>
      </c>
      <c r="F412" s="3" t="str">
        <f>"Qtr"&amp; " " &amp;CHOOSE(MONTH(Table1[[#This Row],[Date]]),1,1,1,2,2,2,3,3,3,4,4,4)</f>
        <v>Qtr 1</v>
      </c>
      <c r="G412" s="3" t="str">
        <f>TEXT(Table1[[#This Row],[Date]],"mmmm")</f>
        <v>January</v>
      </c>
      <c r="H412" s="3" t="s">
        <v>1081</v>
      </c>
      <c r="I412" s="3" t="s">
        <v>18</v>
      </c>
      <c r="J412" s="3">
        <v>4</v>
      </c>
      <c r="K412" s="3">
        <v>12110.48</v>
      </c>
      <c r="L412" s="3">
        <f>Table1[[#This Row],[Price Per Unit]]*Table1[[#This Row],[Units Sold]]</f>
        <v>48441.919999999998</v>
      </c>
      <c r="M412" s="3" t="s">
        <v>314</v>
      </c>
      <c r="N412" s="3">
        <v>30</v>
      </c>
      <c r="O412" s="3" t="s">
        <v>24</v>
      </c>
      <c r="P412" s="3" t="s">
        <v>31</v>
      </c>
      <c r="Q412" s="4">
        <v>3</v>
      </c>
      <c r="R412" s="4" t="str">
        <f>IF(Table1[[#This Row],[Customer Ratings]]&gt;=4, "Good",IF(Table1[[#This Row],[Customer Ratings]]=3, "Average","Poor"))</f>
        <v>Average</v>
      </c>
      <c r="S412" s="3" t="s">
        <v>55</v>
      </c>
    </row>
    <row r="413" spans="1:19" x14ac:dyDescent="0.25">
      <c r="A413" s="3">
        <v>412</v>
      </c>
      <c r="B413" s="5">
        <f>DATE(Table1[[#This Row],[Year]],Table1[[#This Row],[Month]],Table1[[#This Row],[Day]])</f>
        <v>44592</v>
      </c>
      <c r="C413" s="3">
        <v>31</v>
      </c>
      <c r="D413" s="3">
        <v>1</v>
      </c>
      <c r="E413" s="3">
        <v>2022</v>
      </c>
      <c r="F413" s="3" t="str">
        <f>"Qtr"&amp; " " &amp;CHOOSE(MONTH(Table1[[#This Row],[Date]]),1,1,1,2,2,2,3,3,3,4,4,4)</f>
        <v>Qtr 1</v>
      </c>
      <c r="G413" s="3" t="str">
        <f>TEXT(Table1[[#This Row],[Date]],"mmmm")</f>
        <v>January</v>
      </c>
      <c r="H413" s="3" t="s">
        <v>1081</v>
      </c>
      <c r="I413" s="3" t="s">
        <v>33</v>
      </c>
      <c r="J413" s="3">
        <v>5</v>
      </c>
      <c r="K413" s="3">
        <v>64709.3</v>
      </c>
      <c r="L413" s="3">
        <f>Table1[[#This Row],[Price Per Unit]]*Table1[[#This Row],[Units Sold]]</f>
        <v>323546.5</v>
      </c>
      <c r="M413" s="3" t="s">
        <v>333</v>
      </c>
      <c r="N413" s="3">
        <v>53</v>
      </c>
      <c r="O413" s="3" t="s">
        <v>81</v>
      </c>
      <c r="P413" s="3" t="s">
        <v>16</v>
      </c>
      <c r="Q413" s="4">
        <v>5</v>
      </c>
      <c r="R413" s="4" t="str">
        <f>IF(Table1[[#This Row],[Customer Ratings]]&gt;=4, "Good",IF(Table1[[#This Row],[Customer Ratings]]=3, "Average","Poor"))</f>
        <v>Good</v>
      </c>
      <c r="S413" s="3" t="s">
        <v>46</v>
      </c>
    </row>
    <row r="414" spans="1:19" x14ac:dyDescent="0.25">
      <c r="A414" s="3">
        <v>413</v>
      </c>
      <c r="B414" s="5">
        <f>DATE(Table1[[#This Row],[Year]],Table1[[#This Row],[Month]],Table1[[#This Row],[Day]])</f>
        <v>44593</v>
      </c>
      <c r="C414" s="3">
        <v>1</v>
      </c>
      <c r="D414" s="3">
        <v>2</v>
      </c>
      <c r="E414" s="3">
        <v>2022</v>
      </c>
      <c r="F414" s="3" t="str">
        <f>"Qtr"&amp; " " &amp;CHOOSE(MONTH(Table1[[#This Row],[Date]]),1,1,1,2,2,2,3,3,3,4,4,4)</f>
        <v>Qtr 1</v>
      </c>
      <c r="G414" s="3" t="str">
        <f>TEXT(Table1[[#This Row],[Date]],"mmmm")</f>
        <v>February</v>
      </c>
      <c r="H414" s="3" t="s">
        <v>1082</v>
      </c>
      <c r="I414" s="3" t="s">
        <v>28</v>
      </c>
      <c r="J414" s="3">
        <v>8</v>
      </c>
      <c r="K414" s="3">
        <v>56519.92</v>
      </c>
      <c r="L414" s="3">
        <f>Table1[[#This Row],[Price Per Unit]]*Table1[[#This Row],[Units Sold]]</f>
        <v>452159.36</v>
      </c>
      <c r="M414" s="3" t="s">
        <v>393</v>
      </c>
      <c r="N414" s="3">
        <v>26</v>
      </c>
      <c r="O414" s="3" t="s">
        <v>54</v>
      </c>
      <c r="P414" s="3" t="s">
        <v>45</v>
      </c>
      <c r="Q414" s="4">
        <v>5</v>
      </c>
      <c r="R414" s="4" t="str">
        <f>IF(Table1[[#This Row],[Customer Ratings]]&gt;=4, "Good",IF(Table1[[#This Row],[Customer Ratings]]=3, "Average","Poor"))</f>
        <v>Good</v>
      </c>
      <c r="S414" s="3" t="s">
        <v>38</v>
      </c>
    </row>
    <row r="415" spans="1:19" x14ac:dyDescent="0.25">
      <c r="A415" s="3">
        <v>414</v>
      </c>
      <c r="B415" s="5">
        <f>DATE(Table1[[#This Row],[Year]],Table1[[#This Row],[Month]],Table1[[#This Row],[Day]])</f>
        <v>44593</v>
      </c>
      <c r="C415" s="3">
        <v>1</v>
      </c>
      <c r="D415" s="3">
        <v>2</v>
      </c>
      <c r="E415" s="3">
        <v>2022</v>
      </c>
      <c r="F415" s="3" t="str">
        <f>"Qtr"&amp; " " &amp;CHOOSE(MONTH(Table1[[#This Row],[Date]]),1,1,1,2,2,2,3,3,3,4,4,4)</f>
        <v>Qtr 1</v>
      </c>
      <c r="G415" s="3" t="str">
        <f>TEXT(Table1[[#This Row],[Date]],"mmmm")</f>
        <v>February</v>
      </c>
      <c r="H415" s="3" t="s">
        <v>1082</v>
      </c>
      <c r="I415" s="3" t="s">
        <v>13</v>
      </c>
      <c r="J415" s="3">
        <v>5</v>
      </c>
      <c r="K415" s="3">
        <v>37042.36</v>
      </c>
      <c r="L415" s="3">
        <f>Table1[[#This Row],[Price Per Unit]]*Table1[[#This Row],[Units Sold]]</f>
        <v>185211.8</v>
      </c>
      <c r="M415" s="3" t="s">
        <v>324</v>
      </c>
      <c r="N415" s="3">
        <v>31</v>
      </c>
      <c r="O415" s="3" t="s">
        <v>24</v>
      </c>
      <c r="P415" s="3" t="s">
        <v>21</v>
      </c>
      <c r="Q415" s="4">
        <v>3</v>
      </c>
      <c r="R415" s="4" t="str">
        <f>IF(Table1[[#This Row],[Customer Ratings]]&gt;=4, "Good",IF(Table1[[#This Row],[Customer Ratings]]=3, "Average","Poor"))</f>
        <v>Average</v>
      </c>
      <c r="S415" s="3" t="s">
        <v>17</v>
      </c>
    </row>
    <row r="416" spans="1:19" x14ac:dyDescent="0.25">
      <c r="A416" s="3">
        <v>415</v>
      </c>
      <c r="B416" s="5">
        <f>DATE(Table1[[#This Row],[Year]],Table1[[#This Row],[Month]],Table1[[#This Row],[Day]])</f>
        <v>44593</v>
      </c>
      <c r="C416" s="3">
        <v>1</v>
      </c>
      <c r="D416" s="3">
        <v>2</v>
      </c>
      <c r="E416" s="3">
        <v>2022</v>
      </c>
      <c r="F416" s="3" t="str">
        <f>"Qtr"&amp; " " &amp;CHOOSE(MONTH(Table1[[#This Row],[Date]]),1,1,1,2,2,2,3,3,3,4,4,4)</f>
        <v>Qtr 1</v>
      </c>
      <c r="G416" s="3" t="str">
        <f>TEXT(Table1[[#This Row],[Date]],"mmmm")</f>
        <v>February</v>
      </c>
      <c r="H416" s="3" t="s">
        <v>1082</v>
      </c>
      <c r="I416" s="3" t="s">
        <v>18</v>
      </c>
      <c r="J416" s="3">
        <v>4</v>
      </c>
      <c r="K416" s="3">
        <v>55216.61</v>
      </c>
      <c r="L416" s="3">
        <f>Table1[[#This Row],[Price Per Unit]]*Table1[[#This Row],[Units Sold]]</f>
        <v>220866.44</v>
      </c>
      <c r="M416" s="3" t="s">
        <v>394</v>
      </c>
      <c r="N416" s="3">
        <v>53</v>
      </c>
      <c r="O416" s="3" t="s">
        <v>20</v>
      </c>
      <c r="P416" s="3" t="s">
        <v>21</v>
      </c>
      <c r="Q416" s="4">
        <v>5</v>
      </c>
      <c r="R416" s="4" t="str">
        <f>IF(Table1[[#This Row],[Customer Ratings]]&gt;=4, "Good",IF(Table1[[#This Row],[Customer Ratings]]=3, "Average","Poor"))</f>
        <v>Good</v>
      </c>
      <c r="S416" s="3" t="s">
        <v>25</v>
      </c>
    </row>
    <row r="417" spans="1:19" x14ac:dyDescent="0.25">
      <c r="A417" s="3">
        <v>416</v>
      </c>
      <c r="B417" s="5">
        <f>DATE(Table1[[#This Row],[Year]],Table1[[#This Row],[Month]],Table1[[#This Row],[Day]])</f>
        <v>44593</v>
      </c>
      <c r="C417" s="3">
        <v>1</v>
      </c>
      <c r="D417" s="3">
        <v>2</v>
      </c>
      <c r="E417" s="3">
        <v>2022</v>
      </c>
      <c r="F417" s="3" t="str">
        <f>"Qtr"&amp; " " &amp;CHOOSE(MONTH(Table1[[#This Row],[Date]]),1,1,1,2,2,2,3,3,3,4,4,4)</f>
        <v>Qtr 1</v>
      </c>
      <c r="G417" s="3" t="str">
        <f>TEXT(Table1[[#This Row],[Date]],"mmmm")</f>
        <v>February</v>
      </c>
      <c r="H417" s="3" t="s">
        <v>1082</v>
      </c>
      <c r="I417" s="3" t="s">
        <v>18</v>
      </c>
      <c r="J417" s="3">
        <v>6</v>
      </c>
      <c r="K417" s="3">
        <v>67338.37</v>
      </c>
      <c r="L417" s="3">
        <f>Table1[[#This Row],[Price Per Unit]]*Table1[[#This Row],[Units Sold]]</f>
        <v>404030.22</v>
      </c>
      <c r="M417" s="3" t="s">
        <v>296</v>
      </c>
      <c r="N417" s="3">
        <v>27</v>
      </c>
      <c r="O417" s="3" t="s">
        <v>24</v>
      </c>
      <c r="P417" s="3" t="s">
        <v>16</v>
      </c>
      <c r="Q417" s="4">
        <v>5</v>
      </c>
      <c r="R417" s="4" t="str">
        <f>IF(Table1[[#This Row],[Customer Ratings]]&gt;=4, "Good",IF(Table1[[#This Row],[Customer Ratings]]=3, "Average","Poor"))</f>
        <v>Good</v>
      </c>
      <c r="S417" s="3" t="s">
        <v>22</v>
      </c>
    </row>
    <row r="418" spans="1:19" x14ac:dyDescent="0.25">
      <c r="A418" s="3">
        <v>417</v>
      </c>
      <c r="B418" s="5">
        <f>DATE(Table1[[#This Row],[Year]],Table1[[#This Row],[Month]],Table1[[#This Row],[Day]])</f>
        <v>44594</v>
      </c>
      <c r="C418" s="3">
        <v>2</v>
      </c>
      <c r="D418" s="3">
        <v>2</v>
      </c>
      <c r="E418" s="3">
        <v>2022</v>
      </c>
      <c r="F418" s="3" t="str">
        <f>"Qtr"&amp; " " &amp;CHOOSE(MONTH(Table1[[#This Row],[Date]]),1,1,1,2,2,2,3,3,3,4,4,4)</f>
        <v>Qtr 1</v>
      </c>
      <c r="G418" s="3" t="str">
        <f>TEXT(Table1[[#This Row],[Date]],"mmmm")</f>
        <v>February</v>
      </c>
      <c r="H418" s="3" t="s">
        <v>1083</v>
      </c>
      <c r="I418" s="3" t="s">
        <v>28</v>
      </c>
      <c r="J418" s="3">
        <v>5</v>
      </c>
      <c r="K418" s="3">
        <v>56325.37</v>
      </c>
      <c r="L418" s="3">
        <f>Table1[[#This Row],[Price Per Unit]]*Table1[[#This Row],[Units Sold]]</f>
        <v>281626.85000000003</v>
      </c>
      <c r="M418" s="3" t="s">
        <v>285</v>
      </c>
      <c r="N418" s="3">
        <v>57</v>
      </c>
      <c r="O418" s="3" t="s">
        <v>105</v>
      </c>
      <c r="P418" s="3" t="s">
        <v>16</v>
      </c>
      <c r="Q418" s="4">
        <v>2</v>
      </c>
      <c r="R418" s="4" t="str">
        <f>IF(Table1[[#This Row],[Customer Ratings]]&gt;=4, "Good",IF(Table1[[#This Row],[Customer Ratings]]=3, "Average","Poor"))</f>
        <v>Poor</v>
      </c>
      <c r="S418" s="3" t="s">
        <v>87</v>
      </c>
    </row>
    <row r="419" spans="1:19" x14ac:dyDescent="0.25">
      <c r="A419" s="3">
        <v>418</v>
      </c>
      <c r="B419" s="5">
        <f>DATE(Table1[[#This Row],[Year]],Table1[[#This Row],[Month]],Table1[[#This Row],[Day]])</f>
        <v>44594</v>
      </c>
      <c r="C419" s="3">
        <v>2</v>
      </c>
      <c r="D419" s="3">
        <v>2</v>
      </c>
      <c r="E419" s="3">
        <v>2022</v>
      </c>
      <c r="F419" s="3" t="str">
        <f>"Qtr"&amp; " " &amp;CHOOSE(MONTH(Table1[[#This Row],[Date]]),1,1,1,2,2,2,3,3,3,4,4,4)</f>
        <v>Qtr 1</v>
      </c>
      <c r="G419" s="3" t="str">
        <f>TEXT(Table1[[#This Row],[Date]],"mmmm")</f>
        <v>February</v>
      </c>
      <c r="H419" s="3" t="s">
        <v>1083</v>
      </c>
      <c r="I419" s="3" t="s">
        <v>28</v>
      </c>
      <c r="J419" s="3">
        <v>7</v>
      </c>
      <c r="K419" s="3">
        <v>60542.28</v>
      </c>
      <c r="L419" s="3">
        <f>Table1[[#This Row],[Price Per Unit]]*Table1[[#This Row],[Units Sold]]</f>
        <v>423795.95999999996</v>
      </c>
      <c r="M419" s="3" t="s">
        <v>395</v>
      </c>
      <c r="N419" s="3">
        <v>40</v>
      </c>
      <c r="O419" s="3" t="s">
        <v>15</v>
      </c>
      <c r="P419" s="3" t="s">
        <v>16</v>
      </c>
      <c r="Q419" s="4">
        <v>4</v>
      </c>
      <c r="R419" s="4" t="str">
        <f>IF(Table1[[#This Row],[Customer Ratings]]&gt;=4, "Good",IF(Table1[[#This Row],[Customer Ratings]]=3, "Average","Poor"))</f>
        <v>Good</v>
      </c>
      <c r="S419" s="3" t="s">
        <v>38</v>
      </c>
    </row>
    <row r="420" spans="1:19" x14ac:dyDescent="0.25">
      <c r="A420" s="3">
        <v>419</v>
      </c>
      <c r="B420" s="5">
        <f>DATE(Table1[[#This Row],[Year]],Table1[[#This Row],[Month]],Table1[[#This Row],[Day]])</f>
        <v>44594</v>
      </c>
      <c r="C420" s="3">
        <v>2</v>
      </c>
      <c r="D420" s="3">
        <v>2</v>
      </c>
      <c r="E420" s="3">
        <v>2022</v>
      </c>
      <c r="F420" s="3" t="str">
        <f>"Qtr"&amp; " " &amp;CHOOSE(MONTH(Table1[[#This Row],[Date]]),1,1,1,2,2,2,3,3,3,4,4,4)</f>
        <v>Qtr 1</v>
      </c>
      <c r="G420" s="3" t="str">
        <f>TEXT(Table1[[#This Row],[Date]],"mmmm")</f>
        <v>February</v>
      </c>
      <c r="H420" s="3" t="s">
        <v>1083</v>
      </c>
      <c r="I420" s="3" t="s">
        <v>39</v>
      </c>
      <c r="J420" s="3">
        <v>7</v>
      </c>
      <c r="K420" s="3">
        <v>55636.39</v>
      </c>
      <c r="L420" s="3">
        <f>Table1[[#This Row],[Price Per Unit]]*Table1[[#This Row],[Units Sold]]</f>
        <v>389454.73</v>
      </c>
      <c r="M420" s="3" t="s">
        <v>396</v>
      </c>
      <c r="N420" s="3">
        <v>52</v>
      </c>
      <c r="O420" s="3" t="s">
        <v>41</v>
      </c>
      <c r="P420" s="3" t="s">
        <v>45</v>
      </c>
      <c r="Q420" s="4">
        <v>3</v>
      </c>
      <c r="R420" s="4" t="str">
        <f>IF(Table1[[#This Row],[Customer Ratings]]&gt;=4, "Good",IF(Table1[[#This Row],[Customer Ratings]]=3, "Average","Poor"))</f>
        <v>Average</v>
      </c>
      <c r="S420" s="3" t="s">
        <v>42</v>
      </c>
    </row>
    <row r="421" spans="1:19" x14ac:dyDescent="0.25">
      <c r="A421" s="3">
        <v>420</v>
      </c>
      <c r="B421" s="5">
        <f>DATE(Table1[[#This Row],[Year]],Table1[[#This Row],[Month]],Table1[[#This Row],[Day]])</f>
        <v>44595</v>
      </c>
      <c r="C421" s="3">
        <v>3</v>
      </c>
      <c r="D421" s="3">
        <v>2</v>
      </c>
      <c r="E421" s="3">
        <v>2022</v>
      </c>
      <c r="F421" s="3" t="str">
        <f>"Qtr"&amp; " " &amp;CHOOSE(MONTH(Table1[[#This Row],[Date]]),1,1,1,2,2,2,3,3,3,4,4,4)</f>
        <v>Qtr 1</v>
      </c>
      <c r="G421" s="3" t="str">
        <f>TEXT(Table1[[#This Row],[Date]],"mmmm")</f>
        <v>February</v>
      </c>
      <c r="H421" s="3" t="s">
        <v>1084</v>
      </c>
      <c r="I421" s="3" t="s">
        <v>39</v>
      </c>
      <c r="J421" s="3">
        <v>4</v>
      </c>
      <c r="K421" s="3">
        <v>20092.669999999998</v>
      </c>
      <c r="L421" s="3">
        <f>Table1[[#This Row],[Price Per Unit]]*Table1[[#This Row],[Units Sold]]</f>
        <v>80370.679999999993</v>
      </c>
      <c r="M421" s="3" t="s">
        <v>397</v>
      </c>
      <c r="N421" s="3">
        <v>24</v>
      </c>
      <c r="O421" s="3" t="s">
        <v>41</v>
      </c>
      <c r="P421" s="3" t="s">
        <v>16</v>
      </c>
      <c r="Q421" s="4">
        <v>5</v>
      </c>
      <c r="R421" s="4" t="str">
        <f>IF(Table1[[#This Row],[Customer Ratings]]&gt;=4, "Good",IF(Table1[[#This Row],[Customer Ratings]]=3, "Average","Poor"))</f>
        <v>Good</v>
      </c>
      <c r="S421" s="3" t="s">
        <v>90</v>
      </c>
    </row>
    <row r="422" spans="1:19" x14ac:dyDescent="0.25">
      <c r="A422" s="3">
        <v>421</v>
      </c>
      <c r="B422" s="5">
        <f>DATE(Table1[[#This Row],[Year]],Table1[[#This Row],[Month]],Table1[[#This Row],[Day]])</f>
        <v>44595</v>
      </c>
      <c r="C422" s="3">
        <v>3</v>
      </c>
      <c r="D422" s="3">
        <v>2</v>
      </c>
      <c r="E422" s="3">
        <v>2022</v>
      </c>
      <c r="F422" s="3" t="str">
        <f>"Qtr"&amp; " " &amp;CHOOSE(MONTH(Table1[[#This Row],[Date]]),1,1,1,2,2,2,3,3,3,4,4,4)</f>
        <v>Qtr 1</v>
      </c>
      <c r="G422" s="3" t="str">
        <f>TEXT(Table1[[#This Row],[Date]],"mmmm")</f>
        <v>February</v>
      </c>
      <c r="H422" s="3" t="s">
        <v>1084</v>
      </c>
      <c r="I422" s="3" t="s">
        <v>13</v>
      </c>
      <c r="J422" s="3">
        <v>5</v>
      </c>
      <c r="K422" s="3">
        <v>60014.45</v>
      </c>
      <c r="L422" s="3">
        <f>Table1[[#This Row],[Price Per Unit]]*Table1[[#This Row],[Units Sold]]</f>
        <v>300072.25</v>
      </c>
      <c r="M422" s="3" t="s">
        <v>398</v>
      </c>
      <c r="N422" s="3">
        <v>59</v>
      </c>
      <c r="O422" s="3" t="s">
        <v>24</v>
      </c>
      <c r="P422" s="3" t="s">
        <v>45</v>
      </c>
      <c r="Q422" s="4">
        <v>5</v>
      </c>
      <c r="R422" s="4" t="str">
        <f>IF(Table1[[#This Row],[Customer Ratings]]&gt;=4, "Good",IF(Table1[[#This Row],[Customer Ratings]]=3, "Average","Poor"))</f>
        <v>Good</v>
      </c>
      <c r="S422" s="3" t="s">
        <v>72</v>
      </c>
    </row>
    <row r="423" spans="1:19" x14ac:dyDescent="0.25">
      <c r="A423" s="3">
        <v>422</v>
      </c>
      <c r="B423" s="5">
        <f>DATE(Table1[[#This Row],[Year]],Table1[[#This Row],[Month]],Table1[[#This Row],[Day]])</f>
        <v>44595</v>
      </c>
      <c r="C423" s="3">
        <v>3</v>
      </c>
      <c r="D423" s="3">
        <v>2</v>
      </c>
      <c r="E423" s="3">
        <v>2022</v>
      </c>
      <c r="F423" s="3" t="str">
        <f>"Qtr"&amp; " " &amp;CHOOSE(MONTH(Table1[[#This Row],[Date]]),1,1,1,2,2,2,3,3,3,4,4,4)</f>
        <v>Qtr 1</v>
      </c>
      <c r="G423" s="3" t="str">
        <f>TEXT(Table1[[#This Row],[Date]],"mmmm")</f>
        <v>February</v>
      </c>
      <c r="H423" s="3" t="s">
        <v>1084</v>
      </c>
      <c r="I423" s="3" t="s">
        <v>13</v>
      </c>
      <c r="J423" s="3">
        <v>3</v>
      </c>
      <c r="K423" s="3">
        <v>21706.53</v>
      </c>
      <c r="L423" s="3">
        <f>Table1[[#This Row],[Price Per Unit]]*Table1[[#This Row],[Units Sold]]</f>
        <v>65119.59</v>
      </c>
      <c r="M423" s="3" t="s">
        <v>399</v>
      </c>
      <c r="N423" s="3">
        <v>52</v>
      </c>
      <c r="O423" s="3" t="s">
        <v>52</v>
      </c>
      <c r="P423" s="3" t="s">
        <v>31</v>
      </c>
      <c r="Q423" s="4">
        <v>5</v>
      </c>
      <c r="R423" s="4" t="str">
        <f>IF(Table1[[#This Row],[Customer Ratings]]&gt;=4, "Good",IF(Table1[[#This Row],[Customer Ratings]]=3, "Average","Poor"))</f>
        <v>Good</v>
      </c>
      <c r="S423" s="3" t="s">
        <v>72</v>
      </c>
    </row>
    <row r="424" spans="1:19" x14ac:dyDescent="0.25">
      <c r="A424" s="3">
        <v>423</v>
      </c>
      <c r="B424" s="5">
        <f>DATE(Table1[[#This Row],[Year]],Table1[[#This Row],[Month]],Table1[[#This Row],[Day]])</f>
        <v>44595</v>
      </c>
      <c r="C424" s="3">
        <v>3</v>
      </c>
      <c r="D424" s="3">
        <v>2</v>
      </c>
      <c r="E424" s="3">
        <v>2022</v>
      </c>
      <c r="F424" s="3" t="str">
        <f>"Qtr"&amp; " " &amp;CHOOSE(MONTH(Table1[[#This Row],[Date]]),1,1,1,2,2,2,3,3,3,4,4,4)</f>
        <v>Qtr 1</v>
      </c>
      <c r="G424" s="3" t="str">
        <f>TEXT(Table1[[#This Row],[Date]],"mmmm")</f>
        <v>February</v>
      </c>
      <c r="H424" s="3" t="s">
        <v>1084</v>
      </c>
      <c r="I424" s="3" t="s">
        <v>33</v>
      </c>
      <c r="J424" s="3">
        <v>4</v>
      </c>
      <c r="K424" s="3">
        <v>63556.68</v>
      </c>
      <c r="L424" s="3">
        <f>Table1[[#This Row],[Price Per Unit]]*Table1[[#This Row],[Units Sold]]</f>
        <v>254226.72</v>
      </c>
      <c r="M424" s="3" t="s">
        <v>400</v>
      </c>
      <c r="N424" s="3">
        <v>19</v>
      </c>
      <c r="O424" s="3" t="s">
        <v>98</v>
      </c>
      <c r="P424" s="3" t="s">
        <v>45</v>
      </c>
      <c r="Q424" s="4">
        <v>5</v>
      </c>
      <c r="R424" s="4" t="str">
        <f>IF(Table1[[#This Row],[Customer Ratings]]&gt;=4, "Good",IF(Table1[[#This Row],[Customer Ratings]]=3, "Average","Poor"))</f>
        <v>Good</v>
      </c>
      <c r="S424" s="3" t="s">
        <v>36</v>
      </c>
    </row>
    <row r="425" spans="1:19" x14ac:dyDescent="0.25">
      <c r="A425" s="3">
        <v>424</v>
      </c>
      <c r="B425" s="5">
        <f>DATE(Table1[[#This Row],[Year]],Table1[[#This Row],[Month]],Table1[[#This Row],[Day]])</f>
        <v>44596</v>
      </c>
      <c r="C425" s="3">
        <v>4</v>
      </c>
      <c r="D425" s="3">
        <v>2</v>
      </c>
      <c r="E425" s="3">
        <v>2022</v>
      </c>
      <c r="F425" s="3" t="str">
        <f>"Qtr"&amp; " " &amp;CHOOSE(MONTH(Table1[[#This Row],[Date]]),1,1,1,2,2,2,3,3,3,4,4,4)</f>
        <v>Qtr 1</v>
      </c>
      <c r="G425" s="3" t="str">
        <f>TEXT(Table1[[#This Row],[Date]],"mmmm")</f>
        <v>February</v>
      </c>
      <c r="H425" s="3" t="s">
        <v>1085</v>
      </c>
      <c r="I425" s="3" t="s">
        <v>39</v>
      </c>
      <c r="J425" s="3">
        <v>4</v>
      </c>
      <c r="K425" s="3">
        <v>37518.99</v>
      </c>
      <c r="L425" s="3">
        <f>Table1[[#This Row],[Price Per Unit]]*Table1[[#This Row],[Units Sold]]</f>
        <v>150075.96</v>
      </c>
      <c r="M425" s="3" t="s">
        <v>401</v>
      </c>
      <c r="N425" s="3">
        <v>32</v>
      </c>
      <c r="O425" s="3" t="s">
        <v>20</v>
      </c>
      <c r="P425" s="3" t="s">
        <v>16</v>
      </c>
      <c r="Q425" s="4">
        <v>4</v>
      </c>
      <c r="R425" s="4" t="str">
        <f>IF(Table1[[#This Row],[Customer Ratings]]&gt;=4, "Good",IF(Table1[[#This Row],[Customer Ratings]]=3, "Average","Poor"))</f>
        <v>Good</v>
      </c>
      <c r="S425" s="3" t="s">
        <v>90</v>
      </c>
    </row>
    <row r="426" spans="1:19" x14ac:dyDescent="0.25">
      <c r="A426" s="3">
        <v>425</v>
      </c>
      <c r="B426" s="5">
        <f>DATE(Table1[[#This Row],[Year]],Table1[[#This Row],[Month]],Table1[[#This Row],[Day]])</f>
        <v>44596</v>
      </c>
      <c r="C426" s="3">
        <v>4</v>
      </c>
      <c r="D426" s="3">
        <v>2</v>
      </c>
      <c r="E426" s="3">
        <v>2022</v>
      </c>
      <c r="F426" s="3" t="str">
        <f>"Qtr"&amp; " " &amp;CHOOSE(MONTH(Table1[[#This Row],[Date]]),1,1,1,2,2,2,3,3,3,4,4,4)</f>
        <v>Qtr 1</v>
      </c>
      <c r="G426" s="3" t="str">
        <f>TEXT(Table1[[#This Row],[Date]],"mmmm")</f>
        <v>February</v>
      </c>
      <c r="H426" s="3" t="s">
        <v>1085</v>
      </c>
      <c r="I426" s="3" t="s">
        <v>18</v>
      </c>
      <c r="J426" s="3">
        <v>3</v>
      </c>
      <c r="K426" s="3">
        <v>50618.61</v>
      </c>
      <c r="L426" s="3">
        <f>Table1[[#This Row],[Price Per Unit]]*Table1[[#This Row],[Units Sold]]</f>
        <v>151855.83000000002</v>
      </c>
      <c r="M426" s="3" t="s">
        <v>402</v>
      </c>
      <c r="N426" s="3">
        <v>26</v>
      </c>
      <c r="O426" s="3" t="s">
        <v>105</v>
      </c>
      <c r="P426" s="3" t="s">
        <v>45</v>
      </c>
      <c r="Q426" s="4">
        <v>5</v>
      </c>
      <c r="R426" s="4" t="str">
        <f>IF(Table1[[#This Row],[Customer Ratings]]&gt;=4, "Good",IF(Table1[[#This Row],[Customer Ratings]]=3, "Average","Poor"))</f>
        <v>Good</v>
      </c>
      <c r="S426" s="3" t="s">
        <v>55</v>
      </c>
    </row>
    <row r="427" spans="1:19" x14ac:dyDescent="0.25">
      <c r="A427" s="3">
        <v>426</v>
      </c>
      <c r="B427" s="5">
        <f>DATE(Table1[[#This Row],[Year]],Table1[[#This Row],[Month]],Table1[[#This Row],[Day]])</f>
        <v>44596</v>
      </c>
      <c r="C427" s="3">
        <v>4</v>
      </c>
      <c r="D427" s="3">
        <v>2</v>
      </c>
      <c r="E427" s="3">
        <v>2022</v>
      </c>
      <c r="F427" s="3" t="str">
        <f>"Qtr"&amp; " " &amp;CHOOSE(MONTH(Table1[[#This Row],[Date]]),1,1,1,2,2,2,3,3,3,4,4,4)</f>
        <v>Qtr 1</v>
      </c>
      <c r="G427" s="3" t="str">
        <f>TEXT(Table1[[#This Row],[Date]],"mmmm")</f>
        <v>February</v>
      </c>
      <c r="H427" s="3" t="s">
        <v>1085</v>
      </c>
      <c r="I427" s="3" t="s">
        <v>39</v>
      </c>
      <c r="J427" s="3">
        <v>5</v>
      </c>
      <c r="K427" s="3">
        <v>39834.449999999997</v>
      </c>
      <c r="L427" s="3">
        <f>Table1[[#This Row],[Price Per Unit]]*Table1[[#This Row],[Units Sold]]</f>
        <v>199172.25</v>
      </c>
      <c r="M427" s="3" t="s">
        <v>403</v>
      </c>
      <c r="N427" s="3">
        <v>34</v>
      </c>
      <c r="O427" s="3" t="s">
        <v>20</v>
      </c>
      <c r="P427" s="3" t="s">
        <v>45</v>
      </c>
      <c r="Q427" s="4">
        <v>4</v>
      </c>
      <c r="R427" s="4" t="str">
        <f>IF(Table1[[#This Row],[Customer Ratings]]&gt;=4, "Good",IF(Table1[[#This Row],[Customer Ratings]]=3, "Average","Poor"))</f>
        <v>Good</v>
      </c>
      <c r="S427" s="3" t="s">
        <v>76</v>
      </c>
    </row>
    <row r="428" spans="1:19" x14ac:dyDescent="0.25">
      <c r="A428" s="3">
        <v>427</v>
      </c>
      <c r="B428" s="5">
        <f>DATE(Table1[[#This Row],[Year]],Table1[[#This Row],[Month]],Table1[[#This Row],[Day]])</f>
        <v>44596</v>
      </c>
      <c r="C428" s="3">
        <v>4</v>
      </c>
      <c r="D428" s="3">
        <v>2</v>
      </c>
      <c r="E428" s="3">
        <v>2022</v>
      </c>
      <c r="F428" s="3" t="str">
        <f>"Qtr"&amp; " " &amp;CHOOSE(MONTH(Table1[[#This Row],[Date]]),1,1,1,2,2,2,3,3,3,4,4,4)</f>
        <v>Qtr 1</v>
      </c>
      <c r="G428" s="3" t="str">
        <f>TEXT(Table1[[#This Row],[Date]],"mmmm")</f>
        <v>February</v>
      </c>
      <c r="H428" s="3" t="s">
        <v>1085</v>
      </c>
      <c r="I428" s="3" t="s">
        <v>18</v>
      </c>
      <c r="J428" s="3">
        <v>5</v>
      </c>
      <c r="K428" s="3">
        <v>15639.46</v>
      </c>
      <c r="L428" s="3">
        <f>Table1[[#This Row],[Price Per Unit]]*Table1[[#This Row],[Units Sold]]</f>
        <v>78197.299999999988</v>
      </c>
      <c r="M428" s="3" t="s">
        <v>404</v>
      </c>
      <c r="N428" s="3">
        <v>56</v>
      </c>
      <c r="O428" s="3" t="s">
        <v>58</v>
      </c>
      <c r="P428" s="3" t="s">
        <v>45</v>
      </c>
      <c r="Q428" s="4">
        <v>2</v>
      </c>
      <c r="R428" s="4" t="str">
        <f>IF(Table1[[#This Row],[Customer Ratings]]&gt;=4, "Good",IF(Table1[[#This Row],[Customer Ratings]]=3, "Average","Poor"))</f>
        <v>Poor</v>
      </c>
      <c r="S428" s="3" t="s">
        <v>55</v>
      </c>
    </row>
    <row r="429" spans="1:19" x14ac:dyDescent="0.25">
      <c r="A429" s="3">
        <v>428</v>
      </c>
      <c r="B429" s="5">
        <f>DATE(Table1[[#This Row],[Year]],Table1[[#This Row],[Month]],Table1[[#This Row],[Day]])</f>
        <v>44597</v>
      </c>
      <c r="C429" s="3">
        <v>5</v>
      </c>
      <c r="D429" s="3">
        <v>2</v>
      </c>
      <c r="E429" s="3">
        <v>2022</v>
      </c>
      <c r="F429" s="3" t="str">
        <f>"Qtr"&amp; " " &amp;CHOOSE(MONTH(Table1[[#This Row],[Date]]),1,1,1,2,2,2,3,3,3,4,4,4)</f>
        <v>Qtr 1</v>
      </c>
      <c r="G429" s="3" t="str">
        <f>TEXT(Table1[[#This Row],[Date]],"mmmm")</f>
        <v>February</v>
      </c>
      <c r="H429" s="3" t="s">
        <v>1079</v>
      </c>
      <c r="I429" s="3" t="s">
        <v>28</v>
      </c>
      <c r="J429" s="3">
        <v>7</v>
      </c>
      <c r="K429" s="3">
        <v>27443.34</v>
      </c>
      <c r="L429" s="3">
        <f>Table1[[#This Row],[Price Per Unit]]*Table1[[#This Row],[Units Sold]]</f>
        <v>192103.38</v>
      </c>
      <c r="M429" s="3" t="s">
        <v>405</v>
      </c>
      <c r="N429" s="3">
        <v>35</v>
      </c>
      <c r="O429" s="3" t="s">
        <v>78</v>
      </c>
      <c r="P429" s="3" t="s">
        <v>21</v>
      </c>
      <c r="Q429" s="4">
        <v>2</v>
      </c>
      <c r="R429" s="4" t="str">
        <f>IF(Table1[[#This Row],[Customer Ratings]]&gt;=4, "Good",IF(Table1[[#This Row],[Customer Ratings]]=3, "Average","Poor"))</f>
        <v>Poor</v>
      </c>
      <c r="S429" s="3" t="s">
        <v>87</v>
      </c>
    </row>
    <row r="430" spans="1:19" x14ac:dyDescent="0.25">
      <c r="A430" s="3">
        <v>429</v>
      </c>
      <c r="B430" s="5">
        <f>DATE(Table1[[#This Row],[Year]],Table1[[#This Row],[Month]],Table1[[#This Row],[Day]])</f>
        <v>44597</v>
      </c>
      <c r="C430" s="3">
        <v>5</v>
      </c>
      <c r="D430" s="3">
        <v>2</v>
      </c>
      <c r="E430" s="3">
        <v>2022</v>
      </c>
      <c r="F430" s="3" t="str">
        <f>"Qtr"&amp; " " &amp;CHOOSE(MONTH(Table1[[#This Row],[Date]]),1,1,1,2,2,2,3,3,3,4,4,4)</f>
        <v>Qtr 1</v>
      </c>
      <c r="G430" s="3" t="str">
        <f>TEXT(Table1[[#This Row],[Date]],"mmmm")</f>
        <v>February</v>
      </c>
      <c r="H430" s="3" t="s">
        <v>1079</v>
      </c>
      <c r="I430" s="3" t="s">
        <v>39</v>
      </c>
      <c r="J430" s="3">
        <v>4</v>
      </c>
      <c r="K430" s="3">
        <v>69023.91</v>
      </c>
      <c r="L430" s="3">
        <f>Table1[[#This Row],[Price Per Unit]]*Table1[[#This Row],[Units Sold]]</f>
        <v>276095.64</v>
      </c>
      <c r="M430" s="3" t="s">
        <v>406</v>
      </c>
      <c r="N430" s="3">
        <v>32</v>
      </c>
      <c r="O430" s="3" t="s">
        <v>20</v>
      </c>
      <c r="P430" s="3" t="s">
        <v>16</v>
      </c>
      <c r="Q430" s="4">
        <v>5</v>
      </c>
      <c r="R430" s="4" t="str">
        <f>IF(Table1[[#This Row],[Customer Ratings]]&gt;=4, "Good",IF(Table1[[#This Row],[Customer Ratings]]=3, "Average","Poor"))</f>
        <v>Good</v>
      </c>
      <c r="S430" s="3" t="s">
        <v>76</v>
      </c>
    </row>
    <row r="431" spans="1:19" x14ac:dyDescent="0.25">
      <c r="A431" s="3">
        <v>430</v>
      </c>
      <c r="B431" s="5">
        <f>DATE(Table1[[#This Row],[Year]],Table1[[#This Row],[Month]],Table1[[#This Row],[Day]])</f>
        <v>44597</v>
      </c>
      <c r="C431" s="3">
        <v>5</v>
      </c>
      <c r="D431" s="3">
        <v>2</v>
      </c>
      <c r="E431" s="3">
        <v>2022</v>
      </c>
      <c r="F431" s="3" t="str">
        <f>"Qtr"&amp; " " &amp;CHOOSE(MONTH(Table1[[#This Row],[Date]]),1,1,1,2,2,2,3,3,3,4,4,4)</f>
        <v>Qtr 1</v>
      </c>
      <c r="G431" s="3" t="str">
        <f>TEXT(Table1[[#This Row],[Date]],"mmmm")</f>
        <v>February</v>
      </c>
      <c r="H431" s="3" t="s">
        <v>1079</v>
      </c>
      <c r="I431" s="3" t="s">
        <v>28</v>
      </c>
      <c r="J431" s="3">
        <v>4</v>
      </c>
      <c r="K431" s="3">
        <v>67642.89</v>
      </c>
      <c r="L431" s="3">
        <f>Table1[[#This Row],[Price Per Unit]]*Table1[[#This Row],[Units Sold]]</f>
        <v>270571.56</v>
      </c>
      <c r="M431" s="3" t="s">
        <v>407</v>
      </c>
      <c r="N431" s="3">
        <v>35</v>
      </c>
      <c r="O431" s="3" t="s">
        <v>20</v>
      </c>
      <c r="P431" s="3" t="s">
        <v>45</v>
      </c>
      <c r="Q431" s="4">
        <v>4</v>
      </c>
      <c r="R431" s="4" t="str">
        <f>IF(Table1[[#This Row],[Customer Ratings]]&gt;=4, "Good",IF(Table1[[#This Row],[Customer Ratings]]=3, "Average","Poor"))</f>
        <v>Good</v>
      </c>
      <c r="S431" s="3" t="s">
        <v>87</v>
      </c>
    </row>
    <row r="432" spans="1:19" x14ac:dyDescent="0.25">
      <c r="A432" s="3">
        <v>431</v>
      </c>
      <c r="B432" s="5">
        <f>DATE(Table1[[#This Row],[Year]],Table1[[#This Row],[Month]],Table1[[#This Row],[Day]])</f>
        <v>44598</v>
      </c>
      <c r="C432" s="3">
        <v>6</v>
      </c>
      <c r="D432" s="3">
        <v>2</v>
      </c>
      <c r="E432" s="3">
        <v>2022</v>
      </c>
      <c r="F432" s="3" t="str">
        <f>"Qtr"&amp; " " &amp;CHOOSE(MONTH(Table1[[#This Row],[Date]]),1,1,1,2,2,2,3,3,3,4,4,4)</f>
        <v>Qtr 1</v>
      </c>
      <c r="G432" s="3" t="str">
        <f>TEXT(Table1[[#This Row],[Date]],"mmmm")</f>
        <v>February</v>
      </c>
      <c r="H432" s="3" t="s">
        <v>1080</v>
      </c>
      <c r="I432" s="3" t="s">
        <v>13</v>
      </c>
      <c r="J432" s="3">
        <v>9</v>
      </c>
      <c r="K432" s="3">
        <v>29229.21</v>
      </c>
      <c r="L432" s="3">
        <f>Table1[[#This Row],[Price Per Unit]]*Table1[[#This Row],[Units Sold]]</f>
        <v>263062.89</v>
      </c>
      <c r="M432" s="3" t="s">
        <v>408</v>
      </c>
      <c r="N432" s="3">
        <v>41</v>
      </c>
      <c r="O432" s="3" t="s">
        <v>81</v>
      </c>
      <c r="P432" s="3" t="s">
        <v>16</v>
      </c>
      <c r="Q432" s="4">
        <v>3</v>
      </c>
      <c r="R432" s="4" t="str">
        <f>IF(Table1[[#This Row],[Customer Ratings]]&gt;=4, "Good",IF(Table1[[#This Row],[Customer Ratings]]=3, "Average","Poor"))</f>
        <v>Average</v>
      </c>
      <c r="S432" s="3" t="s">
        <v>27</v>
      </c>
    </row>
    <row r="433" spans="1:19" x14ac:dyDescent="0.25">
      <c r="A433" s="3">
        <v>432</v>
      </c>
      <c r="B433" s="5">
        <f>DATE(Table1[[#This Row],[Year]],Table1[[#This Row],[Month]],Table1[[#This Row],[Day]])</f>
        <v>44598</v>
      </c>
      <c r="C433" s="3">
        <v>6</v>
      </c>
      <c r="D433" s="3">
        <v>2</v>
      </c>
      <c r="E433" s="3">
        <v>2022</v>
      </c>
      <c r="F433" s="3" t="str">
        <f>"Qtr"&amp; " " &amp;CHOOSE(MONTH(Table1[[#This Row],[Date]]),1,1,1,2,2,2,3,3,3,4,4,4)</f>
        <v>Qtr 1</v>
      </c>
      <c r="G433" s="3" t="str">
        <f>TEXT(Table1[[#This Row],[Date]],"mmmm")</f>
        <v>February</v>
      </c>
      <c r="H433" s="3" t="s">
        <v>1080</v>
      </c>
      <c r="I433" s="3" t="s">
        <v>13</v>
      </c>
      <c r="J433" s="3">
        <v>6</v>
      </c>
      <c r="K433" s="3">
        <v>69777.81</v>
      </c>
      <c r="L433" s="3">
        <f>Table1[[#This Row],[Price Per Unit]]*Table1[[#This Row],[Units Sold]]</f>
        <v>418666.86</v>
      </c>
      <c r="M433" s="3" t="s">
        <v>92</v>
      </c>
      <c r="N433" s="3">
        <v>40</v>
      </c>
      <c r="O433" s="3" t="s">
        <v>78</v>
      </c>
      <c r="P433" s="3" t="s">
        <v>31</v>
      </c>
      <c r="Q433" s="4">
        <v>5</v>
      </c>
      <c r="R433" s="4" t="str">
        <f>IF(Table1[[#This Row],[Customer Ratings]]&gt;=4, "Good",IF(Table1[[#This Row],[Customer Ratings]]=3, "Average","Poor"))</f>
        <v>Good</v>
      </c>
      <c r="S433" s="3" t="s">
        <v>27</v>
      </c>
    </row>
    <row r="434" spans="1:19" x14ac:dyDescent="0.25">
      <c r="A434" s="3">
        <v>433</v>
      </c>
      <c r="B434" s="5">
        <f>DATE(Table1[[#This Row],[Year]],Table1[[#This Row],[Month]],Table1[[#This Row],[Day]])</f>
        <v>44598</v>
      </c>
      <c r="C434" s="3">
        <v>6</v>
      </c>
      <c r="D434" s="3">
        <v>2</v>
      </c>
      <c r="E434" s="3">
        <v>2022</v>
      </c>
      <c r="F434" s="3" t="str">
        <f>"Qtr"&amp; " " &amp;CHOOSE(MONTH(Table1[[#This Row],[Date]]),1,1,1,2,2,2,3,3,3,4,4,4)</f>
        <v>Qtr 1</v>
      </c>
      <c r="G434" s="3" t="str">
        <f>TEXT(Table1[[#This Row],[Date]],"mmmm")</f>
        <v>February</v>
      </c>
      <c r="H434" s="3" t="s">
        <v>1080</v>
      </c>
      <c r="I434" s="3" t="s">
        <v>33</v>
      </c>
      <c r="J434" s="3">
        <v>4</v>
      </c>
      <c r="K434" s="3">
        <v>60733.07</v>
      </c>
      <c r="L434" s="3">
        <f>Table1[[#This Row],[Price Per Unit]]*Table1[[#This Row],[Units Sold]]</f>
        <v>242932.28</v>
      </c>
      <c r="M434" s="3" t="s">
        <v>131</v>
      </c>
      <c r="N434" s="3">
        <v>29</v>
      </c>
      <c r="O434" s="3" t="s">
        <v>20</v>
      </c>
      <c r="P434" s="3" t="s">
        <v>45</v>
      </c>
      <c r="Q434" s="4">
        <v>5</v>
      </c>
      <c r="R434" s="4" t="str">
        <f>IF(Table1[[#This Row],[Customer Ratings]]&gt;=4, "Good",IF(Table1[[#This Row],[Customer Ratings]]=3, "Average","Poor"))</f>
        <v>Good</v>
      </c>
      <c r="S434" s="3" t="s">
        <v>83</v>
      </c>
    </row>
    <row r="435" spans="1:19" x14ac:dyDescent="0.25">
      <c r="A435" s="3">
        <v>434</v>
      </c>
      <c r="B435" s="5">
        <f>DATE(Table1[[#This Row],[Year]],Table1[[#This Row],[Month]],Table1[[#This Row],[Day]])</f>
        <v>44598</v>
      </c>
      <c r="C435" s="3">
        <v>6</v>
      </c>
      <c r="D435" s="3">
        <v>2</v>
      </c>
      <c r="E435" s="3">
        <v>2022</v>
      </c>
      <c r="F435" s="3" t="str">
        <f>"Qtr"&amp; " " &amp;CHOOSE(MONTH(Table1[[#This Row],[Date]]),1,1,1,2,2,2,3,3,3,4,4,4)</f>
        <v>Qtr 1</v>
      </c>
      <c r="G435" s="3" t="str">
        <f>TEXT(Table1[[#This Row],[Date]],"mmmm")</f>
        <v>February</v>
      </c>
      <c r="H435" s="3" t="s">
        <v>1080</v>
      </c>
      <c r="I435" s="3" t="s">
        <v>39</v>
      </c>
      <c r="J435" s="3">
        <v>2</v>
      </c>
      <c r="K435" s="3">
        <v>46657.57</v>
      </c>
      <c r="L435" s="3">
        <f>Table1[[#This Row],[Price Per Unit]]*Table1[[#This Row],[Units Sold]]</f>
        <v>93315.14</v>
      </c>
      <c r="M435" s="3" t="s">
        <v>409</v>
      </c>
      <c r="N435" s="3">
        <v>40</v>
      </c>
      <c r="O435" s="3" t="s">
        <v>20</v>
      </c>
      <c r="P435" s="3" t="s">
        <v>45</v>
      </c>
      <c r="Q435" s="4">
        <v>2</v>
      </c>
      <c r="R435" s="4" t="str">
        <f>IF(Table1[[#This Row],[Customer Ratings]]&gt;=4, "Good",IF(Table1[[#This Row],[Customer Ratings]]=3, "Average","Poor"))</f>
        <v>Poor</v>
      </c>
      <c r="S435" s="3" t="s">
        <v>90</v>
      </c>
    </row>
    <row r="436" spans="1:19" x14ac:dyDescent="0.25">
      <c r="A436" s="3">
        <v>435</v>
      </c>
      <c r="B436" s="5">
        <f>DATE(Table1[[#This Row],[Year]],Table1[[#This Row],[Month]],Table1[[#This Row],[Day]])</f>
        <v>44599</v>
      </c>
      <c r="C436" s="3">
        <v>7</v>
      </c>
      <c r="D436" s="3">
        <v>2</v>
      </c>
      <c r="E436" s="3">
        <v>2022</v>
      </c>
      <c r="F436" s="3" t="str">
        <f>"Qtr"&amp; " " &amp;CHOOSE(MONTH(Table1[[#This Row],[Date]]),1,1,1,2,2,2,3,3,3,4,4,4)</f>
        <v>Qtr 1</v>
      </c>
      <c r="G436" s="3" t="str">
        <f>TEXT(Table1[[#This Row],[Date]],"mmmm")</f>
        <v>February</v>
      </c>
      <c r="H436" s="3" t="s">
        <v>1081</v>
      </c>
      <c r="I436" s="3" t="s">
        <v>28</v>
      </c>
      <c r="J436" s="3">
        <v>6</v>
      </c>
      <c r="K436" s="3">
        <v>12407.48</v>
      </c>
      <c r="L436" s="3">
        <f>Table1[[#This Row],[Price Per Unit]]*Table1[[#This Row],[Units Sold]]</f>
        <v>74444.88</v>
      </c>
      <c r="M436" s="3" t="s">
        <v>410</v>
      </c>
      <c r="N436" s="3">
        <v>38</v>
      </c>
      <c r="O436" s="3" t="s">
        <v>35</v>
      </c>
      <c r="P436" s="3" t="s">
        <v>31</v>
      </c>
      <c r="Q436" s="4">
        <v>2</v>
      </c>
      <c r="R436" s="4" t="str">
        <f>IF(Table1[[#This Row],[Customer Ratings]]&gt;=4, "Good",IF(Table1[[#This Row],[Customer Ratings]]=3, "Average","Poor"))</f>
        <v>Poor</v>
      </c>
      <c r="S436" s="3" t="s">
        <v>32</v>
      </c>
    </row>
    <row r="437" spans="1:19" x14ac:dyDescent="0.25">
      <c r="A437" s="3">
        <v>436</v>
      </c>
      <c r="B437" s="5">
        <f>DATE(Table1[[#This Row],[Year]],Table1[[#This Row],[Month]],Table1[[#This Row],[Day]])</f>
        <v>44599</v>
      </c>
      <c r="C437" s="3">
        <v>7</v>
      </c>
      <c r="D437" s="3">
        <v>2</v>
      </c>
      <c r="E437" s="3">
        <v>2022</v>
      </c>
      <c r="F437" s="3" t="str">
        <f>"Qtr"&amp; " " &amp;CHOOSE(MONTH(Table1[[#This Row],[Date]]),1,1,1,2,2,2,3,3,3,4,4,4)</f>
        <v>Qtr 1</v>
      </c>
      <c r="G437" s="3" t="str">
        <f>TEXT(Table1[[#This Row],[Date]],"mmmm")</f>
        <v>February</v>
      </c>
      <c r="H437" s="3" t="s">
        <v>1081</v>
      </c>
      <c r="I437" s="3" t="s">
        <v>18</v>
      </c>
      <c r="J437" s="3">
        <v>2</v>
      </c>
      <c r="K437" s="3">
        <v>64086.81</v>
      </c>
      <c r="L437" s="3">
        <f>Table1[[#This Row],[Price Per Unit]]*Table1[[#This Row],[Units Sold]]</f>
        <v>128173.62</v>
      </c>
      <c r="M437" s="3" t="s">
        <v>393</v>
      </c>
      <c r="N437" s="3">
        <v>43</v>
      </c>
      <c r="O437" s="3" t="s">
        <v>81</v>
      </c>
      <c r="P437" s="3" t="s">
        <v>16</v>
      </c>
      <c r="Q437" s="4">
        <v>3</v>
      </c>
      <c r="R437" s="4" t="str">
        <f>IF(Table1[[#This Row],[Customer Ratings]]&gt;=4, "Good",IF(Table1[[#This Row],[Customer Ratings]]=3, "Average","Poor"))</f>
        <v>Average</v>
      </c>
      <c r="S437" s="3" t="s">
        <v>22</v>
      </c>
    </row>
    <row r="438" spans="1:19" x14ac:dyDescent="0.25">
      <c r="A438" s="3">
        <v>437</v>
      </c>
      <c r="B438" s="5">
        <f>DATE(Table1[[#This Row],[Year]],Table1[[#This Row],[Month]],Table1[[#This Row],[Day]])</f>
        <v>44599</v>
      </c>
      <c r="C438" s="3">
        <v>7</v>
      </c>
      <c r="D438" s="3">
        <v>2</v>
      </c>
      <c r="E438" s="3">
        <v>2022</v>
      </c>
      <c r="F438" s="3" t="str">
        <f>"Qtr"&amp; " " &amp;CHOOSE(MONTH(Table1[[#This Row],[Date]]),1,1,1,2,2,2,3,3,3,4,4,4)</f>
        <v>Qtr 1</v>
      </c>
      <c r="G438" s="3" t="str">
        <f>TEXT(Table1[[#This Row],[Date]],"mmmm")</f>
        <v>February</v>
      </c>
      <c r="H438" s="3" t="s">
        <v>1081</v>
      </c>
      <c r="I438" s="3" t="s">
        <v>13</v>
      </c>
      <c r="J438" s="3">
        <v>5</v>
      </c>
      <c r="K438" s="3">
        <v>43445.760000000002</v>
      </c>
      <c r="L438" s="3">
        <f>Table1[[#This Row],[Price Per Unit]]*Table1[[#This Row],[Units Sold]]</f>
        <v>217228.80000000002</v>
      </c>
      <c r="M438" s="3" t="s">
        <v>411</v>
      </c>
      <c r="N438" s="3">
        <v>25</v>
      </c>
      <c r="O438" s="3" t="s">
        <v>81</v>
      </c>
      <c r="P438" s="3" t="s">
        <v>31</v>
      </c>
      <c r="Q438" s="4">
        <v>5</v>
      </c>
      <c r="R438" s="4" t="str">
        <f>IF(Table1[[#This Row],[Customer Ratings]]&gt;=4, "Good",IF(Table1[[#This Row],[Customer Ratings]]=3, "Average","Poor"))</f>
        <v>Good</v>
      </c>
      <c r="S438" s="3" t="s">
        <v>27</v>
      </c>
    </row>
    <row r="439" spans="1:19" x14ac:dyDescent="0.25">
      <c r="A439" s="3">
        <v>438</v>
      </c>
      <c r="B439" s="5">
        <f>DATE(Table1[[#This Row],[Year]],Table1[[#This Row],[Month]],Table1[[#This Row],[Day]])</f>
        <v>44600</v>
      </c>
      <c r="C439" s="3">
        <v>8</v>
      </c>
      <c r="D439" s="3">
        <v>2</v>
      </c>
      <c r="E439" s="3">
        <v>2022</v>
      </c>
      <c r="F439" s="3" t="str">
        <f>"Qtr"&amp; " " &amp;CHOOSE(MONTH(Table1[[#This Row],[Date]]),1,1,1,2,2,2,3,3,3,4,4,4)</f>
        <v>Qtr 1</v>
      </c>
      <c r="G439" s="3" t="str">
        <f>TEXT(Table1[[#This Row],[Date]],"mmmm")</f>
        <v>February</v>
      </c>
      <c r="H439" s="3" t="s">
        <v>1082</v>
      </c>
      <c r="I439" s="3" t="s">
        <v>13</v>
      </c>
      <c r="J439" s="3">
        <v>6</v>
      </c>
      <c r="K439" s="3">
        <v>62108.57</v>
      </c>
      <c r="L439" s="3">
        <f>Table1[[#This Row],[Price Per Unit]]*Table1[[#This Row],[Units Sold]]</f>
        <v>372651.42</v>
      </c>
      <c r="M439" s="3" t="s">
        <v>412</v>
      </c>
      <c r="N439" s="3">
        <v>47</v>
      </c>
      <c r="O439" s="3" t="s">
        <v>24</v>
      </c>
      <c r="P439" s="3" t="s">
        <v>31</v>
      </c>
      <c r="Q439" s="4">
        <v>4</v>
      </c>
      <c r="R439" s="4" t="str">
        <f>IF(Table1[[#This Row],[Customer Ratings]]&gt;=4, "Good",IF(Table1[[#This Row],[Customer Ratings]]=3, "Average","Poor"))</f>
        <v>Good</v>
      </c>
      <c r="S439" s="3" t="s">
        <v>72</v>
      </c>
    </row>
    <row r="440" spans="1:19" x14ac:dyDescent="0.25">
      <c r="A440" s="3">
        <v>439</v>
      </c>
      <c r="B440" s="5">
        <f>DATE(Table1[[#This Row],[Year]],Table1[[#This Row],[Month]],Table1[[#This Row],[Day]])</f>
        <v>44600</v>
      </c>
      <c r="C440" s="3">
        <v>8</v>
      </c>
      <c r="D440" s="3">
        <v>2</v>
      </c>
      <c r="E440" s="3">
        <v>2022</v>
      </c>
      <c r="F440" s="3" t="str">
        <f>"Qtr"&amp; " " &amp;CHOOSE(MONTH(Table1[[#This Row],[Date]]),1,1,1,2,2,2,3,3,3,4,4,4)</f>
        <v>Qtr 1</v>
      </c>
      <c r="G440" s="3" t="str">
        <f>TEXT(Table1[[#This Row],[Date]],"mmmm")</f>
        <v>February</v>
      </c>
      <c r="H440" s="3" t="s">
        <v>1082</v>
      </c>
      <c r="I440" s="3" t="s">
        <v>18</v>
      </c>
      <c r="J440" s="3">
        <v>4</v>
      </c>
      <c r="K440" s="3">
        <v>60065.75</v>
      </c>
      <c r="L440" s="3">
        <f>Table1[[#This Row],[Price Per Unit]]*Table1[[#This Row],[Units Sold]]</f>
        <v>240263</v>
      </c>
      <c r="M440" s="3" t="s">
        <v>413</v>
      </c>
      <c r="N440" s="3">
        <v>51</v>
      </c>
      <c r="O440" s="3" t="s">
        <v>24</v>
      </c>
      <c r="P440" s="3" t="s">
        <v>31</v>
      </c>
      <c r="Q440" s="4">
        <v>2</v>
      </c>
      <c r="R440" s="4" t="str">
        <f>IF(Table1[[#This Row],[Customer Ratings]]&gt;=4, "Good",IF(Table1[[#This Row],[Customer Ratings]]=3, "Average","Poor"))</f>
        <v>Poor</v>
      </c>
      <c r="S440" s="3" t="s">
        <v>22</v>
      </c>
    </row>
    <row r="441" spans="1:19" x14ac:dyDescent="0.25">
      <c r="A441" s="3">
        <v>440</v>
      </c>
      <c r="B441" s="5">
        <f>DATE(Table1[[#This Row],[Year]],Table1[[#This Row],[Month]],Table1[[#This Row],[Day]])</f>
        <v>44600</v>
      </c>
      <c r="C441" s="3">
        <v>8</v>
      </c>
      <c r="D441" s="3">
        <v>2</v>
      </c>
      <c r="E441" s="3">
        <v>2022</v>
      </c>
      <c r="F441" s="3" t="str">
        <f>"Qtr"&amp; " " &amp;CHOOSE(MONTH(Table1[[#This Row],[Date]]),1,1,1,2,2,2,3,3,3,4,4,4)</f>
        <v>Qtr 1</v>
      </c>
      <c r="G441" s="3" t="str">
        <f>TEXT(Table1[[#This Row],[Date]],"mmmm")</f>
        <v>February</v>
      </c>
      <c r="H441" s="3" t="s">
        <v>1082</v>
      </c>
      <c r="I441" s="3" t="s">
        <v>28</v>
      </c>
      <c r="J441" s="3">
        <v>3</v>
      </c>
      <c r="K441" s="3">
        <v>59980.37</v>
      </c>
      <c r="L441" s="3">
        <f>Table1[[#This Row],[Price Per Unit]]*Table1[[#This Row],[Units Sold]]</f>
        <v>179941.11000000002</v>
      </c>
      <c r="M441" s="3" t="s">
        <v>414</v>
      </c>
      <c r="N441" s="3">
        <v>19</v>
      </c>
      <c r="O441" s="3" t="s">
        <v>20</v>
      </c>
      <c r="P441" s="3" t="s">
        <v>31</v>
      </c>
      <c r="Q441" s="4">
        <v>5</v>
      </c>
      <c r="R441" s="4" t="str">
        <f>IF(Table1[[#This Row],[Customer Ratings]]&gt;=4, "Good",IF(Table1[[#This Row],[Customer Ratings]]=3, "Average","Poor"))</f>
        <v>Good</v>
      </c>
      <c r="S441" s="3" t="s">
        <v>38</v>
      </c>
    </row>
    <row r="442" spans="1:19" x14ac:dyDescent="0.25">
      <c r="A442" s="3">
        <v>441</v>
      </c>
      <c r="B442" s="5">
        <f>DATE(Table1[[#This Row],[Year]],Table1[[#This Row],[Month]],Table1[[#This Row],[Day]])</f>
        <v>44600</v>
      </c>
      <c r="C442" s="3">
        <v>8</v>
      </c>
      <c r="D442" s="3">
        <v>2</v>
      </c>
      <c r="E442" s="3">
        <v>2022</v>
      </c>
      <c r="F442" s="3" t="str">
        <f>"Qtr"&amp; " " &amp;CHOOSE(MONTH(Table1[[#This Row],[Date]]),1,1,1,2,2,2,3,3,3,4,4,4)</f>
        <v>Qtr 1</v>
      </c>
      <c r="G442" s="3" t="str">
        <f>TEXT(Table1[[#This Row],[Date]],"mmmm")</f>
        <v>February</v>
      </c>
      <c r="H442" s="3" t="s">
        <v>1082</v>
      </c>
      <c r="I442" s="3" t="s">
        <v>28</v>
      </c>
      <c r="J442" s="3">
        <v>7</v>
      </c>
      <c r="K442" s="3">
        <v>51890.43</v>
      </c>
      <c r="L442" s="3">
        <f>Table1[[#This Row],[Price Per Unit]]*Table1[[#This Row],[Units Sold]]</f>
        <v>363233.01</v>
      </c>
      <c r="M442" s="3" t="s">
        <v>415</v>
      </c>
      <c r="N442" s="3">
        <v>22</v>
      </c>
      <c r="O442" s="3" t="s">
        <v>105</v>
      </c>
      <c r="P442" s="3" t="s">
        <v>16</v>
      </c>
      <c r="Q442" s="4">
        <v>3</v>
      </c>
      <c r="R442" s="4" t="str">
        <f>IF(Table1[[#This Row],[Customer Ratings]]&gt;=4, "Good",IF(Table1[[#This Row],[Customer Ratings]]=3, "Average","Poor"))</f>
        <v>Average</v>
      </c>
      <c r="S442" s="3" t="s">
        <v>38</v>
      </c>
    </row>
    <row r="443" spans="1:19" x14ac:dyDescent="0.25">
      <c r="A443" s="3">
        <v>442</v>
      </c>
      <c r="B443" s="5">
        <f>DATE(Table1[[#This Row],[Year]],Table1[[#This Row],[Month]],Table1[[#This Row],[Day]])</f>
        <v>44601</v>
      </c>
      <c r="C443" s="3">
        <v>9</v>
      </c>
      <c r="D443" s="3">
        <v>2</v>
      </c>
      <c r="E443" s="3">
        <v>2022</v>
      </c>
      <c r="F443" s="3" t="str">
        <f>"Qtr"&amp; " " &amp;CHOOSE(MONTH(Table1[[#This Row],[Date]]),1,1,1,2,2,2,3,3,3,4,4,4)</f>
        <v>Qtr 1</v>
      </c>
      <c r="G443" s="3" t="str">
        <f>TEXT(Table1[[#This Row],[Date]],"mmmm")</f>
        <v>February</v>
      </c>
      <c r="H443" s="3" t="s">
        <v>1083</v>
      </c>
      <c r="I443" s="3" t="s">
        <v>39</v>
      </c>
      <c r="J443" s="3">
        <v>2</v>
      </c>
      <c r="K443" s="3">
        <v>27484.91</v>
      </c>
      <c r="L443" s="3">
        <f>Table1[[#This Row],[Price Per Unit]]*Table1[[#This Row],[Units Sold]]</f>
        <v>54969.82</v>
      </c>
      <c r="M443" s="3" t="s">
        <v>416</v>
      </c>
      <c r="N443" s="3">
        <v>48</v>
      </c>
      <c r="O443" s="3" t="s">
        <v>24</v>
      </c>
      <c r="P443" s="3" t="s">
        <v>45</v>
      </c>
      <c r="Q443" s="4">
        <v>3</v>
      </c>
      <c r="R443" s="4" t="str">
        <f>IF(Table1[[#This Row],[Customer Ratings]]&gt;=4, "Good",IF(Table1[[#This Row],[Customer Ratings]]=3, "Average","Poor"))</f>
        <v>Average</v>
      </c>
      <c r="S443" s="3" t="s">
        <v>42</v>
      </c>
    </row>
    <row r="444" spans="1:19" x14ac:dyDescent="0.25">
      <c r="A444" s="3">
        <v>443</v>
      </c>
      <c r="B444" s="5">
        <f>DATE(Table1[[#This Row],[Year]],Table1[[#This Row],[Month]],Table1[[#This Row],[Day]])</f>
        <v>44601</v>
      </c>
      <c r="C444" s="3">
        <v>9</v>
      </c>
      <c r="D444" s="3">
        <v>2</v>
      </c>
      <c r="E444" s="3">
        <v>2022</v>
      </c>
      <c r="F444" s="3" t="str">
        <f>"Qtr"&amp; " " &amp;CHOOSE(MONTH(Table1[[#This Row],[Date]]),1,1,1,2,2,2,3,3,3,4,4,4)</f>
        <v>Qtr 1</v>
      </c>
      <c r="G444" s="3" t="str">
        <f>TEXT(Table1[[#This Row],[Date]],"mmmm")</f>
        <v>February</v>
      </c>
      <c r="H444" s="3" t="s">
        <v>1083</v>
      </c>
      <c r="I444" s="3" t="s">
        <v>39</v>
      </c>
      <c r="J444" s="3">
        <v>6</v>
      </c>
      <c r="K444" s="3">
        <v>30169.62</v>
      </c>
      <c r="L444" s="3">
        <f>Table1[[#This Row],[Price Per Unit]]*Table1[[#This Row],[Units Sold]]</f>
        <v>181017.72</v>
      </c>
      <c r="M444" s="3" t="s">
        <v>284</v>
      </c>
      <c r="N444" s="3">
        <v>50</v>
      </c>
      <c r="O444" s="3" t="s">
        <v>81</v>
      </c>
      <c r="P444" s="3" t="s">
        <v>31</v>
      </c>
      <c r="Q444" s="4">
        <v>3</v>
      </c>
      <c r="R444" s="4" t="str">
        <f>IF(Table1[[#This Row],[Customer Ratings]]&gt;=4, "Good",IF(Table1[[#This Row],[Customer Ratings]]=3, "Average","Poor"))</f>
        <v>Average</v>
      </c>
      <c r="S444" s="3" t="s">
        <v>76</v>
      </c>
    </row>
    <row r="445" spans="1:19" x14ac:dyDescent="0.25">
      <c r="A445" s="3">
        <v>444</v>
      </c>
      <c r="B445" s="5">
        <f>DATE(Table1[[#This Row],[Year]],Table1[[#This Row],[Month]],Table1[[#This Row],[Day]])</f>
        <v>44601</v>
      </c>
      <c r="C445" s="3">
        <v>9</v>
      </c>
      <c r="D445" s="3">
        <v>2</v>
      </c>
      <c r="E445" s="3">
        <v>2022</v>
      </c>
      <c r="F445" s="3" t="str">
        <f>"Qtr"&amp; " " &amp;CHOOSE(MONTH(Table1[[#This Row],[Date]]),1,1,1,2,2,2,3,3,3,4,4,4)</f>
        <v>Qtr 1</v>
      </c>
      <c r="G445" s="3" t="str">
        <f>TEXT(Table1[[#This Row],[Date]],"mmmm")</f>
        <v>February</v>
      </c>
      <c r="H445" s="3" t="s">
        <v>1083</v>
      </c>
      <c r="I445" s="3" t="s">
        <v>33</v>
      </c>
      <c r="J445" s="3">
        <v>4</v>
      </c>
      <c r="K445" s="3">
        <v>28508.15</v>
      </c>
      <c r="L445" s="3">
        <f>Table1[[#This Row],[Price Per Unit]]*Table1[[#This Row],[Units Sold]]</f>
        <v>114032.6</v>
      </c>
      <c r="M445" s="3" t="s">
        <v>417</v>
      </c>
      <c r="N445" s="3">
        <v>21</v>
      </c>
      <c r="O445" s="3" t="s">
        <v>24</v>
      </c>
      <c r="P445" s="3" t="s">
        <v>31</v>
      </c>
      <c r="Q445" s="4">
        <v>5</v>
      </c>
      <c r="R445" s="4" t="str">
        <f>IF(Table1[[#This Row],[Customer Ratings]]&gt;=4, "Good",IF(Table1[[#This Row],[Customer Ratings]]=3, "Average","Poor"))</f>
        <v>Good</v>
      </c>
      <c r="S445" s="3" t="s">
        <v>46</v>
      </c>
    </row>
    <row r="446" spans="1:19" x14ac:dyDescent="0.25">
      <c r="A446" s="3">
        <v>445</v>
      </c>
      <c r="B446" s="5">
        <f>DATE(Table1[[#This Row],[Year]],Table1[[#This Row],[Month]],Table1[[#This Row],[Day]])</f>
        <v>44602</v>
      </c>
      <c r="C446" s="3">
        <v>10</v>
      </c>
      <c r="D446" s="3">
        <v>2</v>
      </c>
      <c r="E446" s="3">
        <v>2022</v>
      </c>
      <c r="F446" s="3" t="str">
        <f>"Qtr"&amp; " " &amp;CHOOSE(MONTH(Table1[[#This Row],[Date]]),1,1,1,2,2,2,3,3,3,4,4,4)</f>
        <v>Qtr 1</v>
      </c>
      <c r="G446" s="3" t="str">
        <f>TEXT(Table1[[#This Row],[Date]],"mmmm")</f>
        <v>February</v>
      </c>
      <c r="H446" s="3" t="s">
        <v>1084</v>
      </c>
      <c r="I446" s="3" t="s">
        <v>13</v>
      </c>
      <c r="J446" s="3">
        <v>6</v>
      </c>
      <c r="K446" s="3">
        <v>11202.76</v>
      </c>
      <c r="L446" s="3">
        <f>Table1[[#This Row],[Price Per Unit]]*Table1[[#This Row],[Units Sold]]</f>
        <v>67216.56</v>
      </c>
      <c r="M446" s="3" t="s">
        <v>237</v>
      </c>
      <c r="N446" s="3">
        <v>23</v>
      </c>
      <c r="O446" s="3" t="s">
        <v>48</v>
      </c>
      <c r="P446" s="3" t="s">
        <v>21</v>
      </c>
      <c r="Q446" s="4">
        <v>3</v>
      </c>
      <c r="R446" s="4" t="str">
        <f>IF(Table1[[#This Row],[Customer Ratings]]&gt;=4, "Good",IF(Table1[[#This Row],[Customer Ratings]]=3, "Average","Poor"))</f>
        <v>Average</v>
      </c>
      <c r="S446" s="3" t="s">
        <v>27</v>
      </c>
    </row>
    <row r="447" spans="1:19" x14ac:dyDescent="0.25">
      <c r="A447" s="3">
        <v>446</v>
      </c>
      <c r="B447" s="5">
        <f>DATE(Table1[[#This Row],[Year]],Table1[[#This Row],[Month]],Table1[[#This Row],[Day]])</f>
        <v>44602</v>
      </c>
      <c r="C447" s="3">
        <v>10</v>
      </c>
      <c r="D447" s="3">
        <v>2</v>
      </c>
      <c r="E447" s="3">
        <v>2022</v>
      </c>
      <c r="F447" s="3" t="str">
        <f>"Qtr"&amp; " " &amp;CHOOSE(MONTH(Table1[[#This Row],[Date]]),1,1,1,2,2,2,3,3,3,4,4,4)</f>
        <v>Qtr 1</v>
      </c>
      <c r="G447" s="3" t="str">
        <f>TEXT(Table1[[#This Row],[Date]],"mmmm")</f>
        <v>February</v>
      </c>
      <c r="H447" s="3" t="s">
        <v>1084</v>
      </c>
      <c r="I447" s="3" t="s">
        <v>39</v>
      </c>
      <c r="J447" s="3">
        <v>4</v>
      </c>
      <c r="K447" s="3">
        <v>44954.13</v>
      </c>
      <c r="L447" s="3">
        <f>Table1[[#This Row],[Price Per Unit]]*Table1[[#This Row],[Units Sold]]</f>
        <v>179816.52</v>
      </c>
      <c r="M447" s="3" t="s">
        <v>115</v>
      </c>
      <c r="N447" s="3">
        <v>40</v>
      </c>
      <c r="O447" s="3" t="s">
        <v>20</v>
      </c>
      <c r="P447" s="3" t="s">
        <v>16</v>
      </c>
      <c r="Q447" s="4">
        <v>4</v>
      </c>
      <c r="R447" s="4" t="str">
        <f>IF(Table1[[#This Row],[Customer Ratings]]&gt;=4, "Good",IF(Table1[[#This Row],[Customer Ratings]]=3, "Average","Poor"))</f>
        <v>Good</v>
      </c>
      <c r="S447" s="3" t="s">
        <v>90</v>
      </c>
    </row>
    <row r="448" spans="1:19" x14ac:dyDescent="0.25">
      <c r="A448" s="3">
        <v>447</v>
      </c>
      <c r="B448" s="5">
        <f>DATE(Table1[[#This Row],[Year]],Table1[[#This Row],[Month]],Table1[[#This Row],[Day]])</f>
        <v>44602</v>
      </c>
      <c r="C448" s="3">
        <v>10</v>
      </c>
      <c r="D448" s="3">
        <v>2</v>
      </c>
      <c r="E448" s="3">
        <v>2022</v>
      </c>
      <c r="F448" s="3" t="str">
        <f>"Qtr"&amp; " " &amp;CHOOSE(MONTH(Table1[[#This Row],[Date]]),1,1,1,2,2,2,3,3,3,4,4,4)</f>
        <v>Qtr 1</v>
      </c>
      <c r="G448" s="3" t="str">
        <f>TEXT(Table1[[#This Row],[Date]],"mmmm")</f>
        <v>February</v>
      </c>
      <c r="H448" s="3" t="s">
        <v>1084</v>
      </c>
      <c r="I448" s="3" t="s">
        <v>28</v>
      </c>
      <c r="J448" s="3">
        <v>4</v>
      </c>
      <c r="K448" s="3">
        <v>51930.02</v>
      </c>
      <c r="L448" s="3">
        <f>Table1[[#This Row],[Price Per Unit]]*Table1[[#This Row],[Units Sold]]</f>
        <v>207720.08</v>
      </c>
      <c r="M448" s="3" t="s">
        <v>319</v>
      </c>
      <c r="N448" s="3">
        <v>36</v>
      </c>
      <c r="O448" s="3" t="s">
        <v>15</v>
      </c>
      <c r="P448" s="3" t="s">
        <v>31</v>
      </c>
      <c r="Q448" s="4">
        <v>4</v>
      </c>
      <c r="R448" s="4" t="str">
        <f>IF(Table1[[#This Row],[Customer Ratings]]&gt;=4, "Good",IF(Table1[[#This Row],[Customer Ratings]]=3, "Average","Poor"))</f>
        <v>Good</v>
      </c>
      <c r="S448" s="3" t="s">
        <v>32</v>
      </c>
    </row>
    <row r="449" spans="1:19" x14ac:dyDescent="0.25">
      <c r="A449" s="3">
        <v>448</v>
      </c>
      <c r="B449" s="5">
        <f>DATE(Table1[[#This Row],[Year]],Table1[[#This Row],[Month]],Table1[[#This Row],[Day]])</f>
        <v>44603</v>
      </c>
      <c r="C449" s="3">
        <v>11</v>
      </c>
      <c r="D449" s="3">
        <v>2</v>
      </c>
      <c r="E449" s="3">
        <v>2022</v>
      </c>
      <c r="F449" s="3" t="str">
        <f>"Qtr"&amp; " " &amp;CHOOSE(MONTH(Table1[[#This Row],[Date]]),1,1,1,2,2,2,3,3,3,4,4,4)</f>
        <v>Qtr 1</v>
      </c>
      <c r="G449" s="3" t="str">
        <f>TEXT(Table1[[#This Row],[Date]],"mmmm")</f>
        <v>February</v>
      </c>
      <c r="H449" s="3" t="s">
        <v>1085</v>
      </c>
      <c r="I449" s="3" t="s">
        <v>18</v>
      </c>
      <c r="J449" s="3">
        <v>4</v>
      </c>
      <c r="K449" s="3">
        <v>61231.96</v>
      </c>
      <c r="L449" s="3">
        <f>Table1[[#This Row],[Price Per Unit]]*Table1[[#This Row],[Units Sold]]</f>
        <v>244927.84</v>
      </c>
      <c r="M449" s="3" t="s">
        <v>418</v>
      </c>
      <c r="N449" s="3">
        <v>25</v>
      </c>
      <c r="O449" s="3" t="s">
        <v>24</v>
      </c>
      <c r="P449" s="3" t="s">
        <v>21</v>
      </c>
      <c r="Q449" s="4">
        <v>5</v>
      </c>
      <c r="R449" s="4" t="str">
        <f>IF(Table1[[#This Row],[Customer Ratings]]&gt;=4, "Good",IF(Table1[[#This Row],[Customer Ratings]]=3, "Average","Poor"))</f>
        <v>Good</v>
      </c>
      <c r="S449" s="3" t="s">
        <v>25</v>
      </c>
    </row>
    <row r="450" spans="1:19" x14ac:dyDescent="0.25">
      <c r="A450" s="3">
        <v>449</v>
      </c>
      <c r="B450" s="5">
        <f>DATE(Table1[[#This Row],[Year]],Table1[[#This Row],[Month]],Table1[[#This Row],[Day]])</f>
        <v>44603</v>
      </c>
      <c r="C450" s="3">
        <v>11</v>
      </c>
      <c r="D450" s="3">
        <v>2</v>
      </c>
      <c r="E450" s="3">
        <v>2022</v>
      </c>
      <c r="F450" s="3" t="str">
        <f>"Qtr"&amp; " " &amp;CHOOSE(MONTH(Table1[[#This Row],[Date]]),1,1,1,2,2,2,3,3,3,4,4,4)</f>
        <v>Qtr 1</v>
      </c>
      <c r="G450" s="3" t="str">
        <f>TEXT(Table1[[#This Row],[Date]],"mmmm")</f>
        <v>February</v>
      </c>
      <c r="H450" s="3" t="s">
        <v>1085</v>
      </c>
      <c r="I450" s="3" t="s">
        <v>28</v>
      </c>
      <c r="J450" s="3">
        <v>9</v>
      </c>
      <c r="K450" s="3">
        <v>18409.93</v>
      </c>
      <c r="L450" s="3">
        <f>Table1[[#This Row],[Price Per Unit]]*Table1[[#This Row],[Units Sold]]</f>
        <v>165689.37</v>
      </c>
      <c r="M450" s="3" t="s">
        <v>419</v>
      </c>
      <c r="N450" s="3">
        <v>56</v>
      </c>
      <c r="O450" s="3" t="s">
        <v>120</v>
      </c>
      <c r="P450" s="3" t="s">
        <v>31</v>
      </c>
      <c r="Q450" s="4">
        <v>5</v>
      </c>
      <c r="R450" s="4" t="str">
        <f>IF(Table1[[#This Row],[Customer Ratings]]&gt;=4, "Good",IF(Table1[[#This Row],[Customer Ratings]]=3, "Average","Poor"))</f>
        <v>Good</v>
      </c>
      <c r="S450" s="3" t="s">
        <v>38</v>
      </c>
    </row>
    <row r="451" spans="1:19" x14ac:dyDescent="0.25">
      <c r="A451" s="3">
        <v>450</v>
      </c>
      <c r="B451" s="5">
        <f>DATE(Table1[[#This Row],[Year]],Table1[[#This Row],[Month]],Table1[[#This Row],[Day]])</f>
        <v>44603</v>
      </c>
      <c r="C451" s="3">
        <v>11</v>
      </c>
      <c r="D451" s="3">
        <v>2</v>
      </c>
      <c r="E451" s="3">
        <v>2022</v>
      </c>
      <c r="F451" s="3" t="str">
        <f>"Qtr"&amp; " " &amp;CHOOSE(MONTH(Table1[[#This Row],[Date]]),1,1,1,2,2,2,3,3,3,4,4,4)</f>
        <v>Qtr 1</v>
      </c>
      <c r="G451" s="3" t="str">
        <f>TEXT(Table1[[#This Row],[Date]],"mmmm")</f>
        <v>February</v>
      </c>
      <c r="H451" s="3" t="s">
        <v>1085</v>
      </c>
      <c r="I451" s="3" t="s">
        <v>13</v>
      </c>
      <c r="J451" s="3">
        <v>7</v>
      </c>
      <c r="K451" s="3">
        <v>42650.99</v>
      </c>
      <c r="L451" s="3">
        <f>Table1[[#This Row],[Price Per Unit]]*Table1[[#This Row],[Units Sold]]</f>
        <v>298556.93</v>
      </c>
      <c r="M451" s="3" t="s">
        <v>420</v>
      </c>
      <c r="N451" s="3">
        <v>30</v>
      </c>
      <c r="O451" s="3" t="s">
        <v>24</v>
      </c>
      <c r="P451" s="3" t="s">
        <v>16</v>
      </c>
      <c r="Q451" s="4">
        <v>4</v>
      </c>
      <c r="R451" s="4" t="str">
        <f>IF(Table1[[#This Row],[Customer Ratings]]&gt;=4, "Good",IF(Table1[[#This Row],[Customer Ratings]]=3, "Average","Poor"))</f>
        <v>Good</v>
      </c>
      <c r="S451" s="3" t="s">
        <v>17</v>
      </c>
    </row>
    <row r="452" spans="1:19" x14ac:dyDescent="0.25">
      <c r="A452" s="3">
        <v>451</v>
      </c>
      <c r="B452" s="5">
        <f>DATE(Table1[[#This Row],[Year]],Table1[[#This Row],[Month]],Table1[[#This Row],[Day]])</f>
        <v>44603</v>
      </c>
      <c r="C452" s="3">
        <v>11</v>
      </c>
      <c r="D452" s="3">
        <v>2</v>
      </c>
      <c r="E452" s="3">
        <v>2022</v>
      </c>
      <c r="F452" s="3" t="str">
        <f>"Qtr"&amp; " " &amp;CHOOSE(MONTH(Table1[[#This Row],[Date]]),1,1,1,2,2,2,3,3,3,4,4,4)</f>
        <v>Qtr 1</v>
      </c>
      <c r="G452" s="3" t="str">
        <f>TEXT(Table1[[#This Row],[Date]],"mmmm")</f>
        <v>February</v>
      </c>
      <c r="H452" s="3" t="s">
        <v>1085</v>
      </c>
      <c r="I452" s="3" t="s">
        <v>28</v>
      </c>
      <c r="J452" s="3">
        <v>3</v>
      </c>
      <c r="K452" s="3">
        <v>10480.49</v>
      </c>
      <c r="L452" s="3">
        <f>Table1[[#This Row],[Price Per Unit]]*Table1[[#This Row],[Units Sold]]</f>
        <v>31441.47</v>
      </c>
      <c r="M452" s="3" t="s">
        <v>421</v>
      </c>
      <c r="N452" s="3">
        <v>18</v>
      </c>
      <c r="O452" s="3" t="s">
        <v>102</v>
      </c>
      <c r="P452" s="3" t="s">
        <v>21</v>
      </c>
      <c r="Q452" s="4">
        <v>5</v>
      </c>
      <c r="R452" s="4" t="str">
        <f>IF(Table1[[#This Row],[Customer Ratings]]&gt;=4, "Good",IF(Table1[[#This Row],[Customer Ratings]]=3, "Average","Poor"))</f>
        <v>Good</v>
      </c>
      <c r="S452" s="3" t="s">
        <v>87</v>
      </c>
    </row>
    <row r="453" spans="1:19" x14ac:dyDescent="0.25">
      <c r="A453" s="3">
        <v>452</v>
      </c>
      <c r="B453" s="5">
        <f>DATE(Table1[[#This Row],[Year]],Table1[[#This Row],[Month]],Table1[[#This Row],[Day]])</f>
        <v>44604</v>
      </c>
      <c r="C453" s="3">
        <v>12</v>
      </c>
      <c r="D453" s="3">
        <v>2</v>
      </c>
      <c r="E453" s="3">
        <v>2022</v>
      </c>
      <c r="F453" s="3" t="str">
        <f>"Qtr"&amp; " " &amp;CHOOSE(MONTH(Table1[[#This Row],[Date]]),1,1,1,2,2,2,3,3,3,4,4,4)</f>
        <v>Qtr 1</v>
      </c>
      <c r="G453" s="3" t="str">
        <f>TEXT(Table1[[#This Row],[Date]],"mmmm")</f>
        <v>February</v>
      </c>
      <c r="H453" s="3" t="s">
        <v>1079</v>
      </c>
      <c r="I453" s="3" t="s">
        <v>33</v>
      </c>
      <c r="J453" s="3">
        <v>3</v>
      </c>
      <c r="K453" s="3">
        <v>15705.62</v>
      </c>
      <c r="L453" s="3">
        <f>Table1[[#This Row],[Price Per Unit]]*Table1[[#This Row],[Units Sold]]</f>
        <v>47116.86</v>
      </c>
      <c r="M453" s="3" t="s">
        <v>422</v>
      </c>
      <c r="N453" s="3">
        <v>23</v>
      </c>
      <c r="O453" s="3" t="s">
        <v>30</v>
      </c>
      <c r="P453" s="3" t="s">
        <v>21</v>
      </c>
      <c r="Q453" s="4">
        <v>5</v>
      </c>
      <c r="R453" s="4" t="str">
        <f>IF(Table1[[#This Row],[Customer Ratings]]&gt;=4, "Good",IF(Table1[[#This Row],[Customer Ratings]]=3, "Average","Poor"))</f>
        <v>Good</v>
      </c>
      <c r="S453" s="3" t="s">
        <v>46</v>
      </c>
    </row>
    <row r="454" spans="1:19" x14ac:dyDescent="0.25">
      <c r="A454" s="3">
        <v>453</v>
      </c>
      <c r="B454" s="5">
        <f>DATE(Table1[[#This Row],[Year]],Table1[[#This Row],[Month]],Table1[[#This Row],[Day]])</f>
        <v>44604</v>
      </c>
      <c r="C454" s="3">
        <v>12</v>
      </c>
      <c r="D454" s="3">
        <v>2</v>
      </c>
      <c r="E454" s="3">
        <v>2022</v>
      </c>
      <c r="F454" s="3" t="str">
        <f>"Qtr"&amp; " " &amp;CHOOSE(MONTH(Table1[[#This Row],[Date]]),1,1,1,2,2,2,3,3,3,4,4,4)</f>
        <v>Qtr 1</v>
      </c>
      <c r="G454" s="3" t="str">
        <f>TEXT(Table1[[#This Row],[Date]],"mmmm")</f>
        <v>February</v>
      </c>
      <c r="H454" s="3" t="s">
        <v>1079</v>
      </c>
      <c r="I454" s="3" t="s">
        <v>13</v>
      </c>
      <c r="J454" s="3">
        <v>6</v>
      </c>
      <c r="K454" s="3">
        <v>13252.7</v>
      </c>
      <c r="L454" s="3">
        <f>Table1[[#This Row],[Price Per Unit]]*Table1[[#This Row],[Units Sold]]</f>
        <v>79516.200000000012</v>
      </c>
      <c r="M454" s="3" t="s">
        <v>423</v>
      </c>
      <c r="N454" s="3">
        <v>24</v>
      </c>
      <c r="O454" s="3" t="s">
        <v>20</v>
      </c>
      <c r="P454" s="3" t="s">
        <v>16</v>
      </c>
      <c r="Q454" s="4">
        <v>3</v>
      </c>
      <c r="R454" s="4" t="str">
        <f>IF(Table1[[#This Row],[Customer Ratings]]&gt;=4, "Good",IF(Table1[[#This Row],[Customer Ratings]]=3, "Average","Poor"))</f>
        <v>Average</v>
      </c>
      <c r="S454" s="3" t="s">
        <v>17</v>
      </c>
    </row>
    <row r="455" spans="1:19" x14ac:dyDescent="0.25">
      <c r="A455" s="3">
        <v>454</v>
      </c>
      <c r="B455" s="5">
        <f>DATE(Table1[[#This Row],[Year]],Table1[[#This Row],[Month]],Table1[[#This Row],[Day]])</f>
        <v>44604</v>
      </c>
      <c r="C455" s="3">
        <v>12</v>
      </c>
      <c r="D455" s="3">
        <v>2</v>
      </c>
      <c r="E455" s="3">
        <v>2022</v>
      </c>
      <c r="F455" s="3" t="str">
        <f>"Qtr"&amp; " " &amp;CHOOSE(MONTH(Table1[[#This Row],[Date]]),1,1,1,2,2,2,3,3,3,4,4,4)</f>
        <v>Qtr 1</v>
      </c>
      <c r="G455" s="3" t="str">
        <f>TEXT(Table1[[#This Row],[Date]],"mmmm")</f>
        <v>February</v>
      </c>
      <c r="H455" s="3" t="s">
        <v>1079</v>
      </c>
      <c r="I455" s="3" t="s">
        <v>18</v>
      </c>
      <c r="J455" s="3">
        <v>6</v>
      </c>
      <c r="K455" s="3">
        <v>53528.68</v>
      </c>
      <c r="L455" s="3">
        <f>Table1[[#This Row],[Price Per Unit]]*Table1[[#This Row],[Units Sold]]</f>
        <v>321172.08</v>
      </c>
      <c r="M455" s="3" t="s">
        <v>162</v>
      </c>
      <c r="N455" s="3">
        <v>44</v>
      </c>
      <c r="O455" s="3" t="s">
        <v>41</v>
      </c>
      <c r="P455" s="3" t="s">
        <v>21</v>
      </c>
      <c r="Q455" s="4">
        <v>4</v>
      </c>
      <c r="R455" s="4" t="str">
        <f>IF(Table1[[#This Row],[Customer Ratings]]&gt;=4, "Good",IF(Table1[[#This Row],[Customer Ratings]]=3, "Average","Poor"))</f>
        <v>Good</v>
      </c>
      <c r="S455" s="3" t="s">
        <v>22</v>
      </c>
    </row>
    <row r="456" spans="1:19" x14ac:dyDescent="0.25">
      <c r="A456" s="3">
        <v>455</v>
      </c>
      <c r="B456" s="5">
        <f>DATE(Table1[[#This Row],[Year]],Table1[[#This Row],[Month]],Table1[[#This Row],[Day]])</f>
        <v>44604</v>
      </c>
      <c r="C456" s="3">
        <v>12</v>
      </c>
      <c r="D456" s="3">
        <v>2</v>
      </c>
      <c r="E456" s="3">
        <v>2022</v>
      </c>
      <c r="F456" s="3" t="str">
        <f>"Qtr"&amp; " " &amp;CHOOSE(MONTH(Table1[[#This Row],[Date]]),1,1,1,2,2,2,3,3,3,4,4,4)</f>
        <v>Qtr 1</v>
      </c>
      <c r="G456" s="3" t="str">
        <f>TEXT(Table1[[#This Row],[Date]],"mmmm")</f>
        <v>February</v>
      </c>
      <c r="H456" s="3" t="s">
        <v>1079</v>
      </c>
      <c r="I456" s="3" t="s">
        <v>33</v>
      </c>
      <c r="J456" s="3">
        <v>4</v>
      </c>
      <c r="K456" s="3">
        <v>14863.57</v>
      </c>
      <c r="L456" s="3">
        <f>Table1[[#This Row],[Price Per Unit]]*Table1[[#This Row],[Units Sold]]</f>
        <v>59454.28</v>
      </c>
      <c r="M456" s="3" t="s">
        <v>253</v>
      </c>
      <c r="N456" s="3">
        <v>32</v>
      </c>
      <c r="O456" s="3" t="s">
        <v>20</v>
      </c>
      <c r="P456" s="3" t="s">
        <v>21</v>
      </c>
      <c r="Q456" s="4">
        <v>2</v>
      </c>
      <c r="R456" s="4" t="str">
        <f>IF(Table1[[#This Row],[Customer Ratings]]&gt;=4, "Good",IF(Table1[[#This Row],[Customer Ratings]]=3, "Average","Poor"))</f>
        <v>Poor</v>
      </c>
      <c r="S456" s="3" t="s">
        <v>83</v>
      </c>
    </row>
    <row r="457" spans="1:19" x14ac:dyDescent="0.25">
      <c r="A457" s="3">
        <v>456</v>
      </c>
      <c r="B457" s="5">
        <f>DATE(Table1[[#This Row],[Year]],Table1[[#This Row],[Month]],Table1[[#This Row],[Day]])</f>
        <v>44605</v>
      </c>
      <c r="C457" s="3">
        <v>13</v>
      </c>
      <c r="D457" s="3">
        <v>2</v>
      </c>
      <c r="E457" s="3">
        <v>2022</v>
      </c>
      <c r="F457" s="3" t="str">
        <f>"Qtr"&amp; " " &amp;CHOOSE(MONTH(Table1[[#This Row],[Date]]),1,1,1,2,2,2,3,3,3,4,4,4)</f>
        <v>Qtr 1</v>
      </c>
      <c r="G457" s="3" t="str">
        <f>TEXT(Table1[[#This Row],[Date]],"mmmm")</f>
        <v>February</v>
      </c>
      <c r="H457" s="3" t="s">
        <v>1080</v>
      </c>
      <c r="I457" s="3" t="s">
        <v>13</v>
      </c>
      <c r="J457" s="3">
        <v>9</v>
      </c>
      <c r="K457" s="3">
        <v>52987.18</v>
      </c>
      <c r="L457" s="3">
        <f>Table1[[#This Row],[Price Per Unit]]*Table1[[#This Row],[Units Sold]]</f>
        <v>476884.62</v>
      </c>
      <c r="M457" s="3" t="s">
        <v>276</v>
      </c>
      <c r="N457" s="3">
        <v>51</v>
      </c>
      <c r="O457" s="3" t="s">
        <v>20</v>
      </c>
      <c r="P457" s="3" t="s">
        <v>31</v>
      </c>
      <c r="Q457" s="4">
        <v>5</v>
      </c>
      <c r="R457" s="4" t="str">
        <f>IF(Table1[[#This Row],[Customer Ratings]]&gt;=4, "Good",IF(Table1[[#This Row],[Customer Ratings]]=3, "Average","Poor"))</f>
        <v>Good</v>
      </c>
      <c r="S457" s="3" t="s">
        <v>17</v>
      </c>
    </row>
    <row r="458" spans="1:19" x14ac:dyDescent="0.25">
      <c r="A458" s="3">
        <v>457</v>
      </c>
      <c r="B458" s="5">
        <f>DATE(Table1[[#This Row],[Year]],Table1[[#This Row],[Month]],Table1[[#This Row],[Day]])</f>
        <v>44605</v>
      </c>
      <c r="C458" s="3">
        <v>13</v>
      </c>
      <c r="D458" s="3">
        <v>2</v>
      </c>
      <c r="E458" s="3">
        <v>2022</v>
      </c>
      <c r="F458" s="3" t="str">
        <f>"Qtr"&amp; " " &amp;CHOOSE(MONTH(Table1[[#This Row],[Date]]),1,1,1,2,2,2,3,3,3,4,4,4)</f>
        <v>Qtr 1</v>
      </c>
      <c r="G458" s="3" t="str">
        <f>TEXT(Table1[[#This Row],[Date]],"mmmm")</f>
        <v>February</v>
      </c>
      <c r="H458" s="3" t="s">
        <v>1080</v>
      </c>
      <c r="I458" s="3" t="s">
        <v>18</v>
      </c>
      <c r="J458" s="3">
        <v>4</v>
      </c>
      <c r="K458" s="3">
        <v>24977.48</v>
      </c>
      <c r="L458" s="3">
        <f>Table1[[#This Row],[Price Per Unit]]*Table1[[#This Row],[Units Sold]]</f>
        <v>99909.92</v>
      </c>
      <c r="M458" s="3" t="s">
        <v>424</v>
      </c>
      <c r="N458" s="3">
        <v>40</v>
      </c>
      <c r="O458" s="3" t="s">
        <v>24</v>
      </c>
      <c r="P458" s="3" t="s">
        <v>21</v>
      </c>
      <c r="Q458" s="4">
        <v>5</v>
      </c>
      <c r="R458" s="4" t="str">
        <f>IF(Table1[[#This Row],[Customer Ratings]]&gt;=4, "Good",IF(Table1[[#This Row],[Customer Ratings]]=3, "Average","Poor"))</f>
        <v>Good</v>
      </c>
      <c r="S458" s="3" t="s">
        <v>25</v>
      </c>
    </row>
    <row r="459" spans="1:19" x14ac:dyDescent="0.25">
      <c r="A459" s="3">
        <v>458</v>
      </c>
      <c r="B459" s="5">
        <f>DATE(Table1[[#This Row],[Year]],Table1[[#This Row],[Month]],Table1[[#This Row],[Day]])</f>
        <v>44605</v>
      </c>
      <c r="C459" s="3">
        <v>13</v>
      </c>
      <c r="D459" s="3">
        <v>2</v>
      </c>
      <c r="E459" s="3">
        <v>2022</v>
      </c>
      <c r="F459" s="3" t="str">
        <f>"Qtr"&amp; " " &amp;CHOOSE(MONTH(Table1[[#This Row],[Date]]),1,1,1,2,2,2,3,3,3,4,4,4)</f>
        <v>Qtr 1</v>
      </c>
      <c r="G459" s="3" t="str">
        <f>TEXT(Table1[[#This Row],[Date]],"mmmm")</f>
        <v>February</v>
      </c>
      <c r="H459" s="3" t="s">
        <v>1080</v>
      </c>
      <c r="I459" s="3" t="s">
        <v>33</v>
      </c>
      <c r="J459" s="3">
        <v>9</v>
      </c>
      <c r="K459" s="3">
        <v>62662.78</v>
      </c>
      <c r="L459" s="3">
        <f>Table1[[#This Row],[Price Per Unit]]*Table1[[#This Row],[Units Sold]]</f>
        <v>563965.02</v>
      </c>
      <c r="M459" s="3" t="s">
        <v>425</v>
      </c>
      <c r="N459" s="3">
        <v>41</v>
      </c>
      <c r="O459" s="3" t="s">
        <v>24</v>
      </c>
      <c r="P459" s="3" t="s">
        <v>45</v>
      </c>
      <c r="Q459" s="4">
        <v>4</v>
      </c>
      <c r="R459" s="4" t="str">
        <f>IF(Table1[[#This Row],[Customer Ratings]]&gt;=4, "Good",IF(Table1[[#This Row],[Customer Ratings]]=3, "Average","Poor"))</f>
        <v>Good</v>
      </c>
      <c r="S459" s="3" t="s">
        <v>36</v>
      </c>
    </row>
    <row r="460" spans="1:19" x14ac:dyDescent="0.25">
      <c r="A460" s="3">
        <v>459</v>
      </c>
      <c r="B460" s="5">
        <f>DATE(Table1[[#This Row],[Year]],Table1[[#This Row],[Month]],Table1[[#This Row],[Day]])</f>
        <v>44606</v>
      </c>
      <c r="C460" s="3">
        <v>14</v>
      </c>
      <c r="D460" s="3">
        <v>2</v>
      </c>
      <c r="E460" s="3">
        <v>2022</v>
      </c>
      <c r="F460" s="3" t="str">
        <f>"Qtr"&amp; " " &amp;CHOOSE(MONTH(Table1[[#This Row],[Date]]),1,1,1,2,2,2,3,3,3,4,4,4)</f>
        <v>Qtr 1</v>
      </c>
      <c r="G460" s="3" t="str">
        <f>TEXT(Table1[[#This Row],[Date]],"mmmm")</f>
        <v>February</v>
      </c>
      <c r="H460" s="3" t="s">
        <v>1081</v>
      </c>
      <c r="I460" s="3" t="s">
        <v>33</v>
      </c>
      <c r="J460" s="3">
        <v>4</v>
      </c>
      <c r="K460" s="3">
        <v>58789</v>
      </c>
      <c r="L460" s="3">
        <f>Table1[[#This Row],[Price Per Unit]]*Table1[[#This Row],[Units Sold]]</f>
        <v>235156</v>
      </c>
      <c r="M460" s="3" t="s">
        <v>361</v>
      </c>
      <c r="N460" s="3">
        <v>32</v>
      </c>
      <c r="O460" s="3" t="s">
        <v>78</v>
      </c>
      <c r="P460" s="3" t="s">
        <v>16</v>
      </c>
      <c r="Q460" s="4">
        <v>2</v>
      </c>
      <c r="R460" s="4" t="str">
        <f>IF(Table1[[#This Row],[Customer Ratings]]&gt;=4, "Good",IF(Table1[[#This Row],[Customer Ratings]]=3, "Average","Poor"))</f>
        <v>Poor</v>
      </c>
      <c r="S460" s="3" t="s">
        <v>46</v>
      </c>
    </row>
    <row r="461" spans="1:19" x14ac:dyDescent="0.25">
      <c r="A461" s="3">
        <v>460</v>
      </c>
      <c r="B461" s="5">
        <f>DATE(Table1[[#This Row],[Year]],Table1[[#This Row],[Month]],Table1[[#This Row],[Day]])</f>
        <v>44606</v>
      </c>
      <c r="C461" s="3">
        <v>14</v>
      </c>
      <c r="D461" s="3">
        <v>2</v>
      </c>
      <c r="E461" s="3">
        <v>2022</v>
      </c>
      <c r="F461" s="3" t="str">
        <f>"Qtr"&amp; " " &amp;CHOOSE(MONTH(Table1[[#This Row],[Date]]),1,1,1,2,2,2,3,3,3,4,4,4)</f>
        <v>Qtr 1</v>
      </c>
      <c r="G461" s="3" t="str">
        <f>TEXT(Table1[[#This Row],[Date]],"mmmm")</f>
        <v>February</v>
      </c>
      <c r="H461" s="3" t="s">
        <v>1081</v>
      </c>
      <c r="I461" s="3" t="s">
        <v>13</v>
      </c>
      <c r="J461" s="3">
        <v>2</v>
      </c>
      <c r="K461" s="3">
        <v>67469.81</v>
      </c>
      <c r="L461" s="3">
        <f>Table1[[#This Row],[Price Per Unit]]*Table1[[#This Row],[Units Sold]]</f>
        <v>134939.62</v>
      </c>
      <c r="M461" s="3" t="s">
        <v>426</v>
      </c>
      <c r="N461" s="3">
        <v>52</v>
      </c>
      <c r="O461" s="3" t="s">
        <v>137</v>
      </c>
      <c r="P461" s="3" t="s">
        <v>31</v>
      </c>
      <c r="Q461" s="4">
        <v>5</v>
      </c>
      <c r="R461" s="4" t="str">
        <f>IF(Table1[[#This Row],[Customer Ratings]]&gt;=4, "Good",IF(Table1[[#This Row],[Customer Ratings]]=3, "Average","Poor"))</f>
        <v>Good</v>
      </c>
      <c r="S461" s="3" t="s">
        <v>72</v>
      </c>
    </row>
    <row r="462" spans="1:19" x14ac:dyDescent="0.25">
      <c r="A462" s="3">
        <v>461</v>
      </c>
      <c r="B462" s="5">
        <f>DATE(Table1[[#This Row],[Year]],Table1[[#This Row],[Month]],Table1[[#This Row],[Day]])</f>
        <v>44606</v>
      </c>
      <c r="C462" s="3">
        <v>14</v>
      </c>
      <c r="D462" s="3">
        <v>2</v>
      </c>
      <c r="E462" s="3">
        <v>2022</v>
      </c>
      <c r="F462" s="3" t="str">
        <f>"Qtr"&amp; " " &amp;CHOOSE(MONTH(Table1[[#This Row],[Date]]),1,1,1,2,2,2,3,3,3,4,4,4)</f>
        <v>Qtr 1</v>
      </c>
      <c r="G462" s="3" t="str">
        <f>TEXT(Table1[[#This Row],[Date]],"mmmm")</f>
        <v>February</v>
      </c>
      <c r="H462" s="3" t="s">
        <v>1081</v>
      </c>
      <c r="I462" s="3" t="s">
        <v>39</v>
      </c>
      <c r="J462" s="3">
        <v>2</v>
      </c>
      <c r="K462" s="3">
        <v>63025.72</v>
      </c>
      <c r="L462" s="3">
        <f>Table1[[#This Row],[Price Per Unit]]*Table1[[#This Row],[Units Sold]]</f>
        <v>126051.44</v>
      </c>
      <c r="M462" s="3" t="s">
        <v>366</v>
      </c>
      <c r="N462" s="3">
        <v>21</v>
      </c>
      <c r="O462" s="3" t="s">
        <v>20</v>
      </c>
      <c r="P462" s="3" t="s">
        <v>21</v>
      </c>
      <c r="Q462" s="4">
        <v>5</v>
      </c>
      <c r="R462" s="4" t="str">
        <f>IF(Table1[[#This Row],[Customer Ratings]]&gt;=4, "Good",IF(Table1[[#This Row],[Customer Ratings]]=3, "Average","Poor"))</f>
        <v>Good</v>
      </c>
      <c r="S462" s="3" t="s">
        <v>90</v>
      </c>
    </row>
    <row r="463" spans="1:19" x14ac:dyDescent="0.25">
      <c r="A463" s="3">
        <v>462</v>
      </c>
      <c r="B463" s="5">
        <f>DATE(Table1[[#This Row],[Year]],Table1[[#This Row],[Month]],Table1[[#This Row],[Day]])</f>
        <v>44606</v>
      </c>
      <c r="C463" s="3">
        <v>14</v>
      </c>
      <c r="D463" s="3">
        <v>2</v>
      </c>
      <c r="E463" s="3">
        <v>2022</v>
      </c>
      <c r="F463" s="3" t="str">
        <f>"Qtr"&amp; " " &amp;CHOOSE(MONTH(Table1[[#This Row],[Date]]),1,1,1,2,2,2,3,3,3,4,4,4)</f>
        <v>Qtr 1</v>
      </c>
      <c r="G463" s="3" t="str">
        <f>TEXT(Table1[[#This Row],[Date]],"mmmm")</f>
        <v>February</v>
      </c>
      <c r="H463" s="3" t="s">
        <v>1081</v>
      </c>
      <c r="I463" s="3" t="s">
        <v>33</v>
      </c>
      <c r="J463" s="3">
        <v>5</v>
      </c>
      <c r="K463" s="3">
        <v>65999.77</v>
      </c>
      <c r="L463" s="3">
        <f>Table1[[#This Row],[Price Per Unit]]*Table1[[#This Row],[Units Sold]]</f>
        <v>329998.85000000003</v>
      </c>
      <c r="M463" s="3" t="s">
        <v>296</v>
      </c>
      <c r="N463" s="3">
        <v>54</v>
      </c>
      <c r="O463" s="3" t="s">
        <v>24</v>
      </c>
      <c r="P463" s="3" t="s">
        <v>45</v>
      </c>
      <c r="Q463" s="4">
        <v>2</v>
      </c>
      <c r="R463" s="4" t="str">
        <f>IF(Table1[[#This Row],[Customer Ratings]]&gt;=4, "Good",IF(Table1[[#This Row],[Customer Ratings]]=3, "Average","Poor"))</f>
        <v>Poor</v>
      </c>
      <c r="S463" s="3" t="s">
        <v>36</v>
      </c>
    </row>
    <row r="464" spans="1:19" x14ac:dyDescent="0.25">
      <c r="A464" s="3">
        <v>463</v>
      </c>
      <c r="B464" s="5">
        <f>DATE(Table1[[#This Row],[Year]],Table1[[#This Row],[Month]],Table1[[#This Row],[Day]])</f>
        <v>44607</v>
      </c>
      <c r="C464" s="3">
        <v>15</v>
      </c>
      <c r="D464" s="3">
        <v>2</v>
      </c>
      <c r="E464" s="3">
        <v>2022</v>
      </c>
      <c r="F464" s="3" t="str">
        <f>"Qtr"&amp; " " &amp;CHOOSE(MONTH(Table1[[#This Row],[Date]]),1,1,1,2,2,2,3,3,3,4,4,4)</f>
        <v>Qtr 1</v>
      </c>
      <c r="G464" s="3" t="str">
        <f>TEXT(Table1[[#This Row],[Date]],"mmmm")</f>
        <v>February</v>
      </c>
      <c r="H464" s="3" t="s">
        <v>1082</v>
      </c>
      <c r="I464" s="3" t="s">
        <v>33</v>
      </c>
      <c r="J464" s="3">
        <v>4</v>
      </c>
      <c r="K464" s="3">
        <v>61524.54</v>
      </c>
      <c r="L464" s="3">
        <f>Table1[[#This Row],[Price Per Unit]]*Table1[[#This Row],[Units Sold]]</f>
        <v>246098.16</v>
      </c>
      <c r="M464" s="3" t="s">
        <v>162</v>
      </c>
      <c r="N464" s="3">
        <v>34</v>
      </c>
      <c r="O464" s="3" t="s">
        <v>24</v>
      </c>
      <c r="P464" s="3" t="s">
        <v>31</v>
      </c>
      <c r="Q464" s="4">
        <v>3</v>
      </c>
      <c r="R464" s="4" t="str">
        <f>IF(Table1[[#This Row],[Customer Ratings]]&gt;=4, "Good",IF(Table1[[#This Row],[Customer Ratings]]=3, "Average","Poor"))</f>
        <v>Average</v>
      </c>
      <c r="S464" s="3" t="s">
        <v>36</v>
      </c>
    </row>
    <row r="465" spans="1:19" x14ac:dyDescent="0.25">
      <c r="A465" s="3">
        <v>464</v>
      </c>
      <c r="B465" s="5">
        <f>DATE(Table1[[#This Row],[Year]],Table1[[#This Row],[Month]],Table1[[#This Row],[Day]])</f>
        <v>44607</v>
      </c>
      <c r="C465" s="3">
        <v>15</v>
      </c>
      <c r="D465" s="3">
        <v>2</v>
      </c>
      <c r="E465" s="3">
        <v>2022</v>
      </c>
      <c r="F465" s="3" t="str">
        <f>"Qtr"&amp; " " &amp;CHOOSE(MONTH(Table1[[#This Row],[Date]]),1,1,1,2,2,2,3,3,3,4,4,4)</f>
        <v>Qtr 1</v>
      </c>
      <c r="G465" s="3" t="str">
        <f>TEXT(Table1[[#This Row],[Date]],"mmmm")</f>
        <v>February</v>
      </c>
      <c r="H465" s="3" t="s">
        <v>1082</v>
      </c>
      <c r="I465" s="3" t="s">
        <v>18</v>
      </c>
      <c r="J465" s="3">
        <v>7</v>
      </c>
      <c r="K465" s="3">
        <v>51602.91</v>
      </c>
      <c r="L465" s="3">
        <f>Table1[[#This Row],[Price Per Unit]]*Table1[[#This Row],[Units Sold]]</f>
        <v>361220.37</v>
      </c>
      <c r="M465" s="3" t="s">
        <v>427</v>
      </c>
      <c r="N465" s="3">
        <v>48</v>
      </c>
      <c r="O465" s="3" t="s">
        <v>54</v>
      </c>
      <c r="P465" s="3" t="s">
        <v>16</v>
      </c>
      <c r="Q465" s="4">
        <v>5</v>
      </c>
      <c r="R465" s="4" t="str">
        <f>IF(Table1[[#This Row],[Customer Ratings]]&gt;=4, "Good",IF(Table1[[#This Row],[Customer Ratings]]=3, "Average","Poor"))</f>
        <v>Good</v>
      </c>
      <c r="S465" s="3" t="s">
        <v>25</v>
      </c>
    </row>
    <row r="466" spans="1:19" x14ac:dyDescent="0.25">
      <c r="A466" s="3">
        <v>465</v>
      </c>
      <c r="B466" s="5">
        <f>DATE(Table1[[#This Row],[Year]],Table1[[#This Row],[Month]],Table1[[#This Row],[Day]])</f>
        <v>44607</v>
      </c>
      <c r="C466" s="3">
        <v>15</v>
      </c>
      <c r="D466" s="3">
        <v>2</v>
      </c>
      <c r="E466" s="3">
        <v>2022</v>
      </c>
      <c r="F466" s="3" t="str">
        <f>"Qtr"&amp; " " &amp;CHOOSE(MONTH(Table1[[#This Row],[Date]]),1,1,1,2,2,2,3,3,3,4,4,4)</f>
        <v>Qtr 1</v>
      </c>
      <c r="G466" s="3" t="str">
        <f>TEXT(Table1[[#This Row],[Date]],"mmmm")</f>
        <v>February</v>
      </c>
      <c r="H466" s="3" t="s">
        <v>1082</v>
      </c>
      <c r="I466" s="3" t="s">
        <v>28</v>
      </c>
      <c r="J466" s="3">
        <v>5</v>
      </c>
      <c r="K466" s="3">
        <v>20215.55</v>
      </c>
      <c r="L466" s="3">
        <f>Table1[[#This Row],[Price Per Unit]]*Table1[[#This Row],[Units Sold]]</f>
        <v>101077.75</v>
      </c>
      <c r="M466" s="3" t="s">
        <v>193</v>
      </c>
      <c r="N466" s="3">
        <v>55</v>
      </c>
      <c r="O466" s="3" t="s">
        <v>20</v>
      </c>
      <c r="P466" s="3" t="s">
        <v>21</v>
      </c>
      <c r="Q466" s="4">
        <v>2</v>
      </c>
      <c r="R466" s="4" t="str">
        <f>IF(Table1[[#This Row],[Customer Ratings]]&gt;=4, "Good",IF(Table1[[#This Row],[Customer Ratings]]=3, "Average","Poor"))</f>
        <v>Poor</v>
      </c>
      <c r="S466" s="3" t="s">
        <v>87</v>
      </c>
    </row>
    <row r="467" spans="1:19" x14ac:dyDescent="0.25">
      <c r="A467" s="3">
        <v>466</v>
      </c>
      <c r="B467" s="5">
        <f>DATE(Table1[[#This Row],[Year]],Table1[[#This Row],[Month]],Table1[[#This Row],[Day]])</f>
        <v>44607</v>
      </c>
      <c r="C467" s="3">
        <v>15</v>
      </c>
      <c r="D467" s="3">
        <v>2</v>
      </c>
      <c r="E467" s="3">
        <v>2022</v>
      </c>
      <c r="F467" s="3" t="str">
        <f>"Qtr"&amp; " " &amp;CHOOSE(MONTH(Table1[[#This Row],[Date]]),1,1,1,2,2,2,3,3,3,4,4,4)</f>
        <v>Qtr 1</v>
      </c>
      <c r="G467" s="3" t="str">
        <f>TEXT(Table1[[#This Row],[Date]],"mmmm")</f>
        <v>February</v>
      </c>
      <c r="H467" s="3" t="s">
        <v>1082</v>
      </c>
      <c r="I467" s="3" t="s">
        <v>13</v>
      </c>
      <c r="J467" s="3">
        <v>6</v>
      </c>
      <c r="K467" s="3">
        <v>26302.45</v>
      </c>
      <c r="L467" s="3">
        <f>Table1[[#This Row],[Price Per Unit]]*Table1[[#This Row],[Units Sold]]</f>
        <v>157814.70000000001</v>
      </c>
      <c r="M467" s="3" t="s">
        <v>428</v>
      </c>
      <c r="N467" s="3">
        <v>27</v>
      </c>
      <c r="O467" s="3" t="s">
        <v>35</v>
      </c>
      <c r="P467" s="3" t="s">
        <v>16</v>
      </c>
      <c r="Q467" s="4">
        <v>4</v>
      </c>
      <c r="R467" s="4" t="str">
        <f>IF(Table1[[#This Row],[Customer Ratings]]&gt;=4, "Good",IF(Table1[[#This Row],[Customer Ratings]]=3, "Average","Poor"))</f>
        <v>Good</v>
      </c>
      <c r="S467" s="3" t="s">
        <v>27</v>
      </c>
    </row>
    <row r="468" spans="1:19" x14ac:dyDescent="0.25">
      <c r="A468" s="3">
        <v>467</v>
      </c>
      <c r="B468" s="5">
        <f>DATE(Table1[[#This Row],[Year]],Table1[[#This Row],[Month]],Table1[[#This Row],[Day]])</f>
        <v>44608</v>
      </c>
      <c r="C468" s="3">
        <v>16</v>
      </c>
      <c r="D468" s="3">
        <v>2</v>
      </c>
      <c r="E468" s="3">
        <v>2022</v>
      </c>
      <c r="F468" s="3" t="str">
        <f>"Qtr"&amp; " " &amp;CHOOSE(MONTH(Table1[[#This Row],[Date]]),1,1,1,2,2,2,3,3,3,4,4,4)</f>
        <v>Qtr 1</v>
      </c>
      <c r="G468" s="3" t="str">
        <f>TEXT(Table1[[#This Row],[Date]],"mmmm")</f>
        <v>February</v>
      </c>
      <c r="H468" s="3" t="s">
        <v>1083</v>
      </c>
      <c r="I468" s="3" t="s">
        <v>13</v>
      </c>
      <c r="J468" s="3">
        <v>4</v>
      </c>
      <c r="K468" s="3">
        <v>22763.62</v>
      </c>
      <c r="L468" s="3">
        <f>Table1[[#This Row],[Price Per Unit]]*Table1[[#This Row],[Units Sold]]</f>
        <v>91054.48</v>
      </c>
      <c r="M468" s="3" t="s">
        <v>429</v>
      </c>
      <c r="N468" s="3">
        <v>44</v>
      </c>
      <c r="O468" s="3" t="s">
        <v>20</v>
      </c>
      <c r="P468" s="3" t="s">
        <v>16</v>
      </c>
      <c r="Q468" s="4">
        <v>5</v>
      </c>
      <c r="R468" s="4" t="str">
        <f>IF(Table1[[#This Row],[Customer Ratings]]&gt;=4, "Good",IF(Table1[[#This Row],[Customer Ratings]]=3, "Average","Poor"))</f>
        <v>Good</v>
      </c>
      <c r="S468" s="3" t="s">
        <v>27</v>
      </c>
    </row>
    <row r="469" spans="1:19" x14ac:dyDescent="0.25">
      <c r="A469" s="3">
        <v>468</v>
      </c>
      <c r="B469" s="5">
        <f>DATE(Table1[[#This Row],[Year]],Table1[[#This Row],[Month]],Table1[[#This Row],[Day]])</f>
        <v>44608</v>
      </c>
      <c r="C469" s="3">
        <v>16</v>
      </c>
      <c r="D469" s="3">
        <v>2</v>
      </c>
      <c r="E469" s="3">
        <v>2022</v>
      </c>
      <c r="F469" s="3" t="str">
        <f>"Qtr"&amp; " " &amp;CHOOSE(MONTH(Table1[[#This Row],[Date]]),1,1,1,2,2,2,3,3,3,4,4,4)</f>
        <v>Qtr 1</v>
      </c>
      <c r="G469" s="3" t="str">
        <f>TEXT(Table1[[#This Row],[Date]],"mmmm")</f>
        <v>February</v>
      </c>
      <c r="H469" s="3" t="s">
        <v>1083</v>
      </c>
      <c r="I469" s="3" t="s">
        <v>39</v>
      </c>
      <c r="J469" s="3">
        <v>2</v>
      </c>
      <c r="K469" s="3">
        <v>46215.15</v>
      </c>
      <c r="L469" s="3">
        <f>Table1[[#This Row],[Price Per Unit]]*Table1[[#This Row],[Units Sold]]</f>
        <v>92430.3</v>
      </c>
      <c r="M469" s="3" t="s">
        <v>430</v>
      </c>
      <c r="N469" s="3">
        <v>59</v>
      </c>
      <c r="O469" s="3" t="s">
        <v>65</v>
      </c>
      <c r="P469" s="3" t="s">
        <v>21</v>
      </c>
      <c r="Q469" s="4">
        <v>5</v>
      </c>
      <c r="R469" s="4" t="str">
        <f>IF(Table1[[#This Row],[Customer Ratings]]&gt;=4, "Good",IF(Table1[[#This Row],[Customer Ratings]]=3, "Average","Poor"))</f>
        <v>Good</v>
      </c>
      <c r="S469" s="3" t="s">
        <v>42</v>
      </c>
    </row>
    <row r="470" spans="1:19" x14ac:dyDescent="0.25">
      <c r="A470" s="3">
        <v>469</v>
      </c>
      <c r="B470" s="5">
        <f>DATE(Table1[[#This Row],[Year]],Table1[[#This Row],[Month]],Table1[[#This Row],[Day]])</f>
        <v>44608</v>
      </c>
      <c r="C470" s="3">
        <v>16</v>
      </c>
      <c r="D470" s="3">
        <v>2</v>
      </c>
      <c r="E470" s="3">
        <v>2022</v>
      </c>
      <c r="F470" s="3" t="str">
        <f>"Qtr"&amp; " " &amp;CHOOSE(MONTH(Table1[[#This Row],[Date]]),1,1,1,2,2,2,3,3,3,4,4,4)</f>
        <v>Qtr 1</v>
      </c>
      <c r="G470" s="3" t="str">
        <f>TEXT(Table1[[#This Row],[Date]],"mmmm")</f>
        <v>February</v>
      </c>
      <c r="H470" s="3" t="s">
        <v>1083</v>
      </c>
      <c r="I470" s="3" t="s">
        <v>39</v>
      </c>
      <c r="J470" s="3">
        <v>9</v>
      </c>
      <c r="K470" s="3">
        <v>40217.199999999997</v>
      </c>
      <c r="L470" s="3">
        <f>Table1[[#This Row],[Price Per Unit]]*Table1[[#This Row],[Units Sold]]</f>
        <v>361954.8</v>
      </c>
      <c r="M470" s="3" t="s">
        <v>431</v>
      </c>
      <c r="N470" s="3">
        <v>23</v>
      </c>
      <c r="O470" s="3" t="s">
        <v>20</v>
      </c>
      <c r="P470" s="3" t="s">
        <v>21</v>
      </c>
      <c r="Q470" s="4">
        <v>4</v>
      </c>
      <c r="R470" s="4" t="str">
        <f>IF(Table1[[#This Row],[Customer Ratings]]&gt;=4, "Good",IF(Table1[[#This Row],[Customer Ratings]]=3, "Average","Poor"))</f>
        <v>Good</v>
      </c>
      <c r="S470" s="3" t="s">
        <v>90</v>
      </c>
    </row>
    <row r="471" spans="1:19" x14ac:dyDescent="0.25">
      <c r="A471" s="3">
        <v>470</v>
      </c>
      <c r="B471" s="5">
        <f>DATE(Table1[[#This Row],[Year]],Table1[[#This Row],[Month]],Table1[[#This Row],[Day]])</f>
        <v>44608</v>
      </c>
      <c r="C471" s="3">
        <v>16</v>
      </c>
      <c r="D471" s="3">
        <v>2</v>
      </c>
      <c r="E471" s="3">
        <v>2022</v>
      </c>
      <c r="F471" s="3" t="str">
        <f>"Qtr"&amp; " " &amp;CHOOSE(MONTH(Table1[[#This Row],[Date]]),1,1,1,2,2,2,3,3,3,4,4,4)</f>
        <v>Qtr 1</v>
      </c>
      <c r="G471" s="3" t="str">
        <f>TEXT(Table1[[#This Row],[Date]],"mmmm")</f>
        <v>February</v>
      </c>
      <c r="H471" s="3" t="s">
        <v>1083</v>
      </c>
      <c r="I471" s="3" t="s">
        <v>13</v>
      </c>
      <c r="J471" s="3">
        <v>7</v>
      </c>
      <c r="K471" s="3">
        <v>62024.800000000003</v>
      </c>
      <c r="L471" s="3">
        <f>Table1[[#This Row],[Price Per Unit]]*Table1[[#This Row],[Units Sold]]</f>
        <v>434173.60000000003</v>
      </c>
      <c r="M471" s="3" t="s">
        <v>432</v>
      </c>
      <c r="N471" s="3">
        <v>23</v>
      </c>
      <c r="O471" s="3" t="s">
        <v>78</v>
      </c>
      <c r="P471" s="3" t="s">
        <v>31</v>
      </c>
      <c r="Q471" s="4">
        <v>2</v>
      </c>
      <c r="R471" s="4" t="str">
        <f>IF(Table1[[#This Row],[Customer Ratings]]&gt;=4, "Good",IF(Table1[[#This Row],[Customer Ratings]]=3, "Average","Poor"))</f>
        <v>Poor</v>
      </c>
      <c r="S471" s="3" t="s">
        <v>72</v>
      </c>
    </row>
    <row r="472" spans="1:19" x14ac:dyDescent="0.25">
      <c r="A472" s="3">
        <v>471</v>
      </c>
      <c r="B472" s="5">
        <f>DATE(Table1[[#This Row],[Year]],Table1[[#This Row],[Month]],Table1[[#This Row],[Day]])</f>
        <v>44609</v>
      </c>
      <c r="C472" s="3">
        <v>17</v>
      </c>
      <c r="D472" s="3">
        <v>2</v>
      </c>
      <c r="E472" s="3">
        <v>2022</v>
      </c>
      <c r="F472" s="3" t="str">
        <f>"Qtr"&amp; " " &amp;CHOOSE(MONTH(Table1[[#This Row],[Date]]),1,1,1,2,2,2,3,3,3,4,4,4)</f>
        <v>Qtr 1</v>
      </c>
      <c r="G472" s="3" t="str">
        <f>TEXT(Table1[[#This Row],[Date]],"mmmm")</f>
        <v>February</v>
      </c>
      <c r="H472" s="3" t="s">
        <v>1084</v>
      </c>
      <c r="I472" s="3" t="s">
        <v>39</v>
      </c>
      <c r="J472" s="3">
        <v>4</v>
      </c>
      <c r="K472" s="3">
        <v>67160.37</v>
      </c>
      <c r="L472" s="3">
        <f>Table1[[#This Row],[Price Per Unit]]*Table1[[#This Row],[Units Sold]]</f>
        <v>268641.48</v>
      </c>
      <c r="M472" s="3" t="s">
        <v>363</v>
      </c>
      <c r="N472" s="3">
        <v>32</v>
      </c>
      <c r="O472" s="3" t="s">
        <v>105</v>
      </c>
      <c r="P472" s="3" t="s">
        <v>16</v>
      </c>
      <c r="Q472" s="4">
        <v>3</v>
      </c>
      <c r="R472" s="4" t="str">
        <f>IF(Table1[[#This Row],[Customer Ratings]]&gt;=4, "Good",IF(Table1[[#This Row],[Customer Ratings]]=3, "Average","Poor"))</f>
        <v>Average</v>
      </c>
      <c r="S472" s="3" t="s">
        <v>42</v>
      </c>
    </row>
    <row r="473" spans="1:19" x14ac:dyDescent="0.25">
      <c r="A473" s="3">
        <v>472</v>
      </c>
      <c r="B473" s="5">
        <f>DATE(Table1[[#This Row],[Year]],Table1[[#This Row],[Month]],Table1[[#This Row],[Day]])</f>
        <v>44609</v>
      </c>
      <c r="C473" s="3">
        <v>17</v>
      </c>
      <c r="D473" s="3">
        <v>2</v>
      </c>
      <c r="E473" s="3">
        <v>2022</v>
      </c>
      <c r="F473" s="3" t="str">
        <f>"Qtr"&amp; " " &amp;CHOOSE(MONTH(Table1[[#This Row],[Date]]),1,1,1,2,2,2,3,3,3,4,4,4)</f>
        <v>Qtr 1</v>
      </c>
      <c r="G473" s="3" t="str">
        <f>TEXT(Table1[[#This Row],[Date]],"mmmm")</f>
        <v>February</v>
      </c>
      <c r="H473" s="3" t="s">
        <v>1084</v>
      </c>
      <c r="I473" s="3" t="s">
        <v>18</v>
      </c>
      <c r="J473" s="3">
        <v>3</v>
      </c>
      <c r="K473" s="3">
        <v>34291.589999999997</v>
      </c>
      <c r="L473" s="3">
        <f>Table1[[#This Row],[Price Per Unit]]*Table1[[#This Row],[Units Sold]]</f>
        <v>102874.76999999999</v>
      </c>
      <c r="M473" s="3" t="s">
        <v>292</v>
      </c>
      <c r="N473" s="3">
        <v>21</v>
      </c>
      <c r="O473" s="3" t="s">
        <v>120</v>
      </c>
      <c r="P473" s="3" t="s">
        <v>21</v>
      </c>
      <c r="Q473" s="4">
        <v>5</v>
      </c>
      <c r="R473" s="4" t="str">
        <f>IF(Table1[[#This Row],[Customer Ratings]]&gt;=4, "Good",IF(Table1[[#This Row],[Customer Ratings]]=3, "Average","Poor"))</f>
        <v>Good</v>
      </c>
      <c r="S473" s="3" t="s">
        <v>25</v>
      </c>
    </row>
    <row r="474" spans="1:19" x14ac:dyDescent="0.25">
      <c r="A474" s="3">
        <v>473</v>
      </c>
      <c r="B474" s="5">
        <f>DATE(Table1[[#This Row],[Year]],Table1[[#This Row],[Month]],Table1[[#This Row],[Day]])</f>
        <v>44609</v>
      </c>
      <c r="C474" s="3">
        <v>17</v>
      </c>
      <c r="D474" s="3">
        <v>2</v>
      </c>
      <c r="E474" s="3">
        <v>2022</v>
      </c>
      <c r="F474" s="3" t="str">
        <f>"Qtr"&amp; " " &amp;CHOOSE(MONTH(Table1[[#This Row],[Date]]),1,1,1,2,2,2,3,3,3,4,4,4)</f>
        <v>Qtr 1</v>
      </c>
      <c r="G474" s="3" t="str">
        <f>TEXT(Table1[[#This Row],[Date]],"mmmm")</f>
        <v>February</v>
      </c>
      <c r="H474" s="3" t="s">
        <v>1084</v>
      </c>
      <c r="I474" s="3" t="s">
        <v>13</v>
      </c>
      <c r="J474" s="3">
        <v>3</v>
      </c>
      <c r="K474" s="3">
        <v>40381.03</v>
      </c>
      <c r="L474" s="3">
        <f>Table1[[#This Row],[Price Per Unit]]*Table1[[#This Row],[Units Sold]]</f>
        <v>121143.09</v>
      </c>
      <c r="M474" s="3" t="s">
        <v>212</v>
      </c>
      <c r="N474" s="3">
        <v>57</v>
      </c>
      <c r="O474" s="3" t="s">
        <v>20</v>
      </c>
      <c r="P474" s="3" t="s">
        <v>16</v>
      </c>
      <c r="Q474" s="4">
        <v>5</v>
      </c>
      <c r="R474" s="4" t="str">
        <f>IF(Table1[[#This Row],[Customer Ratings]]&gt;=4, "Good",IF(Table1[[#This Row],[Customer Ratings]]=3, "Average","Poor"))</f>
        <v>Good</v>
      </c>
      <c r="S474" s="3" t="s">
        <v>17</v>
      </c>
    </row>
    <row r="475" spans="1:19" x14ac:dyDescent="0.25">
      <c r="A475" s="3">
        <v>474</v>
      </c>
      <c r="B475" s="5">
        <f>DATE(Table1[[#This Row],[Year]],Table1[[#This Row],[Month]],Table1[[#This Row],[Day]])</f>
        <v>44610</v>
      </c>
      <c r="C475" s="3">
        <v>18</v>
      </c>
      <c r="D475" s="3">
        <v>2</v>
      </c>
      <c r="E475" s="3">
        <v>2022</v>
      </c>
      <c r="F475" s="3" t="str">
        <f>"Qtr"&amp; " " &amp;CHOOSE(MONTH(Table1[[#This Row],[Date]]),1,1,1,2,2,2,3,3,3,4,4,4)</f>
        <v>Qtr 1</v>
      </c>
      <c r="G475" s="3" t="str">
        <f>TEXT(Table1[[#This Row],[Date]],"mmmm")</f>
        <v>February</v>
      </c>
      <c r="H475" s="3" t="s">
        <v>1085</v>
      </c>
      <c r="I475" s="3" t="s">
        <v>39</v>
      </c>
      <c r="J475" s="3">
        <v>9</v>
      </c>
      <c r="K475" s="3">
        <v>68290.98</v>
      </c>
      <c r="L475" s="3">
        <f>Table1[[#This Row],[Price Per Unit]]*Table1[[#This Row],[Units Sold]]</f>
        <v>614618.81999999995</v>
      </c>
      <c r="M475" s="3" t="s">
        <v>433</v>
      </c>
      <c r="N475" s="3">
        <v>24</v>
      </c>
      <c r="O475" s="3" t="s">
        <v>102</v>
      </c>
      <c r="P475" s="3" t="s">
        <v>21</v>
      </c>
      <c r="Q475" s="4">
        <v>5</v>
      </c>
      <c r="R475" s="4" t="str">
        <f>IF(Table1[[#This Row],[Customer Ratings]]&gt;=4, "Good",IF(Table1[[#This Row],[Customer Ratings]]=3, "Average","Poor"))</f>
        <v>Good</v>
      </c>
      <c r="S475" s="3" t="s">
        <v>90</v>
      </c>
    </row>
    <row r="476" spans="1:19" x14ac:dyDescent="0.25">
      <c r="A476" s="3">
        <v>475</v>
      </c>
      <c r="B476" s="5">
        <f>DATE(Table1[[#This Row],[Year]],Table1[[#This Row],[Month]],Table1[[#This Row],[Day]])</f>
        <v>44610</v>
      </c>
      <c r="C476" s="3">
        <v>18</v>
      </c>
      <c r="D476" s="3">
        <v>2</v>
      </c>
      <c r="E476" s="3">
        <v>2022</v>
      </c>
      <c r="F476" s="3" t="str">
        <f>"Qtr"&amp; " " &amp;CHOOSE(MONTH(Table1[[#This Row],[Date]]),1,1,1,2,2,2,3,3,3,4,4,4)</f>
        <v>Qtr 1</v>
      </c>
      <c r="G476" s="3" t="str">
        <f>TEXT(Table1[[#This Row],[Date]],"mmmm")</f>
        <v>February</v>
      </c>
      <c r="H476" s="3" t="s">
        <v>1085</v>
      </c>
      <c r="I476" s="3" t="s">
        <v>13</v>
      </c>
      <c r="J476" s="3">
        <v>5</v>
      </c>
      <c r="K476" s="3">
        <v>26574.34</v>
      </c>
      <c r="L476" s="3">
        <f>Table1[[#This Row],[Price Per Unit]]*Table1[[#This Row],[Units Sold]]</f>
        <v>132871.70000000001</v>
      </c>
      <c r="M476" s="3" t="s">
        <v>434</v>
      </c>
      <c r="N476" s="3">
        <v>43</v>
      </c>
      <c r="O476" s="3" t="s">
        <v>52</v>
      </c>
      <c r="P476" s="3" t="s">
        <v>16</v>
      </c>
      <c r="Q476" s="4">
        <v>4</v>
      </c>
      <c r="R476" s="4" t="str">
        <f>IF(Table1[[#This Row],[Customer Ratings]]&gt;=4, "Good",IF(Table1[[#This Row],[Customer Ratings]]=3, "Average","Poor"))</f>
        <v>Good</v>
      </c>
      <c r="S476" s="3" t="s">
        <v>17</v>
      </c>
    </row>
    <row r="477" spans="1:19" x14ac:dyDescent="0.25">
      <c r="A477" s="3">
        <v>476</v>
      </c>
      <c r="B477" s="5">
        <f>DATE(Table1[[#This Row],[Year]],Table1[[#This Row],[Month]],Table1[[#This Row],[Day]])</f>
        <v>44610</v>
      </c>
      <c r="C477" s="3">
        <v>18</v>
      </c>
      <c r="D477" s="3">
        <v>2</v>
      </c>
      <c r="E477" s="3">
        <v>2022</v>
      </c>
      <c r="F477" s="3" t="str">
        <f>"Qtr"&amp; " " &amp;CHOOSE(MONTH(Table1[[#This Row],[Date]]),1,1,1,2,2,2,3,3,3,4,4,4)</f>
        <v>Qtr 1</v>
      </c>
      <c r="G477" s="3" t="str">
        <f>TEXT(Table1[[#This Row],[Date]],"mmmm")</f>
        <v>February</v>
      </c>
      <c r="H477" s="3" t="s">
        <v>1085</v>
      </c>
      <c r="I477" s="3" t="s">
        <v>28</v>
      </c>
      <c r="J477" s="3">
        <v>3</v>
      </c>
      <c r="K477" s="3">
        <v>57543.45</v>
      </c>
      <c r="L477" s="3">
        <f>Table1[[#This Row],[Price Per Unit]]*Table1[[#This Row],[Units Sold]]</f>
        <v>172630.34999999998</v>
      </c>
      <c r="M477" s="3" t="s">
        <v>347</v>
      </c>
      <c r="N477" s="3">
        <v>48</v>
      </c>
      <c r="O477" s="3" t="s">
        <v>24</v>
      </c>
      <c r="P477" s="3" t="s">
        <v>31</v>
      </c>
      <c r="Q477" s="4">
        <v>2</v>
      </c>
      <c r="R477" s="4" t="str">
        <f>IF(Table1[[#This Row],[Customer Ratings]]&gt;=4, "Good",IF(Table1[[#This Row],[Customer Ratings]]=3, "Average","Poor"))</f>
        <v>Poor</v>
      </c>
      <c r="S477" s="3" t="s">
        <v>38</v>
      </c>
    </row>
    <row r="478" spans="1:19" x14ac:dyDescent="0.25">
      <c r="A478" s="3">
        <v>477</v>
      </c>
      <c r="B478" s="5">
        <f>DATE(Table1[[#This Row],[Year]],Table1[[#This Row],[Month]],Table1[[#This Row],[Day]])</f>
        <v>44611</v>
      </c>
      <c r="C478" s="3">
        <v>19</v>
      </c>
      <c r="D478" s="3">
        <v>2</v>
      </c>
      <c r="E478" s="3">
        <v>2022</v>
      </c>
      <c r="F478" s="3" t="str">
        <f>"Qtr"&amp; " " &amp;CHOOSE(MONTH(Table1[[#This Row],[Date]]),1,1,1,2,2,2,3,3,3,4,4,4)</f>
        <v>Qtr 1</v>
      </c>
      <c r="G478" s="3" t="str">
        <f>TEXT(Table1[[#This Row],[Date]],"mmmm")</f>
        <v>February</v>
      </c>
      <c r="H478" s="3" t="s">
        <v>1079</v>
      </c>
      <c r="I478" s="3" t="s">
        <v>33</v>
      </c>
      <c r="J478" s="3">
        <v>5</v>
      </c>
      <c r="K478" s="3">
        <v>23514.39</v>
      </c>
      <c r="L478" s="3">
        <f>Table1[[#This Row],[Price Per Unit]]*Table1[[#This Row],[Units Sold]]</f>
        <v>117571.95</v>
      </c>
      <c r="M478" s="3" t="s">
        <v>435</v>
      </c>
      <c r="N478" s="3">
        <v>19</v>
      </c>
      <c r="O478" s="3" t="s">
        <v>20</v>
      </c>
      <c r="P478" s="3" t="s">
        <v>16</v>
      </c>
      <c r="Q478" s="4">
        <v>2</v>
      </c>
      <c r="R478" s="4" t="str">
        <f>IF(Table1[[#This Row],[Customer Ratings]]&gt;=4, "Good",IF(Table1[[#This Row],[Customer Ratings]]=3, "Average","Poor"))</f>
        <v>Poor</v>
      </c>
      <c r="S478" s="3" t="s">
        <v>83</v>
      </c>
    </row>
    <row r="479" spans="1:19" x14ac:dyDescent="0.25">
      <c r="A479" s="3">
        <v>478</v>
      </c>
      <c r="B479" s="5">
        <f>DATE(Table1[[#This Row],[Year]],Table1[[#This Row],[Month]],Table1[[#This Row],[Day]])</f>
        <v>44611</v>
      </c>
      <c r="C479" s="3">
        <v>19</v>
      </c>
      <c r="D479" s="3">
        <v>2</v>
      </c>
      <c r="E479" s="3">
        <v>2022</v>
      </c>
      <c r="F479" s="3" t="str">
        <f>"Qtr"&amp; " " &amp;CHOOSE(MONTH(Table1[[#This Row],[Date]]),1,1,1,2,2,2,3,3,3,4,4,4)</f>
        <v>Qtr 1</v>
      </c>
      <c r="G479" s="3" t="str">
        <f>TEXT(Table1[[#This Row],[Date]],"mmmm")</f>
        <v>February</v>
      </c>
      <c r="H479" s="3" t="s">
        <v>1079</v>
      </c>
      <c r="I479" s="3" t="s">
        <v>13</v>
      </c>
      <c r="J479" s="3">
        <v>2</v>
      </c>
      <c r="K479" s="3">
        <v>50887.61</v>
      </c>
      <c r="L479" s="3">
        <f>Table1[[#This Row],[Price Per Unit]]*Table1[[#This Row],[Units Sold]]</f>
        <v>101775.22</v>
      </c>
      <c r="M479" s="3" t="s">
        <v>436</v>
      </c>
      <c r="N479" s="3">
        <v>45</v>
      </c>
      <c r="O479" s="3" t="s">
        <v>105</v>
      </c>
      <c r="P479" s="3" t="s">
        <v>21</v>
      </c>
      <c r="Q479" s="4">
        <v>4</v>
      </c>
      <c r="R479" s="4" t="str">
        <f>IF(Table1[[#This Row],[Customer Ratings]]&gt;=4, "Good",IF(Table1[[#This Row],[Customer Ratings]]=3, "Average","Poor"))</f>
        <v>Good</v>
      </c>
      <c r="S479" s="3" t="s">
        <v>27</v>
      </c>
    </row>
    <row r="480" spans="1:19" x14ac:dyDescent="0.25">
      <c r="A480" s="3">
        <v>479</v>
      </c>
      <c r="B480" s="5">
        <f>DATE(Table1[[#This Row],[Year]],Table1[[#This Row],[Month]],Table1[[#This Row],[Day]])</f>
        <v>44611</v>
      </c>
      <c r="C480" s="3">
        <v>19</v>
      </c>
      <c r="D480" s="3">
        <v>2</v>
      </c>
      <c r="E480" s="3">
        <v>2022</v>
      </c>
      <c r="F480" s="3" t="str">
        <f>"Qtr"&amp; " " &amp;CHOOSE(MONTH(Table1[[#This Row],[Date]]),1,1,1,2,2,2,3,3,3,4,4,4)</f>
        <v>Qtr 1</v>
      </c>
      <c r="G480" s="3" t="str">
        <f>TEXT(Table1[[#This Row],[Date]],"mmmm")</f>
        <v>February</v>
      </c>
      <c r="H480" s="3" t="s">
        <v>1079</v>
      </c>
      <c r="I480" s="3" t="s">
        <v>33</v>
      </c>
      <c r="J480" s="3">
        <v>4</v>
      </c>
      <c r="K480" s="3">
        <v>25216.94</v>
      </c>
      <c r="L480" s="3">
        <f>Table1[[#This Row],[Price Per Unit]]*Table1[[#This Row],[Units Sold]]</f>
        <v>100867.76</v>
      </c>
      <c r="M480" s="3" t="s">
        <v>153</v>
      </c>
      <c r="N480" s="3">
        <v>59</v>
      </c>
      <c r="O480" s="3" t="s">
        <v>20</v>
      </c>
      <c r="P480" s="3" t="s">
        <v>45</v>
      </c>
      <c r="Q480" s="4">
        <v>5</v>
      </c>
      <c r="R480" s="4" t="str">
        <f>IF(Table1[[#This Row],[Customer Ratings]]&gt;=4, "Good",IF(Table1[[#This Row],[Customer Ratings]]=3, "Average","Poor"))</f>
        <v>Good</v>
      </c>
      <c r="S480" s="3" t="s">
        <v>36</v>
      </c>
    </row>
    <row r="481" spans="1:19" x14ac:dyDescent="0.25">
      <c r="A481" s="3">
        <v>480</v>
      </c>
      <c r="B481" s="5">
        <f>DATE(Table1[[#This Row],[Year]],Table1[[#This Row],[Month]],Table1[[#This Row],[Day]])</f>
        <v>44612</v>
      </c>
      <c r="C481" s="3">
        <v>20</v>
      </c>
      <c r="D481" s="3">
        <v>2</v>
      </c>
      <c r="E481" s="3">
        <v>2022</v>
      </c>
      <c r="F481" s="3" t="str">
        <f>"Qtr"&amp; " " &amp;CHOOSE(MONTH(Table1[[#This Row],[Date]]),1,1,1,2,2,2,3,3,3,4,4,4)</f>
        <v>Qtr 1</v>
      </c>
      <c r="G481" s="3" t="str">
        <f>TEXT(Table1[[#This Row],[Date]],"mmmm")</f>
        <v>February</v>
      </c>
      <c r="H481" s="3" t="s">
        <v>1080</v>
      </c>
      <c r="I481" s="3" t="s">
        <v>39</v>
      </c>
      <c r="J481" s="3">
        <v>2</v>
      </c>
      <c r="K481" s="3">
        <v>63024</v>
      </c>
      <c r="L481" s="3">
        <f>Table1[[#This Row],[Price Per Unit]]*Table1[[#This Row],[Units Sold]]</f>
        <v>126048</v>
      </c>
      <c r="M481" s="3" t="s">
        <v>437</v>
      </c>
      <c r="N481" s="3">
        <v>30</v>
      </c>
      <c r="O481" s="3" t="s">
        <v>98</v>
      </c>
      <c r="P481" s="3" t="s">
        <v>31</v>
      </c>
      <c r="Q481" s="4">
        <v>4</v>
      </c>
      <c r="R481" s="4" t="str">
        <f>IF(Table1[[#This Row],[Customer Ratings]]&gt;=4, "Good",IF(Table1[[#This Row],[Customer Ratings]]=3, "Average","Poor"))</f>
        <v>Good</v>
      </c>
      <c r="S481" s="3" t="s">
        <v>76</v>
      </c>
    </row>
    <row r="482" spans="1:19" x14ac:dyDescent="0.25">
      <c r="A482" s="3">
        <v>481</v>
      </c>
      <c r="B482" s="5">
        <f>DATE(Table1[[#This Row],[Year]],Table1[[#This Row],[Month]],Table1[[#This Row],[Day]])</f>
        <v>44612</v>
      </c>
      <c r="C482" s="3">
        <v>20</v>
      </c>
      <c r="D482" s="3">
        <v>2</v>
      </c>
      <c r="E482" s="3">
        <v>2022</v>
      </c>
      <c r="F482" s="3" t="str">
        <f>"Qtr"&amp; " " &amp;CHOOSE(MONTH(Table1[[#This Row],[Date]]),1,1,1,2,2,2,3,3,3,4,4,4)</f>
        <v>Qtr 1</v>
      </c>
      <c r="G482" s="3" t="str">
        <f>TEXT(Table1[[#This Row],[Date]],"mmmm")</f>
        <v>February</v>
      </c>
      <c r="H482" s="3" t="s">
        <v>1080</v>
      </c>
      <c r="I482" s="3" t="s">
        <v>33</v>
      </c>
      <c r="J482" s="3">
        <v>2</v>
      </c>
      <c r="K482" s="3">
        <v>43688.68</v>
      </c>
      <c r="L482" s="3">
        <f>Table1[[#This Row],[Price Per Unit]]*Table1[[#This Row],[Units Sold]]</f>
        <v>87377.36</v>
      </c>
      <c r="M482" s="3" t="s">
        <v>438</v>
      </c>
      <c r="N482" s="3">
        <v>35</v>
      </c>
      <c r="O482" s="3" t="s">
        <v>41</v>
      </c>
      <c r="P482" s="3" t="s">
        <v>31</v>
      </c>
      <c r="Q482" s="4">
        <v>2</v>
      </c>
      <c r="R482" s="4" t="str">
        <f>IF(Table1[[#This Row],[Customer Ratings]]&gt;=4, "Good",IF(Table1[[#This Row],[Customer Ratings]]=3, "Average","Poor"))</f>
        <v>Poor</v>
      </c>
      <c r="S482" s="3" t="s">
        <v>83</v>
      </c>
    </row>
    <row r="483" spans="1:19" x14ac:dyDescent="0.25">
      <c r="A483" s="3">
        <v>482</v>
      </c>
      <c r="B483" s="5">
        <f>DATE(Table1[[#This Row],[Year]],Table1[[#This Row],[Month]],Table1[[#This Row],[Day]])</f>
        <v>44612</v>
      </c>
      <c r="C483" s="3">
        <v>20</v>
      </c>
      <c r="D483" s="3">
        <v>2</v>
      </c>
      <c r="E483" s="3">
        <v>2022</v>
      </c>
      <c r="F483" s="3" t="str">
        <f>"Qtr"&amp; " " &amp;CHOOSE(MONTH(Table1[[#This Row],[Date]]),1,1,1,2,2,2,3,3,3,4,4,4)</f>
        <v>Qtr 1</v>
      </c>
      <c r="G483" s="3" t="str">
        <f>TEXT(Table1[[#This Row],[Date]],"mmmm")</f>
        <v>February</v>
      </c>
      <c r="H483" s="3" t="s">
        <v>1080</v>
      </c>
      <c r="I483" s="3" t="s">
        <v>13</v>
      </c>
      <c r="J483" s="3">
        <v>8</v>
      </c>
      <c r="K483" s="3">
        <v>21156.02</v>
      </c>
      <c r="L483" s="3">
        <f>Table1[[#This Row],[Price Per Unit]]*Table1[[#This Row],[Units Sold]]</f>
        <v>169248.16</v>
      </c>
      <c r="M483" s="3" t="s">
        <v>439</v>
      </c>
      <c r="N483" s="3">
        <v>47</v>
      </c>
      <c r="O483" s="3" t="s">
        <v>24</v>
      </c>
      <c r="P483" s="3" t="s">
        <v>45</v>
      </c>
      <c r="Q483" s="4">
        <v>4</v>
      </c>
      <c r="R483" s="4" t="str">
        <f>IF(Table1[[#This Row],[Customer Ratings]]&gt;=4, "Good",IF(Table1[[#This Row],[Customer Ratings]]=3, "Average","Poor"))</f>
        <v>Good</v>
      </c>
      <c r="S483" s="3" t="s">
        <v>72</v>
      </c>
    </row>
    <row r="484" spans="1:19" x14ac:dyDescent="0.25">
      <c r="A484" s="3">
        <v>483</v>
      </c>
      <c r="B484" s="5">
        <f>DATE(Table1[[#This Row],[Year]],Table1[[#This Row],[Month]],Table1[[#This Row],[Day]])</f>
        <v>44613</v>
      </c>
      <c r="C484" s="3">
        <v>21</v>
      </c>
      <c r="D484" s="3">
        <v>2</v>
      </c>
      <c r="E484" s="3">
        <v>2022</v>
      </c>
      <c r="F484" s="3" t="str">
        <f>"Qtr"&amp; " " &amp;CHOOSE(MONTH(Table1[[#This Row],[Date]]),1,1,1,2,2,2,3,3,3,4,4,4)</f>
        <v>Qtr 1</v>
      </c>
      <c r="G484" s="3" t="str">
        <f>TEXT(Table1[[#This Row],[Date]],"mmmm")</f>
        <v>February</v>
      </c>
      <c r="H484" s="3" t="s">
        <v>1081</v>
      </c>
      <c r="I484" s="3" t="s">
        <v>28</v>
      </c>
      <c r="J484" s="3">
        <v>1</v>
      </c>
      <c r="K484" s="3">
        <v>23462.15</v>
      </c>
      <c r="L484" s="3">
        <f>Table1[[#This Row],[Price Per Unit]]*Table1[[#This Row],[Units Sold]]</f>
        <v>23462.15</v>
      </c>
      <c r="M484" s="3" t="s">
        <v>440</v>
      </c>
      <c r="N484" s="3">
        <v>28</v>
      </c>
      <c r="O484" s="3" t="s">
        <v>24</v>
      </c>
      <c r="P484" s="3" t="s">
        <v>21</v>
      </c>
      <c r="Q484" s="4">
        <v>5</v>
      </c>
      <c r="R484" s="4" t="str">
        <f>IF(Table1[[#This Row],[Customer Ratings]]&gt;=4, "Good",IF(Table1[[#This Row],[Customer Ratings]]=3, "Average","Poor"))</f>
        <v>Good</v>
      </c>
      <c r="S484" s="3" t="s">
        <v>38</v>
      </c>
    </row>
    <row r="485" spans="1:19" x14ac:dyDescent="0.25">
      <c r="A485" s="3">
        <v>484</v>
      </c>
      <c r="B485" s="5">
        <f>DATE(Table1[[#This Row],[Year]],Table1[[#This Row],[Month]],Table1[[#This Row],[Day]])</f>
        <v>44613</v>
      </c>
      <c r="C485" s="3">
        <v>21</v>
      </c>
      <c r="D485" s="3">
        <v>2</v>
      </c>
      <c r="E485" s="3">
        <v>2022</v>
      </c>
      <c r="F485" s="3" t="str">
        <f>"Qtr"&amp; " " &amp;CHOOSE(MONTH(Table1[[#This Row],[Date]]),1,1,1,2,2,2,3,3,3,4,4,4)</f>
        <v>Qtr 1</v>
      </c>
      <c r="G485" s="3" t="str">
        <f>TEXT(Table1[[#This Row],[Date]],"mmmm")</f>
        <v>February</v>
      </c>
      <c r="H485" s="3" t="s">
        <v>1081</v>
      </c>
      <c r="I485" s="3" t="s">
        <v>39</v>
      </c>
      <c r="J485" s="3">
        <v>7</v>
      </c>
      <c r="K485" s="3">
        <v>39630.949999999997</v>
      </c>
      <c r="L485" s="3">
        <f>Table1[[#This Row],[Price Per Unit]]*Table1[[#This Row],[Units Sold]]</f>
        <v>277416.64999999997</v>
      </c>
      <c r="M485" s="3" t="s">
        <v>441</v>
      </c>
      <c r="N485" s="3">
        <v>30</v>
      </c>
      <c r="O485" s="3" t="s">
        <v>20</v>
      </c>
      <c r="P485" s="3" t="s">
        <v>31</v>
      </c>
      <c r="Q485" s="4">
        <v>5</v>
      </c>
      <c r="R485" s="4" t="str">
        <f>IF(Table1[[#This Row],[Customer Ratings]]&gt;=4, "Good",IF(Table1[[#This Row],[Customer Ratings]]=3, "Average","Poor"))</f>
        <v>Good</v>
      </c>
      <c r="S485" s="3" t="s">
        <v>76</v>
      </c>
    </row>
    <row r="486" spans="1:19" x14ac:dyDescent="0.25">
      <c r="A486" s="3">
        <v>485</v>
      </c>
      <c r="B486" s="5">
        <f>DATE(Table1[[#This Row],[Year]],Table1[[#This Row],[Month]],Table1[[#This Row],[Day]])</f>
        <v>44613</v>
      </c>
      <c r="C486" s="3">
        <v>21</v>
      </c>
      <c r="D486" s="3">
        <v>2</v>
      </c>
      <c r="E486" s="3">
        <v>2022</v>
      </c>
      <c r="F486" s="3" t="str">
        <f>"Qtr"&amp; " " &amp;CHOOSE(MONTH(Table1[[#This Row],[Date]]),1,1,1,2,2,2,3,3,3,4,4,4)</f>
        <v>Qtr 1</v>
      </c>
      <c r="G486" s="3" t="str">
        <f>TEXT(Table1[[#This Row],[Date]],"mmmm")</f>
        <v>February</v>
      </c>
      <c r="H486" s="3" t="s">
        <v>1081</v>
      </c>
      <c r="I486" s="3" t="s">
        <v>13</v>
      </c>
      <c r="J486" s="3">
        <v>5</v>
      </c>
      <c r="K486" s="3">
        <v>67696.12</v>
      </c>
      <c r="L486" s="3">
        <f>Table1[[#This Row],[Price Per Unit]]*Table1[[#This Row],[Units Sold]]</f>
        <v>338480.6</v>
      </c>
      <c r="M486" s="3" t="s">
        <v>442</v>
      </c>
      <c r="N486" s="3">
        <v>41</v>
      </c>
      <c r="O486" s="3" t="s">
        <v>20</v>
      </c>
      <c r="P486" s="3" t="s">
        <v>45</v>
      </c>
      <c r="Q486" s="4">
        <v>5</v>
      </c>
      <c r="R486" s="4" t="str">
        <f>IF(Table1[[#This Row],[Customer Ratings]]&gt;=4, "Good",IF(Table1[[#This Row],[Customer Ratings]]=3, "Average","Poor"))</f>
        <v>Good</v>
      </c>
      <c r="S486" s="3" t="s">
        <v>27</v>
      </c>
    </row>
    <row r="487" spans="1:19" x14ac:dyDescent="0.25">
      <c r="A487" s="3">
        <v>486</v>
      </c>
      <c r="B487" s="5">
        <f>DATE(Table1[[#This Row],[Year]],Table1[[#This Row],[Month]],Table1[[#This Row],[Day]])</f>
        <v>44614</v>
      </c>
      <c r="C487" s="3">
        <v>22</v>
      </c>
      <c r="D487" s="3">
        <v>2</v>
      </c>
      <c r="E487" s="3">
        <v>2022</v>
      </c>
      <c r="F487" s="3" t="str">
        <f>"Qtr"&amp; " " &amp;CHOOSE(MONTH(Table1[[#This Row],[Date]]),1,1,1,2,2,2,3,3,3,4,4,4)</f>
        <v>Qtr 1</v>
      </c>
      <c r="G487" s="3" t="str">
        <f>TEXT(Table1[[#This Row],[Date]],"mmmm")</f>
        <v>February</v>
      </c>
      <c r="H487" s="3" t="s">
        <v>1082</v>
      </c>
      <c r="I487" s="3" t="s">
        <v>39</v>
      </c>
      <c r="J487" s="3">
        <v>8</v>
      </c>
      <c r="K487" s="3">
        <v>56178.53</v>
      </c>
      <c r="L487" s="3">
        <f>Table1[[#This Row],[Price Per Unit]]*Table1[[#This Row],[Units Sold]]</f>
        <v>449428.24</v>
      </c>
      <c r="M487" s="3" t="s">
        <v>441</v>
      </c>
      <c r="N487" s="3">
        <v>46</v>
      </c>
      <c r="O487" s="3" t="s">
        <v>24</v>
      </c>
      <c r="P487" s="3" t="s">
        <v>45</v>
      </c>
      <c r="Q487" s="4">
        <v>3</v>
      </c>
      <c r="R487" s="4" t="str">
        <f>IF(Table1[[#This Row],[Customer Ratings]]&gt;=4, "Good",IF(Table1[[#This Row],[Customer Ratings]]=3, "Average","Poor"))</f>
        <v>Average</v>
      </c>
      <c r="S487" s="3" t="s">
        <v>42</v>
      </c>
    </row>
    <row r="488" spans="1:19" x14ac:dyDescent="0.25">
      <c r="A488" s="3">
        <v>487</v>
      </c>
      <c r="B488" s="5">
        <f>DATE(Table1[[#This Row],[Year]],Table1[[#This Row],[Month]],Table1[[#This Row],[Day]])</f>
        <v>44614</v>
      </c>
      <c r="C488" s="3">
        <v>22</v>
      </c>
      <c r="D488" s="3">
        <v>2</v>
      </c>
      <c r="E488" s="3">
        <v>2022</v>
      </c>
      <c r="F488" s="3" t="str">
        <f>"Qtr"&amp; " " &amp;CHOOSE(MONTH(Table1[[#This Row],[Date]]),1,1,1,2,2,2,3,3,3,4,4,4)</f>
        <v>Qtr 1</v>
      </c>
      <c r="G488" s="3" t="str">
        <f>TEXT(Table1[[#This Row],[Date]],"mmmm")</f>
        <v>February</v>
      </c>
      <c r="H488" s="3" t="s">
        <v>1082</v>
      </c>
      <c r="I488" s="3" t="s">
        <v>18</v>
      </c>
      <c r="J488" s="3">
        <v>1</v>
      </c>
      <c r="K488" s="3">
        <v>39298.58</v>
      </c>
      <c r="L488" s="3">
        <f>Table1[[#This Row],[Price Per Unit]]*Table1[[#This Row],[Units Sold]]</f>
        <v>39298.58</v>
      </c>
      <c r="M488" s="3" t="s">
        <v>328</v>
      </c>
      <c r="N488" s="3">
        <v>22</v>
      </c>
      <c r="O488" s="3" t="s">
        <v>120</v>
      </c>
      <c r="P488" s="3" t="s">
        <v>16</v>
      </c>
      <c r="Q488" s="4">
        <v>3</v>
      </c>
      <c r="R488" s="4" t="str">
        <f>IF(Table1[[#This Row],[Customer Ratings]]&gt;=4, "Good",IF(Table1[[#This Row],[Customer Ratings]]=3, "Average","Poor"))</f>
        <v>Average</v>
      </c>
      <c r="S488" s="3" t="s">
        <v>22</v>
      </c>
    </row>
    <row r="489" spans="1:19" x14ac:dyDescent="0.25">
      <c r="A489" s="3">
        <v>488</v>
      </c>
      <c r="B489" s="5">
        <f>DATE(Table1[[#This Row],[Year]],Table1[[#This Row],[Month]],Table1[[#This Row],[Day]])</f>
        <v>44614</v>
      </c>
      <c r="C489" s="3">
        <v>22</v>
      </c>
      <c r="D489" s="3">
        <v>2</v>
      </c>
      <c r="E489" s="3">
        <v>2022</v>
      </c>
      <c r="F489" s="3" t="str">
        <f>"Qtr"&amp; " " &amp;CHOOSE(MONTH(Table1[[#This Row],[Date]]),1,1,1,2,2,2,3,3,3,4,4,4)</f>
        <v>Qtr 1</v>
      </c>
      <c r="G489" s="3" t="str">
        <f>TEXT(Table1[[#This Row],[Date]],"mmmm")</f>
        <v>February</v>
      </c>
      <c r="H489" s="3" t="s">
        <v>1082</v>
      </c>
      <c r="I489" s="3" t="s">
        <v>33</v>
      </c>
      <c r="J489" s="3">
        <v>7</v>
      </c>
      <c r="K489" s="3">
        <v>30263.15</v>
      </c>
      <c r="L489" s="3">
        <f>Table1[[#This Row],[Price Per Unit]]*Table1[[#This Row],[Units Sold]]</f>
        <v>211842.05000000002</v>
      </c>
      <c r="M489" s="3" t="s">
        <v>348</v>
      </c>
      <c r="N489" s="3">
        <v>52</v>
      </c>
      <c r="O489" s="3" t="s">
        <v>20</v>
      </c>
      <c r="P489" s="3" t="s">
        <v>16</v>
      </c>
      <c r="Q489" s="4">
        <v>4</v>
      </c>
      <c r="R489" s="4" t="str">
        <f>IF(Table1[[#This Row],[Customer Ratings]]&gt;=4, "Good",IF(Table1[[#This Row],[Customer Ratings]]=3, "Average","Poor"))</f>
        <v>Good</v>
      </c>
      <c r="S489" s="3" t="s">
        <v>36</v>
      </c>
    </row>
    <row r="490" spans="1:19" x14ac:dyDescent="0.25">
      <c r="A490" s="3">
        <v>489</v>
      </c>
      <c r="B490" s="5">
        <f>DATE(Table1[[#This Row],[Year]],Table1[[#This Row],[Month]],Table1[[#This Row],[Day]])</f>
        <v>44615</v>
      </c>
      <c r="C490" s="3">
        <v>23</v>
      </c>
      <c r="D490" s="3">
        <v>2</v>
      </c>
      <c r="E490" s="3">
        <v>2022</v>
      </c>
      <c r="F490" s="3" t="str">
        <f>"Qtr"&amp; " " &amp;CHOOSE(MONTH(Table1[[#This Row],[Date]]),1,1,1,2,2,2,3,3,3,4,4,4)</f>
        <v>Qtr 1</v>
      </c>
      <c r="G490" s="3" t="str">
        <f>TEXT(Table1[[#This Row],[Date]],"mmmm")</f>
        <v>February</v>
      </c>
      <c r="H490" s="3" t="s">
        <v>1083</v>
      </c>
      <c r="I490" s="3" t="s">
        <v>18</v>
      </c>
      <c r="J490" s="3">
        <v>5</v>
      </c>
      <c r="K490" s="3">
        <v>42956.11</v>
      </c>
      <c r="L490" s="3">
        <f>Table1[[#This Row],[Price Per Unit]]*Table1[[#This Row],[Units Sold]]</f>
        <v>214780.55</v>
      </c>
      <c r="M490" s="3" t="s">
        <v>443</v>
      </c>
      <c r="N490" s="3">
        <v>36</v>
      </c>
      <c r="O490" s="3" t="s">
        <v>102</v>
      </c>
      <c r="P490" s="3" t="s">
        <v>21</v>
      </c>
      <c r="Q490" s="4">
        <v>5</v>
      </c>
      <c r="R490" s="4" t="str">
        <f>IF(Table1[[#This Row],[Customer Ratings]]&gt;=4, "Good",IF(Table1[[#This Row],[Customer Ratings]]=3, "Average","Poor"))</f>
        <v>Good</v>
      </c>
      <c r="S490" s="3" t="s">
        <v>22</v>
      </c>
    </row>
    <row r="491" spans="1:19" x14ac:dyDescent="0.25">
      <c r="A491" s="3">
        <v>490</v>
      </c>
      <c r="B491" s="5">
        <f>DATE(Table1[[#This Row],[Year]],Table1[[#This Row],[Month]],Table1[[#This Row],[Day]])</f>
        <v>44615</v>
      </c>
      <c r="C491" s="3">
        <v>23</v>
      </c>
      <c r="D491" s="3">
        <v>2</v>
      </c>
      <c r="E491" s="3">
        <v>2022</v>
      </c>
      <c r="F491" s="3" t="str">
        <f>"Qtr"&amp; " " &amp;CHOOSE(MONTH(Table1[[#This Row],[Date]]),1,1,1,2,2,2,3,3,3,4,4,4)</f>
        <v>Qtr 1</v>
      </c>
      <c r="G491" s="3" t="str">
        <f>TEXT(Table1[[#This Row],[Date]],"mmmm")</f>
        <v>February</v>
      </c>
      <c r="H491" s="3" t="s">
        <v>1083</v>
      </c>
      <c r="I491" s="3" t="s">
        <v>13</v>
      </c>
      <c r="J491" s="3">
        <v>4</v>
      </c>
      <c r="K491" s="3">
        <v>54901.65</v>
      </c>
      <c r="L491" s="3">
        <f>Table1[[#This Row],[Price Per Unit]]*Table1[[#This Row],[Units Sold]]</f>
        <v>219606.6</v>
      </c>
      <c r="M491" s="3" t="s">
        <v>337</v>
      </c>
      <c r="N491" s="3">
        <v>30</v>
      </c>
      <c r="O491" s="3" t="s">
        <v>120</v>
      </c>
      <c r="P491" s="3" t="s">
        <v>45</v>
      </c>
      <c r="Q491" s="4">
        <v>5</v>
      </c>
      <c r="R491" s="4" t="str">
        <f>IF(Table1[[#This Row],[Customer Ratings]]&gt;=4, "Good",IF(Table1[[#This Row],[Customer Ratings]]=3, "Average","Poor"))</f>
        <v>Good</v>
      </c>
      <c r="S491" s="3" t="s">
        <v>17</v>
      </c>
    </row>
    <row r="492" spans="1:19" x14ac:dyDescent="0.25">
      <c r="A492" s="3">
        <v>491</v>
      </c>
      <c r="B492" s="5">
        <f>DATE(Table1[[#This Row],[Year]],Table1[[#This Row],[Month]],Table1[[#This Row],[Day]])</f>
        <v>44615</v>
      </c>
      <c r="C492" s="3">
        <v>23</v>
      </c>
      <c r="D492" s="3">
        <v>2</v>
      </c>
      <c r="E492" s="3">
        <v>2022</v>
      </c>
      <c r="F492" s="3" t="str">
        <f>"Qtr"&amp; " " &amp;CHOOSE(MONTH(Table1[[#This Row],[Date]]),1,1,1,2,2,2,3,3,3,4,4,4)</f>
        <v>Qtr 1</v>
      </c>
      <c r="G492" s="3" t="str">
        <f>TEXT(Table1[[#This Row],[Date]],"mmmm")</f>
        <v>February</v>
      </c>
      <c r="H492" s="3" t="s">
        <v>1083</v>
      </c>
      <c r="I492" s="3" t="s">
        <v>28</v>
      </c>
      <c r="J492" s="3">
        <v>7</v>
      </c>
      <c r="K492" s="3">
        <v>57035.72</v>
      </c>
      <c r="L492" s="3">
        <f>Table1[[#This Row],[Price Per Unit]]*Table1[[#This Row],[Units Sold]]</f>
        <v>399250.04000000004</v>
      </c>
      <c r="M492" s="3" t="s">
        <v>233</v>
      </c>
      <c r="N492" s="3">
        <v>22</v>
      </c>
      <c r="O492" s="3" t="s">
        <v>48</v>
      </c>
      <c r="P492" s="3" t="s">
        <v>16</v>
      </c>
      <c r="Q492" s="4">
        <v>2</v>
      </c>
      <c r="R492" s="4" t="str">
        <f>IF(Table1[[#This Row],[Customer Ratings]]&gt;=4, "Good",IF(Table1[[#This Row],[Customer Ratings]]=3, "Average","Poor"))</f>
        <v>Poor</v>
      </c>
      <c r="S492" s="3" t="s">
        <v>87</v>
      </c>
    </row>
    <row r="493" spans="1:19" x14ac:dyDescent="0.25">
      <c r="A493" s="3">
        <v>492</v>
      </c>
      <c r="B493" s="5">
        <f>DATE(Table1[[#This Row],[Year]],Table1[[#This Row],[Month]],Table1[[#This Row],[Day]])</f>
        <v>44616</v>
      </c>
      <c r="C493" s="3">
        <v>24</v>
      </c>
      <c r="D493" s="3">
        <v>2</v>
      </c>
      <c r="E493" s="3">
        <v>2022</v>
      </c>
      <c r="F493" s="3" t="str">
        <f>"Qtr"&amp; " " &amp;CHOOSE(MONTH(Table1[[#This Row],[Date]]),1,1,1,2,2,2,3,3,3,4,4,4)</f>
        <v>Qtr 1</v>
      </c>
      <c r="G493" s="3" t="str">
        <f>TEXT(Table1[[#This Row],[Date]],"mmmm")</f>
        <v>February</v>
      </c>
      <c r="H493" s="3" t="s">
        <v>1084</v>
      </c>
      <c r="I493" s="3" t="s">
        <v>39</v>
      </c>
      <c r="J493" s="3">
        <v>2</v>
      </c>
      <c r="K493" s="3">
        <v>29476.53</v>
      </c>
      <c r="L493" s="3">
        <f>Table1[[#This Row],[Price Per Unit]]*Table1[[#This Row],[Units Sold]]</f>
        <v>58953.06</v>
      </c>
      <c r="M493" s="3" t="s">
        <v>444</v>
      </c>
      <c r="N493" s="3">
        <v>31</v>
      </c>
      <c r="O493" s="3" t="s">
        <v>30</v>
      </c>
      <c r="P493" s="3" t="s">
        <v>21</v>
      </c>
      <c r="Q493" s="4">
        <v>5</v>
      </c>
      <c r="R493" s="4" t="str">
        <f>IF(Table1[[#This Row],[Customer Ratings]]&gt;=4, "Good",IF(Table1[[#This Row],[Customer Ratings]]=3, "Average","Poor"))</f>
        <v>Good</v>
      </c>
      <c r="S493" s="3" t="s">
        <v>90</v>
      </c>
    </row>
    <row r="494" spans="1:19" x14ac:dyDescent="0.25">
      <c r="A494" s="3">
        <v>493</v>
      </c>
      <c r="B494" s="5">
        <f>DATE(Table1[[#This Row],[Year]],Table1[[#This Row],[Month]],Table1[[#This Row],[Day]])</f>
        <v>44616</v>
      </c>
      <c r="C494" s="3">
        <v>24</v>
      </c>
      <c r="D494" s="3">
        <v>2</v>
      </c>
      <c r="E494" s="3">
        <v>2022</v>
      </c>
      <c r="F494" s="3" t="str">
        <f>"Qtr"&amp; " " &amp;CHOOSE(MONTH(Table1[[#This Row],[Date]]),1,1,1,2,2,2,3,3,3,4,4,4)</f>
        <v>Qtr 1</v>
      </c>
      <c r="G494" s="3" t="str">
        <f>TEXT(Table1[[#This Row],[Date]],"mmmm")</f>
        <v>February</v>
      </c>
      <c r="H494" s="3" t="s">
        <v>1084</v>
      </c>
      <c r="I494" s="3" t="s">
        <v>33</v>
      </c>
      <c r="J494" s="3">
        <v>1</v>
      </c>
      <c r="K494" s="3">
        <v>53269.56</v>
      </c>
      <c r="L494" s="3">
        <f>Table1[[#This Row],[Price Per Unit]]*Table1[[#This Row],[Units Sold]]</f>
        <v>53269.56</v>
      </c>
      <c r="M494" s="3" t="s">
        <v>445</v>
      </c>
      <c r="N494" s="3">
        <v>55</v>
      </c>
      <c r="O494" s="3" t="s">
        <v>20</v>
      </c>
      <c r="P494" s="3" t="s">
        <v>31</v>
      </c>
      <c r="Q494" s="4">
        <v>5</v>
      </c>
      <c r="R494" s="4" t="str">
        <f>IF(Table1[[#This Row],[Customer Ratings]]&gt;=4, "Good",IF(Table1[[#This Row],[Customer Ratings]]=3, "Average","Poor"))</f>
        <v>Good</v>
      </c>
      <c r="S494" s="3" t="s">
        <v>36</v>
      </c>
    </row>
    <row r="495" spans="1:19" x14ac:dyDescent="0.25">
      <c r="A495" s="3">
        <v>494</v>
      </c>
      <c r="B495" s="5">
        <f>DATE(Table1[[#This Row],[Year]],Table1[[#This Row],[Month]],Table1[[#This Row],[Day]])</f>
        <v>44616</v>
      </c>
      <c r="C495" s="3">
        <v>24</v>
      </c>
      <c r="D495" s="3">
        <v>2</v>
      </c>
      <c r="E495" s="3">
        <v>2022</v>
      </c>
      <c r="F495" s="3" t="str">
        <f>"Qtr"&amp; " " &amp;CHOOSE(MONTH(Table1[[#This Row],[Date]]),1,1,1,2,2,2,3,3,3,4,4,4)</f>
        <v>Qtr 1</v>
      </c>
      <c r="G495" s="3" t="str">
        <f>TEXT(Table1[[#This Row],[Date]],"mmmm")</f>
        <v>February</v>
      </c>
      <c r="H495" s="3" t="s">
        <v>1084</v>
      </c>
      <c r="I495" s="3" t="s">
        <v>39</v>
      </c>
      <c r="J495" s="3">
        <v>1</v>
      </c>
      <c r="K495" s="3">
        <v>49467.33</v>
      </c>
      <c r="L495" s="3">
        <f>Table1[[#This Row],[Price Per Unit]]*Table1[[#This Row],[Units Sold]]</f>
        <v>49467.33</v>
      </c>
      <c r="M495" s="3" t="s">
        <v>446</v>
      </c>
      <c r="N495" s="3">
        <v>39</v>
      </c>
      <c r="O495" s="3" t="s">
        <v>48</v>
      </c>
      <c r="P495" s="3" t="s">
        <v>16</v>
      </c>
      <c r="Q495" s="4">
        <v>4</v>
      </c>
      <c r="R495" s="4" t="str">
        <f>IF(Table1[[#This Row],[Customer Ratings]]&gt;=4, "Good",IF(Table1[[#This Row],[Customer Ratings]]=3, "Average","Poor"))</f>
        <v>Good</v>
      </c>
      <c r="S495" s="3" t="s">
        <v>42</v>
      </c>
    </row>
    <row r="496" spans="1:19" x14ac:dyDescent="0.25">
      <c r="A496" s="3">
        <v>495</v>
      </c>
      <c r="B496" s="5">
        <f>DATE(Table1[[#This Row],[Year]],Table1[[#This Row],[Month]],Table1[[#This Row],[Day]])</f>
        <v>44617</v>
      </c>
      <c r="C496" s="3">
        <v>25</v>
      </c>
      <c r="D496" s="3">
        <v>2</v>
      </c>
      <c r="E496" s="3">
        <v>2022</v>
      </c>
      <c r="F496" s="3" t="str">
        <f>"Qtr"&amp; " " &amp;CHOOSE(MONTH(Table1[[#This Row],[Date]]),1,1,1,2,2,2,3,3,3,4,4,4)</f>
        <v>Qtr 1</v>
      </c>
      <c r="G496" s="3" t="str">
        <f>TEXT(Table1[[#This Row],[Date]],"mmmm")</f>
        <v>February</v>
      </c>
      <c r="H496" s="3" t="s">
        <v>1085</v>
      </c>
      <c r="I496" s="3" t="s">
        <v>13</v>
      </c>
      <c r="J496" s="3">
        <v>1</v>
      </c>
      <c r="K496" s="3">
        <v>67546.740000000005</v>
      </c>
      <c r="L496" s="3">
        <f>Table1[[#This Row],[Price Per Unit]]*Table1[[#This Row],[Units Sold]]</f>
        <v>67546.740000000005</v>
      </c>
      <c r="M496" s="3" t="s">
        <v>447</v>
      </c>
      <c r="N496" s="3">
        <v>26</v>
      </c>
      <c r="O496" s="3" t="s">
        <v>48</v>
      </c>
      <c r="P496" s="3" t="s">
        <v>21</v>
      </c>
      <c r="Q496" s="4">
        <v>2</v>
      </c>
      <c r="R496" s="4" t="str">
        <f>IF(Table1[[#This Row],[Customer Ratings]]&gt;=4, "Good",IF(Table1[[#This Row],[Customer Ratings]]=3, "Average","Poor"))</f>
        <v>Poor</v>
      </c>
      <c r="S496" s="3" t="s">
        <v>17</v>
      </c>
    </row>
    <row r="497" spans="1:19" x14ac:dyDescent="0.25">
      <c r="A497" s="3">
        <v>496</v>
      </c>
      <c r="B497" s="5">
        <f>DATE(Table1[[#This Row],[Year]],Table1[[#This Row],[Month]],Table1[[#This Row],[Day]])</f>
        <v>44617</v>
      </c>
      <c r="C497" s="3">
        <v>25</v>
      </c>
      <c r="D497" s="3">
        <v>2</v>
      </c>
      <c r="E497" s="3">
        <v>2022</v>
      </c>
      <c r="F497" s="3" t="str">
        <f>"Qtr"&amp; " " &amp;CHOOSE(MONTH(Table1[[#This Row],[Date]]),1,1,1,2,2,2,3,3,3,4,4,4)</f>
        <v>Qtr 1</v>
      </c>
      <c r="G497" s="3" t="str">
        <f>TEXT(Table1[[#This Row],[Date]],"mmmm")</f>
        <v>February</v>
      </c>
      <c r="H497" s="3" t="s">
        <v>1085</v>
      </c>
      <c r="I497" s="3" t="s">
        <v>39</v>
      </c>
      <c r="J497" s="3">
        <v>5</v>
      </c>
      <c r="K497" s="3">
        <v>65865.42</v>
      </c>
      <c r="L497" s="3">
        <f>Table1[[#This Row],[Price Per Unit]]*Table1[[#This Row],[Units Sold]]</f>
        <v>329327.09999999998</v>
      </c>
      <c r="M497" s="3" t="s">
        <v>448</v>
      </c>
      <c r="N497" s="3">
        <v>57</v>
      </c>
      <c r="O497" s="3" t="s">
        <v>15</v>
      </c>
      <c r="P497" s="3" t="s">
        <v>16</v>
      </c>
      <c r="Q497" s="4">
        <v>2</v>
      </c>
      <c r="R497" s="4" t="str">
        <f>IF(Table1[[#This Row],[Customer Ratings]]&gt;=4, "Good",IF(Table1[[#This Row],[Customer Ratings]]=3, "Average","Poor"))</f>
        <v>Poor</v>
      </c>
      <c r="S497" s="3" t="s">
        <v>76</v>
      </c>
    </row>
    <row r="498" spans="1:19" x14ac:dyDescent="0.25">
      <c r="A498" s="3">
        <v>497</v>
      </c>
      <c r="B498" s="5">
        <f>DATE(Table1[[#This Row],[Year]],Table1[[#This Row],[Month]],Table1[[#This Row],[Day]])</f>
        <v>44617</v>
      </c>
      <c r="C498" s="3">
        <v>25</v>
      </c>
      <c r="D498" s="3">
        <v>2</v>
      </c>
      <c r="E498" s="3">
        <v>2022</v>
      </c>
      <c r="F498" s="3" t="str">
        <f>"Qtr"&amp; " " &amp;CHOOSE(MONTH(Table1[[#This Row],[Date]]),1,1,1,2,2,2,3,3,3,4,4,4)</f>
        <v>Qtr 1</v>
      </c>
      <c r="G498" s="3" t="str">
        <f>TEXT(Table1[[#This Row],[Date]],"mmmm")</f>
        <v>February</v>
      </c>
      <c r="H498" s="3" t="s">
        <v>1085</v>
      </c>
      <c r="I498" s="3" t="s">
        <v>33</v>
      </c>
      <c r="J498" s="3">
        <v>7</v>
      </c>
      <c r="K498" s="3">
        <v>57362.76</v>
      </c>
      <c r="L498" s="3">
        <f>Table1[[#This Row],[Price Per Unit]]*Table1[[#This Row],[Units Sold]]</f>
        <v>401539.32</v>
      </c>
      <c r="M498" s="3" t="s">
        <v>449</v>
      </c>
      <c r="N498" s="3">
        <v>43</v>
      </c>
      <c r="O498" s="3" t="s">
        <v>35</v>
      </c>
      <c r="P498" s="3" t="s">
        <v>31</v>
      </c>
      <c r="Q498" s="4">
        <v>4</v>
      </c>
      <c r="R498" s="4" t="str">
        <f>IF(Table1[[#This Row],[Customer Ratings]]&gt;=4, "Good",IF(Table1[[#This Row],[Customer Ratings]]=3, "Average","Poor"))</f>
        <v>Good</v>
      </c>
      <c r="S498" s="3" t="s">
        <v>36</v>
      </c>
    </row>
    <row r="499" spans="1:19" x14ac:dyDescent="0.25">
      <c r="A499" s="3">
        <v>498</v>
      </c>
      <c r="B499" s="5">
        <f>DATE(Table1[[#This Row],[Year]],Table1[[#This Row],[Month]],Table1[[#This Row],[Day]])</f>
        <v>44618</v>
      </c>
      <c r="C499" s="3">
        <v>26</v>
      </c>
      <c r="D499" s="3">
        <v>2</v>
      </c>
      <c r="E499" s="3">
        <v>2022</v>
      </c>
      <c r="F499" s="3" t="str">
        <f>"Qtr"&amp; " " &amp;CHOOSE(MONTH(Table1[[#This Row],[Date]]),1,1,1,2,2,2,3,3,3,4,4,4)</f>
        <v>Qtr 1</v>
      </c>
      <c r="G499" s="3" t="str">
        <f>TEXT(Table1[[#This Row],[Date]],"mmmm")</f>
        <v>February</v>
      </c>
      <c r="H499" s="3" t="s">
        <v>1079</v>
      </c>
      <c r="I499" s="3" t="s">
        <v>13</v>
      </c>
      <c r="J499" s="3">
        <v>2</v>
      </c>
      <c r="K499" s="3">
        <v>53403.68</v>
      </c>
      <c r="L499" s="3">
        <f>Table1[[#This Row],[Price Per Unit]]*Table1[[#This Row],[Units Sold]]</f>
        <v>106807.36</v>
      </c>
      <c r="M499" s="3" t="s">
        <v>133</v>
      </c>
      <c r="N499" s="3">
        <v>22</v>
      </c>
      <c r="O499" s="3" t="s">
        <v>52</v>
      </c>
      <c r="P499" s="3" t="s">
        <v>31</v>
      </c>
      <c r="Q499" s="4">
        <v>4</v>
      </c>
      <c r="R499" s="4" t="str">
        <f>IF(Table1[[#This Row],[Customer Ratings]]&gt;=4, "Good",IF(Table1[[#This Row],[Customer Ratings]]=3, "Average","Poor"))</f>
        <v>Good</v>
      </c>
      <c r="S499" s="3" t="s">
        <v>27</v>
      </c>
    </row>
    <row r="500" spans="1:19" x14ac:dyDescent="0.25">
      <c r="A500" s="3">
        <v>499</v>
      </c>
      <c r="B500" s="5">
        <f>DATE(Table1[[#This Row],[Year]],Table1[[#This Row],[Month]],Table1[[#This Row],[Day]])</f>
        <v>44618</v>
      </c>
      <c r="C500" s="3">
        <v>26</v>
      </c>
      <c r="D500" s="3">
        <v>2</v>
      </c>
      <c r="E500" s="3">
        <v>2022</v>
      </c>
      <c r="F500" s="3" t="str">
        <f>"Qtr"&amp; " " &amp;CHOOSE(MONTH(Table1[[#This Row],[Date]]),1,1,1,2,2,2,3,3,3,4,4,4)</f>
        <v>Qtr 1</v>
      </c>
      <c r="G500" s="3" t="str">
        <f>TEXT(Table1[[#This Row],[Date]],"mmmm")</f>
        <v>February</v>
      </c>
      <c r="H500" s="3" t="s">
        <v>1079</v>
      </c>
      <c r="I500" s="3" t="s">
        <v>39</v>
      </c>
      <c r="J500" s="3">
        <v>8</v>
      </c>
      <c r="K500" s="3">
        <v>26442.5</v>
      </c>
      <c r="L500" s="3">
        <f>Table1[[#This Row],[Price Per Unit]]*Table1[[#This Row],[Units Sold]]</f>
        <v>211540</v>
      </c>
      <c r="M500" s="3" t="s">
        <v>450</v>
      </c>
      <c r="N500" s="3">
        <v>46</v>
      </c>
      <c r="O500" s="3" t="s">
        <v>24</v>
      </c>
      <c r="P500" s="3" t="s">
        <v>16</v>
      </c>
      <c r="Q500" s="4">
        <v>5</v>
      </c>
      <c r="R500" s="4" t="str">
        <f>IF(Table1[[#This Row],[Customer Ratings]]&gt;=4, "Good",IF(Table1[[#This Row],[Customer Ratings]]=3, "Average","Poor"))</f>
        <v>Good</v>
      </c>
      <c r="S500" s="3" t="s">
        <v>42</v>
      </c>
    </row>
    <row r="501" spans="1:19" x14ac:dyDescent="0.25">
      <c r="A501" s="3">
        <v>500</v>
      </c>
      <c r="B501" s="5">
        <f>DATE(Table1[[#This Row],[Year]],Table1[[#This Row],[Month]],Table1[[#This Row],[Day]])</f>
        <v>44618</v>
      </c>
      <c r="C501" s="3">
        <v>26</v>
      </c>
      <c r="D501" s="3">
        <v>2</v>
      </c>
      <c r="E501" s="3">
        <v>2022</v>
      </c>
      <c r="F501" s="3" t="str">
        <f>"Qtr"&amp; " " &amp;CHOOSE(MONTH(Table1[[#This Row],[Date]]),1,1,1,2,2,2,3,3,3,4,4,4)</f>
        <v>Qtr 1</v>
      </c>
      <c r="G501" s="3" t="str">
        <f>TEXT(Table1[[#This Row],[Date]],"mmmm")</f>
        <v>February</v>
      </c>
      <c r="H501" s="3" t="s">
        <v>1079</v>
      </c>
      <c r="I501" s="3" t="s">
        <v>28</v>
      </c>
      <c r="J501" s="3">
        <v>4</v>
      </c>
      <c r="K501" s="3">
        <v>60757.919999999998</v>
      </c>
      <c r="L501" s="3">
        <f>Table1[[#This Row],[Price Per Unit]]*Table1[[#This Row],[Units Sold]]</f>
        <v>243031.67999999999</v>
      </c>
      <c r="M501" s="3" t="s">
        <v>451</v>
      </c>
      <c r="N501" s="3">
        <v>39</v>
      </c>
      <c r="O501" s="3" t="s">
        <v>137</v>
      </c>
      <c r="P501" s="3" t="s">
        <v>31</v>
      </c>
      <c r="Q501" s="4">
        <v>5</v>
      </c>
      <c r="R501" s="4" t="str">
        <f>IF(Table1[[#This Row],[Customer Ratings]]&gt;=4, "Good",IF(Table1[[#This Row],[Customer Ratings]]=3, "Average","Poor"))</f>
        <v>Good</v>
      </c>
      <c r="S501" s="3" t="s">
        <v>32</v>
      </c>
    </row>
    <row r="502" spans="1:19" x14ac:dyDescent="0.25">
      <c r="A502" s="3">
        <v>501</v>
      </c>
      <c r="B502" s="5">
        <f>DATE(Table1[[#This Row],[Year]],Table1[[#This Row],[Month]],Table1[[#This Row],[Day]])</f>
        <v>44618</v>
      </c>
      <c r="C502" s="3">
        <v>26</v>
      </c>
      <c r="D502" s="3">
        <v>2</v>
      </c>
      <c r="E502" s="3">
        <v>2022</v>
      </c>
      <c r="F502" s="3" t="str">
        <f>"Qtr"&amp; " " &amp;CHOOSE(MONTH(Table1[[#This Row],[Date]]),1,1,1,2,2,2,3,3,3,4,4,4)</f>
        <v>Qtr 1</v>
      </c>
      <c r="G502" s="3" t="str">
        <f>TEXT(Table1[[#This Row],[Date]],"mmmm")</f>
        <v>February</v>
      </c>
      <c r="H502" s="3" t="s">
        <v>1079</v>
      </c>
      <c r="I502" s="3" t="s">
        <v>13</v>
      </c>
      <c r="J502" s="3">
        <v>3</v>
      </c>
      <c r="K502" s="3">
        <v>35650.339999999997</v>
      </c>
      <c r="L502" s="3">
        <f>Table1[[#This Row],[Price Per Unit]]*Table1[[#This Row],[Units Sold]]</f>
        <v>106951.01999999999</v>
      </c>
      <c r="M502" s="3" t="s">
        <v>452</v>
      </c>
      <c r="N502" s="3">
        <v>20</v>
      </c>
      <c r="O502" s="3" t="s">
        <v>102</v>
      </c>
      <c r="P502" s="3" t="s">
        <v>21</v>
      </c>
      <c r="Q502" s="4">
        <v>2</v>
      </c>
      <c r="R502" s="4" t="str">
        <f>IF(Table1[[#This Row],[Customer Ratings]]&gt;=4, "Good",IF(Table1[[#This Row],[Customer Ratings]]=3, "Average","Poor"))</f>
        <v>Poor</v>
      </c>
      <c r="S502" s="3" t="s">
        <v>27</v>
      </c>
    </row>
    <row r="503" spans="1:19" x14ac:dyDescent="0.25">
      <c r="A503" s="3">
        <v>502</v>
      </c>
      <c r="B503" s="5">
        <f>DATE(Table1[[#This Row],[Year]],Table1[[#This Row],[Month]],Table1[[#This Row],[Day]])</f>
        <v>44619</v>
      </c>
      <c r="C503" s="3">
        <v>27</v>
      </c>
      <c r="D503" s="3">
        <v>2</v>
      </c>
      <c r="E503" s="3">
        <v>2022</v>
      </c>
      <c r="F503" s="3" t="str">
        <f>"Qtr"&amp; " " &amp;CHOOSE(MONTH(Table1[[#This Row],[Date]]),1,1,1,2,2,2,3,3,3,4,4,4)</f>
        <v>Qtr 1</v>
      </c>
      <c r="G503" s="3" t="str">
        <f>TEXT(Table1[[#This Row],[Date]],"mmmm")</f>
        <v>February</v>
      </c>
      <c r="H503" s="3" t="s">
        <v>1080</v>
      </c>
      <c r="I503" s="3" t="s">
        <v>13</v>
      </c>
      <c r="J503" s="3">
        <v>8</v>
      </c>
      <c r="K503" s="3">
        <v>26334.43</v>
      </c>
      <c r="L503" s="3">
        <f>Table1[[#This Row],[Price Per Unit]]*Table1[[#This Row],[Units Sold]]</f>
        <v>210675.44</v>
      </c>
      <c r="M503" s="3" t="s">
        <v>453</v>
      </c>
      <c r="N503" s="3">
        <v>45</v>
      </c>
      <c r="O503" s="3" t="s">
        <v>20</v>
      </c>
      <c r="P503" s="3" t="s">
        <v>16</v>
      </c>
      <c r="Q503" s="4">
        <v>2</v>
      </c>
      <c r="R503" s="4" t="str">
        <f>IF(Table1[[#This Row],[Customer Ratings]]&gt;=4, "Good",IF(Table1[[#This Row],[Customer Ratings]]=3, "Average","Poor"))</f>
        <v>Poor</v>
      </c>
      <c r="S503" s="3" t="s">
        <v>72</v>
      </c>
    </row>
    <row r="504" spans="1:19" x14ac:dyDescent="0.25">
      <c r="A504" s="3">
        <v>503</v>
      </c>
      <c r="B504" s="5">
        <f>DATE(Table1[[#This Row],[Year]],Table1[[#This Row],[Month]],Table1[[#This Row],[Day]])</f>
        <v>44619</v>
      </c>
      <c r="C504" s="3">
        <v>27</v>
      </c>
      <c r="D504" s="3">
        <v>2</v>
      </c>
      <c r="E504" s="3">
        <v>2022</v>
      </c>
      <c r="F504" s="3" t="str">
        <f>"Qtr"&amp; " " &amp;CHOOSE(MONTH(Table1[[#This Row],[Date]]),1,1,1,2,2,2,3,3,3,4,4,4)</f>
        <v>Qtr 1</v>
      </c>
      <c r="G504" s="3" t="str">
        <f>TEXT(Table1[[#This Row],[Date]],"mmmm")</f>
        <v>February</v>
      </c>
      <c r="H504" s="3" t="s">
        <v>1080</v>
      </c>
      <c r="I504" s="3" t="s">
        <v>28</v>
      </c>
      <c r="J504" s="3">
        <v>2</v>
      </c>
      <c r="K504" s="3">
        <v>33049.65</v>
      </c>
      <c r="L504" s="3">
        <f>Table1[[#This Row],[Price Per Unit]]*Table1[[#This Row],[Units Sold]]</f>
        <v>66099.3</v>
      </c>
      <c r="M504" s="3" t="s">
        <v>454</v>
      </c>
      <c r="N504" s="3">
        <v>55</v>
      </c>
      <c r="O504" s="3" t="s">
        <v>20</v>
      </c>
      <c r="P504" s="3" t="s">
        <v>16</v>
      </c>
      <c r="Q504" s="4">
        <v>5</v>
      </c>
      <c r="R504" s="4" t="str">
        <f>IF(Table1[[#This Row],[Customer Ratings]]&gt;=4, "Good",IF(Table1[[#This Row],[Customer Ratings]]=3, "Average","Poor"))</f>
        <v>Good</v>
      </c>
      <c r="S504" s="3" t="s">
        <v>38</v>
      </c>
    </row>
    <row r="505" spans="1:19" x14ac:dyDescent="0.25">
      <c r="A505" s="3">
        <v>504</v>
      </c>
      <c r="B505" s="5">
        <f>DATE(Table1[[#This Row],[Year]],Table1[[#This Row],[Month]],Table1[[#This Row],[Day]])</f>
        <v>44619</v>
      </c>
      <c r="C505" s="3">
        <v>27</v>
      </c>
      <c r="D505" s="3">
        <v>2</v>
      </c>
      <c r="E505" s="3">
        <v>2022</v>
      </c>
      <c r="F505" s="3" t="str">
        <f>"Qtr"&amp; " " &amp;CHOOSE(MONTH(Table1[[#This Row],[Date]]),1,1,1,2,2,2,3,3,3,4,4,4)</f>
        <v>Qtr 1</v>
      </c>
      <c r="G505" s="3" t="str">
        <f>TEXT(Table1[[#This Row],[Date]],"mmmm")</f>
        <v>February</v>
      </c>
      <c r="H505" s="3" t="s">
        <v>1080</v>
      </c>
      <c r="I505" s="3" t="s">
        <v>18</v>
      </c>
      <c r="J505" s="3">
        <v>3</v>
      </c>
      <c r="K505" s="3">
        <v>60156.13</v>
      </c>
      <c r="L505" s="3">
        <f>Table1[[#This Row],[Price Per Unit]]*Table1[[#This Row],[Units Sold]]</f>
        <v>180468.38999999998</v>
      </c>
      <c r="M505" s="3" t="s">
        <v>304</v>
      </c>
      <c r="N505" s="3">
        <v>31</v>
      </c>
      <c r="O505" s="3" t="s">
        <v>20</v>
      </c>
      <c r="P505" s="3" t="s">
        <v>31</v>
      </c>
      <c r="Q505" s="4">
        <v>2</v>
      </c>
      <c r="R505" s="4" t="str">
        <f>IF(Table1[[#This Row],[Customer Ratings]]&gt;=4, "Good",IF(Table1[[#This Row],[Customer Ratings]]=3, "Average","Poor"))</f>
        <v>Poor</v>
      </c>
      <c r="S505" s="3" t="s">
        <v>22</v>
      </c>
    </row>
    <row r="506" spans="1:19" x14ac:dyDescent="0.25">
      <c r="A506" s="3">
        <v>505</v>
      </c>
      <c r="B506" s="5">
        <f>DATE(Table1[[#This Row],[Year]],Table1[[#This Row],[Month]],Table1[[#This Row],[Day]])</f>
        <v>44620</v>
      </c>
      <c r="C506" s="3">
        <v>28</v>
      </c>
      <c r="D506" s="3">
        <v>2</v>
      </c>
      <c r="E506" s="3">
        <v>2022</v>
      </c>
      <c r="F506" s="3" t="str">
        <f>"Qtr"&amp; " " &amp;CHOOSE(MONTH(Table1[[#This Row],[Date]]),1,1,1,2,2,2,3,3,3,4,4,4)</f>
        <v>Qtr 1</v>
      </c>
      <c r="G506" s="3" t="str">
        <f>TEXT(Table1[[#This Row],[Date]],"mmmm")</f>
        <v>February</v>
      </c>
      <c r="H506" s="3" t="s">
        <v>1081</v>
      </c>
      <c r="I506" s="3" t="s">
        <v>33</v>
      </c>
      <c r="J506" s="3">
        <v>3</v>
      </c>
      <c r="K506" s="3">
        <v>18917.990000000002</v>
      </c>
      <c r="L506" s="3">
        <f>Table1[[#This Row],[Price Per Unit]]*Table1[[#This Row],[Units Sold]]</f>
        <v>56753.97</v>
      </c>
      <c r="M506" s="3" t="s">
        <v>455</v>
      </c>
      <c r="N506" s="3">
        <v>31</v>
      </c>
      <c r="O506" s="3" t="s">
        <v>102</v>
      </c>
      <c r="P506" s="3" t="s">
        <v>21</v>
      </c>
      <c r="Q506" s="4">
        <v>4</v>
      </c>
      <c r="R506" s="4" t="str">
        <f>IF(Table1[[#This Row],[Customer Ratings]]&gt;=4, "Good",IF(Table1[[#This Row],[Customer Ratings]]=3, "Average","Poor"))</f>
        <v>Good</v>
      </c>
      <c r="S506" s="3" t="s">
        <v>46</v>
      </c>
    </row>
    <row r="507" spans="1:19" x14ac:dyDescent="0.25">
      <c r="A507" s="3">
        <v>506</v>
      </c>
      <c r="B507" s="5">
        <f>DATE(Table1[[#This Row],[Year]],Table1[[#This Row],[Month]],Table1[[#This Row],[Day]])</f>
        <v>44620</v>
      </c>
      <c r="C507" s="3">
        <v>28</v>
      </c>
      <c r="D507" s="3">
        <v>2</v>
      </c>
      <c r="E507" s="3">
        <v>2022</v>
      </c>
      <c r="F507" s="3" t="str">
        <f>"Qtr"&amp; " " &amp;CHOOSE(MONTH(Table1[[#This Row],[Date]]),1,1,1,2,2,2,3,3,3,4,4,4)</f>
        <v>Qtr 1</v>
      </c>
      <c r="G507" s="3" t="str">
        <f>TEXT(Table1[[#This Row],[Date]],"mmmm")</f>
        <v>February</v>
      </c>
      <c r="H507" s="3" t="s">
        <v>1081</v>
      </c>
      <c r="I507" s="3" t="s">
        <v>18</v>
      </c>
      <c r="J507" s="3">
        <v>1</v>
      </c>
      <c r="K507" s="3">
        <v>37369.519999999997</v>
      </c>
      <c r="L507" s="3">
        <f>Table1[[#This Row],[Price Per Unit]]*Table1[[#This Row],[Units Sold]]</f>
        <v>37369.519999999997</v>
      </c>
      <c r="M507" s="3" t="s">
        <v>456</v>
      </c>
      <c r="N507" s="3">
        <v>28</v>
      </c>
      <c r="O507" s="3" t="s">
        <v>35</v>
      </c>
      <c r="P507" s="3" t="s">
        <v>16</v>
      </c>
      <c r="Q507" s="4">
        <v>4</v>
      </c>
      <c r="R507" s="4" t="str">
        <f>IF(Table1[[#This Row],[Customer Ratings]]&gt;=4, "Good",IF(Table1[[#This Row],[Customer Ratings]]=3, "Average","Poor"))</f>
        <v>Good</v>
      </c>
      <c r="S507" s="3" t="s">
        <v>25</v>
      </c>
    </row>
    <row r="508" spans="1:19" x14ac:dyDescent="0.25">
      <c r="A508" s="3">
        <v>507</v>
      </c>
      <c r="B508" s="5">
        <f>DATE(Table1[[#This Row],[Year]],Table1[[#This Row],[Month]],Table1[[#This Row],[Day]])</f>
        <v>44620</v>
      </c>
      <c r="C508" s="3">
        <v>28</v>
      </c>
      <c r="D508" s="3">
        <v>2</v>
      </c>
      <c r="E508" s="3">
        <v>2022</v>
      </c>
      <c r="F508" s="3" t="str">
        <f>"Qtr"&amp; " " &amp;CHOOSE(MONTH(Table1[[#This Row],[Date]]),1,1,1,2,2,2,3,3,3,4,4,4)</f>
        <v>Qtr 1</v>
      </c>
      <c r="G508" s="3" t="str">
        <f>TEXT(Table1[[#This Row],[Date]],"mmmm")</f>
        <v>February</v>
      </c>
      <c r="H508" s="3" t="s">
        <v>1081</v>
      </c>
      <c r="I508" s="3" t="s">
        <v>39</v>
      </c>
      <c r="J508" s="3">
        <v>6</v>
      </c>
      <c r="K508" s="3">
        <v>39541.46</v>
      </c>
      <c r="L508" s="3">
        <f>Table1[[#This Row],[Price Per Unit]]*Table1[[#This Row],[Units Sold]]</f>
        <v>237248.76</v>
      </c>
      <c r="M508" s="3" t="s">
        <v>457</v>
      </c>
      <c r="N508" s="3">
        <v>26</v>
      </c>
      <c r="O508" s="3" t="s">
        <v>120</v>
      </c>
      <c r="P508" s="3" t="s">
        <v>16</v>
      </c>
      <c r="Q508" s="4">
        <v>5</v>
      </c>
      <c r="R508" s="4" t="str">
        <f>IF(Table1[[#This Row],[Customer Ratings]]&gt;=4, "Good",IF(Table1[[#This Row],[Customer Ratings]]=3, "Average","Poor"))</f>
        <v>Good</v>
      </c>
      <c r="S508" s="3" t="s">
        <v>90</v>
      </c>
    </row>
    <row r="509" spans="1:19" x14ac:dyDescent="0.25">
      <c r="A509" s="3">
        <v>508</v>
      </c>
      <c r="B509" s="5">
        <f>DATE(Table1[[#This Row],[Year]],Table1[[#This Row],[Month]],Table1[[#This Row],[Day]])</f>
        <v>44620</v>
      </c>
      <c r="C509" s="3">
        <v>28</v>
      </c>
      <c r="D509" s="3">
        <v>2</v>
      </c>
      <c r="E509" s="3">
        <v>2022</v>
      </c>
      <c r="F509" s="3" t="str">
        <f>"Qtr"&amp; " " &amp;CHOOSE(MONTH(Table1[[#This Row],[Date]]),1,1,1,2,2,2,3,3,3,4,4,4)</f>
        <v>Qtr 1</v>
      </c>
      <c r="G509" s="3" t="str">
        <f>TEXT(Table1[[#This Row],[Date]],"mmmm")</f>
        <v>February</v>
      </c>
      <c r="H509" s="3" t="s">
        <v>1081</v>
      </c>
      <c r="I509" s="3" t="s">
        <v>28</v>
      </c>
      <c r="J509" s="3">
        <v>2</v>
      </c>
      <c r="K509" s="3">
        <v>12197.78</v>
      </c>
      <c r="L509" s="3">
        <f>Table1[[#This Row],[Price Per Unit]]*Table1[[#This Row],[Units Sold]]</f>
        <v>24395.56</v>
      </c>
      <c r="M509" s="3" t="s">
        <v>458</v>
      </c>
      <c r="N509" s="3">
        <v>55</v>
      </c>
      <c r="O509" s="3" t="s">
        <v>15</v>
      </c>
      <c r="P509" s="3" t="s">
        <v>31</v>
      </c>
      <c r="Q509" s="4">
        <v>3</v>
      </c>
      <c r="R509" s="4" t="str">
        <f>IF(Table1[[#This Row],[Customer Ratings]]&gt;=4, "Good",IF(Table1[[#This Row],[Customer Ratings]]=3, "Average","Poor"))</f>
        <v>Average</v>
      </c>
      <c r="S509" s="3" t="s">
        <v>38</v>
      </c>
    </row>
    <row r="510" spans="1:19" x14ac:dyDescent="0.25">
      <c r="A510" s="3">
        <v>509</v>
      </c>
      <c r="B510" s="5">
        <f>DATE(Table1[[#This Row],[Year]],Table1[[#This Row],[Month]],Table1[[#This Row],[Day]])</f>
        <v>44621</v>
      </c>
      <c r="C510" s="3">
        <v>1</v>
      </c>
      <c r="D510" s="3">
        <v>3</v>
      </c>
      <c r="E510" s="3">
        <v>2022</v>
      </c>
      <c r="F510" s="3" t="str">
        <f>"Qtr"&amp; " " &amp;CHOOSE(MONTH(Table1[[#This Row],[Date]]),1,1,1,2,2,2,3,3,3,4,4,4)</f>
        <v>Qtr 1</v>
      </c>
      <c r="G510" s="3" t="str">
        <f>TEXT(Table1[[#This Row],[Date]],"mmmm")</f>
        <v>March</v>
      </c>
      <c r="H510" s="3" t="s">
        <v>1082</v>
      </c>
      <c r="I510" s="3" t="s">
        <v>18</v>
      </c>
      <c r="J510" s="3">
        <v>1</v>
      </c>
      <c r="K510" s="3">
        <v>21744.76</v>
      </c>
      <c r="L510" s="3">
        <f>Table1[[#This Row],[Price Per Unit]]*Table1[[#This Row],[Units Sold]]</f>
        <v>21744.76</v>
      </c>
      <c r="M510" s="3" t="s">
        <v>50</v>
      </c>
      <c r="N510" s="3">
        <v>23</v>
      </c>
      <c r="O510" s="3" t="s">
        <v>20</v>
      </c>
      <c r="P510" s="3" t="s">
        <v>31</v>
      </c>
      <c r="Q510" s="4">
        <v>3</v>
      </c>
      <c r="R510" s="4" t="str">
        <f>IF(Table1[[#This Row],[Customer Ratings]]&gt;=4, "Good",IF(Table1[[#This Row],[Customer Ratings]]=3, "Average","Poor"))</f>
        <v>Average</v>
      </c>
      <c r="S510" s="3" t="s">
        <v>55</v>
      </c>
    </row>
    <row r="511" spans="1:19" x14ac:dyDescent="0.25">
      <c r="A511" s="3">
        <v>510</v>
      </c>
      <c r="B511" s="5">
        <f>DATE(Table1[[#This Row],[Year]],Table1[[#This Row],[Month]],Table1[[#This Row],[Day]])</f>
        <v>44621</v>
      </c>
      <c r="C511" s="3">
        <v>1</v>
      </c>
      <c r="D511" s="3">
        <v>3</v>
      </c>
      <c r="E511" s="3">
        <v>2022</v>
      </c>
      <c r="F511" s="3" t="str">
        <f>"Qtr"&amp; " " &amp;CHOOSE(MONTH(Table1[[#This Row],[Date]]),1,1,1,2,2,2,3,3,3,4,4,4)</f>
        <v>Qtr 1</v>
      </c>
      <c r="G511" s="3" t="str">
        <f>TEXT(Table1[[#This Row],[Date]],"mmmm")</f>
        <v>March</v>
      </c>
      <c r="H511" s="3" t="s">
        <v>1082</v>
      </c>
      <c r="I511" s="3" t="s">
        <v>13</v>
      </c>
      <c r="J511" s="3">
        <v>2</v>
      </c>
      <c r="K511" s="3">
        <v>59604.55</v>
      </c>
      <c r="L511" s="3">
        <f>Table1[[#This Row],[Price Per Unit]]*Table1[[#This Row],[Units Sold]]</f>
        <v>119209.1</v>
      </c>
      <c r="M511" s="3" t="s">
        <v>459</v>
      </c>
      <c r="N511" s="3">
        <v>18</v>
      </c>
      <c r="O511" s="3" t="s">
        <v>20</v>
      </c>
      <c r="P511" s="3" t="s">
        <v>21</v>
      </c>
      <c r="Q511" s="4">
        <v>4</v>
      </c>
      <c r="R511" s="4" t="str">
        <f>IF(Table1[[#This Row],[Customer Ratings]]&gt;=4, "Good",IF(Table1[[#This Row],[Customer Ratings]]=3, "Average","Poor"))</f>
        <v>Good</v>
      </c>
      <c r="S511" s="3" t="s">
        <v>27</v>
      </c>
    </row>
    <row r="512" spans="1:19" x14ac:dyDescent="0.25">
      <c r="A512" s="3">
        <v>511</v>
      </c>
      <c r="B512" s="5">
        <f>DATE(Table1[[#This Row],[Year]],Table1[[#This Row],[Month]],Table1[[#This Row],[Day]])</f>
        <v>44621</v>
      </c>
      <c r="C512" s="3">
        <v>1</v>
      </c>
      <c r="D512" s="3">
        <v>3</v>
      </c>
      <c r="E512" s="3">
        <v>2022</v>
      </c>
      <c r="F512" s="3" t="str">
        <f>"Qtr"&amp; " " &amp;CHOOSE(MONTH(Table1[[#This Row],[Date]]),1,1,1,2,2,2,3,3,3,4,4,4)</f>
        <v>Qtr 1</v>
      </c>
      <c r="G512" s="3" t="str">
        <f>TEXT(Table1[[#This Row],[Date]],"mmmm")</f>
        <v>March</v>
      </c>
      <c r="H512" s="3" t="s">
        <v>1082</v>
      </c>
      <c r="I512" s="3" t="s">
        <v>39</v>
      </c>
      <c r="J512" s="3">
        <v>6</v>
      </c>
      <c r="K512" s="3">
        <v>59846.04</v>
      </c>
      <c r="L512" s="3">
        <f>Table1[[#This Row],[Price Per Unit]]*Table1[[#This Row],[Units Sold]]</f>
        <v>359076.24</v>
      </c>
      <c r="M512" s="3" t="s">
        <v>408</v>
      </c>
      <c r="N512" s="3">
        <v>42</v>
      </c>
      <c r="O512" s="3" t="s">
        <v>20</v>
      </c>
      <c r="P512" s="3" t="s">
        <v>21</v>
      </c>
      <c r="Q512" s="4">
        <v>3</v>
      </c>
      <c r="R512" s="4" t="str">
        <f>IF(Table1[[#This Row],[Customer Ratings]]&gt;=4, "Good",IF(Table1[[#This Row],[Customer Ratings]]=3, "Average","Poor"))</f>
        <v>Average</v>
      </c>
      <c r="S512" s="3" t="s">
        <v>42</v>
      </c>
    </row>
    <row r="513" spans="1:19" x14ac:dyDescent="0.25">
      <c r="A513" s="3">
        <v>512</v>
      </c>
      <c r="B513" s="5">
        <f>DATE(Table1[[#This Row],[Year]],Table1[[#This Row],[Month]],Table1[[#This Row],[Day]])</f>
        <v>44621</v>
      </c>
      <c r="C513" s="3">
        <v>1</v>
      </c>
      <c r="D513" s="3">
        <v>3</v>
      </c>
      <c r="E513" s="3">
        <v>2022</v>
      </c>
      <c r="F513" s="3" t="str">
        <f>"Qtr"&amp; " " &amp;CHOOSE(MONTH(Table1[[#This Row],[Date]]),1,1,1,2,2,2,3,3,3,4,4,4)</f>
        <v>Qtr 1</v>
      </c>
      <c r="G513" s="3" t="str">
        <f>TEXT(Table1[[#This Row],[Date]],"mmmm")</f>
        <v>March</v>
      </c>
      <c r="H513" s="3" t="s">
        <v>1082</v>
      </c>
      <c r="I513" s="3" t="s">
        <v>39</v>
      </c>
      <c r="J513" s="3">
        <v>4</v>
      </c>
      <c r="K513" s="3">
        <v>27544.91</v>
      </c>
      <c r="L513" s="3">
        <f>Table1[[#This Row],[Price Per Unit]]*Table1[[#This Row],[Units Sold]]</f>
        <v>110179.64</v>
      </c>
      <c r="M513" s="3" t="s">
        <v>460</v>
      </c>
      <c r="N513" s="3">
        <v>33</v>
      </c>
      <c r="O513" s="3" t="s">
        <v>20</v>
      </c>
      <c r="P513" s="3" t="s">
        <v>31</v>
      </c>
      <c r="Q513" s="4">
        <v>3</v>
      </c>
      <c r="R513" s="4" t="str">
        <f>IF(Table1[[#This Row],[Customer Ratings]]&gt;=4, "Good",IF(Table1[[#This Row],[Customer Ratings]]=3, "Average","Poor"))</f>
        <v>Average</v>
      </c>
      <c r="S513" s="3" t="s">
        <v>90</v>
      </c>
    </row>
    <row r="514" spans="1:19" x14ac:dyDescent="0.25">
      <c r="A514" s="3">
        <v>513</v>
      </c>
      <c r="B514" s="5">
        <f>DATE(Table1[[#This Row],[Year]],Table1[[#This Row],[Month]],Table1[[#This Row],[Day]])</f>
        <v>44622</v>
      </c>
      <c r="C514" s="3">
        <v>2</v>
      </c>
      <c r="D514" s="3">
        <v>3</v>
      </c>
      <c r="E514" s="3">
        <v>2022</v>
      </c>
      <c r="F514" s="3" t="str">
        <f>"Qtr"&amp; " " &amp;CHOOSE(MONTH(Table1[[#This Row],[Date]]),1,1,1,2,2,2,3,3,3,4,4,4)</f>
        <v>Qtr 1</v>
      </c>
      <c r="G514" s="3" t="str">
        <f>TEXT(Table1[[#This Row],[Date]],"mmmm")</f>
        <v>March</v>
      </c>
      <c r="H514" s="3" t="s">
        <v>1083</v>
      </c>
      <c r="I514" s="3" t="s">
        <v>18</v>
      </c>
      <c r="J514" s="3">
        <v>6</v>
      </c>
      <c r="K514" s="3">
        <v>62493.83</v>
      </c>
      <c r="L514" s="3">
        <f>Table1[[#This Row],[Price Per Unit]]*Table1[[#This Row],[Units Sold]]</f>
        <v>374962.98</v>
      </c>
      <c r="M514" s="3" t="s">
        <v>461</v>
      </c>
      <c r="N514" s="3">
        <v>32</v>
      </c>
      <c r="O514" s="3" t="s">
        <v>24</v>
      </c>
      <c r="P514" s="3" t="s">
        <v>21</v>
      </c>
      <c r="Q514" s="4">
        <v>5</v>
      </c>
      <c r="R514" s="4" t="str">
        <f>IF(Table1[[#This Row],[Customer Ratings]]&gt;=4, "Good",IF(Table1[[#This Row],[Customer Ratings]]=3, "Average","Poor"))</f>
        <v>Good</v>
      </c>
      <c r="S514" s="3" t="s">
        <v>55</v>
      </c>
    </row>
    <row r="515" spans="1:19" x14ac:dyDescent="0.25">
      <c r="A515" s="3">
        <v>514</v>
      </c>
      <c r="B515" s="5">
        <f>DATE(Table1[[#This Row],[Year]],Table1[[#This Row],[Month]],Table1[[#This Row],[Day]])</f>
        <v>44622</v>
      </c>
      <c r="C515" s="3">
        <v>2</v>
      </c>
      <c r="D515" s="3">
        <v>3</v>
      </c>
      <c r="E515" s="3">
        <v>2022</v>
      </c>
      <c r="F515" s="3" t="str">
        <f>"Qtr"&amp; " " &amp;CHOOSE(MONTH(Table1[[#This Row],[Date]]),1,1,1,2,2,2,3,3,3,4,4,4)</f>
        <v>Qtr 1</v>
      </c>
      <c r="G515" s="3" t="str">
        <f>TEXT(Table1[[#This Row],[Date]],"mmmm")</f>
        <v>March</v>
      </c>
      <c r="H515" s="3" t="s">
        <v>1083</v>
      </c>
      <c r="I515" s="3" t="s">
        <v>18</v>
      </c>
      <c r="J515" s="3">
        <v>9</v>
      </c>
      <c r="K515" s="3">
        <v>56306.98</v>
      </c>
      <c r="L515" s="3">
        <f>Table1[[#This Row],[Price Per Unit]]*Table1[[#This Row],[Units Sold]]</f>
        <v>506762.82</v>
      </c>
      <c r="M515" s="3" t="s">
        <v>232</v>
      </c>
      <c r="N515" s="3">
        <v>51</v>
      </c>
      <c r="O515" s="3" t="s">
        <v>30</v>
      </c>
      <c r="P515" s="3" t="s">
        <v>45</v>
      </c>
      <c r="Q515" s="4">
        <v>2</v>
      </c>
      <c r="R515" s="4" t="str">
        <f>IF(Table1[[#This Row],[Customer Ratings]]&gt;=4, "Good",IF(Table1[[#This Row],[Customer Ratings]]=3, "Average","Poor"))</f>
        <v>Poor</v>
      </c>
      <c r="S515" s="3" t="s">
        <v>25</v>
      </c>
    </row>
    <row r="516" spans="1:19" x14ac:dyDescent="0.25">
      <c r="A516" s="3">
        <v>515</v>
      </c>
      <c r="B516" s="5">
        <f>DATE(Table1[[#This Row],[Year]],Table1[[#This Row],[Month]],Table1[[#This Row],[Day]])</f>
        <v>44622</v>
      </c>
      <c r="C516" s="3">
        <v>2</v>
      </c>
      <c r="D516" s="3">
        <v>3</v>
      </c>
      <c r="E516" s="3">
        <v>2022</v>
      </c>
      <c r="F516" s="3" t="str">
        <f>"Qtr"&amp; " " &amp;CHOOSE(MONTH(Table1[[#This Row],[Date]]),1,1,1,2,2,2,3,3,3,4,4,4)</f>
        <v>Qtr 1</v>
      </c>
      <c r="G516" s="3" t="str">
        <f>TEXT(Table1[[#This Row],[Date]],"mmmm")</f>
        <v>March</v>
      </c>
      <c r="H516" s="3" t="s">
        <v>1083</v>
      </c>
      <c r="I516" s="3" t="s">
        <v>28</v>
      </c>
      <c r="J516" s="3">
        <v>8</v>
      </c>
      <c r="K516" s="3">
        <v>35074.449999999997</v>
      </c>
      <c r="L516" s="3">
        <f>Table1[[#This Row],[Price Per Unit]]*Table1[[#This Row],[Units Sold]]</f>
        <v>280595.59999999998</v>
      </c>
      <c r="M516" s="3" t="s">
        <v>462</v>
      </c>
      <c r="N516" s="3">
        <v>34</v>
      </c>
      <c r="O516" s="3" t="s">
        <v>20</v>
      </c>
      <c r="P516" s="3" t="s">
        <v>45</v>
      </c>
      <c r="Q516" s="4">
        <v>2</v>
      </c>
      <c r="R516" s="4" t="str">
        <f>IF(Table1[[#This Row],[Customer Ratings]]&gt;=4, "Good",IF(Table1[[#This Row],[Customer Ratings]]=3, "Average","Poor"))</f>
        <v>Poor</v>
      </c>
      <c r="S516" s="3" t="s">
        <v>32</v>
      </c>
    </row>
    <row r="517" spans="1:19" x14ac:dyDescent="0.25">
      <c r="A517" s="3">
        <v>516</v>
      </c>
      <c r="B517" s="5">
        <f>DATE(Table1[[#This Row],[Year]],Table1[[#This Row],[Month]],Table1[[#This Row],[Day]])</f>
        <v>44622</v>
      </c>
      <c r="C517" s="3">
        <v>2</v>
      </c>
      <c r="D517" s="3">
        <v>3</v>
      </c>
      <c r="E517" s="3">
        <v>2022</v>
      </c>
      <c r="F517" s="3" t="str">
        <f>"Qtr"&amp; " " &amp;CHOOSE(MONTH(Table1[[#This Row],[Date]]),1,1,1,2,2,2,3,3,3,4,4,4)</f>
        <v>Qtr 1</v>
      </c>
      <c r="G517" s="3" t="str">
        <f>TEXT(Table1[[#This Row],[Date]],"mmmm")</f>
        <v>March</v>
      </c>
      <c r="H517" s="3" t="s">
        <v>1083</v>
      </c>
      <c r="I517" s="3" t="s">
        <v>33</v>
      </c>
      <c r="J517" s="3">
        <v>1</v>
      </c>
      <c r="K517" s="3">
        <v>54904.38</v>
      </c>
      <c r="L517" s="3">
        <f>Table1[[#This Row],[Price Per Unit]]*Table1[[#This Row],[Units Sold]]</f>
        <v>54904.38</v>
      </c>
      <c r="M517" s="3" t="s">
        <v>463</v>
      </c>
      <c r="N517" s="3">
        <v>20</v>
      </c>
      <c r="O517" s="3" t="s">
        <v>105</v>
      </c>
      <c r="P517" s="3" t="s">
        <v>31</v>
      </c>
      <c r="Q517" s="4">
        <v>3</v>
      </c>
      <c r="R517" s="4" t="str">
        <f>IF(Table1[[#This Row],[Customer Ratings]]&gt;=4, "Good",IF(Table1[[#This Row],[Customer Ratings]]=3, "Average","Poor"))</f>
        <v>Average</v>
      </c>
      <c r="S517" s="3" t="s">
        <v>83</v>
      </c>
    </row>
    <row r="518" spans="1:19" x14ac:dyDescent="0.25">
      <c r="A518" s="3">
        <v>517</v>
      </c>
      <c r="B518" s="5">
        <f>DATE(Table1[[#This Row],[Year]],Table1[[#This Row],[Month]],Table1[[#This Row],[Day]])</f>
        <v>44623</v>
      </c>
      <c r="C518" s="3">
        <v>3</v>
      </c>
      <c r="D518" s="3">
        <v>3</v>
      </c>
      <c r="E518" s="3">
        <v>2022</v>
      </c>
      <c r="F518" s="3" t="str">
        <f>"Qtr"&amp; " " &amp;CHOOSE(MONTH(Table1[[#This Row],[Date]]),1,1,1,2,2,2,3,3,3,4,4,4)</f>
        <v>Qtr 1</v>
      </c>
      <c r="G518" s="3" t="str">
        <f>TEXT(Table1[[#This Row],[Date]],"mmmm")</f>
        <v>March</v>
      </c>
      <c r="H518" s="3" t="s">
        <v>1084</v>
      </c>
      <c r="I518" s="3" t="s">
        <v>18</v>
      </c>
      <c r="J518" s="3">
        <v>8</v>
      </c>
      <c r="K518" s="3">
        <v>67680.08</v>
      </c>
      <c r="L518" s="3">
        <f>Table1[[#This Row],[Price Per Unit]]*Table1[[#This Row],[Units Sold]]</f>
        <v>541440.64</v>
      </c>
      <c r="M518" s="3" t="s">
        <v>464</v>
      </c>
      <c r="N518" s="3">
        <v>20</v>
      </c>
      <c r="O518" s="3" t="s">
        <v>20</v>
      </c>
      <c r="P518" s="3" t="s">
        <v>16</v>
      </c>
      <c r="Q518" s="4">
        <v>5</v>
      </c>
      <c r="R518" s="4" t="str">
        <f>IF(Table1[[#This Row],[Customer Ratings]]&gt;=4, "Good",IF(Table1[[#This Row],[Customer Ratings]]=3, "Average","Poor"))</f>
        <v>Good</v>
      </c>
      <c r="S518" s="3" t="s">
        <v>55</v>
      </c>
    </row>
    <row r="519" spans="1:19" x14ac:dyDescent="0.25">
      <c r="A519" s="3">
        <v>518</v>
      </c>
      <c r="B519" s="5">
        <f>DATE(Table1[[#This Row],[Year]],Table1[[#This Row],[Month]],Table1[[#This Row],[Day]])</f>
        <v>44623</v>
      </c>
      <c r="C519" s="3">
        <v>3</v>
      </c>
      <c r="D519" s="3">
        <v>3</v>
      </c>
      <c r="E519" s="3">
        <v>2022</v>
      </c>
      <c r="F519" s="3" t="str">
        <f>"Qtr"&amp; " " &amp;CHOOSE(MONTH(Table1[[#This Row],[Date]]),1,1,1,2,2,2,3,3,3,4,4,4)</f>
        <v>Qtr 1</v>
      </c>
      <c r="G519" s="3" t="str">
        <f>TEXT(Table1[[#This Row],[Date]],"mmmm")</f>
        <v>March</v>
      </c>
      <c r="H519" s="3" t="s">
        <v>1084</v>
      </c>
      <c r="I519" s="3" t="s">
        <v>18</v>
      </c>
      <c r="J519" s="3">
        <v>9</v>
      </c>
      <c r="K519" s="3">
        <v>37538.18</v>
      </c>
      <c r="L519" s="3">
        <f>Table1[[#This Row],[Price Per Unit]]*Table1[[#This Row],[Units Sold]]</f>
        <v>337843.62</v>
      </c>
      <c r="M519" s="3" t="s">
        <v>465</v>
      </c>
      <c r="N519" s="3">
        <v>54</v>
      </c>
      <c r="O519" s="3" t="s">
        <v>20</v>
      </c>
      <c r="P519" s="3" t="s">
        <v>31</v>
      </c>
      <c r="Q519" s="4">
        <v>5</v>
      </c>
      <c r="R519" s="4" t="str">
        <f>IF(Table1[[#This Row],[Customer Ratings]]&gt;=4, "Good",IF(Table1[[#This Row],[Customer Ratings]]=3, "Average","Poor"))</f>
        <v>Good</v>
      </c>
      <c r="S519" s="3" t="s">
        <v>55</v>
      </c>
    </row>
    <row r="520" spans="1:19" x14ac:dyDescent="0.25">
      <c r="A520" s="3">
        <v>519</v>
      </c>
      <c r="B520" s="5">
        <f>DATE(Table1[[#This Row],[Year]],Table1[[#This Row],[Month]],Table1[[#This Row],[Day]])</f>
        <v>44623</v>
      </c>
      <c r="C520" s="3">
        <v>3</v>
      </c>
      <c r="D520" s="3">
        <v>3</v>
      </c>
      <c r="E520" s="3">
        <v>2022</v>
      </c>
      <c r="F520" s="3" t="str">
        <f>"Qtr"&amp; " " &amp;CHOOSE(MONTH(Table1[[#This Row],[Date]]),1,1,1,2,2,2,3,3,3,4,4,4)</f>
        <v>Qtr 1</v>
      </c>
      <c r="G520" s="3" t="str">
        <f>TEXT(Table1[[#This Row],[Date]],"mmmm")</f>
        <v>March</v>
      </c>
      <c r="H520" s="3" t="s">
        <v>1084</v>
      </c>
      <c r="I520" s="3" t="s">
        <v>13</v>
      </c>
      <c r="J520" s="3">
        <v>6</v>
      </c>
      <c r="K520" s="3">
        <v>24305.63</v>
      </c>
      <c r="L520" s="3">
        <f>Table1[[#This Row],[Price Per Unit]]*Table1[[#This Row],[Units Sold]]</f>
        <v>145833.78</v>
      </c>
      <c r="M520" s="3" t="s">
        <v>466</v>
      </c>
      <c r="N520" s="3">
        <v>34</v>
      </c>
      <c r="O520" s="3" t="s">
        <v>20</v>
      </c>
      <c r="P520" s="3" t="s">
        <v>31</v>
      </c>
      <c r="Q520" s="4">
        <v>3</v>
      </c>
      <c r="R520" s="4" t="str">
        <f>IF(Table1[[#This Row],[Customer Ratings]]&gt;=4, "Good",IF(Table1[[#This Row],[Customer Ratings]]=3, "Average","Poor"))</f>
        <v>Average</v>
      </c>
      <c r="S520" s="3" t="s">
        <v>17</v>
      </c>
    </row>
    <row r="521" spans="1:19" x14ac:dyDescent="0.25">
      <c r="A521" s="3">
        <v>520</v>
      </c>
      <c r="B521" s="5">
        <f>DATE(Table1[[#This Row],[Year]],Table1[[#This Row],[Month]],Table1[[#This Row],[Day]])</f>
        <v>44624</v>
      </c>
      <c r="C521" s="3">
        <v>4</v>
      </c>
      <c r="D521" s="3">
        <v>3</v>
      </c>
      <c r="E521" s="3">
        <v>2022</v>
      </c>
      <c r="F521" s="3" t="str">
        <f>"Qtr"&amp; " " &amp;CHOOSE(MONTH(Table1[[#This Row],[Date]]),1,1,1,2,2,2,3,3,3,4,4,4)</f>
        <v>Qtr 1</v>
      </c>
      <c r="G521" s="3" t="str">
        <f>TEXT(Table1[[#This Row],[Date]],"mmmm")</f>
        <v>March</v>
      </c>
      <c r="H521" s="3" t="s">
        <v>1085</v>
      </c>
      <c r="I521" s="3" t="s">
        <v>39</v>
      </c>
      <c r="J521" s="3">
        <v>5</v>
      </c>
      <c r="K521" s="3">
        <v>66508.990000000005</v>
      </c>
      <c r="L521" s="3">
        <f>Table1[[#This Row],[Price Per Unit]]*Table1[[#This Row],[Units Sold]]</f>
        <v>332544.95</v>
      </c>
      <c r="M521" s="3" t="s">
        <v>467</v>
      </c>
      <c r="N521" s="3">
        <v>55</v>
      </c>
      <c r="O521" s="3" t="s">
        <v>15</v>
      </c>
      <c r="P521" s="3" t="s">
        <v>31</v>
      </c>
      <c r="Q521" s="4">
        <v>5</v>
      </c>
      <c r="R521" s="4" t="str">
        <f>IF(Table1[[#This Row],[Customer Ratings]]&gt;=4, "Good",IF(Table1[[#This Row],[Customer Ratings]]=3, "Average","Poor"))</f>
        <v>Good</v>
      </c>
      <c r="S521" s="3" t="s">
        <v>90</v>
      </c>
    </row>
    <row r="522" spans="1:19" x14ac:dyDescent="0.25">
      <c r="A522" s="3">
        <v>521</v>
      </c>
      <c r="B522" s="5">
        <f>DATE(Table1[[#This Row],[Year]],Table1[[#This Row],[Month]],Table1[[#This Row],[Day]])</f>
        <v>44624</v>
      </c>
      <c r="C522" s="3">
        <v>4</v>
      </c>
      <c r="D522" s="3">
        <v>3</v>
      </c>
      <c r="E522" s="3">
        <v>2022</v>
      </c>
      <c r="F522" s="3" t="str">
        <f>"Qtr"&amp; " " &amp;CHOOSE(MONTH(Table1[[#This Row],[Date]]),1,1,1,2,2,2,3,3,3,4,4,4)</f>
        <v>Qtr 1</v>
      </c>
      <c r="G522" s="3" t="str">
        <f>TEXT(Table1[[#This Row],[Date]],"mmmm")</f>
        <v>March</v>
      </c>
      <c r="H522" s="3" t="s">
        <v>1085</v>
      </c>
      <c r="I522" s="3" t="s">
        <v>33</v>
      </c>
      <c r="J522" s="3">
        <v>6</v>
      </c>
      <c r="K522" s="3">
        <v>46224.66</v>
      </c>
      <c r="L522" s="3">
        <f>Table1[[#This Row],[Price Per Unit]]*Table1[[#This Row],[Units Sold]]</f>
        <v>277347.96000000002</v>
      </c>
      <c r="M522" s="3" t="s">
        <v>468</v>
      </c>
      <c r="N522" s="3">
        <v>18</v>
      </c>
      <c r="O522" s="3" t="s">
        <v>41</v>
      </c>
      <c r="P522" s="3" t="s">
        <v>16</v>
      </c>
      <c r="Q522" s="4">
        <v>5</v>
      </c>
      <c r="R522" s="4" t="str">
        <f>IF(Table1[[#This Row],[Customer Ratings]]&gt;=4, "Good",IF(Table1[[#This Row],[Customer Ratings]]=3, "Average","Poor"))</f>
        <v>Good</v>
      </c>
      <c r="S522" s="3" t="s">
        <v>83</v>
      </c>
    </row>
    <row r="523" spans="1:19" x14ac:dyDescent="0.25">
      <c r="A523" s="3">
        <v>522</v>
      </c>
      <c r="B523" s="5">
        <f>DATE(Table1[[#This Row],[Year]],Table1[[#This Row],[Month]],Table1[[#This Row],[Day]])</f>
        <v>44624</v>
      </c>
      <c r="C523" s="3">
        <v>4</v>
      </c>
      <c r="D523" s="3">
        <v>3</v>
      </c>
      <c r="E523" s="3">
        <v>2022</v>
      </c>
      <c r="F523" s="3" t="str">
        <f>"Qtr"&amp; " " &amp;CHOOSE(MONTH(Table1[[#This Row],[Date]]),1,1,1,2,2,2,3,3,3,4,4,4)</f>
        <v>Qtr 1</v>
      </c>
      <c r="G523" s="3" t="str">
        <f>TEXT(Table1[[#This Row],[Date]],"mmmm")</f>
        <v>March</v>
      </c>
      <c r="H523" s="3" t="s">
        <v>1085</v>
      </c>
      <c r="I523" s="3" t="s">
        <v>13</v>
      </c>
      <c r="J523" s="3">
        <v>6</v>
      </c>
      <c r="K523" s="3">
        <v>16315.91</v>
      </c>
      <c r="L523" s="3">
        <f>Table1[[#This Row],[Price Per Unit]]*Table1[[#This Row],[Units Sold]]</f>
        <v>97895.459999999992</v>
      </c>
      <c r="M523" s="3" t="s">
        <v>469</v>
      </c>
      <c r="N523" s="3">
        <v>24</v>
      </c>
      <c r="O523" s="3" t="s">
        <v>41</v>
      </c>
      <c r="P523" s="3" t="s">
        <v>45</v>
      </c>
      <c r="Q523" s="4">
        <v>5</v>
      </c>
      <c r="R523" s="4" t="str">
        <f>IF(Table1[[#This Row],[Customer Ratings]]&gt;=4, "Good",IF(Table1[[#This Row],[Customer Ratings]]=3, "Average","Poor"))</f>
        <v>Good</v>
      </c>
      <c r="S523" s="3" t="s">
        <v>17</v>
      </c>
    </row>
    <row r="524" spans="1:19" x14ac:dyDescent="0.25">
      <c r="A524" s="3">
        <v>523</v>
      </c>
      <c r="B524" s="5">
        <f>DATE(Table1[[#This Row],[Year]],Table1[[#This Row],[Month]],Table1[[#This Row],[Day]])</f>
        <v>44625</v>
      </c>
      <c r="C524" s="3">
        <v>5</v>
      </c>
      <c r="D524" s="3">
        <v>3</v>
      </c>
      <c r="E524" s="3">
        <v>2022</v>
      </c>
      <c r="F524" s="3" t="str">
        <f>"Qtr"&amp; " " &amp;CHOOSE(MONTH(Table1[[#This Row],[Date]]),1,1,1,2,2,2,3,3,3,4,4,4)</f>
        <v>Qtr 1</v>
      </c>
      <c r="G524" s="3" t="str">
        <f>TEXT(Table1[[#This Row],[Date]],"mmmm")</f>
        <v>March</v>
      </c>
      <c r="H524" s="3" t="s">
        <v>1079</v>
      </c>
      <c r="I524" s="3" t="s">
        <v>28</v>
      </c>
      <c r="J524" s="3">
        <v>9</v>
      </c>
      <c r="K524" s="3">
        <v>44360.97</v>
      </c>
      <c r="L524" s="3">
        <f>Table1[[#This Row],[Price Per Unit]]*Table1[[#This Row],[Units Sold]]</f>
        <v>399248.73</v>
      </c>
      <c r="M524" s="3" t="s">
        <v>260</v>
      </c>
      <c r="N524" s="3">
        <v>43</v>
      </c>
      <c r="O524" s="3" t="s">
        <v>20</v>
      </c>
      <c r="P524" s="3" t="s">
        <v>21</v>
      </c>
      <c r="Q524" s="4">
        <v>2</v>
      </c>
      <c r="R524" s="4" t="str">
        <f>IF(Table1[[#This Row],[Customer Ratings]]&gt;=4, "Good",IF(Table1[[#This Row],[Customer Ratings]]=3, "Average","Poor"))</f>
        <v>Poor</v>
      </c>
      <c r="S524" s="3" t="s">
        <v>87</v>
      </c>
    </row>
    <row r="525" spans="1:19" x14ac:dyDescent="0.25">
      <c r="A525" s="3">
        <v>524</v>
      </c>
      <c r="B525" s="5">
        <f>DATE(Table1[[#This Row],[Year]],Table1[[#This Row],[Month]],Table1[[#This Row],[Day]])</f>
        <v>44625</v>
      </c>
      <c r="C525" s="3">
        <v>5</v>
      </c>
      <c r="D525" s="3">
        <v>3</v>
      </c>
      <c r="E525" s="3">
        <v>2022</v>
      </c>
      <c r="F525" s="3" t="str">
        <f>"Qtr"&amp; " " &amp;CHOOSE(MONTH(Table1[[#This Row],[Date]]),1,1,1,2,2,2,3,3,3,4,4,4)</f>
        <v>Qtr 1</v>
      </c>
      <c r="G525" s="3" t="str">
        <f>TEXT(Table1[[#This Row],[Date]],"mmmm")</f>
        <v>March</v>
      </c>
      <c r="H525" s="3" t="s">
        <v>1079</v>
      </c>
      <c r="I525" s="3" t="s">
        <v>28</v>
      </c>
      <c r="J525" s="3">
        <v>4</v>
      </c>
      <c r="K525" s="3">
        <v>40034.85</v>
      </c>
      <c r="L525" s="3">
        <f>Table1[[#This Row],[Price Per Unit]]*Table1[[#This Row],[Units Sold]]</f>
        <v>160139.4</v>
      </c>
      <c r="M525" s="3" t="s">
        <v>470</v>
      </c>
      <c r="N525" s="3">
        <v>56</v>
      </c>
      <c r="O525" s="3" t="s">
        <v>78</v>
      </c>
      <c r="P525" s="3" t="s">
        <v>45</v>
      </c>
      <c r="Q525" s="4">
        <v>4</v>
      </c>
      <c r="R525" s="4" t="str">
        <f>IF(Table1[[#This Row],[Customer Ratings]]&gt;=4, "Good",IF(Table1[[#This Row],[Customer Ratings]]=3, "Average","Poor"))</f>
        <v>Good</v>
      </c>
      <c r="S525" s="3" t="s">
        <v>87</v>
      </c>
    </row>
    <row r="526" spans="1:19" x14ac:dyDescent="0.25">
      <c r="A526" s="3">
        <v>525</v>
      </c>
      <c r="B526" s="5">
        <f>DATE(Table1[[#This Row],[Year]],Table1[[#This Row],[Month]],Table1[[#This Row],[Day]])</f>
        <v>44625</v>
      </c>
      <c r="C526" s="3">
        <v>5</v>
      </c>
      <c r="D526" s="3">
        <v>3</v>
      </c>
      <c r="E526" s="3">
        <v>2022</v>
      </c>
      <c r="F526" s="3" t="str">
        <f>"Qtr"&amp; " " &amp;CHOOSE(MONTH(Table1[[#This Row],[Date]]),1,1,1,2,2,2,3,3,3,4,4,4)</f>
        <v>Qtr 1</v>
      </c>
      <c r="G526" s="3" t="str">
        <f>TEXT(Table1[[#This Row],[Date]],"mmmm")</f>
        <v>March</v>
      </c>
      <c r="H526" s="3" t="s">
        <v>1079</v>
      </c>
      <c r="I526" s="3" t="s">
        <v>18</v>
      </c>
      <c r="J526" s="3">
        <v>2</v>
      </c>
      <c r="K526" s="3">
        <v>61335.33</v>
      </c>
      <c r="L526" s="3">
        <f>Table1[[#This Row],[Price Per Unit]]*Table1[[#This Row],[Units Sold]]</f>
        <v>122670.66</v>
      </c>
      <c r="M526" s="3" t="s">
        <v>305</v>
      </c>
      <c r="N526" s="3">
        <v>36</v>
      </c>
      <c r="O526" s="3" t="s">
        <v>120</v>
      </c>
      <c r="P526" s="3" t="s">
        <v>21</v>
      </c>
      <c r="Q526" s="4">
        <v>5</v>
      </c>
      <c r="R526" s="4" t="str">
        <f>IF(Table1[[#This Row],[Customer Ratings]]&gt;=4, "Good",IF(Table1[[#This Row],[Customer Ratings]]=3, "Average","Poor"))</f>
        <v>Good</v>
      </c>
      <c r="S526" s="3" t="s">
        <v>25</v>
      </c>
    </row>
    <row r="527" spans="1:19" x14ac:dyDescent="0.25">
      <c r="A527" s="3">
        <v>526</v>
      </c>
      <c r="B527" s="5">
        <f>DATE(Table1[[#This Row],[Year]],Table1[[#This Row],[Month]],Table1[[#This Row],[Day]])</f>
        <v>44626</v>
      </c>
      <c r="C527" s="3">
        <v>6</v>
      </c>
      <c r="D527" s="3">
        <v>3</v>
      </c>
      <c r="E527" s="3">
        <v>2022</v>
      </c>
      <c r="F527" s="3" t="str">
        <f>"Qtr"&amp; " " &amp;CHOOSE(MONTH(Table1[[#This Row],[Date]]),1,1,1,2,2,2,3,3,3,4,4,4)</f>
        <v>Qtr 1</v>
      </c>
      <c r="G527" s="3" t="str">
        <f>TEXT(Table1[[#This Row],[Date]],"mmmm")</f>
        <v>March</v>
      </c>
      <c r="H527" s="3" t="s">
        <v>1080</v>
      </c>
      <c r="I527" s="3" t="s">
        <v>18</v>
      </c>
      <c r="J527" s="3">
        <v>9</v>
      </c>
      <c r="K527" s="3">
        <v>41841.71</v>
      </c>
      <c r="L527" s="3">
        <f>Table1[[#This Row],[Price Per Unit]]*Table1[[#This Row],[Units Sold]]</f>
        <v>376575.39</v>
      </c>
      <c r="M527" s="3" t="s">
        <v>471</v>
      </c>
      <c r="N527" s="3">
        <v>47</v>
      </c>
      <c r="O527" s="3" t="s">
        <v>20</v>
      </c>
      <c r="P527" s="3" t="s">
        <v>21</v>
      </c>
      <c r="Q527" s="4">
        <v>4</v>
      </c>
      <c r="R527" s="4" t="str">
        <f>IF(Table1[[#This Row],[Customer Ratings]]&gt;=4, "Good",IF(Table1[[#This Row],[Customer Ratings]]=3, "Average","Poor"))</f>
        <v>Good</v>
      </c>
      <c r="S527" s="3" t="s">
        <v>55</v>
      </c>
    </row>
    <row r="528" spans="1:19" x14ac:dyDescent="0.25">
      <c r="A528" s="3">
        <v>527</v>
      </c>
      <c r="B528" s="5">
        <f>DATE(Table1[[#This Row],[Year]],Table1[[#This Row],[Month]],Table1[[#This Row],[Day]])</f>
        <v>44626</v>
      </c>
      <c r="C528" s="3">
        <v>6</v>
      </c>
      <c r="D528" s="3">
        <v>3</v>
      </c>
      <c r="E528" s="3">
        <v>2022</v>
      </c>
      <c r="F528" s="3" t="str">
        <f>"Qtr"&amp; " " &amp;CHOOSE(MONTH(Table1[[#This Row],[Date]]),1,1,1,2,2,2,3,3,3,4,4,4)</f>
        <v>Qtr 1</v>
      </c>
      <c r="G528" s="3" t="str">
        <f>TEXT(Table1[[#This Row],[Date]],"mmmm")</f>
        <v>March</v>
      </c>
      <c r="H528" s="3" t="s">
        <v>1080</v>
      </c>
      <c r="I528" s="3" t="s">
        <v>28</v>
      </c>
      <c r="J528" s="3">
        <v>2</v>
      </c>
      <c r="K528" s="3">
        <v>25313.95</v>
      </c>
      <c r="L528" s="3">
        <f>Table1[[#This Row],[Price Per Unit]]*Table1[[#This Row],[Units Sold]]</f>
        <v>50627.9</v>
      </c>
      <c r="M528" s="3" t="s">
        <v>366</v>
      </c>
      <c r="N528" s="3">
        <v>31</v>
      </c>
      <c r="O528" s="3" t="s">
        <v>102</v>
      </c>
      <c r="P528" s="3" t="s">
        <v>31</v>
      </c>
      <c r="Q528" s="4">
        <v>4</v>
      </c>
      <c r="R528" s="4" t="str">
        <f>IF(Table1[[#This Row],[Customer Ratings]]&gt;=4, "Good",IF(Table1[[#This Row],[Customer Ratings]]=3, "Average","Poor"))</f>
        <v>Good</v>
      </c>
      <c r="S528" s="3" t="s">
        <v>32</v>
      </c>
    </row>
    <row r="529" spans="1:19" x14ac:dyDescent="0.25">
      <c r="A529" s="3">
        <v>528</v>
      </c>
      <c r="B529" s="5">
        <f>DATE(Table1[[#This Row],[Year]],Table1[[#This Row],[Month]],Table1[[#This Row],[Day]])</f>
        <v>44626</v>
      </c>
      <c r="C529" s="3">
        <v>6</v>
      </c>
      <c r="D529" s="3">
        <v>3</v>
      </c>
      <c r="E529" s="3">
        <v>2022</v>
      </c>
      <c r="F529" s="3" t="str">
        <f>"Qtr"&amp; " " &amp;CHOOSE(MONTH(Table1[[#This Row],[Date]]),1,1,1,2,2,2,3,3,3,4,4,4)</f>
        <v>Qtr 1</v>
      </c>
      <c r="G529" s="3" t="str">
        <f>TEXT(Table1[[#This Row],[Date]],"mmmm")</f>
        <v>March</v>
      </c>
      <c r="H529" s="3" t="s">
        <v>1080</v>
      </c>
      <c r="I529" s="3" t="s">
        <v>18</v>
      </c>
      <c r="J529" s="3">
        <v>9</v>
      </c>
      <c r="K529" s="3">
        <v>50538.64</v>
      </c>
      <c r="L529" s="3">
        <f>Table1[[#This Row],[Price Per Unit]]*Table1[[#This Row],[Units Sold]]</f>
        <v>454847.76</v>
      </c>
      <c r="M529" s="3" t="s">
        <v>472</v>
      </c>
      <c r="N529" s="3">
        <v>30</v>
      </c>
      <c r="O529" s="3" t="s">
        <v>24</v>
      </c>
      <c r="P529" s="3" t="s">
        <v>31</v>
      </c>
      <c r="Q529" s="4">
        <v>5</v>
      </c>
      <c r="R529" s="4" t="str">
        <f>IF(Table1[[#This Row],[Customer Ratings]]&gt;=4, "Good",IF(Table1[[#This Row],[Customer Ratings]]=3, "Average","Poor"))</f>
        <v>Good</v>
      </c>
      <c r="S529" s="3" t="s">
        <v>25</v>
      </c>
    </row>
    <row r="530" spans="1:19" x14ac:dyDescent="0.25">
      <c r="A530" s="3">
        <v>529</v>
      </c>
      <c r="B530" s="5">
        <f>DATE(Table1[[#This Row],[Year]],Table1[[#This Row],[Month]],Table1[[#This Row],[Day]])</f>
        <v>44627</v>
      </c>
      <c r="C530" s="3">
        <v>7</v>
      </c>
      <c r="D530" s="3">
        <v>3</v>
      </c>
      <c r="E530" s="3">
        <v>2022</v>
      </c>
      <c r="F530" s="3" t="str">
        <f>"Qtr"&amp; " " &amp;CHOOSE(MONTH(Table1[[#This Row],[Date]]),1,1,1,2,2,2,3,3,3,4,4,4)</f>
        <v>Qtr 1</v>
      </c>
      <c r="G530" s="3" t="str">
        <f>TEXT(Table1[[#This Row],[Date]],"mmmm")</f>
        <v>March</v>
      </c>
      <c r="H530" s="3" t="s">
        <v>1081</v>
      </c>
      <c r="I530" s="3" t="s">
        <v>33</v>
      </c>
      <c r="J530" s="3">
        <v>2</v>
      </c>
      <c r="K530" s="3">
        <v>42554.53</v>
      </c>
      <c r="L530" s="3">
        <f>Table1[[#This Row],[Price Per Unit]]*Table1[[#This Row],[Units Sold]]</f>
        <v>85109.06</v>
      </c>
      <c r="M530" s="3" t="s">
        <v>473</v>
      </c>
      <c r="N530" s="3">
        <v>37</v>
      </c>
      <c r="O530" s="3" t="s">
        <v>24</v>
      </c>
      <c r="P530" s="3" t="s">
        <v>21</v>
      </c>
      <c r="Q530" s="4">
        <v>2</v>
      </c>
      <c r="R530" s="4" t="str">
        <f>IF(Table1[[#This Row],[Customer Ratings]]&gt;=4, "Good",IF(Table1[[#This Row],[Customer Ratings]]=3, "Average","Poor"))</f>
        <v>Poor</v>
      </c>
      <c r="S530" s="3" t="s">
        <v>83</v>
      </c>
    </row>
    <row r="531" spans="1:19" x14ac:dyDescent="0.25">
      <c r="A531" s="3">
        <v>530</v>
      </c>
      <c r="B531" s="5">
        <f>DATE(Table1[[#This Row],[Year]],Table1[[#This Row],[Month]],Table1[[#This Row],[Day]])</f>
        <v>44627</v>
      </c>
      <c r="C531" s="3">
        <v>7</v>
      </c>
      <c r="D531" s="3">
        <v>3</v>
      </c>
      <c r="E531" s="3">
        <v>2022</v>
      </c>
      <c r="F531" s="3" t="str">
        <f>"Qtr"&amp; " " &amp;CHOOSE(MONTH(Table1[[#This Row],[Date]]),1,1,1,2,2,2,3,3,3,4,4,4)</f>
        <v>Qtr 1</v>
      </c>
      <c r="G531" s="3" t="str">
        <f>TEXT(Table1[[#This Row],[Date]],"mmmm")</f>
        <v>March</v>
      </c>
      <c r="H531" s="3" t="s">
        <v>1081</v>
      </c>
      <c r="I531" s="3" t="s">
        <v>18</v>
      </c>
      <c r="J531" s="3">
        <v>8</v>
      </c>
      <c r="K531" s="3">
        <v>23982.68</v>
      </c>
      <c r="L531" s="3">
        <f>Table1[[#This Row],[Price Per Unit]]*Table1[[#This Row],[Units Sold]]</f>
        <v>191861.44</v>
      </c>
      <c r="M531" s="3" t="s">
        <v>237</v>
      </c>
      <c r="N531" s="3">
        <v>43</v>
      </c>
      <c r="O531" s="3" t="s">
        <v>65</v>
      </c>
      <c r="P531" s="3" t="s">
        <v>16</v>
      </c>
      <c r="Q531" s="4">
        <v>5</v>
      </c>
      <c r="R531" s="4" t="str">
        <f>IF(Table1[[#This Row],[Customer Ratings]]&gt;=4, "Good",IF(Table1[[#This Row],[Customer Ratings]]=3, "Average","Poor"))</f>
        <v>Good</v>
      </c>
      <c r="S531" s="3" t="s">
        <v>25</v>
      </c>
    </row>
    <row r="532" spans="1:19" x14ac:dyDescent="0.25">
      <c r="A532" s="3">
        <v>531</v>
      </c>
      <c r="B532" s="5">
        <f>DATE(Table1[[#This Row],[Year]],Table1[[#This Row],[Month]],Table1[[#This Row],[Day]])</f>
        <v>44627</v>
      </c>
      <c r="C532" s="3">
        <v>7</v>
      </c>
      <c r="D532" s="3">
        <v>3</v>
      </c>
      <c r="E532" s="3">
        <v>2022</v>
      </c>
      <c r="F532" s="3" t="str">
        <f>"Qtr"&amp; " " &amp;CHOOSE(MONTH(Table1[[#This Row],[Date]]),1,1,1,2,2,2,3,3,3,4,4,4)</f>
        <v>Qtr 1</v>
      </c>
      <c r="G532" s="3" t="str">
        <f>TEXT(Table1[[#This Row],[Date]],"mmmm")</f>
        <v>March</v>
      </c>
      <c r="H532" s="3" t="s">
        <v>1081</v>
      </c>
      <c r="I532" s="3" t="s">
        <v>39</v>
      </c>
      <c r="J532" s="3">
        <v>9</v>
      </c>
      <c r="K532" s="3">
        <v>44417.67</v>
      </c>
      <c r="L532" s="3">
        <f>Table1[[#This Row],[Price Per Unit]]*Table1[[#This Row],[Units Sold]]</f>
        <v>399759.02999999997</v>
      </c>
      <c r="M532" s="3" t="s">
        <v>79</v>
      </c>
      <c r="N532" s="3">
        <v>44</v>
      </c>
      <c r="O532" s="3" t="s">
        <v>20</v>
      </c>
      <c r="P532" s="3" t="s">
        <v>16</v>
      </c>
      <c r="Q532" s="4">
        <v>5</v>
      </c>
      <c r="R532" s="4" t="str">
        <f>IF(Table1[[#This Row],[Customer Ratings]]&gt;=4, "Good",IF(Table1[[#This Row],[Customer Ratings]]=3, "Average","Poor"))</f>
        <v>Good</v>
      </c>
      <c r="S532" s="3" t="s">
        <v>90</v>
      </c>
    </row>
    <row r="533" spans="1:19" x14ac:dyDescent="0.25">
      <c r="A533" s="3">
        <v>532</v>
      </c>
      <c r="B533" s="5">
        <f>DATE(Table1[[#This Row],[Year]],Table1[[#This Row],[Month]],Table1[[#This Row],[Day]])</f>
        <v>44627</v>
      </c>
      <c r="C533" s="3">
        <v>7</v>
      </c>
      <c r="D533" s="3">
        <v>3</v>
      </c>
      <c r="E533" s="3">
        <v>2022</v>
      </c>
      <c r="F533" s="3" t="str">
        <f>"Qtr"&amp; " " &amp;CHOOSE(MONTH(Table1[[#This Row],[Date]]),1,1,1,2,2,2,3,3,3,4,4,4)</f>
        <v>Qtr 1</v>
      </c>
      <c r="G533" s="3" t="str">
        <f>TEXT(Table1[[#This Row],[Date]],"mmmm")</f>
        <v>March</v>
      </c>
      <c r="H533" s="3" t="s">
        <v>1081</v>
      </c>
      <c r="I533" s="3" t="s">
        <v>18</v>
      </c>
      <c r="J533" s="3">
        <v>9</v>
      </c>
      <c r="K533" s="3">
        <v>59292.13</v>
      </c>
      <c r="L533" s="3">
        <f>Table1[[#This Row],[Price Per Unit]]*Table1[[#This Row],[Units Sold]]</f>
        <v>533629.16999999993</v>
      </c>
      <c r="M533" s="3" t="s">
        <v>472</v>
      </c>
      <c r="N533" s="3">
        <v>42</v>
      </c>
      <c r="O533" s="3" t="s">
        <v>120</v>
      </c>
      <c r="P533" s="3" t="s">
        <v>16</v>
      </c>
      <c r="Q533" s="4">
        <v>2</v>
      </c>
      <c r="R533" s="4" t="str">
        <f>IF(Table1[[#This Row],[Customer Ratings]]&gt;=4, "Good",IF(Table1[[#This Row],[Customer Ratings]]=3, "Average","Poor"))</f>
        <v>Poor</v>
      </c>
      <c r="S533" s="3" t="s">
        <v>55</v>
      </c>
    </row>
    <row r="534" spans="1:19" x14ac:dyDescent="0.25">
      <c r="A534" s="3">
        <v>533</v>
      </c>
      <c r="B534" s="5">
        <f>DATE(Table1[[#This Row],[Year]],Table1[[#This Row],[Month]],Table1[[#This Row],[Day]])</f>
        <v>44628</v>
      </c>
      <c r="C534" s="3">
        <v>8</v>
      </c>
      <c r="D534" s="3">
        <v>3</v>
      </c>
      <c r="E534" s="3">
        <v>2022</v>
      </c>
      <c r="F534" s="3" t="str">
        <f>"Qtr"&amp; " " &amp;CHOOSE(MONTH(Table1[[#This Row],[Date]]),1,1,1,2,2,2,3,3,3,4,4,4)</f>
        <v>Qtr 1</v>
      </c>
      <c r="G534" s="3" t="str">
        <f>TEXT(Table1[[#This Row],[Date]],"mmmm")</f>
        <v>March</v>
      </c>
      <c r="H534" s="3" t="s">
        <v>1082</v>
      </c>
      <c r="I534" s="3" t="s">
        <v>13</v>
      </c>
      <c r="J534" s="3">
        <v>9</v>
      </c>
      <c r="K534" s="3">
        <v>11714.26</v>
      </c>
      <c r="L534" s="3">
        <f>Table1[[#This Row],[Price Per Unit]]*Table1[[#This Row],[Units Sold]]</f>
        <v>105428.34</v>
      </c>
      <c r="M534" s="3" t="s">
        <v>280</v>
      </c>
      <c r="N534" s="3">
        <v>26</v>
      </c>
      <c r="O534" s="3" t="s">
        <v>24</v>
      </c>
      <c r="P534" s="3" t="s">
        <v>16</v>
      </c>
      <c r="Q534" s="4">
        <v>3</v>
      </c>
      <c r="R534" s="4" t="str">
        <f>IF(Table1[[#This Row],[Customer Ratings]]&gt;=4, "Good",IF(Table1[[#This Row],[Customer Ratings]]=3, "Average","Poor"))</f>
        <v>Average</v>
      </c>
      <c r="S534" s="3" t="s">
        <v>17</v>
      </c>
    </row>
    <row r="535" spans="1:19" x14ac:dyDescent="0.25">
      <c r="A535" s="3">
        <v>534</v>
      </c>
      <c r="B535" s="5">
        <f>DATE(Table1[[#This Row],[Year]],Table1[[#This Row],[Month]],Table1[[#This Row],[Day]])</f>
        <v>44628</v>
      </c>
      <c r="C535" s="3">
        <v>8</v>
      </c>
      <c r="D535" s="3">
        <v>3</v>
      </c>
      <c r="E535" s="3">
        <v>2022</v>
      </c>
      <c r="F535" s="3" t="str">
        <f>"Qtr"&amp; " " &amp;CHOOSE(MONTH(Table1[[#This Row],[Date]]),1,1,1,2,2,2,3,3,3,4,4,4)</f>
        <v>Qtr 1</v>
      </c>
      <c r="G535" s="3" t="str">
        <f>TEXT(Table1[[#This Row],[Date]],"mmmm")</f>
        <v>March</v>
      </c>
      <c r="H535" s="3" t="s">
        <v>1082</v>
      </c>
      <c r="I535" s="3" t="s">
        <v>33</v>
      </c>
      <c r="J535" s="3">
        <v>2</v>
      </c>
      <c r="K535" s="3">
        <v>47851.06</v>
      </c>
      <c r="L535" s="3">
        <f>Table1[[#This Row],[Price Per Unit]]*Table1[[#This Row],[Units Sold]]</f>
        <v>95702.12</v>
      </c>
      <c r="M535" s="3" t="s">
        <v>474</v>
      </c>
      <c r="N535" s="3">
        <v>58</v>
      </c>
      <c r="O535" s="3" t="s">
        <v>81</v>
      </c>
      <c r="P535" s="3" t="s">
        <v>31</v>
      </c>
      <c r="Q535" s="4">
        <v>2</v>
      </c>
      <c r="R535" s="4" t="str">
        <f>IF(Table1[[#This Row],[Customer Ratings]]&gt;=4, "Good",IF(Table1[[#This Row],[Customer Ratings]]=3, "Average","Poor"))</f>
        <v>Poor</v>
      </c>
      <c r="S535" s="3" t="s">
        <v>36</v>
      </c>
    </row>
    <row r="536" spans="1:19" x14ac:dyDescent="0.25">
      <c r="A536" s="3">
        <v>535</v>
      </c>
      <c r="B536" s="5">
        <f>DATE(Table1[[#This Row],[Year]],Table1[[#This Row],[Month]],Table1[[#This Row],[Day]])</f>
        <v>44628</v>
      </c>
      <c r="C536" s="3">
        <v>8</v>
      </c>
      <c r="D536" s="3">
        <v>3</v>
      </c>
      <c r="E536" s="3">
        <v>2022</v>
      </c>
      <c r="F536" s="3" t="str">
        <f>"Qtr"&amp; " " &amp;CHOOSE(MONTH(Table1[[#This Row],[Date]]),1,1,1,2,2,2,3,3,3,4,4,4)</f>
        <v>Qtr 1</v>
      </c>
      <c r="G536" s="3" t="str">
        <f>TEXT(Table1[[#This Row],[Date]],"mmmm")</f>
        <v>March</v>
      </c>
      <c r="H536" s="3" t="s">
        <v>1082</v>
      </c>
      <c r="I536" s="3" t="s">
        <v>13</v>
      </c>
      <c r="J536" s="3">
        <v>4</v>
      </c>
      <c r="K536" s="3">
        <v>30975.11</v>
      </c>
      <c r="L536" s="3">
        <f>Table1[[#This Row],[Price Per Unit]]*Table1[[#This Row],[Units Sold]]</f>
        <v>123900.44</v>
      </c>
      <c r="M536" s="3" t="s">
        <v>475</v>
      </c>
      <c r="N536" s="3">
        <v>29</v>
      </c>
      <c r="O536" s="3" t="s">
        <v>105</v>
      </c>
      <c r="P536" s="3" t="s">
        <v>45</v>
      </c>
      <c r="Q536" s="4">
        <v>5</v>
      </c>
      <c r="R536" s="4" t="str">
        <f>IF(Table1[[#This Row],[Customer Ratings]]&gt;=4, "Good",IF(Table1[[#This Row],[Customer Ratings]]=3, "Average","Poor"))</f>
        <v>Good</v>
      </c>
      <c r="S536" s="3" t="s">
        <v>17</v>
      </c>
    </row>
    <row r="537" spans="1:19" x14ac:dyDescent="0.25">
      <c r="A537" s="3">
        <v>536</v>
      </c>
      <c r="B537" s="5">
        <f>DATE(Table1[[#This Row],[Year]],Table1[[#This Row],[Month]],Table1[[#This Row],[Day]])</f>
        <v>44629</v>
      </c>
      <c r="C537" s="3">
        <v>9</v>
      </c>
      <c r="D537" s="3">
        <v>3</v>
      </c>
      <c r="E537" s="3">
        <v>2022</v>
      </c>
      <c r="F537" s="3" t="str">
        <f>"Qtr"&amp; " " &amp;CHOOSE(MONTH(Table1[[#This Row],[Date]]),1,1,1,2,2,2,3,3,3,4,4,4)</f>
        <v>Qtr 1</v>
      </c>
      <c r="G537" s="3" t="str">
        <f>TEXT(Table1[[#This Row],[Date]],"mmmm")</f>
        <v>March</v>
      </c>
      <c r="H537" s="3" t="s">
        <v>1083</v>
      </c>
      <c r="I537" s="3" t="s">
        <v>13</v>
      </c>
      <c r="J537" s="3">
        <v>7</v>
      </c>
      <c r="K537" s="3">
        <v>27560.29</v>
      </c>
      <c r="L537" s="3">
        <f>Table1[[#This Row],[Price Per Unit]]*Table1[[#This Row],[Units Sold]]</f>
        <v>192922.03</v>
      </c>
      <c r="M537" s="3" t="s">
        <v>476</v>
      </c>
      <c r="N537" s="3">
        <v>27</v>
      </c>
      <c r="O537" s="3" t="s">
        <v>20</v>
      </c>
      <c r="P537" s="3" t="s">
        <v>45</v>
      </c>
      <c r="Q537" s="4">
        <v>5</v>
      </c>
      <c r="R537" s="4" t="str">
        <f>IF(Table1[[#This Row],[Customer Ratings]]&gt;=4, "Good",IF(Table1[[#This Row],[Customer Ratings]]=3, "Average","Poor"))</f>
        <v>Good</v>
      </c>
      <c r="S537" s="3" t="s">
        <v>27</v>
      </c>
    </row>
    <row r="538" spans="1:19" x14ac:dyDescent="0.25">
      <c r="A538" s="3">
        <v>537</v>
      </c>
      <c r="B538" s="5">
        <f>DATE(Table1[[#This Row],[Year]],Table1[[#This Row],[Month]],Table1[[#This Row],[Day]])</f>
        <v>44629</v>
      </c>
      <c r="C538" s="3">
        <v>9</v>
      </c>
      <c r="D538" s="3">
        <v>3</v>
      </c>
      <c r="E538" s="3">
        <v>2022</v>
      </c>
      <c r="F538" s="3" t="str">
        <f>"Qtr"&amp; " " &amp;CHOOSE(MONTH(Table1[[#This Row],[Date]]),1,1,1,2,2,2,3,3,3,4,4,4)</f>
        <v>Qtr 1</v>
      </c>
      <c r="G538" s="3" t="str">
        <f>TEXT(Table1[[#This Row],[Date]],"mmmm")</f>
        <v>March</v>
      </c>
      <c r="H538" s="3" t="s">
        <v>1083</v>
      </c>
      <c r="I538" s="3" t="s">
        <v>39</v>
      </c>
      <c r="J538" s="3">
        <v>2</v>
      </c>
      <c r="K538" s="3">
        <v>33555.269999999997</v>
      </c>
      <c r="L538" s="3">
        <f>Table1[[#This Row],[Price Per Unit]]*Table1[[#This Row],[Units Sold]]</f>
        <v>67110.539999999994</v>
      </c>
      <c r="M538" s="3" t="s">
        <v>477</v>
      </c>
      <c r="N538" s="3">
        <v>23</v>
      </c>
      <c r="O538" s="3" t="s">
        <v>65</v>
      </c>
      <c r="P538" s="3" t="s">
        <v>21</v>
      </c>
      <c r="Q538" s="4">
        <v>4</v>
      </c>
      <c r="R538" s="4" t="str">
        <f>IF(Table1[[#This Row],[Customer Ratings]]&gt;=4, "Good",IF(Table1[[#This Row],[Customer Ratings]]=3, "Average","Poor"))</f>
        <v>Good</v>
      </c>
      <c r="S538" s="3" t="s">
        <v>90</v>
      </c>
    </row>
    <row r="539" spans="1:19" x14ac:dyDescent="0.25">
      <c r="A539" s="3">
        <v>538</v>
      </c>
      <c r="B539" s="5">
        <f>DATE(Table1[[#This Row],[Year]],Table1[[#This Row],[Month]],Table1[[#This Row],[Day]])</f>
        <v>44629</v>
      </c>
      <c r="C539" s="3">
        <v>9</v>
      </c>
      <c r="D539" s="3">
        <v>3</v>
      </c>
      <c r="E539" s="3">
        <v>2022</v>
      </c>
      <c r="F539" s="3" t="str">
        <f>"Qtr"&amp; " " &amp;CHOOSE(MONTH(Table1[[#This Row],[Date]]),1,1,1,2,2,2,3,3,3,4,4,4)</f>
        <v>Qtr 1</v>
      </c>
      <c r="G539" s="3" t="str">
        <f>TEXT(Table1[[#This Row],[Date]],"mmmm")</f>
        <v>March</v>
      </c>
      <c r="H539" s="3" t="s">
        <v>1083</v>
      </c>
      <c r="I539" s="3" t="s">
        <v>33</v>
      </c>
      <c r="J539" s="3">
        <v>1</v>
      </c>
      <c r="K539" s="3">
        <v>30521.360000000001</v>
      </c>
      <c r="L539" s="3">
        <f>Table1[[#This Row],[Price Per Unit]]*Table1[[#This Row],[Units Sold]]</f>
        <v>30521.360000000001</v>
      </c>
      <c r="M539" s="3" t="s">
        <v>478</v>
      </c>
      <c r="N539" s="3">
        <v>51</v>
      </c>
      <c r="O539" s="3" t="s">
        <v>98</v>
      </c>
      <c r="P539" s="3" t="s">
        <v>16</v>
      </c>
      <c r="Q539" s="4">
        <v>3</v>
      </c>
      <c r="R539" s="4" t="str">
        <f>IF(Table1[[#This Row],[Customer Ratings]]&gt;=4, "Good",IF(Table1[[#This Row],[Customer Ratings]]=3, "Average","Poor"))</f>
        <v>Average</v>
      </c>
      <c r="S539" s="3" t="s">
        <v>46</v>
      </c>
    </row>
    <row r="540" spans="1:19" x14ac:dyDescent="0.25">
      <c r="A540" s="3">
        <v>539</v>
      </c>
      <c r="B540" s="5">
        <f>DATE(Table1[[#This Row],[Year]],Table1[[#This Row],[Month]],Table1[[#This Row],[Day]])</f>
        <v>44630</v>
      </c>
      <c r="C540" s="3">
        <v>10</v>
      </c>
      <c r="D540" s="3">
        <v>3</v>
      </c>
      <c r="E540" s="3">
        <v>2022</v>
      </c>
      <c r="F540" s="3" t="str">
        <f>"Qtr"&amp; " " &amp;CHOOSE(MONTH(Table1[[#This Row],[Date]]),1,1,1,2,2,2,3,3,3,4,4,4)</f>
        <v>Qtr 1</v>
      </c>
      <c r="G540" s="3" t="str">
        <f>TEXT(Table1[[#This Row],[Date]],"mmmm")</f>
        <v>March</v>
      </c>
      <c r="H540" s="3" t="s">
        <v>1084</v>
      </c>
      <c r="I540" s="3" t="s">
        <v>33</v>
      </c>
      <c r="J540" s="3">
        <v>3</v>
      </c>
      <c r="K540" s="3">
        <v>59934.35</v>
      </c>
      <c r="L540" s="3">
        <f>Table1[[#This Row],[Price Per Unit]]*Table1[[#This Row],[Units Sold]]</f>
        <v>179803.05</v>
      </c>
      <c r="M540" s="3" t="s">
        <v>479</v>
      </c>
      <c r="N540" s="3">
        <v>58</v>
      </c>
      <c r="O540" s="3" t="s">
        <v>102</v>
      </c>
      <c r="P540" s="3" t="s">
        <v>31</v>
      </c>
      <c r="Q540" s="4">
        <v>2</v>
      </c>
      <c r="R540" s="4" t="str">
        <f>IF(Table1[[#This Row],[Customer Ratings]]&gt;=4, "Good",IF(Table1[[#This Row],[Customer Ratings]]=3, "Average","Poor"))</f>
        <v>Poor</v>
      </c>
      <c r="S540" s="3" t="s">
        <v>36</v>
      </c>
    </row>
    <row r="541" spans="1:19" x14ac:dyDescent="0.25">
      <c r="A541" s="3">
        <v>540</v>
      </c>
      <c r="B541" s="5">
        <f>DATE(Table1[[#This Row],[Year]],Table1[[#This Row],[Month]],Table1[[#This Row],[Day]])</f>
        <v>44630</v>
      </c>
      <c r="C541" s="3">
        <v>10</v>
      </c>
      <c r="D541" s="3">
        <v>3</v>
      </c>
      <c r="E541" s="3">
        <v>2022</v>
      </c>
      <c r="F541" s="3" t="str">
        <f>"Qtr"&amp; " " &amp;CHOOSE(MONTH(Table1[[#This Row],[Date]]),1,1,1,2,2,2,3,3,3,4,4,4)</f>
        <v>Qtr 1</v>
      </c>
      <c r="G541" s="3" t="str">
        <f>TEXT(Table1[[#This Row],[Date]],"mmmm")</f>
        <v>March</v>
      </c>
      <c r="H541" s="3" t="s">
        <v>1084</v>
      </c>
      <c r="I541" s="3" t="s">
        <v>33</v>
      </c>
      <c r="J541" s="3">
        <v>4</v>
      </c>
      <c r="K541" s="3">
        <v>26487.87</v>
      </c>
      <c r="L541" s="3">
        <f>Table1[[#This Row],[Price Per Unit]]*Table1[[#This Row],[Units Sold]]</f>
        <v>105951.48</v>
      </c>
      <c r="M541" s="3" t="s">
        <v>174</v>
      </c>
      <c r="N541" s="3">
        <v>36</v>
      </c>
      <c r="O541" s="3" t="s">
        <v>58</v>
      </c>
      <c r="P541" s="3" t="s">
        <v>31</v>
      </c>
      <c r="Q541" s="4">
        <v>3</v>
      </c>
      <c r="R541" s="4" t="str">
        <f>IF(Table1[[#This Row],[Customer Ratings]]&gt;=4, "Good",IF(Table1[[#This Row],[Customer Ratings]]=3, "Average","Poor"))</f>
        <v>Average</v>
      </c>
      <c r="S541" s="3" t="s">
        <v>46</v>
      </c>
    </row>
    <row r="542" spans="1:19" x14ac:dyDescent="0.25">
      <c r="A542" s="3">
        <v>541</v>
      </c>
      <c r="B542" s="5">
        <f>DATE(Table1[[#This Row],[Year]],Table1[[#This Row],[Month]],Table1[[#This Row],[Day]])</f>
        <v>44630</v>
      </c>
      <c r="C542" s="3">
        <v>10</v>
      </c>
      <c r="D542" s="3">
        <v>3</v>
      </c>
      <c r="E542" s="3">
        <v>2022</v>
      </c>
      <c r="F542" s="3" t="str">
        <f>"Qtr"&amp; " " &amp;CHOOSE(MONTH(Table1[[#This Row],[Date]]),1,1,1,2,2,2,3,3,3,4,4,4)</f>
        <v>Qtr 1</v>
      </c>
      <c r="G542" s="3" t="str">
        <f>TEXT(Table1[[#This Row],[Date]],"mmmm")</f>
        <v>March</v>
      </c>
      <c r="H542" s="3" t="s">
        <v>1084</v>
      </c>
      <c r="I542" s="3" t="s">
        <v>33</v>
      </c>
      <c r="J542" s="3">
        <v>8</v>
      </c>
      <c r="K542" s="3">
        <v>53989.18</v>
      </c>
      <c r="L542" s="3">
        <f>Table1[[#This Row],[Price Per Unit]]*Table1[[#This Row],[Units Sold]]</f>
        <v>431913.44</v>
      </c>
      <c r="M542" s="3" t="s">
        <v>47</v>
      </c>
      <c r="N542" s="3">
        <v>23</v>
      </c>
      <c r="O542" s="3" t="s">
        <v>20</v>
      </c>
      <c r="P542" s="3" t="s">
        <v>31</v>
      </c>
      <c r="Q542" s="4">
        <v>4</v>
      </c>
      <c r="R542" s="4" t="str">
        <f>IF(Table1[[#This Row],[Customer Ratings]]&gt;=4, "Good",IF(Table1[[#This Row],[Customer Ratings]]=3, "Average","Poor"))</f>
        <v>Good</v>
      </c>
      <c r="S542" s="3" t="s">
        <v>36</v>
      </c>
    </row>
    <row r="543" spans="1:19" x14ac:dyDescent="0.25">
      <c r="A543" s="3">
        <v>542</v>
      </c>
      <c r="B543" s="5">
        <f>DATE(Table1[[#This Row],[Year]],Table1[[#This Row],[Month]],Table1[[#This Row],[Day]])</f>
        <v>44631</v>
      </c>
      <c r="C543" s="3">
        <v>11</v>
      </c>
      <c r="D543" s="3">
        <v>3</v>
      </c>
      <c r="E543" s="3">
        <v>2022</v>
      </c>
      <c r="F543" s="3" t="str">
        <f>"Qtr"&amp; " " &amp;CHOOSE(MONTH(Table1[[#This Row],[Date]]),1,1,1,2,2,2,3,3,3,4,4,4)</f>
        <v>Qtr 1</v>
      </c>
      <c r="G543" s="3" t="str">
        <f>TEXT(Table1[[#This Row],[Date]],"mmmm")</f>
        <v>March</v>
      </c>
      <c r="H543" s="3" t="s">
        <v>1085</v>
      </c>
      <c r="I543" s="3" t="s">
        <v>33</v>
      </c>
      <c r="J543" s="3">
        <v>6</v>
      </c>
      <c r="K543" s="3">
        <v>15643.59</v>
      </c>
      <c r="L543" s="3">
        <f>Table1[[#This Row],[Price Per Unit]]*Table1[[#This Row],[Units Sold]]</f>
        <v>93861.540000000008</v>
      </c>
      <c r="M543" s="3" t="s">
        <v>480</v>
      </c>
      <c r="N543" s="3">
        <v>19</v>
      </c>
      <c r="O543" s="3" t="s">
        <v>35</v>
      </c>
      <c r="P543" s="3" t="s">
        <v>21</v>
      </c>
      <c r="Q543" s="4">
        <v>3</v>
      </c>
      <c r="R543" s="4" t="str">
        <f>IF(Table1[[#This Row],[Customer Ratings]]&gt;=4, "Good",IF(Table1[[#This Row],[Customer Ratings]]=3, "Average","Poor"))</f>
        <v>Average</v>
      </c>
      <c r="S543" s="3" t="s">
        <v>46</v>
      </c>
    </row>
    <row r="544" spans="1:19" x14ac:dyDescent="0.25">
      <c r="A544" s="3">
        <v>543</v>
      </c>
      <c r="B544" s="5">
        <f>DATE(Table1[[#This Row],[Year]],Table1[[#This Row],[Month]],Table1[[#This Row],[Day]])</f>
        <v>44631</v>
      </c>
      <c r="C544" s="3">
        <v>11</v>
      </c>
      <c r="D544" s="3">
        <v>3</v>
      </c>
      <c r="E544" s="3">
        <v>2022</v>
      </c>
      <c r="F544" s="3" t="str">
        <f>"Qtr"&amp; " " &amp;CHOOSE(MONTH(Table1[[#This Row],[Date]]),1,1,1,2,2,2,3,3,3,4,4,4)</f>
        <v>Qtr 1</v>
      </c>
      <c r="G544" s="3" t="str">
        <f>TEXT(Table1[[#This Row],[Date]],"mmmm")</f>
        <v>March</v>
      </c>
      <c r="H544" s="3" t="s">
        <v>1085</v>
      </c>
      <c r="I544" s="3" t="s">
        <v>39</v>
      </c>
      <c r="J544" s="3">
        <v>2</v>
      </c>
      <c r="K544" s="3">
        <v>67083.78</v>
      </c>
      <c r="L544" s="3">
        <f>Table1[[#This Row],[Price Per Unit]]*Table1[[#This Row],[Units Sold]]</f>
        <v>134167.56</v>
      </c>
      <c r="M544" s="3" t="s">
        <v>384</v>
      </c>
      <c r="N544" s="3">
        <v>32</v>
      </c>
      <c r="O544" s="3" t="s">
        <v>48</v>
      </c>
      <c r="P544" s="3" t="s">
        <v>31</v>
      </c>
      <c r="Q544" s="4">
        <v>3</v>
      </c>
      <c r="R544" s="4" t="str">
        <f>IF(Table1[[#This Row],[Customer Ratings]]&gt;=4, "Good",IF(Table1[[#This Row],[Customer Ratings]]=3, "Average","Poor"))</f>
        <v>Average</v>
      </c>
      <c r="S544" s="3" t="s">
        <v>76</v>
      </c>
    </row>
    <row r="545" spans="1:19" x14ac:dyDescent="0.25">
      <c r="A545" s="3">
        <v>544</v>
      </c>
      <c r="B545" s="5">
        <f>DATE(Table1[[#This Row],[Year]],Table1[[#This Row],[Month]],Table1[[#This Row],[Day]])</f>
        <v>44631</v>
      </c>
      <c r="C545" s="3">
        <v>11</v>
      </c>
      <c r="D545" s="3">
        <v>3</v>
      </c>
      <c r="E545" s="3">
        <v>2022</v>
      </c>
      <c r="F545" s="3" t="str">
        <f>"Qtr"&amp; " " &amp;CHOOSE(MONTH(Table1[[#This Row],[Date]]),1,1,1,2,2,2,3,3,3,4,4,4)</f>
        <v>Qtr 1</v>
      </c>
      <c r="G545" s="3" t="str">
        <f>TEXT(Table1[[#This Row],[Date]],"mmmm")</f>
        <v>March</v>
      </c>
      <c r="H545" s="3" t="s">
        <v>1085</v>
      </c>
      <c r="I545" s="3" t="s">
        <v>18</v>
      </c>
      <c r="J545" s="3">
        <v>9</v>
      </c>
      <c r="K545" s="3">
        <v>47339</v>
      </c>
      <c r="L545" s="3">
        <f>Table1[[#This Row],[Price Per Unit]]*Table1[[#This Row],[Units Sold]]</f>
        <v>426051</v>
      </c>
      <c r="M545" s="3" t="s">
        <v>481</v>
      </c>
      <c r="N545" s="3">
        <v>34</v>
      </c>
      <c r="O545" s="3" t="s">
        <v>65</v>
      </c>
      <c r="P545" s="3" t="s">
        <v>21</v>
      </c>
      <c r="Q545" s="4">
        <v>2</v>
      </c>
      <c r="R545" s="4" t="str">
        <f>IF(Table1[[#This Row],[Customer Ratings]]&gt;=4, "Good",IF(Table1[[#This Row],[Customer Ratings]]=3, "Average","Poor"))</f>
        <v>Poor</v>
      </c>
      <c r="S545" s="3" t="s">
        <v>25</v>
      </c>
    </row>
    <row r="546" spans="1:19" x14ac:dyDescent="0.25">
      <c r="A546" s="3">
        <v>545</v>
      </c>
      <c r="B546" s="5">
        <f>DATE(Table1[[#This Row],[Year]],Table1[[#This Row],[Month]],Table1[[#This Row],[Day]])</f>
        <v>44632</v>
      </c>
      <c r="C546" s="3">
        <v>12</v>
      </c>
      <c r="D546" s="3">
        <v>3</v>
      </c>
      <c r="E546" s="3">
        <v>2022</v>
      </c>
      <c r="F546" s="3" t="str">
        <f>"Qtr"&amp; " " &amp;CHOOSE(MONTH(Table1[[#This Row],[Date]]),1,1,1,2,2,2,3,3,3,4,4,4)</f>
        <v>Qtr 1</v>
      </c>
      <c r="G546" s="3" t="str">
        <f>TEXT(Table1[[#This Row],[Date]],"mmmm")</f>
        <v>March</v>
      </c>
      <c r="H546" s="3" t="s">
        <v>1079</v>
      </c>
      <c r="I546" s="3" t="s">
        <v>13</v>
      </c>
      <c r="J546" s="3">
        <v>2</v>
      </c>
      <c r="K546" s="3">
        <v>52403.11</v>
      </c>
      <c r="L546" s="3">
        <f>Table1[[#This Row],[Price Per Unit]]*Table1[[#This Row],[Units Sold]]</f>
        <v>104806.22</v>
      </c>
      <c r="M546" s="3" t="s">
        <v>482</v>
      </c>
      <c r="N546" s="3">
        <v>33</v>
      </c>
      <c r="O546" s="3" t="s">
        <v>65</v>
      </c>
      <c r="P546" s="3" t="s">
        <v>21</v>
      </c>
      <c r="Q546" s="4">
        <v>3</v>
      </c>
      <c r="R546" s="4" t="str">
        <f>IF(Table1[[#This Row],[Customer Ratings]]&gt;=4, "Good",IF(Table1[[#This Row],[Customer Ratings]]=3, "Average","Poor"))</f>
        <v>Average</v>
      </c>
      <c r="S546" s="3" t="s">
        <v>72</v>
      </c>
    </row>
    <row r="547" spans="1:19" x14ac:dyDescent="0.25">
      <c r="A547" s="3">
        <v>546</v>
      </c>
      <c r="B547" s="5">
        <f>DATE(Table1[[#This Row],[Year]],Table1[[#This Row],[Month]],Table1[[#This Row],[Day]])</f>
        <v>44632</v>
      </c>
      <c r="C547" s="3">
        <v>12</v>
      </c>
      <c r="D547" s="3">
        <v>3</v>
      </c>
      <c r="E547" s="3">
        <v>2022</v>
      </c>
      <c r="F547" s="3" t="str">
        <f>"Qtr"&amp; " " &amp;CHOOSE(MONTH(Table1[[#This Row],[Date]]),1,1,1,2,2,2,3,3,3,4,4,4)</f>
        <v>Qtr 1</v>
      </c>
      <c r="G547" s="3" t="str">
        <f>TEXT(Table1[[#This Row],[Date]],"mmmm")</f>
        <v>March</v>
      </c>
      <c r="H547" s="3" t="s">
        <v>1079</v>
      </c>
      <c r="I547" s="3" t="s">
        <v>33</v>
      </c>
      <c r="J547" s="3">
        <v>5</v>
      </c>
      <c r="K547" s="3">
        <v>27882.36</v>
      </c>
      <c r="L547" s="3">
        <f>Table1[[#This Row],[Price Per Unit]]*Table1[[#This Row],[Units Sold]]</f>
        <v>139411.79999999999</v>
      </c>
      <c r="M547" s="3" t="s">
        <v>174</v>
      </c>
      <c r="N547" s="3">
        <v>45</v>
      </c>
      <c r="O547" s="3" t="s">
        <v>20</v>
      </c>
      <c r="P547" s="3" t="s">
        <v>21</v>
      </c>
      <c r="Q547" s="4">
        <v>4</v>
      </c>
      <c r="R547" s="4" t="str">
        <f>IF(Table1[[#This Row],[Customer Ratings]]&gt;=4, "Good",IF(Table1[[#This Row],[Customer Ratings]]=3, "Average","Poor"))</f>
        <v>Good</v>
      </c>
      <c r="S547" s="3" t="s">
        <v>83</v>
      </c>
    </row>
    <row r="548" spans="1:19" x14ac:dyDescent="0.25">
      <c r="A548" s="3">
        <v>547</v>
      </c>
      <c r="B548" s="5">
        <f>DATE(Table1[[#This Row],[Year]],Table1[[#This Row],[Month]],Table1[[#This Row],[Day]])</f>
        <v>44632</v>
      </c>
      <c r="C548" s="3">
        <v>12</v>
      </c>
      <c r="D548" s="3">
        <v>3</v>
      </c>
      <c r="E548" s="3">
        <v>2022</v>
      </c>
      <c r="F548" s="3" t="str">
        <f>"Qtr"&amp; " " &amp;CHOOSE(MONTH(Table1[[#This Row],[Date]]),1,1,1,2,2,2,3,3,3,4,4,4)</f>
        <v>Qtr 1</v>
      </c>
      <c r="G548" s="3" t="str">
        <f>TEXT(Table1[[#This Row],[Date]],"mmmm")</f>
        <v>March</v>
      </c>
      <c r="H548" s="3" t="s">
        <v>1079</v>
      </c>
      <c r="I548" s="3" t="s">
        <v>18</v>
      </c>
      <c r="J548" s="3">
        <v>4</v>
      </c>
      <c r="K548" s="3">
        <v>34725.79</v>
      </c>
      <c r="L548" s="3">
        <f>Table1[[#This Row],[Price Per Unit]]*Table1[[#This Row],[Units Sold]]</f>
        <v>138903.16</v>
      </c>
      <c r="M548" s="3" t="s">
        <v>483</v>
      </c>
      <c r="N548" s="3">
        <v>38</v>
      </c>
      <c r="O548" s="3" t="s">
        <v>125</v>
      </c>
      <c r="P548" s="3" t="s">
        <v>21</v>
      </c>
      <c r="Q548" s="4">
        <v>5</v>
      </c>
      <c r="R548" s="4" t="str">
        <f>IF(Table1[[#This Row],[Customer Ratings]]&gt;=4, "Good",IF(Table1[[#This Row],[Customer Ratings]]=3, "Average","Poor"))</f>
        <v>Good</v>
      </c>
      <c r="S548" s="3" t="s">
        <v>22</v>
      </c>
    </row>
    <row r="549" spans="1:19" x14ac:dyDescent="0.25">
      <c r="A549" s="3">
        <v>548</v>
      </c>
      <c r="B549" s="5">
        <f>DATE(Table1[[#This Row],[Year]],Table1[[#This Row],[Month]],Table1[[#This Row],[Day]])</f>
        <v>44633</v>
      </c>
      <c r="C549" s="3">
        <v>13</v>
      </c>
      <c r="D549" s="3">
        <v>3</v>
      </c>
      <c r="E549" s="3">
        <v>2022</v>
      </c>
      <c r="F549" s="3" t="str">
        <f>"Qtr"&amp; " " &amp;CHOOSE(MONTH(Table1[[#This Row],[Date]]),1,1,1,2,2,2,3,3,3,4,4,4)</f>
        <v>Qtr 1</v>
      </c>
      <c r="G549" s="3" t="str">
        <f>TEXT(Table1[[#This Row],[Date]],"mmmm")</f>
        <v>March</v>
      </c>
      <c r="H549" s="3" t="s">
        <v>1080</v>
      </c>
      <c r="I549" s="3" t="s">
        <v>18</v>
      </c>
      <c r="J549" s="3">
        <v>7</v>
      </c>
      <c r="K549" s="3">
        <v>23426.7</v>
      </c>
      <c r="L549" s="3">
        <f>Table1[[#This Row],[Price Per Unit]]*Table1[[#This Row],[Units Sold]]</f>
        <v>163986.9</v>
      </c>
      <c r="M549" s="3" t="s">
        <v>484</v>
      </c>
      <c r="N549" s="3">
        <v>25</v>
      </c>
      <c r="O549" s="3" t="s">
        <v>24</v>
      </c>
      <c r="P549" s="3" t="s">
        <v>31</v>
      </c>
      <c r="Q549" s="4">
        <v>5</v>
      </c>
      <c r="R549" s="4" t="str">
        <f>IF(Table1[[#This Row],[Customer Ratings]]&gt;=4, "Good",IF(Table1[[#This Row],[Customer Ratings]]=3, "Average","Poor"))</f>
        <v>Good</v>
      </c>
      <c r="S549" s="3" t="s">
        <v>22</v>
      </c>
    </row>
    <row r="550" spans="1:19" x14ac:dyDescent="0.25">
      <c r="A550" s="3">
        <v>549</v>
      </c>
      <c r="B550" s="5">
        <f>DATE(Table1[[#This Row],[Year]],Table1[[#This Row],[Month]],Table1[[#This Row],[Day]])</f>
        <v>44633</v>
      </c>
      <c r="C550" s="3">
        <v>13</v>
      </c>
      <c r="D550" s="3">
        <v>3</v>
      </c>
      <c r="E550" s="3">
        <v>2022</v>
      </c>
      <c r="F550" s="3" t="str">
        <f>"Qtr"&amp; " " &amp;CHOOSE(MONTH(Table1[[#This Row],[Date]]),1,1,1,2,2,2,3,3,3,4,4,4)</f>
        <v>Qtr 1</v>
      </c>
      <c r="G550" s="3" t="str">
        <f>TEXT(Table1[[#This Row],[Date]],"mmmm")</f>
        <v>March</v>
      </c>
      <c r="H550" s="3" t="s">
        <v>1080</v>
      </c>
      <c r="I550" s="3" t="s">
        <v>13</v>
      </c>
      <c r="J550" s="3">
        <v>8</v>
      </c>
      <c r="K550" s="3">
        <v>65952.17</v>
      </c>
      <c r="L550" s="3">
        <f>Table1[[#This Row],[Price Per Unit]]*Table1[[#This Row],[Units Sold]]</f>
        <v>527617.36</v>
      </c>
      <c r="M550" s="3" t="s">
        <v>118</v>
      </c>
      <c r="N550" s="3">
        <v>27</v>
      </c>
      <c r="O550" s="3" t="s">
        <v>41</v>
      </c>
      <c r="P550" s="3" t="s">
        <v>31</v>
      </c>
      <c r="Q550" s="4">
        <v>5</v>
      </c>
      <c r="R550" s="4" t="str">
        <f>IF(Table1[[#This Row],[Customer Ratings]]&gt;=4, "Good",IF(Table1[[#This Row],[Customer Ratings]]=3, "Average","Poor"))</f>
        <v>Good</v>
      </c>
      <c r="S550" s="3" t="s">
        <v>27</v>
      </c>
    </row>
    <row r="551" spans="1:19" x14ac:dyDescent="0.25">
      <c r="A551" s="3">
        <v>550</v>
      </c>
      <c r="B551" s="5">
        <f>DATE(Table1[[#This Row],[Year]],Table1[[#This Row],[Month]],Table1[[#This Row],[Day]])</f>
        <v>44633</v>
      </c>
      <c r="C551" s="3">
        <v>13</v>
      </c>
      <c r="D551" s="3">
        <v>3</v>
      </c>
      <c r="E551" s="3">
        <v>2022</v>
      </c>
      <c r="F551" s="3" t="str">
        <f>"Qtr"&amp; " " &amp;CHOOSE(MONTH(Table1[[#This Row],[Date]]),1,1,1,2,2,2,3,3,3,4,4,4)</f>
        <v>Qtr 1</v>
      </c>
      <c r="G551" s="3" t="str">
        <f>TEXT(Table1[[#This Row],[Date]],"mmmm")</f>
        <v>March</v>
      </c>
      <c r="H551" s="3" t="s">
        <v>1080</v>
      </c>
      <c r="I551" s="3" t="s">
        <v>39</v>
      </c>
      <c r="J551" s="3">
        <v>5</v>
      </c>
      <c r="K551" s="3">
        <v>39286.269999999997</v>
      </c>
      <c r="L551" s="3">
        <f>Table1[[#This Row],[Price Per Unit]]*Table1[[#This Row],[Units Sold]]</f>
        <v>196431.34999999998</v>
      </c>
      <c r="M551" s="3" t="s">
        <v>417</v>
      </c>
      <c r="N551" s="3">
        <v>27</v>
      </c>
      <c r="O551" s="3" t="s">
        <v>78</v>
      </c>
      <c r="P551" s="3" t="s">
        <v>45</v>
      </c>
      <c r="Q551" s="4">
        <v>5</v>
      </c>
      <c r="R551" s="4" t="str">
        <f>IF(Table1[[#This Row],[Customer Ratings]]&gt;=4, "Good",IF(Table1[[#This Row],[Customer Ratings]]=3, "Average","Poor"))</f>
        <v>Good</v>
      </c>
      <c r="S551" s="3" t="s">
        <v>90</v>
      </c>
    </row>
    <row r="552" spans="1:19" x14ac:dyDescent="0.25">
      <c r="A552" s="3">
        <v>551</v>
      </c>
      <c r="B552" s="5">
        <f>DATE(Table1[[#This Row],[Year]],Table1[[#This Row],[Month]],Table1[[#This Row],[Day]])</f>
        <v>44633</v>
      </c>
      <c r="C552" s="3">
        <v>13</v>
      </c>
      <c r="D552" s="3">
        <v>3</v>
      </c>
      <c r="E552" s="3">
        <v>2022</v>
      </c>
      <c r="F552" s="3" t="str">
        <f>"Qtr"&amp; " " &amp;CHOOSE(MONTH(Table1[[#This Row],[Date]]),1,1,1,2,2,2,3,3,3,4,4,4)</f>
        <v>Qtr 1</v>
      </c>
      <c r="G552" s="3" t="str">
        <f>TEXT(Table1[[#This Row],[Date]],"mmmm")</f>
        <v>March</v>
      </c>
      <c r="H552" s="3" t="s">
        <v>1080</v>
      </c>
      <c r="I552" s="3" t="s">
        <v>28</v>
      </c>
      <c r="J552" s="3">
        <v>5</v>
      </c>
      <c r="K552" s="3">
        <v>47826.89</v>
      </c>
      <c r="L552" s="3">
        <f>Table1[[#This Row],[Price Per Unit]]*Table1[[#This Row],[Units Sold]]</f>
        <v>239134.45</v>
      </c>
      <c r="M552" s="3" t="s">
        <v>485</v>
      </c>
      <c r="N552" s="3">
        <v>27</v>
      </c>
      <c r="O552" s="3" t="s">
        <v>125</v>
      </c>
      <c r="P552" s="3" t="s">
        <v>31</v>
      </c>
      <c r="Q552" s="4">
        <v>2</v>
      </c>
      <c r="R552" s="4" t="str">
        <f>IF(Table1[[#This Row],[Customer Ratings]]&gt;=4, "Good",IF(Table1[[#This Row],[Customer Ratings]]=3, "Average","Poor"))</f>
        <v>Poor</v>
      </c>
      <c r="S552" s="3" t="s">
        <v>38</v>
      </c>
    </row>
    <row r="553" spans="1:19" x14ac:dyDescent="0.25">
      <c r="A553" s="3">
        <v>552</v>
      </c>
      <c r="B553" s="5">
        <f>DATE(Table1[[#This Row],[Year]],Table1[[#This Row],[Month]],Table1[[#This Row],[Day]])</f>
        <v>44634</v>
      </c>
      <c r="C553" s="3">
        <v>14</v>
      </c>
      <c r="D553" s="3">
        <v>3</v>
      </c>
      <c r="E553" s="3">
        <v>2022</v>
      </c>
      <c r="F553" s="3" t="str">
        <f>"Qtr"&amp; " " &amp;CHOOSE(MONTH(Table1[[#This Row],[Date]]),1,1,1,2,2,2,3,3,3,4,4,4)</f>
        <v>Qtr 1</v>
      </c>
      <c r="G553" s="3" t="str">
        <f>TEXT(Table1[[#This Row],[Date]],"mmmm")</f>
        <v>March</v>
      </c>
      <c r="H553" s="3" t="s">
        <v>1081</v>
      </c>
      <c r="I553" s="3" t="s">
        <v>28</v>
      </c>
      <c r="J553" s="3">
        <v>2</v>
      </c>
      <c r="K553" s="3">
        <v>54056.32</v>
      </c>
      <c r="L553" s="3">
        <f>Table1[[#This Row],[Price Per Unit]]*Table1[[#This Row],[Units Sold]]</f>
        <v>108112.64</v>
      </c>
      <c r="M553" s="3" t="s">
        <v>486</v>
      </c>
      <c r="N553" s="3">
        <v>26</v>
      </c>
      <c r="O553" s="3" t="s">
        <v>120</v>
      </c>
      <c r="P553" s="3" t="s">
        <v>16</v>
      </c>
      <c r="Q553" s="4">
        <v>5</v>
      </c>
      <c r="R553" s="4" t="str">
        <f>IF(Table1[[#This Row],[Customer Ratings]]&gt;=4, "Good",IF(Table1[[#This Row],[Customer Ratings]]=3, "Average","Poor"))</f>
        <v>Good</v>
      </c>
      <c r="S553" s="3" t="s">
        <v>32</v>
      </c>
    </row>
    <row r="554" spans="1:19" x14ac:dyDescent="0.25">
      <c r="A554" s="3">
        <v>553</v>
      </c>
      <c r="B554" s="5">
        <f>DATE(Table1[[#This Row],[Year]],Table1[[#This Row],[Month]],Table1[[#This Row],[Day]])</f>
        <v>44634</v>
      </c>
      <c r="C554" s="3">
        <v>14</v>
      </c>
      <c r="D554" s="3">
        <v>3</v>
      </c>
      <c r="E554" s="3">
        <v>2022</v>
      </c>
      <c r="F554" s="3" t="str">
        <f>"Qtr"&amp; " " &amp;CHOOSE(MONTH(Table1[[#This Row],[Date]]),1,1,1,2,2,2,3,3,3,4,4,4)</f>
        <v>Qtr 1</v>
      </c>
      <c r="G554" s="3" t="str">
        <f>TEXT(Table1[[#This Row],[Date]],"mmmm")</f>
        <v>March</v>
      </c>
      <c r="H554" s="3" t="s">
        <v>1081</v>
      </c>
      <c r="I554" s="3" t="s">
        <v>18</v>
      </c>
      <c r="J554" s="3">
        <v>8</v>
      </c>
      <c r="K554" s="3">
        <v>32266.37</v>
      </c>
      <c r="L554" s="3">
        <f>Table1[[#This Row],[Price Per Unit]]*Table1[[#This Row],[Units Sold]]</f>
        <v>258130.96</v>
      </c>
      <c r="M554" s="3" t="s">
        <v>487</v>
      </c>
      <c r="N554" s="3">
        <v>45</v>
      </c>
      <c r="O554" s="3" t="s">
        <v>48</v>
      </c>
      <c r="P554" s="3" t="s">
        <v>16</v>
      </c>
      <c r="Q554" s="4">
        <v>5</v>
      </c>
      <c r="R554" s="4" t="str">
        <f>IF(Table1[[#This Row],[Customer Ratings]]&gt;=4, "Good",IF(Table1[[#This Row],[Customer Ratings]]=3, "Average","Poor"))</f>
        <v>Good</v>
      </c>
      <c r="S554" s="3" t="s">
        <v>22</v>
      </c>
    </row>
    <row r="555" spans="1:19" x14ac:dyDescent="0.25">
      <c r="A555" s="3">
        <v>554</v>
      </c>
      <c r="B555" s="5">
        <f>DATE(Table1[[#This Row],[Year]],Table1[[#This Row],[Month]],Table1[[#This Row],[Day]])</f>
        <v>44634</v>
      </c>
      <c r="C555" s="3">
        <v>14</v>
      </c>
      <c r="D555" s="3">
        <v>3</v>
      </c>
      <c r="E555" s="3">
        <v>2022</v>
      </c>
      <c r="F555" s="3" t="str">
        <f>"Qtr"&amp; " " &amp;CHOOSE(MONTH(Table1[[#This Row],[Date]]),1,1,1,2,2,2,3,3,3,4,4,4)</f>
        <v>Qtr 1</v>
      </c>
      <c r="G555" s="3" t="str">
        <f>TEXT(Table1[[#This Row],[Date]],"mmmm")</f>
        <v>March</v>
      </c>
      <c r="H555" s="3" t="s">
        <v>1081</v>
      </c>
      <c r="I555" s="3" t="s">
        <v>13</v>
      </c>
      <c r="J555" s="3">
        <v>2</v>
      </c>
      <c r="K555" s="3">
        <v>53206.1</v>
      </c>
      <c r="L555" s="3">
        <f>Table1[[#This Row],[Price Per Unit]]*Table1[[#This Row],[Units Sold]]</f>
        <v>106412.2</v>
      </c>
      <c r="M555" s="3" t="s">
        <v>488</v>
      </c>
      <c r="N555" s="3">
        <v>41</v>
      </c>
      <c r="O555" s="3" t="s">
        <v>81</v>
      </c>
      <c r="P555" s="3" t="s">
        <v>21</v>
      </c>
      <c r="Q555" s="4">
        <v>5</v>
      </c>
      <c r="R555" s="4" t="str">
        <f>IF(Table1[[#This Row],[Customer Ratings]]&gt;=4, "Good",IF(Table1[[#This Row],[Customer Ratings]]=3, "Average","Poor"))</f>
        <v>Good</v>
      </c>
      <c r="S555" s="3" t="s">
        <v>27</v>
      </c>
    </row>
    <row r="556" spans="1:19" x14ac:dyDescent="0.25">
      <c r="A556" s="3">
        <v>555</v>
      </c>
      <c r="B556" s="5">
        <f>DATE(Table1[[#This Row],[Year]],Table1[[#This Row],[Month]],Table1[[#This Row],[Day]])</f>
        <v>44635</v>
      </c>
      <c r="C556" s="3">
        <v>15</v>
      </c>
      <c r="D556" s="3">
        <v>3</v>
      </c>
      <c r="E556" s="3">
        <v>2022</v>
      </c>
      <c r="F556" s="3" t="str">
        <f>"Qtr"&amp; " " &amp;CHOOSE(MONTH(Table1[[#This Row],[Date]]),1,1,1,2,2,2,3,3,3,4,4,4)</f>
        <v>Qtr 1</v>
      </c>
      <c r="G556" s="3" t="str">
        <f>TEXT(Table1[[#This Row],[Date]],"mmmm")</f>
        <v>March</v>
      </c>
      <c r="H556" s="3" t="s">
        <v>1082</v>
      </c>
      <c r="I556" s="3" t="s">
        <v>28</v>
      </c>
      <c r="J556" s="3">
        <v>6</v>
      </c>
      <c r="K556" s="3">
        <v>50559.55</v>
      </c>
      <c r="L556" s="3">
        <f>Table1[[#This Row],[Price Per Unit]]*Table1[[#This Row],[Units Sold]]</f>
        <v>303357.30000000005</v>
      </c>
      <c r="M556" s="3" t="s">
        <v>489</v>
      </c>
      <c r="N556" s="3">
        <v>36</v>
      </c>
      <c r="O556" s="3" t="s">
        <v>24</v>
      </c>
      <c r="P556" s="3" t="s">
        <v>21</v>
      </c>
      <c r="Q556" s="4">
        <v>5</v>
      </c>
      <c r="R556" s="4" t="str">
        <f>IF(Table1[[#This Row],[Customer Ratings]]&gt;=4, "Good",IF(Table1[[#This Row],[Customer Ratings]]=3, "Average","Poor"))</f>
        <v>Good</v>
      </c>
      <c r="S556" s="3" t="s">
        <v>87</v>
      </c>
    </row>
    <row r="557" spans="1:19" x14ac:dyDescent="0.25">
      <c r="A557" s="3">
        <v>556</v>
      </c>
      <c r="B557" s="5">
        <f>DATE(Table1[[#This Row],[Year]],Table1[[#This Row],[Month]],Table1[[#This Row],[Day]])</f>
        <v>44635</v>
      </c>
      <c r="C557" s="3">
        <v>15</v>
      </c>
      <c r="D557" s="3">
        <v>3</v>
      </c>
      <c r="E557" s="3">
        <v>2022</v>
      </c>
      <c r="F557" s="3" t="str">
        <f>"Qtr"&amp; " " &amp;CHOOSE(MONTH(Table1[[#This Row],[Date]]),1,1,1,2,2,2,3,3,3,4,4,4)</f>
        <v>Qtr 1</v>
      </c>
      <c r="G557" s="3" t="str">
        <f>TEXT(Table1[[#This Row],[Date]],"mmmm")</f>
        <v>March</v>
      </c>
      <c r="H557" s="3" t="s">
        <v>1082</v>
      </c>
      <c r="I557" s="3" t="s">
        <v>18</v>
      </c>
      <c r="J557" s="3">
        <v>8</v>
      </c>
      <c r="K557" s="3">
        <v>52339.56</v>
      </c>
      <c r="L557" s="3">
        <f>Table1[[#This Row],[Price Per Unit]]*Table1[[#This Row],[Units Sold]]</f>
        <v>418716.48</v>
      </c>
      <c r="M557" s="3" t="s">
        <v>362</v>
      </c>
      <c r="N557" s="3">
        <v>50</v>
      </c>
      <c r="O557" s="3" t="s">
        <v>24</v>
      </c>
      <c r="P557" s="3" t="s">
        <v>21</v>
      </c>
      <c r="Q557" s="4">
        <v>2</v>
      </c>
      <c r="R557" s="4" t="str">
        <f>IF(Table1[[#This Row],[Customer Ratings]]&gt;=4, "Good",IF(Table1[[#This Row],[Customer Ratings]]=3, "Average","Poor"))</f>
        <v>Poor</v>
      </c>
      <c r="S557" s="3" t="s">
        <v>25</v>
      </c>
    </row>
    <row r="558" spans="1:19" x14ac:dyDescent="0.25">
      <c r="A558" s="3">
        <v>557</v>
      </c>
      <c r="B558" s="5">
        <f>DATE(Table1[[#This Row],[Year]],Table1[[#This Row],[Month]],Table1[[#This Row],[Day]])</f>
        <v>44635</v>
      </c>
      <c r="C558" s="3">
        <v>15</v>
      </c>
      <c r="D558" s="3">
        <v>3</v>
      </c>
      <c r="E558" s="3">
        <v>2022</v>
      </c>
      <c r="F558" s="3" t="str">
        <f>"Qtr"&amp; " " &amp;CHOOSE(MONTH(Table1[[#This Row],[Date]]),1,1,1,2,2,2,3,3,3,4,4,4)</f>
        <v>Qtr 1</v>
      </c>
      <c r="G558" s="3" t="str">
        <f>TEXT(Table1[[#This Row],[Date]],"mmmm")</f>
        <v>March</v>
      </c>
      <c r="H558" s="3" t="s">
        <v>1082</v>
      </c>
      <c r="I558" s="3" t="s">
        <v>39</v>
      </c>
      <c r="J558" s="3">
        <v>6</v>
      </c>
      <c r="K558" s="3">
        <v>39353.79</v>
      </c>
      <c r="L558" s="3">
        <f>Table1[[#This Row],[Price Per Unit]]*Table1[[#This Row],[Units Sold]]</f>
        <v>236122.74</v>
      </c>
      <c r="M558" s="3" t="s">
        <v>490</v>
      </c>
      <c r="N558" s="3">
        <v>21</v>
      </c>
      <c r="O558" s="3" t="s">
        <v>105</v>
      </c>
      <c r="P558" s="3" t="s">
        <v>45</v>
      </c>
      <c r="Q558" s="4">
        <v>5</v>
      </c>
      <c r="R558" s="4" t="str">
        <f>IF(Table1[[#This Row],[Customer Ratings]]&gt;=4, "Good",IF(Table1[[#This Row],[Customer Ratings]]=3, "Average","Poor"))</f>
        <v>Good</v>
      </c>
      <c r="S558" s="3" t="s">
        <v>90</v>
      </c>
    </row>
    <row r="559" spans="1:19" x14ac:dyDescent="0.25">
      <c r="A559" s="3">
        <v>558</v>
      </c>
      <c r="B559" s="5">
        <f>DATE(Table1[[#This Row],[Year]],Table1[[#This Row],[Month]],Table1[[#This Row],[Day]])</f>
        <v>44635</v>
      </c>
      <c r="C559" s="3">
        <v>15</v>
      </c>
      <c r="D559" s="3">
        <v>3</v>
      </c>
      <c r="E559" s="3">
        <v>2022</v>
      </c>
      <c r="F559" s="3" t="str">
        <f>"Qtr"&amp; " " &amp;CHOOSE(MONTH(Table1[[#This Row],[Date]]),1,1,1,2,2,2,3,3,3,4,4,4)</f>
        <v>Qtr 1</v>
      </c>
      <c r="G559" s="3" t="str">
        <f>TEXT(Table1[[#This Row],[Date]],"mmmm")</f>
        <v>March</v>
      </c>
      <c r="H559" s="3" t="s">
        <v>1082</v>
      </c>
      <c r="I559" s="3" t="s">
        <v>28</v>
      </c>
      <c r="J559" s="3">
        <v>4</v>
      </c>
      <c r="K559" s="3">
        <v>32976.239999999998</v>
      </c>
      <c r="L559" s="3">
        <f>Table1[[#This Row],[Price Per Unit]]*Table1[[#This Row],[Units Sold]]</f>
        <v>131904.95999999999</v>
      </c>
      <c r="M559" s="3" t="s">
        <v>164</v>
      </c>
      <c r="N559" s="3">
        <v>20</v>
      </c>
      <c r="O559" s="3" t="s">
        <v>24</v>
      </c>
      <c r="P559" s="3" t="s">
        <v>21</v>
      </c>
      <c r="Q559" s="4">
        <v>2</v>
      </c>
      <c r="R559" s="4" t="str">
        <f>IF(Table1[[#This Row],[Customer Ratings]]&gt;=4, "Good",IF(Table1[[#This Row],[Customer Ratings]]=3, "Average","Poor"))</f>
        <v>Poor</v>
      </c>
      <c r="S559" s="3" t="s">
        <v>87</v>
      </c>
    </row>
    <row r="560" spans="1:19" x14ac:dyDescent="0.25">
      <c r="A560" s="3">
        <v>559</v>
      </c>
      <c r="B560" s="5">
        <f>DATE(Table1[[#This Row],[Year]],Table1[[#This Row],[Month]],Table1[[#This Row],[Day]])</f>
        <v>44636</v>
      </c>
      <c r="C560" s="3">
        <v>16</v>
      </c>
      <c r="D560" s="3">
        <v>3</v>
      </c>
      <c r="E560" s="3">
        <v>2022</v>
      </c>
      <c r="F560" s="3" t="str">
        <f>"Qtr"&amp; " " &amp;CHOOSE(MONTH(Table1[[#This Row],[Date]]),1,1,1,2,2,2,3,3,3,4,4,4)</f>
        <v>Qtr 1</v>
      </c>
      <c r="G560" s="3" t="str">
        <f>TEXT(Table1[[#This Row],[Date]],"mmmm")</f>
        <v>March</v>
      </c>
      <c r="H560" s="3" t="s">
        <v>1083</v>
      </c>
      <c r="I560" s="3" t="s">
        <v>18</v>
      </c>
      <c r="J560" s="3">
        <v>4</v>
      </c>
      <c r="K560" s="3">
        <v>23324.93</v>
      </c>
      <c r="L560" s="3">
        <f>Table1[[#This Row],[Price Per Unit]]*Table1[[#This Row],[Units Sold]]</f>
        <v>93299.72</v>
      </c>
      <c r="M560" s="3" t="s">
        <v>491</v>
      </c>
      <c r="N560" s="3">
        <v>59</v>
      </c>
      <c r="O560" s="3" t="s">
        <v>58</v>
      </c>
      <c r="P560" s="3" t="s">
        <v>45</v>
      </c>
      <c r="Q560" s="4">
        <v>2</v>
      </c>
      <c r="R560" s="4" t="str">
        <f>IF(Table1[[#This Row],[Customer Ratings]]&gt;=4, "Good",IF(Table1[[#This Row],[Customer Ratings]]=3, "Average","Poor"))</f>
        <v>Poor</v>
      </c>
      <c r="S560" s="3" t="s">
        <v>55</v>
      </c>
    </row>
    <row r="561" spans="1:19" x14ac:dyDescent="0.25">
      <c r="A561" s="3">
        <v>560</v>
      </c>
      <c r="B561" s="5">
        <f>DATE(Table1[[#This Row],[Year]],Table1[[#This Row],[Month]],Table1[[#This Row],[Day]])</f>
        <v>44636</v>
      </c>
      <c r="C561" s="3">
        <v>16</v>
      </c>
      <c r="D561" s="3">
        <v>3</v>
      </c>
      <c r="E561" s="3">
        <v>2022</v>
      </c>
      <c r="F561" s="3" t="str">
        <f>"Qtr"&amp; " " &amp;CHOOSE(MONTH(Table1[[#This Row],[Date]]),1,1,1,2,2,2,3,3,3,4,4,4)</f>
        <v>Qtr 1</v>
      </c>
      <c r="G561" s="3" t="str">
        <f>TEXT(Table1[[#This Row],[Date]],"mmmm")</f>
        <v>March</v>
      </c>
      <c r="H561" s="3" t="s">
        <v>1083</v>
      </c>
      <c r="I561" s="3" t="s">
        <v>18</v>
      </c>
      <c r="J561" s="3">
        <v>6</v>
      </c>
      <c r="K561" s="3">
        <v>59477.58</v>
      </c>
      <c r="L561" s="3">
        <f>Table1[[#This Row],[Price Per Unit]]*Table1[[#This Row],[Units Sold]]</f>
        <v>356865.48</v>
      </c>
      <c r="M561" s="3" t="s">
        <v>492</v>
      </c>
      <c r="N561" s="3">
        <v>29</v>
      </c>
      <c r="O561" s="3" t="s">
        <v>81</v>
      </c>
      <c r="P561" s="3" t="s">
        <v>21</v>
      </c>
      <c r="Q561" s="4">
        <v>4</v>
      </c>
      <c r="R561" s="4" t="str">
        <f>IF(Table1[[#This Row],[Customer Ratings]]&gt;=4, "Good",IF(Table1[[#This Row],[Customer Ratings]]=3, "Average","Poor"))</f>
        <v>Good</v>
      </c>
      <c r="S561" s="3" t="s">
        <v>25</v>
      </c>
    </row>
    <row r="562" spans="1:19" x14ac:dyDescent="0.25">
      <c r="A562" s="3">
        <v>561</v>
      </c>
      <c r="B562" s="5">
        <f>DATE(Table1[[#This Row],[Year]],Table1[[#This Row],[Month]],Table1[[#This Row],[Day]])</f>
        <v>44636</v>
      </c>
      <c r="C562" s="3">
        <v>16</v>
      </c>
      <c r="D562" s="3">
        <v>3</v>
      </c>
      <c r="E562" s="3">
        <v>2022</v>
      </c>
      <c r="F562" s="3" t="str">
        <f>"Qtr"&amp; " " &amp;CHOOSE(MONTH(Table1[[#This Row],[Date]]),1,1,1,2,2,2,3,3,3,4,4,4)</f>
        <v>Qtr 1</v>
      </c>
      <c r="G562" s="3" t="str">
        <f>TEXT(Table1[[#This Row],[Date]],"mmmm")</f>
        <v>March</v>
      </c>
      <c r="H562" s="3" t="s">
        <v>1083</v>
      </c>
      <c r="I562" s="3" t="s">
        <v>33</v>
      </c>
      <c r="J562" s="3">
        <v>4</v>
      </c>
      <c r="K562" s="3">
        <v>46501</v>
      </c>
      <c r="L562" s="3">
        <f>Table1[[#This Row],[Price Per Unit]]*Table1[[#This Row],[Units Sold]]</f>
        <v>186004</v>
      </c>
      <c r="M562" s="3" t="s">
        <v>359</v>
      </c>
      <c r="N562" s="3">
        <v>35</v>
      </c>
      <c r="O562" s="3" t="s">
        <v>65</v>
      </c>
      <c r="P562" s="3" t="s">
        <v>16</v>
      </c>
      <c r="Q562" s="4">
        <v>5</v>
      </c>
      <c r="R562" s="4" t="str">
        <f>IF(Table1[[#This Row],[Customer Ratings]]&gt;=4, "Good",IF(Table1[[#This Row],[Customer Ratings]]=3, "Average","Poor"))</f>
        <v>Good</v>
      </c>
      <c r="S562" s="3" t="s">
        <v>83</v>
      </c>
    </row>
    <row r="563" spans="1:19" x14ac:dyDescent="0.25">
      <c r="A563" s="3">
        <v>562</v>
      </c>
      <c r="B563" s="5">
        <f>DATE(Table1[[#This Row],[Year]],Table1[[#This Row],[Month]],Table1[[#This Row],[Day]])</f>
        <v>44637</v>
      </c>
      <c r="C563" s="3">
        <v>17</v>
      </c>
      <c r="D563" s="3">
        <v>3</v>
      </c>
      <c r="E563" s="3">
        <v>2022</v>
      </c>
      <c r="F563" s="3" t="str">
        <f>"Qtr"&amp; " " &amp;CHOOSE(MONTH(Table1[[#This Row],[Date]]),1,1,1,2,2,2,3,3,3,4,4,4)</f>
        <v>Qtr 1</v>
      </c>
      <c r="G563" s="3" t="str">
        <f>TEXT(Table1[[#This Row],[Date]],"mmmm")</f>
        <v>March</v>
      </c>
      <c r="H563" s="3" t="s">
        <v>1084</v>
      </c>
      <c r="I563" s="3" t="s">
        <v>39</v>
      </c>
      <c r="J563" s="3">
        <v>8</v>
      </c>
      <c r="K563" s="3">
        <v>36661.129999999997</v>
      </c>
      <c r="L563" s="3">
        <f>Table1[[#This Row],[Price Per Unit]]*Table1[[#This Row],[Units Sold]]</f>
        <v>293289.03999999998</v>
      </c>
      <c r="M563" s="3" t="s">
        <v>136</v>
      </c>
      <c r="N563" s="3">
        <v>40</v>
      </c>
      <c r="O563" s="3" t="s">
        <v>78</v>
      </c>
      <c r="P563" s="3" t="s">
        <v>21</v>
      </c>
      <c r="Q563" s="4">
        <v>5</v>
      </c>
      <c r="R563" s="4" t="str">
        <f>IF(Table1[[#This Row],[Customer Ratings]]&gt;=4, "Good",IF(Table1[[#This Row],[Customer Ratings]]=3, "Average","Poor"))</f>
        <v>Good</v>
      </c>
      <c r="S563" s="3" t="s">
        <v>90</v>
      </c>
    </row>
    <row r="564" spans="1:19" x14ac:dyDescent="0.25">
      <c r="A564" s="3">
        <v>563</v>
      </c>
      <c r="B564" s="5">
        <f>DATE(Table1[[#This Row],[Year]],Table1[[#This Row],[Month]],Table1[[#This Row],[Day]])</f>
        <v>44637</v>
      </c>
      <c r="C564" s="3">
        <v>17</v>
      </c>
      <c r="D564" s="3">
        <v>3</v>
      </c>
      <c r="E564" s="3">
        <v>2022</v>
      </c>
      <c r="F564" s="3" t="str">
        <f>"Qtr"&amp; " " &amp;CHOOSE(MONTH(Table1[[#This Row],[Date]]),1,1,1,2,2,2,3,3,3,4,4,4)</f>
        <v>Qtr 1</v>
      </c>
      <c r="G564" s="3" t="str">
        <f>TEXT(Table1[[#This Row],[Date]],"mmmm")</f>
        <v>March</v>
      </c>
      <c r="H564" s="3" t="s">
        <v>1084</v>
      </c>
      <c r="I564" s="3" t="s">
        <v>33</v>
      </c>
      <c r="J564" s="3">
        <v>9</v>
      </c>
      <c r="K564" s="3">
        <v>66639.75</v>
      </c>
      <c r="L564" s="3">
        <f>Table1[[#This Row],[Price Per Unit]]*Table1[[#This Row],[Units Sold]]</f>
        <v>599757.75</v>
      </c>
      <c r="M564" s="3" t="s">
        <v>487</v>
      </c>
      <c r="N564" s="3">
        <v>37</v>
      </c>
      <c r="O564" s="3" t="s">
        <v>58</v>
      </c>
      <c r="P564" s="3" t="s">
        <v>31</v>
      </c>
      <c r="Q564" s="4">
        <v>3</v>
      </c>
      <c r="R564" s="4" t="str">
        <f>IF(Table1[[#This Row],[Customer Ratings]]&gt;=4, "Good",IF(Table1[[#This Row],[Customer Ratings]]=3, "Average","Poor"))</f>
        <v>Average</v>
      </c>
      <c r="S564" s="3" t="s">
        <v>46</v>
      </c>
    </row>
    <row r="565" spans="1:19" x14ac:dyDescent="0.25">
      <c r="A565" s="3">
        <v>564</v>
      </c>
      <c r="B565" s="5">
        <f>DATE(Table1[[#This Row],[Year]],Table1[[#This Row],[Month]],Table1[[#This Row],[Day]])</f>
        <v>44637</v>
      </c>
      <c r="C565" s="3">
        <v>17</v>
      </c>
      <c r="D565" s="3">
        <v>3</v>
      </c>
      <c r="E565" s="3">
        <v>2022</v>
      </c>
      <c r="F565" s="3" t="str">
        <f>"Qtr"&amp; " " &amp;CHOOSE(MONTH(Table1[[#This Row],[Date]]),1,1,1,2,2,2,3,3,3,4,4,4)</f>
        <v>Qtr 1</v>
      </c>
      <c r="G565" s="3" t="str">
        <f>TEXT(Table1[[#This Row],[Date]],"mmmm")</f>
        <v>March</v>
      </c>
      <c r="H565" s="3" t="s">
        <v>1084</v>
      </c>
      <c r="I565" s="3" t="s">
        <v>13</v>
      </c>
      <c r="J565" s="3">
        <v>1</v>
      </c>
      <c r="K565" s="3">
        <v>12870.33</v>
      </c>
      <c r="L565" s="3">
        <f>Table1[[#This Row],[Price Per Unit]]*Table1[[#This Row],[Units Sold]]</f>
        <v>12870.33</v>
      </c>
      <c r="M565" s="3" t="s">
        <v>457</v>
      </c>
      <c r="N565" s="3">
        <v>23</v>
      </c>
      <c r="O565" s="3" t="s">
        <v>48</v>
      </c>
      <c r="P565" s="3" t="s">
        <v>21</v>
      </c>
      <c r="Q565" s="4">
        <v>5</v>
      </c>
      <c r="R565" s="4" t="str">
        <f>IF(Table1[[#This Row],[Customer Ratings]]&gt;=4, "Good",IF(Table1[[#This Row],[Customer Ratings]]=3, "Average","Poor"))</f>
        <v>Good</v>
      </c>
      <c r="S565" s="3" t="s">
        <v>27</v>
      </c>
    </row>
    <row r="566" spans="1:19" x14ac:dyDescent="0.25">
      <c r="A566" s="3">
        <v>565</v>
      </c>
      <c r="B566" s="5">
        <f>DATE(Table1[[#This Row],[Year]],Table1[[#This Row],[Month]],Table1[[#This Row],[Day]])</f>
        <v>44637</v>
      </c>
      <c r="C566" s="3">
        <v>17</v>
      </c>
      <c r="D566" s="3">
        <v>3</v>
      </c>
      <c r="E566" s="3">
        <v>2022</v>
      </c>
      <c r="F566" s="3" t="str">
        <f>"Qtr"&amp; " " &amp;CHOOSE(MONTH(Table1[[#This Row],[Date]]),1,1,1,2,2,2,3,3,3,4,4,4)</f>
        <v>Qtr 1</v>
      </c>
      <c r="G566" s="3" t="str">
        <f>TEXT(Table1[[#This Row],[Date]],"mmmm")</f>
        <v>March</v>
      </c>
      <c r="H566" s="3" t="s">
        <v>1084</v>
      </c>
      <c r="I566" s="3" t="s">
        <v>33</v>
      </c>
      <c r="J566" s="3">
        <v>4</v>
      </c>
      <c r="K566" s="3">
        <v>61010.32</v>
      </c>
      <c r="L566" s="3">
        <f>Table1[[#This Row],[Price Per Unit]]*Table1[[#This Row],[Units Sold]]</f>
        <v>244041.28</v>
      </c>
      <c r="M566" s="3" t="s">
        <v>110</v>
      </c>
      <c r="N566" s="3">
        <v>51</v>
      </c>
      <c r="O566" s="3" t="s">
        <v>20</v>
      </c>
      <c r="P566" s="3" t="s">
        <v>31</v>
      </c>
      <c r="Q566" s="4">
        <v>4</v>
      </c>
      <c r="R566" s="4" t="str">
        <f>IF(Table1[[#This Row],[Customer Ratings]]&gt;=4, "Good",IF(Table1[[#This Row],[Customer Ratings]]=3, "Average","Poor"))</f>
        <v>Good</v>
      </c>
      <c r="S566" s="3" t="s">
        <v>36</v>
      </c>
    </row>
    <row r="567" spans="1:19" x14ac:dyDescent="0.25">
      <c r="A567" s="3">
        <v>566</v>
      </c>
      <c r="B567" s="5">
        <f>DATE(Table1[[#This Row],[Year]],Table1[[#This Row],[Month]],Table1[[#This Row],[Day]])</f>
        <v>44638</v>
      </c>
      <c r="C567" s="3">
        <v>18</v>
      </c>
      <c r="D567" s="3">
        <v>3</v>
      </c>
      <c r="E567" s="3">
        <v>2022</v>
      </c>
      <c r="F567" s="3" t="str">
        <f>"Qtr"&amp; " " &amp;CHOOSE(MONTH(Table1[[#This Row],[Date]]),1,1,1,2,2,2,3,3,3,4,4,4)</f>
        <v>Qtr 1</v>
      </c>
      <c r="G567" s="3" t="str">
        <f>TEXT(Table1[[#This Row],[Date]],"mmmm")</f>
        <v>March</v>
      </c>
      <c r="H567" s="3" t="s">
        <v>1085</v>
      </c>
      <c r="I567" s="3" t="s">
        <v>33</v>
      </c>
      <c r="J567" s="3">
        <v>4</v>
      </c>
      <c r="K567" s="3">
        <v>69854.960000000006</v>
      </c>
      <c r="L567" s="3">
        <f>Table1[[#This Row],[Price Per Unit]]*Table1[[#This Row],[Units Sold]]</f>
        <v>279419.84000000003</v>
      </c>
      <c r="M567" s="3" t="s">
        <v>493</v>
      </c>
      <c r="N567" s="3">
        <v>59</v>
      </c>
      <c r="O567" s="3" t="s">
        <v>102</v>
      </c>
      <c r="P567" s="3" t="s">
        <v>31</v>
      </c>
      <c r="Q567" s="4">
        <v>5</v>
      </c>
      <c r="R567" s="4" t="str">
        <f>IF(Table1[[#This Row],[Customer Ratings]]&gt;=4, "Good",IF(Table1[[#This Row],[Customer Ratings]]=3, "Average","Poor"))</f>
        <v>Good</v>
      </c>
      <c r="S567" s="3" t="s">
        <v>46</v>
      </c>
    </row>
    <row r="568" spans="1:19" x14ac:dyDescent="0.25">
      <c r="A568" s="3">
        <v>567</v>
      </c>
      <c r="B568" s="5">
        <f>DATE(Table1[[#This Row],[Year]],Table1[[#This Row],[Month]],Table1[[#This Row],[Day]])</f>
        <v>44638</v>
      </c>
      <c r="C568" s="3">
        <v>18</v>
      </c>
      <c r="D568" s="3">
        <v>3</v>
      </c>
      <c r="E568" s="3">
        <v>2022</v>
      </c>
      <c r="F568" s="3" t="str">
        <f>"Qtr"&amp; " " &amp;CHOOSE(MONTH(Table1[[#This Row],[Date]]),1,1,1,2,2,2,3,3,3,4,4,4)</f>
        <v>Qtr 1</v>
      </c>
      <c r="G568" s="3" t="str">
        <f>TEXT(Table1[[#This Row],[Date]],"mmmm")</f>
        <v>March</v>
      </c>
      <c r="H568" s="3" t="s">
        <v>1085</v>
      </c>
      <c r="I568" s="3" t="s">
        <v>28</v>
      </c>
      <c r="J568" s="3">
        <v>2</v>
      </c>
      <c r="K568" s="3">
        <v>63216.53</v>
      </c>
      <c r="L568" s="3">
        <f>Table1[[#This Row],[Price Per Unit]]*Table1[[#This Row],[Units Sold]]</f>
        <v>126433.06</v>
      </c>
      <c r="M568" s="3" t="s">
        <v>494</v>
      </c>
      <c r="N568" s="3">
        <v>19</v>
      </c>
      <c r="O568" s="3" t="s">
        <v>30</v>
      </c>
      <c r="P568" s="3" t="s">
        <v>31</v>
      </c>
      <c r="Q568" s="4">
        <v>3</v>
      </c>
      <c r="R568" s="4" t="str">
        <f>IF(Table1[[#This Row],[Customer Ratings]]&gt;=4, "Good",IF(Table1[[#This Row],[Customer Ratings]]=3, "Average","Poor"))</f>
        <v>Average</v>
      </c>
      <c r="S568" s="3" t="s">
        <v>32</v>
      </c>
    </row>
    <row r="569" spans="1:19" x14ac:dyDescent="0.25">
      <c r="A569" s="3">
        <v>568</v>
      </c>
      <c r="B569" s="5">
        <f>DATE(Table1[[#This Row],[Year]],Table1[[#This Row],[Month]],Table1[[#This Row],[Day]])</f>
        <v>44638</v>
      </c>
      <c r="C569" s="3">
        <v>18</v>
      </c>
      <c r="D569" s="3">
        <v>3</v>
      </c>
      <c r="E569" s="3">
        <v>2022</v>
      </c>
      <c r="F569" s="3" t="str">
        <f>"Qtr"&amp; " " &amp;CHOOSE(MONTH(Table1[[#This Row],[Date]]),1,1,1,2,2,2,3,3,3,4,4,4)</f>
        <v>Qtr 1</v>
      </c>
      <c r="G569" s="3" t="str">
        <f>TEXT(Table1[[#This Row],[Date]],"mmmm")</f>
        <v>March</v>
      </c>
      <c r="H569" s="3" t="s">
        <v>1085</v>
      </c>
      <c r="I569" s="3" t="s">
        <v>18</v>
      </c>
      <c r="J569" s="3">
        <v>6</v>
      </c>
      <c r="K569" s="3">
        <v>58626.2</v>
      </c>
      <c r="L569" s="3">
        <f>Table1[[#This Row],[Price Per Unit]]*Table1[[#This Row],[Units Sold]]</f>
        <v>351757.19999999995</v>
      </c>
      <c r="M569" s="3" t="s">
        <v>493</v>
      </c>
      <c r="N569" s="3">
        <v>47</v>
      </c>
      <c r="O569" s="3" t="s">
        <v>120</v>
      </c>
      <c r="P569" s="3" t="s">
        <v>31</v>
      </c>
      <c r="Q569" s="4">
        <v>4</v>
      </c>
      <c r="R569" s="4" t="str">
        <f>IF(Table1[[#This Row],[Customer Ratings]]&gt;=4, "Good",IF(Table1[[#This Row],[Customer Ratings]]=3, "Average","Poor"))</f>
        <v>Good</v>
      </c>
      <c r="S569" s="3" t="s">
        <v>25</v>
      </c>
    </row>
    <row r="570" spans="1:19" x14ac:dyDescent="0.25">
      <c r="A570" s="3">
        <v>569</v>
      </c>
      <c r="B570" s="5">
        <f>DATE(Table1[[#This Row],[Year]],Table1[[#This Row],[Month]],Table1[[#This Row],[Day]])</f>
        <v>44639</v>
      </c>
      <c r="C570" s="3">
        <v>19</v>
      </c>
      <c r="D570" s="3">
        <v>3</v>
      </c>
      <c r="E570" s="3">
        <v>2022</v>
      </c>
      <c r="F570" s="3" t="str">
        <f>"Qtr"&amp; " " &amp;CHOOSE(MONTH(Table1[[#This Row],[Date]]),1,1,1,2,2,2,3,3,3,4,4,4)</f>
        <v>Qtr 1</v>
      </c>
      <c r="G570" s="3" t="str">
        <f>TEXT(Table1[[#This Row],[Date]],"mmmm")</f>
        <v>March</v>
      </c>
      <c r="H570" s="3" t="s">
        <v>1079</v>
      </c>
      <c r="I570" s="3" t="s">
        <v>39</v>
      </c>
      <c r="J570" s="3">
        <v>3</v>
      </c>
      <c r="K570" s="3">
        <v>32458.36</v>
      </c>
      <c r="L570" s="3">
        <f>Table1[[#This Row],[Price Per Unit]]*Table1[[#This Row],[Units Sold]]</f>
        <v>97375.08</v>
      </c>
      <c r="M570" s="3" t="s">
        <v>131</v>
      </c>
      <c r="N570" s="3">
        <v>26</v>
      </c>
      <c r="O570" s="3" t="s">
        <v>20</v>
      </c>
      <c r="P570" s="3" t="s">
        <v>45</v>
      </c>
      <c r="Q570" s="4">
        <v>2</v>
      </c>
      <c r="R570" s="4" t="str">
        <f>IF(Table1[[#This Row],[Customer Ratings]]&gt;=4, "Good",IF(Table1[[#This Row],[Customer Ratings]]=3, "Average","Poor"))</f>
        <v>Poor</v>
      </c>
      <c r="S570" s="3" t="s">
        <v>76</v>
      </c>
    </row>
    <row r="571" spans="1:19" x14ac:dyDescent="0.25">
      <c r="A571" s="3">
        <v>570</v>
      </c>
      <c r="B571" s="5">
        <f>DATE(Table1[[#This Row],[Year]],Table1[[#This Row],[Month]],Table1[[#This Row],[Day]])</f>
        <v>44639</v>
      </c>
      <c r="C571" s="3">
        <v>19</v>
      </c>
      <c r="D571" s="3">
        <v>3</v>
      </c>
      <c r="E571" s="3">
        <v>2022</v>
      </c>
      <c r="F571" s="3" t="str">
        <f>"Qtr"&amp; " " &amp;CHOOSE(MONTH(Table1[[#This Row],[Date]]),1,1,1,2,2,2,3,3,3,4,4,4)</f>
        <v>Qtr 1</v>
      </c>
      <c r="G571" s="3" t="str">
        <f>TEXT(Table1[[#This Row],[Date]],"mmmm")</f>
        <v>March</v>
      </c>
      <c r="H571" s="3" t="s">
        <v>1079</v>
      </c>
      <c r="I571" s="3" t="s">
        <v>33</v>
      </c>
      <c r="J571" s="3">
        <v>7</v>
      </c>
      <c r="K571" s="3">
        <v>23878.85</v>
      </c>
      <c r="L571" s="3">
        <f>Table1[[#This Row],[Price Per Unit]]*Table1[[#This Row],[Units Sold]]</f>
        <v>167151.94999999998</v>
      </c>
      <c r="M571" s="3" t="s">
        <v>495</v>
      </c>
      <c r="N571" s="3">
        <v>44</v>
      </c>
      <c r="O571" s="3" t="s">
        <v>20</v>
      </c>
      <c r="P571" s="3" t="s">
        <v>45</v>
      </c>
      <c r="Q571" s="4">
        <v>5</v>
      </c>
      <c r="R571" s="4" t="str">
        <f>IF(Table1[[#This Row],[Customer Ratings]]&gt;=4, "Good",IF(Table1[[#This Row],[Customer Ratings]]=3, "Average","Poor"))</f>
        <v>Good</v>
      </c>
      <c r="S571" s="3" t="s">
        <v>83</v>
      </c>
    </row>
    <row r="572" spans="1:19" x14ac:dyDescent="0.25">
      <c r="A572" s="3">
        <v>571</v>
      </c>
      <c r="B572" s="5">
        <f>DATE(Table1[[#This Row],[Year]],Table1[[#This Row],[Month]],Table1[[#This Row],[Day]])</f>
        <v>44639</v>
      </c>
      <c r="C572" s="3">
        <v>19</v>
      </c>
      <c r="D572" s="3">
        <v>3</v>
      </c>
      <c r="E572" s="3">
        <v>2022</v>
      </c>
      <c r="F572" s="3" t="str">
        <f>"Qtr"&amp; " " &amp;CHOOSE(MONTH(Table1[[#This Row],[Date]]),1,1,1,2,2,2,3,3,3,4,4,4)</f>
        <v>Qtr 1</v>
      </c>
      <c r="G572" s="3" t="str">
        <f>TEXT(Table1[[#This Row],[Date]],"mmmm")</f>
        <v>March</v>
      </c>
      <c r="H572" s="3" t="s">
        <v>1079</v>
      </c>
      <c r="I572" s="3" t="s">
        <v>39</v>
      </c>
      <c r="J572" s="3">
        <v>5</v>
      </c>
      <c r="K572" s="3">
        <v>54091.03</v>
      </c>
      <c r="L572" s="3">
        <f>Table1[[#This Row],[Price Per Unit]]*Table1[[#This Row],[Units Sold]]</f>
        <v>270455.15000000002</v>
      </c>
      <c r="M572" s="3" t="s">
        <v>496</v>
      </c>
      <c r="N572" s="3">
        <v>59</v>
      </c>
      <c r="O572" s="3" t="s">
        <v>20</v>
      </c>
      <c r="P572" s="3" t="s">
        <v>21</v>
      </c>
      <c r="Q572" s="4">
        <v>5</v>
      </c>
      <c r="R572" s="4" t="str">
        <f>IF(Table1[[#This Row],[Customer Ratings]]&gt;=4, "Good",IF(Table1[[#This Row],[Customer Ratings]]=3, "Average","Poor"))</f>
        <v>Good</v>
      </c>
      <c r="S572" s="3" t="s">
        <v>76</v>
      </c>
    </row>
    <row r="573" spans="1:19" x14ac:dyDescent="0.25">
      <c r="A573" s="3">
        <v>572</v>
      </c>
      <c r="B573" s="5">
        <f>DATE(Table1[[#This Row],[Year]],Table1[[#This Row],[Month]],Table1[[#This Row],[Day]])</f>
        <v>44640</v>
      </c>
      <c r="C573" s="3">
        <v>20</v>
      </c>
      <c r="D573" s="3">
        <v>3</v>
      </c>
      <c r="E573" s="3">
        <v>2022</v>
      </c>
      <c r="F573" s="3" t="str">
        <f>"Qtr"&amp; " " &amp;CHOOSE(MONTH(Table1[[#This Row],[Date]]),1,1,1,2,2,2,3,3,3,4,4,4)</f>
        <v>Qtr 1</v>
      </c>
      <c r="G573" s="3" t="str">
        <f>TEXT(Table1[[#This Row],[Date]],"mmmm")</f>
        <v>March</v>
      </c>
      <c r="H573" s="3" t="s">
        <v>1080</v>
      </c>
      <c r="I573" s="3" t="s">
        <v>33</v>
      </c>
      <c r="J573" s="3">
        <v>4</v>
      </c>
      <c r="K573" s="3">
        <v>28274.52</v>
      </c>
      <c r="L573" s="3">
        <f>Table1[[#This Row],[Price Per Unit]]*Table1[[#This Row],[Units Sold]]</f>
        <v>113098.08</v>
      </c>
      <c r="M573" s="3" t="s">
        <v>394</v>
      </c>
      <c r="N573" s="3">
        <v>51</v>
      </c>
      <c r="O573" s="3" t="s">
        <v>24</v>
      </c>
      <c r="P573" s="3" t="s">
        <v>21</v>
      </c>
      <c r="Q573" s="4">
        <v>4</v>
      </c>
      <c r="R573" s="4" t="str">
        <f>IF(Table1[[#This Row],[Customer Ratings]]&gt;=4, "Good",IF(Table1[[#This Row],[Customer Ratings]]=3, "Average","Poor"))</f>
        <v>Good</v>
      </c>
      <c r="S573" s="3" t="s">
        <v>83</v>
      </c>
    </row>
    <row r="574" spans="1:19" x14ac:dyDescent="0.25">
      <c r="A574" s="3">
        <v>573</v>
      </c>
      <c r="B574" s="5">
        <f>DATE(Table1[[#This Row],[Year]],Table1[[#This Row],[Month]],Table1[[#This Row],[Day]])</f>
        <v>44640</v>
      </c>
      <c r="C574" s="3">
        <v>20</v>
      </c>
      <c r="D574" s="3">
        <v>3</v>
      </c>
      <c r="E574" s="3">
        <v>2022</v>
      </c>
      <c r="F574" s="3" t="str">
        <f>"Qtr"&amp; " " &amp;CHOOSE(MONTH(Table1[[#This Row],[Date]]),1,1,1,2,2,2,3,3,3,4,4,4)</f>
        <v>Qtr 1</v>
      </c>
      <c r="G574" s="3" t="str">
        <f>TEXT(Table1[[#This Row],[Date]],"mmmm")</f>
        <v>March</v>
      </c>
      <c r="H574" s="3" t="s">
        <v>1080</v>
      </c>
      <c r="I574" s="3" t="s">
        <v>13</v>
      </c>
      <c r="J574" s="3">
        <v>5</v>
      </c>
      <c r="K574" s="3">
        <v>20562.38</v>
      </c>
      <c r="L574" s="3">
        <f>Table1[[#This Row],[Price Per Unit]]*Table1[[#This Row],[Units Sold]]</f>
        <v>102811.90000000001</v>
      </c>
      <c r="M574" s="3" t="s">
        <v>497</v>
      </c>
      <c r="N574" s="3">
        <v>57</v>
      </c>
      <c r="O574" s="3" t="s">
        <v>102</v>
      </c>
      <c r="P574" s="3" t="s">
        <v>45</v>
      </c>
      <c r="Q574" s="4">
        <v>3</v>
      </c>
      <c r="R574" s="4" t="str">
        <f>IF(Table1[[#This Row],[Customer Ratings]]&gt;=4, "Good",IF(Table1[[#This Row],[Customer Ratings]]=3, "Average","Poor"))</f>
        <v>Average</v>
      </c>
      <c r="S574" s="3" t="s">
        <v>17</v>
      </c>
    </row>
    <row r="575" spans="1:19" x14ac:dyDescent="0.25">
      <c r="A575" s="3">
        <v>574</v>
      </c>
      <c r="B575" s="5">
        <f>DATE(Table1[[#This Row],[Year]],Table1[[#This Row],[Month]],Table1[[#This Row],[Day]])</f>
        <v>44640</v>
      </c>
      <c r="C575" s="3">
        <v>20</v>
      </c>
      <c r="D575" s="3">
        <v>3</v>
      </c>
      <c r="E575" s="3">
        <v>2022</v>
      </c>
      <c r="F575" s="3" t="str">
        <f>"Qtr"&amp; " " &amp;CHOOSE(MONTH(Table1[[#This Row],[Date]]),1,1,1,2,2,2,3,3,3,4,4,4)</f>
        <v>Qtr 1</v>
      </c>
      <c r="G575" s="3" t="str">
        <f>TEXT(Table1[[#This Row],[Date]],"mmmm")</f>
        <v>March</v>
      </c>
      <c r="H575" s="3" t="s">
        <v>1080</v>
      </c>
      <c r="I575" s="3" t="s">
        <v>33</v>
      </c>
      <c r="J575" s="3">
        <v>8</v>
      </c>
      <c r="K575" s="3">
        <v>57191.55</v>
      </c>
      <c r="L575" s="3">
        <f>Table1[[#This Row],[Price Per Unit]]*Table1[[#This Row],[Units Sold]]</f>
        <v>457532.4</v>
      </c>
      <c r="M575" s="3" t="s">
        <v>498</v>
      </c>
      <c r="N575" s="3">
        <v>41</v>
      </c>
      <c r="O575" s="3" t="s">
        <v>125</v>
      </c>
      <c r="P575" s="3" t="s">
        <v>21</v>
      </c>
      <c r="Q575" s="4">
        <v>5</v>
      </c>
      <c r="R575" s="4" t="str">
        <f>IF(Table1[[#This Row],[Customer Ratings]]&gt;=4, "Good",IF(Table1[[#This Row],[Customer Ratings]]=3, "Average","Poor"))</f>
        <v>Good</v>
      </c>
      <c r="S575" s="3" t="s">
        <v>46</v>
      </c>
    </row>
    <row r="576" spans="1:19" x14ac:dyDescent="0.25">
      <c r="A576" s="3">
        <v>575</v>
      </c>
      <c r="B576" s="5">
        <f>DATE(Table1[[#This Row],[Year]],Table1[[#This Row],[Month]],Table1[[#This Row],[Day]])</f>
        <v>44640</v>
      </c>
      <c r="C576" s="3">
        <v>20</v>
      </c>
      <c r="D576" s="3">
        <v>3</v>
      </c>
      <c r="E576" s="3">
        <v>2022</v>
      </c>
      <c r="F576" s="3" t="str">
        <f>"Qtr"&amp; " " &amp;CHOOSE(MONTH(Table1[[#This Row],[Date]]),1,1,1,2,2,2,3,3,3,4,4,4)</f>
        <v>Qtr 1</v>
      </c>
      <c r="G576" s="3" t="str">
        <f>TEXT(Table1[[#This Row],[Date]],"mmmm")</f>
        <v>March</v>
      </c>
      <c r="H576" s="3" t="s">
        <v>1080</v>
      </c>
      <c r="I576" s="3" t="s">
        <v>28</v>
      </c>
      <c r="J576" s="3">
        <v>3</v>
      </c>
      <c r="K576" s="3">
        <v>28752.62</v>
      </c>
      <c r="L576" s="3">
        <f>Table1[[#This Row],[Price Per Unit]]*Table1[[#This Row],[Units Sold]]</f>
        <v>86257.86</v>
      </c>
      <c r="M576" s="3" t="s">
        <v>303</v>
      </c>
      <c r="N576" s="3">
        <v>34</v>
      </c>
      <c r="O576" s="3" t="s">
        <v>20</v>
      </c>
      <c r="P576" s="3" t="s">
        <v>21</v>
      </c>
      <c r="Q576" s="4">
        <v>2</v>
      </c>
      <c r="R576" s="4" t="str">
        <f>IF(Table1[[#This Row],[Customer Ratings]]&gt;=4, "Good",IF(Table1[[#This Row],[Customer Ratings]]=3, "Average","Poor"))</f>
        <v>Poor</v>
      </c>
      <c r="S576" s="3" t="s">
        <v>38</v>
      </c>
    </row>
    <row r="577" spans="1:19" x14ac:dyDescent="0.25">
      <c r="A577" s="3">
        <v>576</v>
      </c>
      <c r="B577" s="5">
        <f>DATE(Table1[[#This Row],[Year]],Table1[[#This Row],[Month]],Table1[[#This Row],[Day]])</f>
        <v>44641</v>
      </c>
      <c r="C577" s="3">
        <v>21</v>
      </c>
      <c r="D577" s="3">
        <v>3</v>
      </c>
      <c r="E577" s="3">
        <v>2022</v>
      </c>
      <c r="F577" s="3" t="str">
        <f>"Qtr"&amp; " " &amp;CHOOSE(MONTH(Table1[[#This Row],[Date]]),1,1,1,2,2,2,3,3,3,4,4,4)</f>
        <v>Qtr 1</v>
      </c>
      <c r="G577" s="3" t="str">
        <f>TEXT(Table1[[#This Row],[Date]],"mmmm")</f>
        <v>March</v>
      </c>
      <c r="H577" s="3" t="s">
        <v>1081</v>
      </c>
      <c r="I577" s="3" t="s">
        <v>18</v>
      </c>
      <c r="J577" s="3">
        <v>7</v>
      </c>
      <c r="K577" s="3">
        <v>64866.5</v>
      </c>
      <c r="L577" s="3">
        <f>Table1[[#This Row],[Price Per Unit]]*Table1[[#This Row],[Units Sold]]</f>
        <v>454065.5</v>
      </c>
      <c r="M577" s="3" t="s">
        <v>499</v>
      </c>
      <c r="N577" s="3">
        <v>46</v>
      </c>
      <c r="O577" s="3" t="s">
        <v>35</v>
      </c>
      <c r="P577" s="3" t="s">
        <v>45</v>
      </c>
      <c r="Q577" s="4">
        <v>5</v>
      </c>
      <c r="R577" s="4" t="str">
        <f>IF(Table1[[#This Row],[Customer Ratings]]&gt;=4, "Good",IF(Table1[[#This Row],[Customer Ratings]]=3, "Average","Poor"))</f>
        <v>Good</v>
      </c>
      <c r="S577" s="3" t="s">
        <v>55</v>
      </c>
    </row>
    <row r="578" spans="1:19" x14ac:dyDescent="0.25">
      <c r="A578" s="3">
        <v>577</v>
      </c>
      <c r="B578" s="5">
        <f>DATE(Table1[[#This Row],[Year]],Table1[[#This Row],[Month]],Table1[[#This Row],[Day]])</f>
        <v>44641</v>
      </c>
      <c r="C578" s="3">
        <v>21</v>
      </c>
      <c r="D578" s="3">
        <v>3</v>
      </c>
      <c r="E578" s="3">
        <v>2022</v>
      </c>
      <c r="F578" s="3" t="str">
        <f>"Qtr"&amp; " " &amp;CHOOSE(MONTH(Table1[[#This Row],[Date]]),1,1,1,2,2,2,3,3,3,4,4,4)</f>
        <v>Qtr 1</v>
      </c>
      <c r="G578" s="3" t="str">
        <f>TEXT(Table1[[#This Row],[Date]],"mmmm")</f>
        <v>March</v>
      </c>
      <c r="H578" s="3" t="s">
        <v>1081</v>
      </c>
      <c r="I578" s="3" t="s">
        <v>13</v>
      </c>
      <c r="J578" s="3">
        <v>6</v>
      </c>
      <c r="K578" s="3">
        <v>60437.96</v>
      </c>
      <c r="L578" s="3">
        <f>Table1[[#This Row],[Price Per Unit]]*Table1[[#This Row],[Units Sold]]</f>
        <v>362627.76</v>
      </c>
      <c r="M578" s="3" t="s">
        <v>500</v>
      </c>
      <c r="N578" s="3">
        <v>53</v>
      </c>
      <c r="O578" s="3" t="s">
        <v>24</v>
      </c>
      <c r="P578" s="3" t="s">
        <v>45</v>
      </c>
      <c r="Q578" s="4">
        <v>3</v>
      </c>
      <c r="R578" s="4" t="str">
        <f>IF(Table1[[#This Row],[Customer Ratings]]&gt;=4, "Good",IF(Table1[[#This Row],[Customer Ratings]]=3, "Average","Poor"))</f>
        <v>Average</v>
      </c>
      <c r="S578" s="3" t="s">
        <v>17</v>
      </c>
    </row>
    <row r="579" spans="1:19" x14ac:dyDescent="0.25">
      <c r="A579" s="3">
        <v>578</v>
      </c>
      <c r="B579" s="5">
        <f>DATE(Table1[[#This Row],[Year]],Table1[[#This Row],[Month]],Table1[[#This Row],[Day]])</f>
        <v>44641</v>
      </c>
      <c r="C579" s="3">
        <v>21</v>
      </c>
      <c r="D579" s="3">
        <v>3</v>
      </c>
      <c r="E579" s="3">
        <v>2022</v>
      </c>
      <c r="F579" s="3" t="str">
        <f>"Qtr"&amp; " " &amp;CHOOSE(MONTH(Table1[[#This Row],[Date]]),1,1,1,2,2,2,3,3,3,4,4,4)</f>
        <v>Qtr 1</v>
      </c>
      <c r="G579" s="3" t="str">
        <f>TEXT(Table1[[#This Row],[Date]],"mmmm")</f>
        <v>March</v>
      </c>
      <c r="H579" s="3" t="s">
        <v>1081</v>
      </c>
      <c r="I579" s="3" t="s">
        <v>33</v>
      </c>
      <c r="J579" s="3">
        <v>1</v>
      </c>
      <c r="K579" s="3">
        <v>60858.42</v>
      </c>
      <c r="L579" s="3">
        <f>Table1[[#This Row],[Price Per Unit]]*Table1[[#This Row],[Units Sold]]</f>
        <v>60858.42</v>
      </c>
      <c r="M579" s="3" t="s">
        <v>501</v>
      </c>
      <c r="N579" s="3">
        <v>29</v>
      </c>
      <c r="O579" s="3" t="s">
        <v>102</v>
      </c>
      <c r="P579" s="3" t="s">
        <v>21</v>
      </c>
      <c r="Q579" s="4">
        <v>2</v>
      </c>
      <c r="R579" s="4" t="str">
        <f>IF(Table1[[#This Row],[Customer Ratings]]&gt;=4, "Good",IF(Table1[[#This Row],[Customer Ratings]]=3, "Average","Poor"))</f>
        <v>Poor</v>
      </c>
      <c r="S579" s="3" t="s">
        <v>83</v>
      </c>
    </row>
    <row r="580" spans="1:19" x14ac:dyDescent="0.25">
      <c r="A580" s="3">
        <v>579</v>
      </c>
      <c r="B580" s="5">
        <f>DATE(Table1[[#This Row],[Year]],Table1[[#This Row],[Month]],Table1[[#This Row],[Day]])</f>
        <v>44641</v>
      </c>
      <c r="C580" s="3">
        <v>21</v>
      </c>
      <c r="D580" s="3">
        <v>3</v>
      </c>
      <c r="E580" s="3">
        <v>2022</v>
      </c>
      <c r="F580" s="3" t="str">
        <f>"Qtr"&amp; " " &amp;CHOOSE(MONTH(Table1[[#This Row],[Date]]),1,1,1,2,2,2,3,3,3,4,4,4)</f>
        <v>Qtr 1</v>
      </c>
      <c r="G580" s="3" t="str">
        <f>TEXT(Table1[[#This Row],[Date]],"mmmm")</f>
        <v>March</v>
      </c>
      <c r="H580" s="3" t="s">
        <v>1081</v>
      </c>
      <c r="I580" s="3" t="s">
        <v>39</v>
      </c>
      <c r="J580" s="3">
        <v>7</v>
      </c>
      <c r="K580" s="3">
        <v>56294.18</v>
      </c>
      <c r="L580" s="3">
        <f>Table1[[#This Row],[Price Per Unit]]*Table1[[#This Row],[Units Sold]]</f>
        <v>394059.26</v>
      </c>
      <c r="M580" s="3" t="s">
        <v>29</v>
      </c>
      <c r="N580" s="3">
        <v>48</v>
      </c>
      <c r="O580" s="3" t="s">
        <v>35</v>
      </c>
      <c r="P580" s="3" t="s">
        <v>45</v>
      </c>
      <c r="Q580" s="4">
        <v>3</v>
      </c>
      <c r="R580" s="4" t="str">
        <f>IF(Table1[[#This Row],[Customer Ratings]]&gt;=4, "Good",IF(Table1[[#This Row],[Customer Ratings]]=3, "Average","Poor"))</f>
        <v>Average</v>
      </c>
      <c r="S580" s="3" t="s">
        <v>42</v>
      </c>
    </row>
    <row r="581" spans="1:19" x14ac:dyDescent="0.25">
      <c r="A581" s="3">
        <v>580</v>
      </c>
      <c r="B581" s="5">
        <f>DATE(Table1[[#This Row],[Year]],Table1[[#This Row],[Month]],Table1[[#This Row],[Day]])</f>
        <v>44642</v>
      </c>
      <c r="C581" s="3">
        <v>22</v>
      </c>
      <c r="D581" s="3">
        <v>3</v>
      </c>
      <c r="E581" s="3">
        <v>2022</v>
      </c>
      <c r="F581" s="3" t="str">
        <f>"Qtr"&amp; " " &amp;CHOOSE(MONTH(Table1[[#This Row],[Date]]),1,1,1,2,2,2,3,3,3,4,4,4)</f>
        <v>Qtr 1</v>
      </c>
      <c r="G581" s="3" t="str">
        <f>TEXT(Table1[[#This Row],[Date]],"mmmm")</f>
        <v>March</v>
      </c>
      <c r="H581" s="3" t="s">
        <v>1082</v>
      </c>
      <c r="I581" s="3" t="s">
        <v>13</v>
      </c>
      <c r="J581" s="3">
        <v>7</v>
      </c>
      <c r="K581" s="3">
        <v>62852.89</v>
      </c>
      <c r="L581" s="3">
        <f>Table1[[#This Row],[Price Per Unit]]*Table1[[#This Row],[Units Sold]]</f>
        <v>439970.23</v>
      </c>
      <c r="M581" s="3" t="s">
        <v>502</v>
      </c>
      <c r="N581" s="3">
        <v>26</v>
      </c>
      <c r="O581" s="3" t="s">
        <v>102</v>
      </c>
      <c r="P581" s="3" t="s">
        <v>16</v>
      </c>
      <c r="Q581" s="4">
        <v>5</v>
      </c>
      <c r="R581" s="4" t="str">
        <f>IF(Table1[[#This Row],[Customer Ratings]]&gt;=4, "Good",IF(Table1[[#This Row],[Customer Ratings]]=3, "Average","Poor"))</f>
        <v>Good</v>
      </c>
      <c r="S581" s="3" t="s">
        <v>17</v>
      </c>
    </row>
    <row r="582" spans="1:19" x14ac:dyDescent="0.25">
      <c r="A582" s="3">
        <v>581</v>
      </c>
      <c r="B582" s="5">
        <f>DATE(Table1[[#This Row],[Year]],Table1[[#This Row],[Month]],Table1[[#This Row],[Day]])</f>
        <v>44642</v>
      </c>
      <c r="C582" s="3">
        <v>22</v>
      </c>
      <c r="D582" s="3">
        <v>3</v>
      </c>
      <c r="E582" s="3">
        <v>2022</v>
      </c>
      <c r="F582" s="3" t="str">
        <f>"Qtr"&amp; " " &amp;CHOOSE(MONTH(Table1[[#This Row],[Date]]),1,1,1,2,2,2,3,3,3,4,4,4)</f>
        <v>Qtr 1</v>
      </c>
      <c r="G582" s="3" t="str">
        <f>TEXT(Table1[[#This Row],[Date]],"mmmm")</f>
        <v>March</v>
      </c>
      <c r="H582" s="3" t="s">
        <v>1082</v>
      </c>
      <c r="I582" s="3" t="s">
        <v>13</v>
      </c>
      <c r="J582" s="3">
        <v>1</v>
      </c>
      <c r="K582" s="3">
        <v>58344.81</v>
      </c>
      <c r="L582" s="3">
        <f>Table1[[#This Row],[Price Per Unit]]*Table1[[#This Row],[Units Sold]]</f>
        <v>58344.81</v>
      </c>
      <c r="M582" s="3" t="s">
        <v>503</v>
      </c>
      <c r="N582" s="3">
        <v>36</v>
      </c>
      <c r="O582" s="3" t="s">
        <v>20</v>
      </c>
      <c r="P582" s="3" t="s">
        <v>31</v>
      </c>
      <c r="Q582" s="4">
        <v>3</v>
      </c>
      <c r="R582" s="4" t="str">
        <f>IF(Table1[[#This Row],[Customer Ratings]]&gt;=4, "Good",IF(Table1[[#This Row],[Customer Ratings]]=3, "Average","Poor"))</f>
        <v>Average</v>
      </c>
      <c r="S582" s="3" t="s">
        <v>72</v>
      </c>
    </row>
    <row r="583" spans="1:19" x14ac:dyDescent="0.25">
      <c r="A583" s="3">
        <v>582</v>
      </c>
      <c r="B583" s="5">
        <f>DATE(Table1[[#This Row],[Year]],Table1[[#This Row],[Month]],Table1[[#This Row],[Day]])</f>
        <v>44642</v>
      </c>
      <c r="C583" s="3">
        <v>22</v>
      </c>
      <c r="D583" s="3">
        <v>3</v>
      </c>
      <c r="E583" s="3">
        <v>2022</v>
      </c>
      <c r="F583" s="3" t="str">
        <f>"Qtr"&amp; " " &amp;CHOOSE(MONTH(Table1[[#This Row],[Date]]),1,1,1,2,2,2,3,3,3,4,4,4)</f>
        <v>Qtr 1</v>
      </c>
      <c r="G583" s="3" t="str">
        <f>TEXT(Table1[[#This Row],[Date]],"mmmm")</f>
        <v>March</v>
      </c>
      <c r="H583" s="3" t="s">
        <v>1082</v>
      </c>
      <c r="I583" s="3" t="s">
        <v>33</v>
      </c>
      <c r="J583" s="3">
        <v>9</v>
      </c>
      <c r="K583" s="3">
        <v>46150.68</v>
      </c>
      <c r="L583" s="3">
        <f>Table1[[#This Row],[Price Per Unit]]*Table1[[#This Row],[Units Sold]]</f>
        <v>415356.12</v>
      </c>
      <c r="M583" s="3" t="s">
        <v>156</v>
      </c>
      <c r="N583" s="3">
        <v>34</v>
      </c>
      <c r="O583" s="3" t="s">
        <v>15</v>
      </c>
      <c r="P583" s="3" t="s">
        <v>31</v>
      </c>
      <c r="Q583" s="4">
        <v>5</v>
      </c>
      <c r="R583" s="4" t="str">
        <f>IF(Table1[[#This Row],[Customer Ratings]]&gt;=4, "Good",IF(Table1[[#This Row],[Customer Ratings]]=3, "Average","Poor"))</f>
        <v>Good</v>
      </c>
      <c r="S583" s="3" t="s">
        <v>36</v>
      </c>
    </row>
    <row r="584" spans="1:19" x14ac:dyDescent="0.25">
      <c r="A584" s="3">
        <v>583</v>
      </c>
      <c r="B584" s="5">
        <f>DATE(Table1[[#This Row],[Year]],Table1[[#This Row],[Month]],Table1[[#This Row],[Day]])</f>
        <v>44642</v>
      </c>
      <c r="C584" s="3">
        <v>22</v>
      </c>
      <c r="D584" s="3">
        <v>3</v>
      </c>
      <c r="E584" s="3">
        <v>2022</v>
      </c>
      <c r="F584" s="3" t="str">
        <f>"Qtr"&amp; " " &amp;CHOOSE(MONTH(Table1[[#This Row],[Date]]),1,1,1,2,2,2,3,3,3,4,4,4)</f>
        <v>Qtr 1</v>
      </c>
      <c r="G584" s="3" t="str">
        <f>TEXT(Table1[[#This Row],[Date]],"mmmm")</f>
        <v>March</v>
      </c>
      <c r="H584" s="3" t="s">
        <v>1082</v>
      </c>
      <c r="I584" s="3" t="s">
        <v>13</v>
      </c>
      <c r="J584" s="3">
        <v>6</v>
      </c>
      <c r="K584" s="3">
        <v>27749.360000000001</v>
      </c>
      <c r="L584" s="3">
        <f>Table1[[#This Row],[Price Per Unit]]*Table1[[#This Row],[Units Sold]]</f>
        <v>166496.16</v>
      </c>
      <c r="M584" s="3" t="s">
        <v>504</v>
      </c>
      <c r="N584" s="3">
        <v>19</v>
      </c>
      <c r="O584" s="3" t="s">
        <v>54</v>
      </c>
      <c r="P584" s="3" t="s">
        <v>16</v>
      </c>
      <c r="Q584" s="4">
        <v>5</v>
      </c>
      <c r="R584" s="4" t="str">
        <f>IF(Table1[[#This Row],[Customer Ratings]]&gt;=4, "Good",IF(Table1[[#This Row],[Customer Ratings]]=3, "Average","Poor"))</f>
        <v>Good</v>
      </c>
      <c r="S584" s="3" t="s">
        <v>72</v>
      </c>
    </row>
    <row r="585" spans="1:19" x14ac:dyDescent="0.25">
      <c r="A585" s="3">
        <v>584</v>
      </c>
      <c r="B585" s="5">
        <f>DATE(Table1[[#This Row],[Year]],Table1[[#This Row],[Month]],Table1[[#This Row],[Day]])</f>
        <v>44643</v>
      </c>
      <c r="C585" s="3">
        <v>23</v>
      </c>
      <c r="D585" s="3">
        <v>3</v>
      </c>
      <c r="E585" s="3">
        <v>2022</v>
      </c>
      <c r="F585" s="3" t="str">
        <f>"Qtr"&amp; " " &amp;CHOOSE(MONTH(Table1[[#This Row],[Date]]),1,1,1,2,2,2,3,3,3,4,4,4)</f>
        <v>Qtr 1</v>
      </c>
      <c r="G585" s="3" t="str">
        <f>TEXT(Table1[[#This Row],[Date]],"mmmm")</f>
        <v>March</v>
      </c>
      <c r="H585" s="3" t="s">
        <v>1083</v>
      </c>
      <c r="I585" s="3" t="s">
        <v>39</v>
      </c>
      <c r="J585" s="3">
        <v>2</v>
      </c>
      <c r="K585" s="3">
        <v>63292.55</v>
      </c>
      <c r="L585" s="3">
        <f>Table1[[#This Row],[Price Per Unit]]*Table1[[#This Row],[Units Sold]]</f>
        <v>126585.1</v>
      </c>
      <c r="M585" s="3" t="s">
        <v>322</v>
      </c>
      <c r="N585" s="3">
        <v>57</v>
      </c>
      <c r="O585" s="3" t="s">
        <v>24</v>
      </c>
      <c r="P585" s="3" t="s">
        <v>16</v>
      </c>
      <c r="Q585" s="4">
        <v>5</v>
      </c>
      <c r="R585" s="4" t="str">
        <f>IF(Table1[[#This Row],[Customer Ratings]]&gt;=4, "Good",IF(Table1[[#This Row],[Customer Ratings]]=3, "Average","Poor"))</f>
        <v>Good</v>
      </c>
      <c r="S585" s="3" t="s">
        <v>90</v>
      </c>
    </row>
    <row r="586" spans="1:19" x14ac:dyDescent="0.25">
      <c r="A586" s="3">
        <v>585</v>
      </c>
      <c r="B586" s="5">
        <f>DATE(Table1[[#This Row],[Year]],Table1[[#This Row],[Month]],Table1[[#This Row],[Day]])</f>
        <v>44643</v>
      </c>
      <c r="C586" s="3">
        <v>23</v>
      </c>
      <c r="D586" s="3">
        <v>3</v>
      </c>
      <c r="E586" s="3">
        <v>2022</v>
      </c>
      <c r="F586" s="3" t="str">
        <f>"Qtr"&amp; " " &amp;CHOOSE(MONTH(Table1[[#This Row],[Date]]),1,1,1,2,2,2,3,3,3,4,4,4)</f>
        <v>Qtr 1</v>
      </c>
      <c r="G586" s="3" t="str">
        <f>TEXT(Table1[[#This Row],[Date]],"mmmm")</f>
        <v>March</v>
      </c>
      <c r="H586" s="3" t="s">
        <v>1083</v>
      </c>
      <c r="I586" s="3" t="s">
        <v>13</v>
      </c>
      <c r="J586" s="3">
        <v>5</v>
      </c>
      <c r="K586" s="3">
        <v>60436.22</v>
      </c>
      <c r="L586" s="3">
        <f>Table1[[#This Row],[Price Per Unit]]*Table1[[#This Row],[Units Sold]]</f>
        <v>302181.09999999998</v>
      </c>
      <c r="M586" s="3" t="s">
        <v>505</v>
      </c>
      <c r="N586" s="3">
        <v>22</v>
      </c>
      <c r="O586" s="3" t="s">
        <v>20</v>
      </c>
      <c r="P586" s="3" t="s">
        <v>21</v>
      </c>
      <c r="Q586" s="4">
        <v>4</v>
      </c>
      <c r="R586" s="4" t="str">
        <f>IF(Table1[[#This Row],[Customer Ratings]]&gt;=4, "Good",IF(Table1[[#This Row],[Customer Ratings]]=3, "Average","Poor"))</f>
        <v>Good</v>
      </c>
      <c r="S586" s="3" t="s">
        <v>17</v>
      </c>
    </row>
    <row r="587" spans="1:19" x14ac:dyDescent="0.25">
      <c r="A587" s="3">
        <v>586</v>
      </c>
      <c r="B587" s="5">
        <f>DATE(Table1[[#This Row],[Year]],Table1[[#This Row],[Month]],Table1[[#This Row],[Day]])</f>
        <v>44643</v>
      </c>
      <c r="C587" s="3">
        <v>23</v>
      </c>
      <c r="D587" s="3">
        <v>3</v>
      </c>
      <c r="E587" s="3">
        <v>2022</v>
      </c>
      <c r="F587" s="3" t="str">
        <f>"Qtr"&amp; " " &amp;CHOOSE(MONTH(Table1[[#This Row],[Date]]),1,1,1,2,2,2,3,3,3,4,4,4)</f>
        <v>Qtr 1</v>
      </c>
      <c r="G587" s="3" t="str">
        <f>TEXT(Table1[[#This Row],[Date]],"mmmm")</f>
        <v>March</v>
      </c>
      <c r="H587" s="3" t="s">
        <v>1083</v>
      </c>
      <c r="I587" s="3" t="s">
        <v>39</v>
      </c>
      <c r="J587" s="3">
        <v>4</v>
      </c>
      <c r="K587" s="3">
        <v>38372.76</v>
      </c>
      <c r="L587" s="3">
        <f>Table1[[#This Row],[Price Per Unit]]*Table1[[#This Row],[Units Sold]]</f>
        <v>153491.04</v>
      </c>
      <c r="M587" s="3" t="s">
        <v>328</v>
      </c>
      <c r="N587" s="3">
        <v>56</v>
      </c>
      <c r="O587" s="3" t="s">
        <v>20</v>
      </c>
      <c r="P587" s="3" t="s">
        <v>21</v>
      </c>
      <c r="Q587" s="4">
        <v>5</v>
      </c>
      <c r="R587" s="4" t="str">
        <f>IF(Table1[[#This Row],[Customer Ratings]]&gt;=4, "Good",IF(Table1[[#This Row],[Customer Ratings]]=3, "Average","Poor"))</f>
        <v>Good</v>
      </c>
      <c r="S587" s="3" t="s">
        <v>76</v>
      </c>
    </row>
    <row r="588" spans="1:19" x14ac:dyDescent="0.25">
      <c r="A588" s="3">
        <v>587</v>
      </c>
      <c r="B588" s="5">
        <f>DATE(Table1[[#This Row],[Year]],Table1[[#This Row],[Month]],Table1[[#This Row],[Day]])</f>
        <v>44644</v>
      </c>
      <c r="C588" s="3">
        <v>24</v>
      </c>
      <c r="D588" s="3">
        <v>3</v>
      </c>
      <c r="E588" s="3">
        <v>2022</v>
      </c>
      <c r="F588" s="3" t="str">
        <f>"Qtr"&amp; " " &amp;CHOOSE(MONTH(Table1[[#This Row],[Date]]),1,1,1,2,2,2,3,3,3,4,4,4)</f>
        <v>Qtr 1</v>
      </c>
      <c r="G588" s="3" t="str">
        <f>TEXT(Table1[[#This Row],[Date]],"mmmm")</f>
        <v>March</v>
      </c>
      <c r="H588" s="3" t="s">
        <v>1084</v>
      </c>
      <c r="I588" s="3" t="s">
        <v>33</v>
      </c>
      <c r="J588" s="3">
        <v>7</v>
      </c>
      <c r="K588" s="3">
        <v>12344.72</v>
      </c>
      <c r="L588" s="3">
        <f>Table1[[#This Row],[Price Per Unit]]*Table1[[#This Row],[Units Sold]]</f>
        <v>86413.04</v>
      </c>
      <c r="M588" s="3" t="s">
        <v>506</v>
      </c>
      <c r="N588" s="3">
        <v>33</v>
      </c>
      <c r="O588" s="3" t="s">
        <v>24</v>
      </c>
      <c r="P588" s="3" t="s">
        <v>31</v>
      </c>
      <c r="Q588" s="4">
        <v>5</v>
      </c>
      <c r="R588" s="4" t="str">
        <f>IF(Table1[[#This Row],[Customer Ratings]]&gt;=4, "Good",IF(Table1[[#This Row],[Customer Ratings]]=3, "Average","Poor"))</f>
        <v>Good</v>
      </c>
      <c r="S588" s="3" t="s">
        <v>36</v>
      </c>
    </row>
    <row r="589" spans="1:19" x14ac:dyDescent="0.25">
      <c r="A589" s="3">
        <v>588</v>
      </c>
      <c r="B589" s="5">
        <f>DATE(Table1[[#This Row],[Year]],Table1[[#This Row],[Month]],Table1[[#This Row],[Day]])</f>
        <v>44644</v>
      </c>
      <c r="C589" s="3">
        <v>24</v>
      </c>
      <c r="D589" s="3">
        <v>3</v>
      </c>
      <c r="E589" s="3">
        <v>2022</v>
      </c>
      <c r="F589" s="3" t="str">
        <f>"Qtr"&amp; " " &amp;CHOOSE(MONTH(Table1[[#This Row],[Date]]),1,1,1,2,2,2,3,3,3,4,4,4)</f>
        <v>Qtr 1</v>
      </c>
      <c r="G589" s="3" t="str">
        <f>TEXT(Table1[[#This Row],[Date]],"mmmm")</f>
        <v>March</v>
      </c>
      <c r="H589" s="3" t="s">
        <v>1084</v>
      </c>
      <c r="I589" s="3" t="s">
        <v>18</v>
      </c>
      <c r="J589" s="3">
        <v>8</v>
      </c>
      <c r="K589" s="3">
        <v>48312.62</v>
      </c>
      <c r="L589" s="3">
        <f>Table1[[#This Row],[Price Per Unit]]*Table1[[#This Row],[Units Sold]]</f>
        <v>386500.96</v>
      </c>
      <c r="M589" s="3" t="s">
        <v>507</v>
      </c>
      <c r="N589" s="3">
        <v>34</v>
      </c>
      <c r="O589" s="3" t="s">
        <v>41</v>
      </c>
      <c r="P589" s="3" t="s">
        <v>21</v>
      </c>
      <c r="Q589" s="4">
        <v>5</v>
      </c>
      <c r="R589" s="4" t="str">
        <f>IF(Table1[[#This Row],[Customer Ratings]]&gt;=4, "Good",IF(Table1[[#This Row],[Customer Ratings]]=3, "Average","Poor"))</f>
        <v>Good</v>
      </c>
      <c r="S589" s="3" t="s">
        <v>55</v>
      </c>
    </row>
    <row r="590" spans="1:19" x14ac:dyDescent="0.25">
      <c r="A590" s="3">
        <v>589</v>
      </c>
      <c r="B590" s="5">
        <f>DATE(Table1[[#This Row],[Year]],Table1[[#This Row],[Month]],Table1[[#This Row],[Day]])</f>
        <v>44644</v>
      </c>
      <c r="C590" s="3">
        <v>24</v>
      </c>
      <c r="D590" s="3">
        <v>3</v>
      </c>
      <c r="E590" s="3">
        <v>2022</v>
      </c>
      <c r="F590" s="3" t="str">
        <f>"Qtr"&amp; " " &amp;CHOOSE(MONTH(Table1[[#This Row],[Date]]),1,1,1,2,2,2,3,3,3,4,4,4)</f>
        <v>Qtr 1</v>
      </c>
      <c r="G590" s="3" t="str">
        <f>TEXT(Table1[[#This Row],[Date]],"mmmm")</f>
        <v>March</v>
      </c>
      <c r="H590" s="3" t="s">
        <v>1084</v>
      </c>
      <c r="I590" s="3" t="s">
        <v>13</v>
      </c>
      <c r="J590" s="3">
        <v>1</v>
      </c>
      <c r="K590" s="3">
        <v>13035.81</v>
      </c>
      <c r="L590" s="3">
        <f>Table1[[#This Row],[Price Per Unit]]*Table1[[#This Row],[Units Sold]]</f>
        <v>13035.81</v>
      </c>
      <c r="M590" s="3" t="s">
        <v>214</v>
      </c>
      <c r="N590" s="3">
        <v>44</v>
      </c>
      <c r="O590" s="3" t="s">
        <v>30</v>
      </c>
      <c r="P590" s="3" t="s">
        <v>31</v>
      </c>
      <c r="Q590" s="4">
        <v>3</v>
      </c>
      <c r="R590" s="4" t="str">
        <f>IF(Table1[[#This Row],[Customer Ratings]]&gt;=4, "Good",IF(Table1[[#This Row],[Customer Ratings]]=3, "Average","Poor"))</f>
        <v>Average</v>
      </c>
      <c r="S590" s="3" t="s">
        <v>72</v>
      </c>
    </row>
    <row r="591" spans="1:19" x14ac:dyDescent="0.25">
      <c r="A591" s="3">
        <v>590</v>
      </c>
      <c r="B591" s="5">
        <f>DATE(Table1[[#This Row],[Year]],Table1[[#This Row],[Month]],Table1[[#This Row],[Day]])</f>
        <v>44644</v>
      </c>
      <c r="C591" s="3">
        <v>24</v>
      </c>
      <c r="D591" s="3">
        <v>3</v>
      </c>
      <c r="E591" s="3">
        <v>2022</v>
      </c>
      <c r="F591" s="3" t="str">
        <f>"Qtr"&amp; " " &amp;CHOOSE(MONTH(Table1[[#This Row],[Date]]),1,1,1,2,2,2,3,3,3,4,4,4)</f>
        <v>Qtr 1</v>
      </c>
      <c r="G591" s="3" t="str">
        <f>TEXT(Table1[[#This Row],[Date]],"mmmm")</f>
        <v>March</v>
      </c>
      <c r="H591" s="3" t="s">
        <v>1084</v>
      </c>
      <c r="I591" s="3" t="s">
        <v>18</v>
      </c>
      <c r="J591" s="3">
        <v>5</v>
      </c>
      <c r="K591" s="3">
        <v>65576.800000000003</v>
      </c>
      <c r="L591" s="3">
        <f>Table1[[#This Row],[Price Per Unit]]*Table1[[#This Row],[Units Sold]]</f>
        <v>327884</v>
      </c>
      <c r="M591" s="3" t="s">
        <v>222</v>
      </c>
      <c r="N591" s="3">
        <v>24</v>
      </c>
      <c r="O591" s="3" t="s">
        <v>35</v>
      </c>
      <c r="P591" s="3" t="s">
        <v>21</v>
      </c>
      <c r="Q591" s="4">
        <v>3</v>
      </c>
      <c r="R591" s="4" t="str">
        <f>IF(Table1[[#This Row],[Customer Ratings]]&gt;=4, "Good",IF(Table1[[#This Row],[Customer Ratings]]=3, "Average","Poor"))</f>
        <v>Average</v>
      </c>
      <c r="S591" s="3" t="s">
        <v>22</v>
      </c>
    </row>
    <row r="592" spans="1:19" x14ac:dyDescent="0.25">
      <c r="A592" s="3">
        <v>591</v>
      </c>
      <c r="B592" s="5">
        <f>DATE(Table1[[#This Row],[Year]],Table1[[#This Row],[Month]],Table1[[#This Row],[Day]])</f>
        <v>44645</v>
      </c>
      <c r="C592" s="3">
        <v>25</v>
      </c>
      <c r="D592" s="3">
        <v>3</v>
      </c>
      <c r="E592" s="3">
        <v>2022</v>
      </c>
      <c r="F592" s="3" t="str">
        <f>"Qtr"&amp; " " &amp;CHOOSE(MONTH(Table1[[#This Row],[Date]]),1,1,1,2,2,2,3,3,3,4,4,4)</f>
        <v>Qtr 1</v>
      </c>
      <c r="G592" s="3" t="str">
        <f>TEXT(Table1[[#This Row],[Date]],"mmmm")</f>
        <v>March</v>
      </c>
      <c r="H592" s="3" t="s">
        <v>1085</v>
      </c>
      <c r="I592" s="3" t="s">
        <v>39</v>
      </c>
      <c r="J592" s="3">
        <v>3</v>
      </c>
      <c r="K592" s="3">
        <v>67697.88</v>
      </c>
      <c r="L592" s="3">
        <f>Table1[[#This Row],[Price Per Unit]]*Table1[[#This Row],[Units Sold]]</f>
        <v>203093.64</v>
      </c>
      <c r="M592" s="3" t="s">
        <v>508</v>
      </c>
      <c r="N592" s="3">
        <v>25</v>
      </c>
      <c r="O592" s="3" t="s">
        <v>24</v>
      </c>
      <c r="P592" s="3" t="s">
        <v>21</v>
      </c>
      <c r="Q592" s="4">
        <v>5</v>
      </c>
      <c r="R592" s="4" t="str">
        <f>IF(Table1[[#This Row],[Customer Ratings]]&gt;=4, "Good",IF(Table1[[#This Row],[Customer Ratings]]=3, "Average","Poor"))</f>
        <v>Good</v>
      </c>
      <c r="S592" s="3" t="s">
        <v>76</v>
      </c>
    </row>
    <row r="593" spans="1:19" x14ac:dyDescent="0.25">
      <c r="A593" s="3">
        <v>592</v>
      </c>
      <c r="B593" s="5">
        <f>DATE(Table1[[#This Row],[Year]],Table1[[#This Row],[Month]],Table1[[#This Row],[Day]])</f>
        <v>44645</v>
      </c>
      <c r="C593" s="3">
        <v>25</v>
      </c>
      <c r="D593" s="3">
        <v>3</v>
      </c>
      <c r="E593" s="3">
        <v>2022</v>
      </c>
      <c r="F593" s="3" t="str">
        <f>"Qtr"&amp; " " &amp;CHOOSE(MONTH(Table1[[#This Row],[Date]]),1,1,1,2,2,2,3,3,3,4,4,4)</f>
        <v>Qtr 1</v>
      </c>
      <c r="G593" s="3" t="str">
        <f>TEXT(Table1[[#This Row],[Date]],"mmmm")</f>
        <v>March</v>
      </c>
      <c r="H593" s="3" t="s">
        <v>1085</v>
      </c>
      <c r="I593" s="3" t="s">
        <v>13</v>
      </c>
      <c r="J593" s="3">
        <v>1</v>
      </c>
      <c r="K593" s="3">
        <v>21369.41</v>
      </c>
      <c r="L593" s="3">
        <f>Table1[[#This Row],[Price Per Unit]]*Table1[[#This Row],[Units Sold]]</f>
        <v>21369.41</v>
      </c>
      <c r="M593" s="3" t="s">
        <v>247</v>
      </c>
      <c r="N593" s="3">
        <v>25</v>
      </c>
      <c r="O593" s="3" t="s">
        <v>24</v>
      </c>
      <c r="P593" s="3" t="s">
        <v>31</v>
      </c>
      <c r="Q593" s="4">
        <v>3</v>
      </c>
      <c r="R593" s="4" t="str">
        <f>IF(Table1[[#This Row],[Customer Ratings]]&gt;=4, "Good",IF(Table1[[#This Row],[Customer Ratings]]=3, "Average","Poor"))</f>
        <v>Average</v>
      </c>
      <c r="S593" s="3" t="s">
        <v>27</v>
      </c>
    </row>
    <row r="594" spans="1:19" x14ac:dyDescent="0.25">
      <c r="A594" s="3">
        <v>593</v>
      </c>
      <c r="B594" s="5">
        <f>DATE(Table1[[#This Row],[Year]],Table1[[#This Row],[Month]],Table1[[#This Row],[Day]])</f>
        <v>44645</v>
      </c>
      <c r="C594" s="3">
        <v>25</v>
      </c>
      <c r="D594" s="3">
        <v>3</v>
      </c>
      <c r="E594" s="3">
        <v>2022</v>
      </c>
      <c r="F594" s="3" t="str">
        <f>"Qtr"&amp; " " &amp;CHOOSE(MONTH(Table1[[#This Row],[Date]]),1,1,1,2,2,2,3,3,3,4,4,4)</f>
        <v>Qtr 1</v>
      </c>
      <c r="G594" s="3" t="str">
        <f>TEXT(Table1[[#This Row],[Date]],"mmmm")</f>
        <v>March</v>
      </c>
      <c r="H594" s="3" t="s">
        <v>1085</v>
      </c>
      <c r="I594" s="3" t="s">
        <v>28</v>
      </c>
      <c r="J594" s="3">
        <v>3</v>
      </c>
      <c r="K594" s="3">
        <v>50583.360000000001</v>
      </c>
      <c r="L594" s="3">
        <f>Table1[[#This Row],[Price Per Unit]]*Table1[[#This Row],[Units Sold]]</f>
        <v>151750.08000000002</v>
      </c>
      <c r="M594" s="3" t="s">
        <v>509</v>
      </c>
      <c r="N594" s="3">
        <v>40</v>
      </c>
      <c r="O594" s="3" t="s">
        <v>24</v>
      </c>
      <c r="P594" s="3" t="s">
        <v>16</v>
      </c>
      <c r="Q594" s="4">
        <v>5</v>
      </c>
      <c r="R594" s="4" t="str">
        <f>IF(Table1[[#This Row],[Customer Ratings]]&gt;=4, "Good",IF(Table1[[#This Row],[Customer Ratings]]=3, "Average","Poor"))</f>
        <v>Good</v>
      </c>
      <c r="S594" s="3" t="s">
        <v>38</v>
      </c>
    </row>
    <row r="595" spans="1:19" x14ac:dyDescent="0.25">
      <c r="A595" s="3">
        <v>594</v>
      </c>
      <c r="B595" s="5">
        <f>DATE(Table1[[#This Row],[Year]],Table1[[#This Row],[Month]],Table1[[#This Row],[Day]])</f>
        <v>44646</v>
      </c>
      <c r="C595" s="3">
        <v>26</v>
      </c>
      <c r="D595" s="3">
        <v>3</v>
      </c>
      <c r="E595" s="3">
        <v>2022</v>
      </c>
      <c r="F595" s="3" t="str">
        <f>"Qtr"&amp; " " &amp;CHOOSE(MONTH(Table1[[#This Row],[Date]]),1,1,1,2,2,2,3,3,3,4,4,4)</f>
        <v>Qtr 1</v>
      </c>
      <c r="G595" s="3" t="str">
        <f>TEXT(Table1[[#This Row],[Date]],"mmmm")</f>
        <v>March</v>
      </c>
      <c r="H595" s="3" t="s">
        <v>1079</v>
      </c>
      <c r="I595" s="3" t="s">
        <v>18</v>
      </c>
      <c r="J595" s="3">
        <v>6</v>
      </c>
      <c r="K595" s="3">
        <v>15536.14</v>
      </c>
      <c r="L595" s="3">
        <f>Table1[[#This Row],[Price Per Unit]]*Table1[[#This Row],[Units Sold]]</f>
        <v>93216.84</v>
      </c>
      <c r="M595" s="3" t="s">
        <v>128</v>
      </c>
      <c r="N595" s="3">
        <v>49</v>
      </c>
      <c r="O595" s="3" t="s">
        <v>35</v>
      </c>
      <c r="P595" s="3" t="s">
        <v>16</v>
      </c>
      <c r="Q595" s="4">
        <v>5</v>
      </c>
      <c r="R595" s="4" t="str">
        <f>IF(Table1[[#This Row],[Customer Ratings]]&gt;=4, "Good",IF(Table1[[#This Row],[Customer Ratings]]=3, "Average","Poor"))</f>
        <v>Good</v>
      </c>
      <c r="S595" s="3" t="s">
        <v>25</v>
      </c>
    </row>
    <row r="596" spans="1:19" x14ac:dyDescent="0.25">
      <c r="A596" s="3">
        <v>595</v>
      </c>
      <c r="B596" s="5">
        <f>DATE(Table1[[#This Row],[Year]],Table1[[#This Row],[Month]],Table1[[#This Row],[Day]])</f>
        <v>44646</v>
      </c>
      <c r="C596" s="3">
        <v>26</v>
      </c>
      <c r="D596" s="3">
        <v>3</v>
      </c>
      <c r="E596" s="3">
        <v>2022</v>
      </c>
      <c r="F596" s="3" t="str">
        <f>"Qtr"&amp; " " &amp;CHOOSE(MONTH(Table1[[#This Row],[Date]]),1,1,1,2,2,2,3,3,3,4,4,4)</f>
        <v>Qtr 1</v>
      </c>
      <c r="G596" s="3" t="str">
        <f>TEXT(Table1[[#This Row],[Date]],"mmmm")</f>
        <v>March</v>
      </c>
      <c r="H596" s="3" t="s">
        <v>1079</v>
      </c>
      <c r="I596" s="3" t="s">
        <v>13</v>
      </c>
      <c r="J596" s="3">
        <v>7</v>
      </c>
      <c r="K596" s="3">
        <v>53771.02</v>
      </c>
      <c r="L596" s="3">
        <f>Table1[[#This Row],[Price Per Unit]]*Table1[[#This Row],[Units Sold]]</f>
        <v>376397.13999999996</v>
      </c>
      <c r="M596" s="3" t="s">
        <v>510</v>
      </c>
      <c r="N596" s="3">
        <v>35</v>
      </c>
      <c r="O596" s="3" t="s">
        <v>137</v>
      </c>
      <c r="P596" s="3" t="s">
        <v>21</v>
      </c>
      <c r="Q596" s="4">
        <v>3</v>
      </c>
      <c r="R596" s="4" t="str">
        <f>IF(Table1[[#This Row],[Customer Ratings]]&gt;=4, "Good",IF(Table1[[#This Row],[Customer Ratings]]=3, "Average","Poor"))</f>
        <v>Average</v>
      </c>
      <c r="S596" s="3" t="s">
        <v>27</v>
      </c>
    </row>
    <row r="597" spans="1:19" x14ac:dyDescent="0.25">
      <c r="A597" s="3">
        <v>596</v>
      </c>
      <c r="B597" s="5">
        <f>DATE(Table1[[#This Row],[Year]],Table1[[#This Row],[Month]],Table1[[#This Row],[Day]])</f>
        <v>44646</v>
      </c>
      <c r="C597" s="3">
        <v>26</v>
      </c>
      <c r="D597" s="3">
        <v>3</v>
      </c>
      <c r="E597" s="3">
        <v>2022</v>
      </c>
      <c r="F597" s="3" t="str">
        <f>"Qtr"&amp; " " &amp;CHOOSE(MONTH(Table1[[#This Row],[Date]]),1,1,1,2,2,2,3,3,3,4,4,4)</f>
        <v>Qtr 1</v>
      </c>
      <c r="G597" s="3" t="str">
        <f>TEXT(Table1[[#This Row],[Date]],"mmmm")</f>
        <v>March</v>
      </c>
      <c r="H597" s="3" t="s">
        <v>1079</v>
      </c>
      <c r="I597" s="3" t="s">
        <v>18</v>
      </c>
      <c r="J597" s="3">
        <v>8</v>
      </c>
      <c r="K597" s="3">
        <v>30837.26</v>
      </c>
      <c r="L597" s="3">
        <f>Table1[[#This Row],[Price Per Unit]]*Table1[[#This Row],[Units Sold]]</f>
        <v>246698.08</v>
      </c>
      <c r="M597" s="3" t="s">
        <v>179</v>
      </c>
      <c r="N597" s="3">
        <v>55</v>
      </c>
      <c r="O597" s="3" t="s">
        <v>52</v>
      </c>
      <c r="P597" s="3" t="s">
        <v>16</v>
      </c>
      <c r="Q597" s="4">
        <v>3</v>
      </c>
      <c r="R597" s="4" t="str">
        <f>IF(Table1[[#This Row],[Customer Ratings]]&gt;=4, "Good",IF(Table1[[#This Row],[Customer Ratings]]=3, "Average","Poor"))</f>
        <v>Average</v>
      </c>
      <c r="S597" s="3" t="s">
        <v>25</v>
      </c>
    </row>
    <row r="598" spans="1:19" x14ac:dyDescent="0.25">
      <c r="A598" s="3">
        <v>597</v>
      </c>
      <c r="B598" s="5">
        <f>DATE(Table1[[#This Row],[Year]],Table1[[#This Row],[Month]],Table1[[#This Row],[Day]])</f>
        <v>44647</v>
      </c>
      <c r="C598" s="3">
        <v>27</v>
      </c>
      <c r="D598" s="3">
        <v>3</v>
      </c>
      <c r="E598" s="3">
        <v>2022</v>
      </c>
      <c r="F598" s="3" t="str">
        <f>"Qtr"&amp; " " &amp;CHOOSE(MONTH(Table1[[#This Row],[Date]]),1,1,1,2,2,2,3,3,3,4,4,4)</f>
        <v>Qtr 1</v>
      </c>
      <c r="G598" s="3" t="str">
        <f>TEXT(Table1[[#This Row],[Date]],"mmmm")</f>
        <v>March</v>
      </c>
      <c r="H598" s="3" t="s">
        <v>1080</v>
      </c>
      <c r="I598" s="3" t="s">
        <v>13</v>
      </c>
      <c r="J598" s="3">
        <v>4</v>
      </c>
      <c r="K598" s="3">
        <v>50863.01</v>
      </c>
      <c r="L598" s="3">
        <f>Table1[[#This Row],[Price Per Unit]]*Table1[[#This Row],[Units Sold]]</f>
        <v>203452.04</v>
      </c>
      <c r="M598" s="3" t="s">
        <v>511</v>
      </c>
      <c r="N598" s="3">
        <v>29</v>
      </c>
      <c r="O598" s="3" t="s">
        <v>24</v>
      </c>
      <c r="P598" s="3" t="s">
        <v>21</v>
      </c>
      <c r="Q598" s="4">
        <v>5</v>
      </c>
      <c r="R598" s="4" t="str">
        <f>IF(Table1[[#This Row],[Customer Ratings]]&gt;=4, "Good",IF(Table1[[#This Row],[Customer Ratings]]=3, "Average","Poor"))</f>
        <v>Good</v>
      </c>
      <c r="S598" s="3" t="s">
        <v>72</v>
      </c>
    </row>
    <row r="599" spans="1:19" x14ac:dyDescent="0.25">
      <c r="A599" s="3">
        <v>598</v>
      </c>
      <c r="B599" s="5">
        <f>DATE(Table1[[#This Row],[Year]],Table1[[#This Row],[Month]],Table1[[#This Row],[Day]])</f>
        <v>44647</v>
      </c>
      <c r="C599" s="3">
        <v>27</v>
      </c>
      <c r="D599" s="3">
        <v>3</v>
      </c>
      <c r="E599" s="3">
        <v>2022</v>
      </c>
      <c r="F599" s="3" t="str">
        <f>"Qtr"&amp; " " &amp;CHOOSE(MONTH(Table1[[#This Row],[Date]]),1,1,1,2,2,2,3,3,3,4,4,4)</f>
        <v>Qtr 1</v>
      </c>
      <c r="G599" s="3" t="str">
        <f>TEXT(Table1[[#This Row],[Date]],"mmmm")</f>
        <v>March</v>
      </c>
      <c r="H599" s="3" t="s">
        <v>1080</v>
      </c>
      <c r="I599" s="3" t="s">
        <v>33</v>
      </c>
      <c r="J599" s="3">
        <v>3</v>
      </c>
      <c r="K599" s="3">
        <v>32372.59</v>
      </c>
      <c r="L599" s="3">
        <f>Table1[[#This Row],[Price Per Unit]]*Table1[[#This Row],[Units Sold]]</f>
        <v>97117.77</v>
      </c>
      <c r="M599" s="3" t="s">
        <v>406</v>
      </c>
      <c r="N599" s="3">
        <v>32</v>
      </c>
      <c r="O599" s="3" t="s">
        <v>98</v>
      </c>
      <c r="P599" s="3" t="s">
        <v>45</v>
      </c>
      <c r="Q599" s="4">
        <v>5</v>
      </c>
      <c r="R599" s="4" t="str">
        <f>IF(Table1[[#This Row],[Customer Ratings]]&gt;=4, "Good",IF(Table1[[#This Row],[Customer Ratings]]=3, "Average","Poor"))</f>
        <v>Good</v>
      </c>
      <c r="S599" s="3" t="s">
        <v>83</v>
      </c>
    </row>
    <row r="600" spans="1:19" x14ac:dyDescent="0.25">
      <c r="A600" s="3">
        <v>599</v>
      </c>
      <c r="B600" s="5">
        <f>DATE(Table1[[#This Row],[Year]],Table1[[#This Row],[Month]],Table1[[#This Row],[Day]])</f>
        <v>44647</v>
      </c>
      <c r="C600" s="3">
        <v>27</v>
      </c>
      <c r="D600" s="3">
        <v>3</v>
      </c>
      <c r="E600" s="3">
        <v>2022</v>
      </c>
      <c r="F600" s="3" t="str">
        <f>"Qtr"&amp; " " &amp;CHOOSE(MONTH(Table1[[#This Row],[Date]]),1,1,1,2,2,2,3,3,3,4,4,4)</f>
        <v>Qtr 1</v>
      </c>
      <c r="G600" s="3" t="str">
        <f>TEXT(Table1[[#This Row],[Date]],"mmmm")</f>
        <v>March</v>
      </c>
      <c r="H600" s="3" t="s">
        <v>1080</v>
      </c>
      <c r="I600" s="3" t="s">
        <v>18</v>
      </c>
      <c r="J600" s="3">
        <v>5</v>
      </c>
      <c r="K600" s="3">
        <v>18734.05</v>
      </c>
      <c r="L600" s="3">
        <f>Table1[[#This Row],[Price Per Unit]]*Table1[[#This Row],[Units Sold]]</f>
        <v>93670.25</v>
      </c>
      <c r="M600" s="3" t="s">
        <v>280</v>
      </c>
      <c r="N600" s="3">
        <v>45</v>
      </c>
      <c r="O600" s="3" t="s">
        <v>20</v>
      </c>
      <c r="P600" s="3" t="s">
        <v>45</v>
      </c>
      <c r="Q600" s="4">
        <v>5</v>
      </c>
      <c r="R600" s="4" t="str">
        <f>IF(Table1[[#This Row],[Customer Ratings]]&gt;=4, "Good",IF(Table1[[#This Row],[Customer Ratings]]=3, "Average","Poor"))</f>
        <v>Good</v>
      </c>
      <c r="S600" s="3" t="s">
        <v>22</v>
      </c>
    </row>
    <row r="601" spans="1:19" x14ac:dyDescent="0.25">
      <c r="A601" s="3">
        <v>600</v>
      </c>
      <c r="B601" s="5">
        <f>DATE(Table1[[#This Row],[Year]],Table1[[#This Row],[Month]],Table1[[#This Row],[Day]])</f>
        <v>44647</v>
      </c>
      <c r="C601" s="3">
        <v>27</v>
      </c>
      <c r="D601" s="3">
        <v>3</v>
      </c>
      <c r="E601" s="3">
        <v>2022</v>
      </c>
      <c r="F601" s="3" t="str">
        <f>"Qtr"&amp; " " &amp;CHOOSE(MONTH(Table1[[#This Row],[Date]]),1,1,1,2,2,2,3,3,3,4,4,4)</f>
        <v>Qtr 1</v>
      </c>
      <c r="G601" s="3" t="str">
        <f>TEXT(Table1[[#This Row],[Date]],"mmmm")</f>
        <v>March</v>
      </c>
      <c r="H601" s="3" t="s">
        <v>1080</v>
      </c>
      <c r="I601" s="3" t="s">
        <v>28</v>
      </c>
      <c r="J601" s="3">
        <v>9</v>
      </c>
      <c r="K601" s="3">
        <v>34366.6</v>
      </c>
      <c r="L601" s="3">
        <f>Table1[[#This Row],[Price Per Unit]]*Table1[[#This Row],[Units Sold]]</f>
        <v>309299.39999999997</v>
      </c>
      <c r="M601" s="3" t="s">
        <v>368</v>
      </c>
      <c r="N601" s="3">
        <v>55</v>
      </c>
      <c r="O601" s="3" t="s">
        <v>20</v>
      </c>
      <c r="P601" s="3" t="s">
        <v>45</v>
      </c>
      <c r="Q601" s="4">
        <v>3</v>
      </c>
      <c r="R601" s="4" t="str">
        <f>IF(Table1[[#This Row],[Customer Ratings]]&gt;=4, "Good",IF(Table1[[#This Row],[Customer Ratings]]=3, "Average","Poor"))</f>
        <v>Average</v>
      </c>
      <c r="S601" s="3" t="s">
        <v>38</v>
      </c>
    </row>
    <row r="602" spans="1:19" x14ac:dyDescent="0.25">
      <c r="A602" s="3">
        <v>601</v>
      </c>
      <c r="B602" s="5">
        <f>DATE(Table1[[#This Row],[Year]],Table1[[#This Row],[Month]],Table1[[#This Row],[Day]])</f>
        <v>44648</v>
      </c>
      <c r="C602" s="3">
        <v>28</v>
      </c>
      <c r="D602" s="3">
        <v>3</v>
      </c>
      <c r="E602" s="3">
        <v>2022</v>
      </c>
      <c r="F602" s="3" t="str">
        <f>"Qtr"&amp; " " &amp;CHOOSE(MONTH(Table1[[#This Row],[Date]]),1,1,1,2,2,2,3,3,3,4,4,4)</f>
        <v>Qtr 1</v>
      </c>
      <c r="G602" s="3" t="str">
        <f>TEXT(Table1[[#This Row],[Date]],"mmmm")</f>
        <v>March</v>
      </c>
      <c r="H602" s="3" t="s">
        <v>1081</v>
      </c>
      <c r="I602" s="3" t="s">
        <v>28</v>
      </c>
      <c r="J602" s="3">
        <v>6</v>
      </c>
      <c r="K602" s="3">
        <v>16760.41</v>
      </c>
      <c r="L602" s="3">
        <f>Table1[[#This Row],[Price Per Unit]]*Table1[[#This Row],[Units Sold]]</f>
        <v>100562.45999999999</v>
      </c>
      <c r="M602" s="3" t="s">
        <v>393</v>
      </c>
      <c r="N602" s="3">
        <v>48</v>
      </c>
      <c r="O602" s="3" t="s">
        <v>24</v>
      </c>
      <c r="P602" s="3" t="s">
        <v>16</v>
      </c>
      <c r="Q602" s="4">
        <v>4</v>
      </c>
      <c r="R602" s="4" t="str">
        <f>IF(Table1[[#This Row],[Customer Ratings]]&gt;=4, "Good",IF(Table1[[#This Row],[Customer Ratings]]=3, "Average","Poor"))</f>
        <v>Good</v>
      </c>
      <c r="S602" s="3" t="s">
        <v>87</v>
      </c>
    </row>
    <row r="603" spans="1:19" x14ac:dyDescent="0.25">
      <c r="A603" s="3">
        <v>602</v>
      </c>
      <c r="B603" s="5">
        <f>DATE(Table1[[#This Row],[Year]],Table1[[#This Row],[Month]],Table1[[#This Row],[Day]])</f>
        <v>44648</v>
      </c>
      <c r="C603" s="3">
        <v>28</v>
      </c>
      <c r="D603" s="3">
        <v>3</v>
      </c>
      <c r="E603" s="3">
        <v>2022</v>
      </c>
      <c r="F603" s="3" t="str">
        <f>"Qtr"&amp; " " &amp;CHOOSE(MONTH(Table1[[#This Row],[Date]]),1,1,1,2,2,2,3,3,3,4,4,4)</f>
        <v>Qtr 1</v>
      </c>
      <c r="G603" s="3" t="str">
        <f>TEXT(Table1[[#This Row],[Date]],"mmmm")</f>
        <v>March</v>
      </c>
      <c r="H603" s="3" t="s">
        <v>1081</v>
      </c>
      <c r="I603" s="3" t="s">
        <v>39</v>
      </c>
      <c r="J603" s="3">
        <v>9</v>
      </c>
      <c r="K603" s="3">
        <v>44613</v>
      </c>
      <c r="L603" s="3">
        <f>Table1[[#This Row],[Price Per Unit]]*Table1[[#This Row],[Units Sold]]</f>
        <v>401517</v>
      </c>
      <c r="M603" s="3" t="s">
        <v>115</v>
      </c>
      <c r="N603" s="3">
        <v>26</v>
      </c>
      <c r="O603" s="3" t="s">
        <v>137</v>
      </c>
      <c r="P603" s="3" t="s">
        <v>16</v>
      </c>
      <c r="Q603" s="4">
        <v>5</v>
      </c>
      <c r="R603" s="4" t="str">
        <f>IF(Table1[[#This Row],[Customer Ratings]]&gt;=4, "Good",IF(Table1[[#This Row],[Customer Ratings]]=3, "Average","Poor"))</f>
        <v>Good</v>
      </c>
      <c r="S603" s="3" t="s">
        <v>76</v>
      </c>
    </row>
    <row r="604" spans="1:19" x14ac:dyDescent="0.25">
      <c r="A604" s="3">
        <v>603</v>
      </c>
      <c r="B604" s="5">
        <f>DATE(Table1[[#This Row],[Year]],Table1[[#This Row],[Month]],Table1[[#This Row],[Day]])</f>
        <v>44648</v>
      </c>
      <c r="C604" s="3">
        <v>28</v>
      </c>
      <c r="D604" s="3">
        <v>3</v>
      </c>
      <c r="E604" s="3">
        <v>2022</v>
      </c>
      <c r="F604" s="3" t="str">
        <f>"Qtr"&amp; " " &amp;CHOOSE(MONTH(Table1[[#This Row],[Date]]),1,1,1,2,2,2,3,3,3,4,4,4)</f>
        <v>Qtr 1</v>
      </c>
      <c r="G604" s="3" t="str">
        <f>TEXT(Table1[[#This Row],[Date]],"mmmm")</f>
        <v>March</v>
      </c>
      <c r="H604" s="3" t="s">
        <v>1081</v>
      </c>
      <c r="I604" s="3" t="s">
        <v>13</v>
      </c>
      <c r="J604" s="3">
        <v>6</v>
      </c>
      <c r="K604" s="3">
        <v>12457.09</v>
      </c>
      <c r="L604" s="3">
        <f>Table1[[#This Row],[Price Per Unit]]*Table1[[#This Row],[Units Sold]]</f>
        <v>74742.540000000008</v>
      </c>
      <c r="M604" s="3" t="s">
        <v>130</v>
      </c>
      <c r="N604" s="3">
        <v>25</v>
      </c>
      <c r="O604" s="3" t="s">
        <v>98</v>
      </c>
      <c r="P604" s="3" t="s">
        <v>31</v>
      </c>
      <c r="Q604" s="4">
        <v>4</v>
      </c>
      <c r="R604" s="4" t="str">
        <f>IF(Table1[[#This Row],[Customer Ratings]]&gt;=4, "Good",IF(Table1[[#This Row],[Customer Ratings]]=3, "Average","Poor"))</f>
        <v>Good</v>
      </c>
      <c r="S604" s="3" t="s">
        <v>27</v>
      </c>
    </row>
    <row r="605" spans="1:19" x14ac:dyDescent="0.25">
      <c r="A605" s="3">
        <v>604</v>
      </c>
      <c r="B605" s="5">
        <f>DATE(Table1[[#This Row],[Year]],Table1[[#This Row],[Month]],Table1[[#This Row],[Day]])</f>
        <v>44648</v>
      </c>
      <c r="C605" s="3">
        <v>28</v>
      </c>
      <c r="D605" s="3">
        <v>3</v>
      </c>
      <c r="E605" s="3">
        <v>2022</v>
      </c>
      <c r="F605" s="3" t="str">
        <f>"Qtr"&amp; " " &amp;CHOOSE(MONTH(Table1[[#This Row],[Date]]),1,1,1,2,2,2,3,3,3,4,4,4)</f>
        <v>Qtr 1</v>
      </c>
      <c r="G605" s="3" t="str">
        <f>TEXT(Table1[[#This Row],[Date]],"mmmm")</f>
        <v>March</v>
      </c>
      <c r="H605" s="3" t="s">
        <v>1081</v>
      </c>
      <c r="I605" s="3" t="s">
        <v>18</v>
      </c>
      <c r="J605" s="3">
        <v>2</v>
      </c>
      <c r="K605" s="3">
        <v>41639.18</v>
      </c>
      <c r="L605" s="3">
        <f>Table1[[#This Row],[Price Per Unit]]*Table1[[#This Row],[Units Sold]]</f>
        <v>83278.36</v>
      </c>
      <c r="M605" s="3" t="s">
        <v>128</v>
      </c>
      <c r="N605" s="3">
        <v>36</v>
      </c>
      <c r="O605" s="3" t="s">
        <v>120</v>
      </c>
      <c r="P605" s="3" t="s">
        <v>16</v>
      </c>
      <c r="Q605" s="4">
        <v>5</v>
      </c>
      <c r="R605" s="4" t="str">
        <f>IF(Table1[[#This Row],[Customer Ratings]]&gt;=4, "Good",IF(Table1[[#This Row],[Customer Ratings]]=3, "Average","Poor"))</f>
        <v>Good</v>
      </c>
      <c r="S605" s="3" t="s">
        <v>22</v>
      </c>
    </row>
    <row r="606" spans="1:19" x14ac:dyDescent="0.25">
      <c r="A606" s="3">
        <v>605</v>
      </c>
      <c r="B606" s="5">
        <f>DATE(Table1[[#This Row],[Year]],Table1[[#This Row],[Month]],Table1[[#This Row],[Day]])</f>
        <v>44649</v>
      </c>
      <c r="C606" s="3">
        <v>29</v>
      </c>
      <c r="D606" s="3">
        <v>3</v>
      </c>
      <c r="E606" s="3">
        <v>2022</v>
      </c>
      <c r="F606" s="3" t="str">
        <f>"Qtr"&amp; " " &amp;CHOOSE(MONTH(Table1[[#This Row],[Date]]),1,1,1,2,2,2,3,3,3,4,4,4)</f>
        <v>Qtr 1</v>
      </c>
      <c r="G606" s="3" t="str">
        <f>TEXT(Table1[[#This Row],[Date]],"mmmm")</f>
        <v>March</v>
      </c>
      <c r="H606" s="3" t="s">
        <v>1082</v>
      </c>
      <c r="I606" s="3" t="s">
        <v>39</v>
      </c>
      <c r="J606" s="3">
        <v>5</v>
      </c>
      <c r="K606" s="3">
        <v>63182.12</v>
      </c>
      <c r="L606" s="3">
        <f>Table1[[#This Row],[Price Per Unit]]*Table1[[#This Row],[Units Sold]]</f>
        <v>315910.60000000003</v>
      </c>
      <c r="M606" s="3" t="s">
        <v>512</v>
      </c>
      <c r="N606" s="3">
        <v>25</v>
      </c>
      <c r="O606" s="3" t="s">
        <v>125</v>
      </c>
      <c r="P606" s="3" t="s">
        <v>21</v>
      </c>
      <c r="Q606" s="4">
        <v>5</v>
      </c>
      <c r="R606" s="4" t="str">
        <f>IF(Table1[[#This Row],[Customer Ratings]]&gt;=4, "Good",IF(Table1[[#This Row],[Customer Ratings]]=3, "Average","Poor"))</f>
        <v>Good</v>
      </c>
      <c r="S606" s="3" t="s">
        <v>42</v>
      </c>
    </row>
    <row r="607" spans="1:19" x14ac:dyDescent="0.25">
      <c r="A607" s="3">
        <v>606</v>
      </c>
      <c r="B607" s="5">
        <f>DATE(Table1[[#This Row],[Year]],Table1[[#This Row],[Month]],Table1[[#This Row],[Day]])</f>
        <v>44649</v>
      </c>
      <c r="C607" s="3">
        <v>29</v>
      </c>
      <c r="D607" s="3">
        <v>3</v>
      </c>
      <c r="E607" s="3">
        <v>2022</v>
      </c>
      <c r="F607" s="3" t="str">
        <f>"Qtr"&amp; " " &amp;CHOOSE(MONTH(Table1[[#This Row],[Date]]),1,1,1,2,2,2,3,3,3,4,4,4)</f>
        <v>Qtr 1</v>
      </c>
      <c r="G607" s="3" t="str">
        <f>TEXT(Table1[[#This Row],[Date]],"mmmm")</f>
        <v>March</v>
      </c>
      <c r="H607" s="3" t="s">
        <v>1082</v>
      </c>
      <c r="I607" s="3" t="s">
        <v>18</v>
      </c>
      <c r="J607" s="3">
        <v>9</v>
      </c>
      <c r="K607" s="3">
        <v>60272.4</v>
      </c>
      <c r="L607" s="3">
        <f>Table1[[#This Row],[Price Per Unit]]*Table1[[#This Row],[Units Sold]]</f>
        <v>542451.6</v>
      </c>
      <c r="M607" s="3" t="s">
        <v>513</v>
      </c>
      <c r="N607" s="3">
        <v>51</v>
      </c>
      <c r="O607" s="3" t="s">
        <v>24</v>
      </c>
      <c r="P607" s="3" t="s">
        <v>31</v>
      </c>
      <c r="Q607" s="4">
        <v>4</v>
      </c>
      <c r="R607" s="4" t="str">
        <f>IF(Table1[[#This Row],[Customer Ratings]]&gt;=4, "Good",IF(Table1[[#This Row],[Customer Ratings]]=3, "Average","Poor"))</f>
        <v>Good</v>
      </c>
      <c r="S607" s="3" t="s">
        <v>55</v>
      </c>
    </row>
    <row r="608" spans="1:19" x14ac:dyDescent="0.25">
      <c r="A608" s="3">
        <v>607</v>
      </c>
      <c r="B608" s="5">
        <f>DATE(Table1[[#This Row],[Year]],Table1[[#This Row],[Month]],Table1[[#This Row],[Day]])</f>
        <v>44649</v>
      </c>
      <c r="C608" s="3">
        <v>29</v>
      </c>
      <c r="D608" s="3">
        <v>3</v>
      </c>
      <c r="E608" s="3">
        <v>2022</v>
      </c>
      <c r="F608" s="3" t="str">
        <f>"Qtr"&amp; " " &amp;CHOOSE(MONTH(Table1[[#This Row],[Date]]),1,1,1,2,2,2,3,3,3,4,4,4)</f>
        <v>Qtr 1</v>
      </c>
      <c r="G608" s="3" t="str">
        <f>TEXT(Table1[[#This Row],[Date]],"mmmm")</f>
        <v>March</v>
      </c>
      <c r="H608" s="3" t="s">
        <v>1082</v>
      </c>
      <c r="I608" s="3" t="s">
        <v>13</v>
      </c>
      <c r="J608" s="3">
        <v>8</v>
      </c>
      <c r="K608" s="3">
        <v>62966.9</v>
      </c>
      <c r="L608" s="3">
        <f>Table1[[#This Row],[Price Per Unit]]*Table1[[#This Row],[Units Sold]]</f>
        <v>503735.2</v>
      </c>
      <c r="M608" s="3" t="s">
        <v>514</v>
      </c>
      <c r="N608" s="3">
        <v>21</v>
      </c>
      <c r="O608" s="3" t="s">
        <v>24</v>
      </c>
      <c r="P608" s="3" t="s">
        <v>16</v>
      </c>
      <c r="Q608" s="4">
        <v>5</v>
      </c>
      <c r="R608" s="4" t="str">
        <f>IF(Table1[[#This Row],[Customer Ratings]]&gt;=4, "Good",IF(Table1[[#This Row],[Customer Ratings]]=3, "Average","Poor"))</f>
        <v>Good</v>
      </c>
      <c r="S608" s="3" t="s">
        <v>27</v>
      </c>
    </row>
    <row r="609" spans="1:19" x14ac:dyDescent="0.25">
      <c r="A609" s="3">
        <v>608</v>
      </c>
      <c r="B609" s="5">
        <f>DATE(Table1[[#This Row],[Year]],Table1[[#This Row],[Month]],Table1[[#This Row],[Day]])</f>
        <v>44650</v>
      </c>
      <c r="C609" s="3">
        <v>30</v>
      </c>
      <c r="D609" s="3">
        <v>3</v>
      </c>
      <c r="E609" s="3">
        <v>2022</v>
      </c>
      <c r="F609" s="3" t="str">
        <f>"Qtr"&amp; " " &amp;CHOOSE(MONTH(Table1[[#This Row],[Date]]),1,1,1,2,2,2,3,3,3,4,4,4)</f>
        <v>Qtr 1</v>
      </c>
      <c r="G609" s="3" t="str">
        <f>TEXT(Table1[[#This Row],[Date]],"mmmm")</f>
        <v>March</v>
      </c>
      <c r="H609" s="3" t="s">
        <v>1083</v>
      </c>
      <c r="I609" s="3" t="s">
        <v>28</v>
      </c>
      <c r="J609" s="3">
        <v>7</v>
      </c>
      <c r="K609" s="3">
        <v>65322.93</v>
      </c>
      <c r="L609" s="3">
        <f>Table1[[#This Row],[Price Per Unit]]*Table1[[#This Row],[Units Sold]]</f>
        <v>457260.51</v>
      </c>
      <c r="M609" s="3" t="s">
        <v>515</v>
      </c>
      <c r="N609" s="3">
        <v>48</v>
      </c>
      <c r="O609" s="3" t="s">
        <v>54</v>
      </c>
      <c r="P609" s="3" t="s">
        <v>31</v>
      </c>
      <c r="Q609" s="4">
        <v>4</v>
      </c>
      <c r="R609" s="4" t="str">
        <f>IF(Table1[[#This Row],[Customer Ratings]]&gt;=4, "Good",IF(Table1[[#This Row],[Customer Ratings]]=3, "Average","Poor"))</f>
        <v>Good</v>
      </c>
      <c r="S609" s="3" t="s">
        <v>38</v>
      </c>
    </row>
    <row r="610" spans="1:19" x14ac:dyDescent="0.25">
      <c r="A610" s="3">
        <v>609</v>
      </c>
      <c r="B610" s="5">
        <f>DATE(Table1[[#This Row],[Year]],Table1[[#This Row],[Month]],Table1[[#This Row],[Day]])</f>
        <v>44650</v>
      </c>
      <c r="C610" s="3">
        <v>30</v>
      </c>
      <c r="D610" s="3">
        <v>3</v>
      </c>
      <c r="E610" s="3">
        <v>2022</v>
      </c>
      <c r="F610" s="3" t="str">
        <f>"Qtr"&amp; " " &amp;CHOOSE(MONTH(Table1[[#This Row],[Date]]),1,1,1,2,2,2,3,3,3,4,4,4)</f>
        <v>Qtr 1</v>
      </c>
      <c r="G610" s="3" t="str">
        <f>TEXT(Table1[[#This Row],[Date]],"mmmm")</f>
        <v>March</v>
      </c>
      <c r="H610" s="3" t="s">
        <v>1083</v>
      </c>
      <c r="I610" s="3" t="s">
        <v>33</v>
      </c>
      <c r="J610" s="3">
        <v>1</v>
      </c>
      <c r="K610" s="3">
        <v>16271.67</v>
      </c>
      <c r="L610" s="3">
        <f>Table1[[#This Row],[Price Per Unit]]*Table1[[#This Row],[Units Sold]]</f>
        <v>16271.67</v>
      </c>
      <c r="M610" s="3" t="s">
        <v>516</v>
      </c>
      <c r="N610" s="3">
        <v>55</v>
      </c>
      <c r="O610" s="3" t="s">
        <v>58</v>
      </c>
      <c r="P610" s="3" t="s">
        <v>16</v>
      </c>
      <c r="Q610" s="4">
        <v>5</v>
      </c>
      <c r="R610" s="4" t="str">
        <f>IF(Table1[[#This Row],[Customer Ratings]]&gt;=4, "Good",IF(Table1[[#This Row],[Customer Ratings]]=3, "Average","Poor"))</f>
        <v>Good</v>
      </c>
      <c r="S610" s="3" t="s">
        <v>36</v>
      </c>
    </row>
    <row r="611" spans="1:19" x14ac:dyDescent="0.25">
      <c r="A611" s="3">
        <v>610</v>
      </c>
      <c r="B611" s="5">
        <f>DATE(Table1[[#This Row],[Year]],Table1[[#This Row],[Month]],Table1[[#This Row],[Day]])</f>
        <v>44650</v>
      </c>
      <c r="C611" s="3">
        <v>30</v>
      </c>
      <c r="D611" s="3">
        <v>3</v>
      </c>
      <c r="E611" s="3">
        <v>2022</v>
      </c>
      <c r="F611" s="3" t="str">
        <f>"Qtr"&amp; " " &amp;CHOOSE(MONTH(Table1[[#This Row],[Date]]),1,1,1,2,2,2,3,3,3,4,4,4)</f>
        <v>Qtr 1</v>
      </c>
      <c r="G611" s="3" t="str">
        <f>TEXT(Table1[[#This Row],[Date]],"mmmm")</f>
        <v>March</v>
      </c>
      <c r="H611" s="3" t="s">
        <v>1083</v>
      </c>
      <c r="I611" s="3" t="s">
        <v>28</v>
      </c>
      <c r="J611" s="3">
        <v>4</v>
      </c>
      <c r="K611" s="3">
        <v>17724.830000000002</v>
      </c>
      <c r="L611" s="3">
        <f>Table1[[#This Row],[Price Per Unit]]*Table1[[#This Row],[Units Sold]]</f>
        <v>70899.320000000007</v>
      </c>
      <c r="M611" s="3" t="s">
        <v>517</v>
      </c>
      <c r="N611" s="3">
        <v>20</v>
      </c>
      <c r="O611" s="3" t="s">
        <v>65</v>
      </c>
      <c r="P611" s="3" t="s">
        <v>21</v>
      </c>
      <c r="Q611" s="4">
        <v>5</v>
      </c>
      <c r="R611" s="4" t="str">
        <f>IF(Table1[[#This Row],[Customer Ratings]]&gt;=4, "Good",IF(Table1[[#This Row],[Customer Ratings]]=3, "Average","Poor"))</f>
        <v>Good</v>
      </c>
      <c r="S611" s="3" t="s">
        <v>38</v>
      </c>
    </row>
    <row r="612" spans="1:19" x14ac:dyDescent="0.25">
      <c r="A612" s="3">
        <v>611</v>
      </c>
      <c r="B612" s="5">
        <f>DATE(Table1[[#This Row],[Year]],Table1[[#This Row],[Month]],Table1[[#This Row],[Day]])</f>
        <v>44651</v>
      </c>
      <c r="C612" s="3">
        <v>31</v>
      </c>
      <c r="D612" s="3">
        <v>3</v>
      </c>
      <c r="E612" s="3">
        <v>2022</v>
      </c>
      <c r="F612" s="3" t="str">
        <f>"Qtr"&amp; " " &amp;CHOOSE(MONTH(Table1[[#This Row],[Date]]),1,1,1,2,2,2,3,3,3,4,4,4)</f>
        <v>Qtr 1</v>
      </c>
      <c r="G612" s="3" t="str">
        <f>TEXT(Table1[[#This Row],[Date]],"mmmm")</f>
        <v>March</v>
      </c>
      <c r="H612" s="3" t="s">
        <v>1084</v>
      </c>
      <c r="I612" s="3" t="s">
        <v>39</v>
      </c>
      <c r="J612" s="3">
        <v>7</v>
      </c>
      <c r="K612" s="3">
        <v>43420.41</v>
      </c>
      <c r="L612" s="3">
        <f>Table1[[#This Row],[Price Per Unit]]*Table1[[#This Row],[Units Sold]]</f>
        <v>303942.87</v>
      </c>
      <c r="M612" s="3" t="s">
        <v>518</v>
      </c>
      <c r="N612" s="3">
        <v>52</v>
      </c>
      <c r="O612" s="3" t="s">
        <v>98</v>
      </c>
      <c r="P612" s="3" t="s">
        <v>45</v>
      </c>
      <c r="Q612" s="4">
        <v>5</v>
      </c>
      <c r="R612" s="4" t="str">
        <f>IF(Table1[[#This Row],[Customer Ratings]]&gt;=4, "Good",IF(Table1[[#This Row],[Customer Ratings]]=3, "Average","Poor"))</f>
        <v>Good</v>
      </c>
      <c r="S612" s="3" t="s">
        <v>90</v>
      </c>
    </row>
    <row r="613" spans="1:19" x14ac:dyDescent="0.25">
      <c r="A613" s="3">
        <v>612</v>
      </c>
      <c r="B613" s="5">
        <f>DATE(Table1[[#This Row],[Year]],Table1[[#This Row],[Month]],Table1[[#This Row],[Day]])</f>
        <v>44651</v>
      </c>
      <c r="C613" s="3">
        <v>31</v>
      </c>
      <c r="D613" s="3">
        <v>3</v>
      </c>
      <c r="E613" s="3">
        <v>2022</v>
      </c>
      <c r="F613" s="3" t="str">
        <f>"Qtr"&amp; " " &amp;CHOOSE(MONTH(Table1[[#This Row],[Date]]),1,1,1,2,2,2,3,3,3,4,4,4)</f>
        <v>Qtr 1</v>
      </c>
      <c r="G613" s="3" t="str">
        <f>TEXT(Table1[[#This Row],[Date]],"mmmm")</f>
        <v>March</v>
      </c>
      <c r="H613" s="3" t="s">
        <v>1084</v>
      </c>
      <c r="I613" s="3" t="s">
        <v>33</v>
      </c>
      <c r="J613" s="3">
        <v>7</v>
      </c>
      <c r="K613" s="3">
        <v>63638.36</v>
      </c>
      <c r="L613" s="3">
        <f>Table1[[#This Row],[Price Per Unit]]*Table1[[#This Row],[Units Sold]]</f>
        <v>445468.52</v>
      </c>
      <c r="M613" s="3" t="s">
        <v>519</v>
      </c>
      <c r="N613" s="3">
        <v>36</v>
      </c>
      <c r="O613" s="3" t="s">
        <v>20</v>
      </c>
      <c r="P613" s="3" t="s">
        <v>45</v>
      </c>
      <c r="Q613" s="4">
        <v>4</v>
      </c>
      <c r="R613" s="4" t="str">
        <f>IF(Table1[[#This Row],[Customer Ratings]]&gt;=4, "Good",IF(Table1[[#This Row],[Customer Ratings]]=3, "Average","Poor"))</f>
        <v>Good</v>
      </c>
      <c r="S613" s="3" t="s">
        <v>83</v>
      </c>
    </row>
    <row r="614" spans="1:19" x14ac:dyDescent="0.25">
      <c r="A614" s="3">
        <v>613</v>
      </c>
      <c r="B614" s="5">
        <f>DATE(Table1[[#This Row],[Year]],Table1[[#This Row],[Month]],Table1[[#This Row],[Day]])</f>
        <v>44651</v>
      </c>
      <c r="C614" s="3">
        <v>31</v>
      </c>
      <c r="D614" s="3">
        <v>3</v>
      </c>
      <c r="E614" s="3">
        <v>2022</v>
      </c>
      <c r="F614" s="3" t="str">
        <f>"Qtr"&amp; " " &amp;CHOOSE(MONTH(Table1[[#This Row],[Date]]),1,1,1,2,2,2,3,3,3,4,4,4)</f>
        <v>Qtr 1</v>
      </c>
      <c r="G614" s="3" t="str">
        <f>TEXT(Table1[[#This Row],[Date]],"mmmm")</f>
        <v>March</v>
      </c>
      <c r="H614" s="3" t="s">
        <v>1084</v>
      </c>
      <c r="I614" s="3" t="s">
        <v>39</v>
      </c>
      <c r="J614" s="3">
        <v>6</v>
      </c>
      <c r="K614" s="3">
        <v>68460.97</v>
      </c>
      <c r="L614" s="3">
        <f>Table1[[#This Row],[Price Per Unit]]*Table1[[#This Row],[Units Sold]]</f>
        <v>410765.82</v>
      </c>
      <c r="M614" s="3" t="s">
        <v>316</v>
      </c>
      <c r="N614" s="3">
        <v>46</v>
      </c>
      <c r="O614" s="3" t="s">
        <v>137</v>
      </c>
      <c r="P614" s="3" t="s">
        <v>21</v>
      </c>
      <c r="Q614" s="4">
        <v>4</v>
      </c>
      <c r="R614" s="4" t="str">
        <f>IF(Table1[[#This Row],[Customer Ratings]]&gt;=4, "Good",IF(Table1[[#This Row],[Customer Ratings]]=3, "Average","Poor"))</f>
        <v>Good</v>
      </c>
      <c r="S614" s="3" t="s">
        <v>42</v>
      </c>
    </row>
    <row r="615" spans="1:19" x14ac:dyDescent="0.25">
      <c r="A615" s="3">
        <v>614</v>
      </c>
      <c r="B615" s="5">
        <f>DATE(Table1[[#This Row],[Year]],Table1[[#This Row],[Month]],Table1[[#This Row],[Day]])</f>
        <v>44651</v>
      </c>
      <c r="C615" s="3">
        <v>31</v>
      </c>
      <c r="D615" s="3">
        <v>3</v>
      </c>
      <c r="E615" s="3">
        <v>2022</v>
      </c>
      <c r="F615" s="3" t="str">
        <f>"Qtr"&amp; " " &amp;CHOOSE(MONTH(Table1[[#This Row],[Date]]),1,1,1,2,2,2,3,3,3,4,4,4)</f>
        <v>Qtr 1</v>
      </c>
      <c r="G615" s="3" t="str">
        <f>TEXT(Table1[[#This Row],[Date]],"mmmm")</f>
        <v>March</v>
      </c>
      <c r="H615" s="3" t="s">
        <v>1084</v>
      </c>
      <c r="I615" s="3" t="s">
        <v>13</v>
      </c>
      <c r="J615" s="3">
        <v>8</v>
      </c>
      <c r="K615" s="3">
        <v>12775.72</v>
      </c>
      <c r="L615" s="3">
        <f>Table1[[#This Row],[Price Per Unit]]*Table1[[#This Row],[Units Sold]]</f>
        <v>102205.75999999999</v>
      </c>
      <c r="M615" s="3" t="s">
        <v>415</v>
      </c>
      <c r="N615" s="3">
        <v>27</v>
      </c>
      <c r="O615" s="3" t="s">
        <v>65</v>
      </c>
      <c r="P615" s="3" t="s">
        <v>31</v>
      </c>
      <c r="Q615" s="4">
        <v>4</v>
      </c>
      <c r="R615" s="4" t="str">
        <f>IF(Table1[[#This Row],[Customer Ratings]]&gt;=4, "Good",IF(Table1[[#This Row],[Customer Ratings]]=3, "Average","Poor"))</f>
        <v>Good</v>
      </c>
      <c r="S615" s="3" t="s">
        <v>72</v>
      </c>
    </row>
    <row r="616" spans="1:19" x14ac:dyDescent="0.25">
      <c r="A616" s="3">
        <v>615</v>
      </c>
      <c r="B616" s="5">
        <f>DATE(Table1[[#This Row],[Year]],Table1[[#This Row],[Month]],Table1[[#This Row],[Day]])</f>
        <v>44652</v>
      </c>
      <c r="C616" s="3">
        <v>1</v>
      </c>
      <c r="D616" s="3">
        <v>4</v>
      </c>
      <c r="E616" s="3">
        <v>2022</v>
      </c>
      <c r="F616" s="3" t="str">
        <f>"Qtr"&amp; " " &amp;CHOOSE(MONTH(Table1[[#This Row],[Date]]),1,1,1,2,2,2,3,3,3,4,4,4)</f>
        <v>Qtr 2</v>
      </c>
      <c r="G616" s="3" t="str">
        <f>TEXT(Table1[[#This Row],[Date]],"mmmm")</f>
        <v>April</v>
      </c>
      <c r="H616" s="3" t="s">
        <v>1085</v>
      </c>
      <c r="I616" s="3" t="s">
        <v>33</v>
      </c>
      <c r="J616" s="3">
        <v>6</v>
      </c>
      <c r="K616" s="3">
        <v>31346.45</v>
      </c>
      <c r="L616" s="3">
        <f>Table1[[#This Row],[Price Per Unit]]*Table1[[#This Row],[Units Sold]]</f>
        <v>188078.7</v>
      </c>
      <c r="M616" s="3" t="s">
        <v>520</v>
      </c>
      <c r="N616" s="3">
        <v>29</v>
      </c>
      <c r="O616" s="3" t="s">
        <v>98</v>
      </c>
      <c r="P616" s="3" t="s">
        <v>45</v>
      </c>
      <c r="Q616" s="4">
        <v>5</v>
      </c>
      <c r="R616" s="4" t="str">
        <f>IF(Table1[[#This Row],[Customer Ratings]]&gt;=4, "Good",IF(Table1[[#This Row],[Customer Ratings]]=3, "Average","Poor"))</f>
        <v>Good</v>
      </c>
      <c r="S616" s="3" t="s">
        <v>36</v>
      </c>
    </row>
    <row r="617" spans="1:19" x14ac:dyDescent="0.25">
      <c r="A617" s="3">
        <v>616</v>
      </c>
      <c r="B617" s="5">
        <f>DATE(Table1[[#This Row],[Year]],Table1[[#This Row],[Month]],Table1[[#This Row],[Day]])</f>
        <v>44652</v>
      </c>
      <c r="C617" s="3">
        <v>1</v>
      </c>
      <c r="D617" s="3">
        <v>4</v>
      </c>
      <c r="E617" s="3">
        <v>2022</v>
      </c>
      <c r="F617" s="3" t="str">
        <f>"Qtr"&amp; " " &amp;CHOOSE(MONTH(Table1[[#This Row],[Date]]),1,1,1,2,2,2,3,3,3,4,4,4)</f>
        <v>Qtr 2</v>
      </c>
      <c r="G617" s="3" t="str">
        <f>TEXT(Table1[[#This Row],[Date]],"mmmm")</f>
        <v>April</v>
      </c>
      <c r="H617" s="3" t="s">
        <v>1085</v>
      </c>
      <c r="I617" s="3" t="s">
        <v>39</v>
      </c>
      <c r="J617" s="3">
        <v>3</v>
      </c>
      <c r="K617" s="3">
        <v>22773.66</v>
      </c>
      <c r="L617" s="3">
        <f>Table1[[#This Row],[Price Per Unit]]*Table1[[#This Row],[Units Sold]]</f>
        <v>68320.98</v>
      </c>
      <c r="M617" s="3" t="s">
        <v>521</v>
      </c>
      <c r="N617" s="3">
        <v>47</v>
      </c>
      <c r="O617" s="3" t="s">
        <v>24</v>
      </c>
      <c r="P617" s="3" t="s">
        <v>16</v>
      </c>
      <c r="Q617" s="4">
        <v>4</v>
      </c>
      <c r="R617" s="4" t="str">
        <f>IF(Table1[[#This Row],[Customer Ratings]]&gt;=4, "Good",IF(Table1[[#This Row],[Customer Ratings]]=3, "Average","Poor"))</f>
        <v>Good</v>
      </c>
      <c r="S617" s="3" t="s">
        <v>76</v>
      </c>
    </row>
    <row r="618" spans="1:19" x14ac:dyDescent="0.25">
      <c r="A618" s="3">
        <v>617</v>
      </c>
      <c r="B618" s="5">
        <f>DATE(Table1[[#This Row],[Year]],Table1[[#This Row],[Month]],Table1[[#This Row],[Day]])</f>
        <v>44652</v>
      </c>
      <c r="C618" s="3">
        <v>1</v>
      </c>
      <c r="D618" s="3">
        <v>4</v>
      </c>
      <c r="E618" s="3">
        <v>2022</v>
      </c>
      <c r="F618" s="3" t="str">
        <f>"Qtr"&amp; " " &amp;CHOOSE(MONTH(Table1[[#This Row],[Date]]),1,1,1,2,2,2,3,3,3,4,4,4)</f>
        <v>Qtr 2</v>
      </c>
      <c r="G618" s="3" t="str">
        <f>TEXT(Table1[[#This Row],[Date]],"mmmm")</f>
        <v>April</v>
      </c>
      <c r="H618" s="3" t="s">
        <v>1085</v>
      </c>
      <c r="I618" s="3" t="s">
        <v>13</v>
      </c>
      <c r="J618" s="3">
        <v>4</v>
      </c>
      <c r="K618" s="3">
        <v>55357.95</v>
      </c>
      <c r="L618" s="3">
        <f>Table1[[#This Row],[Price Per Unit]]*Table1[[#This Row],[Units Sold]]</f>
        <v>221431.8</v>
      </c>
      <c r="M618" s="3" t="s">
        <v>522</v>
      </c>
      <c r="N618" s="3">
        <v>47</v>
      </c>
      <c r="O618" s="3" t="s">
        <v>102</v>
      </c>
      <c r="P618" s="3" t="s">
        <v>16</v>
      </c>
      <c r="Q618" s="4">
        <v>5</v>
      </c>
      <c r="R618" s="4" t="str">
        <f>IF(Table1[[#This Row],[Customer Ratings]]&gt;=4, "Good",IF(Table1[[#This Row],[Customer Ratings]]=3, "Average","Poor"))</f>
        <v>Good</v>
      </c>
      <c r="S618" s="3" t="s">
        <v>17</v>
      </c>
    </row>
    <row r="619" spans="1:19" x14ac:dyDescent="0.25">
      <c r="A619" s="3">
        <v>618</v>
      </c>
      <c r="B619" s="5">
        <f>DATE(Table1[[#This Row],[Year]],Table1[[#This Row],[Month]],Table1[[#This Row],[Day]])</f>
        <v>44652</v>
      </c>
      <c r="C619" s="3">
        <v>1</v>
      </c>
      <c r="D619" s="3">
        <v>4</v>
      </c>
      <c r="E619" s="3">
        <v>2022</v>
      </c>
      <c r="F619" s="3" t="str">
        <f>"Qtr"&amp; " " &amp;CHOOSE(MONTH(Table1[[#This Row],[Date]]),1,1,1,2,2,2,3,3,3,4,4,4)</f>
        <v>Qtr 2</v>
      </c>
      <c r="G619" s="3" t="str">
        <f>TEXT(Table1[[#This Row],[Date]],"mmmm")</f>
        <v>April</v>
      </c>
      <c r="H619" s="3" t="s">
        <v>1085</v>
      </c>
      <c r="I619" s="3" t="s">
        <v>28</v>
      </c>
      <c r="J619" s="3">
        <v>3</v>
      </c>
      <c r="K619" s="3">
        <v>48411.63</v>
      </c>
      <c r="L619" s="3">
        <f>Table1[[#This Row],[Price Per Unit]]*Table1[[#This Row],[Units Sold]]</f>
        <v>145234.88999999998</v>
      </c>
      <c r="M619" s="3" t="s">
        <v>500</v>
      </c>
      <c r="N619" s="3">
        <v>35</v>
      </c>
      <c r="O619" s="3" t="s">
        <v>120</v>
      </c>
      <c r="P619" s="3" t="s">
        <v>31</v>
      </c>
      <c r="Q619" s="4">
        <v>4</v>
      </c>
      <c r="R619" s="4" t="str">
        <f>IF(Table1[[#This Row],[Customer Ratings]]&gt;=4, "Good",IF(Table1[[#This Row],[Customer Ratings]]=3, "Average","Poor"))</f>
        <v>Good</v>
      </c>
      <c r="S619" s="3" t="s">
        <v>87</v>
      </c>
    </row>
    <row r="620" spans="1:19" x14ac:dyDescent="0.25">
      <c r="A620" s="3">
        <v>619</v>
      </c>
      <c r="B620" s="5">
        <f>DATE(Table1[[#This Row],[Year]],Table1[[#This Row],[Month]],Table1[[#This Row],[Day]])</f>
        <v>44653</v>
      </c>
      <c r="C620" s="3">
        <v>2</v>
      </c>
      <c r="D620" s="3">
        <v>4</v>
      </c>
      <c r="E620" s="3">
        <v>2022</v>
      </c>
      <c r="F620" s="3" t="str">
        <f>"Qtr"&amp; " " &amp;CHOOSE(MONTH(Table1[[#This Row],[Date]]),1,1,1,2,2,2,3,3,3,4,4,4)</f>
        <v>Qtr 2</v>
      </c>
      <c r="G620" s="3" t="str">
        <f>TEXT(Table1[[#This Row],[Date]],"mmmm")</f>
        <v>April</v>
      </c>
      <c r="H620" s="3" t="s">
        <v>1079</v>
      </c>
      <c r="I620" s="3" t="s">
        <v>13</v>
      </c>
      <c r="J620" s="3">
        <v>1</v>
      </c>
      <c r="K620" s="3">
        <v>17193.28</v>
      </c>
      <c r="L620" s="3">
        <f>Table1[[#This Row],[Price Per Unit]]*Table1[[#This Row],[Units Sold]]</f>
        <v>17193.28</v>
      </c>
      <c r="M620" s="3" t="s">
        <v>523</v>
      </c>
      <c r="N620" s="3">
        <v>41</v>
      </c>
      <c r="O620" s="3" t="s">
        <v>52</v>
      </c>
      <c r="P620" s="3" t="s">
        <v>31</v>
      </c>
      <c r="Q620" s="4">
        <v>5</v>
      </c>
      <c r="R620" s="4" t="str">
        <f>IF(Table1[[#This Row],[Customer Ratings]]&gt;=4, "Good",IF(Table1[[#This Row],[Customer Ratings]]=3, "Average","Poor"))</f>
        <v>Good</v>
      </c>
      <c r="S620" s="3" t="s">
        <v>17</v>
      </c>
    </row>
    <row r="621" spans="1:19" x14ac:dyDescent="0.25">
      <c r="A621" s="3">
        <v>620</v>
      </c>
      <c r="B621" s="5">
        <f>DATE(Table1[[#This Row],[Year]],Table1[[#This Row],[Month]],Table1[[#This Row],[Day]])</f>
        <v>44653</v>
      </c>
      <c r="C621" s="3">
        <v>2</v>
      </c>
      <c r="D621" s="3">
        <v>4</v>
      </c>
      <c r="E621" s="3">
        <v>2022</v>
      </c>
      <c r="F621" s="3" t="str">
        <f>"Qtr"&amp; " " &amp;CHOOSE(MONTH(Table1[[#This Row],[Date]]),1,1,1,2,2,2,3,3,3,4,4,4)</f>
        <v>Qtr 2</v>
      </c>
      <c r="G621" s="3" t="str">
        <f>TEXT(Table1[[#This Row],[Date]],"mmmm")</f>
        <v>April</v>
      </c>
      <c r="H621" s="3" t="s">
        <v>1079</v>
      </c>
      <c r="I621" s="3" t="s">
        <v>18</v>
      </c>
      <c r="J621" s="3">
        <v>5</v>
      </c>
      <c r="K621" s="3">
        <v>39011.32</v>
      </c>
      <c r="L621" s="3">
        <f>Table1[[#This Row],[Price Per Unit]]*Table1[[#This Row],[Units Sold]]</f>
        <v>195056.6</v>
      </c>
      <c r="M621" s="3" t="s">
        <v>524</v>
      </c>
      <c r="N621" s="3">
        <v>49</v>
      </c>
      <c r="O621" s="3" t="s">
        <v>15</v>
      </c>
      <c r="P621" s="3" t="s">
        <v>21</v>
      </c>
      <c r="Q621" s="4">
        <v>5</v>
      </c>
      <c r="R621" s="4" t="str">
        <f>IF(Table1[[#This Row],[Customer Ratings]]&gt;=4, "Good",IF(Table1[[#This Row],[Customer Ratings]]=3, "Average","Poor"))</f>
        <v>Good</v>
      </c>
      <c r="S621" s="3" t="s">
        <v>55</v>
      </c>
    </row>
    <row r="622" spans="1:19" x14ac:dyDescent="0.25">
      <c r="A622" s="3">
        <v>621</v>
      </c>
      <c r="B622" s="5">
        <f>DATE(Table1[[#This Row],[Year]],Table1[[#This Row],[Month]],Table1[[#This Row],[Day]])</f>
        <v>44653</v>
      </c>
      <c r="C622" s="3">
        <v>2</v>
      </c>
      <c r="D622" s="3">
        <v>4</v>
      </c>
      <c r="E622" s="3">
        <v>2022</v>
      </c>
      <c r="F622" s="3" t="str">
        <f>"Qtr"&amp; " " &amp;CHOOSE(MONTH(Table1[[#This Row],[Date]]),1,1,1,2,2,2,3,3,3,4,4,4)</f>
        <v>Qtr 2</v>
      </c>
      <c r="G622" s="3" t="str">
        <f>TEXT(Table1[[#This Row],[Date]],"mmmm")</f>
        <v>April</v>
      </c>
      <c r="H622" s="3" t="s">
        <v>1079</v>
      </c>
      <c r="I622" s="3" t="s">
        <v>13</v>
      </c>
      <c r="J622" s="3">
        <v>1</v>
      </c>
      <c r="K622" s="3">
        <v>51126.43</v>
      </c>
      <c r="L622" s="3">
        <f>Table1[[#This Row],[Price Per Unit]]*Table1[[#This Row],[Units Sold]]</f>
        <v>51126.43</v>
      </c>
      <c r="M622" s="3" t="s">
        <v>525</v>
      </c>
      <c r="N622" s="3">
        <v>26</v>
      </c>
      <c r="O622" s="3" t="s">
        <v>20</v>
      </c>
      <c r="P622" s="3" t="s">
        <v>45</v>
      </c>
      <c r="Q622" s="4">
        <v>5</v>
      </c>
      <c r="R622" s="4" t="str">
        <f>IF(Table1[[#This Row],[Customer Ratings]]&gt;=4, "Good",IF(Table1[[#This Row],[Customer Ratings]]=3, "Average","Poor"))</f>
        <v>Good</v>
      </c>
      <c r="S622" s="3" t="s">
        <v>27</v>
      </c>
    </row>
    <row r="623" spans="1:19" x14ac:dyDescent="0.25">
      <c r="A623" s="3">
        <v>622</v>
      </c>
      <c r="B623" s="5">
        <f>DATE(Table1[[#This Row],[Year]],Table1[[#This Row],[Month]],Table1[[#This Row],[Day]])</f>
        <v>44653</v>
      </c>
      <c r="C623" s="3">
        <v>2</v>
      </c>
      <c r="D623" s="3">
        <v>4</v>
      </c>
      <c r="E623" s="3">
        <v>2022</v>
      </c>
      <c r="F623" s="3" t="str">
        <f>"Qtr"&amp; " " &amp;CHOOSE(MONTH(Table1[[#This Row],[Date]]),1,1,1,2,2,2,3,3,3,4,4,4)</f>
        <v>Qtr 2</v>
      </c>
      <c r="G623" s="3" t="str">
        <f>TEXT(Table1[[#This Row],[Date]],"mmmm")</f>
        <v>April</v>
      </c>
      <c r="H623" s="3" t="s">
        <v>1079</v>
      </c>
      <c r="I623" s="3" t="s">
        <v>13</v>
      </c>
      <c r="J623" s="3">
        <v>1</v>
      </c>
      <c r="K623" s="3">
        <v>56740.32</v>
      </c>
      <c r="L623" s="3">
        <f>Table1[[#This Row],[Price Per Unit]]*Table1[[#This Row],[Units Sold]]</f>
        <v>56740.32</v>
      </c>
      <c r="M623" s="3" t="s">
        <v>526</v>
      </c>
      <c r="N623" s="3">
        <v>41</v>
      </c>
      <c r="O623" s="3" t="s">
        <v>20</v>
      </c>
      <c r="P623" s="3" t="s">
        <v>31</v>
      </c>
      <c r="Q623" s="4">
        <v>5</v>
      </c>
      <c r="R623" s="4" t="str">
        <f>IF(Table1[[#This Row],[Customer Ratings]]&gt;=4, "Good",IF(Table1[[#This Row],[Customer Ratings]]=3, "Average","Poor"))</f>
        <v>Good</v>
      </c>
      <c r="S623" s="3" t="s">
        <v>72</v>
      </c>
    </row>
    <row r="624" spans="1:19" x14ac:dyDescent="0.25">
      <c r="A624" s="3">
        <v>623</v>
      </c>
      <c r="B624" s="5">
        <f>DATE(Table1[[#This Row],[Year]],Table1[[#This Row],[Month]],Table1[[#This Row],[Day]])</f>
        <v>44654</v>
      </c>
      <c r="C624" s="3">
        <v>3</v>
      </c>
      <c r="D624" s="3">
        <v>4</v>
      </c>
      <c r="E624" s="3">
        <v>2022</v>
      </c>
      <c r="F624" s="3" t="str">
        <f>"Qtr"&amp; " " &amp;CHOOSE(MONTH(Table1[[#This Row],[Date]]),1,1,1,2,2,2,3,3,3,4,4,4)</f>
        <v>Qtr 2</v>
      </c>
      <c r="G624" s="3" t="str">
        <f>TEXT(Table1[[#This Row],[Date]],"mmmm")</f>
        <v>April</v>
      </c>
      <c r="H624" s="3" t="s">
        <v>1080</v>
      </c>
      <c r="I624" s="3" t="s">
        <v>18</v>
      </c>
      <c r="J624" s="3">
        <v>2</v>
      </c>
      <c r="K624" s="3">
        <v>11203.16</v>
      </c>
      <c r="L624" s="3">
        <f>Table1[[#This Row],[Price Per Unit]]*Table1[[#This Row],[Units Sold]]</f>
        <v>22406.32</v>
      </c>
      <c r="M624" s="3" t="s">
        <v>527</v>
      </c>
      <c r="N624" s="3">
        <v>43</v>
      </c>
      <c r="O624" s="3" t="s">
        <v>20</v>
      </c>
      <c r="P624" s="3" t="s">
        <v>45</v>
      </c>
      <c r="Q624" s="4">
        <v>5</v>
      </c>
      <c r="R624" s="4" t="str">
        <f>IF(Table1[[#This Row],[Customer Ratings]]&gt;=4, "Good",IF(Table1[[#This Row],[Customer Ratings]]=3, "Average","Poor"))</f>
        <v>Good</v>
      </c>
      <c r="S624" s="3" t="s">
        <v>22</v>
      </c>
    </row>
    <row r="625" spans="1:19" x14ac:dyDescent="0.25">
      <c r="A625" s="3">
        <v>624</v>
      </c>
      <c r="B625" s="5">
        <f>DATE(Table1[[#This Row],[Year]],Table1[[#This Row],[Month]],Table1[[#This Row],[Day]])</f>
        <v>44654</v>
      </c>
      <c r="C625" s="3">
        <v>3</v>
      </c>
      <c r="D625" s="3">
        <v>4</v>
      </c>
      <c r="E625" s="3">
        <v>2022</v>
      </c>
      <c r="F625" s="3" t="str">
        <f>"Qtr"&amp; " " &amp;CHOOSE(MONTH(Table1[[#This Row],[Date]]),1,1,1,2,2,2,3,3,3,4,4,4)</f>
        <v>Qtr 2</v>
      </c>
      <c r="G625" s="3" t="str">
        <f>TEXT(Table1[[#This Row],[Date]],"mmmm")</f>
        <v>April</v>
      </c>
      <c r="H625" s="3" t="s">
        <v>1080</v>
      </c>
      <c r="I625" s="3" t="s">
        <v>39</v>
      </c>
      <c r="J625" s="3">
        <v>4</v>
      </c>
      <c r="K625" s="3">
        <v>63428.17</v>
      </c>
      <c r="L625" s="3">
        <f>Table1[[#This Row],[Price Per Unit]]*Table1[[#This Row],[Units Sold]]</f>
        <v>253712.68</v>
      </c>
      <c r="M625" s="3" t="s">
        <v>528</v>
      </c>
      <c r="N625" s="3">
        <v>20</v>
      </c>
      <c r="O625" s="3" t="s">
        <v>120</v>
      </c>
      <c r="P625" s="3" t="s">
        <v>45</v>
      </c>
      <c r="Q625" s="4">
        <v>5</v>
      </c>
      <c r="R625" s="4" t="str">
        <f>IF(Table1[[#This Row],[Customer Ratings]]&gt;=4, "Good",IF(Table1[[#This Row],[Customer Ratings]]=3, "Average","Poor"))</f>
        <v>Good</v>
      </c>
      <c r="S625" s="3" t="s">
        <v>42</v>
      </c>
    </row>
    <row r="626" spans="1:19" x14ac:dyDescent="0.25">
      <c r="A626" s="3">
        <v>625</v>
      </c>
      <c r="B626" s="5">
        <f>DATE(Table1[[#This Row],[Year]],Table1[[#This Row],[Month]],Table1[[#This Row],[Day]])</f>
        <v>44654</v>
      </c>
      <c r="C626" s="3">
        <v>3</v>
      </c>
      <c r="D626" s="3">
        <v>4</v>
      </c>
      <c r="E626" s="3">
        <v>2022</v>
      </c>
      <c r="F626" s="3" t="str">
        <f>"Qtr"&amp; " " &amp;CHOOSE(MONTH(Table1[[#This Row],[Date]]),1,1,1,2,2,2,3,3,3,4,4,4)</f>
        <v>Qtr 2</v>
      </c>
      <c r="G626" s="3" t="str">
        <f>TEXT(Table1[[#This Row],[Date]],"mmmm")</f>
        <v>April</v>
      </c>
      <c r="H626" s="3" t="s">
        <v>1080</v>
      </c>
      <c r="I626" s="3" t="s">
        <v>39</v>
      </c>
      <c r="J626" s="3">
        <v>6</v>
      </c>
      <c r="K626" s="3">
        <v>44156.88</v>
      </c>
      <c r="L626" s="3">
        <f>Table1[[#This Row],[Price Per Unit]]*Table1[[#This Row],[Units Sold]]</f>
        <v>264941.27999999997</v>
      </c>
      <c r="M626" s="3" t="s">
        <v>264</v>
      </c>
      <c r="N626" s="3">
        <v>40</v>
      </c>
      <c r="O626" s="3" t="s">
        <v>24</v>
      </c>
      <c r="P626" s="3" t="s">
        <v>16</v>
      </c>
      <c r="Q626" s="4">
        <v>5</v>
      </c>
      <c r="R626" s="4" t="str">
        <f>IF(Table1[[#This Row],[Customer Ratings]]&gt;=4, "Good",IF(Table1[[#This Row],[Customer Ratings]]=3, "Average","Poor"))</f>
        <v>Good</v>
      </c>
      <c r="S626" s="3" t="s">
        <v>42</v>
      </c>
    </row>
    <row r="627" spans="1:19" x14ac:dyDescent="0.25">
      <c r="A627" s="3">
        <v>626</v>
      </c>
      <c r="B627" s="5">
        <f>DATE(Table1[[#This Row],[Year]],Table1[[#This Row],[Month]],Table1[[#This Row],[Day]])</f>
        <v>44655</v>
      </c>
      <c r="C627" s="3">
        <v>4</v>
      </c>
      <c r="D627" s="3">
        <v>4</v>
      </c>
      <c r="E627" s="3">
        <v>2022</v>
      </c>
      <c r="F627" s="3" t="str">
        <f>"Qtr"&amp; " " &amp;CHOOSE(MONTH(Table1[[#This Row],[Date]]),1,1,1,2,2,2,3,3,3,4,4,4)</f>
        <v>Qtr 2</v>
      </c>
      <c r="G627" s="3" t="str">
        <f>TEXT(Table1[[#This Row],[Date]],"mmmm")</f>
        <v>April</v>
      </c>
      <c r="H627" s="3" t="s">
        <v>1081</v>
      </c>
      <c r="I627" s="3" t="s">
        <v>13</v>
      </c>
      <c r="J627" s="3">
        <v>8</v>
      </c>
      <c r="K627" s="3">
        <v>58714.55</v>
      </c>
      <c r="L627" s="3">
        <f>Table1[[#This Row],[Price Per Unit]]*Table1[[#This Row],[Units Sold]]</f>
        <v>469716.4</v>
      </c>
      <c r="M627" s="3" t="s">
        <v>529</v>
      </c>
      <c r="N627" s="3">
        <v>28</v>
      </c>
      <c r="O627" s="3" t="s">
        <v>20</v>
      </c>
      <c r="P627" s="3" t="s">
        <v>31</v>
      </c>
      <c r="Q627" s="4">
        <v>4</v>
      </c>
      <c r="R627" s="4" t="str">
        <f>IF(Table1[[#This Row],[Customer Ratings]]&gt;=4, "Good",IF(Table1[[#This Row],[Customer Ratings]]=3, "Average","Poor"))</f>
        <v>Good</v>
      </c>
      <c r="S627" s="3" t="s">
        <v>17</v>
      </c>
    </row>
    <row r="628" spans="1:19" x14ac:dyDescent="0.25">
      <c r="A628" s="3">
        <v>627</v>
      </c>
      <c r="B628" s="5">
        <f>DATE(Table1[[#This Row],[Year]],Table1[[#This Row],[Month]],Table1[[#This Row],[Day]])</f>
        <v>44655</v>
      </c>
      <c r="C628" s="3">
        <v>4</v>
      </c>
      <c r="D628" s="3">
        <v>4</v>
      </c>
      <c r="E628" s="3">
        <v>2022</v>
      </c>
      <c r="F628" s="3" t="str">
        <f>"Qtr"&amp; " " &amp;CHOOSE(MONTH(Table1[[#This Row],[Date]]),1,1,1,2,2,2,3,3,3,4,4,4)</f>
        <v>Qtr 2</v>
      </c>
      <c r="G628" s="3" t="str">
        <f>TEXT(Table1[[#This Row],[Date]],"mmmm")</f>
        <v>April</v>
      </c>
      <c r="H628" s="3" t="s">
        <v>1081</v>
      </c>
      <c r="I628" s="3" t="s">
        <v>18</v>
      </c>
      <c r="J628" s="3">
        <v>3</v>
      </c>
      <c r="K628" s="3">
        <v>58476.28</v>
      </c>
      <c r="L628" s="3">
        <f>Table1[[#This Row],[Price Per Unit]]*Table1[[#This Row],[Units Sold]]</f>
        <v>175428.84</v>
      </c>
      <c r="M628" s="3" t="s">
        <v>530</v>
      </c>
      <c r="N628" s="3">
        <v>27</v>
      </c>
      <c r="O628" s="3" t="s">
        <v>78</v>
      </c>
      <c r="P628" s="3" t="s">
        <v>21</v>
      </c>
      <c r="Q628" s="4">
        <v>3</v>
      </c>
      <c r="R628" s="4" t="str">
        <f>IF(Table1[[#This Row],[Customer Ratings]]&gt;=4, "Good",IF(Table1[[#This Row],[Customer Ratings]]=3, "Average","Poor"))</f>
        <v>Average</v>
      </c>
      <c r="S628" s="3" t="s">
        <v>55</v>
      </c>
    </row>
    <row r="629" spans="1:19" x14ac:dyDescent="0.25">
      <c r="A629" s="3">
        <v>628</v>
      </c>
      <c r="B629" s="5">
        <f>DATE(Table1[[#This Row],[Year]],Table1[[#This Row],[Month]],Table1[[#This Row],[Day]])</f>
        <v>44655</v>
      </c>
      <c r="C629" s="3">
        <v>4</v>
      </c>
      <c r="D629" s="3">
        <v>4</v>
      </c>
      <c r="E629" s="3">
        <v>2022</v>
      </c>
      <c r="F629" s="3" t="str">
        <f>"Qtr"&amp; " " &amp;CHOOSE(MONTH(Table1[[#This Row],[Date]]),1,1,1,2,2,2,3,3,3,4,4,4)</f>
        <v>Qtr 2</v>
      </c>
      <c r="G629" s="3" t="str">
        <f>TEXT(Table1[[#This Row],[Date]],"mmmm")</f>
        <v>April</v>
      </c>
      <c r="H629" s="3" t="s">
        <v>1081</v>
      </c>
      <c r="I629" s="3" t="s">
        <v>18</v>
      </c>
      <c r="J629" s="3">
        <v>1</v>
      </c>
      <c r="K629" s="3">
        <v>21391.16</v>
      </c>
      <c r="L629" s="3">
        <f>Table1[[#This Row],[Price Per Unit]]*Table1[[#This Row],[Units Sold]]</f>
        <v>21391.16</v>
      </c>
      <c r="M629" s="3" t="s">
        <v>450</v>
      </c>
      <c r="N629" s="3">
        <v>53</v>
      </c>
      <c r="O629" s="3" t="s">
        <v>102</v>
      </c>
      <c r="P629" s="3" t="s">
        <v>31</v>
      </c>
      <c r="Q629" s="4">
        <v>5</v>
      </c>
      <c r="R629" s="4" t="str">
        <f>IF(Table1[[#This Row],[Customer Ratings]]&gt;=4, "Good",IF(Table1[[#This Row],[Customer Ratings]]=3, "Average","Poor"))</f>
        <v>Good</v>
      </c>
      <c r="S629" s="3" t="s">
        <v>25</v>
      </c>
    </row>
    <row r="630" spans="1:19" x14ac:dyDescent="0.25">
      <c r="A630" s="3">
        <v>629</v>
      </c>
      <c r="B630" s="5">
        <f>DATE(Table1[[#This Row],[Year]],Table1[[#This Row],[Month]],Table1[[#This Row],[Day]])</f>
        <v>44656</v>
      </c>
      <c r="C630" s="3">
        <v>5</v>
      </c>
      <c r="D630" s="3">
        <v>4</v>
      </c>
      <c r="E630" s="3">
        <v>2022</v>
      </c>
      <c r="F630" s="3" t="str">
        <f>"Qtr"&amp; " " &amp;CHOOSE(MONTH(Table1[[#This Row],[Date]]),1,1,1,2,2,2,3,3,3,4,4,4)</f>
        <v>Qtr 2</v>
      </c>
      <c r="G630" s="3" t="str">
        <f>TEXT(Table1[[#This Row],[Date]],"mmmm")</f>
        <v>April</v>
      </c>
      <c r="H630" s="3" t="s">
        <v>1082</v>
      </c>
      <c r="I630" s="3" t="s">
        <v>28</v>
      </c>
      <c r="J630" s="3">
        <v>3</v>
      </c>
      <c r="K630" s="3">
        <v>16610.330000000002</v>
      </c>
      <c r="L630" s="3">
        <f>Table1[[#This Row],[Price Per Unit]]*Table1[[#This Row],[Units Sold]]</f>
        <v>49830.990000000005</v>
      </c>
      <c r="M630" s="3" t="s">
        <v>531</v>
      </c>
      <c r="N630" s="3">
        <v>30</v>
      </c>
      <c r="O630" s="3" t="s">
        <v>24</v>
      </c>
      <c r="P630" s="3" t="s">
        <v>45</v>
      </c>
      <c r="Q630" s="4">
        <v>5</v>
      </c>
      <c r="R630" s="4" t="str">
        <f>IF(Table1[[#This Row],[Customer Ratings]]&gt;=4, "Good",IF(Table1[[#This Row],[Customer Ratings]]=3, "Average","Poor"))</f>
        <v>Good</v>
      </c>
      <c r="S630" s="3" t="s">
        <v>87</v>
      </c>
    </row>
    <row r="631" spans="1:19" x14ac:dyDescent="0.25">
      <c r="A631" s="3">
        <v>630</v>
      </c>
      <c r="B631" s="5">
        <f>DATE(Table1[[#This Row],[Year]],Table1[[#This Row],[Month]],Table1[[#This Row],[Day]])</f>
        <v>44656</v>
      </c>
      <c r="C631" s="3">
        <v>5</v>
      </c>
      <c r="D631" s="3">
        <v>4</v>
      </c>
      <c r="E631" s="3">
        <v>2022</v>
      </c>
      <c r="F631" s="3" t="str">
        <f>"Qtr"&amp; " " &amp;CHOOSE(MONTH(Table1[[#This Row],[Date]]),1,1,1,2,2,2,3,3,3,4,4,4)</f>
        <v>Qtr 2</v>
      </c>
      <c r="G631" s="3" t="str">
        <f>TEXT(Table1[[#This Row],[Date]],"mmmm")</f>
        <v>April</v>
      </c>
      <c r="H631" s="3" t="s">
        <v>1082</v>
      </c>
      <c r="I631" s="3" t="s">
        <v>39</v>
      </c>
      <c r="J631" s="3">
        <v>3</v>
      </c>
      <c r="K631" s="3">
        <v>53277.24</v>
      </c>
      <c r="L631" s="3">
        <f>Table1[[#This Row],[Price Per Unit]]*Table1[[#This Row],[Units Sold]]</f>
        <v>159831.72</v>
      </c>
      <c r="M631" s="3" t="s">
        <v>532</v>
      </c>
      <c r="N631" s="3">
        <v>46</v>
      </c>
      <c r="O631" s="3" t="s">
        <v>58</v>
      </c>
      <c r="P631" s="3" t="s">
        <v>16</v>
      </c>
      <c r="Q631" s="4">
        <v>5</v>
      </c>
      <c r="R631" s="4" t="str">
        <f>IF(Table1[[#This Row],[Customer Ratings]]&gt;=4, "Good",IF(Table1[[#This Row],[Customer Ratings]]=3, "Average","Poor"))</f>
        <v>Good</v>
      </c>
      <c r="S631" s="3" t="s">
        <v>90</v>
      </c>
    </row>
    <row r="632" spans="1:19" x14ac:dyDescent="0.25">
      <c r="A632" s="3">
        <v>631</v>
      </c>
      <c r="B632" s="5">
        <f>DATE(Table1[[#This Row],[Year]],Table1[[#This Row],[Month]],Table1[[#This Row],[Day]])</f>
        <v>44656</v>
      </c>
      <c r="C632" s="3">
        <v>5</v>
      </c>
      <c r="D632" s="3">
        <v>4</v>
      </c>
      <c r="E632" s="3">
        <v>2022</v>
      </c>
      <c r="F632" s="3" t="str">
        <f>"Qtr"&amp; " " &amp;CHOOSE(MONTH(Table1[[#This Row],[Date]]),1,1,1,2,2,2,3,3,3,4,4,4)</f>
        <v>Qtr 2</v>
      </c>
      <c r="G632" s="3" t="str">
        <f>TEXT(Table1[[#This Row],[Date]],"mmmm")</f>
        <v>April</v>
      </c>
      <c r="H632" s="3" t="s">
        <v>1082</v>
      </c>
      <c r="I632" s="3" t="s">
        <v>33</v>
      </c>
      <c r="J632" s="3">
        <v>5</v>
      </c>
      <c r="K632" s="3">
        <v>19385.62</v>
      </c>
      <c r="L632" s="3">
        <f>Table1[[#This Row],[Price Per Unit]]*Table1[[#This Row],[Units Sold]]</f>
        <v>96928.099999999991</v>
      </c>
      <c r="M632" s="3" t="s">
        <v>533</v>
      </c>
      <c r="N632" s="3">
        <v>55</v>
      </c>
      <c r="O632" s="3" t="s">
        <v>41</v>
      </c>
      <c r="P632" s="3" t="s">
        <v>31</v>
      </c>
      <c r="Q632" s="4">
        <v>5</v>
      </c>
      <c r="R632" s="4" t="str">
        <f>IF(Table1[[#This Row],[Customer Ratings]]&gt;=4, "Good",IF(Table1[[#This Row],[Customer Ratings]]=3, "Average","Poor"))</f>
        <v>Good</v>
      </c>
      <c r="S632" s="3" t="s">
        <v>46</v>
      </c>
    </row>
    <row r="633" spans="1:19" x14ac:dyDescent="0.25">
      <c r="A633" s="3">
        <v>632</v>
      </c>
      <c r="B633" s="5">
        <f>DATE(Table1[[#This Row],[Year]],Table1[[#This Row],[Month]],Table1[[#This Row],[Day]])</f>
        <v>44657</v>
      </c>
      <c r="C633" s="3">
        <v>6</v>
      </c>
      <c r="D633" s="3">
        <v>4</v>
      </c>
      <c r="E633" s="3">
        <v>2022</v>
      </c>
      <c r="F633" s="3" t="str">
        <f>"Qtr"&amp; " " &amp;CHOOSE(MONTH(Table1[[#This Row],[Date]]),1,1,1,2,2,2,3,3,3,4,4,4)</f>
        <v>Qtr 2</v>
      </c>
      <c r="G633" s="3" t="str">
        <f>TEXT(Table1[[#This Row],[Date]],"mmmm")</f>
        <v>April</v>
      </c>
      <c r="H633" s="3" t="s">
        <v>1083</v>
      </c>
      <c r="I633" s="3" t="s">
        <v>39</v>
      </c>
      <c r="J633" s="3">
        <v>4</v>
      </c>
      <c r="K633" s="3">
        <v>60996.25</v>
      </c>
      <c r="L633" s="3">
        <f>Table1[[#This Row],[Price Per Unit]]*Table1[[#This Row],[Units Sold]]</f>
        <v>243985</v>
      </c>
      <c r="M633" s="3" t="s">
        <v>200</v>
      </c>
      <c r="N633" s="3">
        <v>30</v>
      </c>
      <c r="O633" s="3" t="s">
        <v>20</v>
      </c>
      <c r="P633" s="3" t="s">
        <v>31</v>
      </c>
      <c r="Q633" s="4">
        <v>5</v>
      </c>
      <c r="R633" s="4" t="str">
        <f>IF(Table1[[#This Row],[Customer Ratings]]&gt;=4, "Good",IF(Table1[[#This Row],[Customer Ratings]]=3, "Average","Poor"))</f>
        <v>Good</v>
      </c>
      <c r="S633" s="3" t="s">
        <v>76</v>
      </c>
    </row>
    <row r="634" spans="1:19" x14ac:dyDescent="0.25">
      <c r="A634" s="3">
        <v>633</v>
      </c>
      <c r="B634" s="5">
        <f>DATE(Table1[[#This Row],[Year]],Table1[[#This Row],[Month]],Table1[[#This Row],[Day]])</f>
        <v>44657</v>
      </c>
      <c r="C634" s="3">
        <v>6</v>
      </c>
      <c r="D634" s="3">
        <v>4</v>
      </c>
      <c r="E634" s="3">
        <v>2022</v>
      </c>
      <c r="F634" s="3" t="str">
        <f>"Qtr"&amp; " " &amp;CHOOSE(MONTH(Table1[[#This Row],[Date]]),1,1,1,2,2,2,3,3,3,4,4,4)</f>
        <v>Qtr 2</v>
      </c>
      <c r="G634" s="3" t="str">
        <f>TEXT(Table1[[#This Row],[Date]],"mmmm")</f>
        <v>April</v>
      </c>
      <c r="H634" s="3" t="s">
        <v>1083</v>
      </c>
      <c r="I634" s="3" t="s">
        <v>39</v>
      </c>
      <c r="J634" s="3">
        <v>4</v>
      </c>
      <c r="K634" s="3">
        <v>53571.37</v>
      </c>
      <c r="L634" s="3">
        <f>Table1[[#This Row],[Price Per Unit]]*Table1[[#This Row],[Units Sold]]</f>
        <v>214285.48</v>
      </c>
      <c r="M634" s="3" t="s">
        <v>310</v>
      </c>
      <c r="N634" s="3">
        <v>43</v>
      </c>
      <c r="O634" s="3" t="s">
        <v>52</v>
      </c>
      <c r="P634" s="3" t="s">
        <v>31</v>
      </c>
      <c r="Q634" s="4">
        <v>5</v>
      </c>
      <c r="R634" s="4" t="str">
        <f>IF(Table1[[#This Row],[Customer Ratings]]&gt;=4, "Good",IF(Table1[[#This Row],[Customer Ratings]]=3, "Average","Poor"))</f>
        <v>Good</v>
      </c>
      <c r="S634" s="3" t="s">
        <v>42</v>
      </c>
    </row>
    <row r="635" spans="1:19" x14ac:dyDescent="0.25">
      <c r="A635" s="3">
        <v>634</v>
      </c>
      <c r="B635" s="5">
        <f>DATE(Table1[[#This Row],[Year]],Table1[[#This Row],[Month]],Table1[[#This Row],[Day]])</f>
        <v>44657</v>
      </c>
      <c r="C635" s="3">
        <v>6</v>
      </c>
      <c r="D635" s="3">
        <v>4</v>
      </c>
      <c r="E635" s="3">
        <v>2022</v>
      </c>
      <c r="F635" s="3" t="str">
        <f>"Qtr"&amp; " " &amp;CHOOSE(MONTH(Table1[[#This Row],[Date]]),1,1,1,2,2,2,3,3,3,4,4,4)</f>
        <v>Qtr 2</v>
      </c>
      <c r="G635" s="3" t="str">
        <f>TEXT(Table1[[#This Row],[Date]],"mmmm")</f>
        <v>April</v>
      </c>
      <c r="H635" s="3" t="s">
        <v>1083</v>
      </c>
      <c r="I635" s="3" t="s">
        <v>28</v>
      </c>
      <c r="J635" s="3">
        <v>9</v>
      </c>
      <c r="K635" s="3">
        <v>60509.52</v>
      </c>
      <c r="L635" s="3">
        <f>Table1[[#This Row],[Price Per Unit]]*Table1[[#This Row],[Units Sold]]</f>
        <v>544585.67999999993</v>
      </c>
      <c r="M635" s="3" t="s">
        <v>534</v>
      </c>
      <c r="N635" s="3">
        <v>37</v>
      </c>
      <c r="O635" s="3" t="s">
        <v>20</v>
      </c>
      <c r="P635" s="3" t="s">
        <v>21</v>
      </c>
      <c r="Q635" s="4">
        <v>5</v>
      </c>
      <c r="R635" s="4" t="str">
        <f>IF(Table1[[#This Row],[Customer Ratings]]&gt;=4, "Good",IF(Table1[[#This Row],[Customer Ratings]]=3, "Average","Poor"))</f>
        <v>Good</v>
      </c>
      <c r="S635" s="3" t="s">
        <v>87</v>
      </c>
    </row>
    <row r="636" spans="1:19" x14ac:dyDescent="0.25">
      <c r="A636" s="3">
        <v>635</v>
      </c>
      <c r="B636" s="5">
        <f>DATE(Table1[[#This Row],[Year]],Table1[[#This Row],[Month]],Table1[[#This Row],[Day]])</f>
        <v>44658</v>
      </c>
      <c r="C636" s="3">
        <v>7</v>
      </c>
      <c r="D636" s="3">
        <v>4</v>
      </c>
      <c r="E636" s="3">
        <v>2022</v>
      </c>
      <c r="F636" s="3" t="str">
        <f>"Qtr"&amp; " " &amp;CHOOSE(MONTH(Table1[[#This Row],[Date]]),1,1,1,2,2,2,3,3,3,4,4,4)</f>
        <v>Qtr 2</v>
      </c>
      <c r="G636" s="3" t="str">
        <f>TEXT(Table1[[#This Row],[Date]],"mmmm")</f>
        <v>April</v>
      </c>
      <c r="H636" s="3" t="s">
        <v>1084</v>
      </c>
      <c r="I636" s="3" t="s">
        <v>33</v>
      </c>
      <c r="J636" s="3">
        <v>7</v>
      </c>
      <c r="K636" s="3">
        <v>27940.76</v>
      </c>
      <c r="L636" s="3">
        <f>Table1[[#This Row],[Price Per Unit]]*Table1[[#This Row],[Units Sold]]</f>
        <v>195585.31999999998</v>
      </c>
      <c r="M636" s="3" t="s">
        <v>187</v>
      </c>
      <c r="N636" s="3">
        <v>22</v>
      </c>
      <c r="O636" s="3" t="s">
        <v>125</v>
      </c>
      <c r="P636" s="3" t="s">
        <v>21</v>
      </c>
      <c r="Q636" s="4">
        <v>3</v>
      </c>
      <c r="R636" s="4" t="str">
        <f>IF(Table1[[#This Row],[Customer Ratings]]&gt;=4, "Good",IF(Table1[[#This Row],[Customer Ratings]]=3, "Average","Poor"))</f>
        <v>Average</v>
      </c>
      <c r="S636" s="3" t="s">
        <v>36</v>
      </c>
    </row>
    <row r="637" spans="1:19" x14ac:dyDescent="0.25">
      <c r="A637" s="3">
        <v>636</v>
      </c>
      <c r="B637" s="5">
        <f>DATE(Table1[[#This Row],[Year]],Table1[[#This Row],[Month]],Table1[[#This Row],[Day]])</f>
        <v>44658</v>
      </c>
      <c r="C637" s="3">
        <v>7</v>
      </c>
      <c r="D637" s="3">
        <v>4</v>
      </c>
      <c r="E637" s="3">
        <v>2022</v>
      </c>
      <c r="F637" s="3" t="str">
        <f>"Qtr"&amp; " " &amp;CHOOSE(MONTH(Table1[[#This Row],[Date]]),1,1,1,2,2,2,3,3,3,4,4,4)</f>
        <v>Qtr 2</v>
      </c>
      <c r="G637" s="3" t="str">
        <f>TEXT(Table1[[#This Row],[Date]],"mmmm")</f>
        <v>April</v>
      </c>
      <c r="H637" s="3" t="s">
        <v>1084</v>
      </c>
      <c r="I637" s="3" t="s">
        <v>28</v>
      </c>
      <c r="J637" s="3">
        <v>4</v>
      </c>
      <c r="K637" s="3">
        <v>28995.88</v>
      </c>
      <c r="L637" s="3">
        <f>Table1[[#This Row],[Price Per Unit]]*Table1[[#This Row],[Units Sold]]</f>
        <v>115983.52</v>
      </c>
      <c r="M637" s="3" t="s">
        <v>535</v>
      </c>
      <c r="N637" s="3">
        <v>37</v>
      </c>
      <c r="O637" s="3" t="s">
        <v>120</v>
      </c>
      <c r="P637" s="3" t="s">
        <v>21</v>
      </c>
      <c r="Q637" s="4">
        <v>5</v>
      </c>
      <c r="R637" s="4" t="str">
        <f>IF(Table1[[#This Row],[Customer Ratings]]&gt;=4, "Good",IF(Table1[[#This Row],[Customer Ratings]]=3, "Average","Poor"))</f>
        <v>Good</v>
      </c>
      <c r="S637" s="3" t="s">
        <v>87</v>
      </c>
    </row>
    <row r="638" spans="1:19" x14ac:dyDescent="0.25">
      <c r="A638" s="3">
        <v>637</v>
      </c>
      <c r="B638" s="5">
        <f>DATE(Table1[[#This Row],[Year]],Table1[[#This Row],[Month]],Table1[[#This Row],[Day]])</f>
        <v>44658</v>
      </c>
      <c r="C638" s="3">
        <v>7</v>
      </c>
      <c r="D638" s="3">
        <v>4</v>
      </c>
      <c r="E638" s="3">
        <v>2022</v>
      </c>
      <c r="F638" s="3" t="str">
        <f>"Qtr"&amp; " " &amp;CHOOSE(MONTH(Table1[[#This Row],[Date]]),1,1,1,2,2,2,3,3,3,4,4,4)</f>
        <v>Qtr 2</v>
      </c>
      <c r="G638" s="3" t="str">
        <f>TEXT(Table1[[#This Row],[Date]],"mmmm")</f>
        <v>April</v>
      </c>
      <c r="H638" s="3" t="s">
        <v>1084</v>
      </c>
      <c r="I638" s="3" t="s">
        <v>33</v>
      </c>
      <c r="J638" s="3">
        <v>3</v>
      </c>
      <c r="K638" s="3">
        <v>50273.29</v>
      </c>
      <c r="L638" s="3">
        <f>Table1[[#This Row],[Price Per Unit]]*Table1[[#This Row],[Units Sold]]</f>
        <v>150819.87</v>
      </c>
      <c r="M638" s="3" t="s">
        <v>388</v>
      </c>
      <c r="N638" s="3">
        <v>31</v>
      </c>
      <c r="O638" s="3" t="s">
        <v>20</v>
      </c>
      <c r="P638" s="3" t="s">
        <v>21</v>
      </c>
      <c r="Q638" s="4">
        <v>4</v>
      </c>
      <c r="R638" s="4" t="str">
        <f>IF(Table1[[#This Row],[Customer Ratings]]&gt;=4, "Good",IF(Table1[[#This Row],[Customer Ratings]]=3, "Average","Poor"))</f>
        <v>Good</v>
      </c>
      <c r="S638" s="3" t="s">
        <v>46</v>
      </c>
    </row>
    <row r="639" spans="1:19" x14ac:dyDescent="0.25">
      <c r="A639" s="3">
        <v>638</v>
      </c>
      <c r="B639" s="5">
        <f>DATE(Table1[[#This Row],[Year]],Table1[[#This Row],[Month]],Table1[[#This Row],[Day]])</f>
        <v>44659</v>
      </c>
      <c r="C639" s="3">
        <v>8</v>
      </c>
      <c r="D639" s="3">
        <v>4</v>
      </c>
      <c r="E639" s="3">
        <v>2022</v>
      </c>
      <c r="F639" s="3" t="str">
        <f>"Qtr"&amp; " " &amp;CHOOSE(MONTH(Table1[[#This Row],[Date]]),1,1,1,2,2,2,3,3,3,4,4,4)</f>
        <v>Qtr 2</v>
      </c>
      <c r="G639" s="3" t="str">
        <f>TEXT(Table1[[#This Row],[Date]],"mmmm")</f>
        <v>April</v>
      </c>
      <c r="H639" s="3" t="s">
        <v>1085</v>
      </c>
      <c r="I639" s="3" t="s">
        <v>13</v>
      </c>
      <c r="J639" s="3">
        <v>6</v>
      </c>
      <c r="K639" s="3">
        <v>11886.76</v>
      </c>
      <c r="L639" s="3">
        <f>Table1[[#This Row],[Price Per Unit]]*Table1[[#This Row],[Units Sold]]</f>
        <v>71320.56</v>
      </c>
      <c r="M639" s="3" t="s">
        <v>198</v>
      </c>
      <c r="N639" s="3">
        <v>31</v>
      </c>
      <c r="O639" s="3" t="s">
        <v>24</v>
      </c>
      <c r="P639" s="3" t="s">
        <v>16</v>
      </c>
      <c r="Q639" s="4">
        <v>5</v>
      </c>
      <c r="R639" s="4" t="str">
        <f>IF(Table1[[#This Row],[Customer Ratings]]&gt;=4, "Good",IF(Table1[[#This Row],[Customer Ratings]]=3, "Average","Poor"))</f>
        <v>Good</v>
      </c>
      <c r="S639" s="3" t="s">
        <v>17</v>
      </c>
    </row>
    <row r="640" spans="1:19" x14ac:dyDescent="0.25">
      <c r="A640" s="3">
        <v>639</v>
      </c>
      <c r="B640" s="5">
        <f>DATE(Table1[[#This Row],[Year]],Table1[[#This Row],[Month]],Table1[[#This Row],[Day]])</f>
        <v>44659</v>
      </c>
      <c r="C640" s="3">
        <v>8</v>
      </c>
      <c r="D640" s="3">
        <v>4</v>
      </c>
      <c r="E640" s="3">
        <v>2022</v>
      </c>
      <c r="F640" s="3" t="str">
        <f>"Qtr"&amp; " " &amp;CHOOSE(MONTH(Table1[[#This Row],[Date]]),1,1,1,2,2,2,3,3,3,4,4,4)</f>
        <v>Qtr 2</v>
      </c>
      <c r="G640" s="3" t="str">
        <f>TEXT(Table1[[#This Row],[Date]],"mmmm")</f>
        <v>April</v>
      </c>
      <c r="H640" s="3" t="s">
        <v>1085</v>
      </c>
      <c r="I640" s="3" t="s">
        <v>33</v>
      </c>
      <c r="J640" s="3">
        <v>3</v>
      </c>
      <c r="K640" s="3">
        <v>53589.8</v>
      </c>
      <c r="L640" s="3">
        <f>Table1[[#This Row],[Price Per Unit]]*Table1[[#This Row],[Units Sold]]</f>
        <v>160769.40000000002</v>
      </c>
      <c r="M640" s="3" t="s">
        <v>536</v>
      </c>
      <c r="N640" s="3">
        <v>25</v>
      </c>
      <c r="O640" s="3" t="s">
        <v>20</v>
      </c>
      <c r="P640" s="3" t="s">
        <v>16</v>
      </c>
      <c r="Q640" s="4">
        <v>3</v>
      </c>
      <c r="R640" s="4" t="str">
        <f>IF(Table1[[#This Row],[Customer Ratings]]&gt;=4, "Good",IF(Table1[[#This Row],[Customer Ratings]]=3, "Average","Poor"))</f>
        <v>Average</v>
      </c>
      <c r="S640" s="3" t="s">
        <v>83</v>
      </c>
    </row>
    <row r="641" spans="1:19" x14ac:dyDescent="0.25">
      <c r="A641" s="3">
        <v>640</v>
      </c>
      <c r="B641" s="5">
        <f>DATE(Table1[[#This Row],[Year]],Table1[[#This Row],[Month]],Table1[[#This Row],[Day]])</f>
        <v>44659</v>
      </c>
      <c r="C641" s="3">
        <v>8</v>
      </c>
      <c r="D641" s="3">
        <v>4</v>
      </c>
      <c r="E641" s="3">
        <v>2022</v>
      </c>
      <c r="F641" s="3" t="str">
        <f>"Qtr"&amp; " " &amp;CHOOSE(MONTH(Table1[[#This Row],[Date]]),1,1,1,2,2,2,3,3,3,4,4,4)</f>
        <v>Qtr 2</v>
      </c>
      <c r="G641" s="3" t="str">
        <f>TEXT(Table1[[#This Row],[Date]],"mmmm")</f>
        <v>April</v>
      </c>
      <c r="H641" s="3" t="s">
        <v>1085</v>
      </c>
      <c r="I641" s="3" t="s">
        <v>28</v>
      </c>
      <c r="J641" s="3">
        <v>6</v>
      </c>
      <c r="K641" s="3">
        <v>60146.98</v>
      </c>
      <c r="L641" s="3">
        <f>Table1[[#This Row],[Price Per Unit]]*Table1[[#This Row],[Units Sold]]</f>
        <v>360881.88</v>
      </c>
      <c r="M641" s="3" t="s">
        <v>283</v>
      </c>
      <c r="N641" s="3">
        <v>30</v>
      </c>
      <c r="O641" s="3" t="s">
        <v>35</v>
      </c>
      <c r="P641" s="3" t="s">
        <v>21</v>
      </c>
      <c r="Q641" s="4">
        <v>5</v>
      </c>
      <c r="R641" s="4" t="str">
        <f>IF(Table1[[#This Row],[Customer Ratings]]&gt;=4, "Good",IF(Table1[[#This Row],[Customer Ratings]]=3, "Average","Poor"))</f>
        <v>Good</v>
      </c>
      <c r="S641" s="3" t="s">
        <v>87</v>
      </c>
    </row>
    <row r="642" spans="1:19" x14ac:dyDescent="0.25">
      <c r="A642" s="3">
        <v>641</v>
      </c>
      <c r="B642" s="5">
        <f>DATE(Table1[[#This Row],[Year]],Table1[[#This Row],[Month]],Table1[[#This Row],[Day]])</f>
        <v>44660</v>
      </c>
      <c r="C642" s="3">
        <v>9</v>
      </c>
      <c r="D642" s="3">
        <v>4</v>
      </c>
      <c r="E642" s="3">
        <v>2022</v>
      </c>
      <c r="F642" s="3" t="str">
        <f>"Qtr"&amp; " " &amp;CHOOSE(MONTH(Table1[[#This Row],[Date]]),1,1,1,2,2,2,3,3,3,4,4,4)</f>
        <v>Qtr 2</v>
      </c>
      <c r="G642" s="3" t="str">
        <f>TEXT(Table1[[#This Row],[Date]],"mmmm")</f>
        <v>April</v>
      </c>
      <c r="H642" s="3" t="s">
        <v>1079</v>
      </c>
      <c r="I642" s="3" t="s">
        <v>39</v>
      </c>
      <c r="J642" s="3">
        <v>9</v>
      </c>
      <c r="K642" s="3">
        <v>34909.82</v>
      </c>
      <c r="L642" s="3">
        <f>Table1[[#This Row],[Price Per Unit]]*Table1[[#This Row],[Units Sold]]</f>
        <v>314188.38</v>
      </c>
      <c r="M642" s="3" t="s">
        <v>344</v>
      </c>
      <c r="N642" s="3">
        <v>41</v>
      </c>
      <c r="O642" s="3" t="s">
        <v>20</v>
      </c>
      <c r="P642" s="3" t="s">
        <v>45</v>
      </c>
      <c r="Q642" s="4">
        <v>4</v>
      </c>
      <c r="R642" s="4" t="str">
        <f>IF(Table1[[#This Row],[Customer Ratings]]&gt;=4, "Good",IF(Table1[[#This Row],[Customer Ratings]]=3, "Average","Poor"))</f>
        <v>Good</v>
      </c>
      <c r="S642" s="3" t="s">
        <v>42</v>
      </c>
    </row>
    <row r="643" spans="1:19" x14ac:dyDescent="0.25">
      <c r="A643" s="3">
        <v>642</v>
      </c>
      <c r="B643" s="5">
        <f>DATE(Table1[[#This Row],[Year]],Table1[[#This Row],[Month]],Table1[[#This Row],[Day]])</f>
        <v>44660</v>
      </c>
      <c r="C643" s="3">
        <v>9</v>
      </c>
      <c r="D643" s="3">
        <v>4</v>
      </c>
      <c r="E643" s="3">
        <v>2022</v>
      </c>
      <c r="F643" s="3" t="str">
        <f>"Qtr"&amp; " " &amp;CHOOSE(MONTH(Table1[[#This Row],[Date]]),1,1,1,2,2,2,3,3,3,4,4,4)</f>
        <v>Qtr 2</v>
      </c>
      <c r="G643" s="3" t="str">
        <f>TEXT(Table1[[#This Row],[Date]],"mmmm")</f>
        <v>April</v>
      </c>
      <c r="H643" s="3" t="s">
        <v>1079</v>
      </c>
      <c r="I643" s="3" t="s">
        <v>33</v>
      </c>
      <c r="J643" s="3">
        <v>6</v>
      </c>
      <c r="K643" s="3">
        <v>55892.73</v>
      </c>
      <c r="L643" s="3">
        <f>Table1[[#This Row],[Price Per Unit]]*Table1[[#This Row],[Units Sold]]</f>
        <v>335356.38</v>
      </c>
      <c r="M643" s="3" t="s">
        <v>537</v>
      </c>
      <c r="N643" s="3">
        <v>32</v>
      </c>
      <c r="O643" s="3" t="s">
        <v>24</v>
      </c>
      <c r="P643" s="3" t="s">
        <v>21</v>
      </c>
      <c r="Q643" s="4">
        <v>4</v>
      </c>
      <c r="R643" s="4" t="str">
        <f>IF(Table1[[#This Row],[Customer Ratings]]&gt;=4, "Good",IF(Table1[[#This Row],[Customer Ratings]]=3, "Average","Poor"))</f>
        <v>Good</v>
      </c>
      <c r="S643" s="3" t="s">
        <v>46</v>
      </c>
    </row>
    <row r="644" spans="1:19" x14ac:dyDescent="0.25">
      <c r="A644" s="3">
        <v>643</v>
      </c>
      <c r="B644" s="5">
        <f>DATE(Table1[[#This Row],[Year]],Table1[[#This Row],[Month]],Table1[[#This Row],[Day]])</f>
        <v>44660</v>
      </c>
      <c r="C644" s="3">
        <v>9</v>
      </c>
      <c r="D644" s="3">
        <v>4</v>
      </c>
      <c r="E644" s="3">
        <v>2022</v>
      </c>
      <c r="F644" s="3" t="str">
        <f>"Qtr"&amp; " " &amp;CHOOSE(MONTH(Table1[[#This Row],[Date]]),1,1,1,2,2,2,3,3,3,4,4,4)</f>
        <v>Qtr 2</v>
      </c>
      <c r="G644" s="3" t="str">
        <f>TEXT(Table1[[#This Row],[Date]],"mmmm")</f>
        <v>April</v>
      </c>
      <c r="H644" s="3" t="s">
        <v>1079</v>
      </c>
      <c r="I644" s="3" t="s">
        <v>33</v>
      </c>
      <c r="J644" s="3">
        <v>4</v>
      </c>
      <c r="K644" s="3">
        <v>20476.66</v>
      </c>
      <c r="L644" s="3">
        <f>Table1[[#This Row],[Price Per Unit]]*Table1[[#This Row],[Units Sold]]</f>
        <v>81906.64</v>
      </c>
      <c r="M644" s="3" t="s">
        <v>61</v>
      </c>
      <c r="N644" s="3">
        <v>18</v>
      </c>
      <c r="O644" s="3" t="s">
        <v>20</v>
      </c>
      <c r="P644" s="3" t="s">
        <v>21</v>
      </c>
      <c r="Q644" s="4">
        <v>4</v>
      </c>
      <c r="R644" s="4" t="str">
        <f>IF(Table1[[#This Row],[Customer Ratings]]&gt;=4, "Good",IF(Table1[[#This Row],[Customer Ratings]]=3, "Average","Poor"))</f>
        <v>Good</v>
      </c>
      <c r="S644" s="3" t="s">
        <v>46</v>
      </c>
    </row>
    <row r="645" spans="1:19" x14ac:dyDescent="0.25">
      <c r="A645" s="3">
        <v>644</v>
      </c>
      <c r="B645" s="5">
        <f>DATE(Table1[[#This Row],[Year]],Table1[[#This Row],[Month]],Table1[[#This Row],[Day]])</f>
        <v>44660</v>
      </c>
      <c r="C645" s="3">
        <v>9</v>
      </c>
      <c r="D645" s="3">
        <v>4</v>
      </c>
      <c r="E645" s="3">
        <v>2022</v>
      </c>
      <c r="F645" s="3" t="str">
        <f>"Qtr"&amp; " " &amp;CHOOSE(MONTH(Table1[[#This Row],[Date]]),1,1,1,2,2,2,3,3,3,4,4,4)</f>
        <v>Qtr 2</v>
      </c>
      <c r="G645" s="3" t="str">
        <f>TEXT(Table1[[#This Row],[Date]],"mmmm")</f>
        <v>April</v>
      </c>
      <c r="H645" s="3" t="s">
        <v>1079</v>
      </c>
      <c r="I645" s="3" t="s">
        <v>18</v>
      </c>
      <c r="J645" s="3">
        <v>5</v>
      </c>
      <c r="K645" s="3">
        <v>29335.62</v>
      </c>
      <c r="L645" s="3">
        <f>Table1[[#This Row],[Price Per Unit]]*Table1[[#This Row],[Units Sold]]</f>
        <v>146678.1</v>
      </c>
      <c r="M645" s="3" t="s">
        <v>324</v>
      </c>
      <c r="N645" s="3">
        <v>39</v>
      </c>
      <c r="O645" s="3" t="s">
        <v>24</v>
      </c>
      <c r="P645" s="3" t="s">
        <v>45</v>
      </c>
      <c r="Q645" s="4">
        <v>5</v>
      </c>
      <c r="R645" s="4" t="str">
        <f>IF(Table1[[#This Row],[Customer Ratings]]&gt;=4, "Good",IF(Table1[[#This Row],[Customer Ratings]]=3, "Average","Poor"))</f>
        <v>Good</v>
      </c>
      <c r="S645" s="3" t="s">
        <v>22</v>
      </c>
    </row>
    <row r="646" spans="1:19" x14ac:dyDescent="0.25">
      <c r="A646" s="3">
        <v>645</v>
      </c>
      <c r="B646" s="5">
        <f>DATE(Table1[[#This Row],[Year]],Table1[[#This Row],[Month]],Table1[[#This Row],[Day]])</f>
        <v>44661</v>
      </c>
      <c r="C646" s="3">
        <v>10</v>
      </c>
      <c r="D646" s="3">
        <v>4</v>
      </c>
      <c r="E646" s="3">
        <v>2022</v>
      </c>
      <c r="F646" s="3" t="str">
        <f>"Qtr"&amp; " " &amp;CHOOSE(MONTH(Table1[[#This Row],[Date]]),1,1,1,2,2,2,3,3,3,4,4,4)</f>
        <v>Qtr 2</v>
      </c>
      <c r="G646" s="3" t="str">
        <f>TEXT(Table1[[#This Row],[Date]],"mmmm")</f>
        <v>April</v>
      </c>
      <c r="H646" s="3" t="s">
        <v>1080</v>
      </c>
      <c r="I646" s="3" t="s">
        <v>39</v>
      </c>
      <c r="J646" s="3">
        <v>6</v>
      </c>
      <c r="K646" s="3">
        <v>68458.3</v>
      </c>
      <c r="L646" s="3">
        <f>Table1[[#This Row],[Price Per Unit]]*Table1[[#This Row],[Units Sold]]</f>
        <v>410749.80000000005</v>
      </c>
      <c r="M646" s="3" t="s">
        <v>538</v>
      </c>
      <c r="N646" s="3">
        <v>51</v>
      </c>
      <c r="O646" s="3" t="s">
        <v>78</v>
      </c>
      <c r="P646" s="3" t="s">
        <v>31</v>
      </c>
      <c r="Q646" s="4">
        <v>5</v>
      </c>
      <c r="R646" s="4" t="str">
        <f>IF(Table1[[#This Row],[Customer Ratings]]&gt;=4, "Good",IF(Table1[[#This Row],[Customer Ratings]]=3, "Average","Poor"))</f>
        <v>Good</v>
      </c>
      <c r="S646" s="3" t="s">
        <v>42</v>
      </c>
    </row>
    <row r="647" spans="1:19" x14ac:dyDescent="0.25">
      <c r="A647" s="3">
        <v>646</v>
      </c>
      <c r="B647" s="5">
        <f>DATE(Table1[[#This Row],[Year]],Table1[[#This Row],[Month]],Table1[[#This Row],[Day]])</f>
        <v>44661</v>
      </c>
      <c r="C647" s="3">
        <v>10</v>
      </c>
      <c r="D647" s="3">
        <v>4</v>
      </c>
      <c r="E647" s="3">
        <v>2022</v>
      </c>
      <c r="F647" s="3" t="str">
        <f>"Qtr"&amp; " " &amp;CHOOSE(MONTH(Table1[[#This Row],[Date]]),1,1,1,2,2,2,3,3,3,4,4,4)</f>
        <v>Qtr 2</v>
      </c>
      <c r="G647" s="3" t="str">
        <f>TEXT(Table1[[#This Row],[Date]],"mmmm")</f>
        <v>April</v>
      </c>
      <c r="H647" s="3" t="s">
        <v>1080</v>
      </c>
      <c r="I647" s="3" t="s">
        <v>13</v>
      </c>
      <c r="J647" s="3">
        <v>3</v>
      </c>
      <c r="K647" s="3">
        <v>69179.69</v>
      </c>
      <c r="L647" s="3">
        <f>Table1[[#This Row],[Price Per Unit]]*Table1[[#This Row],[Units Sold]]</f>
        <v>207539.07</v>
      </c>
      <c r="M647" s="3" t="s">
        <v>420</v>
      </c>
      <c r="N647" s="3">
        <v>57</v>
      </c>
      <c r="O647" s="3" t="s">
        <v>20</v>
      </c>
      <c r="P647" s="3" t="s">
        <v>45</v>
      </c>
      <c r="Q647" s="4">
        <v>3</v>
      </c>
      <c r="R647" s="4" t="str">
        <f>IF(Table1[[#This Row],[Customer Ratings]]&gt;=4, "Good",IF(Table1[[#This Row],[Customer Ratings]]=3, "Average","Poor"))</f>
        <v>Average</v>
      </c>
      <c r="S647" s="3" t="s">
        <v>72</v>
      </c>
    </row>
    <row r="648" spans="1:19" x14ac:dyDescent="0.25">
      <c r="A648" s="3">
        <v>647</v>
      </c>
      <c r="B648" s="5">
        <f>DATE(Table1[[#This Row],[Year]],Table1[[#This Row],[Month]],Table1[[#This Row],[Day]])</f>
        <v>44661</v>
      </c>
      <c r="C648" s="3">
        <v>10</v>
      </c>
      <c r="D648" s="3">
        <v>4</v>
      </c>
      <c r="E648" s="3">
        <v>2022</v>
      </c>
      <c r="F648" s="3" t="str">
        <f>"Qtr"&amp; " " &amp;CHOOSE(MONTH(Table1[[#This Row],[Date]]),1,1,1,2,2,2,3,3,3,4,4,4)</f>
        <v>Qtr 2</v>
      </c>
      <c r="G648" s="3" t="str">
        <f>TEXT(Table1[[#This Row],[Date]],"mmmm")</f>
        <v>April</v>
      </c>
      <c r="H648" s="3" t="s">
        <v>1080</v>
      </c>
      <c r="I648" s="3" t="s">
        <v>28</v>
      </c>
      <c r="J648" s="3">
        <v>8</v>
      </c>
      <c r="K648" s="3">
        <v>40756.300000000003</v>
      </c>
      <c r="L648" s="3">
        <f>Table1[[#This Row],[Price Per Unit]]*Table1[[#This Row],[Units Sold]]</f>
        <v>326050.40000000002</v>
      </c>
      <c r="M648" s="3" t="s">
        <v>539</v>
      </c>
      <c r="N648" s="3">
        <v>20</v>
      </c>
      <c r="O648" s="3" t="s">
        <v>65</v>
      </c>
      <c r="P648" s="3" t="s">
        <v>45</v>
      </c>
      <c r="Q648" s="4">
        <v>4</v>
      </c>
      <c r="R648" s="4" t="str">
        <f>IF(Table1[[#This Row],[Customer Ratings]]&gt;=4, "Good",IF(Table1[[#This Row],[Customer Ratings]]=3, "Average","Poor"))</f>
        <v>Good</v>
      </c>
      <c r="S648" s="3" t="s">
        <v>38</v>
      </c>
    </row>
    <row r="649" spans="1:19" x14ac:dyDescent="0.25">
      <c r="A649" s="3">
        <v>648</v>
      </c>
      <c r="B649" s="5">
        <f>DATE(Table1[[#This Row],[Year]],Table1[[#This Row],[Month]],Table1[[#This Row],[Day]])</f>
        <v>44662</v>
      </c>
      <c r="C649" s="3">
        <v>11</v>
      </c>
      <c r="D649" s="3">
        <v>4</v>
      </c>
      <c r="E649" s="3">
        <v>2022</v>
      </c>
      <c r="F649" s="3" t="str">
        <f>"Qtr"&amp; " " &amp;CHOOSE(MONTH(Table1[[#This Row],[Date]]),1,1,1,2,2,2,3,3,3,4,4,4)</f>
        <v>Qtr 2</v>
      </c>
      <c r="G649" s="3" t="str">
        <f>TEXT(Table1[[#This Row],[Date]],"mmmm")</f>
        <v>April</v>
      </c>
      <c r="H649" s="3" t="s">
        <v>1081</v>
      </c>
      <c r="I649" s="3" t="s">
        <v>13</v>
      </c>
      <c r="J649" s="3">
        <v>4</v>
      </c>
      <c r="K649" s="3">
        <v>66056.19</v>
      </c>
      <c r="L649" s="3">
        <f>Table1[[#This Row],[Price Per Unit]]*Table1[[#This Row],[Units Sold]]</f>
        <v>264224.76</v>
      </c>
      <c r="M649" s="3" t="s">
        <v>540</v>
      </c>
      <c r="N649" s="3">
        <v>43</v>
      </c>
      <c r="O649" s="3" t="s">
        <v>35</v>
      </c>
      <c r="P649" s="3" t="s">
        <v>16</v>
      </c>
      <c r="Q649" s="4">
        <v>5</v>
      </c>
      <c r="R649" s="4" t="str">
        <f>IF(Table1[[#This Row],[Customer Ratings]]&gt;=4, "Good",IF(Table1[[#This Row],[Customer Ratings]]=3, "Average","Poor"))</f>
        <v>Good</v>
      </c>
      <c r="S649" s="3" t="s">
        <v>72</v>
      </c>
    </row>
    <row r="650" spans="1:19" x14ac:dyDescent="0.25">
      <c r="A650" s="3">
        <v>649</v>
      </c>
      <c r="B650" s="5">
        <f>DATE(Table1[[#This Row],[Year]],Table1[[#This Row],[Month]],Table1[[#This Row],[Day]])</f>
        <v>44662</v>
      </c>
      <c r="C650" s="3">
        <v>11</v>
      </c>
      <c r="D650" s="3">
        <v>4</v>
      </c>
      <c r="E650" s="3">
        <v>2022</v>
      </c>
      <c r="F650" s="3" t="str">
        <f>"Qtr"&amp; " " &amp;CHOOSE(MONTH(Table1[[#This Row],[Date]]),1,1,1,2,2,2,3,3,3,4,4,4)</f>
        <v>Qtr 2</v>
      </c>
      <c r="G650" s="3" t="str">
        <f>TEXT(Table1[[#This Row],[Date]],"mmmm")</f>
        <v>April</v>
      </c>
      <c r="H650" s="3" t="s">
        <v>1081</v>
      </c>
      <c r="I650" s="3" t="s">
        <v>39</v>
      </c>
      <c r="J650" s="3">
        <v>8</v>
      </c>
      <c r="K650" s="3">
        <v>41363.839999999997</v>
      </c>
      <c r="L650" s="3">
        <f>Table1[[#This Row],[Price Per Unit]]*Table1[[#This Row],[Units Sold]]</f>
        <v>330910.71999999997</v>
      </c>
      <c r="M650" s="3" t="s">
        <v>93</v>
      </c>
      <c r="N650" s="3">
        <v>31</v>
      </c>
      <c r="O650" s="3" t="s">
        <v>20</v>
      </c>
      <c r="P650" s="3" t="s">
        <v>31</v>
      </c>
      <c r="Q650" s="4">
        <v>5</v>
      </c>
      <c r="R650" s="4" t="str">
        <f>IF(Table1[[#This Row],[Customer Ratings]]&gt;=4, "Good",IF(Table1[[#This Row],[Customer Ratings]]=3, "Average","Poor"))</f>
        <v>Good</v>
      </c>
      <c r="S650" s="3" t="s">
        <v>76</v>
      </c>
    </row>
    <row r="651" spans="1:19" x14ac:dyDescent="0.25">
      <c r="A651" s="3">
        <v>650</v>
      </c>
      <c r="B651" s="5">
        <f>DATE(Table1[[#This Row],[Year]],Table1[[#This Row],[Month]],Table1[[#This Row],[Day]])</f>
        <v>44662</v>
      </c>
      <c r="C651" s="3">
        <v>11</v>
      </c>
      <c r="D651" s="3">
        <v>4</v>
      </c>
      <c r="E651" s="3">
        <v>2022</v>
      </c>
      <c r="F651" s="3" t="str">
        <f>"Qtr"&amp; " " &amp;CHOOSE(MONTH(Table1[[#This Row],[Date]]),1,1,1,2,2,2,3,3,3,4,4,4)</f>
        <v>Qtr 2</v>
      </c>
      <c r="G651" s="3" t="str">
        <f>TEXT(Table1[[#This Row],[Date]],"mmmm")</f>
        <v>April</v>
      </c>
      <c r="H651" s="3" t="s">
        <v>1081</v>
      </c>
      <c r="I651" s="3" t="s">
        <v>33</v>
      </c>
      <c r="J651" s="3">
        <v>3</v>
      </c>
      <c r="K651" s="3">
        <v>27495.29</v>
      </c>
      <c r="L651" s="3">
        <f>Table1[[#This Row],[Price Per Unit]]*Table1[[#This Row],[Units Sold]]</f>
        <v>82485.87</v>
      </c>
      <c r="M651" s="3" t="s">
        <v>541</v>
      </c>
      <c r="N651" s="3">
        <v>58</v>
      </c>
      <c r="O651" s="3" t="s">
        <v>48</v>
      </c>
      <c r="P651" s="3" t="s">
        <v>45</v>
      </c>
      <c r="Q651" s="4">
        <v>5</v>
      </c>
      <c r="R651" s="4" t="str">
        <f>IF(Table1[[#This Row],[Customer Ratings]]&gt;=4, "Good",IF(Table1[[#This Row],[Customer Ratings]]=3, "Average","Poor"))</f>
        <v>Good</v>
      </c>
      <c r="S651" s="3" t="s">
        <v>83</v>
      </c>
    </row>
    <row r="652" spans="1:19" x14ac:dyDescent="0.25">
      <c r="A652" s="3">
        <v>651</v>
      </c>
      <c r="B652" s="5">
        <f>DATE(Table1[[#This Row],[Year]],Table1[[#This Row],[Month]],Table1[[#This Row],[Day]])</f>
        <v>44663</v>
      </c>
      <c r="C652" s="3">
        <v>12</v>
      </c>
      <c r="D652" s="3">
        <v>4</v>
      </c>
      <c r="E652" s="3">
        <v>2022</v>
      </c>
      <c r="F652" s="3" t="str">
        <f>"Qtr"&amp; " " &amp;CHOOSE(MONTH(Table1[[#This Row],[Date]]),1,1,1,2,2,2,3,3,3,4,4,4)</f>
        <v>Qtr 2</v>
      </c>
      <c r="G652" s="3" t="str">
        <f>TEXT(Table1[[#This Row],[Date]],"mmmm")</f>
        <v>April</v>
      </c>
      <c r="H652" s="3" t="s">
        <v>1082</v>
      </c>
      <c r="I652" s="3" t="s">
        <v>33</v>
      </c>
      <c r="J652" s="3">
        <v>7</v>
      </c>
      <c r="K652" s="3">
        <v>26013.96</v>
      </c>
      <c r="L652" s="3">
        <f>Table1[[#This Row],[Price Per Unit]]*Table1[[#This Row],[Units Sold]]</f>
        <v>182097.72</v>
      </c>
      <c r="M652" s="3" t="s">
        <v>542</v>
      </c>
      <c r="N652" s="3">
        <v>25</v>
      </c>
      <c r="O652" s="3" t="s">
        <v>48</v>
      </c>
      <c r="P652" s="3" t="s">
        <v>21</v>
      </c>
      <c r="Q652" s="4">
        <v>5</v>
      </c>
      <c r="R652" s="4" t="str">
        <f>IF(Table1[[#This Row],[Customer Ratings]]&gt;=4, "Good",IF(Table1[[#This Row],[Customer Ratings]]=3, "Average","Poor"))</f>
        <v>Good</v>
      </c>
      <c r="S652" s="3" t="s">
        <v>46</v>
      </c>
    </row>
    <row r="653" spans="1:19" x14ac:dyDescent="0.25">
      <c r="A653" s="3">
        <v>652</v>
      </c>
      <c r="B653" s="5">
        <f>DATE(Table1[[#This Row],[Year]],Table1[[#This Row],[Month]],Table1[[#This Row],[Day]])</f>
        <v>44663</v>
      </c>
      <c r="C653" s="3">
        <v>12</v>
      </c>
      <c r="D653" s="3">
        <v>4</v>
      </c>
      <c r="E653" s="3">
        <v>2022</v>
      </c>
      <c r="F653" s="3" t="str">
        <f>"Qtr"&amp; " " &amp;CHOOSE(MONTH(Table1[[#This Row],[Date]]),1,1,1,2,2,2,3,3,3,4,4,4)</f>
        <v>Qtr 2</v>
      </c>
      <c r="G653" s="3" t="str">
        <f>TEXT(Table1[[#This Row],[Date]],"mmmm")</f>
        <v>April</v>
      </c>
      <c r="H653" s="3" t="s">
        <v>1082</v>
      </c>
      <c r="I653" s="3" t="s">
        <v>39</v>
      </c>
      <c r="J653" s="3">
        <v>9</v>
      </c>
      <c r="K653" s="3">
        <v>65770.34</v>
      </c>
      <c r="L653" s="3">
        <f>Table1[[#This Row],[Price Per Unit]]*Table1[[#This Row],[Units Sold]]</f>
        <v>591933.05999999994</v>
      </c>
      <c r="M653" s="3" t="s">
        <v>412</v>
      </c>
      <c r="N653" s="3">
        <v>33</v>
      </c>
      <c r="O653" s="3" t="s">
        <v>24</v>
      </c>
      <c r="P653" s="3" t="s">
        <v>45</v>
      </c>
      <c r="Q653" s="4">
        <v>3</v>
      </c>
      <c r="R653" s="4" t="str">
        <f>IF(Table1[[#This Row],[Customer Ratings]]&gt;=4, "Good",IF(Table1[[#This Row],[Customer Ratings]]=3, "Average","Poor"))</f>
        <v>Average</v>
      </c>
      <c r="S653" s="3" t="s">
        <v>76</v>
      </c>
    </row>
    <row r="654" spans="1:19" x14ac:dyDescent="0.25">
      <c r="A654" s="3">
        <v>653</v>
      </c>
      <c r="B654" s="5">
        <f>DATE(Table1[[#This Row],[Year]],Table1[[#This Row],[Month]],Table1[[#This Row],[Day]])</f>
        <v>44663</v>
      </c>
      <c r="C654" s="3">
        <v>12</v>
      </c>
      <c r="D654" s="3">
        <v>4</v>
      </c>
      <c r="E654" s="3">
        <v>2022</v>
      </c>
      <c r="F654" s="3" t="str">
        <f>"Qtr"&amp; " " &amp;CHOOSE(MONTH(Table1[[#This Row],[Date]]),1,1,1,2,2,2,3,3,3,4,4,4)</f>
        <v>Qtr 2</v>
      </c>
      <c r="G654" s="3" t="str">
        <f>TEXT(Table1[[#This Row],[Date]],"mmmm")</f>
        <v>April</v>
      </c>
      <c r="H654" s="3" t="s">
        <v>1082</v>
      </c>
      <c r="I654" s="3" t="s">
        <v>33</v>
      </c>
      <c r="J654" s="3">
        <v>4</v>
      </c>
      <c r="K654" s="3">
        <v>20346.78</v>
      </c>
      <c r="L654" s="3">
        <f>Table1[[#This Row],[Price Per Unit]]*Table1[[#This Row],[Units Sold]]</f>
        <v>81387.12</v>
      </c>
      <c r="M654" s="3" t="s">
        <v>282</v>
      </c>
      <c r="N654" s="3">
        <v>59</v>
      </c>
      <c r="O654" s="3" t="s">
        <v>52</v>
      </c>
      <c r="P654" s="3" t="s">
        <v>16</v>
      </c>
      <c r="Q654" s="4">
        <v>5</v>
      </c>
      <c r="R654" s="4" t="str">
        <f>IF(Table1[[#This Row],[Customer Ratings]]&gt;=4, "Good",IF(Table1[[#This Row],[Customer Ratings]]=3, "Average","Poor"))</f>
        <v>Good</v>
      </c>
      <c r="S654" s="3" t="s">
        <v>83</v>
      </c>
    </row>
    <row r="655" spans="1:19" x14ac:dyDescent="0.25">
      <c r="A655" s="3">
        <v>654</v>
      </c>
      <c r="B655" s="5">
        <f>DATE(Table1[[#This Row],[Year]],Table1[[#This Row],[Month]],Table1[[#This Row],[Day]])</f>
        <v>44664</v>
      </c>
      <c r="C655" s="3">
        <v>13</v>
      </c>
      <c r="D655" s="3">
        <v>4</v>
      </c>
      <c r="E655" s="3">
        <v>2022</v>
      </c>
      <c r="F655" s="3" t="str">
        <f>"Qtr"&amp; " " &amp;CHOOSE(MONTH(Table1[[#This Row],[Date]]),1,1,1,2,2,2,3,3,3,4,4,4)</f>
        <v>Qtr 2</v>
      </c>
      <c r="G655" s="3" t="str">
        <f>TEXT(Table1[[#This Row],[Date]],"mmmm")</f>
        <v>April</v>
      </c>
      <c r="H655" s="3" t="s">
        <v>1083</v>
      </c>
      <c r="I655" s="3" t="s">
        <v>33</v>
      </c>
      <c r="J655" s="3">
        <v>8</v>
      </c>
      <c r="K655" s="3">
        <v>44777.95</v>
      </c>
      <c r="L655" s="3">
        <f>Table1[[#This Row],[Price Per Unit]]*Table1[[#This Row],[Units Sold]]</f>
        <v>358223.6</v>
      </c>
      <c r="M655" s="3" t="s">
        <v>543</v>
      </c>
      <c r="N655" s="3">
        <v>38</v>
      </c>
      <c r="O655" s="3" t="s">
        <v>58</v>
      </c>
      <c r="P655" s="3" t="s">
        <v>45</v>
      </c>
      <c r="Q655" s="4">
        <v>4</v>
      </c>
      <c r="R655" s="4" t="str">
        <f>IF(Table1[[#This Row],[Customer Ratings]]&gt;=4, "Good",IF(Table1[[#This Row],[Customer Ratings]]=3, "Average","Poor"))</f>
        <v>Good</v>
      </c>
      <c r="S655" s="3" t="s">
        <v>36</v>
      </c>
    </row>
    <row r="656" spans="1:19" x14ac:dyDescent="0.25">
      <c r="A656" s="3">
        <v>655</v>
      </c>
      <c r="B656" s="5">
        <f>DATE(Table1[[#This Row],[Year]],Table1[[#This Row],[Month]],Table1[[#This Row],[Day]])</f>
        <v>44664</v>
      </c>
      <c r="C656" s="3">
        <v>13</v>
      </c>
      <c r="D656" s="3">
        <v>4</v>
      </c>
      <c r="E656" s="3">
        <v>2022</v>
      </c>
      <c r="F656" s="3" t="str">
        <f>"Qtr"&amp; " " &amp;CHOOSE(MONTH(Table1[[#This Row],[Date]]),1,1,1,2,2,2,3,3,3,4,4,4)</f>
        <v>Qtr 2</v>
      </c>
      <c r="G656" s="3" t="str">
        <f>TEXT(Table1[[#This Row],[Date]],"mmmm")</f>
        <v>April</v>
      </c>
      <c r="H656" s="3" t="s">
        <v>1083</v>
      </c>
      <c r="I656" s="3" t="s">
        <v>33</v>
      </c>
      <c r="J656" s="3">
        <v>3</v>
      </c>
      <c r="K656" s="3">
        <v>43331.5</v>
      </c>
      <c r="L656" s="3">
        <f>Table1[[#This Row],[Price Per Unit]]*Table1[[#This Row],[Units Sold]]</f>
        <v>129994.5</v>
      </c>
      <c r="M656" s="3" t="s">
        <v>182</v>
      </c>
      <c r="N656" s="3">
        <v>27</v>
      </c>
      <c r="O656" s="3" t="s">
        <v>52</v>
      </c>
      <c r="P656" s="3" t="s">
        <v>21</v>
      </c>
      <c r="Q656" s="4">
        <v>5</v>
      </c>
      <c r="R656" s="4" t="str">
        <f>IF(Table1[[#This Row],[Customer Ratings]]&gt;=4, "Good",IF(Table1[[#This Row],[Customer Ratings]]=3, "Average","Poor"))</f>
        <v>Good</v>
      </c>
      <c r="S656" s="3" t="s">
        <v>36</v>
      </c>
    </row>
    <row r="657" spans="1:19" x14ac:dyDescent="0.25">
      <c r="A657" s="3">
        <v>656</v>
      </c>
      <c r="B657" s="5">
        <f>DATE(Table1[[#This Row],[Year]],Table1[[#This Row],[Month]],Table1[[#This Row],[Day]])</f>
        <v>44664</v>
      </c>
      <c r="C657" s="3">
        <v>13</v>
      </c>
      <c r="D657" s="3">
        <v>4</v>
      </c>
      <c r="E657" s="3">
        <v>2022</v>
      </c>
      <c r="F657" s="3" t="str">
        <f>"Qtr"&amp; " " &amp;CHOOSE(MONTH(Table1[[#This Row],[Date]]),1,1,1,2,2,2,3,3,3,4,4,4)</f>
        <v>Qtr 2</v>
      </c>
      <c r="G657" s="3" t="str">
        <f>TEXT(Table1[[#This Row],[Date]],"mmmm")</f>
        <v>April</v>
      </c>
      <c r="H657" s="3" t="s">
        <v>1083</v>
      </c>
      <c r="I657" s="3" t="s">
        <v>28</v>
      </c>
      <c r="J657" s="3">
        <v>7</v>
      </c>
      <c r="K657" s="3">
        <v>54377.3</v>
      </c>
      <c r="L657" s="3">
        <f>Table1[[#This Row],[Price Per Unit]]*Table1[[#This Row],[Units Sold]]</f>
        <v>380641.10000000003</v>
      </c>
      <c r="M657" s="3" t="s">
        <v>544</v>
      </c>
      <c r="N657" s="3">
        <v>42</v>
      </c>
      <c r="O657" s="3" t="s">
        <v>137</v>
      </c>
      <c r="P657" s="3" t="s">
        <v>31</v>
      </c>
      <c r="Q657" s="4">
        <v>3</v>
      </c>
      <c r="R657" s="4" t="str">
        <f>IF(Table1[[#This Row],[Customer Ratings]]&gt;=4, "Good",IF(Table1[[#This Row],[Customer Ratings]]=3, "Average","Poor"))</f>
        <v>Average</v>
      </c>
      <c r="S657" s="3" t="s">
        <v>38</v>
      </c>
    </row>
    <row r="658" spans="1:19" x14ac:dyDescent="0.25">
      <c r="A658" s="3">
        <v>657</v>
      </c>
      <c r="B658" s="5">
        <f>DATE(Table1[[#This Row],[Year]],Table1[[#This Row],[Month]],Table1[[#This Row],[Day]])</f>
        <v>44664</v>
      </c>
      <c r="C658" s="3">
        <v>13</v>
      </c>
      <c r="D658" s="3">
        <v>4</v>
      </c>
      <c r="E658" s="3">
        <v>2022</v>
      </c>
      <c r="F658" s="3" t="str">
        <f>"Qtr"&amp; " " &amp;CHOOSE(MONTH(Table1[[#This Row],[Date]]),1,1,1,2,2,2,3,3,3,4,4,4)</f>
        <v>Qtr 2</v>
      </c>
      <c r="G658" s="3" t="str">
        <f>TEXT(Table1[[#This Row],[Date]],"mmmm")</f>
        <v>April</v>
      </c>
      <c r="H658" s="3" t="s">
        <v>1083</v>
      </c>
      <c r="I658" s="3" t="s">
        <v>28</v>
      </c>
      <c r="J658" s="3">
        <v>3</v>
      </c>
      <c r="K658" s="3">
        <v>39954.57</v>
      </c>
      <c r="L658" s="3">
        <f>Table1[[#This Row],[Price Per Unit]]*Table1[[#This Row],[Units Sold]]</f>
        <v>119863.70999999999</v>
      </c>
      <c r="M658" s="3" t="s">
        <v>545</v>
      </c>
      <c r="N658" s="3">
        <v>55</v>
      </c>
      <c r="O658" s="3" t="s">
        <v>20</v>
      </c>
      <c r="P658" s="3" t="s">
        <v>16</v>
      </c>
      <c r="Q658" s="4">
        <v>5</v>
      </c>
      <c r="R658" s="4" t="str">
        <f>IF(Table1[[#This Row],[Customer Ratings]]&gt;=4, "Good",IF(Table1[[#This Row],[Customer Ratings]]=3, "Average","Poor"))</f>
        <v>Good</v>
      </c>
      <c r="S658" s="3" t="s">
        <v>87</v>
      </c>
    </row>
    <row r="659" spans="1:19" x14ac:dyDescent="0.25">
      <c r="A659" s="3">
        <v>658</v>
      </c>
      <c r="B659" s="5">
        <f>DATE(Table1[[#This Row],[Year]],Table1[[#This Row],[Month]],Table1[[#This Row],[Day]])</f>
        <v>44665</v>
      </c>
      <c r="C659" s="3">
        <v>14</v>
      </c>
      <c r="D659" s="3">
        <v>4</v>
      </c>
      <c r="E659" s="3">
        <v>2022</v>
      </c>
      <c r="F659" s="3" t="str">
        <f>"Qtr"&amp; " " &amp;CHOOSE(MONTH(Table1[[#This Row],[Date]]),1,1,1,2,2,2,3,3,3,4,4,4)</f>
        <v>Qtr 2</v>
      </c>
      <c r="G659" s="3" t="str">
        <f>TEXT(Table1[[#This Row],[Date]],"mmmm")</f>
        <v>April</v>
      </c>
      <c r="H659" s="3" t="s">
        <v>1084</v>
      </c>
      <c r="I659" s="3" t="s">
        <v>18</v>
      </c>
      <c r="J659" s="3">
        <v>7</v>
      </c>
      <c r="K659" s="3">
        <v>26337.14</v>
      </c>
      <c r="L659" s="3">
        <f>Table1[[#This Row],[Price Per Unit]]*Table1[[#This Row],[Units Sold]]</f>
        <v>184359.97999999998</v>
      </c>
      <c r="M659" s="3" t="s">
        <v>526</v>
      </c>
      <c r="N659" s="3">
        <v>39</v>
      </c>
      <c r="O659" s="3" t="s">
        <v>24</v>
      </c>
      <c r="P659" s="3" t="s">
        <v>31</v>
      </c>
      <c r="Q659" s="4">
        <v>3</v>
      </c>
      <c r="R659" s="4" t="str">
        <f>IF(Table1[[#This Row],[Customer Ratings]]&gt;=4, "Good",IF(Table1[[#This Row],[Customer Ratings]]=3, "Average","Poor"))</f>
        <v>Average</v>
      </c>
      <c r="S659" s="3" t="s">
        <v>55</v>
      </c>
    </row>
    <row r="660" spans="1:19" x14ac:dyDescent="0.25">
      <c r="A660" s="3">
        <v>659</v>
      </c>
      <c r="B660" s="5">
        <f>DATE(Table1[[#This Row],[Year]],Table1[[#This Row],[Month]],Table1[[#This Row],[Day]])</f>
        <v>44665</v>
      </c>
      <c r="C660" s="3">
        <v>14</v>
      </c>
      <c r="D660" s="3">
        <v>4</v>
      </c>
      <c r="E660" s="3">
        <v>2022</v>
      </c>
      <c r="F660" s="3" t="str">
        <f>"Qtr"&amp; " " &amp;CHOOSE(MONTH(Table1[[#This Row],[Date]]),1,1,1,2,2,2,3,3,3,4,4,4)</f>
        <v>Qtr 2</v>
      </c>
      <c r="G660" s="3" t="str">
        <f>TEXT(Table1[[#This Row],[Date]],"mmmm")</f>
        <v>April</v>
      </c>
      <c r="H660" s="3" t="s">
        <v>1084</v>
      </c>
      <c r="I660" s="3" t="s">
        <v>13</v>
      </c>
      <c r="J660" s="3">
        <v>6</v>
      </c>
      <c r="K660" s="3">
        <v>20163.79</v>
      </c>
      <c r="L660" s="3">
        <f>Table1[[#This Row],[Price Per Unit]]*Table1[[#This Row],[Units Sold]]</f>
        <v>120982.74</v>
      </c>
      <c r="M660" s="3" t="s">
        <v>546</v>
      </c>
      <c r="N660" s="3">
        <v>21</v>
      </c>
      <c r="O660" s="3" t="s">
        <v>24</v>
      </c>
      <c r="P660" s="3" t="s">
        <v>16</v>
      </c>
      <c r="Q660" s="4">
        <v>5</v>
      </c>
      <c r="R660" s="4" t="str">
        <f>IF(Table1[[#This Row],[Customer Ratings]]&gt;=4, "Good",IF(Table1[[#This Row],[Customer Ratings]]=3, "Average","Poor"))</f>
        <v>Good</v>
      </c>
      <c r="S660" s="3" t="s">
        <v>72</v>
      </c>
    </row>
    <row r="661" spans="1:19" x14ac:dyDescent="0.25">
      <c r="A661" s="3">
        <v>660</v>
      </c>
      <c r="B661" s="5">
        <f>DATE(Table1[[#This Row],[Year]],Table1[[#This Row],[Month]],Table1[[#This Row],[Day]])</f>
        <v>44665</v>
      </c>
      <c r="C661" s="3">
        <v>14</v>
      </c>
      <c r="D661" s="3">
        <v>4</v>
      </c>
      <c r="E661" s="3">
        <v>2022</v>
      </c>
      <c r="F661" s="3" t="str">
        <f>"Qtr"&amp; " " &amp;CHOOSE(MONTH(Table1[[#This Row],[Date]]),1,1,1,2,2,2,3,3,3,4,4,4)</f>
        <v>Qtr 2</v>
      </c>
      <c r="G661" s="3" t="str">
        <f>TEXT(Table1[[#This Row],[Date]],"mmmm")</f>
        <v>April</v>
      </c>
      <c r="H661" s="3" t="s">
        <v>1084</v>
      </c>
      <c r="I661" s="3" t="s">
        <v>39</v>
      </c>
      <c r="J661" s="3">
        <v>2</v>
      </c>
      <c r="K661" s="3">
        <v>47249.13</v>
      </c>
      <c r="L661" s="3">
        <f>Table1[[#This Row],[Price Per Unit]]*Table1[[#This Row],[Units Sold]]</f>
        <v>94498.26</v>
      </c>
      <c r="M661" s="3" t="s">
        <v>547</v>
      </c>
      <c r="N661" s="3">
        <v>21</v>
      </c>
      <c r="O661" s="3" t="s">
        <v>137</v>
      </c>
      <c r="P661" s="3" t="s">
        <v>21</v>
      </c>
      <c r="Q661" s="4">
        <v>5</v>
      </c>
      <c r="R661" s="4" t="str">
        <f>IF(Table1[[#This Row],[Customer Ratings]]&gt;=4, "Good",IF(Table1[[#This Row],[Customer Ratings]]=3, "Average","Poor"))</f>
        <v>Good</v>
      </c>
      <c r="S661" s="3" t="s">
        <v>42</v>
      </c>
    </row>
    <row r="662" spans="1:19" x14ac:dyDescent="0.25">
      <c r="A662" s="3">
        <v>661</v>
      </c>
      <c r="B662" s="5">
        <f>DATE(Table1[[#This Row],[Year]],Table1[[#This Row],[Month]],Table1[[#This Row],[Day]])</f>
        <v>44666</v>
      </c>
      <c r="C662" s="3">
        <v>15</v>
      </c>
      <c r="D662" s="3">
        <v>4</v>
      </c>
      <c r="E662" s="3">
        <v>2022</v>
      </c>
      <c r="F662" s="3" t="str">
        <f>"Qtr"&amp; " " &amp;CHOOSE(MONTH(Table1[[#This Row],[Date]]),1,1,1,2,2,2,3,3,3,4,4,4)</f>
        <v>Qtr 2</v>
      </c>
      <c r="G662" s="3" t="str">
        <f>TEXT(Table1[[#This Row],[Date]],"mmmm")</f>
        <v>April</v>
      </c>
      <c r="H662" s="3" t="s">
        <v>1085</v>
      </c>
      <c r="I662" s="3" t="s">
        <v>39</v>
      </c>
      <c r="J662" s="3">
        <v>3</v>
      </c>
      <c r="K662" s="3">
        <v>53139.45</v>
      </c>
      <c r="L662" s="3">
        <f>Table1[[#This Row],[Price Per Unit]]*Table1[[#This Row],[Units Sold]]</f>
        <v>159418.34999999998</v>
      </c>
      <c r="M662" s="3" t="s">
        <v>548</v>
      </c>
      <c r="N662" s="3">
        <v>47</v>
      </c>
      <c r="O662" s="3" t="s">
        <v>41</v>
      </c>
      <c r="P662" s="3" t="s">
        <v>16</v>
      </c>
      <c r="Q662" s="4">
        <v>5</v>
      </c>
      <c r="R662" s="4" t="str">
        <f>IF(Table1[[#This Row],[Customer Ratings]]&gt;=4, "Good",IF(Table1[[#This Row],[Customer Ratings]]=3, "Average","Poor"))</f>
        <v>Good</v>
      </c>
      <c r="S662" s="3" t="s">
        <v>90</v>
      </c>
    </row>
    <row r="663" spans="1:19" x14ac:dyDescent="0.25">
      <c r="A663" s="3">
        <v>662</v>
      </c>
      <c r="B663" s="5">
        <f>DATE(Table1[[#This Row],[Year]],Table1[[#This Row],[Month]],Table1[[#This Row],[Day]])</f>
        <v>44666</v>
      </c>
      <c r="C663" s="3">
        <v>15</v>
      </c>
      <c r="D663" s="3">
        <v>4</v>
      </c>
      <c r="E663" s="3">
        <v>2022</v>
      </c>
      <c r="F663" s="3" t="str">
        <f>"Qtr"&amp; " " &amp;CHOOSE(MONTH(Table1[[#This Row],[Date]]),1,1,1,2,2,2,3,3,3,4,4,4)</f>
        <v>Qtr 2</v>
      </c>
      <c r="G663" s="3" t="str">
        <f>TEXT(Table1[[#This Row],[Date]],"mmmm")</f>
        <v>April</v>
      </c>
      <c r="H663" s="3" t="s">
        <v>1085</v>
      </c>
      <c r="I663" s="3" t="s">
        <v>39</v>
      </c>
      <c r="J663" s="3">
        <v>6</v>
      </c>
      <c r="K663" s="3">
        <v>44171.28</v>
      </c>
      <c r="L663" s="3">
        <f>Table1[[#This Row],[Price Per Unit]]*Table1[[#This Row],[Units Sold]]</f>
        <v>265027.68</v>
      </c>
      <c r="M663" s="3" t="s">
        <v>549</v>
      </c>
      <c r="N663" s="3">
        <v>19</v>
      </c>
      <c r="O663" s="3" t="s">
        <v>78</v>
      </c>
      <c r="P663" s="3" t="s">
        <v>31</v>
      </c>
      <c r="Q663" s="4">
        <v>5</v>
      </c>
      <c r="R663" s="4" t="str">
        <f>IF(Table1[[#This Row],[Customer Ratings]]&gt;=4, "Good",IF(Table1[[#This Row],[Customer Ratings]]=3, "Average","Poor"))</f>
        <v>Good</v>
      </c>
      <c r="S663" s="3" t="s">
        <v>90</v>
      </c>
    </row>
    <row r="664" spans="1:19" x14ac:dyDescent="0.25">
      <c r="A664" s="3">
        <v>663</v>
      </c>
      <c r="B664" s="5">
        <f>DATE(Table1[[#This Row],[Year]],Table1[[#This Row],[Month]],Table1[[#This Row],[Day]])</f>
        <v>44666</v>
      </c>
      <c r="C664" s="3">
        <v>15</v>
      </c>
      <c r="D664" s="3">
        <v>4</v>
      </c>
      <c r="E664" s="3">
        <v>2022</v>
      </c>
      <c r="F664" s="3" t="str">
        <f>"Qtr"&amp; " " &amp;CHOOSE(MONTH(Table1[[#This Row],[Date]]),1,1,1,2,2,2,3,3,3,4,4,4)</f>
        <v>Qtr 2</v>
      </c>
      <c r="G664" s="3" t="str">
        <f>TEXT(Table1[[#This Row],[Date]],"mmmm")</f>
        <v>April</v>
      </c>
      <c r="H664" s="3" t="s">
        <v>1085</v>
      </c>
      <c r="I664" s="3" t="s">
        <v>18</v>
      </c>
      <c r="J664" s="3">
        <v>4</v>
      </c>
      <c r="K664" s="3">
        <v>54301.08</v>
      </c>
      <c r="L664" s="3">
        <f>Table1[[#This Row],[Price Per Unit]]*Table1[[#This Row],[Units Sold]]</f>
        <v>217204.32</v>
      </c>
      <c r="M664" s="3" t="s">
        <v>204</v>
      </c>
      <c r="N664" s="3">
        <v>46</v>
      </c>
      <c r="O664" s="3" t="s">
        <v>20</v>
      </c>
      <c r="P664" s="3" t="s">
        <v>31</v>
      </c>
      <c r="Q664" s="4">
        <v>4</v>
      </c>
      <c r="R664" s="4" t="str">
        <f>IF(Table1[[#This Row],[Customer Ratings]]&gt;=4, "Good",IF(Table1[[#This Row],[Customer Ratings]]=3, "Average","Poor"))</f>
        <v>Good</v>
      </c>
      <c r="S664" s="3" t="s">
        <v>25</v>
      </c>
    </row>
    <row r="665" spans="1:19" x14ac:dyDescent="0.25">
      <c r="A665" s="3">
        <v>664</v>
      </c>
      <c r="B665" s="5">
        <f>DATE(Table1[[#This Row],[Year]],Table1[[#This Row],[Month]],Table1[[#This Row],[Day]])</f>
        <v>44667</v>
      </c>
      <c r="C665" s="3">
        <v>16</v>
      </c>
      <c r="D665" s="3">
        <v>4</v>
      </c>
      <c r="E665" s="3">
        <v>2022</v>
      </c>
      <c r="F665" s="3" t="str">
        <f>"Qtr"&amp; " " &amp;CHOOSE(MONTH(Table1[[#This Row],[Date]]),1,1,1,2,2,2,3,3,3,4,4,4)</f>
        <v>Qtr 2</v>
      </c>
      <c r="G665" s="3" t="str">
        <f>TEXT(Table1[[#This Row],[Date]],"mmmm")</f>
        <v>April</v>
      </c>
      <c r="H665" s="3" t="s">
        <v>1079</v>
      </c>
      <c r="I665" s="3" t="s">
        <v>28</v>
      </c>
      <c r="J665" s="3">
        <v>6</v>
      </c>
      <c r="K665" s="3">
        <v>18491.27</v>
      </c>
      <c r="L665" s="3">
        <f>Table1[[#This Row],[Price Per Unit]]*Table1[[#This Row],[Units Sold]]</f>
        <v>110947.62</v>
      </c>
      <c r="M665" s="3" t="s">
        <v>550</v>
      </c>
      <c r="N665" s="3">
        <v>53</v>
      </c>
      <c r="O665" s="3" t="s">
        <v>20</v>
      </c>
      <c r="P665" s="3" t="s">
        <v>45</v>
      </c>
      <c r="Q665" s="4">
        <v>5</v>
      </c>
      <c r="R665" s="4" t="str">
        <f>IF(Table1[[#This Row],[Customer Ratings]]&gt;=4, "Good",IF(Table1[[#This Row],[Customer Ratings]]=3, "Average","Poor"))</f>
        <v>Good</v>
      </c>
      <c r="S665" s="3" t="s">
        <v>87</v>
      </c>
    </row>
    <row r="666" spans="1:19" x14ac:dyDescent="0.25">
      <c r="A666" s="3">
        <v>665</v>
      </c>
      <c r="B666" s="5">
        <f>DATE(Table1[[#This Row],[Year]],Table1[[#This Row],[Month]],Table1[[#This Row],[Day]])</f>
        <v>44667</v>
      </c>
      <c r="C666" s="3">
        <v>16</v>
      </c>
      <c r="D666" s="3">
        <v>4</v>
      </c>
      <c r="E666" s="3">
        <v>2022</v>
      </c>
      <c r="F666" s="3" t="str">
        <f>"Qtr"&amp; " " &amp;CHOOSE(MONTH(Table1[[#This Row],[Date]]),1,1,1,2,2,2,3,3,3,4,4,4)</f>
        <v>Qtr 2</v>
      </c>
      <c r="G666" s="3" t="str">
        <f>TEXT(Table1[[#This Row],[Date]],"mmmm")</f>
        <v>April</v>
      </c>
      <c r="H666" s="3" t="s">
        <v>1079</v>
      </c>
      <c r="I666" s="3" t="s">
        <v>18</v>
      </c>
      <c r="J666" s="3">
        <v>1</v>
      </c>
      <c r="K666" s="3">
        <v>62948.21</v>
      </c>
      <c r="L666" s="3">
        <f>Table1[[#This Row],[Price Per Unit]]*Table1[[#This Row],[Units Sold]]</f>
        <v>62948.21</v>
      </c>
      <c r="M666" s="3" t="s">
        <v>551</v>
      </c>
      <c r="N666" s="3">
        <v>38</v>
      </c>
      <c r="O666" s="3" t="s">
        <v>24</v>
      </c>
      <c r="P666" s="3" t="s">
        <v>31</v>
      </c>
      <c r="Q666" s="4">
        <v>5</v>
      </c>
      <c r="R666" s="4" t="str">
        <f>IF(Table1[[#This Row],[Customer Ratings]]&gt;=4, "Good",IF(Table1[[#This Row],[Customer Ratings]]=3, "Average","Poor"))</f>
        <v>Good</v>
      </c>
      <c r="S666" s="3" t="s">
        <v>25</v>
      </c>
    </row>
    <row r="667" spans="1:19" x14ac:dyDescent="0.25">
      <c r="A667" s="3">
        <v>666</v>
      </c>
      <c r="B667" s="5">
        <f>DATE(Table1[[#This Row],[Year]],Table1[[#This Row],[Month]],Table1[[#This Row],[Day]])</f>
        <v>44667</v>
      </c>
      <c r="C667" s="3">
        <v>16</v>
      </c>
      <c r="D667" s="3">
        <v>4</v>
      </c>
      <c r="E667" s="3">
        <v>2022</v>
      </c>
      <c r="F667" s="3" t="str">
        <f>"Qtr"&amp; " " &amp;CHOOSE(MONTH(Table1[[#This Row],[Date]]),1,1,1,2,2,2,3,3,3,4,4,4)</f>
        <v>Qtr 2</v>
      </c>
      <c r="G667" s="3" t="str">
        <f>TEXT(Table1[[#This Row],[Date]],"mmmm")</f>
        <v>April</v>
      </c>
      <c r="H667" s="3" t="s">
        <v>1079</v>
      </c>
      <c r="I667" s="3" t="s">
        <v>39</v>
      </c>
      <c r="J667" s="3">
        <v>1</v>
      </c>
      <c r="K667" s="3">
        <v>44943.73</v>
      </c>
      <c r="L667" s="3">
        <f>Table1[[#This Row],[Price Per Unit]]*Table1[[#This Row],[Units Sold]]</f>
        <v>44943.73</v>
      </c>
      <c r="M667" s="3" t="s">
        <v>552</v>
      </c>
      <c r="N667" s="3">
        <v>38</v>
      </c>
      <c r="O667" s="3" t="s">
        <v>52</v>
      </c>
      <c r="P667" s="3" t="s">
        <v>45</v>
      </c>
      <c r="Q667" s="4">
        <v>3</v>
      </c>
      <c r="R667" s="4" t="str">
        <f>IF(Table1[[#This Row],[Customer Ratings]]&gt;=4, "Good",IF(Table1[[#This Row],[Customer Ratings]]=3, "Average","Poor"))</f>
        <v>Average</v>
      </c>
      <c r="S667" s="3" t="s">
        <v>76</v>
      </c>
    </row>
    <row r="668" spans="1:19" x14ac:dyDescent="0.25">
      <c r="A668" s="3">
        <v>667</v>
      </c>
      <c r="B668" s="5">
        <f>DATE(Table1[[#This Row],[Year]],Table1[[#This Row],[Month]],Table1[[#This Row],[Day]])</f>
        <v>44667</v>
      </c>
      <c r="C668" s="3">
        <v>16</v>
      </c>
      <c r="D668" s="3">
        <v>4</v>
      </c>
      <c r="E668" s="3">
        <v>2022</v>
      </c>
      <c r="F668" s="3" t="str">
        <f>"Qtr"&amp; " " &amp;CHOOSE(MONTH(Table1[[#This Row],[Date]]),1,1,1,2,2,2,3,3,3,4,4,4)</f>
        <v>Qtr 2</v>
      </c>
      <c r="G668" s="3" t="str">
        <f>TEXT(Table1[[#This Row],[Date]],"mmmm")</f>
        <v>April</v>
      </c>
      <c r="H668" s="3" t="s">
        <v>1079</v>
      </c>
      <c r="I668" s="3" t="s">
        <v>13</v>
      </c>
      <c r="J668" s="3">
        <v>3</v>
      </c>
      <c r="K668" s="3">
        <v>17610.64</v>
      </c>
      <c r="L668" s="3">
        <f>Table1[[#This Row],[Price Per Unit]]*Table1[[#This Row],[Units Sold]]</f>
        <v>52831.92</v>
      </c>
      <c r="M668" s="3" t="s">
        <v>553</v>
      </c>
      <c r="N668" s="3">
        <v>38</v>
      </c>
      <c r="O668" s="3" t="s">
        <v>52</v>
      </c>
      <c r="P668" s="3" t="s">
        <v>31</v>
      </c>
      <c r="Q668" s="4">
        <v>5</v>
      </c>
      <c r="R668" s="4" t="str">
        <f>IF(Table1[[#This Row],[Customer Ratings]]&gt;=4, "Good",IF(Table1[[#This Row],[Customer Ratings]]=3, "Average","Poor"))</f>
        <v>Good</v>
      </c>
      <c r="S668" s="3" t="s">
        <v>17</v>
      </c>
    </row>
    <row r="669" spans="1:19" x14ac:dyDescent="0.25">
      <c r="A669" s="3">
        <v>668</v>
      </c>
      <c r="B669" s="5">
        <f>DATE(Table1[[#This Row],[Year]],Table1[[#This Row],[Month]],Table1[[#This Row],[Day]])</f>
        <v>44668</v>
      </c>
      <c r="C669" s="3">
        <v>17</v>
      </c>
      <c r="D669" s="3">
        <v>4</v>
      </c>
      <c r="E669" s="3">
        <v>2022</v>
      </c>
      <c r="F669" s="3" t="str">
        <f>"Qtr"&amp; " " &amp;CHOOSE(MONTH(Table1[[#This Row],[Date]]),1,1,1,2,2,2,3,3,3,4,4,4)</f>
        <v>Qtr 2</v>
      </c>
      <c r="G669" s="3" t="str">
        <f>TEXT(Table1[[#This Row],[Date]],"mmmm")</f>
        <v>April</v>
      </c>
      <c r="H669" s="3" t="s">
        <v>1080</v>
      </c>
      <c r="I669" s="3" t="s">
        <v>33</v>
      </c>
      <c r="J669" s="3">
        <v>8</v>
      </c>
      <c r="K669" s="3">
        <v>37715.51</v>
      </c>
      <c r="L669" s="3">
        <f>Table1[[#This Row],[Price Per Unit]]*Table1[[#This Row],[Units Sold]]</f>
        <v>301724.08</v>
      </c>
      <c r="M669" s="3" t="s">
        <v>337</v>
      </c>
      <c r="N669" s="3">
        <v>21</v>
      </c>
      <c r="O669" s="3" t="s">
        <v>20</v>
      </c>
      <c r="P669" s="3" t="s">
        <v>45</v>
      </c>
      <c r="Q669" s="4">
        <v>3</v>
      </c>
      <c r="R669" s="4" t="str">
        <f>IF(Table1[[#This Row],[Customer Ratings]]&gt;=4, "Good",IF(Table1[[#This Row],[Customer Ratings]]=3, "Average","Poor"))</f>
        <v>Average</v>
      </c>
      <c r="S669" s="3" t="s">
        <v>36</v>
      </c>
    </row>
    <row r="670" spans="1:19" x14ac:dyDescent="0.25">
      <c r="A670" s="3">
        <v>669</v>
      </c>
      <c r="B670" s="5">
        <f>DATE(Table1[[#This Row],[Year]],Table1[[#This Row],[Month]],Table1[[#This Row],[Day]])</f>
        <v>44668</v>
      </c>
      <c r="C670" s="3">
        <v>17</v>
      </c>
      <c r="D670" s="3">
        <v>4</v>
      </c>
      <c r="E670" s="3">
        <v>2022</v>
      </c>
      <c r="F670" s="3" t="str">
        <f>"Qtr"&amp; " " &amp;CHOOSE(MONTH(Table1[[#This Row],[Date]]),1,1,1,2,2,2,3,3,3,4,4,4)</f>
        <v>Qtr 2</v>
      </c>
      <c r="G670" s="3" t="str">
        <f>TEXT(Table1[[#This Row],[Date]],"mmmm")</f>
        <v>April</v>
      </c>
      <c r="H670" s="3" t="s">
        <v>1080</v>
      </c>
      <c r="I670" s="3" t="s">
        <v>28</v>
      </c>
      <c r="J670" s="3">
        <v>8</v>
      </c>
      <c r="K670" s="3">
        <v>60687.5</v>
      </c>
      <c r="L670" s="3">
        <f>Table1[[#This Row],[Price Per Unit]]*Table1[[#This Row],[Units Sold]]</f>
        <v>485500</v>
      </c>
      <c r="M670" s="3" t="s">
        <v>417</v>
      </c>
      <c r="N670" s="3">
        <v>18</v>
      </c>
      <c r="O670" s="3" t="s">
        <v>98</v>
      </c>
      <c r="P670" s="3" t="s">
        <v>21</v>
      </c>
      <c r="Q670" s="4">
        <v>5</v>
      </c>
      <c r="R670" s="4" t="str">
        <f>IF(Table1[[#This Row],[Customer Ratings]]&gt;=4, "Good",IF(Table1[[#This Row],[Customer Ratings]]=3, "Average","Poor"))</f>
        <v>Good</v>
      </c>
      <c r="S670" s="3" t="s">
        <v>87</v>
      </c>
    </row>
    <row r="671" spans="1:19" x14ac:dyDescent="0.25">
      <c r="A671" s="3">
        <v>670</v>
      </c>
      <c r="B671" s="5">
        <f>DATE(Table1[[#This Row],[Year]],Table1[[#This Row],[Month]],Table1[[#This Row],[Day]])</f>
        <v>44668</v>
      </c>
      <c r="C671" s="3">
        <v>17</v>
      </c>
      <c r="D671" s="3">
        <v>4</v>
      </c>
      <c r="E671" s="3">
        <v>2022</v>
      </c>
      <c r="F671" s="3" t="str">
        <f>"Qtr"&amp; " " &amp;CHOOSE(MONTH(Table1[[#This Row],[Date]]),1,1,1,2,2,2,3,3,3,4,4,4)</f>
        <v>Qtr 2</v>
      </c>
      <c r="G671" s="3" t="str">
        <f>TEXT(Table1[[#This Row],[Date]],"mmmm")</f>
        <v>April</v>
      </c>
      <c r="H671" s="3" t="s">
        <v>1080</v>
      </c>
      <c r="I671" s="3" t="s">
        <v>28</v>
      </c>
      <c r="J671" s="3">
        <v>4</v>
      </c>
      <c r="K671" s="3">
        <v>63853.73</v>
      </c>
      <c r="L671" s="3">
        <f>Table1[[#This Row],[Price Per Unit]]*Table1[[#This Row],[Units Sold]]</f>
        <v>255414.92</v>
      </c>
      <c r="M671" s="3" t="s">
        <v>554</v>
      </c>
      <c r="N671" s="3">
        <v>43</v>
      </c>
      <c r="O671" s="3" t="s">
        <v>24</v>
      </c>
      <c r="P671" s="3" t="s">
        <v>45</v>
      </c>
      <c r="Q671" s="4">
        <v>3</v>
      </c>
      <c r="R671" s="4" t="str">
        <f>IF(Table1[[#This Row],[Customer Ratings]]&gt;=4, "Good",IF(Table1[[#This Row],[Customer Ratings]]=3, "Average","Poor"))</f>
        <v>Average</v>
      </c>
      <c r="S671" s="3" t="s">
        <v>38</v>
      </c>
    </row>
    <row r="672" spans="1:19" x14ac:dyDescent="0.25">
      <c r="A672" s="3">
        <v>671</v>
      </c>
      <c r="B672" s="5">
        <f>DATE(Table1[[#This Row],[Year]],Table1[[#This Row],[Month]],Table1[[#This Row],[Day]])</f>
        <v>44669</v>
      </c>
      <c r="C672" s="3">
        <v>18</v>
      </c>
      <c r="D672" s="3">
        <v>4</v>
      </c>
      <c r="E672" s="3">
        <v>2022</v>
      </c>
      <c r="F672" s="3" t="str">
        <f>"Qtr"&amp; " " &amp;CHOOSE(MONTH(Table1[[#This Row],[Date]]),1,1,1,2,2,2,3,3,3,4,4,4)</f>
        <v>Qtr 2</v>
      </c>
      <c r="G672" s="3" t="str">
        <f>TEXT(Table1[[#This Row],[Date]],"mmmm")</f>
        <v>April</v>
      </c>
      <c r="H672" s="3" t="s">
        <v>1081</v>
      </c>
      <c r="I672" s="3" t="s">
        <v>18</v>
      </c>
      <c r="J672" s="3">
        <v>6</v>
      </c>
      <c r="K672" s="3">
        <v>25878.97</v>
      </c>
      <c r="L672" s="3">
        <f>Table1[[#This Row],[Price Per Unit]]*Table1[[#This Row],[Units Sold]]</f>
        <v>155273.82</v>
      </c>
      <c r="M672" s="3" t="s">
        <v>555</v>
      </c>
      <c r="N672" s="3">
        <v>19</v>
      </c>
      <c r="O672" s="3" t="s">
        <v>41</v>
      </c>
      <c r="P672" s="3" t="s">
        <v>31</v>
      </c>
      <c r="Q672" s="4">
        <v>5</v>
      </c>
      <c r="R672" s="4" t="str">
        <f>IF(Table1[[#This Row],[Customer Ratings]]&gt;=4, "Good",IF(Table1[[#This Row],[Customer Ratings]]=3, "Average","Poor"))</f>
        <v>Good</v>
      </c>
      <c r="S672" s="3" t="s">
        <v>25</v>
      </c>
    </row>
    <row r="673" spans="1:19" x14ac:dyDescent="0.25">
      <c r="A673" s="3">
        <v>672</v>
      </c>
      <c r="B673" s="5">
        <f>DATE(Table1[[#This Row],[Year]],Table1[[#This Row],[Month]],Table1[[#This Row],[Day]])</f>
        <v>44669</v>
      </c>
      <c r="C673" s="3">
        <v>18</v>
      </c>
      <c r="D673" s="3">
        <v>4</v>
      </c>
      <c r="E673" s="3">
        <v>2022</v>
      </c>
      <c r="F673" s="3" t="str">
        <f>"Qtr"&amp; " " &amp;CHOOSE(MONTH(Table1[[#This Row],[Date]]),1,1,1,2,2,2,3,3,3,4,4,4)</f>
        <v>Qtr 2</v>
      </c>
      <c r="G673" s="3" t="str">
        <f>TEXT(Table1[[#This Row],[Date]],"mmmm")</f>
        <v>April</v>
      </c>
      <c r="H673" s="3" t="s">
        <v>1081</v>
      </c>
      <c r="I673" s="3" t="s">
        <v>28</v>
      </c>
      <c r="J673" s="3">
        <v>8</v>
      </c>
      <c r="K673" s="3">
        <v>52675.95</v>
      </c>
      <c r="L673" s="3">
        <f>Table1[[#This Row],[Price Per Unit]]*Table1[[#This Row],[Units Sold]]</f>
        <v>421407.6</v>
      </c>
      <c r="M673" s="3" t="s">
        <v>556</v>
      </c>
      <c r="N673" s="3">
        <v>26</v>
      </c>
      <c r="O673" s="3" t="s">
        <v>20</v>
      </c>
      <c r="P673" s="3" t="s">
        <v>21</v>
      </c>
      <c r="Q673" s="4">
        <v>5</v>
      </c>
      <c r="R673" s="4" t="str">
        <f>IF(Table1[[#This Row],[Customer Ratings]]&gt;=4, "Good",IF(Table1[[#This Row],[Customer Ratings]]=3, "Average","Poor"))</f>
        <v>Good</v>
      </c>
      <c r="S673" s="3" t="s">
        <v>38</v>
      </c>
    </row>
    <row r="674" spans="1:19" x14ac:dyDescent="0.25">
      <c r="A674" s="3">
        <v>673</v>
      </c>
      <c r="B674" s="5">
        <f>DATE(Table1[[#This Row],[Year]],Table1[[#This Row],[Month]],Table1[[#This Row],[Day]])</f>
        <v>44669</v>
      </c>
      <c r="C674" s="3">
        <v>18</v>
      </c>
      <c r="D674" s="3">
        <v>4</v>
      </c>
      <c r="E674" s="3">
        <v>2022</v>
      </c>
      <c r="F674" s="3" t="str">
        <f>"Qtr"&amp; " " &amp;CHOOSE(MONTH(Table1[[#This Row],[Date]]),1,1,1,2,2,2,3,3,3,4,4,4)</f>
        <v>Qtr 2</v>
      </c>
      <c r="G674" s="3" t="str">
        <f>TEXT(Table1[[#This Row],[Date]],"mmmm")</f>
        <v>April</v>
      </c>
      <c r="H674" s="3" t="s">
        <v>1081</v>
      </c>
      <c r="I674" s="3" t="s">
        <v>39</v>
      </c>
      <c r="J674" s="3">
        <v>7</v>
      </c>
      <c r="K674" s="3">
        <v>15999.11</v>
      </c>
      <c r="L674" s="3">
        <f>Table1[[#This Row],[Price Per Unit]]*Table1[[#This Row],[Units Sold]]</f>
        <v>111993.77</v>
      </c>
      <c r="M674" s="3" t="s">
        <v>557</v>
      </c>
      <c r="N674" s="3">
        <v>35</v>
      </c>
      <c r="O674" s="3" t="s">
        <v>30</v>
      </c>
      <c r="P674" s="3" t="s">
        <v>16</v>
      </c>
      <c r="Q674" s="4">
        <v>3</v>
      </c>
      <c r="R674" s="4" t="str">
        <f>IF(Table1[[#This Row],[Customer Ratings]]&gt;=4, "Good",IF(Table1[[#This Row],[Customer Ratings]]=3, "Average","Poor"))</f>
        <v>Average</v>
      </c>
      <c r="S674" s="3" t="s">
        <v>76</v>
      </c>
    </row>
    <row r="675" spans="1:19" x14ac:dyDescent="0.25">
      <c r="A675" s="3">
        <v>674</v>
      </c>
      <c r="B675" s="5">
        <f>DATE(Table1[[#This Row],[Year]],Table1[[#This Row],[Month]],Table1[[#This Row],[Day]])</f>
        <v>44670</v>
      </c>
      <c r="C675" s="3">
        <v>19</v>
      </c>
      <c r="D675" s="3">
        <v>4</v>
      </c>
      <c r="E675" s="3">
        <v>2022</v>
      </c>
      <c r="F675" s="3" t="str">
        <f>"Qtr"&amp; " " &amp;CHOOSE(MONTH(Table1[[#This Row],[Date]]),1,1,1,2,2,2,3,3,3,4,4,4)</f>
        <v>Qtr 2</v>
      </c>
      <c r="G675" s="3" t="str">
        <f>TEXT(Table1[[#This Row],[Date]],"mmmm")</f>
        <v>April</v>
      </c>
      <c r="H675" s="3" t="s">
        <v>1082</v>
      </c>
      <c r="I675" s="3" t="s">
        <v>39</v>
      </c>
      <c r="J675" s="3">
        <v>7</v>
      </c>
      <c r="K675" s="3">
        <v>12012.75</v>
      </c>
      <c r="L675" s="3">
        <f>Table1[[#This Row],[Price Per Unit]]*Table1[[#This Row],[Units Sold]]</f>
        <v>84089.25</v>
      </c>
      <c r="M675" s="3" t="s">
        <v>558</v>
      </c>
      <c r="N675" s="3">
        <v>59</v>
      </c>
      <c r="O675" s="3" t="s">
        <v>24</v>
      </c>
      <c r="P675" s="3" t="s">
        <v>31</v>
      </c>
      <c r="Q675" s="4">
        <v>4</v>
      </c>
      <c r="R675" s="4" t="str">
        <f>IF(Table1[[#This Row],[Customer Ratings]]&gt;=4, "Good",IF(Table1[[#This Row],[Customer Ratings]]=3, "Average","Poor"))</f>
        <v>Good</v>
      </c>
      <c r="S675" s="3" t="s">
        <v>42</v>
      </c>
    </row>
    <row r="676" spans="1:19" x14ac:dyDescent="0.25">
      <c r="A676" s="3">
        <v>675</v>
      </c>
      <c r="B676" s="5">
        <f>DATE(Table1[[#This Row],[Year]],Table1[[#This Row],[Month]],Table1[[#This Row],[Day]])</f>
        <v>44670</v>
      </c>
      <c r="C676" s="3">
        <v>19</v>
      </c>
      <c r="D676" s="3">
        <v>4</v>
      </c>
      <c r="E676" s="3">
        <v>2022</v>
      </c>
      <c r="F676" s="3" t="str">
        <f>"Qtr"&amp; " " &amp;CHOOSE(MONTH(Table1[[#This Row],[Date]]),1,1,1,2,2,2,3,3,3,4,4,4)</f>
        <v>Qtr 2</v>
      </c>
      <c r="G676" s="3" t="str">
        <f>TEXT(Table1[[#This Row],[Date]],"mmmm")</f>
        <v>April</v>
      </c>
      <c r="H676" s="3" t="s">
        <v>1082</v>
      </c>
      <c r="I676" s="3" t="s">
        <v>18</v>
      </c>
      <c r="J676" s="3">
        <v>4</v>
      </c>
      <c r="K676" s="3">
        <v>43623.94</v>
      </c>
      <c r="L676" s="3">
        <f>Table1[[#This Row],[Price Per Unit]]*Table1[[#This Row],[Units Sold]]</f>
        <v>174495.76</v>
      </c>
      <c r="M676" s="3" t="s">
        <v>272</v>
      </c>
      <c r="N676" s="3">
        <v>58</v>
      </c>
      <c r="O676" s="3" t="s">
        <v>20</v>
      </c>
      <c r="P676" s="3" t="s">
        <v>45</v>
      </c>
      <c r="Q676" s="4">
        <v>5</v>
      </c>
      <c r="R676" s="4" t="str">
        <f>IF(Table1[[#This Row],[Customer Ratings]]&gt;=4, "Good",IF(Table1[[#This Row],[Customer Ratings]]=3, "Average","Poor"))</f>
        <v>Good</v>
      </c>
      <c r="S676" s="3" t="s">
        <v>22</v>
      </c>
    </row>
    <row r="677" spans="1:19" x14ac:dyDescent="0.25">
      <c r="A677" s="3">
        <v>676</v>
      </c>
      <c r="B677" s="5">
        <f>DATE(Table1[[#This Row],[Year]],Table1[[#This Row],[Month]],Table1[[#This Row],[Day]])</f>
        <v>44670</v>
      </c>
      <c r="C677" s="3">
        <v>19</v>
      </c>
      <c r="D677" s="3">
        <v>4</v>
      </c>
      <c r="E677" s="3">
        <v>2022</v>
      </c>
      <c r="F677" s="3" t="str">
        <f>"Qtr"&amp; " " &amp;CHOOSE(MONTH(Table1[[#This Row],[Date]]),1,1,1,2,2,2,3,3,3,4,4,4)</f>
        <v>Qtr 2</v>
      </c>
      <c r="G677" s="3" t="str">
        <f>TEXT(Table1[[#This Row],[Date]],"mmmm")</f>
        <v>April</v>
      </c>
      <c r="H677" s="3" t="s">
        <v>1082</v>
      </c>
      <c r="I677" s="3" t="s">
        <v>39</v>
      </c>
      <c r="J677" s="3">
        <v>9</v>
      </c>
      <c r="K677" s="3">
        <v>51689.65</v>
      </c>
      <c r="L677" s="3">
        <f>Table1[[#This Row],[Price Per Unit]]*Table1[[#This Row],[Units Sold]]</f>
        <v>465206.85000000003</v>
      </c>
      <c r="M677" s="3" t="s">
        <v>559</v>
      </c>
      <c r="N677" s="3">
        <v>28</v>
      </c>
      <c r="O677" s="3" t="s">
        <v>20</v>
      </c>
      <c r="P677" s="3" t="s">
        <v>16</v>
      </c>
      <c r="Q677" s="4">
        <v>5</v>
      </c>
      <c r="R677" s="4" t="str">
        <f>IF(Table1[[#This Row],[Customer Ratings]]&gt;=4, "Good",IF(Table1[[#This Row],[Customer Ratings]]=3, "Average","Poor"))</f>
        <v>Good</v>
      </c>
      <c r="S677" s="3" t="s">
        <v>42</v>
      </c>
    </row>
    <row r="678" spans="1:19" x14ac:dyDescent="0.25">
      <c r="A678" s="3">
        <v>677</v>
      </c>
      <c r="B678" s="5">
        <f>DATE(Table1[[#This Row],[Year]],Table1[[#This Row],[Month]],Table1[[#This Row],[Day]])</f>
        <v>44671</v>
      </c>
      <c r="C678" s="3">
        <v>20</v>
      </c>
      <c r="D678" s="3">
        <v>4</v>
      </c>
      <c r="E678" s="3">
        <v>2022</v>
      </c>
      <c r="F678" s="3" t="str">
        <f>"Qtr"&amp; " " &amp;CHOOSE(MONTH(Table1[[#This Row],[Date]]),1,1,1,2,2,2,3,3,3,4,4,4)</f>
        <v>Qtr 2</v>
      </c>
      <c r="G678" s="3" t="str">
        <f>TEXT(Table1[[#This Row],[Date]],"mmmm")</f>
        <v>April</v>
      </c>
      <c r="H678" s="3" t="s">
        <v>1083</v>
      </c>
      <c r="I678" s="3" t="s">
        <v>13</v>
      </c>
      <c r="J678" s="3">
        <v>6</v>
      </c>
      <c r="K678" s="3">
        <v>57747.199999999997</v>
      </c>
      <c r="L678" s="3">
        <f>Table1[[#This Row],[Price Per Unit]]*Table1[[#This Row],[Units Sold]]</f>
        <v>346483.19999999995</v>
      </c>
      <c r="M678" s="3" t="s">
        <v>249</v>
      </c>
      <c r="N678" s="3">
        <v>42</v>
      </c>
      <c r="O678" s="3" t="s">
        <v>65</v>
      </c>
      <c r="P678" s="3" t="s">
        <v>45</v>
      </c>
      <c r="Q678" s="4">
        <v>4</v>
      </c>
      <c r="R678" s="4" t="str">
        <f>IF(Table1[[#This Row],[Customer Ratings]]&gt;=4, "Good",IF(Table1[[#This Row],[Customer Ratings]]=3, "Average","Poor"))</f>
        <v>Good</v>
      </c>
      <c r="S678" s="3" t="s">
        <v>27</v>
      </c>
    </row>
    <row r="679" spans="1:19" x14ac:dyDescent="0.25">
      <c r="A679" s="3">
        <v>678</v>
      </c>
      <c r="B679" s="5">
        <f>DATE(Table1[[#This Row],[Year]],Table1[[#This Row],[Month]],Table1[[#This Row],[Day]])</f>
        <v>44671</v>
      </c>
      <c r="C679" s="3">
        <v>20</v>
      </c>
      <c r="D679" s="3">
        <v>4</v>
      </c>
      <c r="E679" s="3">
        <v>2022</v>
      </c>
      <c r="F679" s="3" t="str">
        <f>"Qtr"&amp; " " &amp;CHOOSE(MONTH(Table1[[#This Row],[Date]]),1,1,1,2,2,2,3,3,3,4,4,4)</f>
        <v>Qtr 2</v>
      </c>
      <c r="G679" s="3" t="str">
        <f>TEXT(Table1[[#This Row],[Date]],"mmmm")</f>
        <v>April</v>
      </c>
      <c r="H679" s="3" t="s">
        <v>1083</v>
      </c>
      <c r="I679" s="3" t="s">
        <v>18</v>
      </c>
      <c r="J679" s="3">
        <v>3</v>
      </c>
      <c r="K679" s="3">
        <v>30412.97</v>
      </c>
      <c r="L679" s="3">
        <f>Table1[[#This Row],[Price Per Unit]]*Table1[[#This Row],[Units Sold]]</f>
        <v>91238.91</v>
      </c>
      <c r="M679" s="3" t="s">
        <v>200</v>
      </c>
      <c r="N679" s="3">
        <v>43</v>
      </c>
      <c r="O679" s="3" t="s">
        <v>20</v>
      </c>
      <c r="P679" s="3" t="s">
        <v>16</v>
      </c>
      <c r="Q679" s="4">
        <v>5</v>
      </c>
      <c r="R679" s="4" t="str">
        <f>IF(Table1[[#This Row],[Customer Ratings]]&gt;=4, "Good",IF(Table1[[#This Row],[Customer Ratings]]=3, "Average","Poor"))</f>
        <v>Good</v>
      </c>
      <c r="S679" s="3" t="s">
        <v>55</v>
      </c>
    </row>
    <row r="680" spans="1:19" x14ac:dyDescent="0.25">
      <c r="A680" s="3">
        <v>679</v>
      </c>
      <c r="B680" s="5">
        <f>DATE(Table1[[#This Row],[Year]],Table1[[#This Row],[Month]],Table1[[#This Row],[Day]])</f>
        <v>44671</v>
      </c>
      <c r="C680" s="3">
        <v>20</v>
      </c>
      <c r="D680" s="3">
        <v>4</v>
      </c>
      <c r="E680" s="3">
        <v>2022</v>
      </c>
      <c r="F680" s="3" t="str">
        <f>"Qtr"&amp; " " &amp;CHOOSE(MONTH(Table1[[#This Row],[Date]]),1,1,1,2,2,2,3,3,3,4,4,4)</f>
        <v>Qtr 2</v>
      </c>
      <c r="G680" s="3" t="str">
        <f>TEXT(Table1[[#This Row],[Date]],"mmmm")</f>
        <v>April</v>
      </c>
      <c r="H680" s="3" t="s">
        <v>1083</v>
      </c>
      <c r="I680" s="3" t="s">
        <v>13</v>
      </c>
      <c r="J680" s="3">
        <v>5</v>
      </c>
      <c r="K680" s="3">
        <v>10391.52</v>
      </c>
      <c r="L680" s="3">
        <f>Table1[[#This Row],[Price Per Unit]]*Table1[[#This Row],[Units Sold]]</f>
        <v>51957.600000000006</v>
      </c>
      <c r="M680" s="3" t="s">
        <v>498</v>
      </c>
      <c r="N680" s="3">
        <v>53</v>
      </c>
      <c r="O680" s="3" t="s">
        <v>30</v>
      </c>
      <c r="P680" s="3" t="s">
        <v>21</v>
      </c>
      <c r="Q680" s="4">
        <v>4</v>
      </c>
      <c r="R680" s="4" t="str">
        <f>IF(Table1[[#This Row],[Customer Ratings]]&gt;=4, "Good",IF(Table1[[#This Row],[Customer Ratings]]=3, "Average","Poor"))</f>
        <v>Good</v>
      </c>
      <c r="S680" s="3" t="s">
        <v>72</v>
      </c>
    </row>
    <row r="681" spans="1:19" x14ac:dyDescent="0.25">
      <c r="A681" s="3">
        <v>680</v>
      </c>
      <c r="B681" s="5">
        <f>DATE(Table1[[#This Row],[Year]],Table1[[#This Row],[Month]],Table1[[#This Row],[Day]])</f>
        <v>44672</v>
      </c>
      <c r="C681" s="3">
        <v>21</v>
      </c>
      <c r="D681" s="3">
        <v>4</v>
      </c>
      <c r="E681" s="3">
        <v>2022</v>
      </c>
      <c r="F681" s="3" t="str">
        <f>"Qtr"&amp; " " &amp;CHOOSE(MONTH(Table1[[#This Row],[Date]]),1,1,1,2,2,2,3,3,3,4,4,4)</f>
        <v>Qtr 2</v>
      </c>
      <c r="G681" s="3" t="str">
        <f>TEXT(Table1[[#This Row],[Date]],"mmmm")</f>
        <v>April</v>
      </c>
      <c r="H681" s="3" t="s">
        <v>1084</v>
      </c>
      <c r="I681" s="3" t="s">
        <v>33</v>
      </c>
      <c r="J681" s="3">
        <v>5</v>
      </c>
      <c r="K681" s="3">
        <v>38771.15</v>
      </c>
      <c r="L681" s="3">
        <f>Table1[[#This Row],[Price Per Unit]]*Table1[[#This Row],[Units Sold]]</f>
        <v>193855.75</v>
      </c>
      <c r="M681" s="3" t="s">
        <v>560</v>
      </c>
      <c r="N681" s="3">
        <v>59</v>
      </c>
      <c r="O681" s="3" t="s">
        <v>30</v>
      </c>
      <c r="P681" s="3" t="s">
        <v>31</v>
      </c>
      <c r="Q681" s="4">
        <v>5</v>
      </c>
      <c r="R681" s="4" t="str">
        <f>IF(Table1[[#This Row],[Customer Ratings]]&gt;=4, "Good",IF(Table1[[#This Row],[Customer Ratings]]=3, "Average","Poor"))</f>
        <v>Good</v>
      </c>
      <c r="S681" s="3" t="s">
        <v>83</v>
      </c>
    </row>
    <row r="682" spans="1:19" x14ac:dyDescent="0.25">
      <c r="A682" s="3">
        <v>681</v>
      </c>
      <c r="B682" s="5">
        <f>DATE(Table1[[#This Row],[Year]],Table1[[#This Row],[Month]],Table1[[#This Row],[Day]])</f>
        <v>44672</v>
      </c>
      <c r="C682" s="3">
        <v>21</v>
      </c>
      <c r="D682" s="3">
        <v>4</v>
      </c>
      <c r="E682" s="3">
        <v>2022</v>
      </c>
      <c r="F682" s="3" t="str">
        <f>"Qtr"&amp; " " &amp;CHOOSE(MONTH(Table1[[#This Row],[Date]]),1,1,1,2,2,2,3,3,3,4,4,4)</f>
        <v>Qtr 2</v>
      </c>
      <c r="G682" s="3" t="str">
        <f>TEXT(Table1[[#This Row],[Date]],"mmmm")</f>
        <v>April</v>
      </c>
      <c r="H682" s="3" t="s">
        <v>1084</v>
      </c>
      <c r="I682" s="3" t="s">
        <v>13</v>
      </c>
      <c r="J682" s="3">
        <v>5</v>
      </c>
      <c r="K682" s="3">
        <v>10951.21</v>
      </c>
      <c r="L682" s="3">
        <f>Table1[[#This Row],[Price Per Unit]]*Table1[[#This Row],[Units Sold]]</f>
        <v>54756.049999999996</v>
      </c>
      <c r="M682" s="3" t="s">
        <v>497</v>
      </c>
      <c r="N682" s="3">
        <v>52</v>
      </c>
      <c r="O682" s="3" t="s">
        <v>20</v>
      </c>
      <c r="P682" s="3" t="s">
        <v>21</v>
      </c>
      <c r="Q682" s="4">
        <v>5</v>
      </c>
      <c r="R682" s="4" t="str">
        <f>IF(Table1[[#This Row],[Customer Ratings]]&gt;=4, "Good",IF(Table1[[#This Row],[Customer Ratings]]=3, "Average","Poor"))</f>
        <v>Good</v>
      </c>
      <c r="S682" s="3" t="s">
        <v>17</v>
      </c>
    </row>
    <row r="683" spans="1:19" x14ac:dyDescent="0.25">
      <c r="A683" s="3">
        <v>682</v>
      </c>
      <c r="B683" s="5">
        <f>DATE(Table1[[#This Row],[Year]],Table1[[#This Row],[Month]],Table1[[#This Row],[Day]])</f>
        <v>44672</v>
      </c>
      <c r="C683" s="3">
        <v>21</v>
      </c>
      <c r="D683" s="3">
        <v>4</v>
      </c>
      <c r="E683" s="3">
        <v>2022</v>
      </c>
      <c r="F683" s="3" t="str">
        <f>"Qtr"&amp; " " &amp;CHOOSE(MONTH(Table1[[#This Row],[Date]]),1,1,1,2,2,2,3,3,3,4,4,4)</f>
        <v>Qtr 2</v>
      </c>
      <c r="G683" s="3" t="str">
        <f>TEXT(Table1[[#This Row],[Date]],"mmmm")</f>
        <v>April</v>
      </c>
      <c r="H683" s="3" t="s">
        <v>1084</v>
      </c>
      <c r="I683" s="3" t="s">
        <v>33</v>
      </c>
      <c r="J683" s="3">
        <v>8</v>
      </c>
      <c r="K683" s="3">
        <v>15519.07</v>
      </c>
      <c r="L683" s="3">
        <f>Table1[[#This Row],[Price Per Unit]]*Table1[[#This Row],[Units Sold]]</f>
        <v>124152.56</v>
      </c>
      <c r="M683" s="3" t="s">
        <v>383</v>
      </c>
      <c r="N683" s="3">
        <v>55</v>
      </c>
      <c r="O683" s="3" t="s">
        <v>20</v>
      </c>
      <c r="P683" s="3" t="s">
        <v>31</v>
      </c>
      <c r="Q683" s="4">
        <v>5</v>
      </c>
      <c r="R683" s="4" t="str">
        <f>IF(Table1[[#This Row],[Customer Ratings]]&gt;=4, "Good",IF(Table1[[#This Row],[Customer Ratings]]=3, "Average","Poor"))</f>
        <v>Good</v>
      </c>
      <c r="S683" s="3" t="s">
        <v>46</v>
      </c>
    </row>
    <row r="684" spans="1:19" x14ac:dyDescent="0.25">
      <c r="A684" s="3">
        <v>683</v>
      </c>
      <c r="B684" s="5">
        <f>DATE(Table1[[#This Row],[Year]],Table1[[#This Row],[Month]],Table1[[#This Row],[Day]])</f>
        <v>44673</v>
      </c>
      <c r="C684" s="3">
        <v>22</v>
      </c>
      <c r="D684" s="3">
        <v>4</v>
      </c>
      <c r="E684" s="3">
        <v>2022</v>
      </c>
      <c r="F684" s="3" t="str">
        <f>"Qtr"&amp; " " &amp;CHOOSE(MONTH(Table1[[#This Row],[Date]]),1,1,1,2,2,2,3,3,3,4,4,4)</f>
        <v>Qtr 2</v>
      </c>
      <c r="G684" s="3" t="str">
        <f>TEXT(Table1[[#This Row],[Date]],"mmmm")</f>
        <v>April</v>
      </c>
      <c r="H684" s="3" t="s">
        <v>1085</v>
      </c>
      <c r="I684" s="3" t="s">
        <v>33</v>
      </c>
      <c r="J684" s="3">
        <v>9</v>
      </c>
      <c r="K684" s="3">
        <v>29601.34</v>
      </c>
      <c r="L684" s="3">
        <f>Table1[[#This Row],[Price Per Unit]]*Table1[[#This Row],[Units Sold]]</f>
        <v>266412.06</v>
      </c>
      <c r="M684" s="3" t="s">
        <v>561</v>
      </c>
      <c r="N684" s="3">
        <v>20</v>
      </c>
      <c r="O684" s="3" t="s">
        <v>58</v>
      </c>
      <c r="P684" s="3" t="s">
        <v>16</v>
      </c>
      <c r="Q684" s="4">
        <v>5</v>
      </c>
      <c r="R684" s="4" t="str">
        <f>IF(Table1[[#This Row],[Customer Ratings]]&gt;=4, "Good",IF(Table1[[#This Row],[Customer Ratings]]=3, "Average","Poor"))</f>
        <v>Good</v>
      </c>
      <c r="S684" s="3" t="s">
        <v>46</v>
      </c>
    </row>
    <row r="685" spans="1:19" x14ac:dyDescent="0.25">
      <c r="A685" s="3">
        <v>684</v>
      </c>
      <c r="B685" s="5">
        <f>DATE(Table1[[#This Row],[Year]],Table1[[#This Row],[Month]],Table1[[#This Row],[Day]])</f>
        <v>44673</v>
      </c>
      <c r="C685" s="3">
        <v>22</v>
      </c>
      <c r="D685" s="3">
        <v>4</v>
      </c>
      <c r="E685" s="3">
        <v>2022</v>
      </c>
      <c r="F685" s="3" t="str">
        <f>"Qtr"&amp; " " &amp;CHOOSE(MONTH(Table1[[#This Row],[Date]]),1,1,1,2,2,2,3,3,3,4,4,4)</f>
        <v>Qtr 2</v>
      </c>
      <c r="G685" s="3" t="str">
        <f>TEXT(Table1[[#This Row],[Date]],"mmmm")</f>
        <v>April</v>
      </c>
      <c r="H685" s="3" t="s">
        <v>1085</v>
      </c>
      <c r="I685" s="3" t="s">
        <v>13</v>
      </c>
      <c r="J685" s="3">
        <v>9</v>
      </c>
      <c r="K685" s="3">
        <v>36230.32</v>
      </c>
      <c r="L685" s="3">
        <f>Table1[[#This Row],[Price Per Unit]]*Table1[[#This Row],[Units Sold]]</f>
        <v>326072.88</v>
      </c>
      <c r="M685" s="3" t="s">
        <v>402</v>
      </c>
      <c r="N685" s="3">
        <v>58</v>
      </c>
      <c r="O685" s="3" t="s">
        <v>102</v>
      </c>
      <c r="P685" s="3" t="s">
        <v>21</v>
      </c>
      <c r="Q685" s="4">
        <v>5</v>
      </c>
      <c r="R685" s="4" t="str">
        <f>IF(Table1[[#This Row],[Customer Ratings]]&gt;=4, "Good",IF(Table1[[#This Row],[Customer Ratings]]=3, "Average","Poor"))</f>
        <v>Good</v>
      </c>
      <c r="S685" s="3" t="s">
        <v>27</v>
      </c>
    </row>
    <row r="686" spans="1:19" x14ac:dyDescent="0.25">
      <c r="A686" s="3">
        <v>685</v>
      </c>
      <c r="B686" s="5">
        <f>DATE(Table1[[#This Row],[Year]],Table1[[#This Row],[Month]],Table1[[#This Row],[Day]])</f>
        <v>44673</v>
      </c>
      <c r="C686" s="3">
        <v>22</v>
      </c>
      <c r="D686" s="3">
        <v>4</v>
      </c>
      <c r="E686" s="3">
        <v>2022</v>
      </c>
      <c r="F686" s="3" t="str">
        <f>"Qtr"&amp; " " &amp;CHOOSE(MONTH(Table1[[#This Row],[Date]]),1,1,1,2,2,2,3,3,3,4,4,4)</f>
        <v>Qtr 2</v>
      </c>
      <c r="G686" s="3" t="str">
        <f>TEXT(Table1[[#This Row],[Date]],"mmmm")</f>
        <v>April</v>
      </c>
      <c r="H686" s="3" t="s">
        <v>1085</v>
      </c>
      <c r="I686" s="3" t="s">
        <v>18</v>
      </c>
      <c r="J686" s="3">
        <v>6</v>
      </c>
      <c r="K686" s="3">
        <v>26768.17</v>
      </c>
      <c r="L686" s="3">
        <f>Table1[[#This Row],[Price Per Unit]]*Table1[[#This Row],[Units Sold]]</f>
        <v>160609.01999999999</v>
      </c>
      <c r="M686" s="3" t="s">
        <v>225</v>
      </c>
      <c r="N686" s="3">
        <v>52</v>
      </c>
      <c r="O686" s="3" t="s">
        <v>58</v>
      </c>
      <c r="P686" s="3" t="s">
        <v>31</v>
      </c>
      <c r="Q686" s="4">
        <v>4</v>
      </c>
      <c r="R686" s="4" t="str">
        <f>IF(Table1[[#This Row],[Customer Ratings]]&gt;=4, "Good",IF(Table1[[#This Row],[Customer Ratings]]=3, "Average","Poor"))</f>
        <v>Good</v>
      </c>
      <c r="S686" s="3" t="s">
        <v>22</v>
      </c>
    </row>
    <row r="687" spans="1:19" x14ac:dyDescent="0.25">
      <c r="A687" s="3">
        <v>686</v>
      </c>
      <c r="B687" s="5">
        <f>DATE(Table1[[#This Row],[Year]],Table1[[#This Row],[Month]],Table1[[#This Row],[Day]])</f>
        <v>44673</v>
      </c>
      <c r="C687" s="3">
        <v>22</v>
      </c>
      <c r="D687" s="3">
        <v>4</v>
      </c>
      <c r="E687" s="3">
        <v>2022</v>
      </c>
      <c r="F687" s="3" t="str">
        <f>"Qtr"&amp; " " &amp;CHOOSE(MONTH(Table1[[#This Row],[Date]]),1,1,1,2,2,2,3,3,3,4,4,4)</f>
        <v>Qtr 2</v>
      </c>
      <c r="G687" s="3" t="str">
        <f>TEXT(Table1[[#This Row],[Date]],"mmmm")</f>
        <v>April</v>
      </c>
      <c r="H687" s="3" t="s">
        <v>1085</v>
      </c>
      <c r="I687" s="3" t="s">
        <v>39</v>
      </c>
      <c r="J687" s="3">
        <v>6</v>
      </c>
      <c r="K687" s="3">
        <v>44911.92</v>
      </c>
      <c r="L687" s="3">
        <f>Table1[[#This Row],[Price Per Unit]]*Table1[[#This Row],[Units Sold]]</f>
        <v>269471.52</v>
      </c>
      <c r="M687" s="3" t="s">
        <v>541</v>
      </c>
      <c r="N687" s="3">
        <v>57</v>
      </c>
      <c r="O687" s="3" t="s">
        <v>52</v>
      </c>
      <c r="P687" s="3" t="s">
        <v>16</v>
      </c>
      <c r="Q687" s="4">
        <v>5</v>
      </c>
      <c r="R687" s="4" t="str">
        <f>IF(Table1[[#This Row],[Customer Ratings]]&gt;=4, "Good",IF(Table1[[#This Row],[Customer Ratings]]=3, "Average","Poor"))</f>
        <v>Good</v>
      </c>
      <c r="S687" s="3" t="s">
        <v>42</v>
      </c>
    </row>
    <row r="688" spans="1:19" x14ac:dyDescent="0.25">
      <c r="A688" s="3">
        <v>687</v>
      </c>
      <c r="B688" s="5">
        <f>DATE(Table1[[#This Row],[Year]],Table1[[#This Row],[Month]],Table1[[#This Row],[Day]])</f>
        <v>44674</v>
      </c>
      <c r="C688" s="3">
        <v>23</v>
      </c>
      <c r="D688" s="3">
        <v>4</v>
      </c>
      <c r="E688" s="3">
        <v>2022</v>
      </c>
      <c r="F688" s="3" t="str">
        <f>"Qtr"&amp; " " &amp;CHOOSE(MONTH(Table1[[#This Row],[Date]]),1,1,1,2,2,2,3,3,3,4,4,4)</f>
        <v>Qtr 2</v>
      </c>
      <c r="G688" s="3" t="str">
        <f>TEXT(Table1[[#This Row],[Date]],"mmmm")</f>
        <v>April</v>
      </c>
      <c r="H688" s="3" t="s">
        <v>1079</v>
      </c>
      <c r="I688" s="3" t="s">
        <v>39</v>
      </c>
      <c r="J688" s="3">
        <v>9</v>
      </c>
      <c r="K688" s="3">
        <v>13320.99</v>
      </c>
      <c r="L688" s="3">
        <f>Table1[[#This Row],[Price Per Unit]]*Table1[[#This Row],[Units Sold]]</f>
        <v>119888.91</v>
      </c>
      <c r="M688" s="3" t="s">
        <v>226</v>
      </c>
      <c r="N688" s="3">
        <v>39</v>
      </c>
      <c r="O688" s="3" t="s">
        <v>24</v>
      </c>
      <c r="P688" s="3" t="s">
        <v>21</v>
      </c>
      <c r="Q688" s="4">
        <v>5</v>
      </c>
      <c r="R688" s="4" t="str">
        <f>IF(Table1[[#This Row],[Customer Ratings]]&gt;=4, "Good",IF(Table1[[#This Row],[Customer Ratings]]=3, "Average","Poor"))</f>
        <v>Good</v>
      </c>
      <c r="S688" s="3" t="s">
        <v>42</v>
      </c>
    </row>
    <row r="689" spans="1:19" x14ac:dyDescent="0.25">
      <c r="A689" s="3">
        <v>688</v>
      </c>
      <c r="B689" s="5">
        <f>DATE(Table1[[#This Row],[Year]],Table1[[#This Row],[Month]],Table1[[#This Row],[Day]])</f>
        <v>44674</v>
      </c>
      <c r="C689" s="3">
        <v>23</v>
      </c>
      <c r="D689" s="3">
        <v>4</v>
      </c>
      <c r="E689" s="3">
        <v>2022</v>
      </c>
      <c r="F689" s="3" t="str">
        <f>"Qtr"&amp; " " &amp;CHOOSE(MONTH(Table1[[#This Row],[Date]]),1,1,1,2,2,2,3,3,3,4,4,4)</f>
        <v>Qtr 2</v>
      </c>
      <c r="G689" s="3" t="str">
        <f>TEXT(Table1[[#This Row],[Date]],"mmmm")</f>
        <v>April</v>
      </c>
      <c r="H689" s="3" t="s">
        <v>1079</v>
      </c>
      <c r="I689" s="3" t="s">
        <v>33</v>
      </c>
      <c r="J689" s="3">
        <v>4</v>
      </c>
      <c r="K689" s="3">
        <v>18674.78</v>
      </c>
      <c r="L689" s="3">
        <f>Table1[[#This Row],[Price Per Unit]]*Table1[[#This Row],[Units Sold]]</f>
        <v>74699.12</v>
      </c>
      <c r="M689" s="3" t="s">
        <v>82</v>
      </c>
      <c r="N689" s="3">
        <v>25</v>
      </c>
      <c r="O689" s="3" t="s">
        <v>137</v>
      </c>
      <c r="P689" s="3" t="s">
        <v>21</v>
      </c>
      <c r="Q689" s="4">
        <v>3</v>
      </c>
      <c r="R689" s="4" t="str">
        <f>IF(Table1[[#This Row],[Customer Ratings]]&gt;=4, "Good",IF(Table1[[#This Row],[Customer Ratings]]=3, "Average","Poor"))</f>
        <v>Average</v>
      </c>
      <c r="S689" s="3" t="s">
        <v>83</v>
      </c>
    </row>
    <row r="690" spans="1:19" x14ac:dyDescent="0.25">
      <c r="A690" s="3">
        <v>689</v>
      </c>
      <c r="B690" s="5">
        <f>DATE(Table1[[#This Row],[Year]],Table1[[#This Row],[Month]],Table1[[#This Row],[Day]])</f>
        <v>44674</v>
      </c>
      <c r="C690" s="3">
        <v>23</v>
      </c>
      <c r="D690" s="3">
        <v>4</v>
      </c>
      <c r="E690" s="3">
        <v>2022</v>
      </c>
      <c r="F690" s="3" t="str">
        <f>"Qtr"&amp; " " &amp;CHOOSE(MONTH(Table1[[#This Row],[Date]]),1,1,1,2,2,2,3,3,3,4,4,4)</f>
        <v>Qtr 2</v>
      </c>
      <c r="G690" s="3" t="str">
        <f>TEXT(Table1[[#This Row],[Date]],"mmmm")</f>
        <v>April</v>
      </c>
      <c r="H690" s="3" t="s">
        <v>1079</v>
      </c>
      <c r="I690" s="3" t="s">
        <v>33</v>
      </c>
      <c r="J690" s="3">
        <v>6</v>
      </c>
      <c r="K690" s="3">
        <v>51715.5</v>
      </c>
      <c r="L690" s="3">
        <f>Table1[[#This Row],[Price Per Unit]]*Table1[[#This Row],[Units Sold]]</f>
        <v>310293</v>
      </c>
      <c r="M690" s="3" t="s">
        <v>562</v>
      </c>
      <c r="N690" s="3">
        <v>32</v>
      </c>
      <c r="O690" s="3" t="s">
        <v>20</v>
      </c>
      <c r="P690" s="3" t="s">
        <v>21</v>
      </c>
      <c r="Q690" s="4">
        <v>5</v>
      </c>
      <c r="R690" s="4" t="str">
        <f>IF(Table1[[#This Row],[Customer Ratings]]&gt;=4, "Good",IF(Table1[[#This Row],[Customer Ratings]]=3, "Average","Poor"))</f>
        <v>Good</v>
      </c>
      <c r="S690" s="3" t="s">
        <v>46</v>
      </c>
    </row>
    <row r="691" spans="1:19" x14ac:dyDescent="0.25">
      <c r="A691" s="3">
        <v>690</v>
      </c>
      <c r="B691" s="5">
        <f>DATE(Table1[[#This Row],[Year]],Table1[[#This Row],[Month]],Table1[[#This Row],[Day]])</f>
        <v>44674</v>
      </c>
      <c r="C691" s="3">
        <v>23</v>
      </c>
      <c r="D691" s="3">
        <v>4</v>
      </c>
      <c r="E691" s="3">
        <v>2022</v>
      </c>
      <c r="F691" s="3" t="str">
        <f>"Qtr"&amp; " " &amp;CHOOSE(MONTH(Table1[[#This Row],[Date]]),1,1,1,2,2,2,3,3,3,4,4,4)</f>
        <v>Qtr 2</v>
      </c>
      <c r="G691" s="3" t="str">
        <f>TEXT(Table1[[#This Row],[Date]],"mmmm")</f>
        <v>April</v>
      </c>
      <c r="H691" s="3" t="s">
        <v>1079</v>
      </c>
      <c r="I691" s="3" t="s">
        <v>18</v>
      </c>
      <c r="J691" s="3">
        <v>4</v>
      </c>
      <c r="K691" s="3">
        <v>18528.45</v>
      </c>
      <c r="L691" s="3">
        <f>Table1[[#This Row],[Price Per Unit]]*Table1[[#This Row],[Units Sold]]</f>
        <v>74113.8</v>
      </c>
      <c r="M691" s="3" t="s">
        <v>548</v>
      </c>
      <c r="N691" s="3">
        <v>24</v>
      </c>
      <c r="O691" s="3" t="s">
        <v>20</v>
      </c>
      <c r="P691" s="3" t="s">
        <v>21</v>
      </c>
      <c r="Q691" s="4">
        <v>5</v>
      </c>
      <c r="R691" s="4" t="str">
        <f>IF(Table1[[#This Row],[Customer Ratings]]&gt;=4, "Good",IF(Table1[[#This Row],[Customer Ratings]]=3, "Average","Poor"))</f>
        <v>Good</v>
      </c>
      <c r="S691" s="3" t="s">
        <v>22</v>
      </c>
    </row>
    <row r="692" spans="1:19" x14ac:dyDescent="0.25">
      <c r="A692" s="3">
        <v>691</v>
      </c>
      <c r="B692" s="5">
        <f>DATE(Table1[[#This Row],[Year]],Table1[[#This Row],[Month]],Table1[[#This Row],[Day]])</f>
        <v>44675</v>
      </c>
      <c r="C692" s="3">
        <v>24</v>
      </c>
      <c r="D692" s="3">
        <v>4</v>
      </c>
      <c r="E692" s="3">
        <v>2022</v>
      </c>
      <c r="F692" s="3" t="str">
        <f>"Qtr"&amp; " " &amp;CHOOSE(MONTH(Table1[[#This Row],[Date]]),1,1,1,2,2,2,3,3,3,4,4,4)</f>
        <v>Qtr 2</v>
      </c>
      <c r="G692" s="3" t="str">
        <f>TEXT(Table1[[#This Row],[Date]],"mmmm")</f>
        <v>April</v>
      </c>
      <c r="H692" s="3" t="s">
        <v>1080</v>
      </c>
      <c r="I692" s="3" t="s">
        <v>28</v>
      </c>
      <c r="J692" s="3">
        <v>1</v>
      </c>
      <c r="K692" s="3">
        <v>48386.51</v>
      </c>
      <c r="L692" s="3">
        <f>Table1[[#This Row],[Price Per Unit]]*Table1[[#This Row],[Units Sold]]</f>
        <v>48386.51</v>
      </c>
      <c r="M692" s="3" t="s">
        <v>394</v>
      </c>
      <c r="N692" s="3">
        <v>36</v>
      </c>
      <c r="O692" s="3" t="s">
        <v>52</v>
      </c>
      <c r="P692" s="3" t="s">
        <v>45</v>
      </c>
      <c r="Q692" s="4">
        <v>5</v>
      </c>
      <c r="R692" s="4" t="str">
        <f>IF(Table1[[#This Row],[Customer Ratings]]&gt;=4, "Good",IF(Table1[[#This Row],[Customer Ratings]]=3, "Average","Poor"))</f>
        <v>Good</v>
      </c>
      <c r="S692" s="3" t="s">
        <v>32</v>
      </c>
    </row>
    <row r="693" spans="1:19" x14ac:dyDescent="0.25">
      <c r="A693" s="3">
        <v>692</v>
      </c>
      <c r="B693" s="5">
        <f>DATE(Table1[[#This Row],[Year]],Table1[[#This Row],[Month]],Table1[[#This Row],[Day]])</f>
        <v>44675</v>
      </c>
      <c r="C693" s="3">
        <v>24</v>
      </c>
      <c r="D693" s="3">
        <v>4</v>
      </c>
      <c r="E693" s="3">
        <v>2022</v>
      </c>
      <c r="F693" s="3" t="str">
        <f>"Qtr"&amp; " " &amp;CHOOSE(MONTH(Table1[[#This Row],[Date]]),1,1,1,2,2,2,3,3,3,4,4,4)</f>
        <v>Qtr 2</v>
      </c>
      <c r="G693" s="3" t="str">
        <f>TEXT(Table1[[#This Row],[Date]],"mmmm")</f>
        <v>April</v>
      </c>
      <c r="H693" s="3" t="s">
        <v>1080</v>
      </c>
      <c r="I693" s="3" t="s">
        <v>13</v>
      </c>
      <c r="J693" s="3">
        <v>7</v>
      </c>
      <c r="K693" s="3">
        <v>13281.08</v>
      </c>
      <c r="L693" s="3">
        <f>Table1[[#This Row],[Price Per Unit]]*Table1[[#This Row],[Units Sold]]</f>
        <v>92967.56</v>
      </c>
      <c r="M693" s="3" t="s">
        <v>228</v>
      </c>
      <c r="N693" s="3">
        <v>57</v>
      </c>
      <c r="O693" s="3" t="s">
        <v>98</v>
      </c>
      <c r="P693" s="3" t="s">
        <v>16</v>
      </c>
      <c r="Q693" s="4">
        <v>3</v>
      </c>
      <c r="R693" s="4" t="str">
        <f>IF(Table1[[#This Row],[Customer Ratings]]&gt;=4, "Good",IF(Table1[[#This Row],[Customer Ratings]]=3, "Average","Poor"))</f>
        <v>Average</v>
      </c>
      <c r="S693" s="3" t="s">
        <v>27</v>
      </c>
    </row>
    <row r="694" spans="1:19" x14ac:dyDescent="0.25">
      <c r="A694" s="3">
        <v>693</v>
      </c>
      <c r="B694" s="5">
        <f>DATE(Table1[[#This Row],[Year]],Table1[[#This Row],[Month]],Table1[[#This Row],[Day]])</f>
        <v>44675</v>
      </c>
      <c r="C694" s="3">
        <v>24</v>
      </c>
      <c r="D694" s="3">
        <v>4</v>
      </c>
      <c r="E694" s="3">
        <v>2022</v>
      </c>
      <c r="F694" s="3" t="str">
        <f>"Qtr"&amp; " " &amp;CHOOSE(MONTH(Table1[[#This Row],[Date]]),1,1,1,2,2,2,3,3,3,4,4,4)</f>
        <v>Qtr 2</v>
      </c>
      <c r="G694" s="3" t="str">
        <f>TEXT(Table1[[#This Row],[Date]],"mmmm")</f>
        <v>April</v>
      </c>
      <c r="H694" s="3" t="s">
        <v>1080</v>
      </c>
      <c r="I694" s="3" t="s">
        <v>33</v>
      </c>
      <c r="J694" s="3">
        <v>6</v>
      </c>
      <c r="K694" s="3">
        <v>34442.94</v>
      </c>
      <c r="L694" s="3">
        <f>Table1[[#This Row],[Price Per Unit]]*Table1[[#This Row],[Units Sold]]</f>
        <v>206657.64</v>
      </c>
      <c r="M694" s="3" t="s">
        <v>214</v>
      </c>
      <c r="N694" s="3">
        <v>59</v>
      </c>
      <c r="O694" s="3" t="s">
        <v>15</v>
      </c>
      <c r="P694" s="3" t="s">
        <v>45</v>
      </c>
      <c r="Q694" s="4">
        <v>5</v>
      </c>
      <c r="R694" s="4" t="str">
        <f>IF(Table1[[#This Row],[Customer Ratings]]&gt;=4, "Good",IF(Table1[[#This Row],[Customer Ratings]]=3, "Average","Poor"))</f>
        <v>Good</v>
      </c>
      <c r="S694" s="3" t="s">
        <v>36</v>
      </c>
    </row>
    <row r="695" spans="1:19" x14ac:dyDescent="0.25">
      <c r="A695" s="3">
        <v>694</v>
      </c>
      <c r="B695" s="5">
        <f>DATE(Table1[[#This Row],[Year]],Table1[[#This Row],[Month]],Table1[[#This Row],[Day]])</f>
        <v>44675</v>
      </c>
      <c r="C695" s="3">
        <v>24</v>
      </c>
      <c r="D695" s="3">
        <v>4</v>
      </c>
      <c r="E695" s="3">
        <v>2022</v>
      </c>
      <c r="F695" s="3" t="str">
        <f>"Qtr"&amp; " " &amp;CHOOSE(MONTH(Table1[[#This Row],[Date]]),1,1,1,2,2,2,3,3,3,4,4,4)</f>
        <v>Qtr 2</v>
      </c>
      <c r="G695" s="3" t="str">
        <f>TEXT(Table1[[#This Row],[Date]],"mmmm")</f>
        <v>April</v>
      </c>
      <c r="H695" s="3" t="s">
        <v>1080</v>
      </c>
      <c r="I695" s="3" t="s">
        <v>39</v>
      </c>
      <c r="J695" s="3">
        <v>9</v>
      </c>
      <c r="K695" s="3">
        <v>20644.57</v>
      </c>
      <c r="L695" s="3">
        <f>Table1[[#This Row],[Price Per Unit]]*Table1[[#This Row],[Units Sold]]</f>
        <v>185801.13</v>
      </c>
      <c r="M695" s="3" t="s">
        <v>375</v>
      </c>
      <c r="N695" s="3">
        <v>34</v>
      </c>
      <c r="O695" s="3" t="s">
        <v>20</v>
      </c>
      <c r="P695" s="3" t="s">
        <v>16</v>
      </c>
      <c r="Q695" s="4">
        <v>5</v>
      </c>
      <c r="R695" s="4" t="str">
        <f>IF(Table1[[#This Row],[Customer Ratings]]&gt;=4, "Good",IF(Table1[[#This Row],[Customer Ratings]]=3, "Average","Poor"))</f>
        <v>Good</v>
      </c>
      <c r="S695" s="3" t="s">
        <v>76</v>
      </c>
    </row>
    <row r="696" spans="1:19" x14ac:dyDescent="0.25">
      <c r="A696" s="3">
        <v>695</v>
      </c>
      <c r="B696" s="5">
        <f>DATE(Table1[[#This Row],[Year]],Table1[[#This Row],[Month]],Table1[[#This Row],[Day]])</f>
        <v>44676</v>
      </c>
      <c r="C696" s="3">
        <v>25</v>
      </c>
      <c r="D696" s="3">
        <v>4</v>
      </c>
      <c r="E696" s="3">
        <v>2022</v>
      </c>
      <c r="F696" s="3" t="str">
        <f>"Qtr"&amp; " " &amp;CHOOSE(MONTH(Table1[[#This Row],[Date]]),1,1,1,2,2,2,3,3,3,4,4,4)</f>
        <v>Qtr 2</v>
      </c>
      <c r="G696" s="3" t="str">
        <f>TEXT(Table1[[#This Row],[Date]],"mmmm")</f>
        <v>April</v>
      </c>
      <c r="H696" s="3" t="s">
        <v>1081</v>
      </c>
      <c r="I696" s="3" t="s">
        <v>18</v>
      </c>
      <c r="J696" s="3">
        <v>7</v>
      </c>
      <c r="K696" s="3">
        <v>16578.18</v>
      </c>
      <c r="L696" s="3">
        <f>Table1[[#This Row],[Price Per Unit]]*Table1[[#This Row],[Units Sold]]</f>
        <v>116047.26000000001</v>
      </c>
      <c r="M696" s="3" t="s">
        <v>563</v>
      </c>
      <c r="N696" s="3">
        <v>18</v>
      </c>
      <c r="O696" s="3" t="s">
        <v>102</v>
      </c>
      <c r="P696" s="3" t="s">
        <v>16</v>
      </c>
      <c r="Q696" s="4">
        <v>5</v>
      </c>
      <c r="R696" s="4" t="str">
        <f>IF(Table1[[#This Row],[Customer Ratings]]&gt;=4, "Good",IF(Table1[[#This Row],[Customer Ratings]]=3, "Average","Poor"))</f>
        <v>Good</v>
      </c>
      <c r="S696" s="3" t="s">
        <v>25</v>
      </c>
    </row>
    <row r="697" spans="1:19" x14ac:dyDescent="0.25">
      <c r="A697" s="3">
        <v>696</v>
      </c>
      <c r="B697" s="5">
        <f>DATE(Table1[[#This Row],[Year]],Table1[[#This Row],[Month]],Table1[[#This Row],[Day]])</f>
        <v>44676</v>
      </c>
      <c r="C697" s="3">
        <v>25</v>
      </c>
      <c r="D697" s="3">
        <v>4</v>
      </c>
      <c r="E697" s="3">
        <v>2022</v>
      </c>
      <c r="F697" s="3" t="str">
        <f>"Qtr"&amp; " " &amp;CHOOSE(MONTH(Table1[[#This Row],[Date]]),1,1,1,2,2,2,3,3,3,4,4,4)</f>
        <v>Qtr 2</v>
      </c>
      <c r="G697" s="3" t="str">
        <f>TEXT(Table1[[#This Row],[Date]],"mmmm")</f>
        <v>April</v>
      </c>
      <c r="H697" s="3" t="s">
        <v>1081</v>
      </c>
      <c r="I697" s="3" t="s">
        <v>13</v>
      </c>
      <c r="J697" s="3">
        <v>7</v>
      </c>
      <c r="K697" s="3">
        <v>44021.97</v>
      </c>
      <c r="L697" s="3">
        <f>Table1[[#This Row],[Price Per Unit]]*Table1[[#This Row],[Units Sold]]</f>
        <v>308153.79000000004</v>
      </c>
      <c r="M697" s="3" t="s">
        <v>564</v>
      </c>
      <c r="N697" s="3">
        <v>46</v>
      </c>
      <c r="O697" s="3" t="s">
        <v>58</v>
      </c>
      <c r="P697" s="3" t="s">
        <v>16</v>
      </c>
      <c r="Q697" s="4">
        <v>4</v>
      </c>
      <c r="R697" s="4" t="str">
        <f>IF(Table1[[#This Row],[Customer Ratings]]&gt;=4, "Good",IF(Table1[[#This Row],[Customer Ratings]]=3, "Average","Poor"))</f>
        <v>Good</v>
      </c>
      <c r="S697" s="3" t="s">
        <v>17</v>
      </c>
    </row>
    <row r="698" spans="1:19" x14ac:dyDescent="0.25">
      <c r="A698" s="3">
        <v>697</v>
      </c>
      <c r="B698" s="5">
        <f>DATE(Table1[[#This Row],[Year]],Table1[[#This Row],[Month]],Table1[[#This Row],[Day]])</f>
        <v>44676</v>
      </c>
      <c r="C698" s="3">
        <v>25</v>
      </c>
      <c r="D698" s="3">
        <v>4</v>
      </c>
      <c r="E698" s="3">
        <v>2022</v>
      </c>
      <c r="F698" s="3" t="str">
        <f>"Qtr"&amp; " " &amp;CHOOSE(MONTH(Table1[[#This Row],[Date]]),1,1,1,2,2,2,3,3,3,4,4,4)</f>
        <v>Qtr 2</v>
      </c>
      <c r="G698" s="3" t="str">
        <f>TEXT(Table1[[#This Row],[Date]],"mmmm")</f>
        <v>April</v>
      </c>
      <c r="H698" s="3" t="s">
        <v>1081</v>
      </c>
      <c r="I698" s="3" t="s">
        <v>18</v>
      </c>
      <c r="J698" s="3">
        <v>2</v>
      </c>
      <c r="K698" s="3">
        <v>65700.149999999994</v>
      </c>
      <c r="L698" s="3">
        <f>Table1[[#This Row],[Price Per Unit]]*Table1[[#This Row],[Units Sold]]</f>
        <v>131400.29999999999</v>
      </c>
      <c r="M698" s="3" t="s">
        <v>224</v>
      </c>
      <c r="N698" s="3">
        <v>30</v>
      </c>
      <c r="O698" s="3" t="s">
        <v>24</v>
      </c>
      <c r="P698" s="3" t="s">
        <v>31</v>
      </c>
      <c r="Q698" s="4">
        <v>3</v>
      </c>
      <c r="R698" s="4" t="str">
        <f>IF(Table1[[#This Row],[Customer Ratings]]&gt;=4, "Good",IF(Table1[[#This Row],[Customer Ratings]]=3, "Average","Poor"))</f>
        <v>Average</v>
      </c>
      <c r="S698" s="3" t="s">
        <v>55</v>
      </c>
    </row>
    <row r="699" spans="1:19" x14ac:dyDescent="0.25">
      <c r="A699" s="3">
        <v>698</v>
      </c>
      <c r="B699" s="5">
        <f>DATE(Table1[[#This Row],[Year]],Table1[[#This Row],[Month]],Table1[[#This Row],[Day]])</f>
        <v>44677</v>
      </c>
      <c r="C699" s="3">
        <v>26</v>
      </c>
      <c r="D699" s="3">
        <v>4</v>
      </c>
      <c r="E699" s="3">
        <v>2022</v>
      </c>
      <c r="F699" s="3" t="str">
        <f>"Qtr"&amp; " " &amp;CHOOSE(MONTH(Table1[[#This Row],[Date]]),1,1,1,2,2,2,3,3,3,4,4,4)</f>
        <v>Qtr 2</v>
      </c>
      <c r="G699" s="3" t="str">
        <f>TEXT(Table1[[#This Row],[Date]],"mmmm")</f>
        <v>April</v>
      </c>
      <c r="H699" s="3" t="s">
        <v>1082</v>
      </c>
      <c r="I699" s="3" t="s">
        <v>13</v>
      </c>
      <c r="J699" s="3">
        <v>9</v>
      </c>
      <c r="K699" s="3">
        <v>13287.22</v>
      </c>
      <c r="L699" s="3">
        <f>Table1[[#This Row],[Price Per Unit]]*Table1[[#This Row],[Units Sold]]</f>
        <v>119584.98</v>
      </c>
      <c r="M699" s="3" t="s">
        <v>282</v>
      </c>
      <c r="N699" s="3">
        <v>46</v>
      </c>
      <c r="O699" s="3" t="s">
        <v>78</v>
      </c>
      <c r="P699" s="3" t="s">
        <v>16</v>
      </c>
      <c r="Q699" s="4">
        <v>5</v>
      </c>
      <c r="R699" s="4" t="str">
        <f>IF(Table1[[#This Row],[Customer Ratings]]&gt;=4, "Good",IF(Table1[[#This Row],[Customer Ratings]]=3, "Average","Poor"))</f>
        <v>Good</v>
      </c>
      <c r="S699" s="3" t="s">
        <v>17</v>
      </c>
    </row>
    <row r="700" spans="1:19" x14ac:dyDescent="0.25">
      <c r="A700" s="3">
        <v>699</v>
      </c>
      <c r="B700" s="5">
        <f>DATE(Table1[[#This Row],[Year]],Table1[[#This Row],[Month]],Table1[[#This Row],[Day]])</f>
        <v>44677</v>
      </c>
      <c r="C700" s="3">
        <v>26</v>
      </c>
      <c r="D700" s="3">
        <v>4</v>
      </c>
      <c r="E700" s="3">
        <v>2022</v>
      </c>
      <c r="F700" s="3" t="str">
        <f>"Qtr"&amp; " " &amp;CHOOSE(MONTH(Table1[[#This Row],[Date]]),1,1,1,2,2,2,3,3,3,4,4,4)</f>
        <v>Qtr 2</v>
      </c>
      <c r="G700" s="3" t="str">
        <f>TEXT(Table1[[#This Row],[Date]],"mmmm")</f>
        <v>April</v>
      </c>
      <c r="H700" s="3" t="s">
        <v>1082</v>
      </c>
      <c r="I700" s="3" t="s">
        <v>13</v>
      </c>
      <c r="J700" s="3">
        <v>9</v>
      </c>
      <c r="K700" s="3">
        <v>35293.25</v>
      </c>
      <c r="L700" s="3">
        <f>Table1[[#This Row],[Price Per Unit]]*Table1[[#This Row],[Units Sold]]</f>
        <v>317639.25</v>
      </c>
      <c r="M700" s="3" t="s">
        <v>565</v>
      </c>
      <c r="N700" s="3">
        <v>58</v>
      </c>
      <c r="O700" s="3" t="s">
        <v>24</v>
      </c>
      <c r="P700" s="3" t="s">
        <v>21</v>
      </c>
      <c r="Q700" s="4">
        <v>5</v>
      </c>
      <c r="R700" s="4" t="str">
        <f>IF(Table1[[#This Row],[Customer Ratings]]&gt;=4, "Good",IF(Table1[[#This Row],[Customer Ratings]]=3, "Average","Poor"))</f>
        <v>Good</v>
      </c>
      <c r="S700" s="3" t="s">
        <v>17</v>
      </c>
    </row>
    <row r="701" spans="1:19" x14ac:dyDescent="0.25">
      <c r="A701" s="3">
        <v>700</v>
      </c>
      <c r="B701" s="5">
        <f>DATE(Table1[[#This Row],[Year]],Table1[[#This Row],[Month]],Table1[[#This Row],[Day]])</f>
        <v>44677</v>
      </c>
      <c r="C701" s="3">
        <v>26</v>
      </c>
      <c r="D701" s="3">
        <v>4</v>
      </c>
      <c r="E701" s="3">
        <v>2022</v>
      </c>
      <c r="F701" s="3" t="str">
        <f>"Qtr"&amp; " " &amp;CHOOSE(MONTH(Table1[[#This Row],[Date]]),1,1,1,2,2,2,3,3,3,4,4,4)</f>
        <v>Qtr 2</v>
      </c>
      <c r="G701" s="3" t="str">
        <f>TEXT(Table1[[#This Row],[Date]],"mmmm")</f>
        <v>April</v>
      </c>
      <c r="H701" s="3" t="s">
        <v>1082</v>
      </c>
      <c r="I701" s="3" t="s">
        <v>33</v>
      </c>
      <c r="J701" s="3">
        <v>6</v>
      </c>
      <c r="K701" s="3">
        <v>52452.13</v>
      </c>
      <c r="L701" s="3">
        <f>Table1[[#This Row],[Price Per Unit]]*Table1[[#This Row],[Units Sold]]</f>
        <v>314712.77999999997</v>
      </c>
      <c r="M701" s="3" t="s">
        <v>566</v>
      </c>
      <c r="N701" s="3">
        <v>59</v>
      </c>
      <c r="O701" s="3" t="s">
        <v>102</v>
      </c>
      <c r="P701" s="3" t="s">
        <v>45</v>
      </c>
      <c r="Q701" s="4">
        <v>5</v>
      </c>
      <c r="R701" s="4" t="str">
        <f>IF(Table1[[#This Row],[Customer Ratings]]&gt;=4, "Good",IF(Table1[[#This Row],[Customer Ratings]]=3, "Average","Poor"))</f>
        <v>Good</v>
      </c>
      <c r="S701" s="3" t="s">
        <v>83</v>
      </c>
    </row>
    <row r="702" spans="1:19" x14ac:dyDescent="0.25">
      <c r="A702" s="3">
        <v>701</v>
      </c>
      <c r="B702" s="5">
        <f>DATE(Table1[[#This Row],[Year]],Table1[[#This Row],[Month]],Table1[[#This Row],[Day]])</f>
        <v>44678</v>
      </c>
      <c r="C702" s="3">
        <v>27</v>
      </c>
      <c r="D702" s="3">
        <v>4</v>
      </c>
      <c r="E702" s="3">
        <v>2022</v>
      </c>
      <c r="F702" s="3" t="str">
        <f>"Qtr"&amp; " " &amp;CHOOSE(MONTH(Table1[[#This Row],[Date]]),1,1,1,2,2,2,3,3,3,4,4,4)</f>
        <v>Qtr 2</v>
      </c>
      <c r="G702" s="3" t="str">
        <f>TEXT(Table1[[#This Row],[Date]],"mmmm")</f>
        <v>April</v>
      </c>
      <c r="H702" s="3" t="s">
        <v>1083</v>
      </c>
      <c r="I702" s="3" t="s">
        <v>18</v>
      </c>
      <c r="J702" s="3">
        <v>3</v>
      </c>
      <c r="K702" s="3">
        <v>37761.269999999997</v>
      </c>
      <c r="L702" s="3">
        <f>Table1[[#This Row],[Price Per Unit]]*Table1[[#This Row],[Units Sold]]</f>
        <v>113283.81</v>
      </c>
      <c r="M702" s="3" t="s">
        <v>567</v>
      </c>
      <c r="N702" s="3">
        <v>23</v>
      </c>
      <c r="O702" s="3" t="s">
        <v>20</v>
      </c>
      <c r="P702" s="3" t="s">
        <v>21</v>
      </c>
      <c r="Q702" s="4">
        <v>5</v>
      </c>
      <c r="R702" s="4" t="str">
        <f>IF(Table1[[#This Row],[Customer Ratings]]&gt;=4, "Good",IF(Table1[[#This Row],[Customer Ratings]]=3, "Average","Poor"))</f>
        <v>Good</v>
      </c>
      <c r="S702" s="3" t="s">
        <v>22</v>
      </c>
    </row>
    <row r="703" spans="1:19" x14ac:dyDescent="0.25">
      <c r="A703" s="3">
        <v>702</v>
      </c>
      <c r="B703" s="5">
        <f>DATE(Table1[[#This Row],[Year]],Table1[[#This Row],[Month]],Table1[[#This Row],[Day]])</f>
        <v>44678</v>
      </c>
      <c r="C703" s="3">
        <v>27</v>
      </c>
      <c r="D703" s="3">
        <v>4</v>
      </c>
      <c r="E703" s="3">
        <v>2022</v>
      </c>
      <c r="F703" s="3" t="str">
        <f>"Qtr"&amp; " " &amp;CHOOSE(MONTH(Table1[[#This Row],[Date]]),1,1,1,2,2,2,3,3,3,4,4,4)</f>
        <v>Qtr 2</v>
      </c>
      <c r="G703" s="3" t="str">
        <f>TEXT(Table1[[#This Row],[Date]],"mmmm")</f>
        <v>April</v>
      </c>
      <c r="H703" s="3" t="s">
        <v>1083</v>
      </c>
      <c r="I703" s="3" t="s">
        <v>18</v>
      </c>
      <c r="J703" s="3">
        <v>1</v>
      </c>
      <c r="K703" s="3">
        <v>58389.760000000002</v>
      </c>
      <c r="L703" s="3">
        <f>Table1[[#This Row],[Price Per Unit]]*Table1[[#This Row],[Units Sold]]</f>
        <v>58389.760000000002</v>
      </c>
      <c r="M703" s="3" t="s">
        <v>217</v>
      </c>
      <c r="N703" s="3">
        <v>22</v>
      </c>
      <c r="O703" s="3" t="s">
        <v>81</v>
      </c>
      <c r="P703" s="3" t="s">
        <v>21</v>
      </c>
      <c r="Q703" s="4">
        <v>5</v>
      </c>
      <c r="R703" s="4" t="str">
        <f>IF(Table1[[#This Row],[Customer Ratings]]&gt;=4, "Good",IF(Table1[[#This Row],[Customer Ratings]]=3, "Average","Poor"))</f>
        <v>Good</v>
      </c>
      <c r="S703" s="3" t="s">
        <v>22</v>
      </c>
    </row>
    <row r="704" spans="1:19" x14ac:dyDescent="0.25">
      <c r="A704" s="3">
        <v>703</v>
      </c>
      <c r="B704" s="5">
        <f>DATE(Table1[[#This Row],[Year]],Table1[[#This Row],[Month]],Table1[[#This Row],[Day]])</f>
        <v>44678</v>
      </c>
      <c r="C704" s="3">
        <v>27</v>
      </c>
      <c r="D704" s="3">
        <v>4</v>
      </c>
      <c r="E704" s="3">
        <v>2022</v>
      </c>
      <c r="F704" s="3" t="str">
        <f>"Qtr"&amp; " " &amp;CHOOSE(MONTH(Table1[[#This Row],[Date]]),1,1,1,2,2,2,3,3,3,4,4,4)</f>
        <v>Qtr 2</v>
      </c>
      <c r="G704" s="3" t="str">
        <f>TEXT(Table1[[#This Row],[Date]],"mmmm")</f>
        <v>April</v>
      </c>
      <c r="H704" s="3" t="s">
        <v>1083</v>
      </c>
      <c r="I704" s="3" t="s">
        <v>39</v>
      </c>
      <c r="J704" s="3">
        <v>4</v>
      </c>
      <c r="K704" s="3">
        <v>20778.72</v>
      </c>
      <c r="L704" s="3">
        <f>Table1[[#This Row],[Price Per Unit]]*Table1[[#This Row],[Units Sold]]</f>
        <v>83114.880000000005</v>
      </c>
      <c r="M704" s="3" t="s">
        <v>146</v>
      </c>
      <c r="N704" s="3">
        <v>51</v>
      </c>
      <c r="O704" s="3" t="s">
        <v>52</v>
      </c>
      <c r="P704" s="3" t="s">
        <v>45</v>
      </c>
      <c r="Q704" s="4">
        <v>4</v>
      </c>
      <c r="R704" s="4" t="str">
        <f>IF(Table1[[#This Row],[Customer Ratings]]&gt;=4, "Good",IF(Table1[[#This Row],[Customer Ratings]]=3, "Average","Poor"))</f>
        <v>Good</v>
      </c>
      <c r="S704" s="3" t="s">
        <v>76</v>
      </c>
    </row>
    <row r="705" spans="1:19" x14ac:dyDescent="0.25">
      <c r="A705" s="3">
        <v>704</v>
      </c>
      <c r="B705" s="5">
        <f>DATE(Table1[[#This Row],[Year]],Table1[[#This Row],[Month]],Table1[[#This Row],[Day]])</f>
        <v>44679</v>
      </c>
      <c r="C705" s="3">
        <v>28</v>
      </c>
      <c r="D705" s="3">
        <v>4</v>
      </c>
      <c r="E705" s="3">
        <v>2022</v>
      </c>
      <c r="F705" s="3" t="str">
        <f>"Qtr"&amp; " " &amp;CHOOSE(MONTH(Table1[[#This Row],[Date]]),1,1,1,2,2,2,3,3,3,4,4,4)</f>
        <v>Qtr 2</v>
      </c>
      <c r="G705" s="3" t="str">
        <f>TEXT(Table1[[#This Row],[Date]],"mmmm")</f>
        <v>April</v>
      </c>
      <c r="H705" s="3" t="s">
        <v>1084</v>
      </c>
      <c r="I705" s="3" t="s">
        <v>39</v>
      </c>
      <c r="J705" s="3">
        <v>3</v>
      </c>
      <c r="K705" s="3">
        <v>67575.649999999994</v>
      </c>
      <c r="L705" s="3">
        <f>Table1[[#This Row],[Price Per Unit]]*Table1[[#This Row],[Units Sold]]</f>
        <v>202726.94999999998</v>
      </c>
      <c r="M705" s="3" t="s">
        <v>568</v>
      </c>
      <c r="N705" s="3">
        <v>28</v>
      </c>
      <c r="O705" s="3" t="s">
        <v>24</v>
      </c>
      <c r="P705" s="3" t="s">
        <v>21</v>
      </c>
      <c r="Q705" s="4">
        <v>5</v>
      </c>
      <c r="R705" s="4" t="str">
        <f>IF(Table1[[#This Row],[Customer Ratings]]&gt;=4, "Good",IF(Table1[[#This Row],[Customer Ratings]]=3, "Average","Poor"))</f>
        <v>Good</v>
      </c>
      <c r="S705" s="3" t="s">
        <v>76</v>
      </c>
    </row>
    <row r="706" spans="1:19" x14ac:dyDescent="0.25">
      <c r="A706" s="3">
        <v>705</v>
      </c>
      <c r="B706" s="5">
        <f>DATE(Table1[[#This Row],[Year]],Table1[[#This Row],[Month]],Table1[[#This Row],[Day]])</f>
        <v>44679</v>
      </c>
      <c r="C706" s="3">
        <v>28</v>
      </c>
      <c r="D706" s="3">
        <v>4</v>
      </c>
      <c r="E706" s="3">
        <v>2022</v>
      </c>
      <c r="F706" s="3" t="str">
        <f>"Qtr"&amp; " " &amp;CHOOSE(MONTH(Table1[[#This Row],[Date]]),1,1,1,2,2,2,3,3,3,4,4,4)</f>
        <v>Qtr 2</v>
      </c>
      <c r="G706" s="3" t="str">
        <f>TEXT(Table1[[#This Row],[Date]],"mmmm")</f>
        <v>April</v>
      </c>
      <c r="H706" s="3" t="s">
        <v>1084</v>
      </c>
      <c r="I706" s="3" t="s">
        <v>33</v>
      </c>
      <c r="J706" s="3">
        <v>1</v>
      </c>
      <c r="K706" s="3">
        <v>33109.760000000002</v>
      </c>
      <c r="L706" s="3">
        <f>Table1[[#This Row],[Price Per Unit]]*Table1[[#This Row],[Units Sold]]</f>
        <v>33109.760000000002</v>
      </c>
      <c r="M706" s="3" t="s">
        <v>569</v>
      </c>
      <c r="N706" s="3">
        <v>26</v>
      </c>
      <c r="O706" s="3" t="s">
        <v>20</v>
      </c>
      <c r="P706" s="3" t="s">
        <v>31</v>
      </c>
      <c r="Q706" s="4">
        <v>5</v>
      </c>
      <c r="R706" s="4" t="str">
        <f>IF(Table1[[#This Row],[Customer Ratings]]&gt;=4, "Good",IF(Table1[[#This Row],[Customer Ratings]]=3, "Average","Poor"))</f>
        <v>Good</v>
      </c>
      <c r="S706" s="3" t="s">
        <v>36</v>
      </c>
    </row>
    <row r="707" spans="1:19" x14ac:dyDescent="0.25">
      <c r="A707" s="3">
        <v>706</v>
      </c>
      <c r="B707" s="5">
        <f>DATE(Table1[[#This Row],[Year]],Table1[[#This Row],[Month]],Table1[[#This Row],[Day]])</f>
        <v>44679</v>
      </c>
      <c r="C707" s="3">
        <v>28</v>
      </c>
      <c r="D707" s="3">
        <v>4</v>
      </c>
      <c r="E707" s="3">
        <v>2022</v>
      </c>
      <c r="F707" s="3" t="str">
        <f>"Qtr"&amp; " " &amp;CHOOSE(MONTH(Table1[[#This Row],[Date]]),1,1,1,2,2,2,3,3,3,4,4,4)</f>
        <v>Qtr 2</v>
      </c>
      <c r="G707" s="3" t="str">
        <f>TEXT(Table1[[#This Row],[Date]],"mmmm")</f>
        <v>April</v>
      </c>
      <c r="H707" s="3" t="s">
        <v>1084</v>
      </c>
      <c r="I707" s="3" t="s">
        <v>33</v>
      </c>
      <c r="J707" s="3">
        <v>3</v>
      </c>
      <c r="K707" s="3">
        <v>30494.18</v>
      </c>
      <c r="L707" s="3">
        <f>Table1[[#This Row],[Price Per Unit]]*Table1[[#This Row],[Units Sold]]</f>
        <v>91482.540000000008</v>
      </c>
      <c r="M707" s="3" t="s">
        <v>437</v>
      </c>
      <c r="N707" s="3">
        <v>55</v>
      </c>
      <c r="O707" s="3" t="s">
        <v>24</v>
      </c>
      <c r="P707" s="3" t="s">
        <v>21</v>
      </c>
      <c r="Q707" s="4">
        <v>5</v>
      </c>
      <c r="R707" s="4" t="str">
        <f>IF(Table1[[#This Row],[Customer Ratings]]&gt;=4, "Good",IF(Table1[[#This Row],[Customer Ratings]]=3, "Average","Poor"))</f>
        <v>Good</v>
      </c>
      <c r="S707" s="3" t="s">
        <v>46</v>
      </c>
    </row>
    <row r="708" spans="1:19" x14ac:dyDescent="0.25">
      <c r="A708" s="3">
        <v>707</v>
      </c>
      <c r="B708" s="5">
        <f>DATE(Table1[[#This Row],[Year]],Table1[[#This Row],[Month]],Table1[[#This Row],[Day]])</f>
        <v>44679</v>
      </c>
      <c r="C708" s="3">
        <v>28</v>
      </c>
      <c r="D708" s="3">
        <v>4</v>
      </c>
      <c r="E708" s="3">
        <v>2022</v>
      </c>
      <c r="F708" s="3" t="str">
        <f>"Qtr"&amp; " " &amp;CHOOSE(MONTH(Table1[[#This Row],[Date]]),1,1,1,2,2,2,3,3,3,4,4,4)</f>
        <v>Qtr 2</v>
      </c>
      <c r="G708" s="3" t="str">
        <f>TEXT(Table1[[#This Row],[Date]],"mmmm")</f>
        <v>April</v>
      </c>
      <c r="H708" s="3" t="s">
        <v>1084</v>
      </c>
      <c r="I708" s="3" t="s">
        <v>28</v>
      </c>
      <c r="J708" s="3">
        <v>4</v>
      </c>
      <c r="K708" s="3">
        <v>62476.35</v>
      </c>
      <c r="L708" s="3">
        <f>Table1[[#This Row],[Price Per Unit]]*Table1[[#This Row],[Units Sold]]</f>
        <v>249905.4</v>
      </c>
      <c r="M708" s="3" t="s">
        <v>570</v>
      </c>
      <c r="N708" s="3">
        <v>57</v>
      </c>
      <c r="O708" s="3" t="s">
        <v>20</v>
      </c>
      <c r="P708" s="3" t="s">
        <v>21</v>
      </c>
      <c r="Q708" s="4">
        <v>5</v>
      </c>
      <c r="R708" s="4" t="str">
        <f>IF(Table1[[#This Row],[Customer Ratings]]&gt;=4, "Good",IF(Table1[[#This Row],[Customer Ratings]]=3, "Average","Poor"))</f>
        <v>Good</v>
      </c>
      <c r="S708" s="3" t="s">
        <v>38</v>
      </c>
    </row>
    <row r="709" spans="1:19" x14ac:dyDescent="0.25">
      <c r="A709" s="3">
        <v>708</v>
      </c>
      <c r="B709" s="5">
        <f>DATE(Table1[[#This Row],[Year]],Table1[[#This Row],[Month]],Table1[[#This Row],[Day]])</f>
        <v>44680</v>
      </c>
      <c r="C709" s="3">
        <v>29</v>
      </c>
      <c r="D709" s="3">
        <v>4</v>
      </c>
      <c r="E709" s="3">
        <v>2022</v>
      </c>
      <c r="F709" s="3" t="str">
        <f>"Qtr"&amp; " " &amp;CHOOSE(MONTH(Table1[[#This Row],[Date]]),1,1,1,2,2,2,3,3,3,4,4,4)</f>
        <v>Qtr 2</v>
      </c>
      <c r="G709" s="3" t="str">
        <f>TEXT(Table1[[#This Row],[Date]],"mmmm")</f>
        <v>April</v>
      </c>
      <c r="H709" s="3" t="s">
        <v>1085</v>
      </c>
      <c r="I709" s="3" t="s">
        <v>39</v>
      </c>
      <c r="J709" s="3">
        <v>8</v>
      </c>
      <c r="K709" s="3">
        <v>43832.02</v>
      </c>
      <c r="L709" s="3">
        <f>Table1[[#This Row],[Price Per Unit]]*Table1[[#This Row],[Units Sold]]</f>
        <v>350656.16</v>
      </c>
      <c r="M709" s="3" t="s">
        <v>372</v>
      </c>
      <c r="N709" s="3">
        <v>58</v>
      </c>
      <c r="O709" s="3" t="s">
        <v>20</v>
      </c>
      <c r="P709" s="3" t="s">
        <v>45</v>
      </c>
      <c r="Q709" s="4">
        <v>5</v>
      </c>
      <c r="R709" s="4" t="str">
        <f>IF(Table1[[#This Row],[Customer Ratings]]&gt;=4, "Good",IF(Table1[[#This Row],[Customer Ratings]]=3, "Average","Poor"))</f>
        <v>Good</v>
      </c>
      <c r="S709" s="3" t="s">
        <v>42</v>
      </c>
    </row>
    <row r="710" spans="1:19" x14ac:dyDescent="0.25">
      <c r="A710" s="3">
        <v>709</v>
      </c>
      <c r="B710" s="5">
        <f>DATE(Table1[[#This Row],[Year]],Table1[[#This Row],[Month]],Table1[[#This Row],[Day]])</f>
        <v>44680</v>
      </c>
      <c r="C710" s="3">
        <v>29</v>
      </c>
      <c r="D710" s="3">
        <v>4</v>
      </c>
      <c r="E710" s="3">
        <v>2022</v>
      </c>
      <c r="F710" s="3" t="str">
        <f>"Qtr"&amp; " " &amp;CHOOSE(MONTH(Table1[[#This Row],[Date]]),1,1,1,2,2,2,3,3,3,4,4,4)</f>
        <v>Qtr 2</v>
      </c>
      <c r="G710" s="3" t="str">
        <f>TEXT(Table1[[#This Row],[Date]],"mmmm")</f>
        <v>April</v>
      </c>
      <c r="H710" s="3" t="s">
        <v>1085</v>
      </c>
      <c r="I710" s="3" t="s">
        <v>13</v>
      </c>
      <c r="J710" s="3">
        <v>9</v>
      </c>
      <c r="K710" s="3">
        <v>40986.660000000003</v>
      </c>
      <c r="L710" s="3">
        <f>Table1[[#This Row],[Price Per Unit]]*Table1[[#This Row],[Units Sold]]</f>
        <v>368879.94000000006</v>
      </c>
      <c r="M710" s="3" t="s">
        <v>488</v>
      </c>
      <c r="N710" s="3">
        <v>26</v>
      </c>
      <c r="O710" s="3" t="s">
        <v>35</v>
      </c>
      <c r="P710" s="3" t="s">
        <v>21</v>
      </c>
      <c r="Q710" s="4">
        <v>5</v>
      </c>
      <c r="R710" s="4" t="str">
        <f>IF(Table1[[#This Row],[Customer Ratings]]&gt;=4, "Good",IF(Table1[[#This Row],[Customer Ratings]]=3, "Average","Poor"))</f>
        <v>Good</v>
      </c>
      <c r="S710" s="3" t="s">
        <v>72</v>
      </c>
    </row>
    <row r="711" spans="1:19" x14ac:dyDescent="0.25">
      <c r="A711" s="3">
        <v>710</v>
      </c>
      <c r="B711" s="5">
        <f>DATE(Table1[[#This Row],[Year]],Table1[[#This Row],[Month]],Table1[[#This Row],[Day]])</f>
        <v>44680</v>
      </c>
      <c r="C711" s="3">
        <v>29</v>
      </c>
      <c r="D711" s="3">
        <v>4</v>
      </c>
      <c r="E711" s="3">
        <v>2022</v>
      </c>
      <c r="F711" s="3" t="str">
        <f>"Qtr"&amp; " " &amp;CHOOSE(MONTH(Table1[[#This Row],[Date]]),1,1,1,2,2,2,3,3,3,4,4,4)</f>
        <v>Qtr 2</v>
      </c>
      <c r="G711" s="3" t="str">
        <f>TEXT(Table1[[#This Row],[Date]],"mmmm")</f>
        <v>April</v>
      </c>
      <c r="H711" s="3" t="s">
        <v>1085</v>
      </c>
      <c r="I711" s="3" t="s">
        <v>18</v>
      </c>
      <c r="J711" s="3">
        <v>3</v>
      </c>
      <c r="K711" s="3">
        <v>53618.68</v>
      </c>
      <c r="L711" s="3">
        <f>Table1[[#This Row],[Price Per Unit]]*Table1[[#This Row],[Units Sold]]</f>
        <v>160856.04</v>
      </c>
      <c r="M711" s="3" t="s">
        <v>571</v>
      </c>
      <c r="N711" s="3">
        <v>25</v>
      </c>
      <c r="O711" s="3" t="s">
        <v>120</v>
      </c>
      <c r="P711" s="3" t="s">
        <v>45</v>
      </c>
      <c r="Q711" s="4">
        <v>5</v>
      </c>
      <c r="R711" s="4" t="str">
        <f>IF(Table1[[#This Row],[Customer Ratings]]&gt;=4, "Good",IF(Table1[[#This Row],[Customer Ratings]]=3, "Average","Poor"))</f>
        <v>Good</v>
      </c>
      <c r="S711" s="3" t="s">
        <v>25</v>
      </c>
    </row>
    <row r="712" spans="1:19" x14ac:dyDescent="0.25">
      <c r="A712" s="3">
        <v>711</v>
      </c>
      <c r="B712" s="5">
        <f>DATE(Table1[[#This Row],[Year]],Table1[[#This Row],[Month]],Table1[[#This Row],[Day]])</f>
        <v>44681</v>
      </c>
      <c r="C712" s="3">
        <v>30</v>
      </c>
      <c r="D712" s="3">
        <v>4</v>
      </c>
      <c r="E712" s="3">
        <v>2022</v>
      </c>
      <c r="F712" s="3" t="str">
        <f>"Qtr"&amp; " " &amp;CHOOSE(MONTH(Table1[[#This Row],[Date]]),1,1,1,2,2,2,3,3,3,4,4,4)</f>
        <v>Qtr 2</v>
      </c>
      <c r="G712" s="3" t="str">
        <f>TEXT(Table1[[#This Row],[Date]],"mmmm")</f>
        <v>April</v>
      </c>
      <c r="H712" s="3" t="s">
        <v>1079</v>
      </c>
      <c r="I712" s="3" t="s">
        <v>33</v>
      </c>
      <c r="J712" s="3">
        <v>6</v>
      </c>
      <c r="K712" s="3">
        <v>44790.05</v>
      </c>
      <c r="L712" s="3">
        <f>Table1[[#This Row],[Price Per Unit]]*Table1[[#This Row],[Units Sold]]</f>
        <v>268740.30000000005</v>
      </c>
      <c r="M712" s="3" t="s">
        <v>572</v>
      </c>
      <c r="N712" s="3">
        <v>57</v>
      </c>
      <c r="O712" s="3" t="s">
        <v>24</v>
      </c>
      <c r="P712" s="3" t="s">
        <v>16</v>
      </c>
      <c r="Q712" s="4">
        <v>3</v>
      </c>
      <c r="R712" s="4" t="str">
        <f>IF(Table1[[#This Row],[Customer Ratings]]&gt;=4, "Good",IF(Table1[[#This Row],[Customer Ratings]]=3, "Average","Poor"))</f>
        <v>Average</v>
      </c>
      <c r="S712" s="3" t="s">
        <v>46</v>
      </c>
    </row>
    <row r="713" spans="1:19" x14ac:dyDescent="0.25">
      <c r="A713" s="3">
        <v>712</v>
      </c>
      <c r="B713" s="5">
        <f>DATE(Table1[[#This Row],[Year]],Table1[[#This Row],[Month]],Table1[[#This Row],[Day]])</f>
        <v>44681</v>
      </c>
      <c r="C713" s="3">
        <v>30</v>
      </c>
      <c r="D713" s="3">
        <v>4</v>
      </c>
      <c r="E713" s="3">
        <v>2022</v>
      </c>
      <c r="F713" s="3" t="str">
        <f>"Qtr"&amp; " " &amp;CHOOSE(MONTH(Table1[[#This Row],[Date]]),1,1,1,2,2,2,3,3,3,4,4,4)</f>
        <v>Qtr 2</v>
      </c>
      <c r="G713" s="3" t="str">
        <f>TEXT(Table1[[#This Row],[Date]],"mmmm")</f>
        <v>April</v>
      </c>
      <c r="H713" s="3" t="s">
        <v>1079</v>
      </c>
      <c r="I713" s="3" t="s">
        <v>18</v>
      </c>
      <c r="J713" s="3">
        <v>5</v>
      </c>
      <c r="K713" s="3">
        <v>19750.939999999999</v>
      </c>
      <c r="L713" s="3">
        <f>Table1[[#This Row],[Price Per Unit]]*Table1[[#This Row],[Units Sold]]</f>
        <v>98754.7</v>
      </c>
      <c r="M713" s="3" t="s">
        <v>573</v>
      </c>
      <c r="N713" s="3">
        <v>20</v>
      </c>
      <c r="O713" s="3" t="s">
        <v>65</v>
      </c>
      <c r="P713" s="3" t="s">
        <v>16</v>
      </c>
      <c r="Q713" s="4">
        <v>5</v>
      </c>
      <c r="R713" s="4" t="str">
        <f>IF(Table1[[#This Row],[Customer Ratings]]&gt;=4, "Good",IF(Table1[[#This Row],[Customer Ratings]]=3, "Average","Poor"))</f>
        <v>Good</v>
      </c>
      <c r="S713" s="3" t="s">
        <v>22</v>
      </c>
    </row>
    <row r="714" spans="1:19" x14ac:dyDescent="0.25">
      <c r="A714" s="3">
        <v>713</v>
      </c>
      <c r="B714" s="5">
        <f>DATE(Table1[[#This Row],[Year]],Table1[[#This Row],[Month]],Table1[[#This Row],[Day]])</f>
        <v>44681</v>
      </c>
      <c r="C714" s="3">
        <v>30</v>
      </c>
      <c r="D714" s="3">
        <v>4</v>
      </c>
      <c r="E714" s="3">
        <v>2022</v>
      </c>
      <c r="F714" s="3" t="str">
        <f>"Qtr"&amp; " " &amp;CHOOSE(MONTH(Table1[[#This Row],[Date]]),1,1,1,2,2,2,3,3,3,4,4,4)</f>
        <v>Qtr 2</v>
      </c>
      <c r="G714" s="3" t="str">
        <f>TEXT(Table1[[#This Row],[Date]],"mmmm")</f>
        <v>April</v>
      </c>
      <c r="H714" s="3" t="s">
        <v>1079</v>
      </c>
      <c r="I714" s="3" t="s">
        <v>18</v>
      </c>
      <c r="J714" s="3">
        <v>6</v>
      </c>
      <c r="K714" s="3">
        <v>50451.86</v>
      </c>
      <c r="L714" s="3">
        <f>Table1[[#This Row],[Price Per Unit]]*Table1[[#This Row],[Units Sold]]</f>
        <v>302711.16000000003</v>
      </c>
      <c r="M714" s="3" t="s">
        <v>530</v>
      </c>
      <c r="N714" s="3">
        <v>30</v>
      </c>
      <c r="O714" s="3" t="s">
        <v>54</v>
      </c>
      <c r="P714" s="3" t="s">
        <v>31</v>
      </c>
      <c r="Q714" s="4">
        <v>5</v>
      </c>
      <c r="R714" s="4" t="str">
        <f>IF(Table1[[#This Row],[Customer Ratings]]&gt;=4, "Good",IF(Table1[[#This Row],[Customer Ratings]]=3, "Average","Poor"))</f>
        <v>Good</v>
      </c>
      <c r="S714" s="3" t="s">
        <v>22</v>
      </c>
    </row>
    <row r="715" spans="1:19" x14ac:dyDescent="0.25">
      <c r="A715" s="3">
        <v>714</v>
      </c>
      <c r="B715" s="5">
        <f>DATE(Table1[[#This Row],[Year]],Table1[[#This Row],[Month]],Table1[[#This Row],[Day]])</f>
        <v>44682</v>
      </c>
      <c r="C715" s="3">
        <v>1</v>
      </c>
      <c r="D715" s="3">
        <v>5</v>
      </c>
      <c r="E715" s="3">
        <v>2022</v>
      </c>
      <c r="F715" s="3" t="str">
        <f>"Qtr"&amp; " " &amp;CHOOSE(MONTH(Table1[[#This Row],[Date]]),1,1,1,2,2,2,3,3,3,4,4,4)</f>
        <v>Qtr 2</v>
      </c>
      <c r="G715" s="3" t="str">
        <f>TEXT(Table1[[#This Row],[Date]],"mmmm")</f>
        <v>May</v>
      </c>
      <c r="H715" s="3" t="s">
        <v>1080</v>
      </c>
      <c r="I715" s="3" t="s">
        <v>28</v>
      </c>
      <c r="J715" s="3">
        <v>4</v>
      </c>
      <c r="K715" s="3">
        <v>18008.13</v>
      </c>
      <c r="L715" s="3">
        <f>Table1[[#This Row],[Price Per Unit]]*Table1[[#This Row],[Units Sold]]</f>
        <v>72032.52</v>
      </c>
      <c r="M715" s="3" t="s">
        <v>574</v>
      </c>
      <c r="N715" s="3">
        <v>36</v>
      </c>
      <c r="O715" s="3" t="s">
        <v>35</v>
      </c>
      <c r="P715" s="3" t="s">
        <v>45</v>
      </c>
      <c r="Q715" s="4">
        <v>5</v>
      </c>
      <c r="R715" s="4" t="str">
        <f>IF(Table1[[#This Row],[Customer Ratings]]&gt;=4, "Good",IF(Table1[[#This Row],[Customer Ratings]]=3, "Average","Poor"))</f>
        <v>Good</v>
      </c>
      <c r="S715" s="3" t="s">
        <v>32</v>
      </c>
    </row>
    <row r="716" spans="1:19" x14ac:dyDescent="0.25">
      <c r="A716" s="3">
        <v>715</v>
      </c>
      <c r="B716" s="5">
        <f>DATE(Table1[[#This Row],[Year]],Table1[[#This Row],[Month]],Table1[[#This Row],[Day]])</f>
        <v>44682</v>
      </c>
      <c r="C716" s="3">
        <v>1</v>
      </c>
      <c r="D716" s="3">
        <v>5</v>
      </c>
      <c r="E716" s="3">
        <v>2022</v>
      </c>
      <c r="F716" s="3" t="str">
        <f>"Qtr"&amp; " " &amp;CHOOSE(MONTH(Table1[[#This Row],[Date]]),1,1,1,2,2,2,3,3,3,4,4,4)</f>
        <v>Qtr 2</v>
      </c>
      <c r="G716" s="3" t="str">
        <f>TEXT(Table1[[#This Row],[Date]],"mmmm")</f>
        <v>May</v>
      </c>
      <c r="H716" s="3" t="s">
        <v>1080</v>
      </c>
      <c r="I716" s="3" t="s">
        <v>39</v>
      </c>
      <c r="J716" s="3">
        <v>6</v>
      </c>
      <c r="K716" s="3">
        <v>58351.46</v>
      </c>
      <c r="L716" s="3">
        <f>Table1[[#This Row],[Price Per Unit]]*Table1[[#This Row],[Units Sold]]</f>
        <v>350108.76</v>
      </c>
      <c r="M716" s="3" t="s">
        <v>115</v>
      </c>
      <c r="N716" s="3">
        <v>51</v>
      </c>
      <c r="O716" s="3" t="s">
        <v>98</v>
      </c>
      <c r="P716" s="3" t="s">
        <v>45</v>
      </c>
      <c r="Q716" s="4">
        <v>4</v>
      </c>
      <c r="R716" s="4" t="str">
        <f>IF(Table1[[#This Row],[Customer Ratings]]&gt;=4, "Good",IF(Table1[[#This Row],[Customer Ratings]]=3, "Average","Poor"))</f>
        <v>Good</v>
      </c>
      <c r="S716" s="3" t="s">
        <v>76</v>
      </c>
    </row>
    <row r="717" spans="1:19" x14ac:dyDescent="0.25">
      <c r="A717" s="3">
        <v>716</v>
      </c>
      <c r="B717" s="5">
        <f>DATE(Table1[[#This Row],[Year]],Table1[[#This Row],[Month]],Table1[[#This Row],[Day]])</f>
        <v>44682</v>
      </c>
      <c r="C717" s="3">
        <v>1</v>
      </c>
      <c r="D717" s="3">
        <v>5</v>
      </c>
      <c r="E717" s="3">
        <v>2022</v>
      </c>
      <c r="F717" s="3" t="str">
        <f>"Qtr"&amp; " " &amp;CHOOSE(MONTH(Table1[[#This Row],[Date]]),1,1,1,2,2,2,3,3,3,4,4,4)</f>
        <v>Qtr 2</v>
      </c>
      <c r="G717" s="3" t="str">
        <f>TEXT(Table1[[#This Row],[Date]],"mmmm")</f>
        <v>May</v>
      </c>
      <c r="H717" s="3" t="s">
        <v>1080</v>
      </c>
      <c r="I717" s="3" t="s">
        <v>33</v>
      </c>
      <c r="J717" s="3">
        <v>7</v>
      </c>
      <c r="K717" s="3">
        <v>69384.2</v>
      </c>
      <c r="L717" s="3">
        <f>Table1[[#This Row],[Price Per Unit]]*Table1[[#This Row],[Units Sold]]</f>
        <v>485689.39999999997</v>
      </c>
      <c r="M717" s="3" t="s">
        <v>490</v>
      </c>
      <c r="N717" s="3">
        <v>49</v>
      </c>
      <c r="O717" s="3" t="s">
        <v>24</v>
      </c>
      <c r="P717" s="3" t="s">
        <v>45</v>
      </c>
      <c r="Q717" s="4">
        <v>5</v>
      </c>
      <c r="R717" s="4" t="str">
        <f>IF(Table1[[#This Row],[Customer Ratings]]&gt;=4, "Good",IF(Table1[[#This Row],[Customer Ratings]]=3, "Average","Poor"))</f>
        <v>Good</v>
      </c>
      <c r="S717" s="3" t="s">
        <v>36</v>
      </c>
    </row>
    <row r="718" spans="1:19" x14ac:dyDescent="0.25">
      <c r="A718" s="3">
        <v>717</v>
      </c>
      <c r="B718" s="5">
        <f>DATE(Table1[[#This Row],[Year]],Table1[[#This Row],[Month]],Table1[[#This Row],[Day]])</f>
        <v>44682</v>
      </c>
      <c r="C718" s="3">
        <v>1</v>
      </c>
      <c r="D718" s="3">
        <v>5</v>
      </c>
      <c r="E718" s="3">
        <v>2022</v>
      </c>
      <c r="F718" s="3" t="str">
        <f>"Qtr"&amp; " " &amp;CHOOSE(MONTH(Table1[[#This Row],[Date]]),1,1,1,2,2,2,3,3,3,4,4,4)</f>
        <v>Qtr 2</v>
      </c>
      <c r="G718" s="3" t="str">
        <f>TEXT(Table1[[#This Row],[Date]],"mmmm")</f>
        <v>May</v>
      </c>
      <c r="H718" s="3" t="s">
        <v>1080</v>
      </c>
      <c r="I718" s="3" t="s">
        <v>18</v>
      </c>
      <c r="J718" s="3">
        <v>9</v>
      </c>
      <c r="K718" s="3">
        <v>32643.26</v>
      </c>
      <c r="L718" s="3">
        <f>Table1[[#This Row],[Price Per Unit]]*Table1[[#This Row],[Units Sold]]</f>
        <v>293789.33999999997</v>
      </c>
      <c r="M718" s="3" t="s">
        <v>575</v>
      </c>
      <c r="N718" s="3">
        <v>33</v>
      </c>
      <c r="O718" s="3" t="s">
        <v>20</v>
      </c>
      <c r="P718" s="3" t="s">
        <v>31</v>
      </c>
      <c r="Q718" s="4">
        <v>5</v>
      </c>
      <c r="R718" s="4" t="str">
        <f>IF(Table1[[#This Row],[Customer Ratings]]&gt;=4, "Good",IF(Table1[[#This Row],[Customer Ratings]]=3, "Average","Poor"))</f>
        <v>Good</v>
      </c>
      <c r="S718" s="3" t="s">
        <v>55</v>
      </c>
    </row>
    <row r="719" spans="1:19" x14ac:dyDescent="0.25">
      <c r="A719" s="3">
        <v>718</v>
      </c>
      <c r="B719" s="5">
        <f>DATE(Table1[[#This Row],[Year]],Table1[[#This Row],[Month]],Table1[[#This Row],[Day]])</f>
        <v>44683</v>
      </c>
      <c r="C719" s="3">
        <v>2</v>
      </c>
      <c r="D719" s="3">
        <v>5</v>
      </c>
      <c r="E719" s="3">
        <v>2022</v>
      </c>
      <c r="F719" s="3" t="str">
        <f>"Qtr"&amp; " " &amp;CHOOSE(MONTH(Table1[[#This Row],[Date]]),1,1,1,2,2,2,3,3,3,4,4,4)</f>
        <v>Qtr 2</v>
      </c>
      <c r="G719" s="3" t="str">
        <f>TEXT(Table1[[#This Row],[Date]],"mmmm")</f>
        <v>May</v>
      </c>
      <c r="H719" s="3" t="s">
        <v>1081</v>
      </c>
      <c r="I719" s="3" t="s">
        <v>33</v>
      </c>
      <c r="J719" s="3">
        <v>7</v>
      </c>
      <c r="K719" s="3">
        <v>36685.35</v>
      </c>
      <c r="L719" s="3">
        <f>Table1[[#This Row],[Price Per Unit]]*Table1[[#This Row],[Units Sold]]</f>
        <v>256797.44999999998</v>
      </c>
      <c r="M719" s="3" t="s">
        <v>404</v>
      </c>
      <c r="N719" s="3">
        <v>53</v>
      </c>
      <c r="O719" s="3" t="s">
        <v>20</v>
      </c>
      <c r="P719" s="3" t="s">
        <v>31</v>
      </c>
      <c r="Q719" s="4">
        <v>4</v>
      </c>
      <c r="R719" s="4" t="str">
        <f>IF(Table1[[#This Row],[Customer Ratings]]&gt;=4, "Good",IF(Table1[[#This Row],[Customer Ratings]]=3, "Average","Poor"))</f>
        <v>Good</v>
      </c>
      <c r="S719" s="3" t="s">
        <v>46</v>
      </c>
    </row>
    <row r="720" spans="1:19" x14ac:dyDescent="0.25">
      <c r="A720" s="3">
        <v>719</v>
      </c>
      <c r="B720" s="5">
        <f>DATE(Table1[[#This Row],[Year]],Table1[[#This Row],[Month]],Table1[[#This Row],[Day]])</f>
        <v>44683</v>
      </c>
      <c r="C720" s="3">
        <v>2</v>
      </c>
      <c r="D720" s="3">
        <v>5</v>
      </c>
      <c r="E720" s="3">
        <v>2022</v>
      </c>
      <c r="F720" s="3" t="str">
        <f>"Qtr"&amp; " " &amp;CHOOSE(MONTH(Table1[[#This Row],[Date]]),1,1,1,2,2,2,3,3,3,4,4,4)</f>
        <v>Qtr 2</v>
      </c>
      <c r="G720" s="3" t="str">
        <f>TEXT(Table1[[#This Row],[Date]],"mmmm")</f>
        <v>May</v>
      </c>
      <c r="H720" s="3" t="s">
        <v>1081</v>
      </c>
      <c r="I720" s="3" t="s">
        <v>13</v>
      </c>
      <c r="J720" s="3">
        <v>6</v>
      </c>
      <c r="K720" s="3">
        <v>12786.02</v>
      </c>
      <c r="L720" s="3">
        <f>Table1[[#This Row],[Price Per Unit]]*Table1[[#This Row],[Units Sold]]</f>
        <v>76716.12</v>
      </c>
      <c r="M720" s="3" t="s">
        <v>62</v>
      </c>
      <c r="N720" s="3">
        <v>35</v>
      </c>
      <c r="O720" s="3" t="s">
        <v>65</v>
      </c>
      <c r="P720" s="3" t="s">
        <v>21</v>
      </c>
      <c r="Q720" s="4">
        <v>5</v>
      </c>
      <c r="R720" s="4" t="str">
        <f>IF(Table1[[#This Row],[Customer Ratings]]&gt;=4, "Good",IF(Table1[[#This Row],[Customer Ratings]]=3, "Average","Poor"))</f>
        <v>Good</v>
      </c>
      <c r="S720" s="3" t="s">
        <v>17</v>
      </c>
    </row>
    <row r="721" spans="1:19" x14ac:dyDescent="0.25">
      <c r="A721" s="3">
        <v>720</v>
      </c>
      <c r="B721" s="5">
        <f>DATE(Table1[[#This Row],[Year]],Table1[[#This Row],[Month]],Table1[[#This Row],[Day]])</f>
        <v>44683</v>
      </c>
      <c r="C721" s="3">
        <v>2</v>
      </c>
      <c r="D721" s="3">
        <v>5</v>
      </c>
      <c r="E721" s="3">
        <v>2022</v>
      </c>
      <c r="F721" s="3" t="str">
        <f>"Qtr"&amp; " " &amp;CHOOSE(MONTH(Table1[[#This Row],[Date]]),1,1,1,2,2,2,3,3,3,4,4,4)</f>
        <v>Qtr 2</v>
      </c>
      <c r="G721" s="3" t="str">
        <f>TEXT(Table1[[#This Row],[Date]],"mmmm")</f>
        <v>May</v>
      </c>
      <c r="H721" s="3" t="s">
        <v>1081</v>
      </c>
      <c r="I721" s="3" t="s">
        <v>28</v>
      </c>
      <c r="J721" s="3">
        <v>1</v>
      </c>
      <c r="K721" s="3">
        <v>10823.99</v>
      </c>
      <c r="L721" s="3">
        <f>Table1[[#This Row],[Price Per Unit]]*Table1[[#This Row],[Units Sold]]</f>
        <v>10823.99</v>
      </c>
      <c r="M721" s="3" t="s">
        <v>576</v>
      </c>
      <c r="N721" s="3">
        <v>31</v>
      </c>
      <c r="O721" s="3" t="s">
        <v>98</v>
      </c>
      <c r="P721" s="3" t="s">
        <v>45</v>
      </c>
      <c r="Q721" s="4">
        <v>5</v>
      </c>
      <c r="R721" s="4" t="str">
        <f>IF(Table1[[#This Row],[Customer Ratings]]&gt;=4, "Good",IF(Table1[[#This Row],[Customer Ratings]]=3, "Average","Poor"))</f>
        <v>Good</v>
      </c>
      <c r="S721" s="3" t="s">
        <v>32</v>
      </c>
    </row>
    <row r="722" spans="1:19" x14ac:dyDescent="0.25">
      <c r="A722" s="3">
        <v>721</v>
      </c>
      <c r="B722" s="5">
        <f>DATE(Table1[[#This Row],[Year]],Table1[[#This Row],[Month]],Table1[[#This Row],[Day]])</f>
        <v>44684</v>
      </c>
      <c r="C722" s="3">
        <v>3</v>
      </c>
      <c r="D722" s="3">
        <v>5</v>
      </c>
      <c r="E722" s="3">
        <v>2022</v>
      </c>
      <c r="F722" s="3" t="str">
        <f>"Qtr"&amp; " " &amp;CHOOSE(MONTH(Table1[[#This Row],[Date]]),1,1,1,2,2,2,3,3,3,4,4,4)</f>
        <v>Qtr 2</v>
      </c>
      <c r="G722" s="3" t="str">
        <f>TEXT(Table1[[#This Row],[Date]],"mmmm")</f>
        <v>May</v>
      </c>
      <c r="H722" s="3" t="s">
        <v>1082</v>
      </c>
      <c r="I722" s="3" t="s">
        <v>13</v>
      </c>
      <c r="J722" s="3">
        <v>2</v>
      </c>
      <c r="K722" s="3">
        <v>65285.16</v>
      </c>
      <c r="L722" s="3">
        <f>Table1[[#This Row],[Price Per Unit]]*Table1[[#This Row],[Units Sold]]</f>
        <v>130570.32</v>
      </c>
      <c r="M722" s="3" t="s">
        <v>577</v>
      </c>
      <c r="N722" s="3">
        <v>47</v>
      </c>
      <c r="O722" s="3" t="s">
        <v>65</v>
      </c>
      <c r="P722" s="3" t="s">
        <v>31</v>
      </c>
      <c r="Q722" s="4">
        <v>5</v>
      </c>
      <c r="R722" s="4" t="str">
        <f>IF(Table1[[#This Row],[Customer Ratings]]&gt;=4, "Good",IF(Table1[[#This Row],[Customer Ratings]]=3, "Average","Poor"))</f>
        <v>Good</v>
      </c>
      <c r="S722" s="3" t="s">
        <v>72</v>
      </c>
    </row>
    <row r="723" spans="1:19" x14ac:dyDescent="0.25">
      <c r="A723" s="3">
        <v>722</v>
      </c>
      <c r="B723" s="5">
        <f>DATE(Table1[[#This Row],[Year]],Table1[[#This Row],[Month]],Table1[[#This Row],[Day]])</f>
        <v>44684</v>
      </c>
      <c r="C723" s="3">
        <v>3</v>
      </c>
      <c r="D723" s="3">
        <v>5</v>
      </c>
      <c r="E723" s="3">
        <v>2022</v>
      </c>
      <c r="F723" s="3" t="str">
        <f>"Qtr"&amp; " " &amp;CHOOSE(MONTH(Table1[[#This Row],[Date]]),1,1,1,2,2,2,3,3,3,4,4,4)</f>
        <v>Qtr 2</v>
      </c>
      <c r="G723" s="3" t="str">
        <f>TEXT(Table1[[#This Row],[Date]],"mmmm")</f>
        <v>May</v>
      </c>
      <c r="H723" s="3" t="s">
        <v>1082</v>
      </c>
      <c r="I723" s="3" t="s">
        <v>33</v>
      </c>
      <c r="J723" s="3">
        <v>1</v>
      </c>
      <c r="K723" s="3">
        <v>17717.439999999999</v>
      </c>
      <c r="L723" s="3">
        <f>Table1[[#This Row],[Price Per Unit]]*Table1[[#This Row],[Units Sold]]</f>
        <v>17717.439999999999</v>
      </c>
      <c r="M723" s="3" t="s">
        <v>237</v>
      </c>
      <c r="N723" s="3">
        <v>19</v>
      </c>
      <c r="O723" s="3" t="s">
        <v>20</v>
      </c>
      <c r="P723" s="3" t="s">
        <v>16</v>
      </c>
      <c r="Q723" s="4">
        <v>4</v>
      </c>
      <c r="R723" s="4" t="str">
        <f>IF(Table1[[#This Row],[Customer Ratings]]&gt;=4, "Good",IF(Table1[[#This Row],[Customer Ratings]]=3, "Average","Poor"))</f>
        <v>Good</v>
      </c>
      <c r="S723" s="3" t="s">
        <v>36</v>
      </c>
    </row>
    <row r="724" spans="1:19" x14ac:dyDescent="0.25">
      <c r="A724" s="3">
        <v>723</v>
      </c>
      <c r="B724" s="5">
        <f>DATE(Table1[[#This Row],[Year]],Table1[[#This Row],[Month]],Table1[[#This Row],[Day]])</f>
        <v>44684</v>
      </c>
      <c r="C724" s="3">
        <v>3</v>
      </c>
      <c r="D724" s="3">
        <v>5</v>
      </c>
      <c r="E724" s="3">
        <v>2022</v>
      </c>
      <c r="F724" s="3" t="str">
        <f>"Qtr"&amp; " " &amp;CHOOSE(MONTH(Table1[[#This Row],[Date]]),1,1,1,2,2,2,3,3,3,4,4,4)</f>
        <v>Qtr 2</v>
      </c>
      <c r="G724" s="3" t="str">
        <f>TEXT(Table1[[#This Row],[Date]],"mmmm")</f>
        <v>May</v>
      </c>
      <c r="H724" s="3" t="s">
        <v>1082</v>
      </c>
      <c r="I724" s="3" t="s">
        <v>33</v>
      </c>
      <c r="J724" s="3">
        <v>9</v>
      </c>
      <c r="K724" s="3">
        <v>36746.720000000001</v>
      </c>
      <c r="L724" s="3">
        <f>Table1[[#This Row],[Price Per Unit]]*Table1[[#This Row],[Units Sold]]</f>
        <v>330720.48</v>
      </c>
      <c r="M724" s="3" t="s">
        <v>164</v>
      </c>
      <c r="N724" s="3">
        <v>30</v>
      </c>
      <c r="O724" s="3" t="s">
        <v>120</v>
      </c>
      <c r="P724" s="3" t="s">
        <v>16</v>
      </c>
      <c r="Q724" s="4">
        <v>5</v>
      </c>
      <c r="R724" s="4" t="str">
        <f>IF(Table1[[#This Row],[Customer Ratings]]&gt;=4, "Good",IF(Table1[[#This Row],[Customer Ratings]]=3, "Average","Poor"))</f>
        <v>Good</v>
      </c>
      <c r="S724" s="3" t="s">
        <v>46</v>
      </c>
    </row>
    <row r="725" spans="1:19" x14ac:dyDescent="0.25">
      <c r="A725" s="3">
        <v>724</v>
      </c>
      <c r="B725" s="5">
        <f>DATE(Table1[[#This Row],[Year]],Table1[[#This Row],[Month]],Table1[[#This Row],[Day]])</f>
        <v>44684</v>
      </c>
      <c r="C725" s="3">
        <v>3</v>
      </c>
      <c r="D725" s="3">
        <v>5</v>
      </c>
      <c r="E725" s="3">
        <v>2022</v>
      </c>
      <c r="F725" s="3" t="str">
        <f>"Qtr"&amp; " " &amp;CHOOSE(MONTH(Table1[[#This Row],[Date]]),1,1,1,2,2,2,3,3,3,4,4,4)</f>
        <v>Qtr 2</v>
      </c>
      <c r="G725" s="3" t="str">
        <f>TEXT(Table1[[#This Row],[Date]],"mmmm")</f>
        <v>May</v>
      </c>
      <c r="H725" s="3" t="s">
        <v>1082</v>
      </c>
      <c r="I725" s="3" t="s">
        <v>39</v>
      </c>
      <c r="J725" s="3">
        <v>9</v>
      </c>
      <c r="K725" s="3">
        <v>58921.279999999999</v>
      </c>
      <c r="L725" s="3">
        <f>Table1[[#This Row],[Price Per Unit]]*Table1[[#This Row],[Units Sold]]</f>
        <v>530291.52</v>
      </c>
      <c r="M725" s="3" t="s">
        <v>282</v>
      </c>
      <c r="N725" s="3">
        <v>44</v>
      </c>
      <c r="O725" s="3" t="s">
        <v>48</v>
      </c>
      <c r="P725" s="3" t="s">
        <v>45</v>
      </c>
      <c r="Q725" s="4">
        <v>5</v>
      </c>
      <c r="R725" s="4" t="str">
        <f>IF(Table1[[#This Row],[Customer Ratings]]&gt;=4, "Good",IF(Table1[[#This Row],[Customer Ratings]]=3, "Average","Poor"))</f>
        <v>Good</v>
      </c>
      <c r="S725" s="3" t="s">
        <v>76</v>
      </c>
    </row>
    <row r="726" spans="1:19" x14ac:dyDescent="0.25">
      <c r="A726" s="3">
        <v>725</v>
      </c>
      <c r="B726" s="5">
        <f>DATE(Table1[[#This Row],[Year]],Table1[[#This Row],[Month]],Table1[[#This Row],[Day]])</f>
        <v>44685</v>
      </c>
      <c r="C726" s="3">
        <v>4</v>
      </c>
      <c r="D726" s="3">
        <v>5</v>
      </c>
      <c r="E726" s="3">
        <v>2022</v>
      </c>
      <c r="F726" s="3" t="str">
        <f>"Qtr"&amp; " " &amp;CHOOSE(MONTH(Table1[[#This Row],[Date]]),1,1,1,2,2,2,3,3,3,4,4,4)</f>
        <v>Qtr 2</v>
      </c>
      <c r="G726" s="3" t="str">
        <f>TEXT(Table1[[#This Row],[Date]],"mmmm")</f>
        <v>May</v>
      </c>
      <c r="H726" s="3" t="s">
        <v>1083</v>
      </c>
      <c r="I726" s="3" t="s">
        <v>18</v>
      </c>
      <c r="J726" s="3">
        <v>7</v>
      </c>
      <c r="K726" s="3">
        <v>63359.13</v>
      </c>
      <c r="L726" s="3">
        <f>Table1[[#This Row],[Price Per Unit]]*Table1[[#This Row],[Units Sold]]</f>
        <v>443513.91</v>
      </c>
      <c r="M726" s="3" t="s">
        <v>284</v>
      </c>
      <c r="N726" s="3">
        <v>34</v>
      </c>
      <c r="O726" s="3" t="s">
        <v>30</v>
      </c>
      <c r="P726" s="3" t="s">
        <v>16</v>
      </c>
      <c r="Q726" s="4">
        <v>5</v>
      </c>
      <c r="R726" s="4" t="str">
        <f>IF(Table1[[#This Row],[Customer Ratings]]&gt;=4, "Good",IF(Table1[[#This Row],[Customer Ratings]]=3, "Average","Poor"))</f>
        <v>Good</v>
      </c>
      <c r="S726" s="3" t="s">
        <v>25</v>
      </c>
    </row>
    <row r="727" spans="1:19" x14ac:dyDescent="0.25">
      <c r="A727" s="3">
        <v>726</v>
      </c>
      <c r="B727" s="5">
        <f>DATE(Table1[[#This Row],[Year]],Table1[[#This Row],[Month]],Table1[[#This Row],[Day]])</f>
        <v>44685</v>
      </c>
      <c r="C727" s="3">
        <v>4</v>
      </c>
      <c r="D727" s="3">
        <v>5</v>
      </c>
      <c r="E727" s="3">
        <v>2022</v>
      </c>
      <c r="F727" s="3" t="str">
        <f>"Qtr"&amp; " " &amp;CHOOSE(MONTH(Table1[[#This Row],[Date]]),1,1,1,2,2,2,3,3,3,4,4,4)</f>
        <v>Qtr 2</v>
      </c>
      <c r="G727" s="3" t="str">
        <f>TEXT(Table1[[#This Row],[Date]],"mmmm")</f>
        <v>May</v>
      </c>
      <c r="H727" s="3" t="s">
        <v>1083</v>
      </c>
      <c r="I727" s="3" t="s">
        <v>18</v>
      </c>
      <c r="J727" s="3">
        <v>2</v>
      </c>
      <c r="K727" s="3">
        <v>41163.86</v>
      </c>
      <c r="L727" s="3">
        <f>Table1[[#This Row],[Price Per Unit]]*Table1[[#This Row],[Units Sold]]</f>
        <v>82327.72</v>
      </c>
      <c r="M727" s="3" t="s">
        <v>578</v>
      </c>
      <c r="N727" s="3">
        <v>48</v>
      </c>
      <c r="O727" s="3" t="s">
        <v>20</v>
      </c>
      <c r="P727" s="3" t="s">
        <v>21</v>
      </c>
      <c r="Q727" s="4">
        <v>4</v>
      </c>
      <c r="R727" s="4" t="str">
        <f>IF(Table1[[#This Row],[Customer Ratings]]&gt;=4, "Good",IF(Table1[[#This Row],[Customer Ratings]]=3, "Average","Poor"))</f>
        <v>Good</v>
      </c>
      <c r="S727" s="3" t="s">
        <v>22</v>
      </c>
    </row>
    <row r="728" spans="1:19" x14ac:dyDescent="0.25">
      <c r="A728" s="3">
        <v>727</v>
      </c>
      <c r="B728" s="5">
        <f>DATE(Table1[[#This Row],[Year]],Table1[[#This Row],[Month]],Table1[[#This Row],[Day]])</f>
        <v>44685</v>
      </c>
      <c r="C728" s="3">
        <v>4</v>
      </c>
      <c r="D728" s="3">
        <v>5</v>
      </c>
      <c r="E728" s="3">
        <v>2022</v>
      </c>
      <c r="F728" s="3" t="str">
        <f>"Qtr"&amp; " " &amp;CHOOSE(MONTH(Table1[[#This Row],[Date]]),1,1,1,2,2,2,3,3,3,4,4,4)</f>
        <v>Qtr 2</v>
      </c>
      <c r="G728" s="3" t="str">
        <f>TEXT(Table1[[#This Row],[Date]],"mmmm")</f>
        <v>May</v>
      </c>
      <c r="H728" s="3" t="s">
        <v>1083</v>
      </c>
      <c r="I728" s="3" t="s">
        <v>13</v>
      </c>
      <c r="J728" s="3">
        <v>6</v>
      </c>
      <c r="K728" s="3">
        <v>43901.95</v>
      </c>
      <c r="L728" s="3">
        <f>Table1[[#This Row],[Price Per Unit]]*Table1[[#This Row],[Units Sold]]</f>
        <v>263411.69999999995</v>
      </c>
      <c r="M728" s="3" t="s">
        <v>82</v>
      </c>
      <c r="N728" s="3">
        <v>32</v>
      </c>
      <c r="O728" s="3" t="s">
        <v>54</v>
      </c>
      <c r="P728" s="3" t="s">
        <v>21</v>
      </c>
      <c r="Q728" s="4">
        <v>4</v>
      </c>
      <c r="R728" s="4" t="str">
        <f>IF(Table1[[#This Row],[Customer Ratings]]&gt;=4, "Good",IF(Table1[[#This Row],[Customer Ratings]]=3, "Average","Poor"))</f>
        <v>Good</v>
      </c>
      <c r="S728" s="3" t="s">
        <v>72</v>
      </c>
    </row>
    <row r="729" spans="1:19" x14ac:dyDescent="0.25">
      <c r="A729" s="3">
        <v>728</v>
      </c>
      <c r="B729" s="5">
        <f>DATE(Table1[[#This Row],[Year]],Table1[[#This Row],[Month]],Table1[[#This Row],[Day]])</f>
        <v>44685</v>
      </c>
      <c r="C729" s="3">
        <v>4</v>
      </c>
      <c r="D729" s="3">
        <v>5</v>
      </c>
      <c r="E729" s="3">
        <v>2022</v>
      </c>
      <c r="F729" s="3" t="str">
        <f>"Qtr"&amp; " " &amp;CHOOSE(MONTH(Table1[[#This Row],[Date]]),1,1,1,2,2,2,3,3,3,4,4,4)</f>
        <v>Qtr 2</v>
      </c>
      <c r="G729" s="3" t="str">
        <f>TEXT(Table1[[#This Row],[Date]],"mmmm")</f>
        <v>May</v>
      </c>
      <c r="H729" s="3" t="s">
        <v>1083</v>
      </c>
      <c r="I729" s="3" t="s">
        <v>28</v>
      </c>
      <c r="J729" s="3">
        <v>4</v>
      </c>
      <c r="K729" s="3">
        <v>50181.04</v>
      </c>
      <c r="L729" s="3">
        <f>Table1[[#This Row],[Price Per Unit]]*Table1[[#This Row],[Units Sold]]</f>
        <v>200724.16</v>
      </c>
      <c r="M729" s="3" t="s">
        <v>579</v>
      </c>
      <c r="N729" s="3">
        <v>37</v>
      </c>
      <c r="O729" s="3" t="s">
        <v>52</v>
      </c>
      <c r="P729" s="3" t="s">
        <v>45</v>
      </c>
      <c r="Q729" s="4">
        <v>5</v>
      </c>
      <c r="R729" s="4" t="str">
        <f>IF(Table1[[#This Row],[Customer Ratings]]&gt;=4, "Good",IF(Table1[[#This Row],[Customer Ratings]]=3, "Average","Poor"))</f>
        <v>Good</v>
      </c>
      <c r="S729" s="3" t="s">
        <v>87</v>
      </c>
    </row>
    <row r="730" spans="1:19" x14ac:dyDescent="0.25">
      <c r="A730" s="3">
        <v>729</v>
      </c>
      <c r="B730" s="5">
        <f>DATE(Table1[[#This Row],[Year]],Table1[[#This Row],[Month]],Table1[[#This Row],[Day]])</f>
        <v>44686</v>
      </c>
      <c r="C730" s="3">
        <v>5</v>
      </c>
      <c r="D730" s="3">
        <v>5</v>
      </c>
      <c r="E730" s="3">
        <v>2022</v>
      </c>
      <c r="F730" s="3" t="str">
        <f>"Qtr"&amp; " " &amp;CHOOSE(MONTH(Table1[[#This Row],[Date]]),1,1,1,2,2,2,3,3,3,4,4,4)</f>
        <v>Qtr 2</v>
      </c>
      <c r="G730" s="3" t="str">
        <f>TEXT(Table1[[#This Row],[Date]],"mmmm")</f>
        <v>May</v>
      </c>
      <c r="H730" s="3" t="s">
        <v>1084</v>
      </c>
      <c r="I730" s="3" t="s">
        <v>18</v>
      </c>
      <c r="J730" s="3">
        <v>1</v>
      </c>
      <c r="K730" s="3">
        <v>67682.95</v>
      </c>
      <c r="L730" s="3">
        <f>Table1[[#This Row],[Price Per Unit]]*Table1[[#This Row],[Units Sold]]</f>
        <v>67682.95</v>
      </c>
      <c r="M730" s="3" t="s">
        <v>580</v>
      </c>
      <c r="N730" s="3">
        <v>22</v>
      </c>
      <c r="O730" s="3" t="s">
        <v>20</v>
      </c>
      <c r="P730" s="3" t="s">
        <v>31</v>
      </c>
      <c r="Q730" s="4">
        <v>4</v>
      </c>
      <c r="R730" s="4" t="str">
        <f>IF(Table1[[#This Row],[Customer Ratings]]&gt;=4, "Good",IF(Table1[[#This Row],[Customer Ratings]]=3, "Average","Poor"))</f>
        <v>Good</v>
      </c>
      <c r="S730" s="3" t="s">
        <v>55</v>
      </c>
    </row>
    <row r="731" spans="1:19" x14ac:dyDescent="0.25">
      <c r="A731" s="3">
        <v>730</v>
      </c>
      <c r="B731" s="5">
        <f>DATE(Table1[[#This Row],[Year]],Table1[[#This Row],[Month]],Table1[[#This Row],[Day]])</f>
        <v>44686</v>
      </c>
      <c r="C731" s="3">
        <v>5</v>
      </c>
      <c r="D731" s="3">
        <v>5</v>
      </c>
      <c r="E731" s="3">
        <v>2022</v>
      </c>
      <c r="F731" s="3" t="str">
        <f>"Qtr"&amp; " " &amp;CHOOSE(MONTH(Table1[[#This Row],[Date]]),1,1,1,2,2,2,3,3,3,4,4,4)</f>
        <v>Qtr 2</v>
      </c>
      <c r="G731" s="3" t="str">
        <f>TEXT(Table1[[#This Row],[Date]],"mmmm")</f>
        <v>May</v>
      </c>
      <c r="H731" s="3" t="s">
        <v>1084</v>
      </c>
      <c r="I731" s="3" t="s">
        <v>39</v>
      </c>
      <c r="J731" s="3">
        <v>1</v>
      </c>
      <c r="K731" s="3">
        <v>46160.2</v>
      </c>
      <c r="L731" s="3">
        <f>Table1[[#This Row],[Price Per Unit]]*Table1[[#This Row],[Units Sold]]</f>
        <v>46160.2</v>
      </c>
      <c r="M731" s="3" t="s">
        <v>448</v>
      </c>
      <c r="N731" s="3">
        <v>24</v>
      </c>
      <c r="O731" s="3" t="s">
        <v>20</v>
      </c>
      <c r="P731" s="3" t="s">
        <v>31</v>
      </c>
      <c r="Q731" s="4">
        <v>5</v>
      </c>
      <c r="R731" s="4" t="str">
        <f>IF(Table1[[#This Row],[Customer Ratings]]&gt;=4, "Good",IF(Table1[[#This Row],[Customer Ratings]]=3, "Average","Poor"))</f>
        <v>Good</v>
      </c>
      <c r="S731" s="3" t="s">
        <v>90</v>
      </c>
    </row>
    <row r="732" spans="1:19" x14ac:dyDescent="0.25">
      <c r="A732" s="3">
        <v>731</v>
      </c>
      <c r="B732" s="5">
        <f>DATE(Table1[[#This Row],[Year]],Table1[[#This Row],[Month]],Table1[[#This Row],[Day]])</f>
        <v>44686</v>
      </c>
      <c r="C732" s="3">
        <v>5</v>
      </c>
      <c r="D732" s="3">
        <v>5</v>
      </c>
      <c r="E732" s="3">
        <v>2022</v>
      </c>
      <c r="F732" s="3" t="str">
        <f>"Qtr"&amp; " " &amp;CHOOSE(MONTH(Table1[[#This Row],[Date]]),1,1,1,2,2,2,3,3,3,4,4,4)</f>
        <v>Qtr 2</v>
      </c>
      <c r="G732" s="3" t="str">
        <f>TEXT(Table1[[#This Row],[Date]],"mmmm")</f>
        <v>May</v>
      </c>
      <c r="H732" s="3" t="s">
        <v>1084</v>
      </c>
      <c r="I732" s="3" t="s">
        <v>13</v>
      </c>
      <c r="J732" s="3">
        <v>5</v>
      </c>
      <c r="K732" s="3">
        <v>43568.52</v>
      </c>
      <c r="L732" s="3">
        <f>Table1[[#This Row],[Price Per Unit]]*Table1[[#This Row],[Units Sold]]</f>
        <v>217842.59999999998</v>
      </c>
      <c r="M732" s="3" t="s">
        <v>223</v>
      </c>
      <c r="N732" s="3">
        <v>35</v>
      </c>
      <c r="O732" s="3" t="s">
        <v>52</v>
      </c>
      <c r="P732" s="3" t="s">
        <v>31</v>
      </c>
      <c r="Q732" s="4">
        <v>4</v>
      </c>
      <c r="R732" s="4" t="str">
        <f>IF(Table1[[#This Row],[Customer Ratings]]&gt;=4, "Good",IF(Table1[[#This Row],[Customer Ratings]]=3, "Average","Poor"))</f>
        <v>Good</v>
      </c>
      <c r="S732" s="3" t="s">
        <v>17</v>
      </c>
    </row>
    <row r="733" spans="1:19" x14ac:dyDescent="0.25">
      <c r="A733" s="3">
        <v>732</v>
      </c>
      <c r="B733" s="5">
        <f>DATE(Table1[[#This Row],[Year]],Table1[[#This Row],[Month]],Table1[[#This Row],[Day]])</f>
        <v>44686</v>
      </c>
      <c r="C733" s="3">
        <v>5</v>
      </c>
      <c r="D733" s="3">
        <v>5</v>
      </c>
      <c r="E733" s="3">
        <v>2022</v>
      </c>
      <c r="F733" s="3" t="str">
        <f>"Qtr"&amp; " " &amp;CHOOSE(MONTH(Table1[[#This Row],[Date]]),1,1,1,2,2,2,3,3,3,4,4,4)</f>
        <v>Qtr 2</v>
      </c>
      <c r="G733" s="3" t="str">
        <f>TEXT(Table1[[#This Row],[Date]],"mmmm")</f>
        <v>May</v>
      </c>
      <c r="H733" s="3" t="s">
        <v>1084</v>
      </c>
      <c r="I733" s="3" t="s">
        <v>13</v>
      </c>
      <c r="J733" s="3">
        <v>2</v>
      </c>
      <c r="K733" s="3">
        <v>10872.05</v>
      </c>
      <c r="L733" s="3">
        <f>Table1[[#This Row],[Price Per Unit]]*Table1[[#This Row],[Units Sold]]</f>
        <v>21744.1</v>
      </c>
      <c r="M733" s="3" t="s">
        <v>218</v>
      </c>
      <c r="N733" s="3">
        <v>28</v>
      </c>
      <c r="O733" s="3" t="s">
        <v>20</v>
      </c>
      <c r="P733" s="3" t="s">
        <v>31</v>
      </c>
      <c r="Q733" s="4">
        <v>3</v>
      </c>
      <c r="R733" s="4" t="str">
        <f>IF(Table1[[#This Row],[Customer Ratings]]&gt;=4, "Good",IF(Table1[[#This Row],[Customer Ratings]]=3, "Average","Poor"))</f>
        <v>Average</v>
      </c>
      <c r="S733" s="3" t="s">
        <v>17</v>
      </c>
    </row>
    <row r="734" spans="1:19" x14ac:dyDescent="0.25">
      <c r="A734" s="3">
        <v>733</v>
      </c>
      <c r="B734" s="5">
        <f>DATE(Table1[[#This Row],[Year]],Table1[[#This Row],[Month]],Table1[[#This Row],[Day]])</f>
        <v>44687</v>
      </c>
      <c r="C734" s="3">
        <v>6</v>
      </c>
      <c r="D734" s="3">
        <v>5</v>
      </c>
      <c r="E734" s="3">
        <v>2022</v>
      </c>
      <c r="F734" s="3" t="str">
        <f>"Qtr"&amp; " " &amp;CHOOSE(MONTH(Table1[[#This Row],[Date]]),1,1,1,2,2,2,3,3,3,4,4,4)</f>
        <v>Qtr 2</v>
      </c>
      <c r="G734" s="3" t="str">
        <f>TEXT(Table1[[#This Row],[Date]],"mmmm")</f>
        <v>May</v>
      </c>
      <c r="H734" s="3" t="s">
        <v>1085</v>
      </c>
      <c r="I734" s="3" t="s">
        <v>39</v>
      </c>
      <c r="J734" s="3">
        <v>4</v>
      </c>
      <c r="K734" s="3">
        <v>14856.98</v>
      </c>
      <c r="L734" s="3">
        <f>Table1[[#This Row],[Price Per Unit]]*Table1[[#This Row],[Units Sold]]</f>
        <v>59427.92</v>
      </c>
      <c r="M734" s="3" t="s">
        <v>581</v>
      </c>
      <c r="N734" s="3">
        <v>49</v>
      </c>
      <c r="O734" s="3" t="s">
        <v>20</v>
      </c>
      <c r="P734" s="3" t="s">
        <v>45</v>
      </c>
      <c r="Q734" s="4">
        <v>5</v>
      </c>
      <c r="R734" s="4" t="str">
        <f>IF(Table1[[#This Row],[Customer Ratings]]&gt;=4, "Good",IF(Table1[[#This Row],[Customer Ratings]]=3, "Average","Poor"))</f>
        <v>Good</v>
      </c>
      <c r="S734" s="3" t="s">
        <v>76</v>
      </c>
    </row>
    <row r="735" spans="1:19" x14ac:dyDescent="0.25">
      <c r="A735" s="3">
        <v>734</v>
      </c>
      <c r="B735" s="5">
        <f>DATE(Table1[[#This Row],[Year]],Table1[[#This Row],[Month]],Table1[[#This Row],[Day]])</f>
        <v>44687</v>
      </c>
      <c r="C735" s="3">
        <v>6</v>
      </c>
      <c r="D735" s="3">
        <v>5</v>
      </c>
      <c r="E735" s="3">
        <v>2022</v>
      </c>
      <c r="F735" s="3" t="str">
        <f>"Qtr"&amp; " " &amp;CHOOSE(MONTH(Table1[[#This Row],[Date]]),1,1,1,2,2,2,3,3,3,4,4,4)</f>
        <v>Qtr 2</v>
      </c>
      <c r="G735" s="3" t="str">
        <f>TEXT(Table1[[#This Row],[Date]],"mmmm")</f>
        <v>May</v>
      </c>
      <c r="H735" s="3" t="s">
        <v>1085</v>
      </c>
      <c r="I735" s="3" t="s">
        <v>28</v>
      </c>
      <c r="J735" s="3">
        <v>1</v>
      </c>
      <c r="K735" s="3">
        <v>44630.3</v>
      </c>
      <c r="L735" s="3">
        <f>Table1[[#This Row],[Price Per Unit]]*Table1[[#This Row],[Units Sold]]</f>
        <v>44630.3</v>
      </c>
      <c r="M735" s="3" t="s">
        <v>582</v>
      </c>
      <c r="N735" s="3">
        <v>44</v>
      </c>
      <c r="O735" s="3" t="s">
        <v>98</v>
      </c>
      <c r="P735" s="3" t="s">
        <v>21</v>
      </c>
      <c r="Q735" s="4">
        <v>5</v>
      </c>
      <c r="R735" s="4" t="str">
        <f>IF(Table1[[#This Row],[Customer Ratings]]&gt;=4, "Good",IF(Table1[[#This Row],[Customer Ratings]]=3, "Average","Poor"))</f>
        <v>Good</v>
      </c>
      <c r="S735" s="3" t="s">
        <v>87</v>
      </c>
    </row>
    <row r="736" spans="1:19" x14ac:dyDescent="0.25">
      <c r="A736" s="3">
        <v>735</v>
      </c>
      <c r="B736" s="5">
        <f>DATE(Table1[[#This Row],[Year]],Table1[[#This Row],[Month]],Table1[[#This Row],[Day]])</f>
        <v>44687</v>
      </c>
      <c r="C736" s="3">
        <v>6</v>
      </c>
      <c r="D736" s="3">
        <v>5</v>
      </c>
      <c r="E736" s="3">
        <v>2022</v>
      </c>
      <c r="F736" s="3" t="str">
        <f>"Qtr"&amp; " " &amp;CHOOSE(MONTH(Table1[[#This Row],[Date]]),1,1,1,2,2,2,3,3,3,4,4,4)</f>
        <v>Qtr 2</v>
      </c>
      <c r="G736" s="3" t="str">
        <f>TEXT(Table1[[#This Row],[Date]],"mmmm")</f>
        <v>May</v>
      </c>
      <c r="H736" s="3" t="s">
        <v>1085</v>
      </c>
      <c r="I736" s="3" t="s">
        <v>39</v>
      </c>
      <c r="J736" s="3">
        <v>4</v>
      </c>
      <c r="K736" s="3">
        <v>66174.42</v>
      </c>
      <c r="L736" s="3">
        <f>Table1[[#This Row],[Price Per Unit]]*Table1[[#This Row],[Units Sold]]</f>
        <v>264697.68</v>
      </c>
      <c r="M736" s="3" t="s">
        <v>230</v>
      </c>
      <c r="N736" s="3">
        <v>43</v>
      </c>
      <c r="O736" s="3" t="s">
        <v>20</v>
      </c>
      <c r="P736" s="3" t="s">
        <v>45</v>
      </c>
      <c r="Q736" s="4">
        <v>5</v>
      </c>
      <c r="R736" s="4" t="str">
        <f>IF(Table1[[#This Row],[Customer Ratings]]&gt;=4, "Good",IF(Table1[[#This Row],[Customer Ratings]]=3, "Average","Poor"))</f>
        <v>Good</v>
      </c>
      <c r="S736" s="3" t="s">
        <v>42</v>
      </c>
    </row>
    <row r="737" spans="1:19" x14ac:dyDescent="0.25">
      <c r="A737" s="3">
        <v>736</v>
      </c>
      <c r="B737" s="5">
        <f>DATE(Table1[[#This Row],[Year]],Table1[[#This Row],[Month]],Table1[[#This Row],[Day]])</f>
        <v>44688</v>
      </c>
      <c r="C737" s="3">
        <v>7</v>
      </c>
      <c r="D737" s="3">
        <v>5</v>
      </c>
      <c r="E737" s="3">
        <v>2022</v>
      </c>
      <c r="F737" s="3" t="str">
        <f>"Qtr"&amp; " " &amp;CHOOSE(MONTH(Table1[[#This Row],[Date]]),1,1,1,2,2,2,3,3,3,4,4,4)</f>
        <v>Qtr 2</v>
      </c>
      <c r="G737" s="3" t="str">
        <f>TEXT(Table1[[#This Row],[Date]],"mmmm")</f>
        <v>May</v>
      </c>
      <c r="H737" s="3" t="s">
        <v>1079</v>
      </c>
      <c r="I737" s="3" t="s">
        <v>28</v>
      </c>
      <c r="J737" s="3">
        <v>6</v>
      </c>
      <c r="K737" s="3">
        <v>62001.48</v>
      </c>
      <c r="L737" s="3">
        <f>Table1[[#This Row],[Price Per Unit]]*Table1[[#This Row],[Units Sold]]</f>
        <v>372008.88</v>
      </c>
      <c r="M737" s="3" t="s">
        <v>292</v>
      </c>
      <c r="N737" s="3">
        <v>54</v>
      </c>
      <c r="O737" s="3" t="s">
        <v>24</v>
      </c>
      <c r="P737" s="3" t="s">
        <v>45</v>
      </c>
      <c r="Q737" s="4">
        <v>5</v>
      </c>
      <c r="R737" s="4" t="str">
        <f>IF(Table1[[#This Row],[Customer Ratings]]&gt;=4, "Good",IF(Table1[[#This Row],[Customer Ratings]]=3, "Average","Poor"))</f>
        <v>Good</v>
      </c>
      <c r="S737" s="3" t="s">
        <v>32</v>
      </c>
    </row>
    <row r="738" spans="1:19" x14ac:dyDescent="0.25">
      <c r="A738" s="3">
        <v>737</v>
      </c>
      <c r="B738" s="5">
        <f>DATE(Table1[[#This Row],[Year]],Table1[[#This Row],[Month]],Table1[[#This Row],[Day]])</f>
        <v>44688</v>
      </c>
      <c r="C738" s="3">
        <v>7</v>
      </c>
      <c r="D738" s="3">
        <v>5</v>
      </c>
      <c r="E738" s="3">
        <v>2022</v>
      </c>
      <c r="F738" s="3" t="str">
        <f>"Qtr"&amp; " " &amp;CHOOSE(MONTH(Table1[[#This Row],[Date]]),1,1,1,2,2,2,3,3,3,4,4,4)</f>
        <v>Qtr 2</v>
      </c>
      <c r="G738" s="3" t="str">
        <f>TEXT(Table1[[#This Row],[Date]],"mmmm")</f>
        <v>May</v>
      </c>
      <c r="H738" s="3" t="s">
        <v>1079</v>
      </c>
      <c r="I738" s="3" t="s">
        <v>39</v>
      </c>
      <c r="J738" s="3">
        <v>4</v>
      </c>
      <c r="K738" s="3">
        <v>68954.740000000005</v>
      </c>
      <c r="L738" s="3">
        <f>Table1[[#This Row],[Price Per Unit]]*Table1[[#This Row],[Units Sold]]</f>
        <v>275818.96000000002</v>
      </c>
      <c r="M738" s="3" t="s">
        <v>385</v>
      </c>
      <c r="N738" s="3">
        <v>45</v>
      </c>
      <c r="O738" s="3" t="s">
        <v>20</v>
      </c>
      <c r="P738" s="3" t="s">
        <v>16</v>
      </c>
      <c r="Q738" s="4">
        <v>3</v>
      </c>
      <c r="R738" s="4" t="str">
        <f>IF(Table1[[#This Row],[Customer Ratings]]&gt;=4, "Good",IF(Table1[[#This Row],[Customer Ratings]]=3, "Average","Poor"))</f>
        <v>Average</v>
      </c>
      <c r="S738" s="3" t="s">
        <v>90</v>
      </c>
    </row>
    <row r="739" spans="1:19" x14ac:dyDescent="0.25">
      <c r="A739" s="3">
        <v>738</v>
      </c>
      <c r="B739" s="5">
        <f>DATE(Table1[[#This Row],[Year]],Table1[[#This Row],[Month]],Table1[[#This Row],[Day]])</f>
        <v>44688</v>
      </c>
      <c r="C739" s="3">
        <v>7</v>
      </c>
      <c r="D739" s="3">
        <v>5</v>
      </c>
      <c r="E739" s="3">
        <v>2022</v>
      </c>
      <c r="F739" s="3" t="str">
        <f>"Qtr"&amp; " " &amp;CHOOSE(MONTH(Table1[[#This Row],[Date]]),1,1,1,2,2,2,3,3,3,4,4,4)</f>
        <v>Qtr 2</v>
      </c>
      <c r="G739" s="3" t="str">
        <f>TEXT(Table1[[#This Row],[Date]],"mmmm")</f>
        <v>May</v>
      </c>
      <c r="H739" s="3" t="s">
        <v>1079</v>
      </c>
      <c r="I739" s="3" t="s">
        <v>39</v>
      </c>
      <c r="J739" s="3">
        <v>1</v>
      </c>
      <c r="K739" s="3">
        <v>41670.04</v>
      </c>
      <c r="L739" s="3">
        <f>Table1[[#This Row],[Price Per Unit]]*Table1[[#This Row],[Units Sold]]</f>
        <v>41670.04</v>
      </c>
      <c r="M739" s="3" t="s">
        <v>103</v>
      </c>
      <c r="N739" s="3">
        <v>19</v>
      </c>
      <c r="O739" s="3" t="s">
        <v>30</v>
      </c>
      <c r="P739" s="3" t="s">
        <v>21</v>
      </c>
      <c r="Q739" s="4">
        <v>5</v>
      </c>
      <c r="R739" s="4" t="str">
        <f>IF(Table1[[#This Row],[Customer Ratings]]&gt;=4, "Good",IF(Table1[[#This Row],[Customer Ratings]]=3, "Average","Poor"))</f>
        <v>Good</v>
      </c>
      <c r="S739" s="3" t="s">
        <v>90</v>
      </c>
    </row>
    <row r="740" spans="1:19" x14ac:dyDescent="0.25">
      <c r="A740" s="3">
        <v>739</v>
      </c>
      <c r="B740" s="5">
        <f>DATE(Table1[[#This Row],[Year]],Table1[[#This Row],[Month]],Table1[[#This Row],[Day]])</f>
        <v>44689</v>
      </c>
      <c r="C740" s="3">
        <v>8</v>
      </c>
      <c r="D740" s="3">
        <v>5</v>
      </c>
      <c r="E740" s="3">
        <v>2022</v>
      </c>
      <c r="F740" s="3" t="str">
        <f>"Qtr"&amp; " " &amp;CHOOSE(MONTH(Table1[[#This Row],[Date]]),1,1,1,2,2,2,3,3,3,4,4,4)</f>
        <v>Qtr 2</v>
      </c>
      <c r="G740" s="3" t="str">
        <f>TEXT(Table1[[#This Row],[Date]],"mmmm")</f>
        <v>May</v>
      </c>
      <c r="H740" s="3" t="s">
        <v>1080</v>
      </c>
      <c r="I740" s="3" t="s">
        <v>33</v>
      </c>
      <c r="J740" s="3">
        <v>7</v>
      </c>
      <c r="K740" s="3">
        <v>57275.86</v>
      </c>
      <c r="L740" s="3">
        <f>Table1[[#This Row],[Price Per Unit]]*Table1[[#This Row],[Units Sold]]</f>
        <v>400931.02</v>
      </c>
      <c r="M740" s="3" t="s">
        <v>502</v>
      </c>
      <c r="N740" s="3">
        <v>37</v>
      </c>
      <c r="O740" s="3" t="s">
        <v>20</v>
      </c>
      <c r="P740" s="3" t="s">
        <v>31</v>
      </c>
      <c r="Q740" s="4">
        <v>5</v>
      </c>
      <c r="R740" s="4" t="str">
        <f>IF(Table1[[#This Row],[Customer Ratings]]&gt;=4, "Good",IF(Table1[[#This Row],[Customer Ratings]]=3, "Average","Poor"))</f>
        <v>Good</v>
      </c>
      <c r="S740" s="3" t="s">
        <v>83</v>
      </c>
    </row>
    <row r="741" spans="1:19" x14ac:dyDescent="0.25">
      <c r="A741" s="3">
        <v>740</v>
      </c>
      <c r="B741" s="5">
        <f>DATE(Table1[[#This Row],[Year]],Table1[[#This Row],[Month]],Table1[[#This Row],[Day]])</f>
        <v>44689</v>
      </c>
      <c r="C741" s="3">
        <v>8</v>
      </c>
      <c r="D741" s="3">
        <v>5</v>
      </c>
      <c r="E741" s="3">
        <v>2022</v>
      </c>
      <c r="F741" s="3" t="str">
        <f>"Qtr"&amp; " " &amp;CHOOSE(MONTH(Table1[[#This Row],[Date]]),1,1,1,2,2,2,3,3,3,4,4,4)</f>
        <v>Qtr 2</v>
      </c>
      <c r="G741" s="3" t="str">
        <f>TEXT(Table1[[#This Row],[Date]],"mmmm")</f>
        <v>May</v>
      </c>
      <c r="H741" s="3" t="s">
        <v>1080</v>
      </c>
      <c r="I741" s="3" t="s">
        <v>13</v>
      </c>
      <c r="J741" s="3">
        <v>2</v>
      </c>
      <c r="K741" s="3">
        <v>60424.02</v>
      </c>
      <c r="L741" s="3">
        <f>Table1[[#This Row],[Price Per Unit]]*Table1[[#This Row],[Units Sold]]</f>
        <v>120848.04</v>
      </c>
      <c r="M741" s="3" t="s">
        <v>96</v>
      </c>
      <c r="N741" s="3">
        <v>21</v>
      </c>
      <c r="O741" s="3" t="s">
        <v>20</v>
      </c>
      <c r="P741" s="3" t="s">
        <v>21</v>
      </c>
      <c r="Q741" s="4">
        <v>5</v>
      </c>
      <c r="R741" s="4" t="str">
        <f>IF(Table1[[#This Row],[Customer Ratings]]&gt;=4, "Good",IF(Table1[[#This Row],[Customer Ratings]]=3, "Average","Poor"))</f>
        <v>Good</v>
      </c>
      <c r="S741" s="3" t="s">
        <v>17</v>
      </c>
    </row>
    <row r="742" spans="1:19" x14ac:dyDescent="0.25">
      <c r="A742" s="3">
        <v>741</v>
      </c>
      <c r="B742" s="5">
        <f>DATE(Table1[[#This Row],[Year]],Table1[[#This Row],[Month]],Table1[[#This Row],[Day]])</f>
        <v>44689</v>
      </c>
      <c r="C742" s="3">
        <v>8</v>
      </c>
      <c r="D742" s="3">
        <v>5</v>
      </c>
      <c r="E742" s="3">
        <v>2022</v>
      </c>
      <c r="F742" s="3" t="str">
        <f>"Qtr"&amp; " " &amp;CHOOSE(MONTH(Table1[[#This Row],[Date]]),1,1,1,2,2,2,3,3,3,4,4,4)</f>
        <v>Qtr 2</v>
      </c>
      <c r="G742" s="3" t="str">
        <f>TEXT(Table1[[#This Row],[Date]],"mmmm")</f>
        <v>May</v>
      </c>
      <c r="H742" s="3" t="s">
        <v>1080</v>
      </c>
      <c r="I742" s="3" t="s">
        <v>39</v>
      </c>
      <c r="J742" s="3">
        <v>9</v>
      </c>
      <c r="K742" s="3">
        <v>48881.9</v>
      </c>
      <c r="L742" s="3">
        <f>Table1[[#This Row],[Price Per Unit]]*Table1[[#This Row],[Units Sold]]</f>
        <v>439937.10000000003</v>
      </c>
      <c r="M742" s="3" t="s">
        <v>475</v>
      </c>
      <c r="N742" s="3">
        <v>30</v>
      </c>
      <c r="O742" s="3" t="s">
        <v>102</v>
      </c>
      <c r="P742" s="3" t="s">
        <v>16</v>
      </c>
      <c r="Q742" s="4">
        <v>5</v>
      </c>
      <c r="R742" s="4" t="str">
        <f>IF(Table1[[#This Row],[Customer Ratings]]&gt;=4, "Good",IF(Table1[[#This Row],[Customer Ratings]]=3, "Average","Poor"))</f>
        <v>Good</v>
      </c>
      <c r="S742" s="3" t="s">
        <v>90</v>
      </c>
    </row>
    <row r="743" spans="1:19" x14ac:dyDescent="0.25">
      <c r="A743" s="3">
        <v>742</v>
      </c>
      <c r="B743" s="5">
        <f>DATE(Table1[[#This Row],[Year]],Table1[[#This Row],[Month]],Table1[[#This Row],[Day]])</f>
        <v>44690</v>
      </c>
      <c r="C743" s="3">
        <v>9</v>
      </c>
      <c r="D743" s="3">
        <v>5</v>
      </c>
      <c r="E743" s="3">
        <v>2022</v>
      </c>
      <c r="F743" s="3" t="str">
        <f>"Qtr"&amp; " " &amp;CHOOSE(MONTH(Table1[[#This Row],[Date]]),1,1,1,2,2,2,3,3,3,4,4,4)</f>
        <v>Qtr 2</v>
      </c>
      <c r="G743" s="3" t="str">
        <f>TEXT(Table1[[#This Row],[Date]],"mmmm")</f>
        <v>May</v>
      </c>
      <c r="H743" s="3" t="s">
        <v>1081</v>
      </c>
      <c r="I743" s="3" t="s">
        <v>39</v>
      </c>
      <c r="J743" s="3">
        <v>3</v>
      </c>
      <c r="K743" s="3">
        <v>30324.99</v>
      </c>
      <c r="L743" s="3">
        <f>Table1[[#This Row],[Price Per Unit]]*Table1[[#This Row],[Units Sold]]</f>
        <v>90974.97</v>
      </c>
      <c r="M743" s="3" t="s">
        <v>583</v>
      </c>
      <c r="N743" s="3">
        <v>41</v>
      </c>
      <c r="O743" s="3" t="s">
        <v>137</v>
      </c>
      <c r="P743" s="3" t="s">
        <v>45</v>
      </c>
      <c r="Q743" s="4">
        <v>5</v>
      </c>
      <c r="R743" s="4" t="str">
        <f>IF(Table1[[#This Row],[Customer Ratings]]&gt;=4, "Good",IF(Table1[[#This Row],[Customer Ratings]]=3, "Average","Poor"))</f>
        <v>Good</v>
      </c>
      <c r="S743" s="3" t="s">
        <v>90</v>
      </c>
    </row>
    <row r="744" spans="1:19" x14ac:dyDescent="0.25">
      <c r="A744" s="3">
        <v>743</v>
      </c>
      <c r="B744" s="5">
        <f>DATE(Table1[[#This Row],[Year]],Table1[[#This Row],[Month]],Table1[[#This Row],[Day]])</f>
        <v>44690</v>
      </c>
      <c r="C744" s="3">
        <v>9</v>
      </c>
      <c r="D744" s="3">
        <v>5</v>
      </c>
      <c r="E744" s="3">
        <v>2022</v>
      </c>
      <c r="F744" s="3" t="str">
        <f>"Qtr"&amp; " " &amp;CHOOSE(MONTH(Table1[[#This Row],[Date]]),1,1,1,2,2,2,3,3,3,4,4,4)</f>
        <v>Qtr 2</v>
      </c>
      <c r="G744" s="3" t="str">
        <f>TEXT(Table1[[#This Row],[Date]],"mmmm")</f>
        <v>May</v>
      </c>
      <c r="H744" s="3" t="s">
        <v>1081</v>
      </c>
      <c r="I744" s="3" t="s">
        <v>18</v>
      </c>
      <c r="J744" s="3">
        <v>8</v>
      </c>
      <c r="K744" s="3">
        <v>38198.71</v>
      </c>
      <c r="L744" s="3">
        <f>Table1[[#This Row],[Price Per Unit]]*Table1[[#This Row],[Units Sold]]</f>
        <v>305589.68</v>
      </c>
      <c r="M744" s="3" t="s">
        <v>584</v>
      </c>
      <c r="N744" s="3">
        <v>55</v>
      </c>
      <c r="O744" s="3" t="s">
        <v>137</v>
      </c>
      <c r="P744" s="3" t="s">
        <v>21</v>
      </c>
      <c r="Q744" s="4">
        <v>4</v>
      </c>
      <c r="R744" s="4" t="str">
        <f>IF(Table1[[#This Row],[Customer Ratings]]&gt;=4, "Good",IF(Table1[[#This Row],[Customer Ratings]]=3, "Average","Poor"))</f>
        <v>Good</v>
      </c>
      <c r="S744" s="3" t="s">
        <v>55</v>
      </c>
    </row>
    <row r="745" spans="1:19" x14ac:dyDescent="0.25">
      <c r="A745" s="3">
        <v>744</v>
      </c>
      <c r="B745" s="5">
        <f>DATE(Table1[[#This Row],[Year]],Table1[[#This Row],[Month]],Table1[[#This Row],[Day]])</f>
        <v>44690</v>
      </c>
      <c r="C745" s="3">
        <v>9</v>
      </c>
      <c r="D745" s="3">
        <v>5</v>
      </c>
      <c r="E745" s="3">
        <v>2022</v>
      </c>
      <c r="F745" s="3" t="str">
        <f>"Qtr"&amp; " " &amp;CHOOSE(MONTH(Table1[[#This Row],[Date]]),1,1,1,2,2,2,3,3,3,4,4,4)</f>
        <v>Qtr 2</v>
      </c>
      <c r="G745" s="3" t="str">
        <f>TEXT(Table1[[#This Row],[Date]],"mmmm")</f>
        <v>May</v>
      </c>
      <c r="H745" s="3" t="s">
        <v>1081</v>
      </c>
      <c r="I745" s="3" t="s">
        <v>13</v>
      </c>
      <c r="J745" s="3">
        <v>8</v>
      </c>
      <c r="K745" s="3">
        <v>61475.02</v>
      </c>
      <c r="L745" s="3">
        <f>Table1[[#This Row],[Price Per Unit]]*Table1[[#This Row],[Units Sold]]</f>
        <v>491800.16</v>
      </c>
      <c r="M745" s="3" t="s">
        <v>585</v>
      </c>
      <c r="N745" s="3">
        <v>57</v>
      </c>
      <c r="O745" s="3" t="s">
        <v>20</v>
      </c>
      <c r="P745" s="3" t="s">
        <v>16</v>
      </c>
      <c r="Q745" s="4">
        <v>5</v>
      </c>
      <c r="R745" s="4" t="str">
        <f>IF(Table1[[#This Row],[Customer Ratings]]&gt;=4, "Good",IF(Table1[[#This Row],[Customer Ratings]]=3, "Average","Poor"))</f>
        <v>Good</v>
      </c>
      <c r="S745" s="3" t="s">
        <v>72</v>
      </c>
    </row>
    <row r="746" spans="1:19" x14ac:dyDescent="0.25">
      <c r="A746" s="3">
        <v>745</v>
      </c>
      <c r="B746" s="5">
        <f>DATE(Table1[[#This Row],[Year]],Table1[[#This Row],[Month]],Table1[[#This Row],[Day]])</f>
        <v>44691</v>
      </c>
      <c r="C746" s="3">
        <v>10</v>
      </c>
      <c r="D746" s="3">
        <v>5</v>
      </c>
      <c r="E746" s="3">
        <v>2022</v>
      </c>
      <c r="F746" s="3" t="str">
        <f>"Qtr"&amp; " " &amp;CHOOSE(MONTH(Table1[[#This Row],[Date]]),1,1,1,2,2,2,3,3,3,4,4,4)</f>
        <v>Qtr 2</v>
      </c>
      <c r="G746" s="3" t="str">
        <f>TEXT(Table1[[#This Row],[Date]],"mmmm")</f>
        <v>May</v>
      </c>
      <c r="H746" s="3" t="s">
        <v>1082</v>
      </c>
      <c r="I746" s="3" t="s">
        <v>18</v>
      </c>
      <c r="J746" s="3">
        <v>3</v>
      </c>
      <c r="K746" s="3">
        <v>27912.880000000001</v>
      </c>
      <c r="L746" s="3">
        <f>Table1[[#This Row],[Price Per Unit]]*Table1[[#This Row],[Units Sold]]</f>
        <v>83738.64</v>
      </c>
      <c r="M746" s="3" t="s">
        <v>586</v>
      </c>
      <c r="N746" s="3">
        <v>46</v>
      </c>
      <c r="O746" s="3" t="s">
        <v>24</v>
      </c>
      <c r="P746" s="3" t="s">
        <v>45</v>
      </c>
      <c r="Q746" s="4">
        <v>5</v>
      </c>
      <c r="R746" s="4" t="str">
        <f>IF(Table1[[#This Row],[Customer Ratings]]&gt;=4, "Good",IF(Table1[[#This Row],[Customer Ratings]]=3, "Average","Poor"))</f>
        <v>Good</v>
      </c>
      <c r="S746" s="3" t="s">
        <v>22</v>
      </c>
    </row>
    <row r="747" spans="1:19" x14ac:dyDescent="0.25">
      <c r="A747" s="3">
        <v>746</v>
      </c>
      <c r="B747" s="5">
        <f>DATE(Table1[[#This Row],[Year]],Table1[[#This Row],[Month]],Table1[[#This Row],[Day]])</f>
        <v>44691</v>
      </c>
      <c r="C747" s="3">
        <v>10</v>
      </c>
      <c r="D747" s="3">
        <v>5</v>
      </c>
      <c r="E747" s="3">
        <v>2022</v>
      </c>
      <c r="F747" s="3" t="str">
        <f>"Qtr"&amp; " " &amp;CHOOSE(MONTH(Table1[[#This Row],[Date]]),1,1,1,2,2,2,3,3,3,4,4,4)</f>
        <v>Qtr 2</v>
      </c>
      <c r="G747" s="3" t="str">
        <f>TEXT(Table1[[#This Row],[Date]],"mmmm")</f>
        <v>May</v>
      </c>
      <c r="H747" s="3" t="s">
        <v>1082</v>
      </c>
      <c r="I747" s="3" t="s">
        <v>13</v>
      </c>
      <c r="J747" s="3">
        <v>4</v>
      </c>
      <c r="K747" s="3">
        <v>65424.59</v>
      </c>
      <c r="L747" s="3">
        <f>Table1[[#This Row],[Price Per Unit]]*Table1[[#This Row],[Units Sold]]</f>
        <v>261698.36</v>
      </c>
      <c r="M747" s="3" t="s">
        <v>587</v>
      </c>
      <c r="N747" s="3">
        <v>53</v>
      </c>
      <c r="O747" s="3" t="s">
        <v>20</v>
      </c>
      <c r="P747" s="3" t="s">
        <v>31</v>
      </c>
      <c r="Q747" s="4">
        <v>3</v>
      </c>
      <c r="R747" s="4" t="str">
        <f>IF(Table1[[#This Row],[Customer Ratings]]&gt;=4, "Good",IF(Table1[[#This Row],[Customer Ratings]]=3, "Average","Poor"))</f>
        <v>Average</v>
      </c>
      <c r="S747" s="3" t="s">
        <v>17</v>
      </c>
    </row>
    <row r="748" spans="1:19" x14ac:dyDescent="0.25">
      <c r="A748" s="3">
        <v>747</v>
      </c>
      <c r="B748" s="5">
        <f>DATE(Table1[[#This Row],[Year]],Table1[[#This Row],[Month]],Table1[[#This Row],[Day]])</f>
        <v>44691</v>
      </c>
      <c r="C748" s="3">
        <v>10</v>
      </c>
      <c r="D748" s="3">
        <v>5</v>
      </c>
      <c r="E748" s="3">
        <v>2022</v>
      </c>
      <c r="F748" s="3" t="str">
        <f>"Qtr"&amp; " " &amp;CHOOSE(MONTH(Table1[[#This Row],[Date]]),1,1,1,2,2,2,3,3,3,4,4,4)</f>
        <v>Qtr 2</v>
      </c>
      <c r="G748" s="3" t="str">
        <f>TEXT(Table1[[#This Row],[Date]],"mmmm")</f>
        <v>May</v>
      </c>
      <c r="H748" s="3" t="s">
        <v>1082</v>
      </c>
      <c r="I748" s="3" t="s">
        <v>18</v>
      </c>
      <c r="J748" s="3">
        <v>2</v>
      </c>
      <c r="K748" s="3">
        <v>23788.38</v>
      </c>
      <c r="L748" s="3">
        <f>Table1[[#This Row],[Price Per Unit]]*Table1[[#This Row],[Units Sold]]</f>
        <v>47576.76</v>
      </c>
      <c r="M748" s="3" t="s">
        <v>588</v>
      </c>
      <c r="N748" s="3">
        <v>19</v>
      </c>
      <c r="O748" s="3" t="s">
        <v>20</v>
      </c>
      <c r="P748" s="3" t="s">
        <v>21</v>
      </c>
      <c r="Q748" s="4">
        <v>5</v>
      </c>
      <c r="R748" s="4" t="str">
        <f>IF(Table1[[#This Row],[Customer Ratings]]&gt;=4, "Good",IF(Table1[[#This Row],[Customer Ratings]]=3, "Average","Poor"))</f>
        <v>Good</v>
      </c>
      <c r="S748" s="3" t="s">
        <v>55</v>
      </c>
    </row>
    <row r="749" spans="1:19" x14ac:dyDescent="0.25">
      <c r="A749" s="3">
        <v>748</v>
      </c>
      <c r="B749" s="5">
        <f>DATE(Table1[[#This Row],[Year]],Table1[[#This Row],[Month]],Table1[[#This Row],[Day]])</f>
        <v>44692</v>
      </c>
      <c r="C749" s="3">
        <v>11</v>
      </c>
      <c r="D749" s="3">
        <v>5</v>
      </c>
      <c r="E749" s="3">
        <v>2022</v>
      </c>
      <c r="F749" s="3" t="str">
        <f>"Qtr"&amp; " " &amp;CHOOSE(MONTH(Table1[[#This Row],[Date]]),1,1,1,2,2,2,3,3,3,4,4,4)</f>
        <v>Qtr 2</v>
      </c>
      <c r="G749" s="3" t="str">
        <f>TEXT(Table1[[#This Row],[Date]],"mmmm")</f>
        <v>May</v>
      </c>
      <c r="H749" s="3" t="s">
        <v>1083</v>
      </c>
      <c r="I749" s="3" t="s">
        <v>39</v>
      </c>
      <c r="J749" s="3">
        <v>4</v>
      </c>
      <c r="K749" s="3">
        <v>54970.98</v>
      </c>
      <c r="L749" s="3">
        <f>Table1[[#This Row],[Price Per Unit]]*Table1[[#This Row],[Units Sold]]</f>
        <v>219883.92</v>
      </c>
      <c r="M749" s="3" t="s">
        <v>589</v>
      </c>
      <c r="N749" s="3">
        <v>58</v>
      </c>
      <c r="O749" s="3" t="s">
        <v>20</v>
      </c>
      <c r="P749" s="3" t="s">
        <v>31</v>
      </c>
      <c r="Q749" s="4">
        <v>4</v>
      </c>
      <c r="R749" s="4" t="str">
        <f>IF(Table1[[#This Row],[Customer Ratings]]&gt;=4, "Good",IF(Table1[[#This Row],[Customer Ratings]]=3, "Average","Poor"))</f>
        <v>Good</v>
      </c>
      <c r="S749" s="3" t="s">
        <v>76</v>
      </c>
    </row>
    <row r="750" spans="1:19" x14ac:dyDescent="0.25">
      <c r="A750" s="3">
        <v>749</v>
      </c>
      <c r="B750" s="5">
        <f>DATE(Table1[[#This Row],[Year]],Table1[[#This Row],[Month]],Table1[[#This Row],[Day]])</f>
        <v>44692</v>
      </c>
      <c r="C750" s="3">
        <v>11</v>
      </c>
      <c r="D750" s="3">
        <v>5</v>
      </c>
      <c r="E750" s="3">
        <v>2022</v>
      </c>
      <c r="F750" s="3" t="str">
        <f>"Qtr"&amp; " " &amp;CHOOSE(MONTH(Table1[[#This Row],[Date]]),1,1,1,2,2,2,3,3,3,4,4,4)</f>
        <v>Qtr 2</v>
      </c>
      <c r="G750" s="3" t="str">
        <f>TEXT(Table1[[#This Row],[Date]],"mmmm")</f>
        <v>May</v>
      </c>
      <c r="H750" s="3" t="s">
        <v>1083</v>
      </c>
      <c r="I750" s="3" t="s">
        <v>39</v>
      </c>
      <c r="J750" s="3">
        <v>9</v>
      </c>
      <c r="K750" s="3">
        <v>47833.55</v>
      </c>
      <c r="L750" s="3">
        <f>Table1[[#This Row],[Price Per Unit]]*Table1[[#This Row],[Units Sold]]</f>
        <v>430501.95</v>
      </c>
      <c r="M750" s="3" t="s">
        <v>238</v>
      </c>
      <c r="N750" s="3">
        <v>35</v>
      </c>
      <c r="O750" s="3" t="s">
        <v>24</v>
      </c>
      <c r="P750" s="3" t="s">
        <v>31</v>
      </c>
      <c r="Q750" s="4">
        <v>4</v>
      </c>
      <c r="R750" s="4" t="str">
        <f>IF(Table1[[#This Row],[Customer Ratings]]&gt;=4, "Good",IF(Table1[[#This Row],[Customer Ratings]]=3, "Average","Poor"))</f>
        <v>Good</v>
      </c>
      <c r="S750" s="3" t="s">
        <v>90</v>
      </c>
    </row>
    <row r="751" spans="1:19" x14ac:dyDescent="0.25">
      <c r="A751" s="3">
        <v>750</v>
      </c>
      <c r="B751" s="5">
        <f>DATE(Table1[[#This Row],[Year]],Table1[[#This Row],[Month]],Table1[[#This Row],[Day]])</f>
        <v>44692</v>
      </c>
      <c r="C751" s="3">
        <v>11</v>
      </c>
      <c r="D751" s="3">
        <v>5</v>
      </c>
      <c r="E751" s="3">
        <v>2022</v>
      </c>
      <c r="F751" s="3" t="str">
        <f>"Qtr"&amp; " " &amp;CHOOSE(MONTH(Table1[[#This Row],[Date]]),1,1,1,2,2,2,3,3,3,4,4,4)</f>
        <v>Qtr 2</v>
      </c>
      <c r="G751" s="3" t="str">
        <f>TEXT(Table1[[#This Row],[Date]],"mmmm")</f>
        <v>May</v>
      </c>
      <c r="H751" s="3" t="s">
        <v>1083</v>
      </c>
      <c r="I751" s="3" t="s">
        <v>33</v>
      </c>
      <c r="J751" s="3">
        <v>2</v>
      </c>
      <c r="K751" s="3">
        <v>54975.97</v>
      </c>
      <c r="L751" s="3">
        <f>Table1[[#This Row],[Price Per Unit]]*Table1[[#This Row],[Units Sold]]</f>
        <v>109951.94</v>
      </c>
      <c r="M751" s="3" t="s">
        <v>590</v>
      </c>
      <c r="N751" s="3">
        <v>25</v>
      </c>
      <c r="O751" s="3" t="s">
        <v>20</v>
      </c>
      <c r="P751" s="3" t="s">
        <v>16</v>
      </c>
      <c r="Q751" s="4">
        <v>5</v>
      </c>
      <c r="R751" s="4" t="str">
        <f>IF(Table1[[#This Row],[Customer Ratings]]&gt;=4, "Good",IF(Table1[[#This Row],[Customer Ratings]]=3, "Average","Poor"))</f>
        <v>Good</v>
      </c>
      <c r="S751" s="3" t="s">
        <v>83</v>
      </c>
    </row>
    <row r="752" spans="1:19" x14ac:dyDescent="0.25">
      <c r="A752" s="3">
        <v>751</v>
      </c>
      <c r="B752" s="5">
        <f>DATE(Table1[[#This Row],[Year]],Table1[[#This Row],[Month]],Table1[[#This Row],[Day]])</f>
        <v>44693</v>
      </c>
      <c r="C752" s="3">
        <v>12</v>
      </c>
      <c r="D752" s="3">
        <v>5</v>
      </c>
      <c r="E752" s="3">
        <v>2022</v>
      </c>
      <c r="F752" s="3" t="str">
        <f>"Qtr"&amp; " " &amp;CHOOSE(MONTH(Table1[[#This Row],[Date]]),1,1,1,2,2,2,3,3,3,4,4,4)</f>
        <v>Qtr 2</v>
      </c>
      <c r="G752" s="3" t="str">
        <f>TEXT(Table1[[#This Row],[Date]],"mmmm")</f>
        <v>May</v>
      </c>
      <c r="H752" s="3" t="s">
        <v>1084</v>
      </c>
      <c r="I752" s="3" t="s">
        <v>18</v>
      </c>
      <c r="J752" s="3">
        <v>3</v>
      </c>
      <c r="K752" s="3">
        <v>36240.85</v>
      </c>
      <c r="L752" s="3">
        <f>Table1[[#This Row],[Price Per Unit]]*Table1[[#This Row],[Units Sold]]</f>
        <v>108722.54999999999</v>
      </c>
      <c r="M752" s="3" t="s">
        <v>178</v>
      </c>
      <c r="N752" s="3">
        <v>32</v>
      </c>
      <c r="O752" s="3" t="s">
        <v>24</v>
      </c>
      <c r="P752" s="3" t="s">
        <v>16</v>
      </c>
      <c r="Q752" s="4">
        <v>5</v>
      </c>
      <c r="R752" s="4" t="str">
        <f>IF(Table1[[#This Row],[Customer Ratings]]&gt;=4, "Good",IF(Table1[[#This Row],[Customer Ratings]]=3, "Average","Poor"))</f>
        <v>Good</v>
      </c>
      <c r="S752" s="3" t="s">
        <v>25</v>
      </c>
    </row>
    <row r="753" spans="1:19" x14ac:dyDescent="0.25">
      <c r="A753" s="3">
        <v>752</v>
      </c>
      <c r="B753" s="5">
        <f>DATE(Table1[[#This Row],[Year]],Table1[[#This Row],[Month]],Table1[[#This Row],[Day]])</f>
        <v>44693</v>
      </c>
      <c r="C753" s="3">
        <v>12</v>
      </c>
      <c r="D753" s="3">
        <v>5</v>
      </c>
      <c r="E753" s="3">
        <v>2022</v>
      </c>
      <c r="F753" s="3" t="str">
        <f>"Qtr"&amp; " " &amp;CHOOSE(MONTH(Table1[[#This Row],[Date]]),1,1,1,2,2,2,3,3,3,4,4,4)</f>
        <v>Qtr 2</v>
      </c>
      <c r="G753" s="3" t="str">
        <f>TEXT(Table1[[#This Row],[Date]],"mmmm")</f>
        <v>May</v>
      </c>
      <c r="H753" s="3" t="s">
        <v>1084</v>
      </c>
      <c r="I753" s="3" t="s">
        <v>28</v>
      </c>
      <c r="J753" s="3">
        <v>4</v>
      </c>
      <c r="K753" s="3">
        <v>65958.460000000006</v>
      </c>
      <c r="L753" s="3">
        <f>Table1[[#This Row],[Price Per Unit]]*Table1[[#This Row],[Units Sold]]</f>
        <v>263833.84000000003</v>
      </c>
      <c r="M753" s="3" t="s">
        <v>591</v>
      </c>
      <c r="N753" s="3">
        <v>58</v>
      </c>
      <c r="O753" s="3" t="s">
        <v>81</v>
      </c>
      <c r="P753" s="3" t="s">
        <v>45</v>
      </c>
      <c r="Q753" s="4">
        <v>5</v>
      </c>
      <c r="R753" s="4" t="str">
        <f>IF(Table1[[#This Row],[Customer Ratings]]&gt;=4, "Good",IF(Table1[[#This Row],[Customer Ratings]]=3, "Average","Poor"))</f>
        <v>Good</v>
      </c>
      <c r="S753" s="3" t="s">
        <v>87</v>
      </c>
    </row>
    <row r="754" spans="1:19" x14ac:dyDescent="0.25">
      <c r="A754" s="3">
        <v>753</v>
      </c>
      <c r="B754" s="5">
        <f>DATE(Table1[[#This Row],[Year]],Table1[[#This Row],[Month]],Table1[[#This Row],[Day]])</f>
        <v>44693</v>
      </c>
      <c r="C754" s="3">
        <v>12</v>
      </c>
      <c r="D754" s="3">
        <v>5</v>
      </c>
      <c r="E754" s="3">
        <v>2022</v>
      </c>
      <c r="F754" s="3" t="str">
        <f>"Qtr"&amp; " " &amp;CHOOSE(MONTH(Table1[[#This Row],[Date]]),1,1,1,2,2,2,3,3,3,4,4,4)</f>
        <v>Qtr 2</v>
      </c>
      <c r="G754" s="3" t="str">
        <f>TEXT(Table1[[#This Row],[Date]],"mmmm")</f>
        <v>May</v>
      </c>
      <c r="H754" s="3" t="s">
        <v>1084</v>
      </c>
      <c r="I754" s="3" t="s">
        <v>33</v>
      </c>
      <c r="J754" s="3">
        <v>5</v>
      </c>
      <c r="K754" s="3">
        <v>47948.33</v>
      </c>
      <c r="L754" s="3">
        <f>Table1[[#This Row],[Price Per Unit]]*Table1[[#This Row],[Units Sold]]</f>
        <v>239741.65000000002</v>
      </c>
      <c r="M754" s="3" t="s">
        <v>357</v>
      </c>
      <c r="N754" s="3">
        <v>34</v>
      </c>
      <c r="O754" s="3" t="s">
        <v>41</v>
      </c>
      <c r="P754" s="3" t="s">
        <v>31</v>
      </c>
      <c r="Q754" s="4">
        <v>4</v>
      </c>
      <c r="R754" s="4" t="str">
        <f>IF(Table1[[#This Row],[Customer Ratings]]&gt;=4, "Good",IF(Table1[[#This Row],[Customer Ratings]]=3, "Average","Poor"))</f>
        <v>Good</v>
      </c>
      <c r="S754" s="3" t="s">
        <v>46</v>
      </c>
    </row>
    <row r="755" spans="1:19" x14ac:dyDescent="0.25">
      <c r="A755" s="3">
        <v>754</v>
      </c>
      <c r="B755" s="5">
        <f>DATE(Table1[[#This Row],[Year]],Table1[[#This Row],[Month]],Table1[[#This Row],[Day]])</f>
        <v>44694</v>
      </c>
      <c r="C755" s="3">
        <v>13</v>
      </c>
      <c r="D755" s="3">
        <v>5</v>
      </c>
      <c r="E755" s="3">
        <v>2022</v>
      </c>
      <c r="F755" s="3" t="str">
        <f>"Qtr"&amp; " " &amp;CHOOSE(MONTH(Table1[[#This Row],[Date]]),1,1,1,2,2,2,3,3,3,4,4,4)</f>
        <v>Qtr 2</v>
      </c>
      <c r="G755" s="3" t="str">
        <f>TEXT(Table1[[#This Row],[Date]],"mmmm")</f>
        <v>May</v>
      </c>
      <c r="H755" s="3" t="s">
        <v>1085</v>
      </c>
      <c r="I755" s="3" t="s">
        <v>18</v>
      </c>
      <c r="J755" s="3">
        <v>1</v>
      </c>
      <c r="K755" s="3">
        <v>27297.75</v>
      </c>
      <c r="L755" s="3">
        <f>Table1[[#This Row],[Price Per Unit]]*Table1[[#This Row],[Units Sold]]</f>
        <v>27297.75</v>
      </c>
      <c r="M755" s="3" t="s">
        <v>592</v>
      </c>
      <c r="N755" s="3">
        <v>40</v>
      </c>
      <c r="O755" s="3" t="s">
        <v>20</v>
      </c>
      <c r="P755" s="3" t="s">
        <v>16</v>
      </c>
      <c r="Q755" s="4">
        <v>4</v>
      </c>
      <c r="R755" s="4" t="str">
        <f>IF(Table1[[#This Row],[Customer Ratings]]&gt;=4, "Good",IF(Table1[[#This Row],[Customer Ratings]]=3, "Average","Poor"))</f>
        <v>Good</v>
      </c>
      <c r="S755" s="3" t="s">
        <v>55</v>
      </c>
    </row>
    <row r="756" spans="1:19" x14ac:dyDescent="0.25">
      <c r="A756" s="3">
        <v>755</v>
      </c>
      <c r="B756" s="5">
        <f>DATE(Table1[[#This Row],[Year]],Table1[[#This Row],[Month]],Table1[[#This Row],[Day]])</f>
        <v>44694</v>
      </c>
      <c r="C756" s="3">
        <v>13</v>
      </c>
      <c r="D756" s="3">
        <v>5</v>
      </c>
      <c r="E756" s="3">
        <v>2022</v>
      </c>
      <c r="F756" s="3" t="str">
        <f>"Qtr"&amp; " " &amp;CHOOSE(MONTH(Table1[[#This Row],[Date]]),1,1,1,2,2,2,3,3,3,4,4,4)</f>
        <v>Qtr 2</v>
      </c>
      <c r="G756" s="3" t="str">
        <f>TEXT(Table1[[#This Row],[Date]],"mmmm")</f>
        <v>May</v>
      </c>
      <c r="H756" s="3" t="s">
        <v>1085</v>
      </c>
      <c r="I756" s="3" t="s">
        <v>18</v>
      </c>
      <c r="J756" s="3">
        <v>7</v>
      </c>
      <c r="K756" s="3">
        <v>48307.3</v>
      </c>
      <c r="L756" s="3">
        <f>Table1[[#This Row],[Price Per Unit]]*Table1[[#This Row],[Units Sold]]</f>
        <v>338151.10000000003</v>
      </c>
      <c r="M756" s="3" t="s">
        <v>593</v>
      </c>
      <c r="N756" s="3">
        <v>19</v>
      </c>
      <c r="O756" s="3" t="s">
        <v>24</v>
      </c>
      <c r="P756" s="3" t="s">
        <v>16</v>
      </c>
      <c r="Q756" s="4">
        <v>3</v>
      </c>
      <c r="R756" s="4" t="str">
        <f>IF(Table1[[#This Row],[Customer Ratings]]&gt;=4, "Good",IF(Table1[[#This Row],[Customer Ratings]]=3, "Average","Poor"))</f>
        <v>Average</v>
      </c>
      <c r="S756" s="3" t="s">
        <v>25</v>
      </c>
    </row>
    <row r="757" spans="1:19" x14ac:dyDescent="0.25">
      <c r="A757" s="3">
        <v>756</v>
      </c>
      <c r="B757" s="5">
        <f>DATE(Table1[[#This Row],[Year]],Table1[[#This Row],[Month]],Table1[[#This Row],[Day]])</f>
        <v>44694</v>
      </c>
      <c r="C757" s="3">
        <v>13</v>
      </c>
      <c r="D757" s="3">
        <v>5</v>
      </c>
      <c r="E757" s="3">
        <v>2022</v>
      </c>
      <c r="F757" s="3" t="str">
        <f>"Qtr"&amp; " " &amp;CHOOSE(MONTH(Table1[[#This Row],[Date]]),1,1,1,2,2,2,3,3,3,4,4,4)</f>
        <v>Qtr 2</v>
      </c>
      <c r="G757" s="3" t="str">
        <f>TEXT(Table1[[#This Row],[Date]],"mmmm")</f>
        <v>May</v>
      </c>
      <c r="H757" s="3" t="s">
        <v>1085</v>
      </c>
      <c r="I757" s="3" t="s">
        <v>33</v>
      </c>
      <c r="J757" s="3">
        <v>7</v>
      </c>
      <c r="K757" s="3">
        <v>27208.94</v>
      </c>
      <c r="L757" s="3">
        <f>Table1[[#This Row],[Price Per Unit]]*Table1[[#This Row],[Units Sold]]</f>
        <v>190462.58</v>
      </c>
      <c r="M757" s="3" t="s">
        <v>594</v>
      </c>
      <c r="N757" s="3">
        <v>23</v>
      </c>
      <c r="O757" s="3" t="s">
        <v>98</v>
      </c>
      <c r="P757" s="3" t="s">
        <v>31</v>
      </c>
      <c r="Q757" s="4">
        <v>3</v>
      </c>
      <c r="R757" s="4" t="str">
        <f>IF(Table1[[#This Row],[Customer Ratings]]&gt;=4, "Good",IF(Table1[[#This Row],[Customer Ratings]]=3, "Average","Poor"))</f>
        <v>Average</v>
      </c>
      <c r="S757" s="3" t="s">
        <v>83</v>
      </c>
    </row>
    <row r="758" spans="1:19" x14ac:dyDescent="0.25">
      <c r="A758" s="3">
        <v>757</v>
      </c>
      <c r="B758" s="5">
        <f>DATE(Table1[[#This Row],[Year]],Table1[[#This Row],[Month]],Table1[[#This Row],[Day]])</f>
        <v>44694</v>
      </c>
      <c r="C758" s="3">
        <v>13</v>
      </c>
      <c r="D758" s="3">
        <v>5</v>
      </c>
      <c r="E758" s="3">
        <v>2022</v>
      </c>
      <c r="F758" s="3" t="str">
        <f>"Qtr"&amp; " " &amp;CHOOSE(MONTH(Table1[[#This Row],[Date]]),1,1,1,2,2,2,3,3,3,4,4,4)</f>
        <v>Qtr 2</v>
      </c>
      <c r="G758" s="3" t="str">
        <f>TEXT(Table1[[#This Row],[Date]],"mmmm")</f>
        <v>May</v>
      </c>
      <c r="H758" s="3" t="s">
        <v>1085</v>
      </c>
      <c r="I758" s="3" t="s">
        <v>39</v>
      </c>
      <c r="J758" s="3">
        <v>9</v>
      </c>
      <c r="K758" s="3">
        <v>27617.94</v>
      </c>
      <c r="L758" s="3">
        <f>Table1[[#This Row],[Price Per Unit]]*Table1[[#This Row],[Units Sold]]</f>
        <v>248561.46</v>
      </c>
      <c r="M758" s="3" t="s">
        <v>595</v>
      </c>
      <c r="N758" s="3">
        <v>46</v>
      </c>
      <c r="O758" s="3" t="s">
        <v>78</v>
      </c>
      <c r="P758" s="3" t="s">
        <v>45</v>
      </c>
      <c r="Q758" s="4">
        <v>4</v>
      </c>
      <c r="R758" s="4" t="str">
        <f>IF(Table1[[#This Row],[Customer Ratings]]&gt;=4, "Good",IF(Table1[[#This Row],[Customer Ratings]]=3, "Average","Poor"))</f>
        <v>Good</v>
      </c>
      <c r="S758" s="3" t="s">
        <v>42</v>
      </c>
    </row>
    <row r="759" spans="1:19" x14ac:dyDescent="0.25">
      <c r="A759" s="3">
        <v>758</v>
      </c>
      <c r="B759" s="5">
        <f>DATE(Table1[[#This Row],[Year]],Table1[[#This Row],[Month]],Table1[[#This Row],[Day]])</f>
        <v>44695</v>
      </c>
      <c r="C759" s="3">
        <v>14</v>
      </c>
      <c r="D759" s="3">
        <v>5</v>
      </c>
      <c r="E759" s="3">
        <v>2022</v>
      </c>
      <c r="F759" s="3" t="str">
        <f>"Qtr"&amp; " " &amp;CHOOSE(MONTH(Table1[[#This Row],[Date]]),1,1,1,2,2,2,3,3,3,4,4,4)</f>
        <v>Qtr 2</v>
      </c>
      <c r="G759" s="3" t="str">
        <f>TEXT(Table1[[#This Row],[Date]],"mmmm")</f>
        <v>May</v>
      </c>
      <c r="H759" s="3" t="s">
        <v>1079</v>
      </c>
      <c r="I759" s="3" t="s">
        <v>18</v>
      </c>
      <c r="J759" s="3">
        <v>4</v>
      </c>
      <c r="K759" s="3">
        <v>33975.910000000003</v>
      </c>
      <c r="L759" s="3">
        <f>Table1[[#This Row],[Price Per Unit]]*Table1[[#This Row],[Units Sold]]</f>
        <v>135903.64000000001</v>
      </c>
      <c r="M759" s="3" t="s">
        <v>310</v>
      </c>
      <c r="N759" s="3">
        <v>44</v>
      </c>
      <c r="O759" s="3" t="s">
        <v>48</v>
      </c>
      <c r="P759" s="3" t="s">
        <v>31</v>
      </c>
      <c r="Q759" s="4">
        <v>3</v>
      </c>
      <c r="R759" s="4" t="str">
        <f>IF(Table1[[#This Row],[Customer Ratings]]&gt;=4, "Good",IF(Table1[[#This Row],[Customer Ratings]]=3, "Average","Poor"))</f>
        <v>Average</v>
      </c>
      <c r="S759" s="3" t="s">
        <v>25</v>
      </c>
    </row>
    <row r="760" spans="1:19" x14ac:dyDescent="0.25">
      <c r="A760" s="3">
        <v>759</v>
      </c>
      <c r="B760" s="5">
        <f>DATE(Table1[[#This Row],[Year]],Table1[[#This Row],[Month]],Table1[[#This Row],[Day]])</f>
        <v>44695</v>
      </c>
      <c r="C760" s="3">
        <v>14</v>
      </c>
      <c r="D760" s="3">
        <v>5</v>
      </c>
      <c r="E760" s="3">
        <v>2022</v>
      </c>
      <c r="F760" s="3" t="str">
        <f>"Qtr"&amp; " " &amp;CHOOSE(MONTH(Table1[[#This Row],[Date]]),1,1,1,2,2,2,3,3,3,4,4,4)</f>
        <v>Qtr 2</v>
      </c>
      <c r="G760" s="3" t="str">
        <f>TEXT(Table1[[#This Row],[Date]],"mmmm")</f>
        <v>May</v>
      </c>
      <c r="H760" s="3" t="s">
        <v>1079</v>
      </c>
      <c r="I760" s="3" t="s">
        <v>39</v>
      </c>
      <c r="J760" s="3">
        <v>6</v>
      </c>
      <c r="K760" s="3">
        <v>61145.83</v>
      </c>
      <c r="L760" s="3">
        <f>Table1[[#This Row],[Price Per Unit]]*Table1[[#This Row],[Units Sold]]</f>
        <v>366874.98</v>
      </c>
      <c r="M760" s="3" t="s">
        <v>521</v>
      </c>
      <c r="N760" s="3">
        <v>54</v>
      </c>
      <c r="O760" s="3" t="s">
        <v>41</v>
      </c>
      <c r="P760" s="3" t="s">
        <v>45</v>
      </c>
      <c r="Q760" s="4">
        <v>3</v>
      </c>
      <c r="R760" s="4" t="str">
        <f>IF(Table1[[#This Row],[Customer Ratings]]&gt;=4, "Good",IF(Table1[[#This Row],[Customer Ratings]]=3, "Average","Poor"))</f>
        <v>Average</v>
      </c>
      <c r="S760" s="3" t="s">
        <v>76</v>
      </c>
    </row>
    <row r="761" spans="1:19" x14ac:dyDescent="0.25">
      <c r="A761" s="3">
        <v>760</v>
      </c>
      <c r="B761" s="5">
        <f>DATE(Table1[[#This Row],[Year]],Table1[[#This Row],[Month]],Table1[[#This Row],[Day]])</f>
        <v>44695</v>
      </c>
      <c r="C761" s="3">
        <v>14</v>
      </c>
      <c r="D761" s="3">
        <v>5</v>
      </c>
      <c r="E761" s="3">
        <v>2022</v>
      </c>
      <c r="F761" s="3" t="str">
        <f>"Qtr"&amp; " " &amp;CHOOSE(MONTH(Table1[[#This Row],[Date]]),1,1,1,2,2,2,3,3,3,4,4,4)</f>
        <v>Qtr 2</v>
      </c>
      <c r="G761" s="3" t="str">
        <f>TEXT(Table1[[#This Row],[Date]],"mmmm")</f>
        <v>May</v>
      </c>
      <c r="H761" s="3" t="s">
        <v>1079</v>
      </c>
      <c r="I761" s="3" t="s">
        <v>33</v>
      </c>
      <c r="J761" s="3">
        <v>2</v>
      </c>
      <c r="K761" s="3">
        <v>40017.870000000003</v>
      </c>
      <c r="L761" s="3">
        <f>Table1[[#This Row],[Price Per Unit]]*Table1[[#This Row],[Units Sold]]</f>
        <v>80035.740000000005</v>
      </c>
      <c r="M761" s="3" t="s">
        <v>75</v>
      </c>
      <c r="N761" s="3">
        <v>51</v>
      </c>
      <c r="O761" s="3" t="s">
        <v>24</v>
      </c>
      <c r="P761" s="3" t="s">
        <v>45</v>
      </c>
      <c r="Q761" s="4">
        <v>3</v>
      </c>
      <c r="R761" s="4" t="str">
        <f>IF(Table1[[#This Row],[Customer Ratings]]&gt;=4, "Good",IF(Table1[[#This Row],[Customer Ratings]]=3, "Average","Poor"))</f>
        <v>Average</v>
      </c>
      <c r="S761" s="3" t="s">
        <v>83</v>
      </c>
    </row>
    <row r="762" spans="1:19" x14ac:dyDescent="0.25">
      <c r="A762" s="3">
        <v>761</v>
      </c>
      <c r="B762" s="5">
        <f>DATE(Table1[[#This Row],[Year]],Table1[[#This Row],[Month]],Table1[[#This Row],[Day]])</f>
        <v>44696</v>
      </c>
      <c r="C762" s="3">
        <v>15</v>
      </c>
      <c r="D762" s="3">
        <v>5</v>
      </c>
      <c r="E762" s="3">
        <v>2022</v>
      </c>
      <c r="F762" s="3" t="str">
        <f>"Qtr"&amp; " " &amp;CHOOSE(MONTH(Table1[[#This Row],[Date]]),1,1,1,2,2,2,3,3,3,4,4,4)</f>
        <v>Qtr 2</v>
      </c>
      <c r="G762" s="3" t="str">
        <f>TEXT(Table1[[#This Row],[Date]],"mmmm")</f>
        <v>May</v>
      </c>
      <c r="H762" s="3" t="s">
        <v>1080</v>
      </c>
      <c r="I762" s="3" t="s">
        <v>39</v>
      </c>
      <c r="J762" s="3">
        <v>4</v>
      </c>
      <c r="K762" s="3">
        <v>50734.05</v>
      </c>
      <c r="L762" s="3">
        <f>Table1[[#This Row],[Price Per Unit]]*Table1[[#This Row],[Units Sold]]</f>
        <v>202936.2</v>
      </c>
      <c r="M762" s="3" t="s">
        <v>596</v>
      </c>
      <c r="N762" s="3">
        <v>35</v>
      </c>
      <c r="O762" s="3" t="s">
        <v>48</v>
      </c>
      <c r="P762" s="3" t="s">
        <v>16</v>
      </c>
      <c r="Q762" s="4">
        <v>4</v>
      </c>
      <c r="R762" s="4" t="str">
        <f>IF(Table1[[#This Row],[Customer Ratings]]&gt;=4, "Good",IF(Table1[[#This Row],[Customer Ratings]]=3, "Average","Poor"))</f>
        <v>Good</v>
      </c>
      <c r="S762" s="3" t="s">
        <v>76</v>
      </c>
    </row>
    <row r="763" spans="1:19" x14ac:dyDescent="0.25">
      <c r="A763" s="3">
        <v>762</v>
      </c>
      <c r="B763" s="5">
        <f>DATE(Table1[[#This Row],[Year]],Table1[[#This Row],[Month]],Table1[[#This Row],[Day]])</f>
        <v>44696</v>
      </c>
      <c r="C763" s="3">
        <v>15</v>
      </c>
      <c r="D763" s="3">
        <v>5</v>
      </c>
      <c r="E763" s="3">
        <v>2022</v>
      </c>
      <c r="F763" s="3" t="str">
        <f>"Qtr"&amp; " " &amp;CHOOSE(MONTH(Table1[[#This Row],[Date]]),1,1,1,2,2,2,3,3,3,4,4,4)</f>
        <v>Qtr 2</v>
      </c>
      <c r="G763" s="3" t="str">
        <f>TEXT(Table1[[#This Row],[Date]],"mmmm")</f>
        <v>May</v>
      </c>
      <c r="H763" s="3" t="s">
        <v>1080</v>
      </c>
      <c r="I763" s="3" t="s">
        <v>13</v>
      </c>
      <c r="J763" s="3">
        <v>2</v>
      </c>
      <c r="K763" s="3">
        <v>33518.06</v>
      </c>
      <c r="L763" s="3">
        <f>Table1[[#This Row],[Price Per Unit]]*Table1[[#This Row],[Units Sold]]</f>
        <v>67036.12</v>
      </c>
      <c r="M763" s="3" t="s">
        <v>499</v>
      </c>
      <c r="N763" s="3">
        <v>59</v>
      </c>
      <c r="O763" s="3" t="s">
        <v>20</v>
      </c>
      <c r="P763" s="3" t="s">
        <v>31</v>
      </c>
      <c r="Q763" s="4">
        <v>5</v>
      </c>
      <c r="R763" s="4" t="str">
        <f>IF(Table1[[#This Row],[Customer Ratings]]&gt;=4, "Good",IF(Table1[[#This Row],[Customer Ratings]]=3, "Average","Poor"))</f>
        <v>Good</v>
      </c>
      <c r="S763" s="3" t="s">
        <v>27</v>
      </c>
    </row>
    <row r="764" spans="1:19" x14ac:dyDescent="0.25">
      <c r="A764" s="3">
        <v>763</v>
      </c>
      <c r="B764" s="5">
        <f>DATE(Table1[[#This Row],[Year]],Table1[[#This Row],[Month]],Table1[[#This Row],[Day]])</f>
        <v>44696</v>
      </c>
      <c r="C764" s="3">
        <v>15</v>
      </c>
      <c r="D764" s="3">
        <v>5</v>
      </c>
      <c r="E764" s="3">
        <v>2022</v>
      </c>
      <c r="F764" s="3" t="str">
        <f>"Qtr"&amp; " " &amp;CHOOSE(MONTH(Table1[[#This Row],[Date]]),1,1,1,2,2,2,3,3,3,4,4,4)</f>
        <v>Qtr 2</v>
      </c>
      <c r="G764" s="3" t="str">
        <f>TEXT(Table1[[#This Row],[Date]],"mmmm")</f>
        <v>May</v>
      </c>
      <c r="H764" s="3" t="s">
        <v>1080</v>
      </c>
      <c r="I764" s="3" t="s">
        <v>28</v>
      </c>
      <c r="J764" s="3">
        <v>5</v>
      </c>
      <c r="K764" s="3">
        <v>25816.33</v>
      </c>
      <c r="L764" s="3">
        <f>Table1[[#This Row],[Price Per Unit]]*Table1[[#This Row],[Units Sold]]</f>
        <v>129081.65000000001</v>
      </c>
      <c r="M764" s="3" t="s">
        <v>183</v>
      </c>
      <c r="N764" s="3">
        <v>27</v>
      </c>
      <c r="O764" s="3" t="s">
        <v>41</v>
      </c>
      <c r="P764" s="3" t="s">
        <v>31</v>
      </c>
      <c r="Q764" s="4">
        <v>5</v>
      </c>
      <c r="R764" s="4" t="str">
        <f>IF(Table1[[#This Row],[Customer Ratings]]&gt;=4, "Good",IF(Table1[[#This Row],[Customer Ratings]]=3, "Average","Poor"))</f>
        <v>Good</v>
      </c>
      <c r="S764" s="3" t="s">
        <v>87</v>
      </c>
    </row>
    <row r="765" spans="1:19" x14ac:dyDescent="0.25">
      <c r="A765" s="3">
        <v>764</v>
      </c>
      <c r="B765" s="5">
        <f>DATE(Table1[[#This Row],[Year]],Table1[[#This Row],[Month]],Table1[[#This Row],[Day]])</f>
        <v>44696</v>
      </c>
      <c r="C765" s="3">
        <v>15</v>
      </c>
      <c r="D765" s="3">
        <v>5</v>
      </c>
      <c r="E765" s="3">
        <v>2022</v>
      </c>
      <c r="F765" s="3" t="str">
        <f>"Qtr"&amp; " " &amp;CHOOSE(MONTH(Table1[[#This Row],[Date]]),1,1,1,2,2,2,3,3,3,4,4,4)</f>
        <v>Qtr 2</v>
      </c>
      <c r="G765" s="3" t="str">
        <f>TEXT(Table1[[#This Row],[Date]],"mmmm")</f>
        <v>May</v>
      </c>
      <c r="H765" s="3" t="s">
        <v>1080</v>
      </c>
      <c r="I765" s="3" t="s">
        <v>18</v>
      </c>
      <c r="J765" s="3">
        <v>7</v>
      </c>
      <c r="K765" s="3">
        <v>67278.41</v>
      </c>
      <c r="L765" s="3">
        <f>Table1[[#This Row],[Price Per Unit]]*Table1[[#This Row],[Units Sold]]</f>
        <v>470948.87</v>
      </c>
      <c r="M765" s="3" t="s">
        <v>66</v>
      </c>
      <c r="N765" s="3">
        <v>55</v>
      </c>
      <c r="O765" s="3" t="s">
        <v>78</v>
      </c>
      <c r="P765" s="3" t="s">
        <v>16</v>
      </c>
      <c r="Q765" s="4">
        <v>5</v>
      </c>
      <c r="R765" s="4" t="str">
        <f>IF(Table1[[#This Row],[Customer Ratings]]&gt;=4, "Good",IF(Table1[[#This Row],[Customer Ratings]]=3, "Average","Poor"))</f>
        <v>Good</v>
      </c>
      <c r="S765" s="3" t="s">
        <v>25</v>
      </c>
    </row>
    <row r="766" spans="1:19" x14ac:dyDescent="0.25">
      <c r="A766" s="3">
        <v>765</v>
      </c>
      <c r="B766" s="5">
        <f>DATE(Table1[[#This Row],[Year]],Table1[[#This Row],[Month]],Table1[[#This Row],[Day]])</f>
        <v>44697</v>
      </c>
      <c r="C766" s="3">
        <v>16</v>
      </c>
      <c r="D766" s="3">
        <v>5</v>
      </c>
      <c r="E766" s="3">
        <v>2022</v>
      </c>
      <c r="F766" s="3" t="str">
        <f>"Qtr"&amp; " " &amp;CHOOSE(MONTH(Table1[[#This Row],[Date]]),1,1,1,2,2,2,3,3,3,4,4,4)</f>
        <v>Qtr 2</v>
      </c>
      <c r="G766" s="3" t="str">
        <f>TEXT(Table1[[#This Row],[Date]],"mmmm")</f>
        <v>May</v>
      </c>
      <c r="H766" s="3" t="s">
        <v>1081</v>
      </c>
      <c r="I766" s="3" t="s">
        <v>28</v>
      </c>
      <c r="J766" s="3">
        <v>1</v>
      </c>
      <c r="K766" s="3">
        <v>46214.87</v>
      </c>
      <c r="L766" s="3">
        <f>Table1[[#This Row],[Price Per Unit]]*Table1[[#This Row],[Units Sold]]</f>
        <v>46214.87</v>
      </c>
      <c r="M766" s="3" t="s">
        <v>597</v>
      </c>
      <c r="N766" s="3">
        <v>34</v>
      </c>
      <c r="O766" s="3" t="s">
        <v>24</v>
      </c>
      <c r="P766" s="3" t="s">
        <v>21</v>
      </c>
      <c r="Q766" s="4">
        <v>3</v>
      </c>
      <c r="R766" s="4" t="str">
        <f>IF(Table1[[#This Row],[Customer Ratings]]&gt;=4, "Good",IF(Table1[[#This Row],[Customer Ratings]]=3, "Average","Poor"))</f>
        <v>Average</v>
      </c>
      <c r="S766" s="3" t="s">
        <v>38</v>
      </c>
    </row>
    <row r="767" spans="1:19" x14ac:dyDescent="0.25">
      <c r="A767" s="3">
        <v>766</v>
      </c>
      <c r="B767" s="5">
        <f>DATE(Table1[[#This Row],[Year]],Table1[[#This Row],[Month]],Table1[[#This Row],[Day]])</f>
        <v>44697</v>
      </c>
      <c r="C767" s="3">
        <v>16</v>
      </c>
      <c r="D767" s="3">
        <v>5</v>
      </c>
      <c r="E767" s="3">
        <v>2022</v>
      </c>
      <c r="F767" s="3" t="str">
        <f>"Qtr"&amp; " " &amp;CHOOSE(MONTH(Table1[[#This Row],[Date]]),1,1,1,2,2,2,3,3,3,4,4,4)</f>
        <v>Qtr 2</v>
      </c>
      <c r="G767" s="3" t="str">
        <f>TEXT(Table1[[#This Row],[Date]],"mmmm")</f>
        <v>May</v>
      </c>
      <c r="H767" s="3" t="s">
        <v>1081</v>
      </c>
      <c r="I767" s="3" t="s">
        <v>39</v>
      </c>
      <c r="J767" s="3">
        <v>7</v>
      </c>
      <c r="K767" s="3">
        <v>66037.08</v>
      </c>
      <c r="L767" s="3">
        <f>Table1[[#This Row],[Price Per Unit]]*Table1[[#This Row],[Units Sold]]</f>
        <v>462259.56</v>
      </c>
      <c r="M767" s="3" t="s">
        <v>304</v>
      </c>
      <c r="N767" s="3">
        <v>30</v>
      </c>
      <c r="O767" s="3" t="s">
        <v>24</v>
      </c>
      <c r="P767" s="3" t="s">
        <v>21</v>
      </c>
      <c r="Q767" s="4">
        <v>5</v>
      </c>
      <c r="R767" s="4" t="str">
        <f>IF(Table1[[#This Row],[Customer Ratings]]&gt;=4, "Good",IF(Table1[[#This Row],[Customer Ratings]]=3, "Average","Poor"))</f>
        <v>Good</v>
      </c>
      <c r="S767" s="3" t="s">
        <v>90</v>
      </c>
    </row>
    <row r="768" spans="1:19" x14ac:dyDescent="0.25">
      <c r="A768" s="3">
        <v>767</v>
      </c>
      <c r="B768" s="5">
        <f>DATE(Table1[[#This Row],[Year]],Table1[[#This Row],[Month]],Table1[[#This Row],[Day]])</f>
        <v>44697</v>
      </c>
      <c r="C768" s="3">
        <v>16</v>
      </c>
      <c r="D768" s="3">
        <v>5</v>
      </c>
      <c r="E768" s="3">
        <v>2022</v>
      </c>
      <c r="F768" s="3" t="str">
        <f>"Qtr"&amp; " " &amp;CHOOSE(MONTH(Table1[[#This Row],[Date]]),1,1,1,2,2,2,3,3,3,4,4,4)</f>
        <v>Qtr 2</v>
      </c>
      <c r="G768" s="3" t="str">
        <f>TEXT(Table1[[#This Row],[Date]],"mmmm")</f>
        <v>May</v>
      </c>
      <c r="H768" s="3" t="s">
        <v>1081</v>
      </c>
      <c r="I768" s="3" t="s">
        <v>18</v>
      </c>
      <c r="J768" s="3">
        <v>6</v>
      </c>
      <c r="K768" s="3">
        <v>22204.78</v>
      </c>
      <c r="L768" s="3">
        <f>Table1[[#This Row],[Price Per Unit]]*Table1[[#This Row],[Units Sold]]</f>
        <v>133228.68</v>
      </c>
      <c r="M768" s="3" t="s">
        <v>170</v>
      </c>
      <c r="N768" s="3">
        <v>59</v>
      </c>
      <c r="O768" s="3" t="s">
        <v>48</v>
      </c>
      <c r="P768" s="3" t="s">
        <v>31</v>
      </c>
      <c r="Q768" s="4">
        <v>5</v>
      </c>
      <c r="R768" s="4" t="str">
        <f>IF(Table1[[#This Row],[Customer Ratings]]&gt;=4, "Good",IF(Table1[[#This Row],[Customer Ratings]]=3, "Average","Poor"))</f>
        <v>Good</v>
      </c>
      <c r="S768" s="3" t="s">
        <v>55</v>
      </c>
    </row>
    <row r="769" spans="1:19" x14ac:dyDescent="0.25">
      <c r="A769" s="3">
        <v>768</v>
      </c>
      <c r="B769" s="5">
        <f>DATE(Table1[[#This Row],[Year]],Table1[[#This Row],[Month]],Table1[[#This Row],[Day]])</f>
        <v>44698</v>
      </c>
      <c r="C769" s="3">
        <v>17</v>
      </c>
      <c r="D769" s="3">
        <v>5</v>
      </c>
      <c r="E769" s="3">
        <v>2022</v>
      </c>
      <c r="F769" s="3" t="str">
        <f>"Qtr"&amp; " " &amp;CHOOSE(MONTH(Table1[[#This Row],[Date]]),1,1,1,2,2,2,3,3,3,4,4,4)</f>
        <v>Qtr 2</v>
      </c>
      <c r="G769" s="3" t="str">
        <f>TEXT(Table1[[#This Row],[Date]],"mmmm")</f>
        <v>May</v>
      </c>
      <c r="H769" s="3" t="s">
        <v>1082</v>
      </c>
      <c r="I769" s="3" t="s">
        <v>39</v>
      </c>
      <c r="J769" s="3">
        <v>6</v>
      </c>
      <c r="K769" s="3">
        <v>18813.650000000001</v>
      </c>
      <c r="L769" s="3">
        <f>Table1[[#This Row],[Price Per Unit]]*Table1[[#This Row],[Units Sold]]</f>
        <v>112881.90000000001</v>
      </c>
      <c r="M769" s="3" t="s">
        <v>412</v>
      </c>
      <c r="N769" s="3">
        <v>44</v>
      </c>
      <c r="O769" s="3" t="s">
        <v>137</v>
      </c>
      <c r="P769" s="3" t="s">
        <v>16</v>
      </c>
      <c r="Q769" s="4">
        <v>5</v>
      </c>
      <c r="R769" s="4" t="str">
        <f>IF(Table1[[#This Row],[Customer Ratings]]&gt;=4, "Good",IF(Table1[[#This Row],[Customer Ratings]]=3, "Average","Poor"))</f>
        <v>Good</v>
      </c>
      <c r="S769" s="3" t="s">
        <v>42</v>
      </c>
    </row>
    <row r="770" spans="1:19" x14ac:dyDescent="0.25">
      <c r="A770" s="3">
        <v>769</v>
      </c>
      <c r="B770" s="5">
        <f>DATE(Table1[[#This Row],[Year]],Table1[[#This Row],[Month]],Table1[[#This Row],[Day]])</f>
        <v>44698</v>
      </c>
      <c r="C770" s="3">
        <v>17</v>
      </c>
      <c r="D770" s="3">
        <v>5</v>
      </c>
      <c r="E770" s="3">
        <v>2022</v>
      </c>
      <c r="F770" s="3" t="str">
        <f>"Qtr"&amp; " " &amp;CHOOSE(MONTH(Table1[[#This Row],[Date]]),1,1,1,2,2,2,3,3,3,4,4,4)</f>
        <v>Qtr 2</v>
      </c>
      <c r="G770" s="3" t="str">
        <f>TEXT(Table1[[#This Row],[Date]],"mmmm")</f>
        <v>May</v>
      </c>
      <c r="H770" s="3" t="s">
        <v>1082</v>
      </c>
      <c r="I770" s="3" t="s">
        <v>13</v>
      </c>
      <c r="J770" s="3">
        <v>8</v>
      </c>
      <c r="K770" s="3">
        <v>61349.37</v>
      </c>
      <c r="L770" s="3">
        <f>Table1[[#This Row],[Price Per Unit]]*Table1[[#This Row],[Units Sold]]</f>
        <v>490794.96</v>
      </c>
      <c r="M770" s="3" t="s">
        <v>598</v>
      </c>
      <c r="N770" s="3">
        <v>19</v>
      </c>
      <c r="O770" s="3" t="s">
        <v>48</v>
      </c>
      <c r="P770" s="3" t="s">
        <v>45</v>
      </c>
      <c r="Q770" s="4">
        <v>3</v>
      </c>
      <c r="R770" s="4" t="str">
        <f>IF(Table1[[#This Row],[Customer Ratings]]&gt;=4, "Good",IF(Table1[[#This Row],[Customer Ratings]]=3, "Average","Poor"))</f>
        <v>Average</v>
      </c>
      <c r="S770" s="3" t="s">
        <v>27</v>
      </c>
    </row>
    <row r="771" spans="1:19" x14ac:dyDescent="0.25">
      <c r="A771" s="3">
        <v>770</v>
      </c>
      <c r="B771" s="5">
        <f>DATE(Table1[[#This Row],[Year]],Table1[[#This Row],[Month]],Table1[[#This Row],[Day]])</f>
        <v>44698</v>
      </c>
      <c r="C771" s="3">
        <v>17</v>
      </c>
      <c r="D771" s="3">
        <v>5</v>
      </c>
      <c r="E771" s="3">
        <v>2022</v>
      </c>
      <c r="F771" s="3" t="str">
        <f>"Qtr"&amp; " " &amp;CHOOSE(MONTH(Table1[[#This Row],[Date]]),1,1,1,2,2,2,3,3,3,4,4,4)</f>
        <v>Qtr 2</v>
      </c>
      <c r="G771" s="3" t="str">
        <f>TEXT(Table1[[#This Row],[Date]],"mmmm")</f>
        <v>May</v>
      </c>
      <c r="H771" s="3" t="s">
        <v>1082</v>
      </c>
      <c r="I771" s="3" t="s">
        <v>33</v>
      </c>
      <c r="J771" s="3">
        <v>8</v>
      </c>
      <c r="K771" s="3">
        <v>50855.03</v>
      </c>
      <c r="L771" s="3">
        <f>Table1[[#This Row],[Price Per Unit]]*Table1[[#This Row],[Units Sold]]</f>
        <v>406840.24</v>
      </c>
      <c r="M771" s="3" t="s">
        <v>191</v>
      </c>
      <c r="N771" s="3">
        <v>51</v>
      </c>
      <c r="O771" s="3" t="s">
        <v>125</v>
      </c>
      <c r="P771" s="3" t="s">
        <v>45</v>
      </c>
      <c r="Q771" s="4">
        <v>5</v>
      </c>
      <c r="R771" s="4" t="str">
        <f>IF(Table1[[#This Row],[Customer Ratings]]&gt;=4, "Good",IF(Table1[[#This Row],[Customer Ratings]]=3, "Average","Poor"))</f>
        <v>Good</v>
      </c>
      <c r="S771" s="3" t="s">
        <v>83</v>
      </c>
    </row>
    <row r="772" spans="1:19" x14ac:dyDescent="0.25">
      <c r="A772" s="3">
        <v>771</v>
      </c>
      <c r="B772" s="5">
        <f>DATE(Table1[[#This Row],[Year]],Table1[[#This Row],[Month]],Table1[[#This Row],[Day]])</f>
        <v>44699</v>
      </c>
      <c r="C772" s="3">
        <v>18</v>
      </c>
      <c r="D772" s="3">
        <v>5</v>
      </c>
      <c r="E772" s="3">
        <v>2022</v>
      </c>
      <c r="F772" s="3" t="str">
        <f>"Qtr"&amp; " " &amp;CHOOSE(MONTH(Table1[[#This Row],[Date]]),1,1,1,2,2,2,3,3,3,4,4,4)</f>
        <v>Qtr 2</v>
      </c>
      <c r="G772" s="3" t="str">
        <f>TEXT(Table1[[#This Row],[Date]],"mmmm")</f>
        <v>May</v>
      </c>
      <c r="H772" s="3" t="s">
        <v>1083</v>
      </c>
      <c r="I772" s="3" t="s">
        <v>18</v>
      </c>
      <c r="J772" s="3">
        <v>6</v>
      </c>
      <c r="K772" s="3">
        <v>21194.71</v>
      </c>
      <c r="L772" s="3">
        <f>Table1[[#This Row],[Price Per Unit]]*Table1[[#This Row],[Units Sold]]</f>
        <v>127168.26</v>
      </c>
      <c r="M772" s="3" t="s">
        <v>599</v>
      </c>
      <c r="N772" s="3">
        <v>48</v>
      </c>
      <c r="O772" s="3" t="s">
        <v>58</v>
      </c>
      <c r="P772" s="3" t="s">
        <v>31</v>
      </c>
      <c r="Q772" s="4">
        <v>5</v>
      </c>
      <c r="R772" s="4" t="str">
        <f>IF(Table1[[#This Row],[Customer Ratings]]&gt;=4, "Good",IF(Table1[[#This Row],[Customer Ratings]]=3, "Average","Poor"))</f>
        <v>Good</v>
      </c>
      <c r="S772" s="3" t="s">
        <v>25</v>
      </c>
    </row>
    <row r="773" spans="1:19" x14ac:dyDescent="0.25">
      <c r="A773" s="3">
        <v>772</v>
      </c>
      <c r="B773" s="5">
        <f>DATE(Table1[[#This Row],[Year]],Table1[[#This Row],[Month]],Table1[[#This Row],[Day]])</f>
        <v>44699</v>
      </c>
      <c r="C773" s="3">
        <v>18</v>
      </c>
      <c r="D773" s="3">
        <v>5</v>
      </c>
      <c r="E773" s="3">
        <v>2022</v>
      </c>
      <c r="F773" s="3" t="str">
        <f>"Qtr"&amp; " " &amp;CHOOSE(MONTH(Table1[[#This Row],[Date]]),1,1,1,2,2,2,3,3,3,4,4,4)</f>
        <v>Qtr 2</v>
      </c>
      <c r="G773" s="3" t="str">
        <f>TEXT(Table1[[#This Row],[Date]],"mmmm")</f>
        <v>May</v>
      </c>
      <c r="H773" s="3" t="s">
        <v>1083</v>
      </c>
      <c r="I773" s="3" t="s">
        <v>13</v>
      </c>
      <c r="J773" s="3">
        <v>3</v>
      </c>
      <c r="K773" s="3">
        <v>26161.58</v>
      </c>
      <c r="L773" s="3">
        <f>Table1[[#This Row],[Price Per Unit]]*Table1[[#This Row],[Units Sold]]</f>
        <v>78484.740000000005</v>
      </c>
      <c r="M773" s="3" t="s">
        <v>600</v>
      </c>
      <c r="N773" s="3">
        <v>40</v>
      </c>
      <c r="O773" s="3" t="s">
        <v>24</v>
      </c>
      <c r="P773" s="3" t="s">
        <v>16</v>
      </c>
      <c r="Q773" s="4">
        <v>5</v>
      </c>
      <c r="R773" s="4" t="str">
        <f>IF(Table1[[#This Row],[Customer Ratings]]&gt;=4, "Good",IF(Table1[[#This Row],[Customer Ratings]]=3, "Average","Poor"))</f>
        <v>Good</v>
      </c>
      <c r="S773" s="3" t="s">
        <v>72</v>
      </c>
    </row>
    <row r="774" spans="1:19" x14ac:dyDescent="0.25">
      <c r="A774" s="3">
        <v>773</v>
      </c>
      <c r="B774" s="5">
        <f>DATE(Table1[[#This Row],[Year]],Table1[[#This Row],[Month]],Table1[[#This Row],[Day]])</f>
        <v>44699</v>
      </c>
      <c r="C774" s="3">
        <v>18</v>
      </c>
      <c r="D774" s="3">
        <v>5</v>
      </c>
      <c r="E774" s="3">
        <v>2022</v>
      </c>
      <c r="F774" s="3" t="str">
        <f>"Qtr"&amp; " " &amp;CHOOSE(MONTH(Table1[[#This Row],[Date]]),1,1,1,2,2,2,3,3,3,4,4,4)</f>
        <v>Qtr 2</v>
      </c>
      <c r="G774" s="3" t="str">
        <f>TEXT(Table1[[#This Row],[Date]],"mmmm")</f>
        <v>May</v>
      </c>
      <c r="H774" s="3" t="s">
        <v>1083</v>
      </c>
      <c r="I774" s="3" t="s">
        <v>13</v>
      </c>
      <c r="J774" s="3">
        <v>5</v>
      </c>
      <c r="K774" s="3">
        <v>58039.839999999997</v>
      </c>
      <c r="L774" s="3">
        <f>Table1[[#This Row],[Price Per Unit]]*Table1[[#This Row],[Units Sold]]</f>
        <v>290199.19999999995</v>
      </c>
      <c r="M774" s="3" t="s">
        <v>601</v>
      </c>
      <c r="N774" s="3">
        <v>24</v>
      </c>
      <c r="O774" s="3" t="s">
        <v>20</v>
      </c>
      <c r="P774" s="3" t="s">
        <v>31</v>
      </c>
      <c r="Q774" s="4">
        <v>5</v>
      </c>
      <c r="R774" s="4" t="str">
        <f>IF(Table1[[#This Row],[Customer Ratings]]&gt;=4, "Good",IF(Table1[[#This Row],[Customer Ratings]]=3, "Average","Poor"))</f>
        <v>Good</v>
      </c>
      <c r="S774" s="3" t="s">
        <v>27</v>
      </c>
    </row>
    <row r="775" spans="1:19" x14ac:dyDescent="0.25">
      <c r="A775" s="3">
        <v>774</v>
      </c>
      <c r="B775" s="5">
        <f>DATE(Table1[[#This Row],[Year]],Table1[[#This Row],[Month]],Table1[[#This Row],[Day]])</f>
        <v>44700</v>
      </c>
      <c r="C775" s="3">
        <v>19</v>
      </c>
      <c r="D775" s="3">
        <v>5</v>
      </c>
      <c r="E775" s="3">
        <v>2022</v>
      </c>
      <c r="F775" s="3" t="str">
        <f>"Qtr"&amp; " " &amp;CHOOSE(MONTH(Table1[[#This Row],[Date]]),1,1,1,2,2,2,3,3,3,4,4,4)</f>
        <v>Qtr 2</v>
      </c>
      <c r="G775" s="3" t="str">
        <f>TEXT(Table1[[#This Row],[Date]],"mmmm")</f>
        <v>May</v>
      </c>
      <c r="H775" s="3" t="s">
        <v>1084</v>
      </c>
      <c r="I775" s="3" t="s">
        <v>18</v>
      </c>
      <c r="J775" s="3">
        <v>2</v>
      </c>
      <c r="K775" s="3">
        <v>37232.120000000003</v>
      </c>
      <c r="L775" s="3">
        <f>Table1[[#This Row],[Price Per Unit]]*Table1[[#This Row],[Units Sold]]</f>
        <v>74464.240000000005</v>
      </c>
      <c r="M775" s="3" t="s">
        <v>602</v>
      </c>
      <c r="N775" s="3">
        <v>55</v>
      </c>
      <c r="O775" s="3" t="s">
        <v>81</v>
      </c>
      <c r="P775" s="3" t="s">
        <v>31</v>
      </c>
      <c r="Q775" s="4">
        <v>5</v>
      </c>
      <c r="R775" s="4" t="str">
        <f>IF(Table1[[#This Row],[Customer Ratings]]&gt;=4, "Good",IF(Table1[[#This Row],[Customer Ratings]]=3, "Average","Poor"))</f>
        <v>Good</v>
      </c>
      <c r="S775" s="3" t="s">
        <v>22</v>
      </c>
    </row>
    <row r="776" spans="1:19" x14ac:dyDescent="0.25">
      <c r="A776" s="3">
        <v>775</v>
      </c>
      <c r="B776" s="5">
        <f>DATE(Table1[[#This Row],[Year]],Table1[[#This Row],[Month]],Table1[[#This Row],[Day]])</f>
        <v>44700</v>
      </c>
      <c r="C776" s="3">
        <v>19</v>
      </c>
      <c r="D776" s="3">
        <v>5</v>
      </c>
      <c r="E776" s="3">
        <v>2022</v>
      </c>
      <c r="F776" s="3" t="str">
        <f>"Qtr"&amp; " " &amp;CHOOSE(MONTH(Table1[[#This Row],[Date]]),1,1,1,2,2,2,3,3,3,4,4,4)</f>
        <v>Qtr 2</v>
      </c>
      <c r="G776" s="3" t="str">
        <f>TEXT(Table1[[#This Row],[Date]],"mmmm")</f>
        <v>May</v>
      </c>
      <c r="H776" s="3" t="s">
        <v>1084</v>
      </c>
      <c r="I776" s="3" t="s">
        <v>39</v>
      </c>
      <c r="J776" s="3">
        <v>5</v>
      </c>
      <c r="K776" s="3">
        <v>50232.43</v>
      </c>
      <c r="L776" s="3">
        <f>Table1[[#This Row],[Price Per Unit]]*Table1[[#This Row],[Units Sold]]</f>
        <v>251162.15</v>
      </c>
      <c r="M776" s="3" t="s">
        <v>603</v>
      </c>
      <c r="N776" s="3">
        <v>50</v>
      </c>
      <c r="O776" s="3" t="s">
        <v>20</v>
      </c>
      <c r="P776" s="3" t="s">
        <v>16</v>
      </c>
      <c r="Q776" s="4">
        <v>3</v>
      </c>
      <c r="R776" s="4" t="str">
        <f>IF(Table1[[#This Row],[Customer Ratings]]&gt;=4, "Good",IF(Table1[[#This Row],[Customer Ratings]]=3, "Average","Poor"))</f>
        <v>Average</v>
      </c>
      <c r="S776" s="3" t="s">
        <v>90</v>
      </c>
    </row>
    <row r="777" spans="1:19" x14ac:dyDescent="0.25">
      <c r="A777" s="3">
        <v>776</v>
      </c>
      <c r="B777" s="5">
        <f>DATE(Table1[[#This Row],[Year]],Table1[[#This Row],[Month]],Table1[[#This Row],[Day]])</f>
        <v>44700</v>
      </c>
      <c r="C777" s="3">
        <v>19</v>
      </c>
      <c r="D777" s="3">
        <v>5</v>
      </c>
      <c r="E777" s="3">
        <v>2022</v>
      </c>
      <c r="F777" s="3" t="str">
        <f>"Qtr"&amp; " " &amp;CHOOSE(MONTH(Table1[[#This Row],[Date]]),1,1,1,2,2,2,3,3,3,4,4,4)</f>
        <v>Qtr 2</v>
      </c>
      <c r="G777" s="3" t="str">
        <f>TEXT(Table1[[#This Row],[Date]],"mmmm")</f>
        <v>May</v>
      </c>
      <c r="H777" s="3" t="s">
        <v>1084</v>
      </c>
      <c r="I777" s="3" t="s">
        <v>13</v>
      </c>
      <c r="J777" s="3">
        <v>9</v>
      </c>
      <c r="K777" s="3">
        <v>29101.119999999999</v>
      </c>
      <c r="L777" s="3">
        <f>Table1[[#This Row],[Price Per Unit]]*Table1[[#This Row],[Units Sold]]</f>
        <v>261910.08</v>
      </c>
      <c r="M777" s="3" t="s">
        <v>387</v>
      </c>
      <c r="N777" s="3">
        <v>29</v>
      </c>
      <c r="O777" s="3" t="s">
        <v>20</v>
      </c>
      <c r="P777" s="3" t="s">
        <v>31</v>
      </c>
      <c r="Q777" s="4">
        <v>5</v>
      </c>
      <c r="R777" s="4" t="str">
        <f>IF(Table1[[#This Row],[Customer Ratings]]&gt;=4, "Good",IF(Table1[[#This Row],[Customer Ratings]]=3, "Average","Poor"))</f>
        <v>Good</v>
      </c>
      <c r="S777" s="3" t="s">
        <v>27</v>
      </c>
    </row>
    <row r="778" spans="1:19" x14ac:dyDescent="0.25">
      <c r="A778" s="3">
        <v>777</v>
      </c>
      <c r="B778" s="5">
        <f>DATE(Table1[[#This Row],[Year]],Table1[[#This Row],[Month]],Table1[[#This Row],[Day]])</f>
        <v>44700</v>
      </c>
      <c r="C778" s="3">
        <v>19</v>
      </c>
      <c r="D778" s="3">
        <v>5</v>
      </c>
      <c r="E778" s="3">
        <v>2022</v>
      </c>
      <c r="F778" s="3" t="str">
        <f>"Qtr"&amp; " " &amp;CHOOSE(MONTH(Table1[[#This Row],[Date]]),1,1,1,2,2,2,3,3,3,4,4,4)</f>
        <v>Qtr 2</v>
      </c>
      <c r="G778" s="3" t="str">
        <f>TEXT(Table1[[#This Row],[Date]],"mmmm")</f>
        <v>May</v>
      </c>
      <c r="H778" s="3" t="s">
        <v>1084</v>
      </c>
      <c r="I778" s="3" t="s">
        <v>28</v>
      </c>
      <c r="J778" s="3">
        <v>1</v>
      </c>
      <c r="K778" s="3">
        <v>32873.800000000003</v>
      </c>
      <c r="L778" s="3">
        <f>Table1[[#This Row],[Price Per Unit]]*Table1[[#This Row],[Units Sold]]</f>
        <v>32873.800000000003</v>
      </c>
      <c r="M778" s="3" t="s">
        <v>94</v>
      </c>
      <c r="N778" s="3">
        <v>29</v>
      </c>
      <c r="O778" s="3" t="s">
        <v>65</v>
      </c>
      <c r="P778" s="3" t="s">
        <v>45</v>
      </c>
      <c r="Q778" s="4">
        <v>4</v>
      </c>
      <c r="R778" s="4" t="str">
        <f>IF(Table1[[#This Row],[Customer Ratings]]&gt;=4, "Good",IF(Table1[[#This Row],[Customer Ratings]]=3, "Average","Poor"))</f>
        <v>Good</v>
      </c>
      <c r="S778" s="3" t="s">
        <v>32</v>
      </c>
    </row>
    <row r="779" spans="1:19" x14ac:dyDescent="0.25">
      <c r="A779" s="3">
        <v>778</v>
      </c>
      <c r="B779" s="5">
        <f>DATE(Table1[[#This Row],[Year]],Table1[[#This Row],[Month]],Table1[[#This Row],[Day]])</f>
        <v>44701</v>
      </c>
      <c r="C779" s="3">
        <v>20</v>
      </c>
      <c r="D779" s="3">
        <v>5</v>
      </c>
      <c r="E779" s="3">
        <v>2022</v>
      </c>
      <c r="F779" s="3" t="str">
        <f>"Qtr"&amp; " " &amp;CHOOSE(MONTH(Table1[[#This Row],[Date]]),1,1,1,2,2,2,3,3,3,4,4,4)</f>
        <v>Qtr 2</v>
      </c>
      <c r="G779" s="3" t="str">
        <f>TEXT(Table1[[#This Row],[Date]],"mmmm")</f>
        <v>May</v>
      </c>
      <c r="H779" s="3" t="s">
        <v>1085</v>
      </c>
      <c r="I779" s="3" t="s">
        <v>13</v>
      </c>
      <c r="J779" s="3">
        <v>5</v>
      </c>
      <c r="K779" s="3">
        <v>69442.75</v>
      </c>
      <c r="L779" s="3">
        <f>Table1[[#This Row],[Price Per Unit]]*Table1[[#This Row],[Units Sold]]</f>
        <v>347213.75</v>
      </c>
      <c r="M779" s="3" t="s">
        <v>604</v>
      </c>
      <c r="N779" s="3">
        <v>36</v>
      </c>
      <c r="O779" s="3" t="s">
        <v>24</v>
      </c>
      <c r="P779" s="3" t="s">
        <v>21</v>
      </c>
      <c r="Q779" s="4">
        <v>3</v>
      </c>
      <c r="R779" s="4" t="str">
        <f>IF(Table1[[#This Row],[Customer Ratings]]&gt;=4, "Good",IF(Table1[[#This Row],[Customer Ratings]]=3, "Average","Poor"))</f>
        <v>Average</v>
      </c>
      <c r="S779" s="3" t="s">
        <v>17</v>
      </c>
    </row>
    <row r="780" spans="1:19" x14ac:dyDescent="0.25">
      <c r="A780" s="3">
        <v>779</v>
      </c>
      <c r="B780" s="5">
        <f>DATE(Table1[[#This Row],[Year]],Table1[[#This Row],[Month]],Table1[[#This Row],[Day]])</f>
        <v>44701</v>
      </c>
      <c r="C780" s="3">
        <v>20</v>
      </c>
      <c r="D780" s="3">
        <v>5</v>
      </c>
      <c r="E780" s="3">
        <v>2022</v>
      </c>
      <c r="F780" s="3" t="str">
        <f>"Qtr"&amp; " " &amp;CHOOSE(MONTH(Table1[[#This Row],[Date]]),1,1,1,2,2,2,3,3,3,4,4,4)</f>
        <v>Qtr 2</v>
      </c>
      <c r="G780" s="3" t="str">
        <f>TEXT(Table1[[#This Row],[Date]],"mmmm")</f>
        <v>May</v>
      </c>
      <c r="H780" s="3" t="s">
        <v>1085</v>
      </c>
      <c r="I780" s="3" t="s">
        <v>39</v>
      </c>
      <c r="J780" s="3">
        <v>6</v>
      </c>
      <c r="K780" s="3">
        <v>24857.03</v>
      </c>
      <c r="L780" s="3">
        <f>Table1[[#This Row],[Price Per Unit]]*Table1[[#This Row],[Units Sold]]</f>
        <v>149142.18</v>
      </c>
      <c r="M780" s="3" t="s">
        <v>595</v>
      </c>
      <c r="N780" s="3">
        <v>26</v>
      </c>
      <c r="O780" s="3" t="s">
        <v>20</v>
      </c>
      <c r="P780" s="3" t="s">
        <v>45</v>
      </c>
      <c r="Q780" s="4">
        <v>4</v>
      </c>
      <c r="R780" s="4" t="str">
        <f>IF(Table1[[#This Row],[Customer Ratings]]&gt;=4, "Good",IF(Table1[[#This Row],[Customer Ratings]]=3, "Average","Poor"))</f>
        <v>Good</v>
      </c>
      <c r="S780" s="3" t="s">
        <v>42</v>
      </c>
    </row>
    <row r="781" spans="1:19" x14ac:dyDescent="0.25">
      <c r="A781" s="3">
        <v>780</v>
      </c>
      <c r="B781" s="5">
        <f>DATE(Table1[[#This Row],[Year]],Table1[[#This Row],[Month]],Table1[[#This Row],[Day]])</f>
        <v>44701</v>
      </c>
      <c r="C781" s="3">
        <v>20</v>
      </c>
      <c r="D781" s="3">
        <v>5</v>
      </c>
      <c r="E781" s="3">
        <v>2022</v>
      </c>
      <c r="F781" s="3" t="str">
        <f>"Qtr"&amp; " " &amp;CHOOSE(MONTH(Table1[[#This Row],[Date]]),1,1,1,2,2,2,3,3,3,4,4,4)</f>
        <v>Qtr 2</v>
      </c>
      <c r="G781" s="3" t="str">
        <f>TEXT(Table1[[#This Row],[Date]],"mmmm")</f>
        <v>May</v>
      </c>
      <c r="H781" s="3" t="s">
        <v>1085</v>
      </c>
      <c r="I781" s="3" t="s">
        <v>39</v>
      </c>
      <c r="J781" s="3">
        <v>7</v>
      </c>
      <c r="K781" s="3">
        <v>40387.379999999997</v>
      </c>
      <c r="L781" s="3">
        <f>Table1[[#This Row],[Price Per Unit]]*Table1[[#This Row],[Units Sold]]</f>
        <v>282711.65999999997</v>
      </c>
      <c r="M781" s="3" t="s">
        <v>605</v>
      </c>
      <c r="N781" s="3">
        <v>27</v>
      </c>
      <c r="O781" s="3" t="s">
        <v>78</v>
      </c>
      <c r="P781" s="3" t="s">
        <v>21</v>
      </c>
      <c r="Q781" s="4">
        <v>5</v>
      </c>
      <c r="R781" s="4" t="str">
        <f>IF(Table1[[#This Row],[Customer Ratings]]&gt;=4, "Good",IF(Table1[[#This Row],[Customer Ratings]]=3, "Average","Poor"))</f>
        <v>Good</v>
      </c>
      <c r="S781" s="3" t="s">
        <v>76</v>
      </c>
    </row>
    <row r="782" spans="1:19" x14ac:dyDescent="0.25">
      <c r="A782" s="3">
        <v>781</v>
      </c>
      <c r="B782" s="5">
        <f>DATE(Table1[[#This Row],[Year]],Table1[[#This Row],[Month]],Table1[[#This Row],[Day]])</f>
        <v>44701</v>
      </c>
      <c r="C782" s="3">
        <v>20</v>
      </c>
      <c r="D782" s="3">
        <v>5</v>
      </c>
      <c r="E782" s="3">
        <v>2022</v>
      </c>
      <c r="F782" s="3" t="str">
        <f>"Qtr"&amp; " " &amp;CHOOSE(MONTH(Table1[[#This Row],[Date]]),1,1,1,2,2,2,3,3,3,4,4,4)</f>
        <v>Qtr 2</v>
      </c>
      <c r="G782" s="3" t="str">
        <f>TEXT(Table1[[#This Row],[Date]],"mmmm")</f>
        <v>May</v>
      </c>
      <c r="H782" s="3" t="s">
        <v>1085</v>
      </c>
      <c r="I782" s="3" t="s">
        <v>28</v>
      </c>
      <c r="J782" s="3">
        <v>9</v>
      </c>
      <c r="K782" s="3">
        <v>60664.14</v>
      </c>
      <c r="L782" s="3">
        <f>Table1[[#This Row],[Price Per Unit]]*Table1[[#This Row],[Units Sold]]</f>
        <v>545977.26</v>
      </c>
      <c r="M782" s="3" t="s">
        <v>606</v>
      </c>
      <c r="N782" s="3">
        <v>34</v>
      </c>
      <c r="O782" s="3" t="s">
        <v>20</v>
      </c>
      <c r="P782" s="3" t="s">
        <v>16</v>
      </c>
      <c r="Q782" s="4">
        <v>5</v>
      </c>
      <c r="R782" s="4" t="str">
        <f>IF(Table1[[#This Row],[Customer Ratings]]&gt;=4, "Good",IF(Table1[[#This Row],[Customer Ratings]]=3, "Average","Poor"))</f>
        <v>Good</v>
      </c>
      <c r="S782" s="3" t="s">
        <v>38</v>
      </c>
    </row>
    <row r="783" spans="1:19" x14ac:dyDescent="0.25">
      <c r="A783" s="3">
        <v>782</v>
      </c>
      <c r="B783" s="5">
        <f>DATE(Table1[[#This Row],[Year]],Table1[[#This Row],[Month]],Table1[[#This Row],[Day]])</f>
        <v>44702</v>
      </c>
      <c r="C783" s="3">
        <v>21</v>
      </c>
      <c r="D783" s="3">
        <v>5</v>
      </c>
      <c r="E783" s="3">
        <v>2022</v>
      </c>
      <c r="F783" s="3" t="str">
        <f>"Qtr"&amp; " " &amp;CHOOSE(MONTH(Table1[[#This Row],[Date]]),1,1,1,2,2,2,3,3,3,4,4,4)</f>
        <v>Qtr 2</v>
      </c>
      <c r="G783" s="3" t="str">
        <f>TEXT(Table1[[#This Row],[Date]],"mmmm")</f>
        <v>May</v>
      </c>
      <c r="H783" s="3" t="s">
        <v>1079</v>
      </c>
      <c r="I783" s="3" t="s">
        <v>13</v>
      </c>
      <c r="J783" s="3">
        <v>6</v>
      </c>
      <c r="K783" s="3">
        <v>24353.39</v>
      </c>
      <c r="L783" s="3">
        <f>Table1[[#This Row],[Price Per Unit]]*Table1[[#This Row],[Units Sold]]</f>
        <v>146120.34</v>
      </c>
      <c r="M783" s="3" t="s">
        <v>422</v>
      </c>
      <c r="N783" s="3">
        <v>57</v>
      </c>
      <c r="O783" s="3" t="s">
        <v>20</v>
      </c>
      <c r="P783" s="3" t="s">
        <v>31</v>
      </c>
      <c r="Q783" s="4">
        <v>3</v>
      </c>
      <c r="R783" s="4" t="str">
        <f>IF(Table1[[#This Row],[Customer Ratings]]&gt;=4, "Good",IF(Table1[[#This Row],[Customer Ratings]]=3, "Average","Poor"))</f>
        <v>Average</v>
      </c>
      <c r="S783" s="3" t="s">
        <v>27</v>
      </c>
    </row>
    <row r="784" spans="1:19" x14ac:dyDescent="0.25">
      <c r="A784" s="3">
        <v>783</v>
      </c>
      <c r="B784" s="5">
        <f>DATE(Table1[[#This Row],[Year]],Table1[[#This Row],[Month]],Table1[[#This Row],[Day]])</f>
        <v>44702</v>
      </c>
      <c r="C784" s="3">
        <v>21</v>
      </c>
      <c r="D784" s="3">
        <v>5</v>
      </c>
      <c r="E784" s="3">
        <v>2022</v>
      </c>
      <c r="F784" s="3" t="str">
        <f>"Qtr"&amp; " " &amp;CHOOSE(MONTH(Table1[[#This Row],[Date]]),1,1,1,2,2,2,3,3,3,4,4,4)</f>
        <v>Qtr 2</v>
      </c>
      <c r="G784" s="3" t="str">
        <f>TEXT(Table1[[#This Row],[Date]],"mmmm")</f>
        <v>May</v>
      </c>
      <c r="H784" s="3" t="s">
        <v>1079</v>
      </c>
      <c r="I784" s="3" t="s">
        <v>39</v>
      </c>
      <c r="J784" s="3">
        <v>5</v>
      </c>
      <c r="K784" s="3">
        <v>34912.83</v>
      </c>
      <c r="L784" s="3">
        <f>Table1[[#This Row],[Price Per Unit]]*Table1[[#This Row],[Units Sold]]</f>
        <v>174564.15000000002</v>
      </c>
      <c r="M784" s="3" t="s">
        <v>607</v>
      </c>
      <c r="N784" s="3">
        <v>56</v>
      </c>
      <c r="O784" s="3" t="s">
        <v>120</v>
      </c>
      <c r="P784" s="3" t="s">
        <v>21</v>
      </c>
      <c r="Q784" s="4">
        <v>3</v>
      </c>
      <c r="R784" s="4" t="str">
        <f>IF(Table1[[#This Row],[Customer Ratings]]&gt;=4, "Good",IF(Table1[[#This Row],[Customer Ratings]]=3, "Average","Poor"))</f>
        <v>Average</v>
      </c>
      <c r="S784" s="3" t="s">
        <v>90</v>
      </c>
    </row>
    <row r="785" spans="1:19" x14ac:dyDescent="0.25">
      <c r="A785" s="3">
        <v>784</v>
      </c>
      <c r="B785" s="5">
        <f>DATE(Table1[[#This Row],[Year]],Table1[[#This Row],[Month]],Table1[[#This Row],[Day]])</f>
        <v>44702</v>
      </c>
      <c r="C785" s="3">
        <v>21</v>
      </c>
      <c r="D785" s="3">
        <v>5</v>
      </c>
      <c r="E785" s="3">
        <v>2022</v>
      </c>
      <c r="F785" s="3" t="str">
        <f>"Qtr"&amp; " " &amp;CHOOSE(MONTH(Table1[[#This Row],[Date]]),1,1,1,2,2,2,3,3,3,4,4,4)</f>
        <v>Qtr 2</v>
      </c>
      <c r="G785" s="3" t="str">
        <f>TEXT(Table1[[#This Row],[Date]],"mmmm")</f>
        <v>May</v>
      </c>
      <c r="H785" s="3" t="s">
        <v>1079</v>
      </c>
      <c r="I785" s="3" t="s">
        <v>18</v>
      </c>
      <c r="J785" s="3">
        <v>7</v>
      </c>
      <c r="K785" s="3">
        <v>46905.48</v>
      </c>
      <c r="L785" s="3">
        <f>Table1[[#This Row],[Price Per Unit]]*Table1[[#This Row],[Units Sold]]</f>
        <v>328338.36000000004</v>
      </c>
      <c r="M785" s="3" t="s">
        <v>608</v>
      </c>
      <c r="N785" s="3">
        <v>58</v>
      </c>
      <c r="O785" s="3" t="s">
        <v>54</v>
      </c>
      <c r="P785" s="3" t="s">
        <v>16</v>
      </c>
      <c r="Q785" s="4">
        <v>5</v>
      </c>
      <c r="R785" s="4" t="str">
        <f>IF(Table1[[#This Row],[Customer Ratings]]&gt;=4, "Good",IF(Table1[[#This Row],[Customer Ratings]]=3, "Average","Poor"))</f>
        <v>Good</v>
      </c>
      <c r="S785" s="3" t="s">
        <v>55</v>
      </c>
    </row>
    <row r="786" spans="1:19" x14ac:dyDescent="0.25">
      <c r="A786" s="3">
        <v>785</v>
      </c>
      <c r="B786" s="5">
        <f>DATE(Table1[[#This Row],[Year]],Table1[[#This Row],[Month]],Table1[[#This Row],[Day]])</f>
        <v>44702</v>
      </c>
      <c r="C786" s="3">
        <v>21</v>
      </c>
      <c r="D786" s="3">
        <v>5</v>
      </c>
      <c r="E786" s="3">
        <v>2022</v>
      </c>
      <c r="F786" s="3" t="str">
        <f>"Qtr"&amp; " " &amp;CHOOSE(MONTH(Table1[[#This Row],[Date]]),1,1,1,2,2,2,3,3,3,4,4,4)</f>
        <v>Qtr 2</v>
      </c>
      <c r="G786" s="3" t="str">
        <f>TEXT(Table1[[#This Row],[Date]],"mmmm")</f>
        <v>May</v>
      </c>
      <c r="H786" s="3" t="s">
        <v>1079</v>
      </c>
      <c r="I786" s="3" t="s">
        <v>33</v>
      </c>
      <c r="J786" s="3">
        <v>1</v>
      </c>
      <c r="K786" s="3">
        <v>38871.29</v>
      </c>
      <c r="L786" s="3">
        <f>Table1[[#This Row],[Price Per Unit]]*Table1[[#This Row],[Units Sold]]</f>
        <v>38871.29</v>
      </c>
      <c r="M786" s="3" t="s">
        <v>400</v>
      </c>
      <c r="N786" s="3">
        <v>27</v>
      </c>
      <c r="O786" s="3" t="s">
        <v>24</v>
      </c>
      <c r="P786" s="3" t="s">
        <v>16</v>
      </c>
      <c r="Q786" s="4">
        <v>2</v>
      </c>
      <c r="R786" s="4" t="str">
        <f>IF(Table1[[#This Row],[Customer Ratings]]&gt;=4, "Good",IF(Table1[[#This Row],[Customer Ratings]]=3, "Average","Poor"))</f>
        <v>Poor</v>
      </c>
      <c r="S786" s="3" t="s">
        <v>83</v>
      </c>
    </row>
    <row r="787" spans="1:19" x14ac:dyDescent="0.25">
      <c r="A787" s="3">
        <v>786</v>
      </c>
      <c r="B787" s="5">
        <f>DATE(Table1[[#This Row],[Year]],Table1[[#This Row],[Month]],Table1[[#This Row],[Day]])</f>
        <v>44703</v>
      </c>
      <c r="C787" s="3">
        <v>22</v>
      </c>
      <c r="D787" s="3">
        <v>5</v>
      </c>
      <c r="E787" s="3">
        <v>2022</v>
      </c>
      <c r="F787" s="3" t="str">
        <f>"Qtr"&amp; " " &amp;CHOOSE(MONTH(Table1[[#This Row],[Date]]),1,1,1,2,2,2,3,3,3,4,4,4)</f>
        <v>Qtr 2</v>
      </c>
      <c r="G787" s="3" t="str">
        <f>TEXT(Table1[[#This Row],[Date]],"mmmm")</f>
        <v>May</v>
      </c>
      <c r="H787" s="3" t="s">
        <v>1080</v>
      </c>
      <c r="I787" s="3" t="s">
        <v>33</v>
      </c>
      <c r="J787" s="3">
        <v>5</v>
      </c>
      <c r="K787" s="3">
        <v>37570.14</v>
      </c>
      <c r="L787" s="3">
        <f>Table1[[#This Row],[Price Per Unit]]*Table1[[#This Row],[Units Sold]]</f>
        <v>187850.7</v>
      </c>
      <c r="M787" s="3" t="s">
        <v>44</v>
      </c>
      <c r="N787" s="3">
        <v>29</v>
      </c>
      <c r="O787" s="3" t="s">
        <v>20</v>
      </c>
      <c r="P787" s="3" t="s">
        <v>16</v>
      </c>
      <c r="Q787" s="4">
        <v>5</v>
      </c>
      <c r="R787" s="4" t="str">
        <f>IF(Table1[[#This Row],[Customer Ratings]]&gt;=4, "Good",IF(Table1[[#This Row],[Customer Ratings]]=3, "Average","Poor"))</f>
        <v>Good</v>
      </c>
      <c r="S787" s="3" t="s">
        <v>83</v>
      </c>
    </row>
    <row r="788" spans="1:19" x14ac:dyDescent="0.25">
      <c r="A788" s="3">
        <v>787</v>
      </c>
      <c r="B788" s="5">
        <f>DATE(Table1[[#This Row],[Year]],Table1[[#This Row],[Month]],Table1[[#This Row],[Day]])</f>
        <v>44703</v>
      </c>
      <c r="C788" s="3">
        <v>22</v>
      </c>
      <c r="D788" s="3">
        <v>5</v>
      </c>
      <c r="E788" s="3">
        <v>2022</v>
      </c>
      <c r="F788" s="3" t="str">
        <f>"Qtr"&amp; " " &amp;CHOOSE(MONTH(Table1[[#This Row],[Date]]),1,1,1,2,2,2,3,3,3,4,4,4)</f>
        <v>Qtr 2</v>
      </c>
      <c r="G788" s="3" t="str">
        <f>TEXT(Table1[[#This Row],[Date]],"mmmm")</f>
        <v>May</v>
      </c>
      <c r="H788" s="3" t="s">
        <v>1080</v>
      </c>
      <c r="I788" s="3" t="s">
        <v>33</v>
      </c>
      <c r="J788" s="3">
        <v>2</v>
      </c>
      <c r="K788" s="3">
        <v>31750.58</v>
      </c>
      <c r="L788" s="3">
        <f>Table1[[#This Row],[Price Per Unit]]*Table1[[#This Row],[Units Sold]]</f>
        <v>63501.16</v>
      </c>
      <c r="M788" s="3" t="s">
        <v>253</v>
      </c>
      <c r="N788" s="3">
        <v>32</v>
      </c>
      <c r="O788" s="3" t="s">
        <v>20</v>
      </c>
      <c r="P788" s="3" t="s">
        <v>45</v>
      </c>
      <c r="Q788" s="4">
        <v>5</v>
      </c>
      <c r="R788" s="4" t="str">
        <f>IF(Table1[[#This Row],[Customer Ratings]]&gt;=4, "Good",IF(Table1[[#This Row],[Customer Ratings]]=3, "Average","Poor"))</f>
        <v>Good</v>
      </c>
      <c r="S788" s="3" t="s">
        <v>36</v>
      </c>
    </row>
    <row r="789" spans="1:19" x14ac:dyDescent="0.25">
      <c r="A789" s="3">
        <v>788</v>
      </c>
      <c r="B789" s="5">
        <f>DATE(Table1[[#This Row],[Year]],Table1[[#This Row],[Month]],Table1[[#This Row],[Day]])</f>
        <v>44703</v>
      </c>
      <c r="C789" s="3">
        <v>22</v>
      </c>
      <c r="D789" s="3">
        <v>5</v>
      </c>
      <c r="E789" s="3">
        <v>2022</v>
      </c>
      <c r="F789" s="3" t="str">
        <f>"Qtr"&amp; " " &amp;CHOOSE(MONTH(Table1[[#This Row],[Date]]),1,1,1,2,2,2,3,3,3,4,4,4)</f>
        <v>Qtr 2</v>
      </c>
      <c r="G789" s="3" t="str">
        <f>TEXT(Table1[[#This Row],[Date]],"mmmm")</f>
        <v>May</v>
      </c>
      <c r="H789" s="3" t="s">
        <v>1080</v>
      </c>
      <c r="I789" s="3" t="s">
        <v>13</v>
      </c>
      <c r="J789" s="3">
        <v>4</v>
      </c>
      <c r="K789" s="3">
        <v>45198.78</v>
      </c>
      <c r="L789" s="3">
        <f>Table1[[#This Row],[Price Per Unit]]*Table1[[#This Row],[Units Sold]]</f>
        <v>180795.12</v>
      </c>
      <c r="M789" s="3" t="s">
        <v>117</v>
      </c>
      <c r="N789" s="3">
        <v>48</v>
      </c>
      <c r="O789" s="3" t="s">
        <v>78</v>
      </c>
      <c r="P789" s="3" t="s">
        <v>45</v>
      </c>
      <c r="Q789" s="4">
        <v>3</v>
      </c>
      <c r="R789" s="4" t="str">
        <f>IF(Table1[[#This Row],[Customer Ratings]]&gt;=4, "Good",IF(Table1[[#This Row],[Customer Ratings]]=3, "Average","Poor"))</f>
        <v>Average</v>
      </c>
      <c r="S789" s="3" t="s">
        <v>17</v>
      </c>
    </row>
    <row r="790" spans="1:19" x14ac:dyDescent="0.25">
      <c r="A790" s="3">
        <v>789</v>
      </c>
      <c r="B790" s="5">
        <f>DATE(Table1[[#This Row],[Year]],Table1[[#This Row],[Month]],Table1[[#This Row],[Day]])</f>
        <v>44703</v>
      </c>
      <c r="C790" s="3">
        <v>22</v>
      </c>
      <c r="D790" s="3">
        <v>5</v>
      </c>
      <c r="E790" s="3">
        <v>2022</v>
      </c>
      <c r="F790" s="3" t="str">
        <f>"Qtr"&amp; " " &amp;CHOOSE(MONTH(Table1[[#This Row],[Date]]),1,1,1,2,2,2,3,3,3,4,4,4)</f>
        <v>Qtr 2</v>
      </c>
      <c r="G790" s="3" t="str">
        <f>TEXT(Table1[[#This Row],[Date]],"mmmm")</f>
        <v>May</v>
      </c>
      <c r="H790" s="3" t="s">
        <v>1080</v>
      </c>
      <c r="I790" s="3" t="s">
        <v>28</v>
      </c>
      <c r="J790" s="3">
        <v>7</v>
      </c>
      <c r="K790" s="3">
        <v>47462.36</v>
      </c>
      <c r="L790" s="3">
        <f>Table1[[#This Row],[Price Per Unit]]*Table1[[#This Row],[Units Sold]]</f>
        <v>332236.52</v>
      </c>
      <c r="M790" s="3" t="s">
        <v>609</v>
      </c>
      <c r="N790" s="3">
        <v>32</v>
      </c>
      <c r="O790" s="3" t="s">
        <v>120</v>
      </c>
      <c r="P790" s="3" t="s">
        <v>21</v>
      </c>
      <c r="Q790" s="4">
        <v>2</v>
      </c>
      <c r="R790" s="4" t="str">
        <f>IF(Table1[[#This Row],[Customer Ratings]]&gt;=4, "Good",IF(Table1[[#This Row],[Customer Ratings]]=3, "Average","Poor"))</f>
        <v>Poor</v>
      </c>
      <c r="S790" s="3" t="s">
        <v>87</v>
      </c>
    </row>
    <row r="791" spans="1:19" x14ac:dyDescent="0.25">
      <c r="A791" s="3">
        <v>790</v>
      </c>
      <c r="B791" s="5">
        <f>DATE(Table1[[#This Row],[Year]],Table1[[#This Row],[Month]],Table1[[#This Row],[Day]])</f>
        <v>44704</v>
      </c>
      <c r="C791" s="3">
        <v>23</v>
      </c>
      <c r="D791" s="3">
        <v>5</v>
      </c>
      <c r="E791" s="3">
        <v>2022</v>
      </c>
      <c r="F791" s="3" t="str">
        <f>"Qtr"&amp; " " &amp;CHOOSE(MONTH(Table1[[#This Row],[Date]]),1,1,1,2,2,2,3,3,3,4,4,4)</f>
        <v>Qtr 2</v>
      </c>
      <c r="G791" s="3" t="str">
        <f>TEXT(Table1[[#This Row],[Date]],"mmmm")</f>
        <v>May</v>
      </c>
      <c r="H791" s="3" t="s">
        <v>1081</v>
      </c>
      <c r="I791" s="3" t="s">
        <v>39</v>
      </c>
      <c r="J791" s="3">
        <v>5</v>
      </c>
      <c r="K791" s="3">
        <v>49197.37</v>
      </c>
      <c r="L791" s="3">
        <f>Table1[[#This Row],[Price Per Unit]]*Table1[[#This Row],[Units Sold]]</f>
        <v>245986.85</v>
      </c>
      <c r="M791" s="3" t="s">
        <v>506</v>
      </c>
      <c r="N791" s="3">
        <v>45</v>
      </c>
      <c r="O791" s="3" t="s">
        <v>24</v>
      </c>
      <c r="P791" s="3" t="s">
        <v>21</v>
      </c>
      <c r="Q791" s="4">
        <v>3</v>
      </c>
      <c r="R791" s="4" t="str">
        <f>IF(Table1[[#This Row],[Customer Ratings]]&gt;=4, "Good",IF(Table1[[#This Row],[Customer Ratings]]=3, "Average","Poor"))</f>
        <v>Average</v>
      </c>
      <c r="S791" s="3" t="s">
        <v>90</v>
      </c>
    </row>
    <row r="792" spans="1:19" x14ac:dyDescent="0.25">
      <c r="A792" s="3">
        <v>791</v>
      </c>
      <c r="B792" s="5">
        <f>DATE(Table1[[#This Row],[Year]],Table1[[#This Row],[Month]],Table1[[#This Row],[Day]])</f>
        <v>44704</v>
      </c>
      <c r="C792" s="3">
        <v>23</v>
      </c>
      <c r="D792" s="3">
        <v>5</v>
      </c>
      <c r="E792" s="3">
        <v>2022</v>
      </c>
      <c r="F792" s="3" t="str">
        <f>"Qtr"&amp; " " &amp;CHOOSE(MONTH(Table1[[#This Row],[Date]]),1,1,1,2,2,2,3,3,3,4,4,4)</f>
        <v>Qtr 2</v>
      </c>
      <c r="G792" s="3" t="str">
        <f>TEXT(Table1[[#This Row],[Date]],"mmmm")</f>
        <v>May</v>
      </c>
      <c r="H792" s="3" t="s">
        <v>1081</v>
      </c>
      <c r="I792" s="3" t="s">
        <v>18</v>
      </c>
      <c r="J792" s="3">
        <v>6</v>
      </c>
      <c r="K792" s="3">
        <v>14222.09</v>
      </c>
      <c r="L792" s="3">
        <f>Table1[[#This Row],[Price Per Unit]]*Table1[[#This Row],[Units Sold]]</f>
        <v>85332.540000000008</v>
      </c>
      <c r="M792" s="3" t="s">
        <v>610</v>
      </c>
      <c r="N792" s="3">
        <v>21</v>
      </c>
      <c r="O792" s="3" t="s">
        <v>24</v>
      </c>
      <c r="P792" s="3" t="s">
        <v>45</v>
      </c>
      <c r="Q792" s="4">
        <v>4</v>
      </c>
      <c r="R792" s="4" t="str">
        <f>IF(Table1[[#This Row],[Customer Ratings]]&gt;=4, "Good",IF(Table1[[#This Row],[Customer Ratings]]=3, "Average","Poor"))</f>
        <v>Good</v>
      </c>
      <c r="S792" s="3" t="s">
        <v>25</v>
      </c>
    </row>
    <row r="793" spans="1:19" x14ac:dyDescent="0.25">
      <c r="A793" s="3">
        <v>792</v>
      </c>
      <c r="B793" s="5">
        <f>DATE(Table1[[#This Row],[Year]],Table1[[#This Row],[Month]],Table1[[#This Row],[Day]])</f>
        <v>44704</v>
      </c>
      <c r="C793" s="3">
        <v>23</v>
      </c>
      <c r="D793" s="3">
        <v>5</v>
      </c>
      <c r="E793" s="3">
        <v>2022</v>
      </c>
      <c r="F793" s="3" t="str">
        <f>"Qtr"&amp; " " &amp;CHOOSE(MONTH(Table1[[#This Row],[Date]]),1,1,1,2,2,2,3,3,3,4,4,4)</f>
        <v>Qtr 2</v>
      </c>
      <c r="G793" s="3" t="str">
        <f>TEXT(Table1[[#This Row],[Date]],"mmmm")</f>
        <v>May</v>
      </c>
      <c r="H793" s="3" t="s">
        <v>1081</v>
      </c>
      <c r="I793" s="3" t="s">
        <v>18</v>
      </c>
      <c r="J793" s="3">
        <v>2</v>
      </c>
      <c r="K793" s="3">
        <v>47862.05</v>
      </c>
      <c r="L793" s="3">
        <f>Table1[[#This Row],[Price Per Unit]]*Table1[[#This Row],[Units Sold]]</f>
        <v>95724.1</v>
      </c>
      <c r="M793" s="3" t="s">
        <v>376</v>
      </c>
      <c r="N793" s="3">
        <v>53</v>
      </c>
      <c r="O793" s="3" t="s">
        <v>30</v>
      </c>
      <c r="P793" s="3" t="s">
        <v>21</v>
      </c>
      <c r="Q793" s="4">
        <v>3</v>
      </c>
      <c r="R793" s="4" t="str">
        <f>IF(Table1[[#This Row],[Customer Ratings]]&gt;=4, "Good",IF(Table1[[#This Row],[Customer Ratings]]=3, "Average","Poor"))</f>
        <v>Average</v>
      </c>
      <c r="S793" s="3" t="s">
        <v>25</v>
      </c>
    </row>
    <row r="794" spans="1:19" x14ac:dyDescent="0.25">
      <c r="A794" s="3">
        <v>793</v>
      </c>
      <c r="B794" s="5">
        <f>DATE(Table1[[#This Row],[Year]],Table1[[#This Row],[Month]],Table1[[#This Row],[Day]])</f>
        <v>44705</v>
      </c>
      <c r="C794" s="3">
        <v>24</v>
      </c>
      <c r="D794" s="3">
        <v>5</v>
      </c>
      <c r="E794" s="3">
        <v>2022</v>
      </c>
      <c r="F794" s="3" t="str">
        <f>"Qtr"&amp; " " &amp;CHOOSE(MONTH(Table1[[#This Row],[Date]]),1,1,1,2,2,2,3,3,3,4,4,4)</f>
        <v>Qtr 2</v>
      </c>
      <c r="G794" s="3" t="str">
        <f>TEXT(Table1[[#This Row],[Date]],"mmmm")</f>
        <v>May</v>
      </c>
      <c r="H794" s="3" t="s">
        <v>1082</v>
      </c>
      <c r="I794" s="3" t="s">
        <v>13</v>
      </c>
      <c r="J794" s="3">
        <v>3</v>
      </c>
      <c r="K794" s="3">
        <v>67194.23</v>
      </c>
      <c r="L794" s="3">
        <f>Table1[[#This Row],[Price Per Unit]]*Table1[[#This Row],[Units Sold]]</f>
        <v>201582.69</v>
      </c>
      <c r="M794" s="3" t="s">
        <v>376</v>
      </c>
      <c r="N794" s="3">
        <v>18</v>
      </c>
      <c r="O794" s="3" t="s">
        <v>58</v>
      </c>
      <c r="P794" s="3" t="s">
        <v>21</v>
      </c>
      <c r="Q794" s="4">
        <v>5</v>
      </c>
      <c r="R794" s="4" t="str">
        <f>IF(Table1[[#This Row],[Customer Ratings]]&gt;=4, "Good",IF(Table1[[#This Row],[Customer Ratings]]=3, "Average","Poor"))</f>
        <v>Good</v>
      </c>
      <c r="S794" s="3" t="s">
        <v>27</v>
      </c>
    </row>
    <row r="795" spans="1:19" x14ac:dyDescent="0.25">
      <c r="A795" s="3">
        <v>794</v>
      </c>
      <c r="B795" s="5">
        <f>DATE(Table1[[#This Row],[Year]],Table1[[#This Row],[Month]],Table1[[#This Row],[Day]])</f>
        <v>44705</v>
      </c>
      <c r="C795" s="3">
        <v>24</v>
      </c>
      <c r="D795" s="3">
        <v>5</v>
      </c>
      <c r="E795" s="3">
        <v>2022</v>
      </c>
      <c r="F795" s="3" t="str">
        <f>"Qtr"&amp; " " &amp;CHOOSE(MONTH(Table1[[#This Row],[Date]]),1,1,1,2,2,2,3,3,3,4,4,4)</f>
        <v>Qtr 2</v>
      </c>
      <c r="G795" s="3" t="str">
        <f>TEXT(Table1[[#This Row],[Date]],"mmmm")</f>
        <v>May</v>
      </c>
      <c r="H795" s="3" t="s">
        <v>1082</v>
      </c>
      <c r="I795" s="3" t="s">
        <v>33</v>
      </c>
      <c r="J795" s="3">
        <v>7</v>
      </c>
      <c r="K795" s="3">
        <v>42459.17</v>
      </c>
      <c r="L795" s="3">
        <f>Table1[[#This Row],[Price Per Unit]]*Table1[[#This Row],[Units Sold]]</f>
        <v>297214.19</v>
      </c>
      <c r="M795" s="3" t="s">
        <v>365</v>
      </c>
      <c r="N795" s="3">
        <v>51</v>
      </c>
      <c r="O795" s="3" t="s">
        <v>24</v>
      </c>
      <c r="P795" s="3" t="s">
        <v>31</v>
      </c>
      <c r="Q795" s="4">
        <v>5</v>
      </c>
      <c r="R795" s="4" t="str">
        <f>IF(Table1[[#This Row],[Customer Ratings]]&gt;=4, "Good",IF(Table1[[#This Row],[Customer Ratings]]=3, "Average","Poor"))</f>
        <v>Good</v>
      </c>
      <c r="S795" s="3" t="s">
        <v>83</v>
      </c>
    </row>
    <row r="796" spans="1:19" x14ac:dyDescent="0.25">
      <c r="A796" s="3">
        <v>795</v>
      </c>
      <c r="B796" s="5">
        <f>DATE(Table1[[#This Row],[Year]],Table1[[#This Row],[Month]],Table1[[#This Row],[Day]])</f>
        <v>44705</v>
      </c>
      <c r="C796" s="3">
        <v>24</v>
      </c>
      <c r="D796" s="3">
        <v>5</v>
      </c>
      <c r="E796" s="3">
        <v>2022</v>
      </c>
      <c r="F796" s="3" t="str">
        <f>"Qtr"&amp; " " &amp;CHOOSE(MONTH(Table1[[#This Row],[Date]]),1,1,1,2,2,2,3,3,3,4,4,4)</f>
        <v>Qtr 2</v>
      </c>
      <c r="G796" s="3" t="str">
        <f>TEXT(Table1[[#This Row],[Date]],"mmmm")</f>
        <v>May</v>
      </c>
      <c r="H796" s="3" t="s">
        <v>1082</v>
      </c>
      <c r="I796" s="3" t="s">
        <v>13</v>
      </c>
      <c r="J796" s="3">
        <v>2</v>
      </c>
      <c r="K796" s="3">
        <v>52916.02</v>
      </c>
      <c r="L796" s="3">
        <f>Table1[[#This Row],[Price Per Unit]]*Table1[[#This Row],[Units Sold]]</f>
        <v>105832.04</v>
      </c>
      <c r="M796" s="3" t="s">
        <v>611</v>
      </c>
      <c r="N796" s="3">
        <v>34</v>
      </c>
      <c r="O796" s="3" t="s">
        <v>15</v>
      </c>
      <c r="P796" s="3" t="s">
        <v>21</v>
      </c>
      <c r="Q796" s="4">
        <v>3</v>
      </c>
      <c r="R796" s="4" t="str">
        <f>IF(Table1[[#This Row],[Customer Ratings]]&gt;=4, "Good",IF(Table1[[#This Row],[Customer Ratings]]=3, "Average","Poor"))</f>
        <v>Average</v>
      </c>
      <c r="S796" s="3" t="s">
        <v>27</v>
      </c>
    </row>
    <row r="797" spans="1:19" x14ac:dyDescent="0.25">
      <c r="A797" s="3">
        <v>796</v>
      </c>
      <c r="B797" s="5">
        <f>DATE(Table1[[#This Row],[Year]],Table1[[#This Row],[Month]],Table1[[#This Row],[Day]])</f>
        <v>44705</v>
      </c>
      <c r="C797" s="3">
        <v>24</v>
      </c>
      <c r="D797" s="3">
        <v>5</v>
      </c>
      <c r="E797" s="3">
        <v>2022</v>
      </c>
      <c r="F797" s="3" t="str">
        <f>"Qtr"&amp; " " &amp;CHOOSE(MONTH(Table1[[#This Row],[Date]]),1,1,1,2,2,2,3,3,3,4,4,4)</f>
        <v>Qtr 2</v>
      </c>
      <c r="G797" s="3" t="str">
        <f>TEXT(Table1[[#This Row],[Date]],"mmmm")</f>
        <v>May</v>
      </c>
      <c r="H797" s="3" t="s">
        <v>1082</v>
      </c>
      <c r="I797" s="3" t="s">
        <v>28</v>
      </c>
      <c r="J797" s="3">
        <v>6</v>
      </c>
      <c r="K797" s="3">
        <v>43403.94</v>
      </c>
      <c r="L797" s="3">
        <f>Table1[[#This Row],[Price Per Unit]]*Table1[[#This Row],[Units Sold]]</f>
        <v>260423.64</v>
      </c>
      <c r="M797" s="3" t="s">
        <v>612</v>
      </c>
      <c r="N797" s="3">
        <v>56</v>
      </c>
      <c r="O797" s="3" t="s">
        <v>20</v>
      </c>
      <c r="P797" s="3" t="s">
        <v>16</v>
      </c>
      <c r="Q797" s="4">
        <v>4</v>
      </c>
      <c r="R797" s="4" t="str">
        <f>IF(Table1[[#This Row],[Customer Ratings]]&gt;=4, "Good",IF(Table1[[#This Row],[Customer Ratings]]=3, "Average","Poor"))</f>
        <v>Good</v>
      </c>
      <c r="S797" s="3" t="s">
        <v>87</v>
      </c>
    </row>
    <row r="798" spans="1:19" x14ac:dyDescent="0.25">
      <c r="A798" s="3">
        <v>797</v>
      </c>
      <c r="B798" s="5">
        <f>DATE(Table1[[#This Row],[Year]],Table1[[#This Row],[Month]],Table1[[#This Row],[Day]])</f>
        <v>44706</v>
      </c>
      <c r="C798" s="3">
        <v>25</v>
      </c>
      <c r="D798" s="3">
        <v>5</v>
      </c>
      <c r="E798" s="3">
        <v>2022</v>
      </c>
      <c r="F798" s="3" t="str">
        <f>"Qtr"&amp; " " &amp;CHOOSE(MONTH(Table1[[#This Row],[Date]]),1,1,1,2,2,2,3,3,3,4,4,4)</f>
        <v>Qtr 2</v>
      </c>
      <c r="G798" s="3" t="str">
        <f>TEXT(Table1[[#This Row],[Date]],"mmmm")</f>
        <v>May</v>
      </c>
      <c r="H798" s="3" t="s">
        <v>1083</v>
      </c>
      <c r="I798" s="3" t="s">
        <v>28</v>
      </c>
      <c r="J798" s="3">
        <v>5</v>
      </c>
      <c r="K798" s="3">
        <v>61284.44</v>
      </c>
      <c r="L798" s="3">
        <f>Table1[[#This Row],[Price Per Unit]]*Table1[[#This Row],[Units Sold]]</f>
        <v>306422.2</v>
      </c>
      <c r="M798" s="3" t="s">
        <v>159</v>
      </c>
      <c r="N798" s="3">
        <v>55</v>
      </c>
      <c r="O798" s="3" t="s">
        <v>24</v>
      </c>
      <c r="P798" s="3" t="s">
        <v>31</v>
      </c>
      <c r="Q798" s="4">
        <v>4</v>
      </c>
      <c r="R798" s="4" t="str">
        <f>IF(Table1[[#This Row],[Customer Ratings]]&gt;=4, "Good",IF(Table1[[#This Row],[Customer Ratings]]=3, "Average","Poor"))</f>
        <v>Good</v>
      </c>
      <c r="S798" s="3" t="s">
        <v>87</v>
      </c>
    </row>
    <row r="799" spans="1:19" x14ac:dyDescent="0.25">
      <c r="A799" s="3">
        <v>798</v>
      </c>
      <c r="B799" s="5">
        <f>DATE(Table1[[#This Row],[Year]],Table1[[#This Row],[Month]],Table1[[#This Row],[Day]])</f>
        <v>44706</v>
      </c>
      <c r="C799" s="3">
        <v>25</v>
      </c>
      <c r="D799" s="3">
        <v>5</v>
      </c>
      <c r="E799" s="3">
        <v>2022</v>
      </c>
      <c r="F799" s="3" t="str">
        <f>"Qtr"&amp; " " &amp;CHOOSE(MONTH(Table1[[#This Row],[Date]]),1,1,1,2,2,2,3,3,3,4,4,4)</f>
        <v>Qtr 2</v>
      </c>
      <c r="G799" s="3" t="str">
        <f>TEXT(Table1[[#This Row],[Date]],"mmmm")</f>
        <v>May</v>
      </c>
      <c r="H799" s="3" t="s">
        <v>1083</v>
      </c>
      <c r="I799" s="3" t="s">
        <v>39</v>
      </c>
      <c r="J799" s="3">
        <v>1</v>
      </c>
      <c r="K799" s="3">
        <v>65774.990000000005</v>
      </c>
      <c r="L799" s="3">
        <f>Table1[[#This Row],[Price Per Unit]]*Table1[[#This Row],[Units Sold]]</f>
        <v>65774.990000000005</v>
      </c>
      <c r="M799" s="3" t="s">
        <v>132</v>
      </c>
      <c r="N799" s="3">
        <v>50</v>
      </c>
      <c r="O799" s="3" t="s">
        <v>15</v>
      </c>
      <c r="P799" s="3" t="s">
        <v>21</v>
      </c>
      <c r="Q799" s="4">
        <v>5</v>
      </c>
      <c r="R799" s="4" t="str">
        <f>IF(Table1[[#This Row],[Customer Ratings]]&gt;=4, "Good",IF(Table1[[#This Row],[Customer Ratings]]=3, "Average","Poor"))</f>
        <v>Good</v>
      </c>
      <c r="S799" s="3" t="s">
        <v>90</v>
      </c>
    </row>
    <row r="800" spans="1:19" x14ac:dyDescent="0.25">
      <c r="A800" s="3">
        <v>799</v>
      </c>
      <c r="B800" s="5">
        <f>DATE(Table1[[#This Row],[Year]],Table1[[#This Row],[Month]],Table1[[#This Row],[Day]])</f>
        <v>44706</v>
      </c>
      <c r="C800" s="3">
        <v>25</v>
      </c>
      <c r="D800" s="3">
        <v>5</v>
      </c>
      <c r="E800" s="3">
        <v>2022</v>
      </c>
      <c r="F800" s="3" t="str">
        <f>"Qtr"&amp; " " &amp;CHOOSE(MONTH(Table1[[#This Row],[Date]]),1,1,1,2,2,2,3,3,3,4,4,4)</f>
        <v>Qtr 2</v>
      </c>
      <c r="G800" s="3" t="str">
        <f>TEXT(Table1[[#This Row],[Date]],"mmmm")</f>
        <v>May</v>
      </c>
      <c r="H800" s="3" t="s">
        <v>1083</v>
      </c>
      <c r="I800" s="3" t="s">
        <v>39</v>
      </c>
      <c r="J800" s="3">
        <v>4</v>
      </c>
      <c r="K800" s="3">
        <v>21053.19</v>
      </c>
      <c r="L800" s="3">
        <f>Table1[[#This Row],[Price Per Unit]]*Table1[[#This Row],[Units Sold]]</f>
        <v>84212.76</v>
      </c>
      <c r="M800" s="3" t="s">
        <v>613</v>
      </c>
      <c r="N800" s="3">
        <v>38</v>
      </c>
      <c r="O800" s="3" t="s">
        <v>120</v>
      </c>
      <c r="P800" s="3" t="s">
        <v>31</v>
      </c>
      <c r="Q800" s="4">
        <v>4</v>
      </c>
      <c r="R800" s="4" t="str">
        <f>IF(Table1[[#This Row],[Customer Ratings]]&gt;=4, "Good",IF(Table1[[#This Row],[Customer Ratings]]=3, "Average","Poor"))</f>
        <v>Good</v>
      </c>
      <c r="S800" s="3" t="s">
        <v>76</v>
      </c>
    </row>
    <row r="801" spans="1:19" x14ac:dyDescent="0.25">
      <c r="A801" s="3">
        <v>800</v>
      </c>
      <c r="B801" s="5">
        <f>DATE(Table1[[#This Row],[Year]],Table1[[#This Row],[Month]],Table1[[#This Row],[Day]])</f>
        <v>44707</v>
      </c>
      <c r="C801" s="3">
        <v>26</v>
      </c>
      <c r="D801" s="3">
        <v>5</v>
      </c>
      <c r="E801" s="3">
        <v>2022</v>
      </c>
      <c r="F801" s="3" t="str">
        <f>"Qtr"&amp; " " &amp;CHOOSE(MONTH(Table1[[#This Row],[Date]]),1,1,1,2,2,2,3,3,3,4,4,4)</f>
        <v>Qtr 2</v>
      </c>
      <c r="G801" s="3" t="str">
        <f>TEXT(Table1[[#This Row],[Date]],"mmmm")</f>
        <v>May</v>
      </c>
      <c r="H801" s="3" t="s">
        <v>1084</v>
      </c>
      <c r="I801" s="3" t="s">
        <v>28</v>
      </c>
      <c r="J801" s="3">
        <v>2</v>
      </c>
      <c r="K801" s="3">
        <v>36211.599999999999</v>
      </c>
      <c r="L801" s="3">
        <f>Table1[[#This Row],[Price Per Unit]]*Table1[[#This Row],[Units Sold]]</f>
        <v>72423.199999999997</v>
      </c>
      <c r="M801" s="3" t="s">
        <v>112</v>
      </c>
      <c r="N801" s="3">
        <v>43</v>
      </c>
      <c r="O801" s="3" t="s">
        <v>20</v>
      </c>
      <c r="P801" s="3" t="s">
        <v>16</v>
      </c>
      <c r="Q801" s="4">
        <v>5</v>
      </c>
      <c r="R801" s="4" t="str">
        <f>IF(Table1[[#This Row],[Customer Ratings]]&gt;=4, "Good",IF(Table1[[#This Row],[Customer Ratings]]=3, "Average","Poor"))</f>
        <v>Good</v>
      </c>
      <c r="S801" s="3" t="s">
        <v>38</v>
      </c>
    </row>
    <row r="802" spans="1:19" x14ac:dyDescent="0.25">
      <c r="A802" s="3">
        <v>801</v>
      </c>
      <c r="B802" s="5">
        <f>DATE(Table1[[#This Row],[Year]],Table1[[#This Row],[Month]],Table1[[#This Row],[Day]])</f>
        <v>44707</v>
      </c>
      <c r="C802" s="3">
        <v>26</v>
      </c>
      <c r="D802" s="3">
        <v>5</v>
      </c>
      <c r="E802" s="3">
        <v>2022</v>
      </c>
      <c r="F802" s="3" t="str">
        <f>"Qtr"&amp; " " &amp;CHOOSE(MONTH(Table1[[#This Row],[Date]]),1,1,1,2,2,2,3,3,3,4,4,4)</f>
        <v>Qtr 2</v>
      </c>
      <c r="G802" s="3" t="str">
        <f>TEXT(Table1[[#This Row],[Date]],"mmmm")</f>
        <v>May</v>
      </c>
      <c r="H802" s="3" t="s">
        <v>1084</v>
      </c>
      <c r="I802" s="3" t="s">
        <v>28</v>
      </c>
      <c r="J802" s="3">
        <v>4</v>
      </c>
      <c r="K802" s="3">
        <v>33542.93</v>
      </c>
      <c r="L802" s="3">
        <f>Table1[[#This Row],[Price Per Unit]]*Table1[[#This Row],[Units Sold]]</f>
        <v>134171.72</v>
      </c>
      <c r="M802" s="3" t="s">
        <v>246</v>
      </c>
      <c r="N802" s="3">
        <v>53</v>
      </c>
      <c r="O802" s="3" t="s">
        <v>52</v>
      </c>
      <c r="P802" s="3" t="s">
        <v>21</v>
      </c>
      <c r="Q802" s="4">
        <v>5</v>
      </c>
      <c r="R802" s="4" t="str">
        <f>IF(Table1[[#This Row],[Customer Ratings]]&gt;=4, "Good",IF(Table1[[#This Row],[Customer Ratings]]=3, "Average","Poor"))</f>
        <v>Good</v>
      </c>
      <c r="S802" s="3" t="s">
        <v>87</v>
      </c>
    </row>
    <row r="803" spans="1:19" x14ac:dyDescent="0.25">
      <c r="A803" s="3">
        <v>802</v>
      </c>
      <c r="B803" s="5">
        <f>DATE(Table1[[#This Row],[Year]],Table1[[#This Row],[Month]],Table1[[#This Row],[Day]])</f>
        <v>44707</v>
      </c>
      <c r="C803" s="3">
        <v>26</v>
      </c>
      <c r="D803" s="3">
        <v>5</v>
      </c>
      <c r="E803" s="3">
        <v>2022</v>
      </c>
      <c r="F803" s="3" t="str">
        <f>"Qtr"&amp; " " &amp;CHOOSE(MONTH(Table1[[#This Row],[Date]]),1,1,1,2,2,2,3,3,3,4,4,4)</f>
        <v>Qtr 2</v>
      </c>
      <c r="G803" s="3" t="str">
        <f>TEXT(Table1[[#This Row],[Date]],"mmmm")</f>
        <v>May</v>
      </c>
      <c r="H803" s="3" t="s">
        <v>1084</v>
      </c>
      <c r="I803" s="3" t="s">
        <v>28</v>
      </c>
      <c r="J803" s="3">
        <v>1</v>
      </c>
      <c r="K803" s="3">
        <v>34312.910000000003</v>
      </c>
      <c r="L803" s="3">
        <f>Table1[[#This Row],[Price Per Unit]]*Table1[[#This Row],[Units Sold]]</f>
        <v>34312.910000000003</v>
      </c>
      <c r="M803" s="3" t="s">
        <v>591</v>
      </c>
      <c r="N803" s="3">
        <v>22</v>
      </c>
      <c r="O803" s="3" t="s">
        <v>81</v>
      </c>
      <c r="P803" s="3" t="s">
        <v>31</v>
      </c>
      <c r="Q803" s="4">
        <v>5</v>
      </c>
      <c r="R803" s="4" t="str">
        <f>IF(Table1[[#This Row],[Customer Ratings]]&gt;=4, "Good",IF(Table1[[#This Row],[Customer Ratings]]=3, "Average","Poor"))</f>
        <v>Good</v>
      </c>
      <c r="S803" s="3" t="s">
        <v>38</v>
      </c>
    </row>
    <row r="804" spans="1:19" x14ac:dyDescent="0.25">
      <c r="A804" s="3">
        <v>803</v>
      </c>
      <c r="B804" s="5">
        <f>DATE(Table1[[#This Row],[Year]],Table1[[#This Row],[Month]],Table1[[#This Row],[Day]])</f>
        <v>44708</v>
      </c>
      <c r="C804" s="3">
        <v>27</v>
      </c>
      <c r="D804" s="3">
        <v>5</v>
      </c>
      <c r="E804" s="3">
        <v>2022</v>
      </c>
      <c r="F804" s="3" t="str">
        <f>"Qtr"&amp; " " &amp;CHOOSE(MONTH(Table1[[#This Row],[Date]]),1,1,1,2,2,2,3,3,3,4,4,4)</f>
        <v>Qtr 2</v>
      </c>
      <c r="G804" s="3" t="str">
        <f>TEXT(Table1[[#This Row],[Date]],"mmmm")</f>
        <v>May</v>
      </c>
      <c r="H804" s="3" t="s">
        <v>1085</v>
      </c>
      <c r="I804" s="3" t="s">
        <v>13</v>
      </c>
      <c r="J804" s="3">
        <v>2</v>
      </c>
      <c r="K804" s="3">
        <v>17531.45</v>
      </c>
      <c r="L804" s="3">
        <f>Table1[[#This Row],[Price Per Unit]]*Table1[[#This Row],[Units Sold]]</f>
        <v>35062.9</v>
      </c>
      <c r="M804" s="3" t="s">
        <v>614</v>
      </c>
      <c r="N804" s="3">
        <v>50</v>
      </c>
      <c r="O804" s="3" t="s">
        <v>137</v>
      </c>
      <c r="P804" s="3" t="s">
        <v>21</v>
      </c>
      <c r="Q804" s="4">
        <v>2</v>
      </c>
      <c r="R804" s="4" t="str">
        <f>IF(Table1[[#This Row],[Customer Ratings]]&gt;=4, "Good",IF(Table1[[#This Row],[Customer Ratings]]=3, "Average","Poor"))</f>
        <v>Poor</v>
      </c>
      <c r="S804" s="3" t="s">
        <v>72</v>
      </c>
    </row>
    <row r="805" spans="1:19" x14ac:dyDescent="0.25">
      <c r="A805" s="3">
        <v>804</v>
      </c>
      <c r="B805" s="5">
        <f>DATE(Table1[[#This Row],[Year]],Table1[[#This Row],[Month]],Table1[[#This Row],[Day]])</f>
        <v>44708</v>
      </c>
      <c r="C805" s="3">
        <v>27</v>
      </c>
      <c r="D805" s="3">
        <v>5</v>
      </c>
      <c r="E805" s="3">
        <v>2022</v>
      </c>
      <c r="F805" s="3" t="str">
        <f>"Qtr"&amp; " " &amp;CHOOSE(MONTH(Table1[[#This Row],[Date]]),1,1,1,2,2,2,3,3,3,4,4,4)</f>
        <v>Qtr 2</v>
      </c>
      <c r="G805" s="3" t="str">
        <f>TEXT(Table1[[#This Row],[Date]],"mmmm")</f>
        <v>May</v>
      </c>
      <c r="H805" s="3" t="s">
        <v>1085</v>
      </c>
      <c r="I805" s="3" t="s">
        <v>28</v>
      </c>
      <c r="J805" s="3">
        <v>8</v>
      </c>
      <c r="K805" s="3">
        <v>58816.94</v>
      </c>
      <c r="L805" s="3">
        <f>Table1[[#This Row],[Price Per Unit]]*Table1[[#This Row],[Units Sold]]</f>
        <v>470535.52</v>
      </c>
      <c r="M805" s="3" t="s">
        <v>106</v>
      </c>
      <c r="N805" s="3">
        <v>18</v>
      </c>
      <c r="O805" s="3" t="s">
        <v>20</v>
      </c>
      <c r="P805" s="3" t="s">
        <v>31</v>
      </c>
      <c r="Q805" s="4">
        <v>4</v>
      </c>
      <c r="R805" s="4" t="str">
        <f>IF(Table1[[#This Row],[Customer Ratings]]&gt;=4, "Good",IF(Table1[[#This Row],[Customer Ratings]]=3, "Average","Poor"))</f>
        <v>Good</v>
      </c>
      <c r="S805" s="3" t="s">
        <v>32</v>
      </c>
    </row>
    <row r="806" spans="1:19" x14ac:dyDescent="0.25">
      <c r="A806" s="3">
        <v>805</v>
      </c>
      <c r="B806" s="5">
        <f>DATE(Table1[[#This Row],[Year]],Table1[[#This Row],[Month]],Table1[[#This Row],[Day]])</f>
        <v>44708</v>
      </c>
      <c r="C806" s="3">
        <v>27</v>
      </c>
      <c r="D806" s="3">
        <v>5</v>
      </c>
      <c r="E806" s="3">
        <v>2022</v>
      </c>
      <c r="F806" s="3" t="str">
        <f>"Qtr"&amp; " " &amp;CHOOSE(MONTH(Table1[[#This Row],[Date]]),1,1,1,2,2,2,3,3,3,4,4,4)</f>
        <v>Qtr 2</v>
      </c>
      <c r="G806" s="3" t="str">
        <f>TEXT(Table1[[#This Row],[Date]],"mmmm")</f>
        <v>May</v>
      </c>
      <c r="H806" s="3" t="s">
        <v>1085</v>
      </c>
      <c r="I806" s="3" t="s">
        <v>18</v>
      </c>
      <c r="J806" s="3">
        <v>6</v>
      </c>
      <c r="K806" s="3">
        <v>12145.97</v>
      </c>
      <c r="L806" s="3">
        <f>Table1[[#This Row],[Price Per Unit]]*Table1[[#This Row],[Units Sold]]</f>
        <v>72875.819999999992</v>
      </c>
      <c r="M806" s="3" t="s">
        <v>277</v>
      </c>
      <c r="N806" s="3">
        <v>23</v>
      </c>
      <c r="O806" s="3" t="s">
        <v>20</v>
      </c>
      <c r="P806" s="3" t="s">
        <v>31</v>
      </c>
      <c r="Q806" s="4">
        <v>4</v>
      </c>
      <c r="R806" s="4" t="str">
        <f>IF(Table1[[#This Row],[Customer Ratings]]&gt;=4, "Good",IF(Table1[[#This Row],[Customer Ratings]]=3, "Average","Poor"))</f>
        <v>Good</v>
      </c>
      <c r="S806" s="3" t="s">
        <v>25</v>
      </c>
    </row>
    <row r="807" spans="1:19" x14ac:dyDescent="0.25">
      <c r="A807" s="3">
        <v>806</v>
      </c>
      <c r="B807" s="5">
        <f>DATE(Table1[[#This Row],[Year]],Table1[[#This Row],[Month]],Table1[[#This Row],[Day]])</f>
        <v>44708</v>
      </c>
      <c r="C807" s="3">
        <v>27</v>
      </c>
      <c r="D807" s="3">
        <v>5</v>
      </c>
      <c r="E807" s="3">
        <v>2022</v>
      </c>
      <c r="F807" s="3" t="str">
        <f>"Qtr"&amp; " " &amp;CHOOSE(MONTH(Table1[[#This Row],[Date]]),1,1,1,2,2,2,3,3,3,4,4,4)</f>
        <v>Qtr 2</v>
      </c>
      <c r="G807" s="3" t="str">
        <f>TEXT(Table1[[#This Row],[Date]],"mmmm")</f>
        <v>May</v>
      </c>
      <c r="H807" s="3" t="s">
        <v>1085</v>
      </c>
      <c r="I807" s="3" t="s">
        <v>33</v>
      </c>
      <c r="J807" s="3">
        <v>2</v>
      </c>
      <c r="K807" s="3">
        <v>41693.599999999999</v>
      </c>
      <c r="L807" s="3">
        <f>Table1[[#This Row],[Price Per Unit]]*Table1[[#This Row],[Units Sold]]</f>
        <v>83387.199999999997</v>
      </c>
      <c r="M807" s="3" t="s">
        <v>185</v>
      </c>
      <c r="N807" s="3">
        <v>54</v>
      </c>
      <c r="O807" s="3" t="s">
        <v>98</v>
      </c>
      <c r="P807" s="3" t="s">
        <v>16</v>
      </c>
      <c r="Q807" s="4">
        <v>3</v>
      </c>
      <c r="R807" s="4" t="str">
        <f>IF(Table1[[#This Row],[Customer Ratings]]&gt;=4, "Good",IF(Table1[[#This Row],[Customer Ratings]]=3, "Average","Poor"))</f>
        <v>Average</v>
      </c>
      <c r="S807" s="3" t="s">
        <v>46</v>
      </c>
    </row>
    <row r="808" spans="1:19" x14ac:dyDescent="0.25">
      <c r="A808" s="3">
        <v>807</v>
      </c>
      <c r="B808" s="5">
        <f>DATE(Table1[[#This Row],[Year]],Table1[[#This Row],[Month]],Table1[[#This Row],[Day]])</f>
        <v>44709</v>
      </c>
      <c r="C808" s="3">
        <v>28</v>
      </c>
      <c r="D808" s="3">
        <v>5</v>
      </c>
      <c r="E808" s="3">
        <v>2022</v>
      </c>
      <c r="F808" s="3" t="str">
        <f>"Qtr"&amp; " " &amp;CHOOSE(MONTH(Table1[[#This Row],[Date]]),1,1,1,2,2,2,3,3,3,4,4,4)</f>
        <v>Qtr 2</v>
      </c>
      <c r="G808" s="3" t="str">
        <f>TEXT(Table1[[#This Row],[Date]],"mmmm")</f>
        <v>May</v>
      </c>
      <c r="H808" s="3" t="s">
        <v>1079</v>
      </c>
      <c r="I808" s="3" t="s">
        <v>28</v>
      </c>
      <c r="J808" s="3">
        <v>6</v>
      </c>
      <c r="K808" s="3">
        <v>49712.7</v>
      </c>
      <c r="L808" s="3">
        <f>Table1[[#This Row],[Price Per Unit]]*Table1[[#This Row],[Units Sold]]</f>
        <v>298276.19999999995</v>
      </c>
      <c r="M808" s="3" t="s">
        <v>82</v>
      </c>
      <c r="N808" s="3">
        <v>19</v>
      </c>
      <c r="O808" s="3" t="s">
        <v>58</v>
      </c>
      <c r="P808" s="3" t="s">
        <v>16</v>
      </c>
      <c r="Q808" s="4">
        <v>2</v>
      </c>
      <c r="R808" s="4" t="str">
        <f>IF(Table1[[#This Row],[Customer Ratings]]&gt;=4, "Good",IF(Table1[[#This Row],[Customer Ratings]]=3, "Average","Poor"))</f>
        <v>Poor</v>
      </c>
      <c r="S808" s="3" t="s">
        <v>87</v>
      </c>
    </row>
    <row r="809" spans="1:19" x14ac:dyDescent="0.25">
      <c r="A809" s="3">
        <v>808</v>
      </c>
      <c r="B809" s="5">
        <f>DATE(Table1[[#This Row],[Year]],Table1[[#This Row],[Month]],Table1[[#This Row],[Day]])</f>
        <v>44709</v>
      </c>
      <c r="C809" s="3">
        <v>28</v>
      </c>
      <c r="D809" s="3">
        <v>5</v>
      </c>
      <c r="E809" s="3">
        <v>2022</v>
      </c>
      <c r="F809" s="3" t="str">
        <f>"Qtr"&amp; " " &amp;CHOOSE(MONTH(Table1[[#This Row],[Date]]),1,1,1,2,2,2,3,3,3,4,4,4)</f>
        <v>Qtr 2</v>
      </c>
      <c r="G809" s="3" t="str">
        <f>TEXT(Table1[[#This Row],[Date]],"mmmm")</f>
        <v>May</v>
      </c>
      <c r="H809" s="3" t="s">
        <v>1079</v>
      </c>
      <c r="I809" s="3" t="s">
        <v>33</v>
      </c>
      <c r="J809" s="3">
        <v>9</v>
      </c>
      <c r="K809" s="3">
        <v>22448.17</v>
      </c>
      <c r="L809" s="3">
        <f>Table1[[#This Row],[Price Per Unit]]*Table1[[#This Row],[Units Sold]]</f>
        <v>202033.52999999997</v>
      </c>
      <c r="M809" s="3" t="s">
        <v>615</v>
      </c>
      <c r="N809" s="3">
        <v>22</v>
      </c>
      <c r="O809" s="3" t="s">
        <v>65</v>
      </c>
      <c r="P809" s="3" t="s">
        <v>21</v>
      </c>
      <c r="Q809" s="4">
        <v>3</v>
      </c>
      <c r="R809" s="4" t="str">
        <f>IF(Table1[[#This Row],[Customer Ratings]]&gt;=4, "Good",IF(Table1[[#This Row],[Customer Ratings]]=3, "Average","Poor"))</f>
        <v>Average</v>
      </c>
      <c r="S809" s="3" t="s">
        <v>46</v>
      </c>
    </row>
    <row r="810" spans="1:19" x14ac:dyDescent="0.25">
      <c r="A810" s="3">
        <v>809</v>
      </c>
      <c r="B810" s="5">
        <f>DATE(Table1[[#This Row],[Year]],Table1[[#This Row],[Month]],Table1[[#This Row],[Day]])</f>
        <v>44709</v>
      </c>
      <c r="C810" s="3">
        <v>28</v>
      </c>
      <c r="D810" s="3">
        <v>5</v>
      </c>
      <c r="E810" s="3">
        <v>2022</v>
      </c>
      <c r="F810" s="3" t="str">
        <f>"Qtr"&amp; " " &amp;CHOOSE(MONTH(Table1[[#This Row],[Date]]),1,1,1,2,2,2,3,3,3,4,4,4)</f>
        <v>Qtr 2</v>
      </c>
      <c r="G810" s="3" t="str">
        <f>TEXT(Table1[[#This Row],[Date]],"mmmm")</f>
        <v>May</v>
      </c>
      <c r="H810" s="3" t="s">
        <v>1079</v>
      </c>
      <c r="I810" s="3" t="s">
        <v>13</v>
      </c>
      <c r="J810" s="3">
        <v>7</v>
      </c>
      <c r="K810" s="3">
        <v>64351.01</v>
      </c>
      <c r="L810" s="3">
        <f>Table1[[#This Row],[Price Per Unit]]*Table1[[#This Row],[Units Sold]]</f>
        <v>450457.07</v>
      </c>
      <c r="M810" s="3" t="s">
        <v>616</v>
      </c>
      <c r="N810" s="3">
        <v>43</v>
      </c>
      <c r="O810" s="3" t="s">
        <v>24</v>
      </c>
      <c r="P810" s="3" t="s">
        <v>45</v>
      </c>
      <c r="Q810" s="4">
        <v>5</v>
      </c>
      <c r="R810" s="4" t="str">
        <f>IF(Table1[[#This Row],[Customer Ratings]]&gt;=4, "Good",IF(Table1[[#This Row],[Customer Ratings]]=3, "Average","Poor"))</f>
        <v>Good</v>
      </c>
      <c r="S810" s="3" t="s">
        <v>72</v>
      </c>
    </row>
    <row r="811" spans="1:19" x14ac:dyDescent="0.25">
      <c r="A811" s="3">
        <v>810</v>
      </c>
      <c r="B811" s="5">
        <f>DATE(Table1[[#This Row],[Year]],Table1[[#This Row],[Month]],Table1[[#This Row],[Day]])</f>
        <v>44709</v>
      </c>
      <c r="C811" s="3">
        <v>28</v>
      </c>
      <c r="D811" s="3">
        <v>5</v>
      </c>
      <c r="E811" s="3">
        <v>2022</v>
      </c>
      <c r="F811" s="3" t="str">
        <f>"Qtr"&amp; " " &amp;CHOOSE(MONTH(Table1[[#This Row],[Date]]),1,1,1,2,2,2,3,3,3,4,4,4)</f>
        <v>Qtr 2</v>
      </c>
      <c r="G811" s="3" t="str">
        <f>TEXT(Table1[[#This Row],[Date]],"mmmm")</f>
        <v>May</v>
      </c>
      <c r="H811" s="3" t="s">
        <v>1079</v>
      </c>
      <c r="I811" s="3" t="s">
        <v>33</v>
      </c>
      <c r="J811" s="3">
        <v>9</v>
      </c>
      <c r="K811" s="3">
        <v>60312.95</v>
      </c>
      <c r="L811" s="3">
        <f>Table1[[#This Row],[Price Per Unit]]*Table1[[#This Row],[Units Sold]]</f>
        <v>542816.54999999993</v>
      </c>
      <c r="M811" s="3" t="s">
        <v>37</v>
      </c>
      <c r="N811" s="3">
        <v>58</v>
      </c>
      <c r="O811" s="3" t="s">
        <v>120</v>
      </c>
      <c r="P811" s="3" t="s">
        <v>21</v>
      </c>
      <c r="Q811" s="4">
        <v>5</v>
      </c>
      <c r="R811" s="4" t="str">
        <f>IF(Table1[[#This Row],[Customer Ratings]]&gt;=4, "Good",IF(Table1[[#This Row],[Customer Ratings]]=3, "Average","Poor"))</f>
        <v>Good</v>
      </c>
      <c r="S811" s="3" t="s">
        <v>46</v>
      </c>
    </row>
    <row r="812" spans="1:19" x14ac:dyDescent="0.25">
      <c r="A812" s="3">
        <v>811</v>
      </c>
      <c r="B812" s="5">
        <f>DATE(Table1[[#This Row],[Year]],Table1[[#This Row],[Month]],Table1[[#This Row],[Day]])</f>
        <v>44710</v>
      </c>
      <c r="C812" s="3">
        <v>29</v>
      </c>
      <c r="D812" s="3">
        <v>5</v>
      </c>
      <c r="E812" s="3">
        <v>2022</v>
      </c>
      <c r="F812" s="3" t="str">
        <f>"Qtr"&amp; " " &amp;CHOOSE(MONTH(Table1[[#This Row],[Date]]),1,1,1,2,2,2,3,3,3,4,4,4)</f>
        <v>Qtr 2</v>
      </c>
      <c r="G812" s="3" t="str">
        <f>TEXT(Table1[[#This Row],[Date]],"mmmm")</f>
        <v>May</v>
      </c>
      <c r="H812" s="3" t="s">
        <v>1080</v>
      </c>
      <c r="I812" s="3" t="s">
        <v>13</v>
      </c>
      <c r="J812" s="3">
        <v>5</v>
      </c>
      <c r="K812" s="3">
        <v>38265.019999999997</v>
      </c>
      <c r="L812" s="3">
        <f>Table1[[#This Row],[Price Per Unit]]*Table1[[#This Row],[Units Sold]]</f>
        <v>191325.09999999998</v>
      </c>
      <c r="M812" s="3" t="s">
        <v>617</v>
      </c>
      <c r="N812" s="3">
        <v>30</v>
      </c>
      <c r="O812" s="3" t="s">
        <v>20</v>
      </c>
      <c r="P812" s="3" t="s">
        <v>31</v>
      </c>
      <c r="Q812" s="4">
        <v>4</v>
      </c>
      <c r="R812" s="4" t="str">
        <f>IF(Table1[[#This Row],[Customer Ratings]]&gt;=4, "Good",IF(Table1[[#This Row],[Customer Ratings]]=3, "Average","Poor"))</f>
        <v>Good</v>
      </c>
      <c r="S812" s="3" t="s">
        <v>27</v>
      </c>
    </row>
    <row r="813" spans="1:19" x14ac:dyDescent="0.25">
      <c r="A813" s="3">
        <v>812</v>
      </c>
      <c r="B813" s="5">
        <f>DATE(Table1[[#This Row],[Year]],Table1[[#This Row],[Month]],Table1[[#This Row],[Day]])</f>
        <v>44710</v>
      </c>
      <c r="C813" s="3">
        <v>29</v>
      </c>
      <c r="D813" s="3">
        <v>5</v>
      </c>
      <c r="E813" s="3">
        <v>2022</v>
      </c>
      <c r="F813" s="3" t="str">
        <f>"Qtr"&amp; " " &amp;CHOOSE(MONTH(Table1[[#This Row],[Date]]),1,1,1,2,2,2,3,3,3,4,4,4)</f>
        <v>Qtr 2</v>
      </c>
      <c r="G813" s="3" t="str">
        <f>TEXT(Table1[[#This Row],[Date]],"mmmm")</f>
        <v>May</v>
      </c>
      <c r="H813" s="3" t="s">
        <v>1080</v>
      </c>
      <c r="I813" s="3" t="s">
        <v>18</v>
      </c>
      <c r="J813" s="3">
        <v>7</v>
      </c>
      <c r="K813" s="3">
        <v>34668.94</v>
      </c>
      <c r="L813" s="3">
        <f>Table1[[#This Row],[Price Per Unit]]*Table1[[#This Row],[Units Sold]]</f>
        <v>242682.58000000002</v>
      </c>
      <c r="M813" s="3" t="s">
        <v>618</v>
      </c>
      <c r="N813" s="3">
        <v>29</v>
      </c>
      <c r="O813" s="3" t="s">
        <v>24</v>
      </c>
      <c r="P813" s="3" t="s">
        <v>16</v>
      </c>
      <c r="Q813" s="4">
        <v>5</v>
      </c>
      <c r="R813" s="4" t="str">
        <f>IF(Table1[[#This Row],[Customer Ratings]]&gt;=4, "Good",IF(Table1[[#This Row],[Customer Ratings]]=3, "Average","Poor"))</f>
        <v>Good</v>
      </c>
      <c r="S813" s="3" t="s">
        <v>22</v>
      </c>
    </row>
    <row r="814" spans="1:19" x14ac:dyDescent="0.25">
      <c r="A814" s="3">
        <v>813</v>
      </c>
      <c r="B814" s="5">
        <f>DATE(Table1[[#This Row],[Year]],Table1[[#This Row],[Month]],Table1[[#This Row],[Day]])</f>
        <v>44710</v>
      </c>
      <c r="C814" s="3">
        <v>29</v>
      </c>
      <c r="D814" s="3">
        <v>5</v>
      </c>
      <c r="E814" s="3">
        <v>2022</v>
      </c>
      <c r="F814" s="3" t="str">
        <f>"Qtr"&amp; " " &amp;CHOOSE(MONTH(Table1[[#This Row],[Date]]),1,1,1,2,2,2,3,3,3,4,4,4)</f>
        <v>Qtr 2</v>
      </c>
      <c r="G814" s="3" t="str">
        <f>TEXT(Table1[[#This Row],[Date]],"mmmm")</f>
        <v>May</v>
      </c>
      <c r="H814" s="3" t="s">
        <v>1080</v>
      </c>
      <c r="I814" s="3" t="s">
        <v>13</v>
      </c>
      <c r="J814" s="3">
        <v>7</v>
      </c>
      <c r="K814" s="3">
        <v>24194.080000000002</v>
      </c>
      <c r="L814" s="3">
        <f>Table1[[#This Row],[Price Per Unit]]*Table1[[#This Row],[Units Sold]]</f>
        <v>169358.56</v>
      </c>
      <c r="M814" s="3" t="s">
        <v>619</v>
      </c>
      <c r="N814" s="3">
        <v>22</v>
      </c>
      <c r="O814" s="3" t="s">
        <v>105</v>
      </c>
      <c r="P814" s="3" t="s">
        <v>16</v>
      </c>
      <c r="Q814" s="4">
        <v>5</v>
      </c>
      <c r="R814" s="4" t="str">
        <f>IF(Table1[[#This Row],[Customer Ratings]]&gt;=4, "Good",IF(Table1[[#This Row],[Customer Ratings]]=3, "Average","Poor"))</f>
        <v>Good</v>
      </c>
      <c r="S814" s="3" t="s">
        <v>72</v>
      </c>
    </row>
    <row r="815" spans="1:19" x14ac:dyDescent="0.25">
      <c r="A815" s="3">
        <v>814</v>
      </c>
      <c r="B815" s="5">
        <f>DATE(Table1[[#This Row],[Year]],Table1[[#This Row],[Month]],Table1[[#This Row],[Day]])</f>
        <v>44710</v>
      </c>
      <c r="C815" s="3">
        <v>29</v>
      </c>
      <c r="D815" s="3">
        <v>5</v>
      </c>
      <c r="E815" s="3">
        <v>2022</v>
      </c>
      <c r="F815" s="3" t="str">
        <f>"Qtr"&amp; " " &amp;CHOOSE(MONTH(Table1[[#This Row],[Date]]),1,1,1,2,2,2,3,3,3,4,4,4)</f>
        <v>Qtr 2</v>
      </c>
      <c r="G815" s="3" t="str">
        <f>TEXT(Table1[[#This Row],[Date]],"mmmm")</f>
        <v>May</v>
      </c>
      <c r="H815" s="3" t="s">
        <v>1080</v>
      </c>
      <c r="I815" s="3" t="s">
        <v>13</v>
      </c>
      <c r="J815" s="3">
        <v>3</v>
      </c>
      <c r="K815" s="3">
        <v>53799.59</v>
      </c>
      <c r="L815" s="3">
        <f>Table1[[#This Row],[Price Per Unit]]*Table1[[#This Row],[Units Sold]]</f>
        <v>161398.76999999999</v>
      </c>
      <c r="M815" s="3" t="s">
        <v>578</v>
      </c>
      <c r="N815" s="3">
        <v>19</v>
      </c>
      <c r="O815" s="3" t="s">
        <v>58</v>
      </c>
      <c r="P815" s="3" t="s">
        <v>31</v>
      </c>
      <c r="Q815" s="4">
        <v>5</v>
      </c>
      <c r="R815" s="4" t="str">
        <f>IF(Table1[[#This Row],[Customer Ratings]]&gt;=4, "Good",IF(Table1[[#This Row],[Customer Ratings]]=3, "Average","Poor"))</f>
        <v>Good</v>
      </c>
      <c r="S815" s="3" t="s">
        <v>27</v>
      </c>
    </row>
    <row r="816" spans="1:19" x14ac:dyDescent="0.25">
      <c r="A816" s="3">
        <v>815</v>
      </c>
      <c r="B816" s="5">
        <f>DATE(Table1[[#This Row],[Year]],Table1[[#This Row],[Month]],Table1[[#This Row],[Day]])</f>
        <v>44711</v>
      </c>
      <c r="C816" s="3">
        <v>30</v>
      </c>
      <c r="D816" s="3">
        <v>5</v>
      </c>
      <c r="E816" s="3">
        <v>2022</v>
      </c>
      <c r="F816" s="3" t="str">
        <f>"Qtr"&amp; " " &amp;CHOOSE(MONTH(Table1[[#This Row],[Date]]),1,1,1,2,2,2,3,3,3,4,4,4)</f>
        <v>Qtr 2</v>
      </c>
      <c r="G816" s="3" t="str">
        <f>TEXT(Table1[[#This Row],[Date]],"mmmm")</f>
        <v>May</v>
      </c>
      <c r="H816" s="3" t="s">
        <v>1081</v>
      </c>
      <c r="I816" s="3" t="s">
        <v>39</v>
      </c>
      <c r="J816" s="3">
        <v>7</v>
      </c>
      <c r="K816" s="3">
        <v>17904.63</v>
      </c>
      <c r="L816" s="3">
        <f>Table1[[#This Row],[Price Per Unit]]*Table1[[#This Row],[Units Sold]]</f>
        <v>125332.41</v>
      </c>
      <c r="M816" s="3" t="s">
        <v>199</v>
      </c>
      <c r="N816" s="3">
        <v>21</v>
      </c>
      <c r="O816" s="3" t="s">
        <v>20</v>
      </c>
      <c r="P816" s="3" t="s">
        <v>45</v>
      </c>
      <c r="Q816" s="4">
        <v>2</v>
      </c>
      <c r="R816" s="4" t="str">
        <f>IF(Table1[[#This Row],[Customer Ratings]]&gt;=4, "Good",IF(Table1[[#This Row],[Customer Ratings]]=3, "Average","Poor"))</f>
        <v>Poor</v>
      </c>
      <c r="S816" s="3" t="s">
        <v>90</v>
      </c>
    </row>
    <row r="817" spans="1:19" x14ac:dyDescent="0.25">
      <c r="A817" s="3">
        <v>816</v>
      </c>
      <c r="B817" s="5">
        <f>DATE(Table1[[#This Row],[Year]],Table1[[#This Row],[Month]],Table1[[#This Row],[Day]])</f>
        <v>44711</v>
      </c>
      <c r="C817" s="3">
        <v>30</v>
      </c>
      <c r="D817" s="3">
        <v>5</v>
      </c>
      <c r="E817" s="3">
        <v>2022</v>
      </c>
      <c r="F817" s="3" t="str">
        <f>"Qtr"&amp; " " &amp;CHOOSE(MONTH(Table1[[#This Row],[Date]]),1,1,1,2,2,2,3,3,3,4,4,4)</f>
        <v>Qtr 2</v>
      </c>
      <c r="G817" s="3" t="str">
        <f>TEXT(Table1[[#This Row],[Date]],"mmmm")</f>
        <v>May</v>
      </c>
      <c r="H817" s="3" t="s">
        <v>1081</v>
      </c>
      <c r="I817" s="3" t="s">
        <v>28</v>
      </c>
      <c r="J817" s="3">
        <v>1</v>
      </c>
      <c r="K817" s="3">
        <v>50814.27</v>
      </c>
      <c r="L817" s="3">
        <f>Table1[[#This Row],[Price Per Unit]]*Table1[[#This Row],[Units Sold]]</f>
        <v>50814.27</v>
      </c>
      <c r="M817" s="3" t="s">
        <v>620</v>
      </c>
      <c r="N817" s="3">
        <v>44</v>
      </c>
      <c r="O817" s="3" t="s">
        <v>52</v>
      </c>
      <c r="P817" s="3" t="s">
        <v>16</v>
      </c>
      <c r="Q817" s="4">
        <v>3</v>
      </c>
      <c r="R817" s="4" t="str">
        <f>IF(Table1[[#This Row],[Customer Ratings]]&gt;=4, "Good",IF(Table1[[#This Row],[Customer Ratings]]=3, "Average","Poor"))</f>
        <v>Average</v>
      </c>
      <c r="S817" s="3" t="s">
        <v>32</v>
      </c>
    </row>
    <row r="818" spans="1:19" x14ac:dyDescent="0.25">
      <c r="A818" s="3">
        <v>817</v>
      </c>
      <c r="B818" s="5">
        <f>DATE(Table1[[#This Row],[Year]],Table1[[#This Row],[Month]],Table1[[#This Row],[Day]])</f>
        <v>44711</v>
      </c>
      <c r="C818" s="3">
        <v>30</v>
      </c>
      <c r="D818" s="3">
        <v>5</v>
      </c>
      <c r="E818" s="3">
        <v>2022</v>
      </c>
      <c r="F818" s="3" t="str">
        <f>"Qtr"&amp; " " &amp;CHOOSE(MONTH(Table1[[#This Row],[Date]]),1,1,1,2,2,2,3,3,3,4,4,4)</f>
        <v>Qtr 2</v>
      </c>
      <c r="G818" s="3" t="str">
        <f>TEXT(Table1[[#This Row],[Date]],"mmmm")</f>
        <v>May</v>
      </c>
      <c r="H818" s="3" t="s">
        <v>1081</v>
      </c>
      <c r="I818" s="3" t="s">
        <v>28</v>
      </c>
      <c r="J818" s="3">
        <v>9</v>
      </c>
      <c r="K818" s="3">
        <v>60547.42</v>
      </c>
      <c r="L818" s="3">
        <f>Table1[[#This Row],[Price Per Unit]]*Table1[[#This Row],[Units Sold]]</f>
        <v>544926.78</v>
      </c>
      <c r="M818" s="3" t="s">
        <v>425</v>
      </c>
      <c r="N818" s="3">
        <v>27</v>
      </c>
      <c r="O818" s="3" t="s">
        <v>35</v>
      </c>
      <c r="P818" s="3" t="s">
        <v>45</v>
      </c>
      <c r="Q818" s="4">
        <v>4</v>
      </c>
      <c r="R818" s="4" t="str">
        <f>IF(Table1[[#This Row],[Customer Ratings]]&gt;=4, "Good",IF(Table1[[#This Row],[Customer Ratings]]=3, "Average","Poor"))</f>
        <v>Good</v>
      </c>
      <c r="S818" s="3" t="s">
        <v>38</v>
      </c>
    </row>
    <row r="819" spans="1:19" x14ac:dyDescent="0.25">
      <c r="A819" s="3">
        <v>818</v>
      </c>
      <c r="B819" s="5">
        <f>DATE(Table1[[#This Row],[Year]],Table1[[#This Row],[Month]],Table1[[#This Row],[Day]])</f>
        <v>44711</v>
      </c>
      <c r="C819" s="3">
        <v>30</v>
      </c>
      <c r="D819" s="3">
        <v>5</v>
      </c>
      <c r="E819" s="3">
        <v>2022</v>
      </c>
      <c r="F819" s="3" t="str">
        <f>"Qtr"&amp; " " &amp;CHOOSE(MONTH(Table1[[#This Row],[Date]]),1,1,1,2,2,2,3,3,3,4,4,4)</f>
        <v>Qtr 2</v>
      </c>
      <c r="G819" s="3" t="str">
        <f>TEXT(Table1[[#This Row],[Date]],"mmmm")</f>
        <v>May</v>
      </c>
      <c r="H819" s="3" t="s">
        <v>1081</v>
      </c>
      <c r="I819" s="3" t="s">
        <v>18</v>
      </c>
      <c r="J819" s="3">
        <v>6</v>
      </c>
      <c r="K819" s="3">
        <v>23708.29</v>
      </c>
      <c r="L819" s="3">
        <f>Table1[[#This Row],[Price Per Unit]]*Table1[[#This Row],[Units Sold]]</f>
        <v>142249.74</v>
      </c>
      <c r="M819" s="3" t="s">
        <v>621</v>
      </c>
      <c r="N819" s="3">
        <v>30</v>
      </c>
      <c r="O819" s="3" t="s">
        <v>20</v>
      </c>
      <c r="P819" s="3" t="s">
        <v>16</v>
      </c>
      <c r="Q819" s="4">
        <v>4</v>
      </c>
      <c r="R819" s="4" t="str">
        <f>IF(Table1[[#This Row],[Customer Ratings]]&gt;=4, "Good",IF(Table1[[#This Row],[Customer Ratings]]=3, "Average","Poor"))</f>
        <v>Good</v>
      </c>
      <c r="S819" s="3" t="s">
        <v>55</v>
      </c>
    </row>
    <row r="820" spans="1:19" x14ac:dyDescent="0.25">
      <c r="A820" s="3">
        <v>819</v>
      </c>
      <c r="B820" s="5">
        <f>DATE(Table1[[#This Row],[Year]],Table1[[#This Row],[Month]],Table1[[#This Row],[Day]])</f>
        <v>44712</v>
      </c>
      <c r="C820" s="3">
        <v>31</v>
      </c>
      <c r="D820" s="3">
        <v>5</v>
      </c>
      <c r="E820" s="3">
        <v>2022</v>
      </c>
      <c r="F820" s="3" t="str">
        <f>"Qtr"&amp; " " &amp;CHOOSE(MONTH(Table1[[#This Row],[Date]]),1,1,1,2,2,2,3,3,3,4,4,4)</f>
        <v>Qtr 2</v>
      </c>
      <c r="G820" s="3" t="str">
        <f>TEXT(Table1[[#This Row],[Date]],"mmmm")</f>
        <v>May</v>
      </c>
      <c r="H820" s="3" t="s">
        <v>1082</v>
      </c>
      <c r="I820" s="3" t="s">
        <v>18</v>
      </c>
      <c r="J820" s="3">
        <v>5</v>
      </c>
      <c r="K820" s="3">
        <v>61985.64</v>
      </c>
      <c r="L820" s="3">
        <f>Table1[[#This Row],[Price Per Unit]]*Table1[[#This Row],[Units Sold]]</f>
        <v>309928.2</v>
      </c>
      <c r="M820" s="3" t="s">
        <v>622</v>
      </c>
      <c r="N820" s="3">
        <v>19</v>
      </c>
      <c r="O820" s="3" t="s">
        <v>120</v>
      </c>
      <c r="P820" s="3" t="s">
        <v>31</v>
      </c>
      <c r="Q820" s="4">
        <v>5</v>
      </c>
      <c r="R820" s="4" t="str">
        <f>IF(Table1[[#This Row],[Customer Ratings]]&gt;=4, "Good",IF(Table1[[#This Row],[Customer Ratings]]=3, "Average","Poor"))</f>
        <v>Good</v>
      </c>
      <c r="S820" s="3" t="s">
        <v>25</v>
      </c>
    </row>
    <row r="821" spans="1:19" x14ac:dyDescent="0.25">
      <c r="A821" s="3">
        <v>820</v>
      </c>
      <c r="B821" s="5">
        <f>DATE(Table1[[#This Row],[Year]],Table1[[#This Row],[Month]],Table1[[#This Row],[Day]])</f>
        <v>44712</v>
      </c>
      <c r="C821" s="3">
        <v>31</v>
      </c>
      <c r="D821" s="3">
        <v>5</v>
      </c>
      <c r="E821" s="3">
        <v>2022</v>
      </c>
      <c r="F821" s="3" t="str">
        <f>"Qtr"&amp; " " &amp;CHOOSE(MONTH(Table1[[#This Row],[Date]]),1,1,1,2,2,2,3,3,3,4,4,4)</f>
        <v>Qtr 2</v>
      </c>
      <c r="G821" s="3" t="str">
        <f>TEXT(Table1[[#This Row],[Date]],"mmmm")</f>
        <v>May</v>
      </c>
      <c r="H821" s="3" t="s">
        <v>1082</v>
      </c>
      <c r="I821" s="3" t="s">
        <v>28</v>
      </c>
      <c r="J821" s="3">
        <v>7</v>
      </c>
      <c r="K821" s="3">
        <v>11999.39</v>
      </c>
      <c r="L821" s="3">
        <f>Table1[[#This Row],[Price Per Unit]]*Table1[[#This Row],[Units Sold]]</f>
        <v>83995.73</v>
      </c>
      <c r="M821" s="3" t="s">
        <v>623</v>
      </c>
      <c r="N821" s="3">
        <v>43</v>
      </c>
      <c r="O821" s="3" t="s">
        <v>24</v>
      </c>
      <c r="P821" s="3" t="s">
        <v>21</v>
      </c>
      <c r="Q821" s="4">
        <v>2</v>
      </c>
      <c r="R821" s="4" t="str">
        <f>IF(Table1[[#This Row],[Customer Ratings]]&gt;=4, "Good",IF(Table1[[#This Row],[Customer Ratings]]=3, "Average","Poor"))</f>
        <v>Poor</v>
      </c>
      <c r="S821" s="3" t="s">
        <v>38</v>
      </c>
    </row>
    <row r="822" spans="1:19" x14ac:dyDescent="0.25">
      <c r="A822" s="3">
        <v>821</v>
      </c>
      <c r="B822" s="5">
        <f>DATE(Table1[[#This Row],[Year]],Table1[[#This Row],[Month]],Table1[[#This Row],[Day]])</f>
        <v>44712</v>
      </c>
      <c r="C822" s="3">
        <v>31</v>
      </c>
      <c r="D822" s="3">
        <v>5</v>
      </c>
      <c r="E822" s="3">
        <v>2022</v>
      </c>
      <c r="F822" s="3" t="str">
        <f>"Qtr"&amp; " " &amp;CHOOSE(MONTH(Table1[[#This Row],[Date]]),1,1,1,2,2,2,3,3,3,4,4,4)</f>
        <v>Qtr 2</v>
      </c>
      <c r="G822" s="3" t="str">
        <f>TEXT(Table1[[#This Row],[Date]],"mmmm")</f>
        <v>May</v>
      </c>
      <c r="H822" s="3" t="s">
        <v>1082</v>
      </c>
      <c r="I822" s="3" t="s">
        <v>39</v>
      </c>
      <c r="J822" s="3">
        <v>5</v>
      </c>
      <c r="K822" s="3">
        <v>64767.24</v>
      </c>
      <c r="L822" s="3">
        <f>Table1[[#This Row],[Price Per Unit]]*Table1[[#This Row],[Units Sold]]</f>
        <v>323836.2</v>
      </c>
      <c r="M822" s="3" t="s">
        <v>571</v>
      </c>
      <c r="N822" s="3">
        <v>32</v>
      </c>
      <c r="O822" s="3" t="s">
        <v>24</v>
      </c>
      <c r="P822" s="3" t="s">
        <v>21</v>
      </c>
      <c r="Q822" s="4">
        <v>5</v>
      </c>
      <c r="R822" s="4" t="str">
        <f>IF(Table1[[#This Row],[Customer Ratings]]&gt;=4, "Good",IF(Table1[[#This Row],[Customer Ratings]]=3, "Average","Poor"))</f>
        <v>Good</v>
      </c>
      <c r="S822" s="3" t="s">
        <v>42</v>
      </c>
    </row>
    <row r="823" spans="1:19" x14ac:dyDescent="0.25">
      <c r="A823" s="3">
        <v>822</v>
      </c>
      <c r="B823" s="5">
        <f>DATE(Table1[[#This Row],[Year]],Table1[[#This Row],[Month]],Table1[[#This Row],[Day]])</f>
        <v>44712</v>
      </c>
      <c r="C823" s="3">
        <v>31</v>
      </c>
      <c r="D823" s="3">
        <v>5</v>
      </c>
      <c r="E823" s="3">
        <v>2022</v>
      </c>
      <c r="F823" s="3" t="str">
        <f>"Qtr"&amp; " " &amp;CHOOSE(MONTH(Table1[[#This Row],[Date]]),1,1,1,2,2,2,3,3,3,4,4,4)</f>
        <v>Qtr 2</v>
      </c>
      <c r="G823" s="3" t="str">
        <f>TEXT(Table1[[#This Row],[Date]],"mmmm")</f>
        <v>May</v>
      </c>
      <c r="H823" s="3" t="s">
        <v>1082</v>
      </c>
      <c r="I823" s="3" t="s">
        <v>28</v>
      </c>
      <c r="J823" s="3">
        <v>5</v>
      </c>
      <c r="K823" s="3">
        <v>17101.73</v>
      </c>
      <c r="L823" s="3">
        <f>Table1[[#This Row],[Price Per Unit]]*Table1[[#This Row],[Units Sold]]</f>
        <v>85508.65</v>
      </c>
      <c r="M823" s="3" t="s">
        <v>360</v>
      </c>
      <c r="N823" s="3">
        <v>27</v>
      </c>
      <c r="O823" s="3" t="s">
        <v>65</v>
      </c>
      <c r="P823" s="3" t="s">
        <v>45</v>
      </c>
      <c r="Q823" s="4">
        <v>2</v>
      </c>
      <c r="R823" s="4" t="str">
        <f>IF(Table1[[#This Row],[Customer Ratings]]&gt;=4, "Good",IF(Table1[[#This Row],[Customer Ratings]]=3, "Average","Poor"))</f>
        <v>Poor</v>
      </c>
      <c r="S823" s="3" t="s">
        <v>32</v>
      </c>
    </row>
    <row r="824" spans="1:19" x14ac:dyDescent="0.25">
      <c r="A824" s="3">
        <v>823</v>
      </c>
      <c r="B824" s="5">
        <f>DATE(Table1[[#This Row],[Year]],Table1[[#This Row],[Month]],Table1[[#This Row],[Day]])</f>
        <v>44713</v>
      </c>
      <c r="C824" s="3">
        <v>1</v>
      </c>
      <c r="D824" s="3">
        <v>6</v>
      </c>
      <c r="E824" s="3">
        <v>2022</v>
      </c>
      <c r="F824" s="3" t="str">
        <f>"Qtr"&amp; " " &amp;CHOOSE(MONTH(Table1[[#This Row],[Date]]),1,1,1,2,2,2,3,3,3,4,4,4)</f>
        <v>Qtr 2</v>
      </c>
      <c r="G824" s="3" t="str">
        <f>TEXT(Table1[[#This Row],[Date]],"mmmm")</f>
        <v>June</v>
      </c>
      <c r="H824" s="3" t="s">
        <v>1083</v>
      </c>
      <c r="I824" s="3" t="s">
        <v>39</v>
      </c>
      <c r="J824" s="3">
        <v>7</v>
      </c>
      <c r="K824" s="3">
        <v>48745.55</v>
      </c>
      <c r="L824" s="3">
        <f>Table1[[#This Row],[Price Per Unit]]*Table1[[#This Row],[Units Sold]]</f>
        <v>341218.85000000003</v>
      </c>
      <c r="M824" s="3" t="s">
        <v>207</v>
      </c>
      <c r="N824" s="3">
        <v>39</v>
      </c>
      <c r="O824" s="3" t="s">
        <v>78</v>
      </c>
      <c r="P824" s="3" t="s">
        <v>21</v>
      </c>
      <c r="Q824" s="4">
        <v>4</v>
      </c>
      <c r="R824" s="4" t="str">
        <f>IF(Table1[[#This Row],[Customer Ratings]]&gt;=4, "Good",IF(Table1[[#This Row],[Customer Ratings]]=3, "Average","Poor"))</f>
        <v>Good</v>
      </c>
      <c r="S824" s="3" t="s">
        <v>76</v>
      </c>
    </row>
    <row r="825" spans="1:19" x14ac:dyDescent="0.25">
      <c r="A825" s="3">
        <v>824</v>
      </c>
      <c r="B825" s="5">
        <f>DATE(Table1[[#This Row],[Year]],Table1[[#This Row],[Month]],Table1[[#This Row],[Day]])</f>
        <v>44713</v>
      </c>
      <c r="C825" s="3">
        <v>1</v>
      </c>
      <c r="D825" s="3">
        <v>6</v>
      </c>
      <c r="E825" s="3">
        <v>2022</v>
      </c>
      <c r="F825" s="3" t="str">
        <f>"Qtr"&amp; " " &amp;CHOOSE(MONTH(Table1[[#This Row],[Date]]),1,1,1,2,2,2,3,3,3,4,4,4)</f>
        <v>Qtr 2</v>
      </c>
      <c r="G825" s="3" t="str">
        <f>TEXT(Table1[[#This Row],[Date]],"mmmm")</f>
        <v>June</v>
      </c>
      <c r="H825" s="3" t="s">
        <v>1083</v>
      </c>
      <c r="I825" s="3" t="s">
        <v>18</v>
      </c>
      <c r="J825" s="3">
        <v>7</v>
      </c>
      <c r="K825" s="3">
        <v>25004.95</v>
      </c>
      <c r="L825" s="3">
        <f>Table1[[#This Row],[Price Per Unit]]*Table1[[#This Row],[Units Sold]]</f>
        <v>175034.65</v>
      </c>
      <c r="M825" s="3" t="s">
        <v>624</v>
      </c>
      <c r="N825" s="3">
        <v>57</v>
      </c>
      <c r="O825" s="3" t="s">
        <v>20</v>
      </c>
      <c r="P825" s="3" t="s">
        <v>31</v>
      </c>
      <c r="Q825" s="4">
        <v>3</v>
      </c>
      <c r="R825" s="4" t="str">
        <f>IF(Table1[[#This Row],[Customer Ratings]]&gt;=4, "Good",IF(Table1[[#This Row],[Customer Ratings]]=3, "Average","Poor"))</f>
        <v>Average</v>
      </c>
      <c r="S825" s="3" t="s">
        <v>55</v>
      </c>
    </row>
    <row r="826" spans="1:19" x14ac:dyDescent="0.25">
      <c r="A826" s="3">
        <v>825</v>
      </c>
      <c r="B826" s="5">
        <f>DATE(Table1[[#This Row],[Year]],Table1[[#This Row],[Month]],Table1[[#This Row],[Day]])</f>
        <v>44713</v>
      </c>
      <c r="C826" s="3">
        <v>1</v>
      </c>
      <c r="D826" s="3">
        <v>6</v>
      </c>
      <c r="E826" s="3">
        <v>2022</v>
      </c>
      <c r="F826" s="3" t="str">
        <f>"Qtr"&amp; " " &amp;CHOOSE(MONTH(Table1[[#This Row],[Date]]),1,1,1,2,2,2,3,3,3,4,4,4)</f>
        <v>Qtr 2</v>
      </c>
      <c r="G826" s="3" t="str">
        <f>TEXT(Table1[[#This Row],[Date]],"mmmm")</f>
        <v>June</v>
      </c>
      <c r="H826" s="3" t="s">
        <v>1083</v>
      </c>
      <c r="I826" s="3" t="s">
        <v>33</v>
      </c>
      <c r="J826" s="3">
        <v>3</v>
      </c>
      <c r="K826" s="3">
        <v>60193.14</v>
      </c>
      <c r="L826" s="3">
        <f>Table1[[#This Row],[Price Per Unit]]*Table1[[#This Row],[Units Sold]]</f>
        <v>180579.41999999998</v>
      </c>
      <c r="M826" s="3" t="s">
        <v>625</v>
      </c>
      <c r="N826" s="3">
        <v>42</v>
      </c>
      <c r="O826" s="3" t="s">
        <v>20</v>
      </c>
      <c r="P826" s="3" t="s">
        <v>21</v>
      </c>
      <c r="Q826" s="4">
        <v>5</v>
      </c>
      <c r="R826" s="4" t="str">
        <f>IF(Table1[[#This Row],[Customer Ratings]]&gt;=4, "Good",IF(Table1[[#This Row],[Customer Ratings]]=3, "Average","Poor"))</f>
        <v>Good</v>
      </c>
      <c r="S826" s="3" t="s">
        <v>83</v>
      </c>
    </row>
    <row r="827" spans="1:19" x14ac:dyDescent="0.25">
      <c r="A827" s="3">
        <v>826</v>
      </c>
      <c r="B827" s="5">
        <f>DATE(Table1[[#This Row],[Year]],Table1[[#This Row],[Month]],Table1[[#This Row],[Day]])</f>
        <v>44713</v>
      </c>
      <c r="C827" s="3">
        <v>1</v>
      </c>
      <c r="D827" s="3">
        <v>6</v>
      </c>
      <c r="E827" s="3">
        <v>2022</v>
      </c>
      <c r="F827" s="3" t="str">
        <f>"Qtr"&amp; " " &amp;CHOOSE(MONTH(Table1[[#This Row],[Date]]),1,1,1,2,2,2,3,3,3,4,4,4)</f>
        <v>Qtr 2</v>
      </c>
      <c r="G827" s="3" t="str">
        <f>TEXT(Table1[[#This Row],[Date]],"mmmm")</f>
        <v>June</v>
      </c>
      <c r="H827" s="3" t="s">
        <v>1083</v>
      </c>
      <c r="I827" s="3" t="s">
        <v>18</v>
      </c>
      <c r="J827" s="3">
        <v>3</v>
      </c>
      <c r="K827" s="3">
        <v>40738.019999999997</v>
      </c>
      <c r="L827" s="3">
        <f>Table1[[#This Row],[Price Per Unit]]*Table1[[#This Row],[Units Sold]]</f>
        <v>122214.06</v>
      </c>
      <c r="M827" s="3" t="s">
        <v>241</v>
      </c>
      <c r="N827" s="3">
        <v>32</v>
      </c>
      <c r="O827" s="3" t="s">
        <v>20</v>
      </c>
      <c r="P827" s="3" t="s">
        <v>45</v>
      </c>
      <c r="Q827" s="4">
        <v>5</v>
      </c>
      <c r="R827" s="4" t="str">
        <f>IF(Table1[[#This Row],[Customer Ratings]]&gt;=4, "Good",IF(Table1[[#This Row],[Customer Ratings]]=3, "Average","Poor"))</f>
        <v>Good</v>
      </c>
      <c r="S827" s="3" t="s">
        <v>22</v>
      </c>
    </row>
    <row r="828" spans="1:19" x14ac:dyDescent="0.25">
      <c r="A828" s="3">
        <v>827</v>
      </c>
      <c r="B828" s="5">
        <f>DATE(Table1[[#This Row],[Year]],Table1[[#This Row],[Month]],Table1[[#This Row],[Day]])</f>
        <v>44714</v>
      </c>
      <c r="C828" s="3">
        <v>2</v>
      </c>
      <c r="D828" s="3">
        <v>6</v>
      </c>
      <c r="E828" s="3">
        <v>2022</v>
      </c>
      <c r="F828" s="3" t="str">
        <f>"Qtr"&amp; " " &amp;CHOOSE(MONTH(Table1[[#This Row],[Date]]),1,1,1,2,2,2,3,3,3,4,4,4)</f>
        <v>Qtr 2</v>
      </c>
      <c r="G828" s="3" t="str">
        <f>TEXT(Table1[[#This Row],[Date]],"mmmm")</f>
        <v>June</v>
      </c>
      <c r="H828" s="3" t="s">
        <v>1084</v>
      </c>
      <c r="I828" s="3" t="s">
        <v>18</v>
      </c>
      <c r="J828" s="3">
        <v>3</v>
      </c>
      <c r="K828" s="3">
        <v>18114.47</v>
      </c>
      <c r="L828" s="3">
        <f>Table1[[#This Row],[Price Per Unit]]*Table1[[#This Row],[Units Sold]]</f>
        <v>54343.41</v>
      </c>
      <c r="M828" s="3" t="s">
        <v>447</v>
      </c>
      <c r="N828" s="3">
        <v>30</v>
      </c>
      <c r="O828" s="3" t="s">
        <v>81</v>
      </c>
      <c r="P828" s="3" t="s">
        <v>31</v>
      </c>
      <c r="Q828" s="4">
        <v>5</v>
      </c>
      <c r="R828" s="4" t="str">
        <f>IF(Table1[[#This Row],[Customer Ratings]]&gt;=4, "Good",IF(Table1[[#This Row],[Customer Ratings]]=3, "Average","Poor"))</f>
        <v>Good</v>
      </c>
      <c r="S828" s="3" t="s">
        <v>25</v>
      </c>
    </row>
    <row r="829" spans="1:19" x14ac:dyDescent="0.25">
      <c r="A829" s="3">
        <v>828</v>
      </c>
      <c r="B829" s="5">
        <f>DATE(Table1[[#This Row],[Year]],Table1[[#This Row],[Month]],Table1[[#This Row],[Day]])</f>
        <v>44714</v>
      </c>
      <c r="C829" s="3">
        <v>2</v>
      </c>
      <c r="D829" s="3">
        <v>6</v>
      </c>
      <c r="E829" s="3">
        <v>2022</v>
      </c>
      <c r="F829" s="3" t="str">
        <f>"Qtr"&amp; " " &amp;CHOOSE(MONTH(Table1[[#This Row],[Date]]),1,1,1,2,2,2,3,3,3,4,4,4)</f>
        <v>Qtr 2</v>
      </c>
      <c r="G829" s="3" t="str">
        <f>TEXT(Table1[[#This Row],[Date]],"mmmm")</f>
        <v>June</v>
      </c>
      <c r="H829" s="3" t="s">
        <v>1084</v>
      </c>
      <c r="I829" s="3" t="s">
        <v>13</v>
      </c>
      <c r="J829" s="3">
        <v>6</v>
      </c>
      <c r="K829" s="3">
        <v>44259.49</v>
      </c>
      <c r="L829" s="3">
        <f>Table1[[#This Row],[Price Per Unit]]*Table1[[#This Row],[Units Sold]]</f>
        <v>265556.94</v>
      </c>
      <c r="M829" s="3" t="s">
        <v>500</v>
      </c>
      <c r="N829" s="3">
        <v>25</v>
      </c>
      <c r="O829" s="3" t="s">
        <v>105</v>
      </c>
      <c r="P829" s="3" t="s">
        <v>31</v>
      </c>
      <c r="Q829" s="4">
        <v>5</v>
      </c>
      <c r="R829" s="4" t="str">
        <f>IF(Table1[[#This Row],[Customer Ratings]]&gt;=4, "Good",IF(Table1[[#This Row],[Customer Ratings]]=3, "Average","Poor"))</f>
        <v>Good</v>
      </c>
      <c r="S829" s="3" t="s">
        <v>27</v>
      </c>
    </row>
    <row r="830" spans="1:19" x14ac:dyDescent="0.25">
      <c r="A830" s="3">
        <v>829</v>
      </c>
      <c r="B830" s="5">
        <f>DATE(Table1[[#This Row],[Year]],Table1[[#This Row],[Month]],Table1[[#This Row],[Day]])</f>
        <v>44714</v>
      </c>
      <c r="C830" s="3">
        <v>2</v>
      </c>
      <c r="D830" s="3">
        <v>6</v>
      </c>
      <c r="E830" s="3">
        <v>2022</v>
      </c>
      <c r="F830" s="3" t="str">
        <f>"Qtr"&amp; " " &amp;CHOOSE(MONTH(Table1[[#This Row],[Date]]),1,1,1,2,2,2,3,3,3,4,4,4)</f>
        <v>Qtr 2</v>
      </c>
      <c r="G830" s="3" t="str">
        <f>TEXT(Table1[[#This Row],[Date]],"mmmm")</f>
        <v>June</v>
      </c>
      <c r="H830" s="3" t="s">
        <v>1084</v>
      </c>
      <c r="I830" s="3" t="s">
        <v>13</v>
      </c>
      <c r="J830" s="3">
        <v>6</v>
      </c>
      <c r="K830" s="3">
        <v>34472.959999999999</v>
      </c>
      <c r="L830" s="3">
        <f>Table1[[#This Row],[Price Per Unit]]*Table1[[#This Row],[Units Sold]]</f>
        <v>206837.76000000001</v>
      </c>
      <c r="M830" s="3" t="s">
        <v>626</v>
      </c>
      <c r="N830" s="3">
        <v>38</v>
      </c>
      <c r="O830" s="3" t="s">
        <v>20</v>
      </c>
      <c r="P830" s="3" t="s">
        <v>16</v>
      </c>
      <c r="Q830" s="4">
        <v>3</v>
      </c>
      <c r="R830" s="4" t="str">
        <f>IF(Table1[[#This Row],[Customer Ratings]]&gt;=4, "Good",IF(Table1[[#This Row],[Customer Ratings]]=3, "Average","Poor"))</f>
        <v>Average</v>
      </c>
      <c r="S830" s="3" t="s">
        <v>72</v>
      </c>
    </row>
    <row r="831" spans="1:19" x14ac:dyDescent="0.25">
      <c r="A831" s="3">
        <v>830</v>
      </c>
      <c r="B831" s="5">
        <f>DATE(Table1[[#This Row],[Year]],Table1[[#This Row],[Month]],Table1[[#This Row],[Day]])</f>
        <v>44714</v>
      </c>
      <c r="C831" s="3">
        <v>2</v>
      </c>
      <c r="D831" s="3">
        <v>6</v>
      </c>
      <c r="E831" s="3">
        <v>2022</v>
      </c>
      <c r="F831" s="3" t="str">
        <f>"Qtr"&amp; " " &amp;CHOOSE(MONTH(Table1[[#This Row],[Date]]),1,1,1,2,2,2,3,3,3,4,4,4)</f>
        <v>Qtr 2</v>
      </c>
      <c r="G831" s="3" t="str">
        <f>TEXT(Table1[[#This Row],[Date]],"mmmm")</f>
        <v>June</v>
      </c>
      <c r="H831" s="3" t="s">
        <v>1084</v>
      </c>
      <c r="I831" s="3" t="s">
        <v>13</v>
      </c>
      <c r="J831" s="3">
        <v>3</v>
      </c>
      <c r="K831" s="3">
        <v>49686.87</v>
      </c>
      <c r="L831" s="3">
        <f>Table1[[#This Row],[Price Per Unit]]*Table1[[#This Row],[Units Sold]]</f>
        <v>149060.61000000002</v>
      </c>
      <c r="M831" s="3" t="s">
        <v>627</v>
      </c>
      <c r="N831" s="3">
        <v>38</v>
      </c>
      <c r="O831" s="3" t="s">
        <v>24</v>
      </c>
      <c r="P831" s="3" t="s">
        <v>16</v>
      </c>
      <c r="Q831" s="4">
        <v>4</v>
      </c>
      <c r="R831" s="4" t="str">
        <f>IF(Table1[[#This Row],[Customer Ratings]]&gt;=4, "Good",IF(Table1[[#This Row],[Customer Ratings]]=3, "Average","Poor"))</f>
        <v>Good</v>
      </c>
      <c r="S831" s="3" t="s">
        <v>27</v>
      </c>
    </row>
    <row r="832" spans="1:19" x14ac:dyDescent="0.25">
      <c r="A832" s="3">
        <v>831</v>
      </c>
      <c r="B832" s="5">
        <f>DATE(Table1[[#This Row],[Year]],Table1[[#This Row],[Month]],Table1[[#This Row],[Day]])</f>
        <v>44715</v>
      </c>
      <c r="C832" s="3">
        <v>3</v>
      </c>
      <c r="D832" s="3">
        <v>6</v>
      </c>
      <c r="E832" s="3">
        <v>2022</v>
      </c>
      <c r="F832" s="3" t="str">
        <f>"Qtr"&amp; " " &amp;CHOOSE(MONTH(Table1[[#This Row],[Date]]),1,1,1,2,2,2,3,3,3,4,4,4)</f>
        <v>Qtr 2</v>
      </c>
      <c r="G832" s="3" t="str">
        <f>TEXT(Table1[[#This Row],[Date]],"mmmm")</f>
        <v>June</v>
      </c>
      <c r="H832" s="3" t="s">
        <v>1085</v>
      </c>
      <c r="I832" s="3" t="s">
        <v>13</v>
      </c>
      <c r="J832" s="3">
        <v>3</v>
      </c>
      <c r="K832" s="3">
        <v>62914.2</v>
      </c>
      <c r="L832" s="3">
        <f>Table1[[#This Row],[Price Per Unit]]*Table1[[#This Row],[Units Sold]]</f>
        <v>188742.59999999998</v>
      </c>
      <c r="M832" s="3" t="s">
        <v>628</v>
      </c>
      <c r="N832" s="3">
        <v>39</v>
      </c>
      <c r="O832" s="3" t="s">
        <v>78</v>
      </c>
      <c r="P832" s="3" t="s">
        <v>21</v>
      </c>
      <c r="Q832" s="4">
        <v>4</v>
      </c>
      <c r="R832" s="4" t="str">
        <f>IF(Table1[[#This Row],[Customer Ratings]]&gt;=4, "Good",IF(Table1[[#This Row],[Customer Ratings]]=3, "Average","Poor"))</f>
        <v>Good</v>
      </c>
      <c r="S832" s="3" t="s">
        <v>72</v>
      </c>
    </row>
    <row r="833" spans="1:19" x14ac:dyDescent="0.25">
      <c r="A833" s="3">
        <v>832</v>
      </c>
      <c r="B833" s="5">
        <f>DATE(Table1[[#This Row],[Year]],Table1[[#This Row],[Month]],Table1[[#This Row],[Day]])</f>
        <v>44715</v>
      </c>
      <c r="C833" s="3">
        <v>3</v>
      </c>
      <c r="D833" s="3">
        <v>6</v>
      </c>
      <c r="E833" s="3">
        <v>2022</v>
      </c>
      <c r="F833" s="3" t="str">
        <f>"Qtr"&amp; " " &amp;CHOOSE(MONTH(Table1[[#This Row],[Date]]),1,1,1,2,2,2,3,3,3,4,4,4)</f>
        <v>Qtr 2</v>
      </c>
      <c r="G833" s="3" t="str">
        <f>TEXT(Table1[[#This Row],[Date]],"mmmm")</f>
        <v>June</v>
      </c>
      <c r="H833" s="3" t="s">
        <v>1085</v>
      </c>
      <c r="I833" s="3" t="s">
        <v>39</v>
      </c>
      <c r="J833" s="3">
        <v>8</v>
      </c>
      <c r="K833" s="3">
        <v>34563.35</v>
      </c>
      <c r="L833" s="3">
        <f>Table1[[#This Row],[Price Per Unit]]*Table1[[#This Row],[Units Sold]]</f>
        <v>276506.8</v>
      </c>
      <c r="M833" s="3" t="s">
        <v>216</v>
      </c>
      <c r="N833" s="3">
        <v>50</v>
      </c>
      <c r="O833" s="3" t="s">
        <v>20</v>
      </c>
      <c r="P833" s="3" t="s">
        <v>45</v>
      </c>
      <c r="Q833" s="4">
        <v>2</v>
      </c>
      <c r="R833" s="4" t="str">
        <f>IF(Table1[[#This Row],[Customer Ratings]]&gt;=4, "Good",IF(Table1[[#This Row],[Customer Ratings]]=3, "Average","Poor"))</f>
        <v>Poor</v>
      </c>
      <c r="S833" s="3" t="s">
        <v>90</v>
      </c>
    </row>
    <row r="834" spans="1:19" x14ac:dyDescent="0.25">
      <c r="A834" s="3">
        <v>833</v>
      </c>
      <c r="B834" s="5">
        <f>DATE(Table1[[#This Row],[Year]],Table1[[#This Row],[Month]],Table1[[#This Row],[Day]])</f>
        <v>44715</v>
      </c>
      <c r="C834" s="3">
        <v>3</v>
      </c>
      <c r="D834" s="3">
        <v>6</v>
      </c>
      <c r="E834" s="3">
        <v>2022</v>
      </c>
      <c r="F834" s="3" t="str">
        <f>"Qtr"&amp; " " &amp;CHOOSE(MONTH(Table1[[#This Row],[Date]]),1,1,1,2,2,2,3,3,3,4,4,4)</f>
        <v>Qtr 2</v>
      </c>
      <c r="G834" s="3" t="str">
        <f>TEXT(Table1[[#This Row],[Date]],"mmmm")</f>
        <v>June</v>
      </c>
      <c r="H834" s="3" t="s">
        <v>1085</v>
      </c>
      <c r="I834" s="3" t="s">
        <v>28</v>
      </c>
      <c r="J834" s="3">
        <v>8</v>
      </c>
      <c r="K834" s="3">
        <v>27392.84</v>
      </c>
      <c r="L834" s="3">
        <f>Table1[[#This Row],[Price Per Unit]]*Table1[[#This Row],[Units Sold]]</f>
        <v>219142.72</v>
      </c>
      <c r="M834" s="3" t="s">
        <v>629</v>
      </c>
      <c r="N834" s="3">
        <v>44</v>
      </c>
      <c r="O834" s="3" t="s">
        <v>20</v>
      </c>
      <c r="P834" s="3" t="s">
        <v>31</v>
      </c>
      <c r="Q834" s="4">
        <v>2</v>
      </c>
      <c r="R834" s="4" t="str">
        <f>IF(Table1[[#This Row],[Customer Ratings]]&gt;=4, "Good",IF(Table1[[#This Row],[Customer Ratings]]=3, "Average","Poor"))</f>
        <v>Poor</v>
      </c>
      <c r="S834" s="3" t="s">
        <v>38</v>
      </c>
    </row>
    <row r="835" spans="1:19" x14ac:dyDescent="0.25">
      <c r="A835" s="3">
        <v>834</v>
      </c>
      <c r="B835" s="5">
        <f>DATE(Table1[[#This Row],[Year]],Table1[[#This Row],[Month]],Table1[[#This Row],[Day]])</f>
        <v>44715</v>
      </c>
      <c r="C835" s="3">
        <v>3</v>
      </c>
      <c r="D835" s="3">
        <v>6</v>
      </c>
      <c r="E835" s="3">
        <v>2022</v>
      </c>
      <c r="F835" s="3" t="str">
        <f>"Qtr"&amp; " " &amp;CHOOSE(MONTH(Table1[[#This Row],[Date]]),1,1,1,2,2,2,3,3,3,4,4,4)</f>
        <v>Qtr 2</v>
      </c>
      <c r="G835" s="3" t="str">
        <f>TEXT(Table1[[#This Row],[Date]],"mmmm")</f>
        <v>June</v>
      </c>
      <c r="H835" s="3" t="s">
        <v>1085</v>
      </c>
      <c r="I835" s="3" t="s">
        <v>33</v>
      </c>
      <c r="J835" s="3">
        <v>7</v>
      </c>
      <c r="K835" s="3">
        <v>10870.91</v>
      </c>
      <c r="L835" s="3">
        <f>Table1[[#This Row],[Price Per Unit]]*Table1[[#This Row],[Units Sold]]</f>
        <v>76096.37</v>
      </c>
      <c r="M835" s="3" t="s">
        <v>431</v>
      </c>
      <c r="N835" s="3">
        <v>57</v>
      </c>
      <c r="O835" s="3" t="s">
        <v>15</v>
      </c>
      <c r="P835" s="3" t="s">
        <v>21</v>
      </c>
      <c r="Q835" s="4">
        <v>4</v>
      </c>
      <c r="R835" s="4" t="str">
        <f>IF(Table1[[#This Row],[Customer Ratings]]&gt;=4, "Good",IF(Table1[[#This Row],[Customer Ratings]]=3, "Average","Poor"))</f>
        <v>Good</v>
      </c>
      <c r="S835" s="3" t="s">
        <v>36</v>
      </c>
    </row>
    <row r="836" spans="1:19" x14ac:dyDescent="0.25">
      <c r="A836" s="3">
        <v>835</v>
      </c>
      <c r="B836" s="5">
        <f>DATE(Table1[[#This Row],[Year]],Table1[[#This Row],[Month]],Table1[[#This Row],[Day]])</f>
        <v>44716</v>
      </c>
      <c r="C836" s="3">
        <v>4</v>
      </c>
      <c r="D836" s="3">
        <v>6</v>
      </c>
      <c r="E836" s="3">
        <v>2022</v>
      </c>
      <c r="F836" s="3" t="str">
        <f>"Qtr"&amp; " " &amp;CHOOSE(MONTH(Table1[[#This Row],[Date]]),1,1,1,2,2,2,3,3,3,4,4,4)</f>
        <v>Qtr 2</v>
      </c>
      <c r="G836" s="3" t="str">
        <f>TEXT(Table1[[#This Row],[Date]],"mmmm")</f>
        <v>June</v>
      </c>
      <c r="H836" s="3" t="s">
        <v>1079</v>
      </c>
      <c r="I836" s="3" t="s">
        <v>18</v>
      </c>
      <c r="J836" s="3">
        <v>4</v>
      </c>
      <c r="K836" s="3">
        <v>44490.34</v>
      </c>
      <c r="L836" s="3">
        <f>Table1[[#This Row],[Price Per Unit]]*Table1[[#This Row],[Units Sold]]</f>
        <v>177961.36</v>
      </c>
      <c r="M836" s="3" t="s">
        <v>630</v>
      </c>
      <c r="N836" s="3">
        <v>39</v>
      </c>
      <c r="O836" s="3" t="s">
        <v>65</v>
      </c>
      <c r="P836" s="3" t="s">
        <v>21</v>
      </c>
      <c r="Q836" s="4">
        <v>5</v>
      </c>
      <c r="R836" s="4" t="str">
        <f>IF(Table1[[#This Row],[Customer Ratings]]&gt;=4, "Good",IF(Table1[[#This Row],[Customer Ratings]]=3, "Average","Poor"))</f>
        <v>Good</v>
      </c>
      <c r="S836" s="3" t="s">
        <v>55</v>
      </c>
    </row>
    <row r="837" spans="1:19" x14ac:dyDescent="0.25">
      <c r="A837" s="3">
        <v>836</v>
      </c>
      <c r="B837" s="5">
        <f>DATE(Table1[[#This Row],[Year]],Table1[[#This Row],[Month]],Table1[[#This Row],[Day]])</f>
        <v>44716</v>
      </c>
      <c r="C837" s="3">
        <v>4</v>
      </c>
      <c r="D837" s="3">
        <v>6</v>
      </c>
      <c r="E837" s="3">
        <v>2022</v>
      </c>
      <c r="F837" s="3" t="str">
        <f>"Qtr"&amp; " " &amp;CHOOSE(MONTH(Table1[[#This Row],[Date]]),1,1,1,2,2,2,3,3,3,4,4,4)</f>
        <v>Qtr 2</v>
      </c>
      <c r="G837" s="3" t="str">
        <f>TEXT(Table1[[#This Row],[Date]],"mmmm")</f>
        <v>June</v>
      </c>
      <c r="H837" s="3" t="s">
        <v>1079</v>
      </c>
      <c r="I837" s="3" t="s">
        <v>39</v>
      </c>
      <c r="J837" s="3">
        <v>4</v>
      </c>
      <c r="K837" s="3">
        <v>34136.49</v>
      </c>
      <c r="L837" s="3">
        <f>Table1[[#This Row],[Price Per Unit]]*Table1[[#This Row],[Units Sold]]</f>
        <v>136545.96</v>
      </c>
      <c r="M837" s="3" t="s">
        <v>163</v>
      </c>
      <c r="N837" s="3">
        <v>47</v>
      </c>
      <c r="O837" s="3" t="s">
        <v>20</v>
      </c>
      <c r="P837" s="3" t="s">
        <v>16</v>
      </c>
      <c r="Q837" s="4">
        <v>3</v>
      </c>
      <c r="R837" s="4" t="str">
        <f>IF(Table1[[#This Row],[Customer Ratings]]&gt;=4, "Good",IF(Table1[[#This Row],[Customer Ratings]]=3, "Average","Poor"))</f>
        <v>Average</v>
      </c>
      <c r="S837" s="3" t="s">
        <v>76</v>
      </c>
    </row>
    <row r="838" spans="1:19" x14ac:dyDescent="0.25">
      <c r="A838" s="3">
        <v>837</v>
      </c>
      <c r="B838" s="5">
        <f>DATE(Table1[[#This Row],[Year]],Table1[[#This Row],[Month]],Table1[[#This Row],[Day]])</f>
        <v>44716</v>
      </c>
      <c r="C838" s="3">
        <v>4</v>
      </c>
      <c r="D838" s="3">
        <v>6</v>
      </c>
      <c r="E838" s="3">
        <v>2022</v>
      </c>
      <c r="F838" s="3" t="str">
        <f>"Qtr"&amp; " " &amp;CHOOSE(MONTH(Table1[[#This Row],[Date]]),1,1,1,2,2,2,3,3,3,4,4,4)</f>
        <v>Qtr 2</v>
      </c>
      <c r="G838" s="3" t="str">
        <f>TEXT(Table1[[#This Row],[Date]],"mmmm")</f>
        <v>June</v>
      </c>
      <c r="H838" s="3" t="s">
        <v>1079</v>
      </c>
      <c r="I838" s="3" t="s">
        <v>33</v>
      </c>
      <c r="J838" s="3">
        <v>3</v>
      </c>
      <c r="K838" s="3">
        <v>32478.95</v>
      </c>
      <c r="L838" s="3">
        <f>Table1[[#This Row],[Price Per Unit]]*Table1[[#This Row],[Units Sold]]</f>
        <v>97436.85</v>
      </c>
      <c r="M838" s="3" t="s">
        <v>631</v>
      </c>
      <c r="N838" s="3">
        <v>26</v>
      </c>
      <c r="O838" s="3" t="s">
        <v>125</v>
      </c>
      <c r="P838" s="3" t="s">
        <v>21</v>
      </c>
      <c r="Q838" s="4">
        <v>4</v>
      </c>
      <c r="R838" s="4" t="str">
        <f>IF(Table1[[#This Row],[Customer Ratings]]&gt;=4, "Good",IF(Table1[[#This Row],[Customer Ratings]]=3, "Average","Poor"))</f>
        <v>Good</v>
      </c>
      <c r="S838" s="3" t="s">
        <v>83</v>
      </c>
    </row>
    <row r="839" spans="1:19" x14ac:dyDescent="0.25">
      <c r="A839" s="3">
        <v>838</v>
      </c>
      <c r="B839" s="5">
        <f>DATE(Table1[[#This Row],[Year]],Table1[[#This Row],[Month]],Table1[[#This Row],[Day]])</f>
        <v>44717</v>
      </c>
      <c r="C839" s="3">
        <v>5</v>
      </c>
      <c r="D839" s="3">
        <v>6</v>
      </c>
      <c r="E839" s="3">
        <v>2022</v>
      </c>
      <c r="F839" s="3" t="str">
        <f>"Qtr"&amp; " " &amp;CHOOSE(MONTH(Table1[[#This Row],[Date]]),1,1,1,2,2,2,3,3,3,4,4,4)</f>
        <v>Qtr 2</v>
      </c>
      <c r="G839" s="3" t="str">
        <f>TEXT(Table1[[#This Row],[Date]],"mmmm")</f>
        <v>June</v>
      </c>
      <c r="H839" s="3" t="s">
        <v>1080</v>
      </c>
      <c r="I839" s="3" t="s">
        <v>39</v>
      </c>
      <c r="J839" s="3">
        <v>5</v>
      </c>
      <c r="K839" s="3">
        <v>20976.12</v>
      </c>
      <c r="L839" s="3">
        <f>Table1[[#This Row],[Price Per Unit]]*Table1[[#This Row],[Units Sold]]</f>
        <v>104880.59999999999</v>
      </c>
      <c r="M839" s="3" t="s">
        <v>167</v>
      </c>
      <c r="N839" s="3">
        <v>52</v>
      </c>
      <c r="O839" s="3" t="s">
        <v>24</v>
      </c>
      <c r="P839" s="3" t="s">
        <v>21</v>
      </c>
      <c r="Q839" s="4">
        <v>3</v>
      </c>
      <c r="R839" s="4" t="str">
        <f>IF(Table1[[#This Row],[Customer Ratings]]&gt;=4, "Good",IF(Table1[[#This Row],[Customer Ratings]]=3, "Average","Poor"))</f>
        <v>Average</v>
      </c>
      <c r="S839" s="3" t="s">
        <v>90</v>
      </c>
    </row>
    <row r="840" spans="1:19" x14ac:dyDescent="0.25">
      <c r="A840" s="3">
        <v>839</v>
      </c>
      <c r="B840" s="5">
        <f>DATE(Table1[[#This Row],[Year]],Table1[[#This Row],[Month]],Table1[[#This Row],[Day]])</f>
        <v>44717</v>
      </c>
      <c r="C840" s="3">
        <v>5</v>
      </c>
      <c r="D840" s="3">
        <v>6</v>
      </c>
      <c r="E840" s="3">
        <v>2022</v>
      </c>
      <c r="F840" s="3" t="str">
        <f>"Qtr"&amp; " " &amp;CHOOSE(MONTH(Table1[[#This Row],[Date]]),1,1,1,2,2,2,3,3,3,4,4,4)</f>
        <v>Qtr 2</v>
      </c>
      <c r="G840" s="3" t="str">
        <f>TEXT(Table1[[#This Row],[Date]],"mmmm")</f>
        <v>June</v>
      </c>
      <c r="H840" s="3" t="s">
        <v>1080</v>
      </c>
      <c r="I840" s="3" t="s">
        <v>39</v>
      </c>
      <c r="J840" s="3">
        <v>3</v>
      </c>
      <c r="K840" s="3">
        <v>35803.32</v>
      </c>
      <c r="L840" s="3">
        <f>Table1[[#This Row],[Price Per Unit]]*Table1[[#This Row],[Units Sold]]</f>
        <v>107409.95999999999</v>
      </c>
      <c r="M840" s="3" t="s">
        <v>632</v>
      </c>
      <c r="N840" s="3">
        <v>35</v>
      </c>
      <c r="O840" s="3" t="s">
        <v>58</v>
      </c>
      <c r="P840" s="3" t="s">
        <v>16</v>
      </c>
      <c r="Q840" s="4">
        <v>5</v>
      </c>
      <c r="R840" s="4" t="str">
        <f>IF(Table1[[#This Row],[Customer Ratings]]&gt;=4, "Good",IF(Table1[[#This Row],[Customer Ratings]]=3, "Average","Poor"))</f>
        <v>Good</v>
      </c>
      <c r="S840" s="3" t="s">
        <v>76</v>
      </c>
    </row>
    <row r="841" spans="1:19" x14ac:dyDescent="0.25">
      <c r="A841" s="3">
        <v>840</v>
      </c>
      <c r="B841" s="5">
        <f>DATE(Table1[[#This Row],[Year]],Table1[[#This Row],[Month]],Table1[[#This Row],[Day]])</f>
        <v>44717</v>
      </c>
      <c r="C841" s="3">
        <v>5</v>
      </c>
      <c r="D841" s="3">
        <v>6</v>
      </c>
      <c r="E841" s="3">
        <v>2022</v>
      </c>
      <c r="F841" s="3" t="str">
        <f>"Qtr"&amp; " " &amp;CHOOSE(MONTH(Table1[[#This Row],[Date]]),1,1,1,2,2,2,3,3,3,4,4,4)</f>
        <v>Qtr 2</v>
      </c>
      <c r="G841" s="3" t="str">
        <f>TEXT(Table1[[#This Row],[Date]],"mmmm")</f>
        <v>June</v>
      </c>
      <c r="H841" s="3" t="s">
        <v>1080</v>
      </c>
      <c r="I841" s="3" t="s">
        <v>18</v>
      </c>
      <c r="J841" s="3">
        <v>8</v>
      </c>
      <c r="K841" s="3">
        <v>69066.52</v>
      </c>
      <c r="L841" s="3">
        <f>Table1[[#This Row],[Price Per Unit]]*Table1[[#This Row],[Units Sold]]</f>
        <v>552532.16</v>
      </c>
      <c r="M841" s="3" t="s">
        <v>535</v>
      </c>
      <c r="N841" s="3">
        <v>59</v>
      </c>
      <c r="O841" s="3" t="s">
        <v>120</v>
      </c>
      <c r="P841" s="3" t="s">
        <v>21</v>
      </c>
      <c r="Q841" s="4">
        <v>5</v>
      </c>
      <c r="R841" s="4" t="str">
        <f>IF(Table1[[#This Row],[Customer Ratings]]&gt;=4, "Good",IF(Table1[[#This Row],[Customer Ratings]]=3, "Average","Poor"))</f>
        <v>Good</v>
      </c>
      <c r="S841" s="3" t="s">
        <v>22</v>
      </c>
    </row>
    <row r="842" spans="1:19" x14ac:dyDescent="0.25">
      <c r="A842" s="3">
        <v>841</v>
      </c>
      <c r="B842" s="5">
        <f>DATE(Table1[[#This Row],[Year]],Table1[[#This Row],[Month]],Table1[[#This Row],[Day]])</f>
        <v>44717</v>
      </c>
      <c r="C842" s="3">
        <v>5</v>
      </c>
      <c r="D842" s="3">
        <v>6</v>
      </c>
      <c r="E842" s="3">
        <v>2022</v>
      </c>
      <c r="F842" s="3" t="str">
        <f>"Qtr"&amp; " " &amp;CHOOSE(MONTH(Table1[[#This Row],[Date]]),1,1,1,2,2,2,3,3,3,4,4,4)</f>
        <v>Qtr 2</v>
      </c>
      <c r="G842" s="3" t="str">
        <f>TEXT(Table1[[#This Row],[Date]],"mmmm")</f>
        <v>June</v>
      </c>
      <c r="H842" s="3" t="s">
        <v>1080</v>
      </c>
      <c r="I842" s="3" t="s">
        <v>28</v>
      </c>
      <c r="J842" s="3">
        <v>7</v>
      </c>
      <c r="K842" s="3">
        <v>27865.25</v>
      </c>
      <c r="L842" s="3">
        <f>Table1[[#This Row],[Price Per Unit]]*Table1[[#This Row],[Units Sold]]</f>
        <v>195056.75</v>
      </c>
      <c r="M842" s="3" t="s">
        <v>259</v>
      </c>
      <c r="N842" s="3">
        <v>22</v>
      </c>
      <c r="O842" s="3" t="s">
        <v>52</v>
      </c>
      <c r="P842" s="3" t="s">
        <v>21</v>
      </c>
      <c r="Q842" s="4">
        <v>5</v>
      </c>
      <c r="R842" s="4" t="str">
        <f>IF(Table1[[#This Row],[Customer Ratings]]&gt;=4, "Good",IF(Table1[[#This Row],[Customer Ratings]]=3, "Average","Poor"))</f>
        <v>Good</v>
      </c>
      <c r="S842" s="3" t="s">
        <v>87</v>
      </c>
    </row>
    <row r="843" spans="1:19" x14ac:dyDescent="0.25">
      <c r="A843" s="3">
        <v>842</v>
      </c>
      <c r="B843" s="5">
        <f>DATE(Table1[[#This Row],[Year]],Table1[[#This Row],[Month]],Table1[[#This Row],[Day]])</f>
        <v>44718</v>
      </c>
      <c r="C843" s="3">
        <v>6</v>
      </c>
      <c r="D843" s="3">
        <v>6</v>
      </c>
      <c r="E843" s="3">
        <v>2022</v>
      </c>
      <c r="F843" s="3" t="str">
        <f>"Qtr"&amp; " " &amp;CHOOSE(MONTH(Table1[[#This Row],[Date]]),1,1,1,2,2,2,3,3,3,4,4,4)</f>
        <v>Qtr 2</v>
      </c>
      <c r="G843" s="3" t="str">
        <f>TEXT(Table1[[#This Row],[Date]],"mmmm")</f>
        <v>June</v>
      </c>
      <c r="H843" s="3" t="s">
        <v>1081</v>
      </c>
      <c r="I843" s="3" t="s">
        <v>13</v>
      </c>
      <c r="J843" s="3">
        <v>3</v>
      </c>
      <c r="K843" s="3">
        <v>45982.26</v>
      </c>
      <c r="L843" s="3">
        <f>Table1[[#This Row],[Price Per Unit]]*Table1[[#This Row],[Units Sold]]</f>
        <v>137946.78</v>
      </c>
      <c r="M843" s="3" t="s">
        <v>633</v>
      </c>
      <c r="N843" s="3">
        <v>44</v>
      </c>
      <c r="O843" s="3" t="s">
        <v>20</v>
      </c>
      <c r="P843" s="3" t="s">
        <v>31</v>
      </c>
      <c r="Q843" s="4">
        <v>4</v>
      </c>
      <c r="R843" s="4" t="str">
        <f>IF(Table1[[#This Row],[Customer Ratings]]&gt;=4, "Good",IF(Table1[[#This Row],[Customer Ratings]]=3, "Average","Poor"))</f>
        <v>Good</v>
      </c>
      <c r="S843" s="3" t="s">
        <v>17</v>
      </c>
    </row>
    <row r="844" spans="1:19" x14ac:dyDescent="0.25">
      <c r="A844" s="3">
        <v>843</v>
      </c>
      <c r="B844" s="5">
        <f>DATE(Table1[[#This Row],[Year]],Table1[[#This Row],[Month]],Table1[[#This Row],[Day]])</f>
        <v>44718</v>
      </c>
      <c r="C844" s="3">
        <v>6</v>
      </c>
      <c r="D844" s="3">
        <v>6</v>
      </c>
      <c r="E844" s="3">
        <v>2022</v>
      </c>
      <c r="F844" s="3" t="str">
        <f>"Qtr"&amp; " " &amp;CHOOSE(MONTH(Table1[[#This Row],[Date]]),1,1,1,2,2,2,3,3,3,4,4,4)</f>
        <v>Qtr 2</v>
      </c>
      <c r="G844" s="3" t="str">
        <f>TEXT(Table1[[#This Row],[Date]],"mmmm")</f>
        <v>June</v>
      </c>
      <c r="H844" s="3" t="s">
        <v>1081</v>
      </c>
      <c r="I844" s="3" t="s">
        <v>28</v>
      </c>
      <c r="J844" s="3">
        <v>9</v>
      </c>
      <c r="K844" s="3">
        <v>56589.21</v>
      </c>
      <c r="L844" s="3">
        <f>Table1[[#This Row],[Price Per Unit]]*Table1[[#This Row],[Units Sold]]</f>
        <v>509302.89</v>
      </c>
      <c r="M844" s="3" t="s">
        <v>216</v>
      </c>
      <c r="N844" s="3">
        <v>23</v>
      </c>
      <c r="O844" s="3" t="s">
        <v>125</v>
      </c>
      <c r="P844" s="3" t="s">
        <v>21</v>
      </c>
      <c r="Q844" s="4">
        <v>2</v>
      </c>
      <c r="R844" s="4" t="str">
        <f>IF(Table1[[#This Row],[Customer Ratings]]&gt;=4, "Good",IF(Table1[[#This Row],[Customer Ratings]]=3, "Average","Poor"))</f>
        <v>Poor</v>
      </c>
      <c r="S844" s="3" t="s">
        <v>38</v>
      </c>
    </row>
    <row r="845" spans="1:19" x14ac:dyDescent="0.25">
      <c r="A845" s="3">
        <v>844</v>
      </c>
      <c r="B845" s="5">
        <f>DATE(Table1[[#This Row],[Year]],Table1[[#This Row],[Month]],Table1[[#This Row],[Day]])</f>
        <v>44718</v>
      </c>
      <c r="C845" s="3">
        <v>6</v>
      </c>
      <c r="D845" s="3">
        <v>6</v>
      </c>
      <c r="E845" s="3">
        <v>2022</v>
      </c>
      <c r="F845" s="3" t="str">
        <f>"Qtr"&amp; " " &amp;CHOOSE(MONTH(Table1[[#This Row],[Date]]),1,1,1,2,2,2,3,3,3,4,4,4)</f>
        <v>Qtr 2</v>
      </c>
      <c r="G845" s="3" t="str">
        <f>TEXT(Table1[[#This Row],[Date]],"mmmm")</f>
        <v>June</v>
      </c>
      <c r="H845" s="3" t="s">
        <v>1081</v>
      </c>
      <c r="I845" s="3" t="s">
        <v>18</v>
      </c>
      <c r="J845" s="3">
        <v>5</v>
      </c>
      <c r="K845" s="3">
        <v>54949.47</v>
      </c>
      <c r="L845" s="3">
        <f>Table1[[#This Row],[Price Per Unit]]*Table1[[#This Row],[Units Sold]]</f>
        <v>274747.34999999998</v>
      </c>
      <c r="M845" s="3" t="s">
        <v>564</v>
      </c>
      <c r="N845" s="3">
        <v>49</v>
      </c>
      <c r="O845" s="3" t="s">
        <v>102</v>
      </c>
      <c r="P845" s="3" t="s">
        <v>16</v>
      </c>
      <c r="Q845" s="4">
        <v>4</v>
      </c>
      <c r="R845" s="4" t="str">
        <f>IF(Table1[[#This Row],[Customer Ratings]]&gt;=4, "Good",IF(Table1[[#This Row],[Customer Ratings]]=3, "Average","Poor"))</f>
        <v>Good</v>
      </c>
      <c r="S845" s="3" t="s">
        <v>22</v>
      </c>
    </row>
    <row r="846" spans="1:19" x14ac:dyDescent="0.25">
      <c r="A846" s="3">
        <v>845</v>
      </c>
      <c r="B846" s="5">
        <f>DATE(Table1[[#This Row],[Year]],Table1[[#This Row],[Month]],Table1[[#This Row],[Day]])</f>
        <v>44718</v>
      </c>
      <c r="C846" s="3">
        <v>6</v>
      </c>
      <c r="D846" s="3">
        <v>6</v>
      </c>
      <c r="E846" s="3">
        <v>2022</v>
      </c>
      <c r="F846" s="3" t="str">
        <f>"Qtr"&amp; " " &amp;CHOOSE(MONTH(Table1[[#This Row],[Date]]),1,1,1,2,2,2,3,3,3,4,4,4)</f>
        <v>Qtr 2</v>
      </c>
      <c r="G846" s="3" t="str">
        <f>TEXT(Table1[[#This Row],[Date]],"mmmm")</f>
        <v>June</v>
      </c>
      <c r="H846" s="3" t="s">
        <v>1081</v>
      </c>
      <c r="I846" s="3" t="s">
        <v>18</v>
      </c>
      <c r="J846" s="3">
        <v>9</v>
      </c>
      <c r="K846" s="3">
        <v>29726.46</v>
      </c>
      <c r="L846" s="3">
        <f>Table1[[#This Row],[Price Per Unit]]*Table1[[#This Row],[Units Sold]]</f>
        <v>267538.14</v>
      </c>
      <c r="M846" s="3" t="s">
        <v>180</v>
      </c>
      <c r="N846" s="3">
        <v>25</v>
      </c>
      <c r="O846" s="3" t="s">
        <v>20</v>
      </c>
      <c r="P846" s="3" t="s">
        <v>16</v>
      </c>
      <c r="Q846" s="4">
        <v>5</v>
      </c>
      <c r="R846" s="4" t="str">
        <f>IF(Table1[[#This Row],[Customer Ratings]]&gt;=4, "Good",IF(Table1[[#This Row],[Customer Ratings]]=3, "Average","Poor"))</f>
        <v>Good</v>
      </c>
      <c r="S846" s="3" t="s">
        <v>55</v>
      </c>
    </row>
    <row r="847" spans="1:19" x14ac:dyDescent="0.25">
      <c r="A847" s="3">
        <v>846</v>
      </c>
      <c r="B847" s="5">
        <f>DATE(Table1[[#This Row],[Year]],Table1[[#This Row],[Month]],Table1[[#This Row],[Day]])</f>
        <v>44719</v>
      </c>
      <c r="C847" s="3">
        <v>7</v>
      </c>
      <c r="D847" s="3">
        <v>6</v>
      </c>
      <c r="E847" s="3">
        <v>2022</v>
      </c>
      <c r="F847" s="3" t="str">
        <f>"Qtr"&amp; " " &amp;CHOOSE(MONTH(Table1[[#This Row],[Date]]),1,1,1,2,2,2,3,3,3,4,4,4)</f>
        <v>Qtr 2</v>
      </c>
      <c r="G847" s="3" t="str">
        <f>TEXT(Table1[[#This Row],[Date]],"mmmm")</f>
        <v>June</v>
      </c>
      <c r="H847" s="3" t="s">
        <v>1082</v>
      </c>
      <c r="I847" s="3" t="s">
        <v>18</v>
      </c>
      <c r="J847" s="3">
        <v>7</v>
      </c>
      <c r="K847" s="3">
        <v>46651.61</v>
      </c>
      <c r="L847" s="3">
        <f>Table1[[#This Row],[Price Per Unit]]*Table1[[#This Row],[Units Sold]]</f>
        <v>326561.27</v>
      </c>
      <c r="M847" s="3" t="s">
        <v>634</v>
      </c>
      <c r="N847" s="3">
        <v>56</v>
      </c>
      <c r="O847" s="3" t="s">
        <v>20</v>
      </c>
      <c r="P847" s="3" t="s">
        <v>31</v>
      </c>
      <c r="Q847" s="4">
        <v>3</v>
      </c>
      <c r="R847" s="4" t="str">
        <f>IF(Table1[[#This Row],[Customer Ratings]]&gt;=4, "Good",IF(Table1[[#This Row],[Customer Ratings]]=3, "Average","Poor"))</f>
        <v>Average</v>
      </c>
      <c r="S847" s="3" t="s">
        <v>55</v>
      </c>
    </row>
    <row r="848" spans="1:19" x14ac:dyDescent="0.25">
      <c r="A848" s="3">
        <v>847</v>
      </c>
      <c r="B848" s="5">
        <f>DATE(Table1[[#This Row],[Year]],Table1[[#This Row],[Month]],Table1[[#This Row],[Day]])</f>
        <v>44719</v>
      </c>
      <c r="C848" s="3">
        <v>7</v>
      </c>
      <c r="D848" s="3">
        <v>6</v>
      </c>
      <c r="E848" s="3">
        <v>2022</v>
      </c>
      <c r="F848" s="3" t="str">
        <f>"Qtr"&amp; " " &amp;CHOOSE(MONTH(Table1[[#This Row],[Date]]),1,1,1,2,2,2,3,3,3,4,4,4)</f>
        <v>Qtr 2</v>
      </c>
      <c r="G848" s="3" t="str">
        <f>TEXT(Table1[[#This Row],[Date]],"mmmm")</f>
        <v>June</v>
      </c>
      <c r="H848" s="3" t="s">
        <v>1082</v>
      </c>
      <c r="I848" s="3" t="s">
        <v>33</v>
      </c>
      <c r="J848" s="3">
        <v>7</v>
      </c>
      <c r="K848" s="3">
        <v>62275.88</v>
      </c>
      <c r="L848" s="3">
        <f>Table1[[#This Row],[Price Per Unit]]*Table1[[#This Row],[Units Sold]]</f>
        <v>435931.16</v>
      </c>
      <c r="M848" s="3" t="s">
        <v>133</v>
      </c>
      <c r="N848" s="3">
        <v>38</v>
      </c>
      <c r="O848" s="3" t="s">
        <v>78</v>
      </c>
      <c r="P848" s="3" t="s">
        <v>16</v>
      </c>
      <c r="Q848" s="4">
        <v>4</v>
      </c>
      <c r="R848" s="4" t="str">
        <f>IF(Table1[[#This Row],[Customer Ratings]]&gt;=4, "Good",IF(Table1[[#This Row],[Customer Ratings]]=3, "Average","Poor"))</f>
        <v>Good</v>
      </c>
      <c r="S848" s="3" t="s">
        <v>83</v>
      </c>
    </row>
    <row r="849" spans="1:19" x14ac:dyDescent="0.25">
      <c r="A849" s="3">
        <v>848</v>
      </c>
      <c r="B849" s="5">
        <f>DATE(Table1[[#This Row],[Year]],Table1[[#This Row],[Month]],Table1[[#This Row],[Day]])</f>
        <v>44719</v>
      </c>
      <c r="C849" s="3">
        <v>7</v>
      </c>
      <c r="D849" s="3">
        <v>6</v>
      </c>
      <c r="E849" s="3">
        <v>2022</v>
      </c>
      <c r="F849" s="3" t="str">
        <f>"Qtr"&amp; " " &amp;CHOOSE(MONTH(Table1[[#This Row],[Date]]),1,1,1,2,2,2,3,3,3,4,4,4)</f>
        <v>Qtr 2</v>
      </c>
      <c r="G849" s="3" t="str">
        <f>TEXT(Table1[[#This Row],[Date]],"mmmm")</f>
        <v>June</v>
      </c>
      <c r="H849" s="3" t="s">
        <v>1082</v>
      </c>
      <c r="I849" s="3" t="s">
        <v>28</v>
      </c>
      <c r="J849" s="3">
        <v>6</v>
      </c>
      <c r="K849" s="3">
        <v>10926.85</v>
      </c>
      <c r="L849" s="3">
        <f>Table1[[#This Row],[Price Per Unit]]*Table1[[#This Row],[Units Sold]]</f>
        <v>65561.100000000006</v>
      </c>
      <c r="M849" s="3" t="s">
        <v>570</v>
      </c>
      <c r="N849" s="3">
        <v>35</v>
      </c>
      <c r="O849" s="3" t="s">
        <v>81</v>
      </c>
      <c r="P849" s="3" t="s">
        <v>16</v>
      </c>
      <c r="Q849" s="4">
        <v>2</v>
      </c>
      <c r="R849" s="4" t="str">
        <f>IF(Table1[[#This Row],[Customer Ratings]]&gt;=4, "Good",IF(Table1[[#This Row],[Customer Ratings]]=3, "Average","Poor"))</f>
        <v>Poor</v>
      </c>
      <c r="S849" s="3" t="s">
        <v>32</v>
      </c>
    </row>
    <row r="850" spans="1:19" x14ac:dyDescent="0.25">
      <c r="A850" s="3">
        <v>849</v>
      </c>
      <c r="B850" s="5">
        <f>DATE(Table1[[#This Row],[Year]],Table1[[#This Row],[Month]],Table1[[#This Row],[Day]])</f>
        <v>44720</v>
      </c>
      <c r="C850" s="3">
        <v>8</v>
      </c>
      <c r="D850" s="3">
        <v>6</v>
      </c>
      <c r="E850" s="3">
        <v>2022</v>
      </c>
      <c r="F850" s="3" t="str">
        <f>"Qtr"&amp; " " &amp;CHOOSE(MONTH(Table1[[#This Row],[Date]]),1,1,1,2,2,2,3,3,3,4,4,4)</f>
        <v>Qtr 2</v>
      </c>
      <c r="G850" s="3" t="str">
        <f>TEXT(Table1[[#This Row],[Date]],"mmmm")</f>
        <v>June</v>
      </c>
      <c r="H850" s="3" t="s">
        <v>1083</v>
      </c>
      <c r="I850" s="3" t="s">
        <v>28</v>
      </c>
      <c r="J850" s="3">
        <v>2</v>
      </c>
      <c r="K850" s="3">
        <v>36144.06</v>
      </c>
      <c r="L850" s="3">
        <f>Table1[[#This Row],[Price Per Unit]]*Table1[[#This Row],[Units Sold]]</f>
        <v>72288.12</v>
      </c>
      <c r="M850" s="3" t="s">
        <v>635</v>
      </c>
      <c r="N850" s="3">
        <v>31</v>
      </c>
      <c r="O850" s="3" t="s">
        <v>24</v>
      </c>
      <c r="P850" s="3" t="s">
        <v>16</v>
      </c>
      <c r="Q850" s="4">
        <v>5</v>
      </c>
      <c r="R850" s="4" t="str">
        <f>IF(Table1[[#This Row],[Customer Ratings]]&gt;=4, "Good",IF(Table1[[#This Row],[Customer Ratings]]=3, "Average","Poor"))</f>
        <v>Good</v>
      </c>
      <c r="S850" s="3" t="s">
        <v>87</v>
      </c>
    </row>
    <row r="851" spans="1:19" x14ac:dyDescent="0.25">
      <c r="A851" s="3">
        <v>850</v>
      </c>
      <c r="B851" s="5">
        <f>DATE(Table1[[#This Row],[Year]],Table1[[#This Row],[Month]],Table1[[#This Row],[Day]])</f>
        <v>44720</v>
      </c>
      <c r="C851" s="3">
        <v>8</v>
      </c>
      <c r="D851" s="3">
        <v>6</v>
      </c>
      <c r="E851" s="3">
        <v>2022</v>
      </c>
      <c r="F851" s="3" t="str">
        <f>"Qtr"&amp; " " &amp;CHOOSE(MONTH(Table1[[#This Row],[Date]]),1,1,1,2,2,2,3,3,3,4,4,4)</f>
        <v>Qtr 2</v>
      </c>
      <c r="G851" s="3" t="str">
        <f>TEXT(Table1[[#This Row],[Date]],"mmmm")</f>
        <v>June</v>
      </c>
      <c r="H851" s="3" t="s">
        <v>1083</v>
      </c>
      <c r="I851" s="3" t="s">
        <v>39</v>
      </c>
      <c r="J851" s="3">
        <v>9</v>
      </c>
      <c r="K851" s="3">
        <v>23456.41</v>
      </c>
      <c r="L851" s="3">
        <f>Table1[[#This Row],[Price Per Unit]]*Table1[[#This Row],[Units Sold]]</f>
        <v>211107.69</v>
      </c>
      <c r="M851" s="3" t="s">
        <v>636</v>
      </c>
      <c r="N851" s="3">
        <v>32</v>
      </c>
      <c r="O851" s="3" t="s">
        <v>125</v>
      </c>
      <c r="P851" s="3" t="s">
        <v>21</v>
      </c>
      <c r="Q851" s="4">
        <v>4</v>
      </c>
      <c r="R851" s="4" t="str">
        <f>IF(Table1[[#This Row],[Customer Ratings]]&gt;=4, "Good",IF(Table1[[#This Row],[Customer Ratings]]=3, "Average","Poor"))</f>
        <v>Good</v>
      </c>
      <c r="S851" s="3" t="s">
        <v>90</v>
      </c>
    </row>
    <row r="852" spans="1:19" x14ac:dyDescent="0.25">
      <c r="A852" s="3">
        <v>851</v>
      </c>
      <c r="B852" s="5">
        <f>DATE(Table1[[#This Row],[Year]],Table1[[#This Row],[Month]],Table1[[#This Row],[Day]])</f>
        <v>44720</v>
      </c>
      <c r="C852" s="3">
        <v>8</v>
      </c>
      <c r="D852" s="3">
        <v>6</v>
      </c>
      <c r="E852" s="3">
        <v>2022</v>
      </c>
      <c r="F852" s="3" t="str">
        <f>"Qtr"&amp; " " &amp;CHOOSE(MONTH(Table1[[#This Row],[Date]]),1,1,1,2,2,2,3,3,3,4,4,4)</f>
        <v>Qtr 2</v>
      </c>
      <c r="G852" s="3" t="str">
        <f>TEXT(Table1[[#This Row],[Date]],"mmmm")</f>
        <v>June</v>
      </c>
      <c r="H852" s="3" t="s">
        <v>1083</v>
      </c>
      <c r="I852" s="3" t="s">
        <v>39</v>
      </c>
      <c r="J852" s="3">
        <v>6</v>
      </c>
      <c r="K852" s="3">
        <v>33317.94</v>
      </c>
      <c r="L852" s="3">
        <f>Table1[[#This Row],[Price Per Unit]]*Table1[[#This Row],[Units Sold]]</f>
        <v>199907.64</v>
      </c>
      <c r="M852" s="3" t="s">
        <v>161</v>
      </c>
      <c r="N852" s="3">
        <v>59</v>
      </c>
      <c r="O852" s="3" t="s">
        <v>15</v>
      </c>
      <c r="P852" s="3" t="s">
        <v>31</v>
      </c>
      <c r="Q852" s="4">
        <v>5</v>
      </c>
      <c r="R852" s="4" t="str">
        <f>IF(Table1[[#This Row],[Customer Ratings]]&gt;=4, "Good",IF(Table1[[#This Row],[Customer Ratings]]=3, "Average","Poor"))</f>
        <v>Good</v>
      </c>
      <c r="S852" s="3" t="s">
        <v>90</v>
      </c>
    </row>
    <row r="853" spans="1:19" x14ac:dyDescent="0.25">
      <c r="A853" s="3">
        <v>852</v>
      </c>
      <c r="B853" s="5">
        <f>DATE(Table1[[#This Row],[Year]],Table1[[#This Row],[Month]],Table1[[#This Row],[Day]])</f>
        <v>44720</v>
      </c>
      <c r="C853" s="3">
        <v>8</v>
      </c>
      <c r="D853" s="3">
        <v>6</v>
      </c>
      <c r="E853" s="3">
        <v>2022</v>
      </c>
      <c r="F853" s="3" t="str">
        <f>"Qtr"&amp; " " &amp;CHOOSE(MONTH(Table1[[#This Row],[Date]]),1,1,1,2,2,2,3,3,3,4,4,4)</f>
        <v>Qtr 2</v>
      </c>
      <c r="G853" s="3" t="str">
        <f>TEXT(Table1[[#This Row],[Date]],"mmmm")</f>
        <v>June</v>
      </c>
      <c r="H853" s="3" t="s">
        <v>1083</v>
      </c>
      <c r="I853" s="3" t="s">
        <v>39</v>
      </c>
      <c r="J853" s="3">
        <v>8</v>
      </c>
      <c r="K853" s="3">
        <v>34959.379999999997</v>
      </c>
      <c r="L853" s="3">
        <f>Table1[[#This Row],[Price Per Unit]]*Table1[[#This Row],[Units Sold]]</f>
        <v>279675.03999999998</v>
      </c>
      <c r="M853" s="3" t="s">
        <v>430</v>
      </c>
      <c r="N853" s="3">
        <v>43</v>
      </c>
      <c r="O853" s="3" t="s">
        <v>105</v>
      </c>
      <c r="P853" s="3" t="s">
        <v>45</v>
      </c>
      <c r="Q853" s="4">
        <v>5</v>
      </c>
      <c r="R853" s="4" t="str">
        <f>IF(Table1[[#This Row],[Customer Ratings]]&gt;=4, "Good",IF(Table1[[#This Row],[Customer Ratings]]=3, "Average","Poor"))</f>
        <v>Good</v>
      </c>
      <c r="S853" s="3" t="s">
        <v>76</v>
      </c>
    </row>
    <row r="854" spans="1:19" x14ac:dyDescent="0.25">
      <c r="A854" s="3">
        <v>853</v>
      </c>
      <c r="B854" s="5">
        <f>DATE(Table1[[#This Row],[Year]],Table1[[#This Row],[Month]],Table1[[#This Row],[Day]])</f>
        <v>44721</v>
      </c>
      <c r="C854" s="3">
        <v>9</v>
      </c>
      <c r="D854" s="3">
        <v>6</v>
      </c>
      <c r="E854" s="3">
        <v>2022</v>
      </c>
      <c r="F854" s="3" t="str">
        <f>"Qtr"&amp; " " &amp;CHOOSE(MONTH(Table1[[#This Row],[Date]]),1,1,1,2,2,2,3,3,3,4,4,4)</f>
        <v>Qtr 2</v>
      </c>
      <c r="G854" s="3" t="str">
        <f>TEXT(Table1[[#This Row],[Date]],"mmmm")</f>
        <v>June</v>
      </c>
      <c r="H854" s="3" t="s">
        <v>1084</v>
      </c>
      <c r="I854" s="3" t="s">
        <v>18</v>
      </c>
      <c r="J854" s="3">
        <v>1</v>
      </c>
      <c r="K854" s="3">
        <v>54800.26</v>
      </c>
      <c r="L854" s="3">
        <f>Table1[[#This Row],[Price Per Unit]]*Table1[[#This Row],[Units Sold]]</f>
        <v>54800.26</v>
      </c>
      <c r="M854" s="3" t="s">
        <v>252</v>
      </c>
      <c r="N854" s="3">
        <v>49</v>
      </c>
      <c r="O854" s="3" t="s">
        <v>20</v>
      </c>
      <c r="P854" s="3" t="s">
        <v>31</v>
      </c>
      <c r="Q854" s="4">
        <v>5</v>
      </c>
      <c r="R854" s="4" t="str">
        <f>IF(Table1[[#This Row],[Customer Ratings]]&gt;=4, "Good",IF(Table1[[#This Row],[Customer Ratings]]=3, "Average","Poor"))</f>
        <v>Good</v>
      </c>
      <c r="S854" s="3" t="s">
        <v>25</v>
      </c>
    </row>
    <row r="855" spans="1:19" x14ac:dyDescent="0.25">
      <c r="A855" s="3">
        <v>854</v>
      </c>
      <c r="B855" s="5">
        <f>DATE(Table1[[#This Row],[Year]],Table1[[#This Row],[Month]],Table1[[#This Row],[Day]])</f>
        <v>44721</v>
      </c>
      <c r="C855" s="3">
        <v>9</v>
      </c>
      <c r="D855" s="3">
        <v>6</v>
      </c>
      <c r="E855" s="3">
        <v>2022</v>
      </c>
      <c r="F855" s="3" t="str">
        <f>"Qtr"&amp; " " &amp;CHOOSE(MONTH(Table1[[#This Row],[Date]]),1,1,1,2,2,2,3,3,3,4,4,4)</f>
        <v>Qtr 2</v>
      </c>
      <c r="G855" s="3" t="str">
        <f>TEXT(Table1[[#This Row],[Date]],"mmmm")</f>
        <v>June</v>
      </c>
      <c r="H855" s="3" t="s">
        <v>1084</v>
      </c>
      <c r="I855" s="3" t="s">
        <v>28</v>
      </c>
      <c r="J855" s="3">
        <v>5</v>
      </c>
      <c r="K855" s="3">
        <v>15629.31</v>
      </c>
      <c r="L855" s="3">
        <f>Table1[[#This Row],[Price Per Unit]]*Table1[[#This Row],[Units Sold]]</f>
        <v>78146.55</v>
      </c>
      <c r="M855" s="3" t="s">
        <v>637</v>
      </c>
      <c r="N855" s="3">
        <v>56</v>
      </c>
      <c r="O855" s="3" t="s">
        <v>24</v>
      </c>
      <c r="P855" s="3" t="s">
        <v>31</v>
      </c>
      <c r="Q855" s="4">
        <v>3</v>
      </c>
      <c r="R855" s="4" t="str">
        <f>IF(Table1[[#This Row],[Customer Ratings]]&gt;=4, "Good",IF(Table1[[#This Row],[Customer Ratings]]=3, "Average","Poor"))</f>
        <v>Average</v>
      </c>
      <c r="S855" s="3" t="s">
        <v>32</v>
      </c>
    </row>
    <row r="856" spans="1:19" x14ac:dyDescent="0.25">
      <c r="A856" s="3">
        <v>855</v>
      </c>
      <c r="B856" s="5">
        <f>DATE(Table1[[#This Row],[Year]],Table1[[#This Row],[Month]],Table1[[#This Row],[Day]])</f>
        <v>44721</v>
      </c>
      <c r="C856" s="3">
        <v>9</v>
      </c>
      <c r="D856" s="3">
        <v>6</v>
      </c>
      <c r="E856" s="3">
        <v>2022</v>
      </c>
      <c r="F856" s="3" t="str">
        <f>"Qtr"&amp; " " &amp;CHOOSE(MONTH(Table1[[#This Row],[Date]]),1,1,1,2,2,2,3,3,3,4,4,4)</f>
        <v>Qtr 2</v>
      </c>
      <c r="G856" s="3" t="str">
        <f>TEXT(Table1[[#This Row],[Date]],"mmmm")</f>
        <v>June</v>
      </c>
      <c r="H856" s="3" t="s">
        <v>1084</v>
      </c>
      <c r="I856" s="3" t="s">
        <v>18</v>
      </c>
      <c r="J856" s="3">
        <v>1</v>
      </c>
      <c r="K856" s="3">
        <v>40755.03</v>
      </c>
      <c r="L856" s="3">
        <f>Table1[[#This Row],[Price Per Unit]]*Table1[[#This Row],[Units Sold]]</f>
        <v>40755.03</v>
      </c>
      <c r="M856" s="3" t="s">
        <v>638</v>
      </c>
      <c r="N856" s="3">
        <v>45</v>
      </c>
      <c r="O856" s="3" t="s">
        <v>24</v>
      </c>
      <c r="P856" s="3" t="s">
        <v>31</v>
      </c>
      <c r="Q856" s="4">
        <v>5</v>
      </c>
      <c r="R856" s="4" t="str">
        <f>IF(Table1[[#This Row],[Customer Ratings]]&gt;=4, "Good",IF(Table1[[#This Row],[Customer Ratings]]=3, "Average","Poor"))</f>
        <v>Good</v>
      </c>
      <c r="S856" s="3" t="s">
        <v>22</v>
      </c>
    </row>
    <row r="857" spans="1:19" x14ac:dyDescent="0.25">
      <c r="A857" s="3">
        <v>856</v>
      </c>
      <c r="B857" s="5">
        <f>DATE(Table1[[#This Row],[Year]],Table1[[#This Row],[Month]],Table1[[#This Row],[Day]])</f>
        <v>44722</v>
      </c>
      <c r="C857" s="3">
        <v>10</v>
      </c>
      <c r="D857" s="3">
        <v>6</v>
      </c>
      <c r="E857" s="3">
        <v>2022</v>
      </c>
      <c r="F857" s="3" t="str">
        <f>"Qtr"&amp; " " &amp;CHOOSE(MONTH(Table1[[#This Row],[Date]]),1,1,1,2,2,2,3,3,3,4,4,4)</f>
        <v>Qtr 2</v>
      </c>
      <c r="G857" s="3" t="str">
        <f>TEXT(Table1[[#This Row],[Date]],"mmmm")</f>
        <v>June</v>
      </c>
      <c r="H857" s="3" t="s">
        <v>1085</v>
      </c>
      <c r="I857" s="3" t="s">
        <v>33</v>
      </c>
      <c r="J857" s="3">
        <v>8</v>
      </c>
      <c r="K857" s="3">
        <v>43851.69</v>
      </c>
      <c r="L857" s="3">
        <f>Table1[[#This Row],[Price Per Unit]]*Table1[[#This Row],[Units Sold]]</f>
        <v>350813.52</v>
      </c>
      <c r="M857" s="3" t="s">
        <v>639</v>
      </c>
      <c r="N857" s="3">
        <v>56</v>
      </c>
      <c r="O857" s="3" t="s">
        <v>20</v>
      </c>
      <c r="P857" s="3" t="s">
        <v>45</v>
      </c>
      <c r="Q857" s="4">
        <v>5</v>
      </c>
      <c r="R857" s="4" t="str">
        <f>IF(Table1[[#This Row],[Customer Ratings]]&gt;=4, "Good",IF(Table1[[#This Row],[Customer Ratings]]=3, "Average","Poor"))</f>
        <v>Good</v>
      </c>
      <c r="S857" s="3" t="s">
        <v>83</v>
      </c>
    </row>
    <row r="858" spans="1:19" x14ac:dyDescent="0.25">
      <c r="A858" s="3">
        <v>857</v>
      </c>
      <c r="B858" s="5">
        <f>DATE(Table1[[#This Row],[Year]],Table1[[#This Row],[Month]],Table1[[#This Row],[Day]])</f>
        <v>44722</v>
      </c>
      <c r="C858" s="3">
        <v>10</v>
      </c>
      <c r="D858" s="3">
        <v>6</v>
      </c>
      <c r="E858" s="3">
        <v>2022</v>
      </c>
      <c r="F858" s="3" t="str">
        <f>"Qtr"&amp; " " &amp;CHOOSE(MONTH(Table1[[#This Row],[Date]]),1,1,1,2,2,2,3,3,3,4,4,4)</f>
        <v>Qtr 2</v>
      </c>
      <c r="G858" s="3" t="str">
        <f>TEXT(Table1[[#This Row],[Date]],"mmmm")</f>
        <v>June</v>
      </c>
      <c r="H858" s="3" t="s">
        <v>1085</v>
      </c>
      <c r="I858" s="3" t="s">
        <v>39</v>
      </c>
      <c r="J858" s="3">
        <v>8</v>
      </c>
      <c r="K858" s="3">
        <v>39649.46</v>
      </c>
      <c r="L858" s="3">
        <f>Table1[[#This Row],[Price Per Unit]]*Table1[[#This Row],[Units Sold]]</f>
        <v>317195.68</v>
      </c>
      <c r="M858" s="3" t="s">
        <v>626</v>
      </c>
      <c r="N858" s="3">
        <v>49</v>
      </c>
      <c r="O858" s="3" t="s">
        <v>20</v>
      </c>
      <c r="P858" s="3" t="s">
        <v>45</v>
      </c>
      <c r="Q858" s="4">
        <v>2</v>
      </c>
      <c r="R858" s="4" t="str">
        <f>IF(Table1[[#This Row],[Customer Ratings]]&gt;=4, "Good",IF(Table1[[#This Row],[Customer Ratings]]=3, "Average","Poor"))</f>
        <v>Poor</v>
      </c>
      <c r="S858" s="3" t="s">
        <v>90</v>
      </c>
    </row>
    <row r="859" spans="1:19" x14ac:dyDescent="0.25">
      <c r="A859" s="3">
        <v>858</v>
      </c>
      <c r="B859" s="5">
        <f>DATE(Table1[[#This Row],[Year]],Table1[[#This Row],[Month]],Table1[[#This Row],[Day]])</f>
        <v>44722</v>
      </c>
      <c r="C859" s="3">
        <v>10</v>
      </c>
      <c r="D859" s="3">
        <v>6</v>
      </c>
      <c r="E859" s="3">
        <v>2022</v>
      </c>
      <c r="F859" s="3" t="str">
        <f>"Qtr"&amp; " " &amp;CHOOSE(MONTH(Table1[[#This Row],[Date]]),1,1,1,2,2,2,3,3,3,4,4,4)</f>
        <v>Qtr 2</v>
      </c>
      <c r="G859" s="3" t="str">
        <f>TEXT(Table1[[#This Row],[Date]],"mmmm")</f>
        <v>June</v>
      </c>
      <c r="H859" s="3" t="s">
        <v>1085</v>
      </c>
      <c r="I859" s="3" t="s">
        <v>18</v>
      </c>
      <c r="J859" s="3">
        <v>1</v>
      </c>
      <c r="K859" s="3">
        <v>53912.4</v>
      </c>
      <c r="L859" s="3">
        <f>Table1[[#This Row],[Price Per Unit]]*Table1[[#This Row],[Units Sold]]</f>
        <v>53912.4</v>
      </c>
      <c r="M859" s="3" t="s">
        <v>640</v>
      </c>
      <c r="N859" s="3">
        <v>30</v>
      </c>
      <c r="O859" s="3" t="s">
        <v>81</v>
      </c>
      <c r="P859" s="3" t="s">
        <v>16</v>
      </c>
      <c r="Q859" s="4">
        <v>2</v>
      </c>
      <c r="R859" s="4" t="str">
        <f>IF(Table1[[#This Row],[Customer Ratings]]&gt;=4, "Good",IF(Table1[[#This Row],[Customer Ratings]]=3, "Average","Poor"))</f>
        <v>Poor</v>
      </c>
      <c r="S859" s="3" t="s">
        <v>25</v>
      </c>
    </row>
    <row r="860" spans="1:19" x14ac:dyDescent="0.25">
      <c r="A860" s="3">
        <v>859</v>
      </c>
      <c r="B860" s="5">
        <f>DATE(Table1[[#This Row],[Year]],Table1[[#This Row],[Month]],Table1[[#This Row],[Day]])</f>
        <v>44723</v>
      </c>
      <c r="C860" s="3">
        <v>11</v>
      </c>
      <c r="D860" s="3">
        <v>6</v>
      </c>
      <c r="E860" s="3">
        <v>2022</v>
      </c>
      <c r="F860" s="3" t="str">
        <f>"Qtr"&amp; " " &amp;CHOOSE(MONTH(Table1[[#This Row],[Date]]),1,1,1,2,2,2,3,3,3,4,4,4)</f>
        <v>Qtr 2</v>
      </c>
      <c r="G860" s="3" t="str">
        <f>TEXT(Table1[[#This Row],[Date]],"mmmm")</f>
        <v>June</v>
      </c>
      <c r="H860" s="3" t="s">
        <v>1079</v>
      </c>
      <c r="I860" s="3" t="s">
        <v>18</v>
      </c>
      <c r="J860" s="3">
        <v>9</v>
      </c>
      <c r="K860" s="3">
        <v>33027.480000000003</v>
      </c>
      <c r="L860" s="3">
        <f>Table1[[#This Row],[Price Per Unit]]*Table1[[#This Row],[Units Sold]]</f>
        <v>297247.32</v>
      </c>
      <c r="M860" s="3" t="s">
        <v>170</v>
      </c>
      <c r="N860" s="3">
        <v>32</v>
      </c>
      <c r="O860" s="3" t="s">
        <v>102</v>
      </c>
      <c r="P860" s="3" t="s">
        <v>21</v>
      </c>
      <c r="Q860" s="4">
        <v>5</v>
      </c>
      <c r="R860" s="4" t="str">
        <f>IF(Table1[[#This Row],[Customer Ratings]]&gt;=4, "Good",IF(Table1[[#This Row],[Customer Ratings]]=3, "Average","Poor"))</f>
        <v>Good</v>
      </c>
      <c r="S860" s="3" t="s">
        <v>55</v>
      </c>
    </row>
    <row r="861" spans="1:19" x14ac:dyDescent="0.25">
      <c r="A861" s="3">
        <v>860</v>
      </c>
      <c r="B861" s="5">
        <f>DATE(Table1[[#This Row],[Year]],Table1[[#This Row],[Month]],Table1[[#This Row],[Day]])</f>
        <v>44723</v>
      </c>
      <c r="C861" s="3">
        <v>11</v>
      </c>
      <c r="D861" s="3">
        <v>6</v>
      </c>
      <c r="E861" s="3">
        <v>2022</v>
      </c>
      <c r="F861" s="3" t="str">
        <f>"Qtr"&amp; " " &amp;CHOOSE(MONTH(Table1[[#This Row],[Date]]),1,1,1,2,2,2,3,3,3,4,4,4)</f>
        <v>Qtr 2</v>
      </c>
      <c r="G861" s="3" t="str">
        <f>TEXT(Table1[[#This Row],[Date]],"mmmm")</f>
        <v>June</v>
      </c>
      <c r="H861" s="3" t="s">
        <v>1079</v>
      </c>
      <c r="I861" s="3" t="s">
        <v>33</v>
      </c>
      <c r="J861" s="3">
        <v>2</v>
      </c>
      <c r="K861" s="3">
        <v>66698.02</v>
      </c>
      <c r="L861" s="3">
        <f>Table1[[#This Row],[Price Per Unit]]*Table1[[#This Row],[Units Sold]]</f>
        <v>133396.04</v>
      </c>
      <c r="M861" s="3" t="s">
        <v>438</v>
      </c>
      <c r="N861" s="3">
        <v>35</v>
      </c>
      <c r="O861" s="3" t="s">
        <v>120</v>
      </c>
      <c r="P861" s="3" t="s">
        <v>16</v>
      </c>
      <c r="Q861" s="4">
        <v>2</v>
      </c>
      <c r="R861" s="4" t="str">
        <f>IF(Table1[[#This Row],[Customer Ratings]]&gt;=4, "Good",IF(Table1[[#This Row],[Customer Ratings]]=3, "Average","Poor"))</f>
        <v>Poor</v>
      </c>
      <c r="S861" s="3" t="s">
        <v>36</v>
      </c>
    </row>
    <row r="862" spans="1:19" x14ac:dyDescent="0.25">
      <c r="A862" s="3">
        <v>861</v>
      </c>
      <c r="B862" s="5">
        <f>DATE(Table1[[#This Row],[Year]],Table1[[#This Row],[Month]],Table1[[#This Row],[Day]])</f>
        <v>44723</v>
      </c>
      <c r="C862" s="3">
        <v>11</v>
      </c>
      <c r="D862" s="3">
        <v>6</v>
      </c>
      <c r="E862" s="3">
        <v>2022</v>
      </c>
      <c r="F862" s="3" t="str">
        <f>"Qtr"&amp; " " &amp;CHOOSE(MONTH(Table1[[#This Row],[Date]]),1,1,1,2,2,2,3,3,3,4,4,4)</f>
        <v>Qtr 2</v>
      </c>
      <c r="G862" s="3" t="str">
        <f>TEXT(Table1[[#This Row],[Date]],"mmmm")</f>
        <v>June</v>
      </c>
      <c r="H862" s="3" t="s">
        <v>1079</v>
      </c>
      <c r="I862" s="3" t="s">
        <v>13</v>
      </c>
      <c r="J862" s="3">
        <v>9</v>
      </c>
      <c r="K862" s="3">
        <v>38908.21</v>
      </c>
      <c r="L862" s="3">
        <f>Table1[[#This Row],[Price Per Unit]]*Table1[[#This Row],[Units Sold]]</f>
        <v>350173.89</v>
      </c>
      <c r="M862" s="3" t="s">
        <v>295</v>
      </c>
      <c r="N862" s="3">
        <v>56</v>
      </c>
      <c r="O862" s="3" t="s">
        <v>102</v>
      </c>
      <c r="P862" s="3" t="s">
        <v>16</v>
      </c>
      <c r="Q862" s="4">
        <v>5</v>
      </c>
      <c r="R862" s="4" t="str">
        <f>IF(Table1[[#This Row],[Customer Ratings]]&gt;=4, "Good",IF(Table1[[#This Row],[Customer Ratings]]=3, "Average","Poor"))</f>
        <v>Good</v>
      </c>
      <c r="S862" s="3" t="s">
        <v>27</v>
      </c>
    </row>
    <row r="863" spans="1:19" x14ac:dyDescent="0.25">
      <c r="A863" s="3">
        <v>862</v>
      </c>
      <c r="B863" s="5">
        <f>DATE(Table1[[#This Row],[Year]],Table1[[#This Row],[Month]],Table1[[#This Row],[Day]])</f>
        <v>44723</v>
      </c>
      <c r="C863" s="3">
        <v>11</v>
      </c>
      <c r="D863" s="3">
        <v>6</v>
      </c>
      <c r="E863" s="3">
        <v>2022</v>
      </c>
      <c r="F863" s="3" t="str">
        <f>"Qtr"&amp; " " &amp;CHOOSE(MONTH(Table1[[#This Row],[Date]]),1,1,1,2,2,2,3,3,3,4,4,4)</f>
        <v>Qtr 2</v>
      </c>
      <c r="G863" s="3" t="str">
        <f>TEXT(Table1[[#This Row],[Date]],"mmmm")</f>
        <v>June</v>
      </c>
      <c r="H863" s="3" t="s">
        <v>1079</v>
      </c>
      <c r="I863" s="3" t="s">
        <v>28</v>
      </c>
      <c r="J863" s="3">
        <v>1</v>
      </c>
      <c r="K863" s="3">
        <v>44272.83</v>
      </c>
      <c r="L863" s="3">
        <f>Table1[[#This Row],[Price Per Unit]]*Table1[[#This Row],[Units Sold]]</f>
        <v>44272.83</v>
      </c>
      <c r="M863" s="3" t="s">
        <v>585</v>
      </c>
      <c r="N863" s="3">
        <v>23</v>
      </c>
      <c r="O863" s="3" t="s">
        <v>30</v>
      </c>
      <c r="P863" s="3" t="s">
        <v>45</v>
      </c>
      <c r="Q863" s="4">
        <v>4</v>
      </c>
      <c r="R863" s="4" t="str">
        <f>IF(Table1[[#This Row],[Customer Ratings]]&gt;=4, "Good",IF(Table1[[#This Row],[Customer Ratings]]=3, "Average","Poor"))</f>
        <v>Good</v>
      </c>
      <c r="S863" s="3" t="s">
        <v>87</v>
      </c>
    </row>
    <row r="864" spans="1:19" x14ac:dyDescent="0.25">
      <c r="A864" s="3">
        <v>863</v>
      </c>
      <c r="B864" s="5">
        <f>DATE(Table1[[#This Row],[Year]],Table1[[#This Row],[Month]],Table1[[#This Row],[Day]])</f>
        <v>44724</v>
      </c>
      <c r="C864" s="3">
        <v>12</v>
      </c>
      <c r="D864" s="3">
        <v>6</v>
      </c>
      <c r="E864" s="3">
        <v>2022</v>
      </c>
      <c r="F864" s="3" t="str">
        <f>"Qtr"&amp; " " &amp;CHOOSE(MONTH(Table1[[#This Row],[Date]]),1,1,1,2,2,2,3,3,3,4,4,4)</f>
        <v>Qtr 2</v>
      </c>
      <c r="G864" s="3" t="str">
        <f>TEXT(Table1[[#This Row],[Date]],"mmmm")</f>
        <v>June</v>
      </c>
      <c r="H864" s="3" t="s">
        <v>1080</v>
      </c>
      <c r="I864" s="3" t="s">
        <v>13</v>
      </c>
      <c r="J864" s="3">
        <v>9</v>
      </c>
      <c r="K864" s="3">
        <v>59531.85</v>
      </c>
      <c r="L864" s="3">
        <f>Table1[[#This Row],[Price Per Unit]]*Table1[[#This Row],[Units Sold]]</f>
        <v>535786.65</v>
      </c>
      <c r="M864" s="3" t="s">
        <v>124</v>
      </c>
      <c r="N864" s="3">
        <v>28</v>
      </c>
      <c r="O864" s="3" t="s">
        <v>102</v>
      </c>
      <c r="P864" s="3" t="s">
        <v>16</v>
      </c>
      <c r="Q864" s="4">
        <v>5</v>
      </c>
      <c r="R864" s="4" t="str">
        <f>IF(Table1[[#This Row],[Customer Ratings]]&gt;=4, "Good",IF(Table1[[#This Row],[Customer Ratings]]=3, "Average","Poor"))</f>
        <v>Good</v>
      </c>
      <c r="S864" s="3" t="s">
        <v>17</v>
      </c>
    </row>
    <row r="865" spans="1:19" x14ac:dyDescent="0.25">
      <c r="A865" s="3">
        <v>864</v>
      </c>
      <c r="B865" s="5">
        <f>DATE(Table1[[#This Row],[Year]],Table1[[#This Row],[Month]],Table1[[#This Row],[Day]])</f>
        <v>44724</v>
      </c>
      <c r="C865" s="3">
        <v>12</v>
      </c>
      <c r="D865" s="3">
        <v>6</v>
      </c>
      <c r="E865" s="3">
        <v>2022</v>
      </c>
      <c r="F865" s="3" t="str">
        <f>"Qtr"&amp; " " &amp;CHOOSE(MONTH(Table1[[#This Row],[Date]]),1,1,1,2,2,2,3,3,3,4,4,4)</f>
        <v>Qtr 2</v>
      </c>
      <c r="G865" s="3" t="str">
        <f>TEXT(Table1[[#This Row],[Date]],"mmmm")</f>
        <v>June</v>
      </c>
      <c r="H865" s="3" t="s">
        <v>1080</v>
      </c>
      <c r="I865" s="3" t="s">
        <v>39</v>
      </c>
      <c r="J865" s="3">
        <v>4</v>
      </c>
      <c r="K865" s="3">
        <v>26514.17</v>
      </c>
      <c r="L865" s="3">
        <f>Table1[[#This Row],[Price Per Unit]]*Table1[[#This Row],[Units Sold]]</f>
        <v>106056.68</v>
      </c>
      <c r="M865" s="3" t="s">
        <v>641</v>
      </c>
      <c r="N865" s="3">
        <v>49</v>
      </c>
      <c r="O865" s="3" t="s">
        <v>24</v>
      </c>
      <c r="P865" s="3" t="s">
        <v>16</v>
      </c>
      <c r="Q865" s="4">
        <v>4</v>
      </c>
      <c r="R865" s="4" t="str">
        <f>IF(Table1[[#This Row],[Customer Ratings]]&gt;=4, "Good",IF(Table1[[#This Row],[Customer Ratings]]=3, "Average","Poor"))</f>
        <v>Good</v>
      </c>
      <c r="S865" s="3" t="s">
        <v>76</v>
      </c>
    </row>
    <row r="866" spans="1:19" x14ac:dyDescent="0.25">
      <c r="A866" s="3">
        <v>865</v>
      </c>
      <c r="B866" s="5">
        <f>DATE(Table1[[#This Row],[Year]],Table1[[#This Row],[Month]],Table1[[#This Row],[Day]])</f>
        <v>44724</v>
      </c>
      <c r="C866" s="3">
        <v>12</v>
      </c>
      <c r="D866" s="3">
        <v>6</v>
      </c>
      <c r="E866" s="3">
        <v>2022</v>
      </c>
      <c r="F866" s="3" t="str">
        <f>"Qtr"&amp; " " &amp;CHOOSE(MONTH(Table1[[#This Row],[Date]]),1,1,1,2,2,2,3,3,3,4,4,4)</f>
        <v>Qtr 2</v>
      </c>
      <c r="G866" s="3" t="str">
        <f>TEXT(Table1[[#This Row],[Date]],"mmmm")</f>
        <v>June</v>
      </c>
      <c r="H866" s="3" t="s">
        <v>1080</v>
      </c>
      <c r="I866" s="3" t="s">
        <v>18</v>
      </c>
      <c r="J866" s="3">
        <v>9</v>
      </c>
      <c r="K866" s="3">
        <v>14512.12</v>
      </c>
      <c r="L866" s="3">
        <f>Table1[[#This Row],[Price Per Unit]]*Table1[[#This Row],[Units Sold]]</f>
        <v>130609.08</v>
      </c>
      <c r="M866" s="3" t="s">
        <v>299</v>
      </c>
      <c r="N866" s="3">
        <v>57</v>
      </c>
      <c r="O866" s="3" t="s">
        <v>15</v>
      </c>
      <c r="P866" s="3" t="s">
        <v>45</v>
      </c>
      <c r="Q866" s="4">
        <v>2</v>
      </c>
      <c r="R866" s="4" t="str">
        <f>IF(Table1[[#This Row],[Customer Ratings]]&gt;=4, "Good",IF(Table1[[#This Row],[Customer Ratings]]=3, "Average","Poor"))</f>
        <v>Poor</v>
      </c>
      <c r="S866" s="3" t="s">
        <v>22</v>
      </c>
    </row>
    <row r="867" spans="1:19" x14ac:dyDescent="0.25">
      <c r="A867" s="3">
        <v>866</v>
      </c>
      <c r="B867" s="5">
        <f>DATE(Table1[[#This Row],[Year]],Table1[[#This Row],[Month]],Table1[[#This Row],[Day]])</f>
        <v>44725</v>
      </c>
      <c r="C867" s="3">
        <v>13</v>
      </c>
      <c r="D867" s="3">
        <v>6</v>
      </c>
      <c r="E867" s="3">
        <v>2022</v>
      </c>
      <c r="F867" s="3" t="str">
        <f>"Qtr"&amp; " " &amp;CHOOSE(MONTH(Table1[[#This Row],[Date]]),1,1,1,2,2,2,3,3,3,4,4,4)</f>
        <v>Qtr 2</v>
      </c>
      <c r="G867" s="3" t="str">
        <f>TEXT(Table1[[#This Row],[Date]],"mmmm")</f>
        <v>June</v>
      </c>
      <c r="H867" s="3" t="s">
        <v>1081</v>
      </c>
      <c r="I867" s="3" t="s">
        <v>33</v>
      </c>
      <c r="J867" s="3">
        <v>7</v>
      </c>
      <c r="K867" s="3">
        <v>52467.040000000001</v>
      </c>
      <c r="L867" s="3">
        <f>Table1[[#This Row],[Price Per Unit]]*Table1[[#This Row],[Units Sold]]</f>
        <v>367269.28</v>
      </c>
      <c r="M867" s="3" t="s">
        <v>642</v>
      </c>
      <c r="N867" s="3">
        <v>37</v>
      </c>
      <c r="O867" s="3" t="s">
        <v>24</v>
      </c>
      <c r="P867" s="3" t="s">
        <v>31</v>
      </c>
      <c r="Q867" s="4">
        <v>3</v>
      </c>
      <c r="R867" s="4" t="str">
        <f>IF(Table1[[#This Row],[Customer Ratings]]&gt;=4, "Good",IF(Table1[[#This Row],[Customer Ratings]]=3, "Average","Poor"))</f>
        <v>Average</v>
      </c>
      <c r="S867" s="3" t="s">
        <v>83</v>
      </c>
    </row>
    <row r="868" spans="1:19" x14ac:dyDescent="0.25">
      <c r="A868" s="3">
        <v>867</v>
      </c>
      <c r="B868" s="5">
        <f>DATE(Table1[[#This Row],[Year]],Table1[[#This Row],[Month]],Table1[[#This Row],[Day]])</f>
        <v>44725</v>
      </c>
      <c r="C868" s="3">
        <v>13</v>
      </c>
      <c r="D868" s="3">
        <v>6</v>
      </c>
      <c r="E868" s="3">
        <v>2022</v>
      </c>
      <c r="F868" s="3" t="str">
        <f>"Qtr"&amp; " " &amp;CHOOSE(MONTH(Table1[[#This Row],[Date]]),1,1,1,2,2,2,3,3,3,4,4,4)</f>
        <v>Qtr 2</v>
      </c>
      <c r="G868" s="3" t="str">
        <f>TEXT(Table1[[#This Row],[Date]],"mmmm")</f>
        <v>June</v>
      </c>
      <c r="H868" s="3" t="s">
        <v>1081</v>
      </c>
      <c r="I868" s="3" t="s">
        <v>33</v>
      </c>
      <c r="J868" s="3">
        <v>6</v>
      </c>
      <c r="K868" s="3">
        <v>38980.71</v>
      </c>
      <c r="L868" s="3">
        <f>Table1[[#This Row],[Price Per Unit]]*Table1[[#This Row],[Units Sold]]</f>
        <v>233884.26</v>
      </c>
      <c r="M868" s="3" t="s">
        <v>643</v>
      </c>
      <c r="N868" s="3">
        <v>50</v>
      </c>
      <c r="O868" s="3" t="s">
        <v>65</v>
      </c>
      <c r="P868" s="3" t="s">
        <v>31</v>
      </c>
      <c r="Q868" s="4">
        <v>3</v>
      </c>
      <c r="R868" s="4" t="str">
        <f>IF(Table1[[#This Row],[Customer Ratings]]&gt;=4, "Good",IF(Table1[[#This Row],[Customer Ratings]]=3, "Average","Poor"))</f>
        <v>Average</v>
      </c>
      <c r="S868" s="3" t="s">
        <v>36</v>
      </c>
    </row>
    <row r="869" spans="1:19" x14ac:dyDescent="0.25">
      <c r="A869" s="3">
        <v>868</v>
      </c>
      <c r="B869" s="5">
        <f>DATE(Table1[[#This Row],[Year]],Table1[[#This Row],[Month]],Table1[[#This Row],[Day]])</f>
        <v>44725</v>
      </c>
      <c r="C869" s="3">
        <v>13</v>
      </c>
      <c r="D869" s="3">
        <v>6</v>
      </c>
      <c r="E869" s="3">
        <v>2022</v>
      </c>
      <c r="F869" s="3" t="str">
        <f>"Qtr"&amp; " " &amp;CHOOSE(MONTH(Table1[[#This Row],[Date]]),1,1,1,2,2,2,3,3,3,4,4,4)</f>
        <v>Qtr 2</v>
      </c>
      <c r="G869" s="3" t="str">
        <f>TEXT(Table1[[#This Row],[Date]],"mmmm")</f>
        <v>June</v>
      </c>
      <c r="H869" s="3" t="s">
        <v>1081</v>
      </c>
      <c r="I869" s="3" t="s">
        <v>28</v>
      </c>
      <c r="J869" s="3">
        <v>5</v>
      </c>
      <c r="K869" s="3">
        <v>63790.26</v>
      </c>
      <c r="L869" s="3">
        <f>Table1[[#This Row],[Price Per Unit]]*Table1[[#This Row],[Units Sold]]</f>
        <v>318951.3</v>
      </c>
      <c r="M869" s="3" t="s">
        <v>644</v>
      </c>
      <c r="N869" s="3">
        <v>57</v>
      </c>
      <c r="O869" s="3" t="s">
        <v>120</v>
      </c>
      <c r="P869" s="3" t="s">
        <v>45</v>
      </c>
      <c r="Q869" s="4">
        <v>5</v>
      </c>
      <c r="R869" s="4" t="str">
        <f>IF(Table1[[#This Row],[Customer Ratings]]&gt;=4, "Good",IF(Table1[[#This Row],[Customer Ratings]]=3, "Average","Poor"))</f>
        <v>Good</v>
      </c>
      <c r="S869" s="3" t="s">
        <v>32</v>
      </c>
    </row>
    <row r="870" spans="1:19" x14ac:dyDescent="0.25">
      <c r="A870" s="3">
        <v>869</v>
      </c>
      <c r="B870" s="5">
        <f>DATE(Table1[[#This Row],[Year]],Table1[[#This Row],[Month]],Table1[[#This Row],[Day]])</f>
        <v>44726</v>
      </c>
      <c r="C870" s="3">
        <v>14</v>
      </c>
      <c r="D870" s="3">
        <v>6</v>
      </c>
      <c r="E870" s="3">
        <v>2022</v>
      </c>
      <c r="F870" s="3" t="str">
        <f>"Qtr"&amp; " " &amp;CHOOSE(MONTH(Table1[[#This Row],[Date]]),1,1,1,2,2,2,3,3,3,4,4,4)</f>
        <v>Qtr 2</v>
      </c>
      <c r="G870" s="3" t="str">
        <f>TEXT(Table1[[#This Row],[Date]],"mmmm")</f>
        <v>June</v>
      </c>
      <c r="H870" s="3" t="s">
        <v>1082</v>
      </c>
      <c r="I870" s="3" t="s">
        <v>13</v>
      </c>
      <c r="J870" s="3">
        <v>9</v>
      </c>
      <c r="K870" s="3">
        <v>68960.800000000003</v>
      </c>
      <c r="L870" s="3">
        <f>Table1[[#This Row],[Price Per Unit]]*Table1[[#This Row],[Units Sold]]</f>
        <v>620647.20000000007</v>
      </c>
      <c r="M870" s="3" t="s">
        <v>117</v>
      </c>
      <c r="N870" s="3">
        <v>25</v>
      </c>
      <c r="O870" s="3" t="s">
        <v>65</v>
      </c>
      <c r="P870" s="3" t="s">
        <v>21</v>
      </c>
      <c r="Q870" s="4">
        <v>5</v>
      </c>
      <c r="R870" s="4" t="str">
        <f>IF(Table1[[#This Row],[Customer Ratings]]&gt;=4, "Good",IF(Table1[[#This Row],[Customer Ratings]]=3, "Average","Poor"))</f>
        <v>Good</v>
      </c>
      <c r="S870" s="3" t="s">
        <v>72</v>
      </c>
    </row>
    <row r="871" spans="1:19" x14ac:dyDescent="0.25">
      <c r="A871" s="3">
        <v>870</v>
      </c>
      <c r="B871" s="5">
        <f>DATE(Table1[[#This Row],[Year]],Table1[[#This Row],[Month]],Table1[[#This Row],[Day]])</f>
        <v>44726</v>
      </c>
      <c r="C871" s="3">
        <v>14</v>
      </c>
      <c r="D871" s="3">
        <v>6</v>
      </c>
      <c r="E871" s="3">
        <v>2022</v>
      </c>
      <c r="F871" s="3" t="str">
        <f>"Qtr"&amp; " " &amp;CHOOSE(MONTH(Table1[[#This Row],[Date]]),1,1,1,2,2,2,3,3,3,4,4,4)</f>
        <v>Qtr 2</v>
      </c>
      <c r="G871" s="3" t="str">
        <f>TEXT(Table1[[#This Row],[Date]],"mmmm")</f>
        <v>June</v>
      </c>
      <c r="H871" s="3" t="s">
        <v>1082</v>
      </c>
      <c r="I871" s="3" t="s">
        <v>28</v>
      </c>
      <c r="J871" s="3">
        <v>2</v>
      </c>
      <c r="K871" s="3">
        <v>33946.559999999998</v>
      </c>
      <c r="L871" s="3">
        <f>Table1[[#This Row],[Price Per Unit]]*Table1[[#This Row],[Units Sold]]</f>
        <v>67893.119999999995</v>
      </c>
      <c r="M871" s="3" t="s">
        <v>517</v>
      </c>
      <c r="N871" s="3">
        <v>52</v>
      </c>
      <c r="O871" s="3" t="s">
        <v>41</v>
      </c>
      <c r="P871" s="3" t="s">
        <v>16</v>
      </c>
      <c r="Q871" s="4">
        <v>2</v>
      </c>
      <c r="R871" s="4" t="str">
        <f>IF(Table1[[#This Row],[Customer Ratings]]&gt;=4, "Good",IF(Table1[[#This Row],[Customer Ratings]]=3, "Average","Poor"))</f>
        <v>Poor</v>
      </c>
      <c r="S871" s="3" t="s">
        <v>87</v>
      </c>
    </row>
    <row r="872" spans="1:19" x14ac:dyDescent="0.25">
      <c r="A872" s="3">
        <v>871</v>
      </c>
      <c r="B872" s="5">
        <f>DATE(Table1[[#This Row],[Year]],Table1[[#This Row],[Month]],Table1[[#This Row],[Day]])</f>
        <v>44726</v>
      </c>
      <c r="C872" s="3">
        <v>14</v>
      </c>
      <c r="D872" s="3">
        <v>6</v>
      </c>
      <c r="E872" s="3">
        <v>2022</v>
      </c>
      <c r="F872" s="3" t="str">
        <f>"Qtr"&amp; " " &amp;CHOOSE(MONTH(Table1[[#This Row],[Date]]),1,1,1,2,2,2,3,3,3,4,4,4)</f>
        <v>Qtr 2</v>
      </c>
      <c r="G872" s="3" t="str">
        <f>TEXT(Table1[[#This Row],[Date]],"mmmm")</f>
        <v>June</v>
      </c>
      <c r="H872" s="3" t="s">
        <v>1082</v>
      </c>
      <c r="I872" s="3" t="s">
        <v>18</v>
      </c>
      <c r="J872" s="3">
        <v>2</v>
      </c>
      <c r="K872" s="3">
        <v>34926.339999999997</v>
      </c>
      <c r="L872" s="3">
        <f>Table1[[#This Row],[Price Per Unit]]*Table1[[#This Row],[Units Sold]]</f>
        <v>69852.679999999993</v>
      </c>
      <c r="M872" s="3" t="s">
        <v>645</v>
      </c>
      <c r="N872" s="3">
        <v>22</v>
      </c>
      <c r="O872" s="3" t="s">
        <v>35</v>
      </c>
      <c r="P872" s="3" t="s">
        <v>31</v>
      </c>
      <c r="Q872" s="4">
        <v>3</v>
      </c>
      <c r="R872" s="4" t="str">
        <f>IF(Table1[[#This Row],[Customer Ratings]]&gt;=4, "Good",IF(Table1[[#This Row],[Customer Ratings]]=3, "Average","Poor"))</f>
        <v>Average</v>
      </c>
      <c r="S872" s="3" t="s">
        <v>55</v>
      </c>
    </row>
    <row r="873" spans="1:19" x14ac:dyDescent="0.25">
      <c r="A873" s="3">
        <v>872</v>
      </c>
      <c r="B873" s="5">
        <f>DATE(Table1[[#This Row],[Year]],Table1[[#This Row],[Month]],Table1[[#This Row],[Day]])</f>
        <v>44727</v>
      </c>
      <c r="C873" s="3">
        <v>15</v>
      </c>
      <c r="D873" s="3">
        <v>6</v>
      </c>
      <c r="E873" s="3">
        <v>2022</v>
      </c>
      <c r="F873" s="3" t="str">
        <f>"Qtr"&amp; " " &amp;CHOOSE(MONTH(Table1[[#This Row],[Date]]),1,1,1,2,2,2,3,3,3,4,4,4)</f>
        <v>Qtr 2</v>
      </c>
      <c r="G873" s="3" t="str">
        <f>TEXT(Table1[[#This Row],[Date]],"mmmm")</f>
        <v>June</v>
      </c>
      <c r="H873" s="3" t="s">
        <v>1083</v>
      </c>
      <c r="I873" s="3" t="s">
        <v>28</v>
      </c>
      <c r="J873" s="3">
        <v>9</v>
      </c>
      <c r="K873" s="3">
        <v>34477.760000000002</v>
      </c>
      <c r="L873" s="3">
        <f>Table1[[#This Row],[Price Per Unit]]*Table1[[#This Row],[Units Sold]]</f>
        <v>310299.84000000003</v>
      </c>
      <c r="M873" s="3" t="s">
        <v>189</v>
      </c>
      <c r="N873" s="3">
        <v>52</v>
      </c>
      <c r="O873" s="3" t="s">
        <v>58</v>
      </c>
      <c r="P873" s="3" t="s">
        <v>45</v>
      </c>
      <c r="Q873" s="4">
        <v>3</v>
      </c>
      <c r="R873" s="4" t="str">
        <f>IF(Table1[[#This Row],[Customer Ratings]]&gt;=4, "Good",IF(Table1[[#This Row],[Customer Ratings]]=3, "Average","Poor"))</f>
        <v>Average</v>
      </c>
      <c r="S873" s="3" t="s">
        <v>87</v>
      </c>
    </row>
    <row r="874" spans="1:19" x14ac:dyDescent="0.25">
      <c r="A874" s="3">
        <v>873</v>
      </c>
      <c r="B874" s="5">
        <f>DATE(Table1[[#This Row],[Year]],Table1[[#This Row],[Month]],Table1[[#This Row],[Day]])</f>
        <v>44727</v>
      </c>
      <c r="C874" s="3">
        <v>15</v>
      </c>
      <c r="D874" s="3">
        <v>6</v>
      </c>
      <c r="E874" s="3">
        <v>2022</v>
      </c>
      <c r="F874" s="3" t="str">
        <f>"Qtr"&amp; " " &amp;CHOOSE(MONTH(Table1[[#This Row],[Date]]),1,1,1,2,2,2,3,3,3,4,4,4)</f>
        <v>Qtr 2</v>
      </c>
      <c r="G874" s="3" t="str">
        <f>TEXT(Table1[[#This Row],[Date]],"mmmm")</f>
        <v>June</v>
      </c>
      <c r="H874" s="3" t="s">
        <v>1083</v>
      </c>
      <c r="I874" s="3" t="s">
        <v>33</v>
      </c>
      <c r="J874" s="3">
        <v>3</v>
      </c>
      <c r="K874" s="3">
        <v>29473.25</v>
      </c>
      <c r="L874" s="3">
        <f>Table1[[#This Row],[Price Per Unit]]*Table1[[#This Row],[Units Sold]]</f>
        <v>88419.75</v>
      </c>
      <c r="M874" s="3" t="s">
        <v>407</v>
      </c>
      <c r="N874" s="3">
        <v>31</v>
      </c>
      <c r="O874" s="3" t="s">
        <v>35</v>
      </c>
      <c r="P874" s="3" t="s">
        <v>21</v>
      </c>
      <c r="Q874" s="4">
        <v>5</v>
      </c>
      <c r="R874" s="4" t="str">
        <f>IF(Table1[[#This Row],[Customer Ratings]]&gt;=4, "Good",IF(Table1[[#This Row],[Customer Ratings]]=3, "Average","Poor"))</f>
        <v>Good</v>
      </c>
      <c r="S874" s="3" t="s">
        <v>83</v>
      </c>
    </row>
    <row r="875" spans="1:19" x14ac:dyDescent="0.25">
      <c r="A875" s="3">
        <v>874</v>
      </c>
      <c r="B875" s="5">
        <f>DATE(Table1[[#This Row],[Year]],Table1[[#This Row],[Month]],Table1[[#This Row],[Day]])</f>
        <v>44727</v>
      </c>
      <c r="C875" s="3">
        <v>15</v>
      </c>
      <c r="D875" s="3">
        <v>6</v>
      </c>
      <c r="E875" s="3">
        <v>2022</v>
      </c>
      <c r="F875" s="3" t="str">
        <f>"Qtr"&amp; " " &amp;CHOOSE(MONTH(Table1[[#This Row],[Date]]),1,1,1,2,2,2,3,3,3,4,4,4)</f>
        <v>Qtr 2</v>
      </c>
      <c r="G875" s="3" t="str">
        <f>TEXT(Table1[[#This Row],[Date]],"mmmm")</f>
        <v>June</v>
      </c>
      <c r="H875" s="3" t="s">
        <v>1083</v>
      </c>
      <c r="I875" s="3" t="s">
        <v>33</v>
      </c>
      <c r="J875" s="3">
        <v>8</v>
      </c>
      <c r="K875" s="3">
        <v>56901.23</v>
      </c>
      <c r="L875" s="3">
        <f>Table1[[#This Row],[Price Per Unit]]*Table1[[#This Row],[Units Sold]]</f>
        <v>455209.84</v>
      </c>
      <c r="M875" s="3" t="s">
        <v>210</v>
      </c>
      <c r="N875" s="3">
        <v>38</v>
      </c>
      <c r="O875" s="3" t="s">
        <v>105</v>
      </c>
      <c r="P875" s="3" t="s">
        <v>16</v>
      </c>
      <c r="Q875" s="4">
        <v>3</v>
      </c>
      <c r="R875" s="4" t="str">
        <f>IF(Table1[[#This Row],[Customer Ratings]]&gt;=4, "Good",IF(Table1[[#This Row],[Customer Ratings]]=3, "Average","Poor"))</f>
        <v>Average</v>
      </c>
      <c r="S875" s="3" t="s">
        <v>46</v>
      </c>
    </row>
    <row r="876" spans="1:19" x14ac:dyDescent="0.25">
      <c r="A876" s="3">
        <v>875</v>
      </c>
      <c r="B876" s="5">
        <f>DATE(Table1[[#This Row],[Year]],Table1[[#This Row],[Month]],Table1[[#This Row],[Day]])</f>
        <v>44728</v>
      </c>
      <c r="C876" s="3">
        <v>16</v>
      </c>
      <c r="D876" s="3">
        <v>6</v>
      </c>
      <c r="E876" s="3">
        <v>2022</v>
      </c>
      <c r="F876" s="3" t="str">
        <f>"Qtr"&amp; " " &amp;CHOOSE(MONTH(Table1[[#This Row],[Date]]),1,1,1,2,2,2,3,3,3,4,4,4)</f>
        <v>Qtr 2</v>
      </c>
      <c r="G876" s="3" t="str">
        <f>TEXT(Table1[[#This Row],[Date]],"mmmm")</f>
        <v>June</v>
      </c>
      <c r="H876" s="3" t="s">
        <v>1084</v>
      </c>
      <c r="I876" s="3" t="s">
        <v>39</v>
      </c>
      <c r="J876" s="3">
        <v>9</v>
      </c>
      <c r="K876" s="3">
        <v>55539.75</v>
      </c>
      <c r="L876" s="3">
        <f>Table1[[#This Row],[Price Per Unit]]*Table1[[#This Row],[Units Sold]]</f>
        <v>499857.75</v>
      </c>
      <c r="M876" s="3" t="s">
        <v>134</v>
      </c>
      <c r="N876" s="3">
        <v>41</v>
      </c>
      <c r="O876" s="3" t="s">
        <v>98</v>
      </c>
      <c r="P876" s="3" t="s">
        <v>45</v>
      </c>
      <c r="Q876" s="4">
        <v>5</v>
      </c>
      <c r="R876" s="4" t="str">
        <f>IF(Table1[[#This Row],[Customer Ratings]]&gt;=4, "Good",IF(Table1[[#This Row],[Customer Ratings]]=3, "Average","Poor"))</f>
        <v>Good</v>
      </c>
      <c r="S876" s="3" t="s">
        <v>76</v>
      </c>
    </row>
    <row r="877" spans="1:19" x14ac:dyDescent="0.25">
      <c r="A877" s="3">
        <v>876</v>
      </c>
      <c r="B877" s="5">
        <f>DATE(Table1[[#This Row],[Year]],Table1[[#This Row],[Month]],Table1[[#This Row],[Day]])</f>
        <v>44728</v>
      </c>
      <c r="C877" s="3">
        <v>16</v>
      </c>
      <c r="D877" s="3">
        <v>6</v>
      </c>
      <c r="E877" s="3">
        <v>2022</v>
      </c>
      <c r="F877" s="3" t="str">
        <f>"Qtr"&amp; " " &amp;CHOOSE(MONTH(Table1[[#This Row],[Date]]),1,1,1,2,2,2,3,3,3,4,4,4)</f>
        <v>Qtr 2</v>
      </c>
      <c r="G877" s="3" t="str">
        <f>TEXT(Table1[[#This Row],[Date]],"mmmm")</f>
        <v>June</v>
      </c>
      <c r="H877" s="3" t="s">
        <v>1084</v>
      </c>
      <c r="I877" s="3" t="s">
        <v>39</v>
      </c>
      <c r="J877" s="3">
        <v>8</v>
      </c>
      <c r="K877" s="3">
        <v>38718.69</v>
      </c>
      <c r="L877" s="3">
        <f>Table1[[#This Row],[Price Per Unit]]*Table1[[#This Row],[Units Sold]]</f>
        <v>309749.52</v>
      </c>
      <c r="M877" s="3" t="s">
        <v>599</v>
      </c>
      <c r="N877" s="3">
        <v>34</v>
      </c>
      <c r="O877" s="3" t="s">
        <v>78</v>
      </c>
      <c r="P877" s="3" t="s">
        <v>45</v>
      </c>
      <c r="Q877" s="4">
        <v>5</v>
      </c>
      <c r="R877" s="4" t="str">
        <f>IF(Table1[[#This Row],[Customer Ratings]]&gt;=4, "Good",IF(Table1[[#This Row],[Customer Ratings]]=3, "Average","Poor"))</f>
        <v>Good</v>
      </c>
      <c r="S877" s="3" t="s">
        <v>42</v>
      </c>
    </row>
    <row r="878" spans="1:19" x14ac:dyDescent="0.25">
      <c r="A878" s="3">
        <v>877</v>
      </c>
      <c r="B878" s="5">
        <f>DATE(Table1[[#This Row],[Year]],Table1[[#This Row],[Month]],Table1[[#This Row],[Day]])</f>
        <v>44728</v>
      </c>
      <c r="C878" s="3">
        <v>16</v>
      </c>
      <c r="D878" s="3">
        <v>6</v>
      </c>
      <c r="E878" s="3">
        <v>2022</v>
      </c>
      <c r="F878" s="3" t="str">
        <f>"Qtr"&amp; " " &amp;CHOOSE(MONTH(Table1[[#This Row],[Date]]),1,1,1,2,2,2,3,3,3,4,4,4)</f>
        <v>Qtr 2</v>
      </c>
      <c r="G878" s="3" t="str">
        <f>TEXT(Table1[[#This Row],[Date]],"mmmm")</f>
        <v>June</v>
      </c>
      <c r="H878" s="3" t="s">
        <v>1084</v>
      </c>
      <c r="I878" s="3" t="s">
        <v>18</v>
      </c>
      <c r="J878" s="3">
        <v>4</v>
      </c>
      <c r="K878" s="3">
        <v>12679.67</v>
      </c>
      <c r="L878" s="3">
        <f>Table1[[#This Row],[Price Per Unit]]*Table1[[#This Row],[Units Sold]]</f>
        <v>50718.68</v>
      </c>
      <c r="M878" s="3" t="s">
        <v>84</v>
      </c>
      <c r="N878" s="3">
        <v>35</v>
      </c>
      <c r="O878" s="3" t="s">
        <v>81</v>
      </c>
      <c r="P878" s="3" t="s">
        <v>45</v>
      </c>
      <c r="Q878" s="4">
        <v>3</v>
      </c>
      <c r="R878" s="4" t="str">
        <f>IF(Table1[[#This Row],[Customer Ratings]]&gt;=4, "Good",IF(Table1[[#This Row],[Customer Ratings]]=3, "Average","Poor"))</f>
        <v>Average</v>
      </c>
      <c r="S878" s="3" t="s">
        <v>25</v>
      </c>
    </row>
    <row r="879" spans="1:19" x14ac:dyDescent="0.25">
      <c r="A879" s="3">
        <v>878</v>
      </c>
      <c r="B879" s="5">
        <f>DATE(Table1[[#This Row],[Year]],Table1[[#This Row],[Month]],Table1[[#This Row],[Day]])</f>
        <v>44728</v>
      </c>
      <c r="C879" s="3">
        <v>16</v>
      </c>
      <c r="D879" s="3">
        <v>6</v>
      </c>
      <c r="E879" s="3">
        <v>2022</v>
      </c>
      <c r="F879" s="3" t="str">
        <f>"Qtr"&amp; " " &amp;CHOOSE(MONTH(Table1[[#This Row],[Date]]),1,1,1,2,2,2,3,3,3,4,4,4)</f>
        <v>Qtr 2</v>
      </c>
      <c r="G879" s="3" t="str">
        <f>TEXT(Table1[[#This Row],[Date]],"mmmm")</f>
        <v>June</v>
      </c>
      <c r="H879" s="3" t="s">
        <v>1084</v>
      </c>
      <c r="I879" s="3" t="s">
        <v>13</v>
      </c>
      <c r="J879" s="3">
        <v>1</v>
      </c>
      <c r="K879" s="3">
        <v>28573.56</v>
      </c>
      <c r="L879" s="3">
        <f>Table1[[#This Row],[Price Per Unit]]*Table1[[#This Row],[Units Sold]]</f>
        <v>28573.56</v>
      </c>
      <c r="M879" s="3" t="s">
        <v>251</v>
      </c>
      <c r="N879" s="3">
        <v>51</v>
      </c>
      <c r="O879" s="3" t="s">
        <v>48</v>
      </c>
      <c r="P879" s="3" t="s">
        <v>16</v>
      </c>
      <c r="Q879" s="4">
        <v>4</v>
      </c>
      <c r="R879" s="4" t="str">
        <f>IF(Table1[[#This Row],[Customer Ratings]]&gt;=4, "Good",IF(Table1[[#This Row],[Customer Ratings]]=3, "Average","Poor"))</f>
        <v>Good</v>
      </c>
      <c r="S879" s="3" t="s">
        <v>27</v>
      </c>
    </row>
    <row r="880" spans="1:19" x14ac:dyDescent="0.25">
      <c r="A880" s="3">
        <v>879</v>
      </c>
      <c r="B880" s="5">
        <f>DATE(Table1[[#This Row],[Year]],Table1[[#This Row],[Month]],Table1[[#This Row],[Day]])</f>
        <v>44729</v>
      </c>
      <c r="C880" s="3">
        <v>17</v>
      </c>
      <c r="D880" s="3">
        <v>6</v>
      </c>
      <c r="E880" s="3">
        <v>2022</v>
      </c>
      <c r="F880" s="3" t="str">
        <f>"Qtr"&amp; " " &amp;CHOOSE(MONTH(Table1[[#This Row],[Date]]),1,1,1,2,2,2,3,3,3,4,4,4)</f>
        <v>Qtr 2</v>
      </c>
      <c r="G880" s="3" t="str">
        <f>TEXT(Table1[[#This Row],[Date]],"mmmm")</f>
        <v>June</v>
      </c>
      <c r="H880" s="3" t="s">
        <v>1085</v>
      </c>
      <c r="I880" s="3" t="s">
        <v>28</v>
      </c>
      <c r="J880" s="3">
        <v>4</v>
      </c>
      <c r="K880" s="3">
        <v>27538.18</v>
      </c>
      <c r="L880" s="3">
        <f>Table1[[#This Row],[Price Per Unit]]*Table1[[#This Row],[Units Sold]]</f>
        <v>110152.72</v>
      </c>
      <c r="M880" s="3" t="s">
        <v>646</v>
      </c>
      <c r="N880" s="3">
        <v>29</v>
      </c>
      <c r="O880" s="3" t="s">
        <v>24</v>
      </c>
      <c r="P880" s="3" t="s">
        <v>31</v>
      </c>
      <c r="Q880" s="4">
        <v>2</v>
      </c>
      <c r="R880" s="4" t="str">
        <f>IF(Table1[[#This Row],[Customer Ratings]]&gt;=4, "Good",IF(Table1[[#This Row],[Customer Ratings]]=3, "Average","Poor"))</f>
        <v>Poor</v>
      </c>
      <c r="S880" s="3" t="s">
        <v>38</v>
      </c>
    </row>
    <row r="881" spans="1:19" x14ac:dyDescent="0.25">
      <c r="A881" s="3">
        <v>880</v>
      </c>
      <c r="B881" s="5">
        <f>DATE(Table1[[#This Row],[Year]],Table1[[#This Row],[Month]],Table1[[#This Row],[Day]])</f>
        <v>44729</v>
      </c>
      <c r="C881" s="3">
        <v>17</v>
      </c>
      <c r="D881" s="3">
        <v>6</v>
      </c>
      <c r="E881" s="3">
        <v>2022</v>
      </c>
      <c r="F881" s="3" t="str">
        <f>"Qtr"&amp; " " &amp;CHOOSE(MONTH(Table1[[#This Row],[Date]]),1,1,1,2,2,2,3,3,3,4,4,4)</f>
        <v>Qtr 2</v>
      </c>
      <c r="G881" s="3" t="str">
        <f>TEXT(Table1[[#This Row],[Date]],"mmmm")</f>
        <v>June</v>
      </c>
      <c r="H881" s="3" t="s">
        <v>1085</v>
      </c>
      <c r="I881" s="3" t="s">
        <v>18</v>
      </c>
      <c r="J881" s="3">
        <v>9</v>
      </c>
      <c r="K881" s="3">
        <v>58665.23</v>
      </c>
      <c r="L881" s="3">
        <f>Table1[[#This Row],[Price Per Unit]]*Table1[[#This Row],[Units Sold]]</f>
        <v>527987.07000000007</v>
      </c>
      <c r="M881" s="3" t="s">
        <v>586</v>
      </c>
      <c r="N881" s="3">
        <v>33</v>
      </c>
      <c r="O881" s="3" t="s">
        <v>20</v>
      </c>
      <c r="P881" s="3" t="s">
        <v>16</v>
      </c>
      <c r="Q881" s="4">
        <v>5</v>
      </c>
      <c r="R881" s="4" t="str">
        <f>IF(Table1[[#This Row],[Customer Ratings]]&gt;=4, "Good",IF(Table1[[#This Row],[Customer Ratings]]=3, "Average","Poor"))</f>
        <v>Good</v>
      </c>
      <c r="S881" s="3" t="s">
        <v>22</v>
      </c>
    </row>
    <row r="882" spans="1:19" x14ac:dyDescent="0.25">
      <c r="A882" s="3">
        <v>881</v>
      </c>
      <c r="B882" s="5">
        <f>DATE(Table1[[#This Row],[Year]],Table1[[#This Row],[Month]],Table1[[#This Row],[Day]])</f>
        <v>44729</v>
      </c>
      <c r="C882" s="3">
        <v>17</v>
      </c>
      <c r="D882" s="3">
        <v>6</v>
      </c>
      <c r="E882" s="3">
        <v>2022</v>
      </c>
      <c r="F882" s="3" t="str">
        <f>"Qtr"&amp; " " &amp;CHOOSE(MONTH(Table1[[#This Row],[Date]]),1,1,1,2,2,2,3,3,3,4,4,4)</f>
        <v>Qtr 2</v>
      </c>
      <c r="G882" s="3" t="str">
        <f>TEXT(Table1[[#This Row],[Date]],"mmmm")</f>
        <v>June</v>
      </c>
      <c r="H882" s="3" t="s">
        <v>1085</v>
      </c>
      <c r="I882" s="3" t="s">
        <v>39</v>
      </c>
      <c r="J882" s="3">
        <v>2</v>
      </c>
      <c r="K882" s="3">
        <v>15254.53</v>
      </c>
      <c r="L882" s="3">
        <f>Table1[[#This Row],[Price Per Unit]]*Table1[[#This Row],[Units Sold]]</f>
        <v>30509.06</v>
      </c>
      <c r="M882" s="3" t="s">
        <v>139</v>
      </c>
      <c r="N882" s="3">
        <v>21</v>
      </c>
      <c r="O882" s="3" t="s">
        <v>102</v>
      </c>
      <c r="P882" s="3" t="s">
        <v>16</v>
      </c>
      <c r="Q882" s="4">
        <v>3</v>
      </c>
      <c r="R882" s="4" t="str">
        <f>IF(Table1[[#This Row],[Customer Ratings]]&gt;=4, "Good",IF(Table1[[#This Row],[Customer Ratings]]=3, "Average","Poor"))</f>
        <v>Average</v>
      </c>
      <c r="S882" s="3" t="s">
        <v>76</v>
      </c>
    </row>
    <row r="883" spans="1:19" x14ac:dyDescent="0.25">
      <c r="A883" s="3">
        <v>882</v>
      </c>
      <c r="B883" s="5">
        <f>DATE(Table1[[#This Row],[Year]],Table1[[#This Row],[Month]],Table1[[#This Row],[Day]])</f>
        <v>44730</v>
      </c>
      <c r="C883" s="3">
        <v>18</v>
      </c>
      <c r="D883" s="3">
        <v>6</v>
      </c>
      <c r="E883" s="3">
        <v>2022</v>
      </c>
      <c r="F883" s="3" t="str">
        <f>"Qtr"&amp; " " &amp;CHOOSE(MONTH(Table1[[#This Row],[Date]]),1,1,1,2,2,2,3,3,3,4,4,4)</f>
        <v>Qtr 2</v>
      </c>
      <c r="G883" s="3" t="str">
        <f>TEXT(Table1[[#This Row],[Date]],"mmmm")</f>
        <v>June</v>
      </c>
      <c r="H883" s="3" t="s">
        <v>1079</v>
      </c>
      <c r="I883" s="3" t="s">
        <v>28</v>
      </c>
      <c r="J883" s="3">
        <v>3</v>
      </c>
      <c r="K883" s="3">
        <v>58340.52</v>
      </c>
      <c r="L883" s="3">
        <f>Table1[[#This Row],[Price Per Unit]]*Table1[[#This Row],[Units Sold]]</f>
        <v>175021.56</v>
      </c>
      <c r="M883" s="3" t="s">
        <v>647</v>
      </c>
      <c r="N883" s="3">
        <v>42</v>
      </c>
      <c r="O883" s="3" t="s">
        <v>35</v>
      </c>
      <c r="P883" s="3" t="s">
        <v>31</v>
      </c>
      <c r="Q883" s="4">
        <v>3</v>
      </c>
      <c r="R883" s="4" t="str">
        <f>IF(Table1[[#This Row],[Customer Ratings]]&gt;=4, "Good",IF(Table1[[#This Row],[Customer Ratings]]=3, "Average","Poor"))</f>
        <v>Average</v>
      </c>
      <c r="S883" s="3" t="s">
        <v>38</v>
      </c>
    </row>
    <row r="884" spans="1:19" x14ac:dyDescent="0.25">
      <c r="A884" s="3">
        <v>883</v>
      </c>
      <c r="B884" s="5">
        <f>DATE(Table1[[#This Row],[Year]],Table1[[#This Row],[Month]],Table1[[#This Row],[Day]])</f>
        <v>44730</v>
      </c>
      <c r="C884" s="3">
        <v>18</v>
      </c>
      <c r="D884" s="3">
        <v>6</v>
      </c>
      <c r="E884" s="3">
        <v>2022</v>
      </c>
      <c r="F884" s="3" t="str">
        <f>"Qtr"&amp; " " &amp;CHOOSE(MONTH(Table1[[#This Row],[Date]]),1,1,1,2,2,2,3,3,3,4,4,4)</f>
        <v>Qtr 2</v>
      </c>
      <c r="G884" s="3" t="str">
        <f>TEXT(Table1[[#This Row],[Date]],"mmmm")</f>
        <v>June</v>
      </c>
      <c r="H884" s="3" t="s">
        <v>1079</v>
      </c>
      <c r="I884" s="3" t="s">
        <v>39</v>
      </c>
      <c r="J884" s="3">
        <v>8</v>
      </c>
      <c r="K884" s="3">
        <v>50151.02</v>
      </c>
      <c r="L884" s="3">
        <f>Table1[[#This Row],[Price Per Unit]]*Table1[[#This Row],[Units Sold]]</f>
        <v>401208.16</v>
      </c>
      <c r="M884" s="3" t="s">
        <v>648</v>
      </c>
      <c r="N884" s="3">
        <v>51</v>
      </c>
      <c r="O884" s="3" t="s">
        <v>20</v>
      </c>
      <c r="P884" s="3" t="s">
        <v>45</v>
      </c>
      <c r="Q884" s="4">
        <v>5</v>
      </c>
      <c r="R884" s="4" t="str">
        <f>IF(Table1[[#This Row],[Customer Ratings]]&gt;=4, "Good",IF(Table1[[#This Row],[Customer Ratings]]=3, "Average","Poor"))</f>
        <v>Good</v>
      </c>
      <c r="S884" s="3" t="s">
        <v>90</v>
      </c>
    </row>
    <row r="885" spans="1:19" x14ac:dyDescent="0.25">
      <c r="A885" s="3">
        <v>884</v>
      </c>
      <c r="B885" s="5">
        <f>DATE(Table1[[#This Row],[Year]],Table1[[#This Row],[Month]],Table1[[#This Row],[Day]])</f>
        <v>44730</v>
      </c>
      <c r="C885" s="3">
        <v>18</v>
      </c>
      <c r="D885" s="3">
        <v>6</v>
      </c>
      <c r="E885" s="3">
        <v>2022</v>
      </c>
      <c r="F885" s="3" t="str">
        <f>"Qtr"&amp; " " &amp;CHOOSE(MONTH(Table1[[#This Row],[Date]]),1,1,1,2,2,2,3,3,3,4,4,4)</f>
        <v>Qtr 2</v>
      </c>
      <c r="G885" s="3" t="str">
        <f>TEXT(Table1[[#This Row],[Date]],"mmmm")</f>
        <v>June</v>
      </c>
      <c r="H885" s="3" t="s">
        <v>1079</v>
      </c>
      <c r="I885" s="3" t="s">
        <v>28</v>
      </c>
      <c r="J885" s="3">
        <v>6</v>
      </c>
      <c r="K885" s="3">
        <v>53946.49</v>
      </c>
      <c r="L885" s="3">
        <f>Table1[[#This Row],[Price Per Unit]]*Table1[[#This Row],[Units Sold]]</f>
        <v>323678.94</v>
      </c>
      <c r="M885" s="3" t="s">
        <v>649</v>
      </c>
      <c r="N885" s="3">
        <v>45</v>
      </c>
      <c r="O885" s="3" t="s">
        <v>20</v>
      </c>
      <c r="P885" s="3" t="s">
        <v>21</v>
      </c>
      <c r="Q885" s="4">
        <v>4</v>
      </c>
      <c r="R885" s="4" t="str">
        <f>IF(Table1[[#This Row],[Customer Ratings]]&gt;=4, "Good",IF(Table1[[#This Row],[Customer Ratings]]=3, "Average","Poor"))</f>
        <v>Good</v>
      </c>
      <c r="S885" s="3" t="s">
        <v>38</v>
      </c>
    </row>
    <row r="886" spans="1:19" x14ac:dyDescent="0.25">
      <c r="A886" s="3">
        <v>885</v>
      </c>
      <c r="B886" s="5">
        <f>DATE(Table1[[#This Row],[Year]],Table1[[#This Row],[Month]],Table1[[#This Row],[Day]])</f>
        <v>44730</v>
      </c>
      <c r="C886" s="3">
        <v>18</v>
      </c>
      <c r="D886" s="3">
        <v>6</v>
      </c>
      <c r="E886" s="3">
        <v>2022</v>
      </c>
      <c r="F886" s="3" t="str">
        <f>"Qtr"&amp; " " &amp;CHOOSE(MONTH(Table1[[#This Row],[Date]]),1,1,1,2,2,2,3,3,3,4,4,4)</f>
        <v>Qtr 2</v>
      </c>
      <c r="G886" s="3" t="str">
        <f>TEXT(Table1[[#This Row],[Date]],"mmmm")</f>
        <v>June</v>
      </c>
      <c r="H886" s="3" t="s">
        <v>1079</v>
      </c>
      <c r="I886" s="3" t="s">
        <v>13</v>
      </c>
      <c r="J886" s="3">
        <v>8</v>
      </c>
      <c r="K886" s="3">
        <v>35932.79</v>
      </c>
      <c r="L886" s="3">
        <f>Table1[[#This Row],[Price Per Unit]]*Table1[[#This Row],[Units Sold]]</f>
        <v>287462.32</v>
      </c>
      <c r="M886" s="3" t="s">
        <v>650</v>
      </c>
      <c r="N886" s="3">
        <v>28</v>
      </c>
      <c r="O886" s="3" t="s">
        <v>41</v>
      </c>
      <c r="P886" s="3" t="s">
        <v>21</v>
      </c>
      <c r="Q886" s="4">
        <v>3</v>
      </c>
      <c r="R886" s="4" t="str">
        <f>IF(Table1[[#This Row],[Customer Ratings]]&gt;=4, "Good",IF(Table1[[#This Row],[Customer Ratings]]=3, "Average","Poor"))</f>
        <v>Average</v>
      </c>
      <c r="S886" s="3" t="s">
        <v>27</v>
      </c>
    </row>
    <row r="887" spans="1:19" x14ac:dyDescent="0.25">
      <c r="A887" s="3">
        <v>886</v>
      </c>
      <c r="B887" s="5">
        <f>DATE(Table1[[#This Row],[Year]],Table1[[#This Row],[Month]],Table1[[#This Row],[Day]])</f>
        <v>44731</v>
      </c>
      <c r="C887" s="3">
        <v>19</v>
      </c>
      <c r="D887" s="3">
        <v>6</v>
      </c>
      <c r="E887" s="3">
        <v>2022</v>
      </c>
      <c r="F887" s="3" t="str">
        <f>"Qtr"&amp; " " &amp;CHOOSE(MONTH(Table1[[#This Row],[Date]]),1,1,1,2,2,2,3,3,3,4,4,4)</f>
        <v>Qtr 2</v>
      </c>
      <c r="G887" s="3" t="str">
        <f>TEXT(Table1[[#This Row],[Date]],"mmmm")</f>
        <v>June</v>
      </c>
      <c r="H887" s="3" t="s">
        <v>1080</v>
      </c>
      <c r="I887" s="3" t="s">
        <v>18</v>
      </c>
      <c r="J887" s="3">
        <v>7</v>
      </c>
      <c r="K887" s="3">
        <v>50783.55</v>
      </c>
      <c r="L887" s="3">
        <f>Table1[[#This Row],[Price Per Unit]]*Table1[[#This Row],[Units Sold]]</f>
        <v>355484.85000000003</v>
      </c>
      <c r="M887" s="3" t="s">
        <v>383</v>
      </c>
      <c r="N887" s="3">
        <v>30</v>
      </c>
      <c r="O887" s="3" t="s">
        <v>65</v>
      </c>
      <c r="P887" s="3" t="s">
        <v>31</v>
      </c>
      <c r="Q887" s="4">
        <v>5</v>
      </c>
      <c r="R887" s="4" t="str">
        <f>IF(Table1[[#This Row],[Customer Ratings]]&gt;=4, "Good",IF(Table1[[#This Row],[Customer Ratings]]=3, "Average","Poor"))</f>
        <v>Good</v>
      </c>
      <c r="S887" s="3" t="s">
        <v>22</v>
      </c>
    </row>
    <row r="888" spans="1:19" x14ac:dyDescent="0.25">
      <c r="A888" s="3">
        <v>887</v>
      </c>
      <c r="B888" s="5">
        <f>DATE(Table1[[#This Row],[Year]],Table1[[#This Row],[Month]],Table1[[#This Row],[Day]])</f>
        <v>44731</v>
      </c>
      <c r="C888" s="3">
        <v>19</v>
      </c>
      <c r="D888" s="3">
        <v>6</v>
      </c>
      <c r="E888" s="3">
        <v>2022</v>
      </c>
      <c r="F888" s="3" t="str">
        <f>"Qtr"&amp; " " &amp;CHOOSE(MONTH(Table1[[#This Row],[Date]]),1,1,1,2,2,2,3,3,3,4,4,4)</f>
        <v>Qtr 2</v>
      </c>
      <c r="G888" s="3" t="str">
        <f>TEXT(Table1[[#This Row],[Date]],"mmmm")</f>
        <v>June</v>
      </c>
      <c r="H888" s="3" t="s">
        <v>1080</v>
      </c>
      <c r="I888" s="3" t="s">
        <v>28</v>
      </c>
      <c r="J888" s="3">
        <v>5</v>
      </c>
      <c r="K888" s="3">
        <v>46541.74</v>
      </c>
      <c r="L888" s="3">
        <f>Table1[[#This Row],[Price Per Unit]]*Table1[[#This Row],[Units Sold]]</f>
        <v>232708.69999999998</v>
      </c>
      <c r="M888" s="3" t="s">
        <v>651</v>
      </c>
      <c r="N888" s="3">
        <v>48</v>
      </c>
      <c r="O888" s="3" t="s">
        <v>78</v>
      </c>
      <c r="P888" s="3" t="s">
        <v>31</v>
      </c>
      <c r="Q888" s="4">
        <v>2</v>
      </c>
      <c r="R888" s="4" t="str">
        <f>IF(Table1[[#This Row],[Customer Ratings]]&gt;=4, "Good",IF(Table1[[#This Row],[Customer Ratings]]=3, "Average","Poor"))</f>
        <v>Poor</v>
      </c>
      <c r="S888" s="3" t="s">
        <v>38</v>
      </c>
    </row>
    <row r="889" spans="1:19" x14ac:dyDescent="0.25">
      <c r="A889" s="3">
        <v>888</v>
      </c>
      <c r="B889" s="5">
        <f>DATE(Table1[[#This Row],[Year]],Table1[[#This Row],[Month]],Table1[[#This Row],[Day]])</f>
        <v>44731</v>
      </c>
      <c r="C889" s="3">
        <v>19</v>
      </c>
      <c r="D889" s="3">
        <v>6</v>
      </c>
      <c r="E889" s="3">
        <v>2022</v>
      </c>
      <c r="F889" s="3" t="str">
        <f>"Qtr"&amp; " " &amp;CHOOSE(MONTH(Table1[[#This Row],[Date]]),1,1,1,2,2,2,3,3,3,4,4,4)</f>
        <v>Qtr 2</v>
      </c>
      <c r="G889" s="3" t="str">
        <f>TEXT(Table1[[#This Row],[Date]],"mmmm")</f>
        <v>June</v>
      </c>
      <c r="H889" s="3" t="s">
        <v>1080</v>
      </c>
      <c r="I889" s="3" t="s">
        <v>33</v>
      </c>
      <c r="J889" s="3">
        <v>9</v>
      </c>
      <c r="K889" s="3">
        <v>56138.81</v>
      </c>
      <c r="L889" s="3">
        <f>Table1[[#This Row],[Price Per Unit]]*Table1[[#This Row],[Units Sold]]</f>
        <v>505249.29</v>
      </c>
      <c r="M889" s="3" t="s">
        <v>67</v>
      </c>
      <c r="N889" s="3">
        <v>42</v>
      </c>
      <c r="O889" s="3" t="s">
        <v>20</v>
      </c>
      <c r="P889" s="3" t="s">
        <v>45</v>
      </c>
      <c r="Q889" s="4">
        <v>5</v>
      </c>
      <c r="R889" s="4" t="str">
        <f>IF(Table1[[#This Row],[Customer Ratings]]&gt;=4, "Good",IF(Table1[[#This Row],[Customer Ratings]]=3, "Average","Poor"))</f>
        <v>Good</v>
      </c>
      <c r="S889" s="3" t="s">
        <v>46</v>
      </c>
    </row>
    <row r="890" spans="1:19" x14ac:dyDescent="0.25">
      <c r="A890" s="3">
        <v>889</v>
      </c>
      <c r="B890" s="5">
        <f>DATE(Table1[[#This Row],[Year]],Table1[[#This Row],[Month]],Table1[[#This Row],[Day]])</f>
        <v>44732</v>
      </c>
      <c r="C890" s="3">
        <v>20</v>
      </c>
      <c r="D890" s="3">
        <v>6</v>
      </c>
      <c r="E890" s="3">
        <v>2022</v>
      </c>
      <c r="F890" s="3" t="str">
        <f>"Qtr"&amp; " " &amp;CHOOSE(MONTH(Table1[[#This Row],[Date]]),1,1,1,2,2,2,3,3,3,4,4,4)</f>
        <v>Qtr 2</v>
      </c>
      <c r="G890" s="3" t="str">
        <f>TEXT(Table1[[#This Row],[Date]],"mmmm")</f>
        <v>June</v>
      </c>
      <c r="H890" s="3" t="s">
        <v>1081</v>
      </c>
      <c r="I890" s="3" t="s">
        <v>33</v>
      </c>
      <c r="J890" s="3">
        <v>4</v>
      </c>
      <c r="K890" s="3">
        <v>36806.19</v>
      </c>
      <c r="L890" s="3">
        <f>Table1[[#This Row],[Price Per Unit]]*Table1[[#This Row],[Units Sold]]</f>
        <v>147224.76</v>
      </c>
      <c r="M890" s="3" t="s">
        <v>93</v>
      </c>
      <c r="N890" s="3">
        <v>56</v>
      </c>
      <c r="O890" s="3" t="s">
        <v>58</v>
      </c>
      <c r="P890" s="3" t="s">
        <v>21</v>
      </c>
      <c r="Q890" s="4">
        <v>3</v>
      </c>
      <c r="R890" s="4" t="str">
        <f>IF(Table1[[#This Row],[Customer Ratings]]&gt;=4, "Good",IF(Table1[[#This Row],[Customer Ratings]]=3, "Average","Poor"))</f>
        <v>Average</v>
      </c>
      <c r="S890" s="3" t="s">
        <v>36</v>
      </c>
    </row>
    <row r="891" spans="1:19" x14ac:dyDescent="0.25">
      <c r="A891" s="3">
        <v>890</v>
      </c>
      <c r="B891" s="5">
        <f>DATE(Table1[[#This Row],[Year]],Table1[[#This Row],[Month]],Table1[[#This Row],[Day]])</f>
        <v>44732</v>
      </c>
      <c r="C891" s="3">
        <v>20</v>
      </c>
      <c r="D891" s="3">
        <v>6</v>
      </c>
      <c r="E891" s="3">
        <v>2022</v>
      </c>
      <c r="F891" s="3" t="str">
        <f>"Qtr"&amp; " " &amp;CHOOSE(MONTH(Table1[[#This Row],[Date]]),1,1,1,2,2,2,3,3,3,4,4,4)</f>
        <v>Qtr 2</v>
      </c>
      <c r="G891" s="3" t="str">
        <f>TEXT(Table1[[#This Row],[Date]],"mmmm")</f>
        <v>June</v>
      </c>
      <c r="H891" s="3" t="s">
        <v>1081</v>
      </c>
      <c r="I891" s="3" t="s">
        <v>28</v>
      </c>
      <c r="J891" s="3">
        <v>6</v>
      </c>
      <c r="K891" s="3">
        <v>38369.54</v>
      </c>
      <c r="L891" s="3">
        <f>Table1[[#This Row],[Price Per Unit]]*Table1[[#This Row],[Units Sold]]</f>
        <v>230217.24</v>
      </c>
      <c r="M891" s="3" t="s">
        <v>536</v>
      </c>
      <c r="N891" s="3">
        <v>27</v>
      </c>
      <c r="O891" s="3" t="s">
        <v>20</v>
      </c>
      <c r="P891" s="3" t="s">
        <v>21</v>
      </c>
      <c r="Q891" s="4">
        <v>2</v>
      </c>
      <c r="R891" s="4" t="str">
        <f>IF(Table1[[#This Row],[Customer Ratings]]&gt;=4, "Good",IF(Table1[[#This Row],[Customer Ratings]]=3, "Average","Poor"))</f>
        <v>Poor</v>
      </c>
      <c r="S891" s="3" t="s">
        <v>32</v>
      </c>
    </row>
    <row r="892" spans="1:19" x14ac:dyDescent="0.25">
      <c r="A892" s="3">
        <v>891</v>
      </c>
      <c r="B892" s="5">
        <f>DATE(Table1[[#This Row],[Year]],Table1[[#This Row],[Month]],Table1[[#This Row],[Day]])</f>
        <v>44732</v>
      </c>
      <c r="C892" s="3">
        <v>20</v>
      </c>
      <c r="D892" s="3">
        <v>6</v>
      </c>
      <c r="E892" s="3">
        <v>2022</v>
      </c>
      <c r="F892" s="3" t="str">
        <f>"Qtr"&amp; " " &amp;CHOOSE(MONTH(Table1[[#This Row],[Date]]),1,1,1,2,2,2,3,3,3,4,4,4)</f>
        <v>Qtr 2</v>
      </c>
      <c r="G892" s="3" t="str">
        <f>TEXT(Table1[[#This Row],[Date]],"mmmm")</f>
        <v>June</v>
      </c>
      <c r="H892" s="3" t="s">
        <v>1081</v>
      </c>
      <c r="I892" s="3" t="s">
        <v>28</v>
      </c>
      <c r="J892" s="3">
        <v>2</v>
      </c>
      <c r="K892" s="3">
        <v>48614.57</v>
      </c>
      <c r="L892" s="3">
        <f>Table1[[#This Row],[Price Per Unit]]*Table1[[#This Row],[Units Sold]]</f>
        <v>97229.14</v>
      </c>
      <c r="M892" s="3" t="s">
        <v>277</v>
      </c>
      <c r="N892" s="3">
        <v>41</v>
      </c>
      <c r="O892" s="3" t="s">
        <v>65</v>
      </c>
      <c r="P892" s="3" t="s">
        <v>45</v>
      </c>
      <c r="Q892" s="4">
        <v>5</v>
      </c>
      <c r="R892" s="4" t="str">
        <f>IF(Table1[[#This Row],[Customer Ratings]]&gt;=4, "Good",IF(Table1[[#This Row],[Customer Ratings]]=3, "Average","Poor"))</f>
        <v>Good</v>
      </c>
      <c r="S892" s="3" t="s">
        <v>38</v>
      </c>
    </row>
    <row r="893" spans="1:19" x14ac:dyDescent="0.25">
      <c r="A893" s="3">
        <v>892</v>
      </c>
      <c r="B893" s="5">
        <f>DATE(Table1[[#This Row],[Year]],Table1[[#This Row],[Month]],Table1[[#This Row],[Day]])</f>
        <v>44733</v>
      </c>
      <c r="C893" s="3">
        <v>21</v>
      </c>
      <c r="D893" s="3">
        <v>6</v>
      </c>
      <c r="E893" s="3">
        <v>2022</v>
      </c>
      <c r="F893" s="3" t="str">
        <f>"Qtr"&amp; " " &amp;CHOOSE(MONTH(Table1[[#This Row],[Date]]),1,1,1,2,2,2,3,3,3,4,4,4)</f>
        <v>Qtr 2</v>
      </c>
      <c r="G893" s="3" t="str">
        <f>TEXT(Table1[[#This Row],[Date]],"mmmm")</f>
        <v>June</v>
      </c>
      <c r="H893" s="3" t="s">
        <v>1082</v>
      </c>
      <c r="I893" s="3" t="s">
        <v>28</v>
      </c>
      <c r="J893" s="3">
        <v>2</v>
      </c>
      <c r="K893" s="3">
        <v>16484.650000000001</v>
      </c>
      <c r="L893" s="3">
        <f>Table1[[#This Row],[Price Per Unit]]*Table1[[#This Row],[Units Sold]]</f>
        <v>32969.300000000003</v>
      </c>
      <c r="M893" s="3" t="s">
        <v>366</v>
      </c>
      <c r="N893" s="3">
        <v>18</v>
      </c>
      <c r="O893" s="3" t="s">
        <v>65</v>
      </c>
      <c r="P893" s="3" t="s">
        <v>31</v>
      </c>
      <c r="Q893" s="4">
        <v>5</v>
      </c>
      <c r="R893" s="4" t="str">
        <f>IF(Table1[[#This Row],[Customer Ratings]]&gt;=4, "Good",IF(Table1[[#This Row],[Customer Ratings]]=3, "Average","Poor"))</f>
        <v>Good</v>
      </c>
      <c r="S893" s="3" t="s">
        <v>38</v>
      </c>
    </row>
    <row r="894" spans="1:19" x14ac:dyDescent="0.25">
      <c r="A894" s="3">
        <v>893</v>
      </c>
      <c r="B894" s="5">
        <f>DATE(Table1[[#This Row],[Year]],Table1[[#This Row],[Month]],Table1[[#This Row],[Day]])</f>
        <v>44733</v>
      </c>
      <c r="C894" s="3">
        <v>21</v>
      </c>
      <c r="D894" s="3">
        <v>6</v>
      </c>
      <c r="E894" s="3">
        <v>2022</v>
      </c>
      <c r="F894" s="3" t="str">
        <f>"Qtr"&amp; " " &amp;CHOOSE(MONTH(Table1[[#This Row],[Date]]),1,1,1,2,2,2,3,3,3,4,4,4)</f>
        <v>Qtr 2</v>
      </c>
      <c r="G894" s="3" t="str">
        <f>TEXT(Table1[[#This Row],[Date]],"mmmm")</f>
        <v>June</v>
      </c>
      <c r="H894" s="3" t="s">
        <v>1082</v>
      </c>
      <c r="I894" s="3" t="s">
        <v>33</v>
      </c>
      <c r="J894" s="3">
        <v>2</v>
      </c>
      <c r="K894" s="3">
        <v>36174.67</v>
      </c>
      <c r="L894" s="3">
        <f>Table1[[#This Row],[Price Per Unit]]*Table1[[#This Row],[Units Sold]]</f>
        <v>72349.34</v>
      </c>
      <c r="M894" s="3" t="s">
        <v>652</v>
      </c>
      <c r="N894" s="3">
        <v>42</v>
      </c>
      <c r="O894" s="3" t="s">
        <v>30</v>
      </c>
      <c r="P894" s="3" t="s">
        <v>31</v>
      </c>
      <c r="Q894" s="4">
        <v>5</v>
      </c>
      <c r="R894" s="4" t="str">
        <f>IF(Table1[[#This Row],[Customer Ratings]]&gt;=4, "Good",IF(Table1[[#This Row],[Customer Ratings]]=3, "Average","Poor"))</f>
        <v>Good</v>
      </c>
      <c r="S894" s="3" t="s">
        <v>83</v>
      </c>
    </row>
    <row r="895" spans="1:19" x14ac:dyDescent="0.25">
      <c r="A895" s="3">
        <v>894</v>
      </c>
      <c r="B895" s="5">
        <f>DATE(Table1[[#This Row],[Year]],Table1[[#This Row],[Month]],Table1[[#This Row],[Day]])</f>
        <v>44733</v>
      </c>
      <c r="C895" s="3">
        <v>21</v>
      </c>
      <c r="D895" s="3">
        <v>6</v>
      </c>
      <c r="E895" s="3">
        <v>2022</v>
      </c>
      <c r="F895" s="3" t="str">
        <f>"Qtr"&amp; " " &amp;CHOOSE(MONTH(Table1[[#This Row],[Date]]),1,1,1,2,2,2,3,3,3,4,4,4)</f>
        <v>Qtr 2</v>
      </c>
      <c r="G895" s="3" t="str">
        <f>TEXT(Table1[[#This Row],[Date]],"mmmm")</f>
        <v>June</v>
      </c>
      <c r="H895" s="3" t="s">
        <v>1082</v>
      </c>
      <c r="I895" s="3" t="s">
        <v>33</v>
      </c>
      <c r="J895" s="3">
        <v>7</v>
      </c>
      <c r="K895" s="3">
        <v>68317.05</v>
      </c>
      <c r="L895" s="3">
        <f>Table1[[#This Row],[Price Per Unit]]*Table1[[#This Row],[Units Sold]]</f>
        <v>478219.35000000003</v>
      </c>
      <c r="M895" s="3" t="s">
        <v>577</v>
      </c>
      <c r="N895" s="3">
        <v>45</v>
      </c>
      <c r="O895" s="3" t="s">
        <v>30</v>
      </c>
      <c r="P895" s="3" t="s">
        <v>45</v>
      </c>
      <c r="Q895" s="4">
        <v>4</v>
      </c>
      <c r="R895" s="4" t="str">
        <f>IF(Table1[[#This Row],[Customer Ratings]]&gt;=4, "Good",IF(Table1[[#This Row],[Customer Ratings]]=3, "Average","Poor"))</f>
        <v>Good</v>
      </c>
      <c r="S895" s="3" t="s">
        <v>83</v>
      </c>
    </row>
    <row r="896" spans="1:19" x14ac:dyDescent="0.25">
      <c r="A896" s="3">
        <v>895</v>
      </c>
      <c r="B896" s="5">
        <f>DATE(Table1[[#This Row],[Year]],Table1[[#This Row],[Month]],Table1[[#This Row],[Day]])</f>
        <v>44734</v>
      </c>
      <c r="C896" s="3">
        <v>22</v>
      </c>
      <c r="D896" s="3">
        <v>6</v>
      </c>
      <c r="E896" s="3">
        <v>2022</v>
      </c>
      <c r="F896" s="3" t="str">
        <f>"Qtr"&amp; " " &amp;CHOOSE(MONTH(Table1[[#This Row],[Date]]),1,1,1,2,2,2,3,3,3,4,4,4)</f>
        <v>Qtr 2</v>
      </c>
      <c r="G896" s="3" t="str">
        <f>TEXT(Table1[[#This Row],[Date]],"mmmm")</f>
        <v>June</v>
      </c>
      <c r="H896" s="3" t="s">
        <v>1083</v>
      </c>
      <c r="I896" s="3" t="s">
        <v>28</v>
      </c>
      <c r="J896" s="3">
        <v>2</v>
      </c>
      <c r="K896" s="3">
        <v>12253.14</v>
      </c>
      <c r="L896" s="3">
        <f>Table1[[#This Row],[Price Per Unit]]*Table1[[#This Row],[Units Sold]]</f>
        <v>24506.28</v>
      </c>
      <c r="M896" s="3" t="s">
        <v>531</v>
      </c>
      <c r="N896" s="3">
        <v>53</v>
      </c>
      <c r="O896" s="3" t="s">
        <v>20</v>
      </c>
      <c r="P896" s="3" t="s">
        <v>31</v>
      </c>
      <c r="Q896" s="4">
        <v>5</v>
      </c>
      <c r="R896" s="4" t="str">
        <f>IF(Table1[[#This Row],[Customer Ratings]]&gt;=4, "Good",IF(Table1[[#This Row],[Customer Ratings]]=3, "Average","Poor"))</f>
        <v>Good</v>
      </c>
      <c r="S896" s="3" t="s">
        <v>38</v>
      </c>
    </row>
    <row r="897" spans="1:19" x14ac:dyDescent="0.25">
      <c r="A897" s="3">
        <v>896</v>
      </c>
      <c r="B897" s="5">
        <f>DATE(Table1[[#This Row],[Year]],Table1[[#This Row],[Month]],Table1[[#This Row],[Day]])</f>
        <v>44734</v>
      </c>
      <c r="C897" s="3">
        <v>22</v>
      </c>
      <c r="D897" s="3">
        <v>6</v>
      </c>
      <c r="E897" s="3">
        <v>2022</v>
      </c>
      <c r="F897" s="3" t="str">
        <f>"Qtr"&amp; " " &amp;CHOOSE(MONTH(Table1[[#This Row],[Date]]),1,1,1,2,2,2,3,3,3,4,4,4)</f>
        <v>Qtr 2</v>
      </c>
      <c r="G897" s="3" t="str">
        <f>TEXT(Table1[[#This Row],[Date]],"mmmm")</f>
        <v>June</v>
      </c>
      <c r="H897" s="3" t="s">
        <v>1083</v>
      </c>
      <c r="I897" s="3" t="s">
        <v>39</v>
      </c>
      <c r="J897" s="3">
        <v>2</v>
      </c>
      <c r="K897" s="3">
        <v>28960.28</v>
      </c>
      <c r="L897" s="3">
        <f>Table1[[#This Row],[Price Per Unit]]*Table1[[#This Row],[Units Sold]]</f>
        <v>57920.56</v>
      </c>
      <c r="M897" s="3" t="s">
        <v>649</v>
      </c>
      <c r="N897" s="3">
        <v>35</v>
      </c>
      <c r="O897" s="3" t="s">
        <v>102</v>
      </c>
      <c r="P897" s="3" t="s">
        <v>16</v>
      </c>
      <c r="Q897" s="4">
        <v>5</v>
      </c>
      <c r="R897" s="4" t="str">
        <f>IF(Table1[[#This Row],[Customer Ratings]]&gt;=4, "Good",IF(Table1[[#This Row],[Customer Ratings]]=3, "Average","Poor"))</f>
        <v>Good</v>
      </c>
      <c r="S897" s="3" t="s">
        <v>76</v>
      </c>
    </row>
    <row r="898" spans="1:19" x14ac:dyDescent="0.25">
      <c r="A898" s="3">
        <v>897</v>
      </c>
      <c r="B898" s="5">
        <f>DATE(Table1[[#This Row],[Year]],Table1[[#This Row],[Month]],Table1[[#This Row],[Day]])</f>
        <v>44734</v>
      </c>
      <c r="C898" s="3">
        <v>22</v>
      </c>
      <c r="D898" s="3">
        <v>6</v>
      </c>
      <c r="E898" s="3">
        <v>2022</v>
      </c>
      <c r="F898" s="3" t="str">
        <f>"Qtr"&amp; " " &amp;CHOOSE(MONTH(Table1[[#This Row],[Date]]),1,1,1,2,2,2,3,3,3,4,4,4)</f>
        <v>Qtr 2</v>
      </c>
      <c r="G898" s="3" t="str">
        <f>TEXT(Table1[[#This Row],[Date]],"mmmm")</f>
        <v>June</v>
      </c>
      <c r="H898" s="3" t="s">
        <v>1083</v>
      </c>
      <c r="I898" s="3" t="s">
        <v>39</v>
      </c>
      <c r="J898" s="3">
        <v>9</v>
      </c>
      <c r="K898" s="3">
        <v>28846.59</v>
      </c>
      <c r="L898" s="3">
        <f>Table1[[#This Row],[Price Per Unit]]*Table1[[#This Row],[Units Sold]]</f>
        <v>259619.31</v>
      </c>
      <c r="M898" s="3" t="s">
        <v>361</v>
      </c>
      <c r="N898" s="3">
        <v>23</v>
      </c>
      <c r="O898" s="3" t="s">
        <v>20</v>
      </c>
      <c r="P898" s="3" t="s">
        <v>31</v>
      </c>
      <c r="Q898" s="4">
        <v>4</v>
      </c>
      <c r="R898" s="4" t="str">
        <f>IF(Table1[[#This Row],[Customer Ratings]]&gt;=4, "Good",IF(Table1[[#This Row],[Customer Ratings]]=3, "Average","Poor"))</f>
        <v>Good</v>
      </c>
      <c r="S898" s="3" t="s">
        <v>76</v>
      </c>
    </row>
    <row r="899" spans="1:19" x14ac:dyDescent="0.25">
      <c r="A899" s="3">
        <v>898</v>
      </c>
      <c r="B899" s="5">
        <f>DATE(Table1[[#This Row],[Year]],Table1[[#This Row],[Month]],Table1[[#This Row],[Day]])</f>
        <v>44735</v>
      </c>
      <c r="C899" s="3">
        <v>23</v>
      </c>
      <c r="D899" s="3">
        <v>6</v>
      </c>
      <c r="E899" s="3">
        <v>2022</v>
      </c>
      <c r="F899" s="3" t="str">
        <f>"Qtr"&amp; " " &amp;CHOOSE(MONTH(Table1[[#This Row],[Date]]),1,1,1,2,2,2,3,3,3,4,4,4)</f>
        <v>Qtr 2</v>
      </c>
      <c r="G899" s="3" t="str">
        <f>TEXT(Table1[[#This Row],[Date]],"mmmm")</f>
        <v>June</v>
      </c>
      <c r="H899" s="3" t="s">
        <v>1084</v>
      </c>
      <c r="I899" s="3" t="s">
        <v>13</v>
      </c>
      <c r="J899" s="3">
        <v>7</v>
      </c>
      <c r="K899" s="3">
        <v>48007.85</v>
      </c>
      <c r="L899" s="3">
        <f>Table1[[#This Row],[Price Per Unit]]*Table1[[#This Row],[Units Sold]]</f>
        <v>336054.95</v>
      </c>
      <c r="M899" s="3" t="s">
        <v>459</v>
      </c>
      <c r="N899" s="3">
        <v>19</v>
      </c>
      <c r="O899" s="3" t="s">
        <v>20</v>
      </c>
      <c r="P899" s="3" t="s">
        <v>16</v>
      </c>
      <c r="Q899" s="4">
        <v>5</v>
      </c>
      <c r="R899" s="4" t="str">
        <f>IF(Table1[[#This Row],[Customer Ratings]]&gt;=4, "Good",IF(Table1[[#This Row],[Customer Ratings]]=3, "Average","Poor"))</f>
        <v>Good</v>
      </c>
      <c r="S899" s="3" t="s">
        <v>17</v>
      </c>
    </row>
    <row r="900" spans="1:19" x14ac:dyDescent="0.25">
      <c r="A900" s="3">
        <v>899</v>
      </c>
      <c r="B900" s="5">
        <f>DATE(Table1[[#This Row],[Year]],Table1[[#This Row],[Month]],Table1[[#This Row],[Day]])</f>
        <v>44735</v>
      </c>
      <c r="C900" s="3">
        <v>23</v>
      </c>
      <c r="D900" s="3">
        <v>6</v>
      </c>
      <c r="E900" s="3">
        <v>2022</v>
      </c>
      <c r="F900" s="3" t="str">
        <f>"Qtr"&amp; " " &amp;CHOOSE(MONTH(Table1[[#This Row],[Date]]),1,1,1,2,2,2,3,3,3,4,4,4)</f>
        <v>Qtr 2</v>
      </c>
      <c r="G900" s="3" t="str">
        <f>TEXT(Table1[[#This Row],[Date]],"mmmm")</f>
        <v>June</v>
      </c>
      <c r="H900" s="3" t="s">
        <v>1084</v>
      </c>
      <c r="I900" s="3" t="s">
        <v>18</v>
      </c>
      <c r="J900" s="3">
        <v>3</v>
      </c>
      <c r="K900" s="3">
        <v>16348.02</v>
      </c>
      <c r="L900" s="3">
        <f>Table1[[#This Row],[Price Per Unit]]*Table1[[#This Row],[Units Sold]]</f>
        <v>49044.06</v>
      </c>
      <c r="M900" s="3" t="s">
        <v>394</v>
      </c>
      <c r="N900" s="3">
        <v>20</v>
      </c>
      <c r="O900" s="3" t="s">
        <v>20</v>
      </c>
      <c r="P900" s="3" t="s">
        <v>21</v>
      </c>
      <c r="Q900" s="4">
        <v>5</v>
      </c>
      <c r="R900" s="4" t="str">
        <f>IF(Table1[[#This Row],[Customer Ratings]]&gt;=4, "Good",IF(Table1[[#This Row],[Customer Ratings]]=3, "Average","Poor"))</f>
        <v>Good</v>
      </c>
      <c r="S900" s="3" t="s">
        <v>25</v>
      </c>
    </row>
    <row r="901" spans="1:19" x14ac:dyDescent="0.25">
      <c r="A901" s="3">
        <v>900</v>
      </c>
      <c r="B901" s="5">
        <f>DATE(Table1[[#This Row],[Year]],Table1[[#This Row],[Month]],Table1[[#This Row],[Day]])</f>
        <v>44735</v>
      </c>
      <c r="C901" s="3">
        <v>23</v>
      </c>
      <c r="D901" s="3">
        <v>6</v>
      </c>
      <c r="E901" s="3">
        <v>2022</v>
      </c>
      <c r="F901" s="3" t="str">
        <f>"Qtr"&amp; " " &amp;CHOOSE(MONTH(Table1[[#This Row],[Date]]),1,1,1,2,2,2,3,3,3,4,4,4)</f>
        <v>Qtr 2</v>
      </c>
      <c r="G901" s="3" t="str">
        <f>TEXT(Table1[[#This Row],[Date]],"mmmm")</f>
        <v>June</v>
      </c>
      <c r="H901" s="3" t="s">
        <v>1084</v>
      </c>
      <c r="I901" s="3" t="s">
        <v>39</v>
      </c>
      <c r="J901" s="3">
        <v>3</v>
      </c>
      <c r="K901" s="3">
        <v>47712.639999999999</v>
      </c>
      <c r="L901" s="3">
        <f>Table1[[#This Row],[Price Per Unit]]*Table1[[#This Row],[Units Sold]]</f>
        <v>143137.91999999998</v>
      </c>
      <c r="M901" s="3" t="s">
        <v>653</v>
      </c>
      <c r="N901" s="3">
        <v>25</v>
      </c>
      <c r="O901" s="3" t="s">
        <v>20</v>
      </c>
      <c r="P901" s="3" t="s">
        <v>21</v>
      </c>
      <c r="Q901" s="4">
        <v>4</v>
      </c>
      <c r="R901" s="4" t="str">
        <f>IF(Table1[[#This Row],[Customer Ratings]]&gt;=4, "Good",IF(Table1[[#This Row],[Customer Ratings]]=3, "Average","Poor"))</f>
        <v>Good</v>
      </c>
      <c r="S901" s="3" t="s">
        <v>42</v>
      </c>
    </row>
    <row r="902" spans="1:19" x14ac:dyDescent="0.25">
      <c r="A902" s="3">
        <v>901</v>
      </c>
      <c r="B902" s="5">
        <f>DATE(Table1[[#This Row],[Year]],Table1[[#This Row],[Month]],Table1[[#This Row],[Day]])</f>
        <v>44735</v>
      </c>
      <c r="C902" s="3">
        <v>23</v>
      </c>
      <c r="D902" s="3">
        <v>6</v>
      </c>
      <c r="E902" s="3">
        <v>2022</v>
      </c>
      <c r="F902" s="3" t="str">
        <f>"Qtr"&amp; " " &amp;CHOOSE(MONTH(Table1[[#This Row],[Date]]),1,1,1,2,2,2,3,3,3,4,4,4)</f>
        <v>Qtr 2</v>
      </c>
      <c r="G902" s="3" t="str">
        <f>TEXT(Table1[[#This Row],[Date]],"mmmm")</f>
        <v>June</v>
      </c>
      <c r="H902" s="3" t="s">
        <v>1084</v>
      </c>
      <c r="I902" s="3" t="s">
        <v>33</v>
      </c>
      <c r="J902" s="3">
        <v>7</v>
      </c>
      <c r="K902" s="3">
        <v>15702.41</v>
      </c>
      <c r="L902" s="3">
        <f>Table1[[#This Row],[Price Per Unit]]*Table1[[#This Row],[Units Sold]]</f>
        <v>109916.87</v>
      </c>
      <c r="M902" s="3" t="s">
        <v>654</v>
      </c>
      <c r="N902" s="3">
        <v>48</v>
      </c>
      <c r="O902" s="3" t="s">
        <v>105</v>
      </c>
      <c r="P902" s="3" t="s">
        <v>31</v>
      </c>
      <c r="Q902" s="4">
        <v>5</v>
      </c>
      <c r="R902" s="4" t="str">
        <f>IF(Table1[[#This Row],[Customer Ratings]]&gt;=4, "Good",IF(Table1[[#This Row],[Customer Ratings]]=3, "Average","Poor"))</f>
        <v>Good</v>
      </c>
      <c r="S902" s="3" t="s">
        <v>83</v>
      </c>
    </row>
    <row r="903" spans="1:19" x14ac:dyDescent="0.25">
      <c r="A903" s="3">
        <v>902</v>
      </c>
      <c r="B903" s="5">
        <f>DATE(Table1[[#This Row],[Year]],Table1[[#This Row],[Month]],Table1[[#This Row],[Day]])</f>
        <v>44736</v>
      </c>
      <c r="C903" s="3">
        <v>24</v>
      </c>
      <c r="D903" s="3">
        <v>6</v>
      </c>
      <c r="E903" s="3">
        <v>2022</v>
      </c>
      <c r="F903" s="3" t="str">
        <f>"Qtr"&amp; " " &amp;CHOOSE(MONTH(Table1[[#This Row],[Date]]),1,1,1,2,2,2,3,3,3,4,4,4)</f>
        <v>Qtr 2</v>
      </c>
      <c r="G903" s="3" t="str">
        <f>TEXT(Table1[[#This Row],[Date]],"mmmm")</f>
        <v>June</v>
      </c>
      <c r="H903" s="3" t="s">
        <v>1085</v>
      </c>
      <c r="I903" s="3" t="s">
        <v>39</v>
      </c>
      <c r="J903" s="3">
        <v>5</v>
      </c>
      <c r="K903" s="3">
        <v>15697.22</v>
      </c>
      <c r="L903" s="3">
        <f>Table1[[#This Row],[Price Per Unit]]*Table1[[#This Row],[Units Sold]]</f>
        <v>78486.099999999991</v>
      </c>
      <c r="M903" s="3" t="s">
        <v>655</v>
      </c>
      <c r="N903" s="3">
        <v>36</v>
      </c>
      <c r="O903" s="3" t="s">
        <v>125</v>
      </c>
      <c r="P903" s="3" t="s">
        <v>45</v>
      </c>
      <c r="Q903" s="4">
        <v>2</v>
      </c>
      <c r="R903" s="4" t="str">
        <f>IF(Table1[[#This Row],[Customer Ratings]]&gt;=4, "Good",IF(Table1[[#This Row],[Customer Ratings]]=3, "Average","Poor"))</f>
        <v>Poor</v>
      </c>
      <c r="S903" s="3" t="s">
        <v>90</v>
      </c>
    </row>
    <row r="904" spans="1:19" x14ac:dyDescent="0.25">
      <c r="A904" s="3">
        <v>903</v>
      </c>
      <c r="B904" s="5">
        <f>DATE(Table1[[#This Row],[Year]],Table1[[#This Row],[Month]],Table1[[#This Row],[Day]])</f>
        <v>44736</v>
      </c>
      <c r="C904" s="3">
        <v>24</v>
      </c>
      <c r="D904" s="3">
        <v>6</v>
      </c>
      <c r="E904" s="3">
        <v>2022</v>
      </c>
      <c r="F904" s="3" t="str">
        <f>"Qtr"&amp; " " &amp;CHOOSE(MONTH(Table1[[#This Row],[Date]]),1,1,1,2,2,2,3,3,3,4,4,4)</f>
        <v>Qtr 2</v>
      </c>
      <c r="G904" s="3" t="str">
        <f>TEXT(Table1[[#This Row],[Date]],"mmmm")</f>
        <v>June</v>
      </c>
      <c r="H904" s="3" t="s">
        <v>1085</v>
      </c>
      <c r="I904" s="3" t="s">
        <v>13</v>
      </c>
      <c r="J904" s="3">
        <v>6</v>
      </c>
      <c r="K904" s="3">
        <v>53691</v>
      </c>
      <c r="L904" s="3">
        <f>Table1[[#This Row],[Price Per Unit]]*Table1[[#This Row],[Units Sold]]</f>
        <v>322146</v>
      </c>
      <c r="M904" s="3" t="s">
        <v>410</v>
      </c>
      <c r="N904" s="3">
        <v>23</v>
      </c>
      <c r="O904" s="3" t="s">
        <v>24</v>
      </c>
      <c r="P904" s="3" t="s">
        <v>31</v>
      </c>
      <c r="Q904" s="4">
        <v>3</v>
      </c>
      <c r="R904" s="4" t="str">
        <f>IF(Table1[[#This Row],[Customer Ratings]]&gt;=4, "Good",IF(Table1[[#This Row],[Customer Ratings]]=3, "Average","Poor"))</f>
        <v>Average</v>
      </c>
      <c r="S904" s="3" t="s">
        <v>17</v>
      </c>
    </row>
    <row r="905" spans="1:19" x14ac:dyDescent="0.25">
      <c r="A905" s="3">
        <v>904</v>
      </c>
      <c r="B905" s="5">
        <f>DATE(Table1[[#This Row],[Year]],Table1[[#This Row],[Month]],Table1[[#This Row],[Day]])</f>
        <v>44736</v>
      </c>
      <c r="C905" s="3">
        <v>24</v>
      </c>
      <c r="D905" s="3">
        <v>6</v>
      </c>
      <c r="E905" s="3">
        <v>2022</v>
      </c>
      <c r="F905" s="3" t="str">
        <f>"Qtr"&amp; " " &amp;CHOOSE(MONTH(Table1[[#This Row],[Date]]),1,1,1,2,2,2,3,3,3,4,4,4)</f>
        <v>Qtr 2</v>
      </c>
      <c r="G905" s="3" t="str">
        <f>TEXT(Table1[[#This Row],[Date]],"mmmm")</f>
        <v>June</v>
      </c>
      <c r="H905" s="3" t="s">
        <v>1085</v>
      </c>
      <c r="I905" s="3" t="s">
        <v>13</v>
      </c>
      <c r="J905" s="3">
        <v>8</v>
      </c>
      <c r="K905" s="3">
        <v>29448.11</v>
      </c>
      <c r="L905" s="3">
        <f>Table1[[#This Row],[Price Per Unit]]*Table1[[#This Row],[Units Sold]]</f>
        <v>235584.88</v>
      </c>
      <c r="M905" s="3" t="s">
        <v>407</v>
      </c>
      <c r="N905" s="3">
        <v>31</v>
      </c>
      <c r="O905" s="3" t="s">
        <v>78</v>
      </c>
      <c r="P905" s="3" t="s">
        <v>45</v>
      </c>
      <c r="Q905" s="4">
        <v>5</v>
      </c>
      <c r="R905" s="4" t="str">
        <f>IF(Table1[[#This Row],[Customer Ratings]]&gt;=4, "Good",IF(Table1[[#This Row],[Customer Ratings]]=3, "Average","Poor"))</f>
        <v>Good</v>
      </c>
      <c r="S905" s="3" t="s">
        <v>27</v>
      </c>
    </row>
    <row r="906" spans="1:19" x14ac:dyDescent="0.25">
      <c r="A906" s="3">
        <v>905</v>
      </c>
      <c r="B906" s="5">
        <f>DATE(Table1[[#This Row],[Year]],Table1[[#This Row],[Month]],Table1[[#This Row],[Day]])</f>
        <v>44736</v>
      </c>
      <c r="C906" s="3">
        <v>24</v>
      </c>
      <c r="D906" s="3">
        <v>6</v>
      </c>
      <c r="E906" s="3">
        <v>2022</v>
      </c>
      <c r="F906" s="3" t="str">
        <f>"Qtr"&amp; " " &amp;CHOOSE(MONTH(Table1[[#This Row],[Date]]),1,1,1,2,2,2,3,3,3,4,4,4)</f>
        <v>Qtr 2</v>
      </c>
      <c r="G906" s="3" t="str">
        <f>TEXT(Table1[[#This Row],[Date]],"mmmm")</f>
        <v>June</v>
      </c>
      <c r="H906" s="3" t="s">
        <v>1085</v>
      </c>
      <c r="I906" s="3" t="s">
        <v>18</v>
      </c>
      <c r="J906" s="3">
        <v>9</v>
      </c>
      <c r="K906" s="3">
        <v>68645.38</v>
      </c>
      <c r="L906" s="3">
        <f>Table1[[#This Row],[Price Per Unit]]*Table1[[#This Row],[Units Sold]]</f>
        <v>617808.42000000004</v>
      </c>
      <c r="M906" s="3" t="s">
        <v>656</v>
      </c>
      <c r="N906" s="3">
        <v>20</v>
      </c>
      <c r="O906" s="3" t="s">
        <v>30</v>
      </c>
      <c r="P906" s="3" t="s">
        <v>21</v>
      </c>
      <c r="Q906" s="4">
        <v>5</v>
      </c>
      <c r="R906" s="4" t="str">
        <f>IF(Table1[[#This Row],[Customer Ratings]]&gt;=4, "Good",IF(Table1[[#This Row],[Customer Ratings]]=3, "Average","Poor"))</f>
        <v>Good</v>
      </c>
      <c r="S906" s="3" t="s">
        <v>55</v>
      </c>
    </row>
    <row r="907" spans="1:19" x14ac:dyDescent="0.25">
      <c r="A907" s="3">
        <v>906</v>
      </c>
      <c r="B907" s="5">
        <f>DATE(Table1[[#This Row],[Year]],Table1[[#This Row],[Month]],Table1[[#This Row],[Day]])</f>
        <v>44737</v>
      </c>
      <c r="C907" s="3">
        <v>25</v>
      </c>
      <c r="D907" s="3">
        <v>6</v>
      </c>
      <c r="E907" s="3">
        <v>2022</v>
      </c>
      <c r="F907" s="3" t="str">
        <f>"Qtr"&amp; " " &amp;CHOOSE(MONTH(Table1[[#This Row],[Date]]),1,1,1,2,2,2,3,3,3,4,4,4)</f>
        <v>Qtr 2</v>
      </c>
      <c r="G907" s="3" t="str">
        <f>TEXT(Table1[[#This Row],[Date]],"mmmm")</f>
        <v>June</v>
      </c>
      <c r="H907" s="3" t="s">
        <v>1079</v>
      </c>
      <c r="I907" s="3" t="s">
        <v>39</v>
      </c>
      <c r="J907" s="3">
        <v>1</v>
      </c>
      <c r="K907" s="3">
        <v>12241.18</v>
      </c>
      <c r="L907" s="3">
        <f>Table1[[#This Row],[Price Per Unit]]*Table1[[#This Row],[Units Sold]]</f>
        <v>12241.18</v>
      </c>
      <c r="M907" s="3" t="s">
        <v>412</v>
      </c>
      <c r="N907" s="3">
        <v>18</v>
      </c>
      <c r="O907" s="3" t="s">
        <v>105</v>
      </c>
      <c r="P907" s="3" t="s">
        <v>21</v>
      </c>
      <c r="Q907" s="4">
        <v>3</v>
      </c>
      <c r="R907" s="4" t="str">
        <f>IF(Table1[[#This Row],[Customer Ratings]]&gt;=4, "Good",IF(Table1[[#This Row],[Customer Ratings]]=3, "Average","Poor"))</f>
        <v>Average</v>
      </c>
      <c r="S907" s="3" t="s">
        <v>42</v>
      </c>
    </row>
    <row r="908" spans="1:19" x14ac:dyDescent="0.25">
      <c r="A908" s="3">
        <v>907</v>
      </c>
      <c r="B908" s="5">
        <f>DATE(Table1[[#This Row],[Year]],Table1[[#This Row],[Month]],Table1[[#This Row],[Day]])</f>
        <v>44737</v>
      </c>
      <c r="C908" s="3">
        <v>25</v>
      </c>
      <c r="D908" s="3">
        <v>6</v>
      </c>
      <c r="E908" s="3">
        <v>2022</v>
      </c>
      <c r="F908" s="3" t="str">
        <f>"Qtr"&amp; " " &amp;CHOOSE(MONTH(Table1[[#This Row],[Date]]),1,1,1,2,2,2,3,3,3,4,4,4)</f>
        <v>Qtr 2</v>
      </c>
      <c r="G908" s="3" t="str">
        <f>TEXT(Table1[[#This Row],[Date]],"mmmm")</f>
        <v>June</v>
      </c>
      <c r="H908" s="3" t="s">
        <v>1079</v>
      </c>
      <c r="I908" s="3" t="s">
        <v>33</v>
      </c>
      <c r="J908" s="3">
        <v>3</v>
      </c>
      <c r="K908" s="3">
        <v>36706.400000000001</v>
      </c>
      <c r="L908" s="3">
        <f>Table1[[#This Row],[Price Per Unit]]*Table1[[#This Row],[Units Sold]]</f>
        <v>110119.20000000001</v>
      </c>
      <c r="M908" s="3" t="s">
        <v>583</v>
      </c>
      <c r="N908" s="3">
        <v>47</v>
      </c>
      <c r="O908" s="3" t="s">
        <v>120</v>
      </c>
      <c r="P908" s="3" t="s">
        <v>21</v>
      </c>
      <c r="Q908" s="4">
        <v>5</v>
      </c>
      <c r="R908" s="4" t="str">
        <f>IF(Table1[[#This Row],[Customer Ratings]]&gt;=4, "Good",IF(Table1[[#This Row],[Customer Ratings]]=3, "Average","Poor"))</f>
        <v>Good</v>
      </c>
      <c r="S908" s="3" t="s">
        <v>36</v>
      </c>
    </row>
    <row r="909" spans="1:19" x14ac:dyDescent="0.25">
      <c r="A909" s="3">
        <v>908</v>
      </c>
      <c r="B909" s="5">
        <f>DATE(Table1[[#This Row],[Year]],Table1[[#This Row],[Month]],Table1[[#This Row],[Day]])</f>
        <v>44737</v>
      </c>
      <c r="C909" s="3">
        <v>25</v>
      </c>
      <c r="D909" s="3">
        <v>6</v>
      </c>
      <c r="E909" s="3">
        <v>2022</v>
      </c>
      <c r="F909" s="3" t="str">
        <f>"Qtr"&amp; " " &amp;CHOOSE(MONTH(Table1[[#This Row],[Date]]),1,1,1,2,2,2,3,3,3,4,4,4)</f>
        <v>Qtr 2</v>
      </c>
      <c r="G909" s="3" t="str">
        <f>TEXT(Table1[[#This Row],[Date]],"mmmm")</f>
        <v>June</v>
      </c>
      <c r="H909" s="3" t="s">
        <v>1079</v>
      </c>
      <c r="I909" s="3" t="s">
        <v>33</v>
      </c>
      <c r="J909" s="3">
        <v>7</v>
      </c>
      <c r="K909" s="3">
        <v>16788.16</v>
      </c>
      <c r="L909" s="3">
        <f>Table1[[#This Row],[Price Per Unit]]*Table1[[#This Row],[Units Sold]]</f>
        <v>117517.12</v>
      </c>
      <c r="M909" s="3" t="s">
        <v>60</v>
      </c>
      <c r="N909" s="3">
        <v>36</v>
      </c>
      <c r="O909" s="3" t="s">
        <v>24</v>
      </c>
      <c r="P909" s="3" t="s">
        <v>45</v>
      </c>
      <c r="Q909" s="4">
        <v>3</v>
      </c>
      <c r="R909" s="4" t="str">
        <f>IF(Table1[[#This Row],[Customer Ratings]]&gt;=4, "Good",IF(Table1[[#This Row],[Customer Ratings]]=3, "Average","Poor"))</f>
        <v>Average</v>
      </c>
      <c r="S909" s="3" t="s">
        <v>36</v>
      </c>
    </row>
    <row r="910" spans="1:19" x14ac:dyDescent="0.25">
      <c r="A910" s="3">
        <v>909</v>
      </c>
      <c r="B910" s="5">
        <f>DATE(Table1[[#This Row],[Year]],Table1[[#This Row],[Month]],Table1[[#This Row],[Day]])</f>
        <v>44738</v>
      </c>
      <c r="C910" s="3">
        <v>26</v>
      </c>
      <c r="D910" s="3">
        <v>6</v>
      </c>
      <c r="E910" s="3">
        <v>2022</v>
      </c>
      <c r="F910" s="3" t="str">
        <f>"Qtr"&amp; " " &amp;CHOOSE(MONTH(Table1[[#This Row],[Date]]),1,1,1,2,2,2,3,3,3,4,4,4)</f>
        <v>Qtr 2</v>
      </c>
      <c r="G910" s="3" t="str">
        <f>TEXT(Table1[[#This Row],[Date]],"mmmm")</f>
        <v>June</v>
      </c>
      <c r="H910" s="3" t="s">
        <v>1080</v>
      </c>
      <c r="I910" s="3" t="s">
        <v>28</v>
      </c>
      <c r="J910" s="3">
        <v>6</v>
      </c>
      <c r="K910" s="3">
        <v>31082.74</v>
      </c>
      <c r="L910" s="3">
        <f>Table1[[#This Row],[Price Per Unit]]*Table1[[#This Row],[Units Sold]]</f>
        <v>186496.44</v>
      </c>
      <c r="M910" s="3" t="s">
        <v>657</v>
      </c>
      <c r="N910" s="3">
        <v>36</v>
      </c>
      <c r="O910" s="3" t="s">
        <v>20</v>
      </c>
      <c r="P910" s="3" t="s">
        <v>45</v>
      </c>
      <c r="Q910" s="4">
        <v>4</v>
      </c>
      <c r="R910" s="4" t="str">
        <f>IF(Table1[[#This Row],[Customer Ratings]]&gt;=4, "Good",IF(Table1[[#This Row],[Customer Ratings]]=3, "Average","Poor"))</f>
        <v>Good</v>
      </c>
      <c r="S910" s="3" t="s">
        <v>87</v>
      </c>
    </row>
    <row r="911" spans="1:19" x14ac:dyDescent="0.25">
      <c r="A911" s="3">
        <v>910</v>
      </c>
      <c r="B911" s="5">
        <f>DATE(Table1[[#This Row],[Year]],Table1[[#This Row],[Month]],Table1[[#This Row],[Day]])</f>
        <v>44738</v>
      </c>
      <c r="C911" s="3">
        <v>26</v>
      </c>
      <c r="D911" s="3">
        <v>6</v>
      </c>
      <c r="E911" s="3">
        <v>2022</v>
      </c>
      <c r="F911" s="3" t="str">
        <f>"Qtr"&amp; " " &amp;CHOOSE(MONTH(Table1[[#This Row],[Date]]),1,1,1,2,2,2,3,3,3,4,4,4)</f>
        <v>Qtr 2</v>
      </c>
      <c r="G911" s="3" t="str">
        <f>TEXT(Table1[[#This Row],[Date]],"mmmm")</f>
        <v>June</v>
      </c>
      <c r="H911" s="3" t="s">
        <v>1080</v>
      </c>
      <c r="I911" s="3" t="s">
        <v>33</v>
      </c>
      <c r="J911" s="3">
        <v>7</v>
      </c>
      <c r="K911" s="3">
        <v>69893.350000000006</v>
      </c>
      <c r="L911" s="3">
        <f>Table1[[#This Row],[Price Per Unit]]*Table1[[#This Row],[Units Sold]]</f>
        <v>489253.45000000007</v>
      </c>
      <c r="M911" s="3" t="s">
        <v>75</v>
      </c>
      <c r="N911" s="3">
        <v>26</v>
      </c>
      <c r="O911" s="3" t="s">
        <v>98</v>
      </c>
      <c r="P911" s="3" t="s">
        <v>21</v>
      </c>
      <c r="Q911" s="4">
        <v>5</v>
      </c>
      <c r="R911" s="4" t="str">
        <f>IF(Table1[[#This Row],[Customer Ratings]]&gt;=4, "Good",IF(Table1[[#This Row],[Customer Ratings]]=3, "Average","Poor"))</f>
        <v>Good</v>
      </c>
      <c r="S911" s="3" t="s">
        <v>36</v>
      </c>
    </row>
    <row r="912" spans="1:19" x14ac:dyDescent="0.25">
      <c r="A912" s="3">
        <v>911</v>
      </c>
      <c r="B912" s="5">
        <f>DATE(Table1[[#This Row],[Year]],Table1[[#This Row],[Month]],Table1[[#This Row],[Day]])</f>
        <v>44738</v>
      </c>
      <c r="C912" s="3">
        <v>26</v>
      </c>
      <c r="D912" s="3">
        <v>6</v>
      </c>
      <c r="E912" s="3">
        <v>2022</v>
      </c>
      <c r="F912" s="3" t="str">
        <f>"Qtr"&amp; " " &amp;CHOOSE(MONTH(Table1[[#This Row],[Date]]),1,1,1,2,2,2,3,3,3,4,4,4)</f>
        <v>Qtr 2</v>
      </c>
      <c r="G912" s="3" t="str">
        <f>TEXT(Table1[[#This Row],[Date]],"mmmm")</f>
        <v>June</v>
      </c>
      <c r="H912" s="3" t="s">
        <v>1080</v>
      </c>
      <c r="I912" s="3" t="s">
        <v>18</v>
      </c>
      <c r="J912" s="3">
        <v>8</v>
      </c>
      <c r="K912" s="3">
        <v>63330.55</v>
      </c>
      <c r="L912" s="3">
        <f>Table1[[#This Row],[Price Per Unit]]*Table1[[#This Row],[Units Sold]]</f>
        <v>506644.4</v>
      </c>
      <c r="M912" s="3" t="s">
        <v>104</v>
      </c>
      <c r="N912" s="3">
        <v>24</v>
      </c>
      <c r="O912" s="3" t="s">
        <v>20</v>
      </c>
      <c r="P912" s="3" t="s">
        <v>31</v>
      </c>
      <c r="Q912" s="4">
        <v>5</v>
      </c>
      <c r="R912" s="4" t="str">
        <f>IF(Table1[[#This Row],[Customer Ratings]]&gt;=4, "Good",IF(Table1[[#This Row],[Customer Ratings]]=3, "Average","Poor"))</f>
        <v>Good</v>
      </c>
      <c r="S912" s="3" t="s">
        <v>22</v>
      </c>
    </row>
    <row r="913" spans="1:19" x14ac:dyDescent="0.25">
      <c r="A913" s="3">
        <v>912</v>
      </c>
      <c r="B913" s="5">
        <f>DATE(Table1[[#This Row],[Year]],Table1[[#This Row],[Month]],Table1[[#This Row],[Day]])</f>
        <v>44739</v>
      </c>
      <c r="C913" s="3">
        <v>27</v>
      </c>
      <c r="D913" s="3">
        <v>6</v>
      </c>
      <c r="E913" s="3">
        <v>2022</v>
      </c>
      <c r="F913" s="3" t="str">
        <f>"Qtr"&amp; " " &amp;CHOOSE(MONTH(Table1[[#This Row],[Date]]),1,1,1,2,2,2,3,3,3,4,4,4)</f>
        <v>Qtr 2</v>
      </c>
      <c r="G913" s="3" t="str">
        <f>TEXT(Table1[[#This Row],[Date]],"mmmm")</f>
        <v>June</v>
      </c>
      <c r="H913" s="3" t="s">
        <v>1081</v>
      </c>
      <c r="I913" s="3" t="s">
        <v>18</v>
      </c>
      <c r="J913" s="3">
        <v>6</v>
      </c>
      <c r="K913" s="3">
        <v>12899.46</v>
      </c>
      <c r="L913" s="3">
        <f>Table1[[#This Row],[Price Per Unit]]*Table1[[#This Row],[Units Sold]]</f>
        <v>77396.759999999995</v>
      </c>
      <c r="M913" s="3" t="s">
        <v>173</v>
      </c>
      <c r="N913" s="3">
        <v>54</v>
      </c>
      <c r="O913" s="3" t="s">
        <v>58</v>
      </c>
      <c r="P913" s="3" t="s">
        <v>45</v>
      </c>
      <c r="Q913" s="4">
        <v>2</v>
      </c>
      <c r="R913" s="4" t="str">
        <f>IF(Table1[[#This Row],[Customer Ratings]]&gt;=4, "Good",IF(Table1[[#This Row],[Customer Ratings]]=3, "Average","Poor"))</f>
        <v>Poor</v>
      </c>
      <c r="S913" s="3" t="s">
        <v>22</v>
      </c>
    </row>
    <row r="914" spans="1:19" x14ac:dyDescent="0.25">
      <c r="A914" s="3">
        <v>913</v>
      </c>
      <c r="B914" s="5">
        <f>DATE(Table1[[#This Row],[Year]],Table1[[#This Row],[Month]],Table1[[#This Row],[Day]])</f>
        <v>44739</v>
      </c>
      <c r="C914" s="3">
        <v>27</v>
      </c>
      <c r="D914" s="3">
        <v>6</v>
      </c>
      <c r="E914" s="3">
        <v>2022</v>
      </c>
      <c r="F914" s="3" t="str">
        <f>"Qtr"&amp; " " &amp;CHOOSE(MONTH(Table1[[#This Row],[Date]]),1,1,1,2,2,2,3,3,3,4,4,4)</f>
        <v>Qtr 2</v>
      </c>
      <c r="G914" s="3" t="str">
        <f>TEXT(Table1[[#This Row],[Date]],"mmmm")</f>
        <v>June</v>
      </c>
      <c r="H914" s="3" t="s">
        <v>1081</v>
      </c>
      <c r="I914" s="3" t="s">
        <v>33</v>
      </c>
      <c r="J914" s="3">
        <v>3</v>
      </c>
      <c r="K914" s="3">
        <v>43795.35</v>
      </c>
      <c r="L914" s="3">
        <f>Table1[[#This Row],[Price Per Unit]]*Table1[[#This Row],[Units Sold]]</f>
        <v>131386.04999999999</v>
      </c>
      <c r="M914" s="3" t="s">
        <v>522</v>
      </c>
      <c r="N914" s="3">
        <v>58</v>
      </c>
      <c r="O914" s="3" t="s">
        <v>52</v>
      </c>
      <c r="P914" s="3" t="s">
        <v>16</v>
      </c>
      <c r="Q914" s="4">
        <v>2</v>
      </c>
      <c r="R914" s="4" t="str">
        <f>IF(Table1[[#This Row],[Customer Ratings]]&gt;=4, "Good",IF(Table1[[#This Row],[Customer Ratings]]=3, "Average","Poor"))</f>
        <v>Poor</v>
      </c>
      <c r="S914" s="3" t="s">
        <v>36</v>
      </c>
    </row>
    <row r="915" spans="1:19" x14ac:dyDescent="0.25">
      <c r="A915" s="3">
        <v>914</v>
      </c>
      <c r="B915" s="5">
        <f>DATE(Table1[[#This Row],[Year]],Table1[[#This Row],[Month]],Table1[[#This Row],[Day]])</f>
        <v>44739</v>
      </c>
      <c r="C915" s="3">
        <v>27</v>
      </c>
      <c r="D915" s="3">
        <v>6</v>
      </c>
      <c r="E915" s="3">
        <v>2022</v>
      </c>
      <c r="F915" s="3" t="str">
        <f>"Qtr"&amp; " " &amp;CHOOSE(MONTH(Table1[[#This Row],[Date]]),1,1,1,2,2,2,3,3,3,4,4,4)</f>
        <v>Qtr 2</v>
      </c>
      <c r="G915" s="3" t="str">
        <f>TEXT(Table1[[#This Row],[Date]],"mmmm")</f>
        <v>June</v>
      </c>
      <c r="H915" s="3" t="s">
        <v>1081</v>
      </c>
      <c r="I915" s="3" t="s">
        <v>33</v>
      </c>
      <c r="J915" s="3">
        <v>2</v>
      </c>
      <c r="K915" s="3">
        <v>48869.34</v>
      </c>
      <c r="L915" s="3">
        <f>Table1[[#This Row],[Price Per Unit]]*Table1[[#This Row],[Units Sold]]</f>
        <v>97738.68</v>
      </c>
      <c r="M915" s="3" t="s">
        <v>658</v>
      </c>
      <c r="N915" s="3">
        <v>24</v>
      </c>
      <c r="O915" s="3" t="s">
        <v>105</v>
      </c>
      <c r="P915" s="3" t="s">
        <v>21</v>
      </c>
      <c r="Q915" s="4">
        <v>3</v>
      </c>
      <c r="R915" s="4" t="str">
        <f>IF(Table1[[#This Row],[Customer Ratings]]&gt;=4, "Good",IF(Table1[[#This Row],[Customer Ratings]]=3, "Average","Poor"))</f>
        <v>Average</v>
      </c>
      <c r="S915" s="3" t="s">
        <v>83</v>
      </c>
    </row>
    <row r="916" spans="1:19" x14ac:dyDescent="0.25">
      <c r="A916" s="3">
        <v>915</v>
      </c>
      <c r="B916" s="5">
        <f>DATE(Table1[[#This Row],[Year]],Table1[[#This Row],[Month]],Table1[[#This Row],[Day]])</f>
        <v>44739</v>
      </c>
      <c r="C916" s="3">
        <v>27</v>
      </c>
      <c r="D916" s="3">
        <v>6</v>
      </c>
      <c r="E916" s="3">
        <v>2022</v>
      </c>
      <c r="F916" s="3" t="str">
        <f>"Qtr"&amp; " " &amp;CHOOSE(MONTH(Table1[[#This Row],[Date]]),1,1,1,2,2,2,3,3,3,4,4,4)</f>
        <v>Qtr 2</v>
      </c>
      <c r="G916" s="3" t="str">
        <f>TEXT(Table1[[#This Row],[Date]],"mmmm")</f>
        <v>June</v>
      </c>
      <c r="H916" s="3" t="s">
        <v>1081</v>
      </c>
      <c r="I916" s="3" t="s">
        <v>28</v>
      </c>
      <c r="J916" s="3">
        <v>7</v>
      </c>
      <c r="K916" s="3">
        <v>22572.080000000002</v>
      </c>
      <c r="L916" s="3">
        <f>Table1[[#This Row],[Price Per Unit]]*Table1[[#This Row],[Units Sold]]</f>
        <v>158004.56</v>
      </c>
      <c r="M916" s="3" t="s">
        <v>479</v>
      </c>
      <c r="N916" s="3">
        <v>26</v>
      </c>
      <c r="O916" s="3" t="s">
        <v>52</v>
      </c>
      <c r="P916" s="3" t="s">
        <v>45</v>
      </c>
      <c r="Q916" s="4">
        <v>4</v>
      </c>
      <c r="R916" s="4" t="str">
        <f>IF(Table1[[#This Row],[Customer Ratings]]&gt;=4, "Good",IF(Table1[[#This Row],[Customer Ratings]]=3, "Average","Poor"))</f>
        <v>Good</v>
      </c>
      <c r="S916" s="3" t="s">
        <v>32</v>
      </c>
    </row>
    <row r="917" spans="1:19" x14ac:dyDescent="0.25">
      <c r="A917" s="3">
        <v>916</v>
      </c>
      <c r="B917" s="5">
        <f>DATE(Table1[[#This Row],[Year]],Table1[[#This Row],[Month]],Table1[[#This Row],[Day]])</f>
        <v>44740</v>
      </c>
      <c r="C917" s="3">
        <v>28</v>
      </c>
      <c r="D917" s="3">
        <v>6</v>
      </c>
      <c r="E917" s="3">
        <v>2022</v>
      </c>
      <c r="F917" s="3" t="str">
        <f>"Qtr"&amp; " " &amp;CHOOSE(MONTH(Table1[[#This Row],[Date]]),1,1,1,2,2,2,3,3,3,4,4,4)</f>
        <v>Qtr 2</v>
      </c>
      <c r="G917" s="3" t="str">
        <f>TEXT(Table1[[#This Row],[Date]],"mmmm")</f>
        <v>June</v>
      </c>
      <c r="H917" s="3" t="s">
        <v>1082</v>
      </c>
      <c r="I917" s="3" t="s">
        <v>33</v>
      </c>
      <c r="J917" s="3">
        <v>1</v>
      </c>
      <c r="K917" s="3">
        <v>18706.330000000002</v>
      </c>
      <c r="L917" s="3">
        <f>Table1[[#This Row],[Price Per Unit]]*Table1[[#This Row],[Units Sold]]</f>
        <v>18706.330000000002</v>
      </c>
      <c r="M917" s="3" t="s">
        <v>659</v>
      </c>
      <c r="N917" s="3">
        <v>21</v>
      </c>
      <c r="O917" s="3" t="s">
        <v>35</v>
      </c>
      <c r="P917" s="3" t="s">
        <v>21</v>
      </c>
      <c r="Q917" s="4">
        <v>3</v>
      </c>
      <c r="R917" s="4" t="str">
        <f>IF(Table1[[#This Row],[Customer Ratings]]&gt;=4, "Good",IF(Table1[[#This Row],[Customer Ratings]]=3, "Average","Poor"))</f>
        <v>Average</v>
      </c>
      <c r="S917" s="3" t="s">
        <v>36</v>
      </c>
    </row>
    <row r="918" spans="1:19" x14ac:dyDescent="0.25">
      <c r="A918" s="3">
        <v>917</v>
      </c>
      <c r="B918" s="5">
        <f>DATE(Table1[[#This Row],[Year]],Table1[[#This Row],[Month]],Table1[[#This Row],[Day]])</f>
        <v>44740</v>
      </c>
      <c r="C918" s="3">
        <v>28</v>
      </c>
      <c r="D918" s="3">
        <v>6</v>
      </c>
      <c r="E918" s="3">
        <v>2022</v>
      </c>
      <c r="F918" s="3" t="str">
        <f>"Qtr"&amp; " " &amp;CHOOSE(MONTH(Table1[[#This Row],[Date]]),1,1,1,2,2,2,3,3,3,4,4,4)</f>
        <v>Qtr 2</v>
      </c>
      <c r="G918" s="3" t="str">
        <f>TEXT(Table1[[#This Row],[Date]],"mmmm")</f>
        <v>June</v>
      </c>
      <c r="H918" s="3" t="s">
        <v>1082</v>
      </c>
      <c r="I918" s="3" t="s">
        <v>28</v>
      </c>
      <c r="J918" s="3">
        <v>3</v>
      </c>
      <c r="K918" s="3">
        <v>64262.87</v>
      </c>
      <c r="L918" s="3">
        <f>Table1[[#This Row],[Price Per Unit]]*Table1[[#This Row],[Units Sold]]</f>
        <v>192788.61000000002</v>
      </c>
      <c r="M918" s="3" t="s">
        <v>242</v>
      </c>
      <c r="N918" s="3">
        <v>42</v>
      </c>
      <c r="O918" s="3" t="s">
        <v>24</v>
      </c>
      <c r="P918" s="3" t="s">
        <v>16</v>
      </c>
      <c r="Q918" s="4">
        <v>5</v>
      </c>
      <c r="R918" s="4" t="str">
        <f>IF(Table1[[#This Row],[Customer Ratings]]&gt;=4, "Good",IF(Table1[[#This Row],[Customer Ratings]]=3, "Average","Poor"))</f>
        <v>Good</v>
      </c>
      <c r="S918" s="3" t="s">
        <v>38</v>
      </c>
    </row>
    <row r="919" spans="1:19" x14ac:dyDescent="0.25">
      <c r="A919" s="3">
        <v>918</v>
      </c>
      <c r="B919" s="5">
        <f>DATE(Table1[[#This Row],[Year]],Table1[[#This Row],[Month]],Table1[[#This Row],[Day]])</f>
        <v>44740</v>
      </c>
      <c r="C919" s="3">
        <v>28</v>
      </c>
      <c r="D919" s="3">
        <v>6</v>
      </c>
      <c r="E919" s="3">
        <v>2022</v>
      </c>
      <c r="F919" s="3" t="str">
        <f>"Qtr"&amp; " " &amp;CHOOSE(MONTH(Table1[[#This Row],[Date]]),1,1,1,2,2,2,3,3,3,4,4,4)</f>
        <v>Qtr 2</v>
      </c>
      <c r="G919" s="3" t="str">
        <f>TEXT(Table1[[#This Row],[Date]],"mmmm")</f>
        <v>June</v>
      </c>
      <c r="H919" s="3" t="s">
        <v>1082</v>
      </c>
      <c r="I919" s="3" t="s">
        <v>28</v>
      </c>
      <c r="J919" s="3">
        <v>4</v>
      </c>
      <c r="K919" s="3">
        <v>68128.990000000005</v>
      </c>
      <c r="L919" s="3">
        <f>Table1[[#This Row],[Price Per Unit]]*Table1[[#This Row],[Units Sold]]</f>
        <v>272515.96000000002</v>
      </c>
      <c r="M919" s="3" t="s">
        <v>404</v>
      </c>
      <c r="N919" s="3">
        <v>29</v>
      </c>
      <c r="O919" s="3" t="s">
        <v>137</v>
      </c>
      <c r="P919" s="3" t="s">
        <v>31</v>
      </c>
      <c r="Q919" s="4">
        <v>5</v>
      </c>
      <c r="R919" s="4" t="str">
        <f>IF(Table1[[#This Row],[Customer Ratings]]&gt;=4, "Good",IF(Table1[[#This Row],[Customer Ratings]]=3, "Average","Poor"))</f>
        <v>Good</v>
      </c>
      <c r="S919" s="3" t="s">
        <v>87</v>
      </c>
    </row>
    <row r="920" spans="1:19" x14ac:dyDescent="0.25">
      <c r="A920" s="3">
        <v>919</v>
      </c>
      <c r="B920" s="5">
        <f>DATE(Table1[[#This Row],[Year]],Table1[[#This Row],[Month]],Table1[[#This Row],[Day]])</f>
        <v>44741</v>
      </c>
      <c r="C920" s="3">
        <v>29</v>
      </c>
      <c r="D920" s="3">
        <v>6</v>
      </c>
      <c r="E920" s="3">
        <v>2022</v>
      </c>
      <c r="F920" s="3" t="str">
        <f>"Qtr"&amp; " " &amp;CHOOSE(MONTH(Table1[[#This Row],[Date]]),1,1,1,2,2,2,3,3,3,4,4,4)</f>
        <v>Qtr 2</v>
      </c>
      <c r="G920" s="3" t="str">
        <f>TEXT(Table1[[#This Row],[Date]],"mmmm")</f>
        <v>June</v>
      </c>
      <c r="H920" s="3" t="s">
        <v>1083</v>
      </c>
      <c r="I920" s="3" t="s">
        <v>33</v>
      </c>
      <c r="J920" s="3">
        <v>1</v>
      </c>
      <c r="K920" s="3">
        <v>69513.570000000007</v>
      </c>
      <c r="L920" s="3">
        <f>Table1[[#This Row],[Price Per Unit]]*Table1[[#This Row],[Units Sold]]</f>
        <v>69513.570000000007</v>
      </c>
      <c r="M920" s="3" t="s">
        <v>660</v>
      </c>
      <c r="N920" s="3">
        <v>23</v>
      </c>
      <c r="O920" s="3" t="s">
        <v>20</v>
      </c>
      <c r="P920" s="3" t="s">
        <v>16</v>
      </c>
      <c r="Q920" s="4">
        <v>3</v>
      </c>
      <c r="R920" s="4" t="str">
        <f>IF(Table1[[#This Row],[Customer Ratings]]&gt;=4, "Good",IF(Table1[[#This Row],[Customer Ratings]]=3, "Average","Poor"))</f>
        <v>Average</v>
      </c>
      <c r="S920" s="3" t="s">
        <v>46</v>
      </c>
    </row>
    <row r="921" spans="1:19" x14ac:dyDescent="0.25">
      <c r="A921" s="3">
        <v>920</v>
      </c>
      <c r="B921" s="5">
        <f>DATE(Table1[[#This Row],[Year]],Table1[[#This Row],[Month]],Table1[[#This Row],[Day]])</f>
        <v>44741</v>
      </c>
      <c r="C921" s="3">
        <v>29</v>
      </c>
      <c r="D921" s="3">
        <v>6</v>
      </c>
      <c r="E921" s="3">
        <v>2022</v>
      </c>
      <c r="F921" s="3" t="str">
        <f>"Qtr"&amp; " " &amp;CHOOSE(MONTH(Table1[[#This Row],[Date]]),1,1,1,2,2,2,3,3,3,4,4,4)</f>
        <v>Qtr 2</v>
      </c>
      <c r="G921" s="3" t="str">
        <f>TEXT(Table1[[#This Row],[Date]],"mmmm")</f>
        <v>June</v>
      </c>
      <c r="H921" s="3" t="s">
        <v>1083</v>
      </c>
      <c r="I921" s="3" t="s">
        <v>13</v>
      </c>
      <c r="J921" s="3">
        <v>5</v>
      </c>
      <c r="K921" s="3">
        <v>57385.71</v>
      </c>
      <c r="L921" s="3">
        <f>Table1[[#This Row],[Price Per Unit]]*Table1[[#This Row],[Units Sold]]</f>
        <v>286928.55</v>
      </c>
      <c r="M921" s="3" t="s">
        <v>661</v>
      </c>
      <c r="N921" s="3">
        <v>35</v>
      </c>
      <c r="O921" s="3" t="s">
        <v>48</v>
      </c>
      <c r="P921" s="3" t="s">
        <v>31</v>
      </c>
      <c r="Q921" s="4">
        <v>3</v>
      </c>
      <c r="R921" s="4" t="str">
        <f>IF(Table1[[#This Row],[Customer Ratings]]&gt;=4, "Good",IF(Table1[[#This Row],[Customer Ratings]]=3, "Average","Poor"))</f>
        <v>Average</v>
      </c>
      <c r="S921" s="3" t="s">
        <v>17</v>
      </c>
    </row>
    <row r="922" spans="1:19" x14ac:dyDescent="0.25">
      <c r="A922" s="3">
        <v>921</v>
      </c>
      <c r="B922" s="5">
        <f>DATE(Table1[[#This Row],[Year]],Table1[[#This Row],[Month]],Table1[[#This Row],[Day]])</f>
        <v>44741</v>
      </c>
      <c r="C922" s="3">
        <v>29</v>
      </c>
      <c r="D922" s="3">
        <v>6</v>
      </c>
      <c r="E922" s="3">
        <v>2022</v>
      </c>
      <c r="F922" s="3" t="str">
        <f>"Qtr"&amp; " " &amp;CHOOSE(MONTH(Table1[[#This Row],[Date]]),1,1,1,2,2,2,3,3,3,4,4,4)</f>
        <v>Qtr 2</v>
      </c>
      <c r="G922" s="3" t="str">
        <f>TEXT(Table1[[#This Row],[Date]],"mmmm")</f>
        <v>June</v>
      </c>
      <c r="H922" s="3" t="s">
        <v>1083</v>
      </c>
      <c r="I922" s="3" t="s">
        <v>13</v>
      </c>
      <c r="J922" s="3">
        <v>3</v>
      </c>
      <c r="K922" s="3">
        <v>49810.12</v>
      </c>
      <c r="L922" s="3">
        <f>Table1[[#This Row],[Price Per Unit]]*Table1[[#This Row],[Units Sold]]</f>
        <v>149430.36000000002</v>
      </c>
      <c r="M922" s="3" t="s">
        <v>466</v>
      </c>
      <c r="N922" s="3">
        <v>57</v>
      </c>
      <c r="O922" s="3" t="s">
        <v>120</v>
      </c>
      <c r="P922" s="3" t="s">
        <v>31</v>
      </c>
      <c r="Q922" s="4">
        <v>5</v>
      </c>
      <c r="R922" s="4" t="str">
        <f>IF(Table1[[#This Row],[Customer Ratings]]&gt;=4, "Good",IF(Table1[[#This Row],[Customer Ratings]]=3, "Average","Poor"))</f>
        <v>Good</v>
      </c>
      <c r="S922" s="3" t="s">
        <v>17</v>
      </c>
    </row>
    <row r="923" spans="1:19" x14ac:dyDescent="0.25">
      <c r="A923" s="3">
        <v>922</v>
      </c>
      <c r="B923" s="5">
        <f>DATE(Table1[[#This Row],[Year]],Table1[[#This Row],[Month]],Table1[[#This Row],[Day]])</f>
        <v>44742</v>
      </c>
      <c r="C923" s="3">
        <v>30</v>
      </c>
      <c r="D923" s="3">
        <v>6</v>
      </c>
      <c r="E923" s="3">
        <v>2022</v>
      </c>
      <c r="F923" s="3" t="str">
        <f>"Qtr"&amp; " " &amp;CHOOSE(MONTH(Table1[[#This Row],[Date]]),1,1,1,2,2,2,3,3,3,4,4,4)</f>
        <v>Qtr 2</v>
      </c>
      <c r="G923" s="3" t="str">
        <f>TEXT(Table1[[#This Row],[Date]],"mmmm")</f>
        <v>June</v>
      </c>
      <c r="H923" s="3" t="s">
        <v>1084</v>
      </c>
      <c r="I923" s="3" t="s">
        <v>28</v>
      </c>
      <c r="J923" s="3">
        <v>2</v>
      </c>
      <c r="K923" s="3">
        <v>30743.82</v>
      </c>
      <c r="L923" s="3">
        <f>Table1[[#This Row],[Price Per Unit]]*Table1[[#This Row],[Units Sold]]</f>
        <v>61487.64</v>
      </c>
      <c r="M923" s="3" t="s">
        <v>93</v>
      </c>
      <c r="N923" s="3">
        <v>38</v>
      </c>
      <c r="O923" s="3" t="s">
        <v>20</v>
      </c>
      <c r="P923" s="3" t="s">
        <v>45</v>
      </c>
      <c r="Q923" s="4">
        <v>5</v>
      </c>
      <c r="R923" s="4" t="str">
        <f>IF(Table1[[#This Row],[Customer Ratings]]&gt;=4, "Good",IF(Table1[[#This Row],[Customer Ratings]]=3, "Average","Poor"))</f>
        <v>Good</v>
      </c>
      <c r="S923" s="3" t="s">
        <v>38</v>
      </c>
    </row>
    <row r="924" spans="1:19" x14ac:dyDescent="0.25">
      <c r="A924" s="3">
        <v>923</v>
      </c>
      <c r="B924" s="5">
        <f>DATE(Table1[[#This Row],[Year]],Table1[[#This Row],[Month]],Table1[[#This Row],[Day]])</f>
        <v>44742</v>
      </c>
      <c r="C924" s="3">
        <v>30</v>
      </c>
      <c r="D924" s="3">
        <v>6</v>
      </c>
      <c r="E924" s="3">
        <v>2022</v>
      </c>
      <c r="F924" s="3" t="str">
        <f>"Qtr"&amp; " " &amp;CHOOSE(MONTH(Table1[[#This Row],[Date]]),1,1,1,2,2,2,3,3,3,4,4,4)</f>
        <v>Qtr 2</v>
      </c>
      <c r="G924" s="3" t="str">
        <f>TEXT(Table1[[#This Row],[Date]],"mmmm")</f>
        <v>June</v>
      </c>
      <c r="H924" s="3" t="s">
        <v>1084</v>
      </c>
      <c r="I924" s="3" t="s">
        <v>33</v>
      </c>
      <c r="J924" s="3">
        <v>3</v>
      </c>
      <c r="K924" s="3">
        <v>20283.900000000001</v>
      </c>
      <c r="L924" s="3">
        <f>Table1[[#This Row],[Price Per Unit]]*Table1[[#This Row],[Units Sold]]</f>
        <v>60851.700000000004</v>
      </c>
      <c r="M924" s="3" t="s">
        <v>662</v>
      </c>
      <c r="N924" s="3">
        <v>32</v>
      </c>
      <c r="O924" s="3" t="s">
        <v>105</v>
      </c>
      <c r="P924" s="3" t="s">
        <v>31</v>
      </c>
      <c r="Q924" s="4">
        <v>2</v>
      </c>
      <c r="R924" s="4" t="str">
        <f>IF(Table1[[#This Row],[Customer Ratings]]&gt;=4, "Good",IF(Table1[[#This Row],[Customer Ratings]]=3, "Average","Poor"))</f>
        <v>Poor</v>
      </c>
      <c r="S924" s="3" t="s">
        <v>83</v>
      </c>
    </row>
    <row r="925" spans="1:19" x14ac:dyDescent="0.25">
      <c r="A925" s="3">
        <v>924</v>
      </c>
      <c r="B925" s="5">
        <f>DATE(Table1[[#This Row],[Year]],Table1[[#This Row],[Month]],Table1[[#This Row],[Day]])</f>
        <v>44742</v>
      </c>
      <c r="C925" s="3">
        <v>30</v>
      </c>
      <c r="D925" s="3">
        <v>6</v>
      </c>
      <c r="E925" s="3">
        <v>2022</v>
      </c>
      <c r="F925" s="3" t="str">
        <f>"Qtr"&amp; " " &amp;CHOOSE(MONTH(Table1[[#This Row],[Date]]),1,1,1,2,2,2,3,3,3,4,4,4)</f>
        <v>Qtr 2</v>
      </c>
      <c r="G925" s="3" t="str">
        <f>TEXT(Table1[[#This Row],[Date]],"mmmm")</f>
        <v>June</v>
      </c>
      <c r="H925" s="3" t="s">
        <v>1084</v>
      </c>
      <c r="I925" s="3" t="s">
        <v>13</v>
      </c>
      <c r="J925" s="3">
        <v>8</v>
      </c>
      <c r="K925" s="3">
        <v>14738.84</v>
      </c>
      <c r="L925" s="3">
        <f>Table1[[#This Row],[Price Per Unit]]*Table1[[#This Row],[Units Sold]]</f>
        <v>117910.72</v>
      </c>
      <c r="M925" s="3" t="s">
        <v>521</v>
      </c>
      <c r="N925" s="3">
        <v>20</v>
      </c>
      <c r="O925" s="3" t="s">
        <v>20</v>
      </c>
      <c r="P925" s="3" t="s">
        <v>31</v>
      </c>
      <c r="Q925" s="4">
        <v>2</v>
      </c>
      <c r="R925" s="4" t="str">
        <f>IF(Table1[[#This Row],[Customer Ratings]]&gt;=4, "Good",IF(Table1[[#This Row],[Customer Ratings]]=3, "Average","Poor"))</f>
        <v>Poor</v>
      </c>
      <c r="S925" s="3" t="s">
        <v>27</v>
      </c>
    </row>
    <row r="926" spans="1:19" x14ac:dyDescent="0.25">
      <c r="A926" s="3">
        <v>925</v>
      </c>
      <c r="B926" s="5">
        <f>DATE(Table1[[#This Row],[Year]],Table1[[#This Row],[Month]],Table1[[#This Row],[Day]])</f>
        <v>44743</v>
      </c>
      <c r="C926" s="3">
        <v>1</v>
      </c>
      <c r="D926" s="3">
        <v>7</v>
      </c>
      <c r="E926" s="3">
        <v>2022</v>
      </c>
      <c r="F926" s="3" t="str">
        <f>"Qtr"&amp; " " &amp;CHOOSE(MONTH(Table1[[#This Row],[Date]]),1,1,1,2,2,2,3,3,3,4,4,4)</f>
        <v>Qtr 3</v>
      </c>
      <c r="G926" s="3" t="str">
        <f>TEXT(Table1[[#This Row],[Date]],"mmmm")</f>
        <v>July</v>
      </c>
      <c r="H926" s="3" t="s">
        <v>1085</v>
      </c>
      <c r="I926" s="3" t="s">
        <v>33</v>
      </c>
      <c r="J926" s="3">
        <v>6</v>
      </c>
      <c r="K926" s="3">
        <v>51597.85</v>
      </c>
      <c r="L926" s="3">
        <f>Table1[[#This Row],[Price Per Unit]]*Table1[[#This Row],[Units Sold]]</f>
        <v>309587.09999999998</v>
      </c>
      <c r="M926" s="3" t="s">
        <v>663</v>
      </c>
      <c r="N926" s="3">
        <v>19</v>
      </c>
      <c r="O926" s="3" t="s">
        <v>65</v>
      </c>
      <c r="P926" s="3" t="s">
        <v>31</v>
      </c>
      <c r="Q926" s="4">
        <v>5</v>
      </c>
      <c r="R926" s="4" t="str">
        <f>IF(Table1[[#This Row],[Customer Ratings]]&gt;=4, "Good",IF(Table1[[#This Row],[Customer Ratings]]=3, "Average","Poor"))</f>
        <v>Good</v>
      </c>
      <c r="S926" s="3" t="s">
        <v>46</v>
      </c>
    </row>
    <row r="927" spans="1:19" x14ac:dyDescent="0.25">
      <c r="A927" s="3">
        <v>926</v>
      </c>
      <c r="B927" s="5">
        <f>DATE(Table1[[#This Row],[Year]],Table1[[#This Row],[Month]],Table1[[#This Row],[Day]])</f>
        <v>44743</v>
      </c>
      <c r="C927" s="3">
        <v>1</v>
      </c>
      <c r="D927" s="3">
        <v>7</v>
      </c>
      <c r="E927" s="3">
        <v>2022</v>
      </c>
      <c r="F927" s="3" t="str">
        <f>"Qtr"&amp; " " &amp;CHOOSE(MONTH(Table1[[#This Row],[Date]]),1,1,1,2,2,2,3,3,3,4,4,4)</f>
        <v>Qtr 3</v>
      </c>
      <c r="G927" s="3" t="str">
        <f>TEXT(Table1[[#This Row],[Date]],"mmmm")</f>
        <v>July</v>
      </c>
      <c r="H927" s="3" t="s">
        <v>1085</v>
      </c>
      <c r="I927" s="3" t="s">
        <v>33</v>
      </c>
      <c r="J927" s="3">
        <v>7</v>
      </c>
      <c r="K927" s="3">
        <v>57083.4</v>
      </c>
      <c r="L927" s="3">
        <f>Table1[[#This Row],[Price Per Unit]]*Table1[[#This Row],[Units Sold]]</f>
        <v>399583.8</v>
      </c>
      <c r="M927" s="3" t="s">
        <v>598</v>
      </c>
      <c r="N927" s="3">
        <v>58</v>
      </c>
      <c r="O927" s="3" t="s">
        <v>24</v>
      </c>
      <c r="P927" s="3" t="s">
        <v>21</v>
      </c>
      <c r="Q927" s="4">
        <v>3</v>
      </c>
      <c r="R927" s="4" t="str">
        <f>IF(Table1[[#This Row],[Customer Ratings]]&gt;=4, "Good",IF(Table1[[#This Row],[Customer Ratings]]=3, "Average","Poor"))</f>
        <v>Average</v>
      </c>
      <c r="S927" s="3" t="s">
        <v>46</v>
      </c>
    </row>
    <row r="928" spans="1:19" x14ac:dyDescent="0.25">
      <c r="A928" s="3">
        <v>927</v>
      </c>
      <c r="B928" s="5">
        <f>DATE(Table1[[#This Row],[Year]],Table1[[#This Row],[Month]],Table1[[#This Row],[Day]])</f>
        <v>44743</v>
      </c>
      <c r="C928" s="3">
        <v>1</v>
      </c>
      <c r="D928" s="3">
        <v>7</v>
      </c>
      <c r="E928" s="3">
        <v>2022</v>
      </c>
      <c r="F928" s="3" t="str">
        <f>"Qtr"&amp; " " &amp;CHOOSE(MONTH(Table1[[#This Row],[Date]]),1,1,1,2,2,2,3,3,3,4,4,4)</f>
        <v>Qtr 3</v>
      </c>
      <c r="G928" s="3" t="str">
        <f>TEXT(Table1[[#This Row],[Date]],"mmmm")</f>
        <v>July</v>
      </c>
      <c r="H928" s="3" t="s">
        <v>1085</v>
      </c>
      <c r="I928" s="3" t="s">
        <v>33</v>
      </c>
      <c r="J928" s="3">
        <v>6</v>
      </c>
      <c r="K928" s="3">
        <v>59587.22</v>
      </c>
      <c r="L928" s="3">
        <f>Table1[[#This Row],[Price Per Unit]]*Table1[[#This Row],[Units Sold]]</f>
        <v>357523.32</v>
      </c>
      <c r="M928" s="3" t="s">
        <v>152</v>
      </c>
      <c r="N928" s="3">
        <v>57</v>
      </c>
      <c r="O928" s="3" t="s">
        <v>137</v>
      </c>
      <c r="P928" s="3" t="s">
        <v>45</v>
      </c>
      <c r="Q928" s="4">
        <v>5</v>
      </c>
      <c r="R928" s="4" t="str">
        <f>IF(Table1[[#This Row],[Customer Ratings]]&gt;=4, "Good",IF(Table1[[#This Row],[Customer Ratings]]=3, "Average","Poor"))</f>
        <v>Good</v>
      </c>
      <c r="S928" s="3" t="s">
        <v>83</v>
      </c>
    </row>
    <row r="929" spans="1:19" x14ac:dyDescent="0.25">
      <c r="A929" s="3">
        <v>928</v>
      </c>
      <c r="B929" s="5">
        <f>DATE(Table1[[#This Row],[Year]],Table1[[#This Row],[Month]],Table1[[#This Row],[Day]])</f>
        <v>44743</v>
      </c>
      <c r="C929" s="3">
        <v>1</v>
      </c>
      <c r="D929" s="3">
        <v>7</v>
      </c>
      <c r="E929" s="3">
        <v>2022</v>
      </c>
      <c r="F929" s="3" t="str">
        <f>"Qtr"&amp; " " &amp;CHOOSE(MONTH(Table1[[#This Row],[Date]]),1,1,1,2,2,2,3,3,3,4,4,4)</f>
        <v>Qtr 3</v>
      </c>
      <c r="G929" s="3" t="str">
        <f>TEXT(Table1[[#This Row],[Date]],"mmmm")</f>
        <v>July</v>
      </c>
      <c r="H929" s="3" t="s">
        <v>1085</v>
      </c>
      <c r="I929" s="3" t="s">
        <v>39</v>
      </c>
      <c r="J929" s="3">
        <v>6</v>
      </c>
      <c r="K929" s="3">
        <v>64825.9</v>
      </c>
      <c r="L929" s="3">
        <f>Table1[[#This Row],[Price Per Unit]]*Table1[[#This Row],[Units Sold]]</f>
        <v>388955.4</v>
      </c>
      <c r="M929" s="3" t="s">
        <v>664</v>
      </c>
      <c r="N929" s="3">
        <v>21</v>
      </c>
      <c r="O929" s="3" t="s">
        <v>54</v>
      </c>
      <c r="P929" s="3" t="s">
        <v>45</v>
      </c>
      <c r="Q929" s="4">
        <v>3</v>
      </c>
      <c r="R929" s="4" t="str">
        <f>IF(Table1[[#This Row],[Customer Ratings]]&gt;=4, "Good",IF(Table1[[#This Row],[Customer Ratings]]=3, "Average","Poor"))</f>
        <v>Average</v>
      </c>
      <c r="S929" s="3" t="s">
        <v>76</v>
      </c>
    </row>
    <row r="930" spans="1:19" x14ac:dyDescent="0.25">
      <c r="A930" s="3">
        <v>929</v>
      </c>
      <c r="B930" s="5">
        <f>DATE(Table1[[#This Row],[Year]],Table1[[#This Row],[Month]],Table1[[#This Row],[Day]])</f>
        <v>44744</v>
      </c>
      <c r="C930" s="3">
        <v>2</v>
      </c>
      <c r="D930" s="3">
        <v>7</v>
      </c>
      <c r="E930" s="3">
        <v>2022</v>
      </c>
      <c r="F930" s="3" t="str">
        <f>"Qtr"&amp; " " &amp;CHOOSE(MONTH(Table1[[#This Row],[Date]]),1,1,1,2,2,2,3,3,3,4,4,4)</f>
        <v>Qtr 3</v>
      </c>
      <c r="G930" s="3" t="str">
        <f>TEXT(Table1[[#This Row],[Date]],"mmmm")</f>
        <v>July</v>
      </c>
      <c r="H930" s="3" t="s">
        <v>1079</v>
      </c>
      <c r="I930" s="3" t="s">
        <v>33</v>
      </c>
      <c r="J930" s="3">
        <v>3</v>
      </c>
      <c r="K930" s="3">
        <v>62795.77</v>
      </c>
      <c r="L930" s="3">
        <f>Table1[[#This Row],[Price Per Unit]]*Table1[[#This Row],[Units Sold]]</f>
        <v>188387.31</v>
      </c>
      <c r="M930" s="3" t="s">
        <v>267</v>
      </c>
      <c r="N930" s="3">
        <v>49</v>
      </c>
      <c r="O930" s="3" t="s">
        <v>20</v>
      </c>
      <c r="P930" s="3" t="s">
        <v>31</v>
      </c>
      <c r="Q930" s="4">
        <v>5</v>
      </c>
      <c r="R930" s="4" t="str">
        <f>IF(Table1[[#This Row],[Customer Ratings]]&gt;=4, "Good",IF(Table1[[#This Row],[Customer Ratings]]=3, "Average","Poor"))</f>
        <v>Good</v>
      </c>
      <c r="S930" s="3" t="s">
        <v>46</v>
      </c>
    </row>
    <row r="931" spans="1:19" x14ac:dyDescent="0.25">
      <c r="A931" s="3">
        <v>930</v>
      </c>
      <c r="B931" s="5">
        <f>DATE(Table1[[#This Row],[Year]],Table1[[#This Row],[Month]],Table1[[#This Row],[Day]])</f>
        <v>44744</v>
      </c>
      <c r="C931" s="3">
        <v>2</v>
      </c>
      <c r="D931" s="3">
        <v>7</v>
      </c>
      <c r="E931" s="3">
        <v>2022</v>
      </c>
      <c r="F931" s="3" t="str">
        <f>"Qtr"&amp; " " &amp;CHOOSE(MONTH(Table1[[#This Row],[Date]]),1,1,1,2,2,2,3,3,3,4,4,4)</f>
        <v>Qtr 3</v>
      </c>
      <c r="G931" s="3" t="str">
        <f>TEXT(Table1[[#This Row],[Date]],"mmmm")</f>
        <v>July</v>
      </c>
      <c r="H931" s="3" t="s">
        <v>1079</v>
      </c>
      <c r="I931" s="3" t="s">
        <v>39</v>
      </c>
      <c r="J931" s="3">
        <v>8</v>
      </c>
      <c r="K931" s="3">
        <v>69984.479999999996</v>
      </c>
      <c r="L931" s="3">
        <f>Table1[[#This Row],[Price Per Unit]]*Table1[[#This Row],[Units Sold]]</f>
        <v>559875.83999999997</v>
      </c>
      <c r="M931" s="3" t="s">
        <v>600</v>
      </c>
      <c r="N931" s="3">
        <v>19</v>
      </c>
      <c r="O931" s="3" t="s">
        <v>24</v>
      </c>
      <c r="P931" s="3" t="s">
        <v>21</v>
      </c>
      <c r="Q931" s="4">
        <v>5</v>
      </c>
      <c r="R931" s="4" t="str">
        <f>IF(Table1[[#This Row],[Customer Ratings]]&gt;=4, "Good",IF(Table1[[#This Row],[Customer Ratings]]=3, "Average","Poor"))</f>
        <v>Good</v>
      </c>
      <c r="S931" s="3" t="s">
        <v>76</v>
      </c>
    </row>
    <row r="932" spans="1:19" x14ac:dyDescent="0.25">
      <c r="A932" s="3">
        <v>931</v>
      </c>
      <c r="B932" s="5">
        <f>DATE(Table1[[#This Row],[Year]],Table1[[#This Row],[Month]],Table1[[#This Row],[Day]])</f>
        <v>44744</v>
      </c>
      <c r="C932" s="3">
        <v>2</v>
      </c>
      <c r="D932" s="3">
        <v>7</v>
      </c>
      <c r="E932" s="3">
        <v>2022</v>
      </c>
      <c r="F932" s="3" t="str">
        <f>"Qtr"&amp; " " &amp;CHOOSE(MONTH(Table1[[#This Row],[Date]]),1,1,1,2,2,2,3,3,3,4,4,4)</f>
        <v>Qtr 3</v>
      </c>
      <c r="G932" s="3" t="str">
        <f>TEXT(Table1[[#This Row],[Date]],"mmmm")</f>
        <v>July</v>
      </c>
      <c r="H932" s="3" t="s">
        <v>1079</v>
      </c>
      <c r="I932" s="3" t="s">
        <v>28</v>
      </c>
      <c r="J932" s="3">
        <v>7</v>
      </c>
      <c r="K932" s="3">
        <v>24643.84</v>
      </c>
      <c r="L932" s="3">
        <f>Table1[[#This Row],[Price Per Unit]]*Table1[[#This Row],[Units Sold]]</f>
        <v>172506.88</v>
      </c>
      <c r="M932" s="3" t="s">
        <v>664</v>
      </c>
      <c r="N932" s="3">
        <v>46</v>
      </c>
      <c r="O932" s="3" t="s">
        <v>102</v>
      </c>
      <c r="P932" s="3" t="s">
        <v>31</v>
      </c>
      <c r="Q932" s="4">
        <v>5</v>
      </c>
      <c r="R932" s="4" t="str">
        <f>IF(Table1[[#This Row],[Customer Ratings]]&gt;=4, "Good",IF(Table1[[#This Row],[Customer Ratings]]=3, "Average","Poor"))</f>
        <v>Good</v>
      </c>
      <c r="S932" s="3" t="s">
        <v>32</v>
      </c>
    </row>
    <row r="933" spans="1:19" x14ac:dyDescent="0.25">
      <c r="A933" s="3">
        <v>932</v>
      </c>
      <c r="B933" s="5">
        <f>DATE(Table1[[#This Row],[Year]],Table1[[#This Row],[Month]],Table1[[#This Row],[Day]])</f>
        <v>44744</v>
      </c>
      <c r="C933" s="3">
        <v>2</v>
      </c>
      <c r="D933" s="3">
        <v>7</v>
      </c>
      <c r="E933" s="3">
        <v>2022</v>
      </c>
      <c r="F933" s="3" t="str">
        <f>"Qtr"&amp; " " &amp;CHOOSE(MONTH(Table1[[#This Row],[Date]]),1,1,1,2,2,2,3,3,3,4,4,4)</f>
        <v>Qtr 3</v>
      </c>
      <c r="G933" s="3" t="str">
        <f>TEXT(Table1[[#This Row],[Date]],"mmmm")</f>
        <v>July</v>
      </c>
      <c r="H933" s="3" t="s">
        <v>1079</v>
      </c>
      <c r="I933" s="3" t="s">
        <v>13</v>
      </c>
      <c r="J933" s="3">
        <v>7</v>
      </c>
      <c r="K933" s="3">
        <v>55798.46</v>
      </c>
      <c r="L933" s="3">
        <f>Table1[[#This Row],[Price Per Unit]]*Table1[[#This Row],[Units Sold]]</f>
        <v>390589.22</v>
      </c>
      <c r="M933" s="3" t="s">
        <v>468</v>
      </c>
      <c r="N933" s="3">
        <v>19</v>
      </c>
      <c r="O933" s="3" t="s">
        <v>102</v>
      </c>
      <c r="P933" s="3" t="s">
        <v>45</v>
      </c>
      <c r="Q933" s="4">
        <v>2</v>
      </c>
      <c r="R933" s="4" t="str">
        <f>IF(Table1[[#This Row],[Customer Ratings]]&gt;=4, "Good",IF(Table1[[#This Row],[Customer Ratings]]=3, "Average","Poor"))</f>
        <v>Poor</v>
      </c>
      <c r="S933" s="3" t="s">
        <v>72</v>
      </c>
    </row>
    <row r="934" spans="1:19" x14ac:dyDescent="0.25">
      <c r="A934" s="3">
        <v>933</v>
      </c>
      <c r="B934" s="5">
        <f>DATE(Table1[[#This Row],[Year]],Table1[[#This Row],[Month]],Table1[[#This Row],[Day]])</f>
        <v>44745</v>
      </c>
      <c r="C934" s="3">
        <v>3</v>
      </c>
      <c r="D934" s="3">
        <v>7</v>
      </c>
      <c r="E934" s="3">
        <v>2022</v>
      </c>
      <c r="F934" s="3" t="str">
        <f>"Qtr"&amp; " " &amp;CHOOSE(MONTH(Table1[[#This Row],[Date]]),1,1,1,2,2,2,3,3,3,4,4,4)</f>
        <v>Qtr 3</v>
      </c>
      <c r="G934" s="3" t="str">
        <f>TEXT(Table1[[#This Row],[Date]],"mmmm")</f>
        <v>July</v>
      </c>
      <c r="H934" s="3" t="s">
        <v>1080</v>
      </c>
      <c r="I934" s="3" t="s">
        <v>13</v>
      </c>
      <c r="J934" s="3">
        <v>6</v>
      </c>
      <c r="K934" s="3">
        <v>45187.57</v>
      </c>
      <c r="L934" s="3">
        <f>Table1[[#This Row],[Price Per Unit]]*Table1[[#This Row],[Units Sold]]</f>
        <v>271125.42</v>
      </c>
      <c r="M934" s="3" t="s">
        <v>665</v>
      </c>
      <c r="N934" s="3">
        <v>51</v>
      </c>
      <c r="O934" s="3" t="s">
        <v>24</v>
      </c>
      <c r="P934" s="3" t="s">
        <v>45</v>
      </c>
      <c r="Q934" s="4">
        <v>5</v>
      </c>
      <c r="R934" s="4" t="str">
        <f>IF(Table1[[#This Row],[Customer Ratings]]&gt;=4, "Good",IF(Table1[[#This Row],[Customer Ratings]]=3, "Average","Poor"))</f>
        <v>Good</v>
      </c>
      <c r="S934" s="3" t="s">
        <v>72</v>
      </c>
    </row>
    <row r="935" spans="1:19" x14ac:dyDescent="0.25">
      <c r="A935" s="3">
        <v>934</v>
      </c>
      <c r="B935" s="5">
        <f>DATE(Table1[[#This Row],[Year]],Table1[[#This Row],[Month]],Table1[[#This Row],[Day]])</f>
        <v>44745</v>
      </c>
      <c r="C935" s="3">
        <v>3</v>
      </c>
      <c r="D935" s="3">
        <v>7</v>
      </c>
      <c r="E935" s="3">
        <v>2022</v>
      </c>
      <c r="F935" s="3" t="str">
        <f>"Qtr"&amp; " " &amp;CHOOSE(MONTH(Table1[[#This Row],[Date]]),1,1,1,2,2,2,3,3,3,4,4,4)</f>
        <v>Qtr 3</v>
      </c>
      <c r="G935" s="3" t="str">
        <f>TEXT(Table1[[#This Row],[Date]],"mmmm")</f>
        <v>July</v>
      </c>
      <c r="H935" s="3" t="s">
        <v>1080</v>
      </c>
      <c r="I935" s="3" t="s">
        <v>13</v>
      </c>
      <c r="J935" s="3">
        <v>5</v>
      </c>
      <c r="K935" s="3">
        <v>25674.71</v>
      </c>
      <c r="L935" s="3">
        <f>Table1[[#This Row],[Price Per Unit]]*Table1[[#This Row],[Units Sold]]</f>
        <v>128373.54999999999</v>
      </c>
      <c r="M935" s="3" t="s">
        <v>242</v>
      </c>
      <c r="N935" s="3">
        <v>44</v>
      </c>
      <c r="O935" s="3" t="s">
        <v>24</v>
      </c>
      <c r="P935" s="3" t="s">
        <v>45</v>
      </c>
      <c r="Q935" s="4">
        <v>4</v>
      </c>
      <c r="R935" s="4" t="str">
        <f>IF(Table1[[#This Row],[Customer Ratings]]&gt;=4, "Good",IF(Table1[[#This Row],[Customer Ratings]]=3, "Average","Poor"))</f>
        <v>Good</v>
      </c>
      <c r="S935" s="3" t="s">
        <v>27</v>
      </c>
    </row>
    <row r="936" spans="1:19" x14ac:dyDescent="0.25">
      <c r="A936" s="3">
        <v>935</v>
      </c>
      <c r="B936" s="5">
        <f>DATE(Table1[[#This Row],[Year]],Table1[[#This Row],[Month]],Table1[[#This Row],[Day]])</f>
        <v>44745</v>
      </c>
      <c r="C936" s="3">
        <v>3</v>
      </c>
      <c r="D936" s="3">
        <v>7</v>
      </c>
      <c r="E936" s="3">
        <v>2022</v>
      </c>
      <c r="F936" s="3" t="str">
        <f>"Qtr"&amp; " " &amp;CHOOSE(MONTH(Table1[[#This Row],[Date]]),1,1,1,2,2,2,3,3,3,4,4,4)</f>
        <v>Qtr 3</v>
      </c>
      <c r="G936" s="3" t="str">
        <f>TEXT(Table1[[#This Row],[Date]],"mmmm")</f>
        <v>July</v>
      </c>
      <c r="H936" s="3" t="s">
        <v>1080</v>
      </c>
      <c r="I936" s="3" t="s">
        <v>13</v>
      </c>
      <c r="J936" s="3">
        <v>8</v>
      </c>
      <c r="K936" s="3">
        <v>68914.320000000007</v>
      </c>
      <c r="L936" s="3">
        <f>Table1[[#This Row],[Price Per Unit]]*Table1[[#This Row],[Units Sold]]</f>
        <v>551314.56000000006</v>
      </c>
      <c r="M936" s="3" t="s">
        <v>589</v>
      </c>
      <c r="N936" s="3">
        <v>56</v>
      </c>
      <c r="O936" s="3" t="s">
        <v>20</v>
      </c>
      <c r="P936" s="3" t="s">
        <v>45</v>
      </c>
      <c r="Q936" s="4">
        <v>5</v>
      </c>
      <c r="R936" s="4" t="str">
        <f>IF(Table1[[#This Row],[Customer Ratings]]&gt;=4, "Good",IF(Table1[[#This Row],[Customer Ratings]]=3, "Average","Poor"))</f>
        <v>Good</v>
      </c>
      <c r="S936" s="3" t="s">
        <v>27</v>
      </c>
    </row>
    <row r="937" spans="1:19" x14ac:dyDescent="0.25">
      <c r="A937" s="3">
        <v>936</v>
      </c>
      <c r="B937" s="5">
        <f>DATE(Table1[[#This Row],[Year]],Table1[[#This Row],[Month]],Table1[[#This Row],[Day]])</f>
        <v>44745</v>
      </c>
      <c r="C937" s="3">
        <v>3</v>
      </c>
      <c r="D937" s="3">
        <v>7</v>
      </c>
      <c r="E937" s="3">
        <v>2022</v>
      </c>
      <c r="F937" s="3" t="str">
        <f>"Qtr"&amp; " " &amp;CHOOSE(MONTH(Table1[[#This Row],[Date]]),1,1,1,2,2,2,3,3,3,4,4,4)</f>
        <v>Qtr 3</v>
      </c>
      <c r="G937" s="3" t="str">
        <f>TEXT(Table1[[#This Row],[Date]],"mmmm")</f>
        <v>July</v>
      </c>
      <c r="H937" s="3" t="s">
        <v>1080</v>
      </c>
      <c r="I937" s="3" t="s">
        <v>13</v>
      </c>
      <c r="J937" s="3">
        <v>5</v>
      </c>
      <c r="K937" s="3">
        <v>63873.89</v>
      </c>
      <c r="L937" s="3">
        <f>Table1[[#This Row],[Price Per Unit]]*Table1[[#This Row],[Units Sold]]</f>
        <v>319369.45</v>
      </c>
      <c r="M937" s="3" t="s">
        <v>666</v>
      </c>
      <c r="N937" s="3">
        <v>55</v>
      </c>
      <c r="O937" s="3" t="s">
        <v>54</v>
      </c>
      <c r="P937" s="3" t="s">
        <v>21</v>
      </c>
      <c r="Q937" s="4">
        <v>5</v>
      </c>
      <c r="R937" s="4" t="str">
        <f>IF(Table1[[#This Row],[Customer Ratings]]&gt;=4, "Good",IF(Table1[[#This Row],[Customer Ratings]]=3, "Average","Poor"))</f>
        <v>Good</v>
      </c>
      <c r="S937" s="3" t="s">
        <v>72</v>
      </c>
    </row>
    <row r="938" spans="1:19" x14ac:dyDescent="0.25">
      <c r="A938" s="3">
        <v>937</v>
      </c>
      <c r="B938" s="5">
        <f>DATE(Table1[[#This Row],[Year]],Table1[[#This Row],[Month]],Table1[[#This Row],[Day]])</f>
        <v>44746</v>
      </c>
      <c r="C938" s="3">
        <v>4</v>
      </c>
      <c r="D938" s="3">
        <v>7</v>
      </c>
      <c r="E938" s="3">
        <v>2022</v>
      </c>
      <c r="F938" s="3" t="str">
        <f>"Qtr"&amp; " " &amp;CHOOSE(MONTH(Table1[[#This Row],[Date]]),1,1,1,2,2,2,3,3,3,4,4,4)</f>
        <v>Qtr 3</v>
      </c>
      <c r="G938" s="3" t="str">
        <f>TEXT(Table1[[#This Row],[Date]],"mmmm")</f>
        <v>July</v>
      </c>
      <c r="H938" s="3" t="s">
        <v>1081</v>
      </c>
      <c r="I938" s="3" t="s">
        <v>13</v>
      </c>
      <c r="J938" s="3">
        <v>9</v>
      </c>
      <c r="K938" s="3">
        <v>17710.939999999999</v>
      </c>
      <c r="L938" s="3">
        <f>Table1[[#This Row],[Price Per Unit]]*Table1[[#This Row],[Units Sold]]</f>
        <v>159398.46</v>
      </c>
      <c r="M938" s="3" t="s">
        <v>491</v>
      </c>
      <c r="N938" s="3">
        <v>35</v>
      </c>
      <c r="O938" s="3" t="s">
        <v>15</v>
      </c>
      <c r="P938" s="3" t="s">
        <v>16</v>
      </c>
      <c r="Q938" s="4">
        <v>4</v>
      </c>
      <c r="R938" s="4" t="str">
        <f>IF(Table1[[#This Row],[Customer Ratings]]&gt;=4, "Good",IF(Table1[[#This Row],[Customer Ratings]]=3, "Average","Poor"))</f>
        <v>Good</v>
      </c>
      <c r="S938" s="3" t="s">
        <v>17</v>
      </c>
    </row>
    <row r="939" spans="1:19" x14ac:dyDescent="0.25">
      <c r="A939" s="3">
        <v>938</v>
      </c>
      <c r="B939" s="5">
        <f>DATE(Table1[[#This Row],[Year]],Table1[[#This Row],[Month]],Table1[[#This Row],[Day]])</f>
        <v>44746</v>
      </c>
      <c r="C939" s="3">
        <v>4</v>
      </c>
      <c r="D939" s="3">
        <v>7</v>
      </c>
      <c r="E939" s="3">
        <v>2022</v>
      </c>
      <c r="F939" s="3" t="str">
        <f>"Qtr"&amp; " " &amp;CHOOSE(MONTH(Table1[[#This Row],[Date]]),1,1,1,2,2,2,3,3,3,4,4,4)</f>
        <v>Qtr 3</v>
      </c>
      <c r="G939" s="3" t="str">
        <f>TEXT(Table1[[#This Row],[Date]],"mmmm")</f>
        <v>July</v>
      </c>
      <c r="H939" s="3" t="s">
        <v>1081</v>
      </c>
      <c r="I939" s="3" t="s">
        <v>13</v>
      </c>
      <c r="J939" s="3">
        <v>9</v>
      </c>
      <c r="K939" s="3">
        <v>11569.5</v>
      </c>
      <c r="L939" s="3">
        <f>Table1[[#This Row],[Price Per Unit]]*Table1[[#This Row],[Units Sold]]</f>
        <v>104125.5</v>
      </c>
      <c r="M939" s="3" t="s">
        <v>667</v>
      </c>
      <c r="N939" s="3">
        <v>53</v>
      </c>
      <c r="O939" s="3" t="s">
        <v>30</v>
      </c>
      <c r="P939" s="3" t="s">
        <v>16</v>
      </c>
      <c r="Q939" s="4">
        <v>4</v>
      </c>
      <c r="R939" s="4" t="str">
        <f>IF(Table1[[#This Row],[Customer Ratings]]&gt;=4, "Good",IF(Table1[[#This Row],[Customer Ratings]]=3, "Average","Poor"))</f>
        <v>Good</v>
      </c>
      <c r="S939" s="3" t="s">
        <v>72</v>
      </c>
    </row>
    <row r="940" spans="1:19" x14ac:dyDescent="0.25">
      <c r="A940" s="3">
        <v>939</v>
      </c>
      <c r="B940" s="5">
        <f>DATE(Table1[[#This Row],[Year]],Table1[[#This Row],[Month]],Table1[[#This Row],[Day]])</f>
        <v>44746</v>
      </c>
      <c r="C940" s="3">
        <v>4</v>
      </c>
      <c r="D940" s="3">
        <v>7</v>
      </c>
      <c r="E940" s="3">
        <v>2022</v>
      </c>
      <c r="F940" s="3" t="str">
        <f>"Qtr"&amp; " " &amp;CHOOSE(MONTH(Table1[[#This Row],[Date]]),1,1,1,2,2,2,3,3,3,4,4,4)</f>
        <v>Qtr 3</v>
      </c>
      <c r="G940" s="3" t="str">
        <f>TEXT(Table1[[#This Row],[Date]],"mmmm")</f>
        <v>July</v>
      </c>
      <c r="H940" s="3" t="s">
        <v>1081</v>
      </c>
      <c r="I940" s="3" t="s">
        <v>28</v>
      </c>
      <c r="J940" s="3">
        <v>1</v>
      </c>
      <c r="K940" s="3">
        <v>51299.85</v>
      </c>
      <c r="L940" s="3">
        <f>Table1[[#This Row],[Price Per Unit]]*Table1[[#This Row],[Units Sold]]</f>
        <v>51299.85</v>
      </c>
      <c r="M940" s="3" t="s">
        <v>645</v>
      </c>
      <c r="N940" s="3">
        <v>36</v>
      </c>
      <c r="O940" s="3" t="s">
        <v>102</v>
      </c>
      <c r="P940" s="3" t="s">
        <v>21</v>
      </c>
      <c r="Q940" s="4">
        <v>5</v>
      </c>
      <c r="R940" s="4" t="str">
        <f>IF(Table1[[#This Row],[Customer Ratings]]&gt;=4, "Good",IF(Table1[[#This Row],[Customer Ratings]]=3, "Average","Poor"))</f>
        <v>Good</v>
      </c>
      <c r="S940" s="3" t="s">
        <v>32</v>
      </c>
    </row>
    <row r="941" spans="1:19" x14ac:dyDescent="0.25">
      <c r="A941" s="3">
        <v>940</v>
      </c>
      <c r="B941" s="5">
        <f>DATE(Table1[[#This Row],[Year]],Table1[[#This Row],[Month]],Table1[[#This Row],[Day]])</f>
        <v>44747</v>
      </c>
      <c r="C941" s="3">
        <v>5</v>
      </c>
      <c r="D941" s="3">
        <v>7</v>
      </c>
      <c r="E941" s="3">
        <v>2022</v>
      </c>
      <c r="F941" s="3" t="str">
        <f>"Qtr"&amp; " " &amp;CHOOSE(MONTH(Table1[[#This Row],[Date]]),1,1,1,2,2,2,3,3,3,4,4,4)</f>
        <v>Qtr 3</v>
      </c>
      <c r="G941" s="3" t="str">
        <f>TEXT(Table1[[#This Row],[Date]],"mmmm")</f>
        <v>July</v>
      </c>
      <c r="H941" s="3" t="s">
        <v>1082</v>
      </c>
      <c r="I941" s="3" t="s">
        <v>33</v>
      </c>
      <c r="J941" s="3">
        <v>6</v>
      </c>
      <c r="K941" s="3">
        <v>46247.839999999997</v>
      </c>
      <c r="L941" s="3">
        <f>Table1[[#This Row],[Price Per Unit]]*Table1[[#This Row],[Units Sold]]</f>
        <v>277487.03999999998</v>
      </c>
      <c r="M941" s="3" t="s">
        <v>490</v>
      </c>
      <c r="N941" s="3">
        <v>44</v>
      </c>
      <c r="O941" s="3" t="s">
        <v>20</v>
      </c>
      <c r="P941" s="3" t="s">
        <v>31</v>
      </c>
      <c r="Q941" s="4">
        <v>3</v>
      </c>
      <c r="R941" s="4" t="str">
        <f>IF(Table1[[#This Row],[Customer Ratings]]&gt;=4, "Good",IF(Table1[[#This Row],[Customer Ratings]]=3, "Average","Poor"))</f>
        <v>Average</v>
      </c>
      <c r="S941" s="3" t="s">
        <v>36</v>
      </c>
    </row>
    <row r="942" spans="1:19" x14ac:dyDescent="0.25">
      <c r="A942" s="3">
        <v>941</v>
      </c>
      <c r="B942" s="5">
        <f>DATE(Table1[[#This Row],[Year]],Table1[[#This Row],[Month]],Table1[[#This Row],[Day]])</f>
        <v>44747</v>
      </c>
      <c r="C942" s="3">
        <v>5</v>
      </c>
      <c r="D942" s="3">
        <v>7</v>
      </c>
      <c r="E942" s="3">
        <v>2022</v>
      </c>
      <c r="F942" s="3" t="str">
        <f>"Qtr"&amp; " " &amp;CHOOSE(MONTH(Table1[[#This Row],[Date]]),1,1,1,2,2,2,3,3,3,4,4,4)</f>
        <v>Qtr 3</v>
      </c>
      <c r="G942" s="3" t="str">
        <f>TEXT(Table1[[#This Row],[Date]],"mmmm")</f>
        <v>July</v>
      </c>
      <c r="H942" s="3" t="s">
        <v>1082</v>
      </c>
      <c r="I942" s="3" t="s">
        <v>18</v>
      </c>
      <c r="J942" s="3">
        <v>7</v>
      </c>
      <c r="K942" s="3">
        <v>66148.94</v>
      </c>
      <c r="L942" s="3">
        <f>Table1[[#This Row],[Price Per Unit]]*Table1[[#This Row],[Units Sold]]</f>
        <v>463042.58</v>
      </c>
      <c r="M942" s="3" t="s">
        <v>612</v>
      </c>
      <c r="N942" s="3">
        <v>37</v>
      </c>
      <c r="O942" s="3" t="s">
        <v>105</v>
      </c>
      <c r="P942" s="3" t="s">
        <v>45</v>
      </c>
      <c r="Q942" s="4">
        <v>4</v>
      </c>
      <c r="R942" s="4" t="str">
        <f>IF(Table1[[#This Row],[Customer Ratings]]&gt;=4, "Good",IF(Table1[[#This Row],[Customer Ratings]]=3, "Average","Poor"))</f>
        <v>Good</v>
      </c>
      <c r="S942" s="3" t="s">
        <v>22</v>
      </c>
    </row>
    <row r="943" spans="1:19" x14ac:dyDescent="0.25">
      <c r="A943" s="3">
        <v>942</v>
      </c>
      <c r="B943" s="5">
        <f>DATE(Table1[[#This Row],[Year]],Table1[[#This Row],[Month]],Table1[[#This Row],[Day]])</f>
        <v>44747</v>
      </c>
      <c r="C943" s="3">
        <v>5</v>
      </c>
      <c r="D943" s="3">
        <v>7</v>
      </c>
      <c r="E943" s="3">
        <v>2022</v>
      </c>
      <c r="F943" s="3" t="str">
        <f>"Qtr"&amp; " " &amp;CHOOSE(MONTH(Table1[[#This Row],[Date]]),1,1,1,2,2,2,3,3,3,4,4,4)</f>
        <v>Qtr 3</v>
      </c>
      <c r="G943" s="3" t="str">
        <f>TEXT(Table1[[#This Row],[Date]],"mmmm")</f>
        <v>July</v>
      </c>
      <c r="H943" s="3" t="s">
        <v>1082</v>
      </c>
      <c r="I943" s="3" t="s">
        <v>39</v>
      </c>
      <c r="J943" s="3">
        <v>3</v>
      </c>
      <c r="K943" s="3">
        <v>24040.32</v>
      </c>
      <c r="L943" s="3">
        <f>Table1[[#This Row],[Price Per Unit]]*Table1[[#This Row],[Units Sold]]</f>
        <v>72120.959999999992</v>
      </c>
      <c r="M943" s="3" t="s">
        <v>668</v>
      </c>
      <c r="N943" s="3">
        <v>38</v>
      </c>
      <c r="O943" s="3" t="s">
        <v>20</v>
      </c>
      <c r="P943" s="3" t="s">
        <v>45</v>
      </c>
      <c r="Q943" s="4">
        <v>5</v>
      </c>
      <c r="R943" s="4" t="str">
        <f>IF(Table1[[#This Row],[Customer Ratings]]&gt;=4, "Good",IF(Table1[[#This Row],[Customer Ratings]]=3, "Average","Poor"))</f>
        <v>Good</v>
      </c>
      <c r="S943" s="3" t="s">
        <v>76</v>
      </c>
    </row>
    <row r="944" spans="1:19" x14ac:dyDescent="0.25">
      <c r="A944" s="3">
        <v>943</v>
      </c>
      <c r="B944" s="5">
        <f>DATE(Table1[[#This Row],[Year]],Table1[[#This Row],[Month]],Table1[[#This Row],[Day]])</f>
        <v>44748</v>
      </c>
      <c r="C944" s="3">
        <v>6</v>
      </c>
      <c r="D944" s="3">
        <v>7</v>
      </c>
      <c r="E944" s="3">
        <v>2022</v>
      </c>
      <c r="F944" s="3" t="str">
        <f>"Qtr"&amp; " " &amp;CHOOSE(MONTH(Table1[[#This Row],[Date]]),1,1,1,2,2,2,3,3,3,4,4,4)</f>
        <v>Qtr 3</v>
      </c>
      <c r="G944" s="3" t="str">
        <f>TEXT(Table1[[#This Row],[Date]],"mmmm")</f>
        <v>July</v>
      </c>
      <c r="H944" s="3" t="s">
        <v>1083</v>
      </c>
      <c r="I944" s="3" t="s">
        <v>18</v>
      </c>
      <c r="J944" s="3">
        <v>7</v>
      </c>
      <c r="K944" s="3">
        <v>15063.28</v>
      </c>
      <c r="L944" s="3">
        <f>Table1[[#This Row],[Price Per Unit]]*Table1[[#This Row],[Units Sold]]</f>
        <v>105442.96</v>
      </c>
      <c r="M944" s="3" t="s">
        <v>563</v>
      </c>
      <c r="N944" s="3">
        <v>40</v>
      </c>
      <c r="O944" s="3" t="s">
        <v>20</v>
      </c>
      <c r="P944" s="3" t="s">
        <v>45</v>
      </c>
      <c r="Q944" s="4">
        <v>4</v>
      </c>
      <c r="R944" s="4" t="str">
        <f>IF(Table1[[#This Row],[Customer Ratings]]&gt;=4, "Good",IF(Table1[[#This Row],[Customer Ratings]]=3, "Average","Poor"))</f>
        <v>Good</v>
      </c>
      <c r="S944" s="3" t="s">
        <v>55</v>
      </c>
    </row>
    <row r="945" spans="1:19" x14ac:dyDescent="0.25">
      <c r="A945" s="3">
        <v>944</v>
      </c>
      <c r="B945" s="5">
        <f>DATE(Table1[[#This Row],[Year]],Table1[[#This Row],[Month]],Table1[[#This Row],[Day]])</f>
        <v>44748</v>
      </c>
      <c r="C945" s="3">
        <v>6</v>
      </c>
      <c r="D945" s="3">
        <v>7</v>
      </c>
      <c r="E945" s="3">
        <v>2022</v>
      </c>
      <c r="F945" s="3" t="str">
        <f>"Qtr"&amp; " " &amp;CHOOSE(MONTH(Table1[[#This Row],[Date]]),1,1,1,2,2,2,3,3,3,4,4,4)</f>
        <v>Qtr 3</v>
      </c>
      <c r="G945" s="3" t="str">
        <f>TEXT(Table1[[#This Row],[Date]],"mmmm")</f>
        <v>July</v>
      </c>
      <c r="H945" s="3" t="s">
        <v>1083</v>
      </c>
      <c r="I945" s="3" t="s">
        <v>18</v>
      </c>
      <c r="J945" s="3">
        <v>7</v>
      </c>
      <c r="K945" s="3">
        <v>25552.92</v>
      </c>
      <c r="L945" s="3">
        <f>Table1[[#This Row],[Price Per Unit]]*Table1[[#This Row],[Units Sold]]</f>
        <v>178870.44</v>
      </c>
      <c r="M945" s="3" t="s">
        <v>495</v>
      </c>
      <c r="N945" s="3">
        <v>47</v>
      </c>
      <c r="O945" s="3" t="s">
        <v>20</v>
      </c>
      <c r="P945" s="3" t="s">
        <v>21</v>
      </c>
      <c r="Q945" s="4">
        <v>5</v>
      </c>
      <c r="R945" s="4" t="str">
        <f>IF(Table1[[#This Row],[Customer Ratings]]&gt;=4, "Good",IF(Table1[[#This Row],[Customer Ratings]]=3, "Average","Poor"))</f>
        <v>Good</v>
      </c>
      <c r="S945" s="3" t="s">
        <v>55</v>
      </c>
    </row>
    <row r="946" spans="1:19" x14ac:dyDescent="0.25">
      <c r="A946" s="3">
        <v>945</v>
      </c>
      <c r="B946" s="5">
        <f>DATE(Table1[[#This Row],[Year]],Table1[[#This Row],[Month]],Table1[[#This Row],[Day]])</f>
        <v>44748</v>
      </c>
      <c r="C946" s="3">
        <v>6</v>
      </c>
      <c r="D946" s="3">
        <v>7</v>
      </c>
      <c r="E946" s="3">
        <v>2022</v>
      </c>
      <c r="F946" s="3" t="str">
        <f>"Qtr"&amp; " " &amp;CHOOSE(MONTH(Table1[[#This Row],[Date]]),1,1,1,2,2,2,3,3,3,4,4,4)</f>
        <v>Qtr 3</v>
      </c>
      <c r="G946" s="3" t="str">
        <f>TEXT(Table1[[#This Row],[Date]],"mmmm")</f>
        <v>July</v>
      </c>
      <c r="H946" s="3" t="s">
        <v>1083</v>
      </c>
      <c r="I946" s="3" t="s">
        <v>33</v>
      </c>
      <c r="J946" s="3">
        <v>2</v>
      </c>
      <c r="K946" s="3">
        <v>11135.66</v>
      </c>
      <c r="L946" s="3">
        <f>Table1[[#This Row],[Price Per Unit]]*Table1[[#This Row],[Units Sold]]</f>
        <v>22271.32</v>
      </c>
      <c r="M946" s="3" t="s">
        <v>469</v>
      </c>
      <c r="N946" s="3">
        <v>42</v>
      </c>
      <c r="O946" s="3" t="s">
        <v>78</v>
      </c>
      <c r="P946" s="3" t="s">
        <v>21</v>
      </c>
      <c r="Q946" s="4">
        <v>5</v>
      </c>
      <c r="R946" s="4" t="str">
        <f>IF(Table1[[#This Row],[Customer Ratings]]&gt;=4, "Good",IF(Table1[[#This Row],[Customer Ratings]]=3, "Average","Poor"))</f>
        <v>Good</v>
      </c>
      <c r="S946" s="3" t="s">
        <v>83</v>
      </c>
    </row>
    <row r="947" spans="1:19" x14ac:dyDescent="0.25">
      <c r="A947" s="3">
        <v>946</v>
      </c>
      <c r="B947" s="5">
        <f>DATE(Table1[[#This Row],[Year]],Table1[[#This Row],[Month]],Table1[[#This Row],[Day]])</f>
        <v>44748</v>
      </c>
      <c r="C947" s="3">
        <v>6</v>
      </c>
      <c r="D947" s="3">
        <v>7</v>
      </c>
      <c r="E947" s="3">
        <v>2022</v>
      </c>
      <c r="F947" s="3" t="str">
        <f>"Qtr"&amp; " " &amp;CHOOSE(MONTH(Table1[[#This Row],[Date]]),1,1,1,2,2,2,3,3,3,4,4,4)</f>
        <v>Qtr 3</v>
      </c>
      <c r="G947" s="3" t="str">
        <f>TEXT(Table1[[#This Row],[Date]],"mmmm")</f>
        <v>July</v>
      </c>
      <c r="H947" s="3" t="s">
        <v>1083</v>
      </c>
      <c r="I947" s="3" t="s">
        <v>33</v>
      </c>
      <c r="J947" s="3">
        <v>7</v>
      </c>
      <c r="K947" s="3">
        <v>12153.57</v>
      </c>
      <c r="L947" s="3">
        <f>Table1[[#This Row],[Price Per Unit]]*Table1[[#This Row],[Units Sold]]</f>
        <v>85074.989999999991</v>
      </c>
      <c r="M947" s="3" t="s">
        <v>37</v>
      </c>
      <c r="N947" s="3">
        <v>48</v>
      </c>
      <c r="O947" s="3" t="s">
        <v>137</v>
      </c>
      <c r="P947" s="3" t="s">
        <v>45</v>
      </c>
      <c r="Q947" s="4">
        <v>5</v>
      </c>
      <c r="R947" s="4" t="str">
        <f>IF(Table1[[#This Row],[Customer Ratings]]&gt;=4, "Good",IF(Table1[[#This Row],[Customer Ratings]]=3, "Average","Poor"))</f>
        <v>Good</v>
      </c>
      <c r="S947" s="3" t="s">
        <v>46</v>
      </c>
    </row>
    <row r="948" spans="1:19" x14ac:dyDescent="0.25">
      <c r="A948" s="3">
        <v>947</v>
      </c>
      <c r="B948" s="5">
        <f>DATE(Table1[[#This Row],[Year]],Table1[[#This Row],[Month]],Table1[[#This Row],[Day]])</f>
        <v>44749</v>
      </c>
      <c r="C948" s="3">
        <v>7</v>
      </c>
      <c r="D948" s="3">
        <v>7</v>
      </c>
      <c r="E948" s="3">
        <v>2022</v>
      </c>
      <c r="F948" s="3" t="str">
        <f>"Qtr"&amp; " " &amp;CHOOSE(MONTH(Table1[[#This Row],[Date]]),1,1,1,2,2,2,3,3,3,4,4,4)</f>
        <v>Qtr 3</v>
      </c>
      <c r="G948" s="3" t="str">
        <f>TEXT(Table1[[#This Row],[Date]],"mmmm")</f>
        <v>July</v>
      </c>
      <c r="H948" s="3" t="s">
        <v>1084</v>
      </c>
      <c r="I948" s="3" t="s">
        <v>33</v>
      </c>
      <c r="J948" s="3">
        <v>1</v>
      </c>
      <c r="K948" s="3">
        <v>64891.47</v>
      </c>
      <c r="L948" s="3">
        <f>Table1[[#This Row],[Price Per Unit]]*Table1[[#This Row],[Units Sold]]</f>
        <v>64891.47</v>
      </c>
      <c r="M948" s="3" t="s">
        <v>669</v>
      </c>
      <c r="N948" s="3">
        <v>44</v>
      </c>
      <c r="O948" s="3" t="s">
        <v>78</v>
      </c>
      <c r="P948" s="3" t="s">
        <v>45</v>
      </c>
      <c r="Q948" s="4">
        <v>5</v>
      </c>
      <c r="R948" s="4" t="str">
        <f>IF(Table1[[#This Row],[Customer Ratings]]&gt;=4, "Good",IF(Table1[[#This Row],[Customer Ratings]]=3, "Average","Poor"))</f>
        <v>Good</v>
      </c>
      <c r="S948" s="3" t="s">
        <v>83</v>
      </c>
    </row>
    <row r="949" spans="1:19" x14ac:dyDescent="0.25">
      <c r="A949" s="3">
        <v>948</v>
      </c>
      <c r="B949" s="5">
        <f>DATE(Table1[[#This Row],[Year]],Table1[[#This Row],[Month]],Table1[[#This Row],[Day]])</f>
        <v>44749</v>
      </c>
      <c r="C949" s="3">
        <v>7</v>
      </c>
      <c r="D949" s="3">
        <v>7</v>
      </c>
      <c r="E949" s="3">
        <v>2022</v>
      </c>
      <c r="F949" s="3" t="str">
        <f>"Qtr"&amp; " " &amp;CHOOSE(MONTH(Table1[[#This Row],[Date]]),1,1,1,2,2,2,3,3,3,4,4,4)</f>
        <v>Qtr 3</v>
      </c>
      <c r="G949" s="3" t="str">
        <f>TEXT(Table1[[#This Row],[Date]],"mmmm")</f>
        <v>July</v>
      </c>
      <c r="H949" s="3" t="s">
        <v>1084</v>
      </c>
      <c r="I949" s="3" t="s">
        <v>13</v>
      </c>
      <c r="J949" s="3">
        <v>5</v>
      </c>
      <c r="K949" s="3">
        <v>31120.99</v>
      </c>
      <c r="L949" s="3">
        <f>Table1[[#This Row],[Price Per Unit]]*Table1[[#This Row],[Units Sold]]</f>
        <v>155604.95000000001</v>
      </c>
      <c r="M949" s="3" t="s">
        <v>670</v>
      </c>
      <c r="N949" s="3">
        <v>51</v>
      </c>
      <c r="O949" s="3" t="s">
        <v>105</v>
      </c>
      <c r="P949" s="3" t="s">
        <v>31</v>
      </c>
      <c r="Q949" s="4">
        <v>5</v>
      </c>
      <c r="R949" s="4" t="str">
        <f>IF(Table1[[#This Row],[Customer Ratings]]&gt;=4, "Good",IF(Table1[[#This Row],[Customer Ratings]]=3, "Average","Poor"))</f>
        <v>Good</v>
      </c>
      <c r="S949" s="3" t="s">
        <v>27</v>
      </c>
    </row>
    <row r="950" spans="1:19" x14ac:dyDescent="0.25">
      <c r="A950" s="3">
        <v>949</v>
      </c>
      <c r="B950" s="5">
        <f>DATE(Table1[[#This Row],[Year]],Table1[[#This Row],[Month]],Table1[[#This Row],[Day]])</f>
        <v>44749</v>
      </c>
      <c r="C950" s="3">
        <v>7</v>
      </c>
      <c r="D950" s="3">
        <v>7</v>
      </c>
      <c r="E950" s="3">
        <v>2022</v>
      </c>
      <c r="F950" s="3" t="str">
        <f>"Qtr"&amp; " " &amp;CHOOSE(MONTH(Table1[[#This Row],[Date]]),1,1,1,2,2,2,3,3,3,4,4,4)</f>
        <v>Qtr 3</v>
      </c>
      <c r="G950" s="3" t="str">
        <f>TEXT(Table1[[#This Row],[Date]],"mmmm")</f>
        <v>July</v>
      </c>
      <c r="H950" s="3" t="s">
        <v>1084</v>
      </c>
      <c r="I950" s="3" t="s">
        <v>28</v>
      </c>
      <c r="J950" s="3">
        <v>9</v>
      </c>
      <c r="K950" s="3">
        <v>34648.54</v>
      </c>
      <c r="L950" s="3">
        <f>Table1[[#This Row],[Price Per Unit]]*Table1[[#This Row],[Units Sold]]</f>
        <v>311836.86</v>
      </c>
      <c r="M950" s="3" t="s">
        <v>671</v>
      </c>
      <c r="N950" s="3">
        <v>25</v>
      </c>
      <c r="O950" s="3" t="s">
        <v>20</v>
      </c>
      <c r="P950" s="3" t="s">
        <v>16</v>
      </c>
      <c r="Q950" s="4">
        <v>3</v>
      </c>
      <c r="R950" s="4" t="str">
        <f>IF(Table1[[#This Row],[Customer Ratings]]&gt;=4, "Good",IF(Table1[[#This Row],[Customer Ratings]]=3, "Average","Poor"))</f>
        <v>Average</v>
      </c>
      <c r="S950" s="3" t="s">
        <v>32</v>
      </c>
    </row>
    <row r="951" spans="1:19" x14ac:dyDescent="0.25">
      <c r="A951" s="3">
        <v>950</v>
      </c>
      <c r="B951" s="5">
        <f>DATE(Table1[[#This Row],[Year]],Table1[[#This Row],[Month]],Table1[[#This Row],[Day]])</f>
        <v>44749</v>
      </c>
      <c r="C951" s="3">
        <v>7</v>
      </c>
      <c r="D951" s="3">
        <v>7</v>
      </c>
      <c r="E951" s="3">
        <v>2022</v>
      </c>
      <c r="F951" s="3" t="str">
        <f>"Qtr"&amp; " " &amp;CHOOSE(MONTH(Table1[[#This Row],[Date]]),1,1,1,2,2,2,3,3,3,4,4,4)</f>
        <v>Qtr 3</v>
      </c>
      <c r="G951" s="3" t="str">
        <f>TEXT(Table1[[#This Row],[Date]],"mmmm")</f>
        <v>July</v>
      </c>
      <c r="H951" s="3" t="s">
        <v>1084</v>
      </c>
      <c r="I951" s="3" t="s">
        <v>13</v>
      </c>
      <c r="J951" s="3">
        <v>7</v>
      </c>
      <c r="K951" s="3">
        <v>11102.3</v>
      </c>
      <c r="L951" s="3">
        <f>Table1[[#This Row],[Price Per Unit]]*Table1[[#This Row],[Units Sold]]</f>
        <v>77716.099999999991</v>
      </c>
      <c r="M951" s="3" t="s">
        <v>110</v>
      </c>
      <c r="N951" s="3">
        <v>36</v>
      </c>
      <c r="O951" s="3" t="s">
        <v>24</v>
      </c>
      <c r="P951" s="3" t="s">
        <v>21</v>
      </c>
      <c r="Q951" s="4">
        <v>5</v>
      </c>
      <c r="R951" s="4" t="str">
        <f>IF(Table1[[#This Row],[Customer Ratings]]&gt;=4, "Good",IF(Table1[[#This Row],[Customer Ratings]]=3, "Average","Poor"))</f>
        <v>Good</v>
      </c>
      <c r="S951" s="3" t="s">
        <v>17</v>
      </c>
    </row>
    <row r="952" spans="1:19" x14ac:dyDescent="0.25">
      <c r="A952" s="3">
        <v>951</v>
      </c>
      <c r="B952" s="5">
        <f>DATE(Table1[[#This Row],[Year]],Table1[[#This Row],[Month]],Table1[[#This Row],[Day]])</f>
        <v>44750</v>
      </c>
      <c r="C952" s="3">
        <v>8</v>
      </c>
      <c r="D952" s="3">
        <v>7</v>
      </c>
      <c r="E952" s="3">
        <v>2022</v>
      </c>
      <c r="F952" s="3" t="str">
        <f>"Qtr"&amp; " " &amp;CHOOSE(MONTH(Table1[[#This Row],[Date]]),1,1,1,2,2,2,3,3,3,4,4,4)</f>
        <v>Qtr 3</v>
      </c>
      <c r="G952" s="3" t="str">
        <f>TEXT(Table1[[#This Row],[Date]],"mmmm")</f>
        <v>July</v>
      </c>
      <c r="H952" s="3" t="s">
        <v>1085</v>
      </c>
      <c r="I952" s="3" t="s">
        <v>28</v>
      </c>
      <c r="J952" s="3">
        <v>7</v>
      </c>
      <c r="K952" s="3">
        <v>26231.31</v>
      </c>
      <c r="L952" s="3">
        <f>Table1[[#This Row],[Price Per Unit]]*Table1[[#This Row],[Units Sold]]</f>
        <v>183619.17</v>
      </c>
      <c r="M952" s="3" t="s">
        <v>326</v>
      </c>
      <c r="N952" s="3">
        <v>58</v>
      </c>
      <c r="O952" s="3" t="s">
        <v>20</v>
      </c>
      <c r="P952" s="3" t="s">
        <v>16</v>
      </c>
      <c r="Q952" s="4">
        <v>5</v>
      </c>
      <c r="R952" s="4" t="str">
        <f>IF(Table1[[#This Row],[Customer Ratings]]&gt;=4, "Good",IF(Table1[[#This Row],[Customer Ratings]]=3, "Average","Poor"))</f>
        <v>Good</v>
      </c>
      <c r="S952" s="3" t="s">
        <v>38</v>
      </c>
    </row>
    <row r="953" spans="1:19" x14ac:dyDescent="0.25">
      <c r="A953" s="3">
        <v>952</v>
      </c>
      <c r="B953" s="5">
        <f>DATE(Table1[[#This Row],[Year]],Table1[[#This Row],[Month]],Table1[[#This Row],[Day]])</f>
        <v>44750</v>
      </c>
      <c r="C953" s="3">
        <v>8</v>
      </c>
      <c r="D953" s="3">
        <v>7</v>
      </c>
      <c r="E953" s="3">
        <v>2022</v>
      </c>
      <c r="F953" s="3" t="str">
        <f>"Qtr"&amp; " " &amp;CHOOSE(MONTH(Table1[[#This Row],[Date]]),1,1,1,2,2,2,3,3,3,4,4,4)</f>
        <v>Qtr 3</v>
      </c>
      <c r="G953" s="3" t="str">
        <f>TEXT(Table1[[#This Row],[Date]],"mmmm")</f>
        <v>July</v>
      </c>
      <c r="H953" s="3" t="s">
        <v>1085</v>
      </c>
      <c r="I953" s="3" t="s">
        <v>28</v>
      </c>
      <c r="J953" s="3">
        <v>2</v>
      </c>
      <c r="K953" s="3">
        <v>58283.56</v>
      </c>
      <c r="L953" s="3">
        <f>Table1[[#This Row],[Price Per Unit]]*Table1[[#This Row],[Units Sold]]</f>
        <v>116567.12</v>
      </c>
      <c r="M953" s="3" t="s">
        <v>672</v>
      </c>
      <c r="N953" s="3">
        <v>43</v>
      </c>
      <c r="O953" s="3" t="s">
        <v>102</v>
      </c>
      <c r="P953" s="3" t="s">
        <v>45</v>
      </c>
      <c r="Q953" s="4">
        <v>5</v>
      </c>
      <c r="R953" s="4" t="str">
        <f>IF(Table1[[#This Row],[Customer Ratings]]&gt;=4, "Good",IF(Table1[[#This Row],[Customer Ratings]]=3, "Average","Poor"))</f>
        <v>Good</v>
      </c>
      <c r="S953" s="3" t="s">
        <v>38</v>
      </c>
    </row>
    <row r="954" spans="1:19" x14ac:dyDescent="0.25">
      <c r="A954" s="3">
        <v>953</v>
      </c>
      <c r="B954" s="5">
        <f>DATE(Table1[[#This Row],[Year]],Table1[[#This Row],[Month]],Table1[[#This Row],[Day]])</f>
        <v>44750</v>
      </c>
      <c r="C954" s="3">
        <v>8</v>
      </c>
      <c r="D954" s="3">
        <v>7</v>
      </c>
      <c r="E954" s="3">
        <v>2022</v>
      </c>
      <c r="F954" s="3" t="str">
        <f>"Qtr"&amp; " " &amp;CHOOSE(MONTH(Table1[[#This Row],[Date]]),1,1,1,2,2,2,3,3,3,4,4,4)</f>
        <v>Qtr 3</v>
      </c>
      <c r="G954" s="3" t="str">
        <f>TEXT(Table1[[#This Row],[Date]],"mmmm")</f>
        <v>July</v>
      </c>
      <c r="H954" s="3" t="s">
        <v>1085</v>
      </c>
      <c r="I954" s="3" t="s">
        <v>18</v>
      </c>
      <c r="J954" s="3">
        <v>8</v>
      </c>
      <c r="K954" s="3">
        <v>46929.46</v>
      </c>
      <c r="L954" s="3">
        <f>Table1[[#This Row],[Price Per Unit]]*Table1[[#This Row],[Units Sold]]</f>
        <v>375435.68</v>
      </c>
      <c r="M954" s="3" t="s">
        <v>673</v>
      </c>
      <c r="N954" s="3">
        <v>45</v>
      </c>
      <c r="O954" s="3" t="s">
        <v>20</v>
      </c>
      <c r="P954" s="3" t="s">
        <v>16</v>
      </c>
      <c r="Q954" s="4">
        <v>4</v>
      </c>
      <c r="R954" s="4" t="str">
        <f>IF(Table1[[#This Row],[Customer Ratings]]&gt;=4, "Good",IF(Table1[[#This Row],[Customer Ratings]]=3, "Average","Poor"))</f>
        <v>Good</v>
      </c>
      <c r="S954" s="3" t="s">
        <v>25</v>
      </c>
    </row>
    <row r="955" spans="1:19" x14ac:dyDescent="0.25">
      <c r="A955" s="3">
        <v>954</v>
      </c>
      <c r="B955" s="5">
        <f>DATE(Table1[[#This Row],[Year]],Table1[[#This Row],[Month]],Table1[[#This Row],[Day]])</f>
        <v>44750</v>
      </c>
      <c r="C955" s="3">
        <v>8</v>
      </c>
      <c r="D955" s="3">
        <v>7</v>
      </c>
      <c r="E955" s="3">
        <v>2022</v>
      </c>
      <c r="F955" s="3" t="str">
        <f>"Qtr"&amp; " " &amp;CHOOSE(MONTH(Table1[[#This Row],[Date]]),1,1,1,2,2,2,3,3,3,4,4,4)</f>
        <v>Qtr 3</v>
      </c>
      <c r="G955" s="3" t="str">
        <f>TEXT(Table1[[#This Row],[Date]],"mmmm")</f>
        <v>July</v>
      </c>
      <c r="H955" s="3" t="s">
        <v>1085</v>
      </c>
      <c r="I955" s="3" t="s">
        <v>18</v>
      </c>
      <c r="J955" s="3">
        <v>3</v>
      </c>
      <c r="K955" s="3">
        <v>55226.84</v>
      </c>
      <c r="L955" s="3">
        <f>Table1[[#This Row],[Price Per Unit]]*Table1[[#This Row],[Units Sold]]</f>
        <v>165680.51999999999</v>
      </c>
      <c r="M955" s="3" t="s">
        <v>674</v>
      </c>
      <c r="N955" s="3">
        <v>21</v>
      </c>
      <c r="O955" s="3" t="s">
        <v>41</v>
      </c>
      <c r="P955" s="3" t="s">
        <v>16</v>
      </c>
      <c r="Q955" s="4">
        <v>5</v>
      </c>
      <c r="R955" s="4" t="str">
        <f>IF(Table1[[#This Row],[Customer Ratings]]&gt;=4, "Good",IF(Table1[[#This Row],[Customer Ratings]]=3, "Average","Poor"))</f>
        <v>Good</v>
      </c>
      <c r="S955" s="3" t="s">
        <v>25</v>
      </c>
    </row>
    <row r="956" spans="1:19" x14ac:dyDescent="0.25">
      <c r="A956" s="3">
        <v>955</v>
      </c>
      <c r="B956" s="5">
        <f>DATE(Table1[[#This Row],[Year]],Table1[[#This Row],[Month]],Table1[[#This Row],[Day]])</f>
        <v>44751</v>
      </c>
      <c r="C956" s="3">
        <v>9</v>
      </c>
      <c r="D956" s="3">
        <v>7</v>
      </c>
      <c r="E956" s="3">
        <v>2022</v>
      </c>
      <c r="F956" s="3" t="str">
        <f>"Qtr"&amp; " " &amp;CHOOSE(MONTH(Table1[[#This Row],[Date]]),1,1,1,2,2,2,3,3,3,4,4,4)</f>
        <v>Qtr 3</v>
      </c>
      <c r="G956" s="3" t="str">
        <f>TEXT(Table1[[#This Row],[Date]],"mmmm")</f>
        <v>July</v>
      </c>
      <c r="H956" s="3" t="s">
        <v>1079</v>
      </c>
      <c r="I956" s="3" t="s">
        <v>28</v>
      </c>
      <c r="J956" s="3">
        <v>8</v>
      </c>
      <c r="K956" s="3">
        <v>36832.82</v>
      </c>
      <c r="L956" s="3">
        <f>Table1[[#This Row],[Price Per Unit]]*Table1[[#This Row],[Units Sold]]</f>
        <v>294662.56</v>
      </c>
      <c r="M956" s="3" t="s">
        <v>675</v>
      </c>
      <c r="N956" s="3">
        <v>48</v>
      </c>
      <c r="O956" s="3" t="s">
        <v>24</v>
      </c>
      <c r="P956" s="3" t="s">
        <v>21</v>
      </c>
      <c r="Q956" s="4">
        <v>3</v>
      </c>
      <c r="R956" s="4" t="str">
        <f>IF(Table1[[#This Row],[Customer Ratings]]&gt;=4, "Good",IF(Table1[[#This Row],[Customer Ratings]]=3, "Average","Poor"))</f>
        <v>Average</v>
      </c>
      <c r="S956" s="3" t="s">
        <v>38</v>
      </c>
    </row>
    <row r="957" spans="1:19" x14ac:dyDescent="0.25">
      <c r="A957" s="3">
        <v>956</v>
      </c>
      <c r="B957" s="5">
        <f>DATE(Table1[[#This Row],[Year]],Table1[[#This Row],[Month]],Table1[[#This Row],[Day]])</f>
        <v>44751</v>
      </c>
      <c r="C957" s="3">
        <v>9</v>
      </c>
      <c r="D957" s="3">
        <v>7</v>
      </c>
      <c r="E957" s="3">
        <v>2022</v>
      </c>
      <c r="F957" s="3" t="str">
        <f>"Qtr"&amp; " " &amp;CHOOSE(MONTH(Table1[[#This Row],[Date]]),1,1,1,2,2,2,3,3,3,4,4,4)</f>
        <v>Qtr 3</v>
      </c>
      <c r="G957" s="3" t="str">
        <f>TEXT(Table1[[#This Row],[Date]],"mmmm")</f>
        <v>July</v>
      </c>
      <c r="H957" s="3" t="s">
        <v>1079</v>
      </c>
      <c r="I957" s="3" t="s">
        <v>28</v>
      </c>
      <c r="J957" s="3">
        <v>3</v>
      </c>
      <c r="K957" s="3">
        <v>28583.75</v>
      </c>
      <c r="L957" s="3">
        <f>Table1[[#This Row],[Price Per Unit]]*Table1[[#This Row],[Units Sold]]</f>
        <v>85751.25</v>
      </c>
      <c r="M957" s="3" t="s">
        <v>485</v>
      </c>
      <c r="N957" s="3">
        <v>33</v>
      </c>
      <c r="O957" s="3" t="s">
        <v>48</v>
      </c>
      <c r="P957" s="3" t="s">
        <v>21</v>
      </c>
      <c r="Q957" s="4">
        <v>2</v>
      </c>
      <c r="R957" s="4" t="str">
        <f>IF(Table1[[#This Row],[Customer Ratings]]&gt;=4, "Good",IF(Table1[[#This Row],[Customer Ratings]]=3, "Average","Poor"))</f>
        <v>Poor</v>
      </c>
      <c r="S957" s="3" t="s">
        <v>32</v>
      </c>
    </row>
    <row r="958" spans="1:19" x14ac:dyDescent="0.25">
      <c r="A958" s="3">
        <v>957</v>
      </c>
      <c r="B958" s="5">
        <f>DATE(Table1[[#This Row],[Year]],Table1[[#This Row],[Month]],Table1[[#This Row],[Day]])</f>
        <v>44751</v>
      </c>
      <c r="C958" s="3">
        <v>9</v>
      </c>
      <c r="D958" s="3">
        <v>7</v>
      </c>
      <c r="E958" s="3">
        <v>2022</v>
      </c>
      <c r="F958" s="3" t="str">
        <f>"Qtr"&amp; " " &amp;CHOOSE(MONTH(Table1[[#This Row],[Date]]),1,1,1,2,2,2,3,3,3,4,4,4)</f>
        <v>Qtr 3</v>
      </c>
      <c r="G958" s="3" t="str">
        <f>TEXT(Table1[[#This Row],[Date]],"mmmm")</f>
        <v>July</v>
      </c>
      <c r="H958" s="3" t="s">
        <v>1079</v>
      </c>
      <c r="I958" s="3" t="s">
        <v>13</v>
      </c>
      <c r="J958" s="3">
        <v>7</v>
      </c>
      <c r="K958" s="3">
        <v>38968.61</v>
      </c>
      <c r="L958" s="3">
        <f>Table1[[#This Row],[Price Per Unit]]*Table1[[#This Row],[Units Sold]]</f>
        <v>272780.27</v>
      </c>
      <c r="M958" s="3" t="s">
        <v>335</v>
      </c>
      <c r="N958" s="3">
        <v>27</v>
      </c>
      <c r="O958" s="3" t="s">
        <v>125</v>
      </c>
      <c r="P958" s="3" t="s">
        <v>31</v>
      </c>
      <c r="Q958" s="4">
        <v>4</v>
      </c>
      <c r="R958" s="4" t="str">
        <f>IF(Table1[[#This Row],[Customer Ratings]]&gt;=4, "Good",IF(Table1[[#This Row],[Customer Ratings]]=3, "Average","Poor"))</f>
        <v>Good</v>
      </c>
      <c r="S958" s="3" t="s">
        <v>17</v>
      </c>
    </row>
    <row r="959" spans="1:19" x14ac:dyDescent="0.25">
      <c r="A959" s="3">
        <v>958</v>
      </c>
      <c r="B959" s="5">
        <f>DATE(Table1[[#This Row],[Year]],Table1[[#This Row],[Month]],Table1[[#This Row],[Day]])</f>
        <v>44751</v>
      </c>
      <c r="C959" s="3">
        <v>9</v>
      </c>
      <c r="D959" s="3">
        <v>7</v>
      </c>
      <c r="E959" s="3">
        <v>2022</v>
      </c>
      <c r="F959" s="3" t="str">
        <f>"Qtr"&amp; " " &amp;CHOOSE(MONTH(Table1[[#This Row],[Date]]),1,1,1,2,2,2,3,3,3,4,4,4)</f>
        <v>Qtr 3</v>
      </c>
      <c r="G959" s="3" t="str">
        <f>TEXT(Table1[[#This Row],[Date]],"mmmm")</f>
        <v>July</v>
      </c>
      <c r="H959" s="3" t="s">
        <v>1079</v>
      </c>
      <c r="I959" s="3" t="s">
        <v>13</v>
      </c>
      <c r="J959" s="3">
        <v>2</v>
      </c>
      <c r="K959" s="3">
        <v>29384.26</v>
      </c>
      <c r="L959" s="3">
        <f>Table1[[#This Row],[Price Per Unit]]*Table1[[#This Row],[Units Sold]]</f>
        <v>58768.52</v>
      </c>
      <c r="M959" s="3" t="s">
        <v>676</v>
      </c>
      <c r="N959" s="3">
        <v>55</v>
      </c>
      <c r="O959" s="3" t="s">
        <v>41</v>
      </c>
      <c r="P959" s="3" t="s">
        <v>45</v>
      </c>
      <c r="Q959" s="4">
        <v>3</v>
      </c>
      <c r="R959" s="4" t="str">
        <f>IF(Table1[[#This Row],[Customer Ratings]]&gt;=4, "Good",IF(Table1[[#This Row],[Customer Ratings]]=3, "Average","Poor"))</f>
        <v>Average</v>
      </c>
      <c r="S959" s="3" t="s">
        <v>72</v>
      </c>
    </row>
    <row r="960" spans="1:19" x14ac:dyDescent="0.25">
      <c r="A960" s="3">
        <v>959</v>
      </c>
      <c r="B960" s="5">
        <f>DATE(Table1[[#This Row],[Year]],Table1[[#This Row],[Month]],Table1[[#This Row],[Day]])</f>
        <v>44752</v>
      </c>
      <c r="C960" s="3">
        <v>10</v>
      </c>
      <c r="D960" s="3">
        <v>7</v>
      </c>
      <c r="E960" s="3">
        <v>2022</v>
      </c>
      <c r="F960" s="3" t="str">
        <f>"Qtr"&amp; " " &amp;CHOOSE(MONTH(Table1[[#This Row],[Date]]),1,1,1,2,2,2,3,3,3,4,4,4)</f>
        <v>Qtr 3</v>
      </c>
      <c r="G960" s="3" t="str">
        <f>TEXT(Table1[[#This Row],[Date]],"mmmm")</f>
        <v>July</v>
      </c>
      <c r="H960" s="3" t="s">
        <v>1080</v>
      </c>
      <c r="I960" s="3" t="s">
        <v>18</v>
      </c>
      <c r="J960" s="3">
        <v>4</v>
      </c>
      <c r="K960" s="3">
        <v>60338.27</v>
      </c>
      <c r="L960" s="3">
        <f>Table1[[#This Row],[Price Per Unit]]*Table1[[#This Row],[Units Sold]]</f>
        <v>241353.08</v>
      </c>
      <c r="M960" s="3" t="s">
        <v>634</v>
      </c>
      <c r="N960" s="3">
        <v>27</v>
      </c>
      <c r="O960" s="3" t="s">
        <v>105</v>
      </c>
      <c r="P960" s="3" t="s">
        <v>31</v>
      </c>
      <c r="Q960" s="4">
        <v>5</v>
      </c>
      <c r="R960" s="4" t="str">
        <f>IF(Table1[[#This Row],[Customer Ratings]]&gt;=4, "Good",IF(Table1[[#This Row],[Customer Ratings]]=3, "Average","Poor"))</f>
        <v>Good</v>
      </c>
      <c r="S960" s="3" t="s">
        <v>25</v>
      </c>
    </row>
    <row r="961" spans="1:19" x14ac:dyDescent="0.25">
      <c r="A961" s="3">
        <v>960</v>
      </c>
      <c r="B961" s="5">
        <f>DATE(Table1[[#This Row],[Year]],Table1[[#This Row],[Month]],Table1[[#This Row],[Day]])</f>
        <v>44752</v>
      </c>
      <c r="C961" s="3">
        <v>10</v>
      </c>
      <c r="D961" s="3">
        <v>7</v>
      </c>
      <c r="E961" s="3">
        <v>2022</v>
      </c>
      <c r="F961" s="3" t="str">
        <f>"Qtr"&amp; " " &amp;CHOOSE(MONTH(Table1[[#This Row],[Date]]),1,1,1,2,2,2,3,3,3,4,4,4)</f>
        <v>Qtr 3</v>
      </c>
      <c r="G961" s="3" t="str">
        <f>TEXT(Table1[[#This Row],[Date]],"mmmm")</f>
        <v>July</v>
      </c>
      <c r="H961" s="3" t="s">
        <v>1080</v>
      </c>
      <c r="I961" s="3" t="s">
        <v>33</v>
      </c>
      <c r="J961" s="3">
        <v>6</v>
      </c>
      <c r="K961" s="3">
        <v>27860.42</v>
      </c>
      <c r="L961" s="3">
        <f>Table1[[#This Row],[Price Per Unit]]*Table1[[#This Row],[Units Sold]]</f>
        <v>167162.51999999999</v>
      </c>
      <c r="M961" s="3" t="s">
        <v>308</v>
      </c>
      <c r="N961" s="3">
        <v>26</v>
      </c>
      <c r="O961" s="3" t="s">
        <v>24</v>
      </c>
      <c r="P961" s="3" t="s">
        <v>21</v>
      </c>
      <c r="Q961" s="4">
        <v>3</v>
      </c>
      <c r="R961" s="4" t="str">
        <f>IF(Table1[[#This Row],[Customer Ratings]]&gt;=4, "Good",IF(Table1[[#This Row],[Customer Ratings]]=3, "Average","Poor"))</f>
        <v>Average</v>
      </c>
      <c r="S961" s="3" t="s">
        <v>83</v>
      </c>
    </row>
    <row r="962" spans="1:19" x14ac:dyDescent="0.25">
      <c r="A962" s="3">
        <v>961</v>
      </c>
      <c r="B962" s="5">
        <f>DATE(Table1[[#This Row],[Year]],Table1[[#This Row],[Month]],Table1[[#This Row],[Day]])</f>
        <v>44752</v>
      </c>
      <c r="C962" s="3">
        <v>10</v>
      </c>
      <c r="D962" s="3">
        <v>7</v>
      </c>
      <c r="E962" s="3">
        <v>2022</v>
      </c>
      <c r="F962" s="3" t="str">
        <f>"Qtr"&amp; " " &amp;CHOOSE(MONTH(Table1[[#This Row],[Date]]),1,1,1,2,2,2,3,3,3,4,4,4)</f>
        <v>Qtr 3</v>
      </c>
      <c r="G962" s="3" t="str">
        <f>TEXT(Table1[[#This Row],[Date]],"mmmm")</f>
        <v>July</v>
      </c>
      <c r="H962" s="3" t="s">
        <v>1080</v>
      </c>
      <c r="I962" s="3" t="s">
        <v>28</v>
      </c>
      <c r="J962" s="3">
        <v>9</v>
      </c>
      <c r="K962" s="3">
        <v>49585.82</v>
      </c>
      <c r="L962" s="3">
        <f>Table1[[#This Row],[Price Per Unit]]*Table1[[#This Row],[Units Sold]]</f>
        <v>446272.38</v>
      </c>
      <c r="M962" s="3" t="s">
        <v>677</v>
      </c>
      <c r="N962" s="3">
        <v>56</v>
      </c>
      <c r="O962" s="3" t="s">
        <v>54</v>
      </c>
      <c r="P962" s="3" t="s">
        <v>31</v>
      </c>
      <c r="Q962" s="4">
        <v>2</v>
      </c>
      <c r="R962" s="4" t="str">
        <f>IF(Table1[[#This Row],[Customer Ratings]]&gt;=4, "Good",IF(Table1[[#This Row],[Customer Ratings]]=3, "Average","Poor"))</f>
        <v>Poor</v>
      </c>
      <c r="S962" s="3" t="s">
        <v>38</v>
      </c>
    </row>
    <row r="963" spans="1:19" x14ac:dyDescent="0.25">
      <c r="A963" s="3">
        <v>962</v>
      </c>
      <c r="B963" s="5">
        <f>DATE(Table1[[#This Row],[Year]],Table1[[#This Row],[Month]],Table1[[#This Row],[Day]])</f>
        <v>44753</v>
      </c>
      <c r="C963" s="3">
        <v>11</v>
      </c>
      <c r="D963" s="3">
        <v>7</v>
      </c>
      <c r="E963" s="3">
        <v>2022</v>
      </c>
      <c r="F963" s="3" t="str">
        <f>"Qtr"&amp; " " &amp;CHOOSE(MONTH(Table1[[#This Row],[Date]]),1,1,1,2,2,2,3,3,3,4,4,4)</f>
        <v>Qtr 3</v>
      </c>
      <c r="G963" s="3" t="str">
        <f>TEXT(Table1[[#This Row],[Date]],"mmmm")</f>
        <v>July</v>
      </c>
      <c r="H963" s="3" t="s">
        <v>1081</v>
      </c>
      <c r="I963" s="3" t="s">
        <v>13</v>
      </c>
      <c r="J963" s="3">
        <v>5</v>
      </c>
      <c r="K963" s="3">
        <v>18218.93</v>
      </c>
      <c r="L963" s="3">
        <f>Table1[[#This Row],[Price Per Unit]]*Table1[[#This Row],[Units Sold]]</f>
        <v>91094.65</v>
      </c>
      <c r="M963" s="3" t="s">
        <v>678</v>
      </c>
      <c r="N963" s="3">
        <v>53</v>
      </c>
      <c r="O963" s="3" t="s">
        <v>125</v>
      </c>
      <c r="P963" s="3" t="s">
        <v>16</v>
      </c>
      <c r="Q963" s="4">
        <v>3</v>
      </c>
      <c r="R963" s="4" t="str">
        <f>IF(Table1[[#This Row],[Customer Ratings]]&gt;=4, "Good",IF(Table1[[#This Row],[Customer Ratings]]=3, "Average","Poor"))</f>
        <v>Average</v>
      </c>
      <c r="S963" s="3" t="s">
        <v>27</v>
      </c>
    </row>
    <row r="964" spans="1:19" x14ac:dyDescent="0.25">
      <c r="A964" s="3">
        <v>963</v>
      </c>
      <c r="B964" s="5">
        <f>DATE(Table1[[#This Row],[Year]],Table1[[#This Row],[Month]],Table1[[#This Row],[Day]])</f>
        <v>44753</v>
      </c>
      <c r="C964" s="3">
        <v>11</v>
      </c>
      <c r="D964" s="3">
        <v>7</v>
      </c>
      <c r="E964" s="3">
        <v>2022</v>
      </c>
      <c r="F964" s="3" t="str">
        <f>"Qtr"&amp; " " &amp;CHOOSE(MONTH(Table1[[#This Row],[Date]]),1,1,1,2,2,2,3,3,3,4,4,4)</f>
        <v>Qtr 3</v>
      </c>
      <c r="G964" s="3" t="str">
        <f>TEXT(Table1[[#This Row],[Date]],"mmmm")</f>
        <v>July</v>
      </c>
      <c r="H964" s="3" t="s">
        <v>1081</v>
      </c>
      <c r="I964" s="3" t="s">
        <v>18</v>
      </c>
      <c r="J964" s="3">
        <v>9</v>
      </c>
      <c r="K964" s="3">
        <v>51211.99</v>
      </c>
      <c r="L964" s="3">
        <f>Table1[[#This Row],[Price Per Unit]]*Table1[[#This Row],[Units Sold]]</f>
        <v>460907.91</v>
      </c>
      <c r="M964" s="3" t="s">
        <v>679</v>
      </c>
      <c r="N964" s="3">
        <v>53</v>
      </c>
      <c r="O964" s="3" t="s">
        <v>30</v>
      </c>
      <c r="P964" s="3" t="s">
        <v>16</v>
      </c>
      <c r="Q964" s="4">
        <v>2</v>
      </c>
      <c r="R964" s="4" t="str">
        <f>IF(Table1[[#This Row],[Customer Ratings]]&gt;=4, "Good",IF(Table1[[#This Row],[Customer Ratings]]=3, "Average","Poor"))</f>
        <v>Poor</v>
      </c>
      <c r="S964" s="3" t="s">
        <v>55</v>
      </c>
    </row>
    <row r="965" spans="1:19" x14ac:dyDescent="0.25">
      <c r="A965" s="3">
        <v>964</v>
      </c>
      <c r="B965" s="5">
        <f>DATE(Table1[[#This Row],[Year]],Table1[[#This Row],[Month]],Table1[[#This Row],[Day]])</f>
        <v>44753</v>
      </c>
      <c r="C965" s="3">
        <v>11</v>
      </c>
      <c r="D965" s="3">
        <v>7</v>
      </c>
      <c r="E965" s="3">
        <v>2022</v>
      </c>
      <c r="F965" s="3" t="str">
        <f>"Qtr"&amp; " " &amp;CHOOSE(MONTH(Table1[[#This Row],[Date]]),1,1,1,2,2,2,3,3,3,4,4,4)</f>
        <v>Qtr 3</v>
      </c>
      <c r="G965" s="3" t="str">
        <f>TEXT(Table1[[#This Row],[Date]],"mmmm")</f>
        <v>July</v>
      </c>
      <c r="H965" s="3" t="s">
        <v>1081</v>
      </c>
      <c r="I965" s="3" t="s">
        <v>13</v>
      </c>
      <c r="J965" s="3">
        <v>5</v>
      </c>
      <c r="K965" s="3">
        <v>64797.98</v>
      </c>
      <c r="L965" s="3">
        <f>Table1[[#This Row],[Price Per Unit]]*Table1[[#This Row],[Units Sold]]</f>
        <v>323989.90000000002</v>
      </c>
      <c r="M965" s="3" t="s">
        <v>104</v>
      </c>
      <c r="N965" s="3">
        <v>36</v>
      </c>
      <c r="O965" s="3" t="s">
        <v>102</v>
      </c>
      <c r="P965" s="3" t="s">
        <v>21</v>
      </c>
      <c r="Q965" s="4">
        <v>2</v>
      </c>
      <c r="R965" s="4" t="str">
        <f>IF(Table1[[#This Row],[Customer Ratings]]&gt;=4, "Good",IF(Table1[[#This Row],[Customer Ratings]]=3, "Average","Poor"))</f>
        <v>Poor</v>
      </c>
      <c r="S965" s="3" t="s">
        <v>27</v>
      </c>
    </row>
    <row r="966" spans="1:19" x14ac:dyDescent="0.25">
      <c r="A966" s="3">
        <v>965</v>
      </c>
      <c r="B966" s="5">
        <f>DATE(Table1[[#This Row],[Year]],Table1[[#This Row],[Month]],Table1[[#This Row],[Day]])</f>
        <v>44753</v>
      </c>
      <c r="C966" s="3">
        <v>11</v>
      </c>
      <c r="D966" s="3">
        <v>7</v>
      </c>
      <c r="E966" s="3">
        <v>2022</v>
      </c>
      <c r="F966" s="3" t="str">
        <f>"Qtr"&amp; " " &amp;CHOOSE(MONTH(Table1[[#This Row],[Date]]),1,1,1,2,2,2,3,3,3,4,4,4)</f>
        <v>Qtr 3</v>
      </c>
      <c r="G966" s="3" t="str">
        <f>TEXT(Table1[[#This Row],[Date]],"mmmm")</f>
        <v>July</v>
      </c>
      <c r="H966" s="3" t="s">
        <v>1081</v>
      </c>
      <c r="I966" s="3" t="s">
        <v>28</v>
      </c>
      <c r="J966" s="3">
        <v>8</v>
      </c>
      <c r="K966" s="3">
        <v>46514.99</v>
      </c>
      <c r="L966" s="3">
        <f>Table1[[#This Row],[Price Per Unit]]*Table1[[#This Row],[Units Sold]]</f>
        <v>372119.92</v>
      </c>
      <c r="M966" s="3" t="s">
        <v>383</v>
      </c>
      <c r="N966" s="3">
        <v>36</v>
      </c>
      <c r="O966" s="3" t="s">
        <v>48</v>
      </c>
      <c r="P966" s="3" t="s">
        <v>16</v>
      </c>
      <c r="Q966" s="4">
        <v>2</v>
      </c>
      <c r="R966" s="4" t="str">
        <f>IF(Table1[[#This Row],[Customer Ratings]]&gt;=4, "Good",IF(Table1[[#This Row],[Customer Ratings]]=3, "Average","Poor"))</f>
        <v>Poor</v>
      </c>
      <c r="S966" s="3" t="s">
        <v>32</v>
      </c>
    </row>
    <row r="967" spans="1:19" x14ac:dyDescent="0.25">
      <c r="A967" s="3">
        <v>966</v>
      </c>
      <c r="B967" s="5">
        <f>DATE(Table1[[#This Row],[Year]],Table1[[#This Row],[Month]],Table1[[#This Row],[Day]])</f>
        <v>44754</v>
      </c>
      <c r="C967" s="3">
        <v>12</v>
      </c>
      <c r="D967" s="3">
        <v>7</v>
      </c>
      <c r="E967" s="3">
        <v>2022</v>
      </c>
      <c r="F967" s="3" t="str">
        <f>"Qtr"&amp; " " &amp;CHOOSE(MONTH(Table1[[#This Row],[Date]]),1,1,1,2,2,2,3,3,3,4,4,4)</f>
        <v>Qtr 3</v>
      </c>
      <c r="G967" s="3" t="str">
        <f>TEXT(Table1[[#This Row],[Date]],"mmmm")</f>
        <v>July</v>
      </c>
      <c r="H967" s="3" t="s">
        <v>1082</v>
      </c>
      <c r="I967" s="3" t="s">
        <v>28</v>
      </c>
      <c r="J967" s="3">
        <v>1</v>
      </c>
      <c r="K967" s="3">
        <v>43591.32</v>
      </c>
      <c r="L967" s="3">
        <f>Table1[[#This Row],[Price Per Unit]]*Table1[[#This Row],[Units Sold]]</f>
        <v>43591.32</v>
      </c>
      <c r="M967" s="3" t="s">
        <v>288</v>
      </c>
      <c r="N967" s="3">
        <v>29</v>
      </c>
      <c r="O967" s="3" t="s">
        <v>78</v>
      </c>
      <c r="P967" s="3" t="s">
        <v>45</v>
      </c>
      <c r="Q967" s="4">
        <v>3</v>
      </c>
      <c r="R967" s="4" t="str">
        <f>IF(Table1[[#This Row],[Customer Ratings]]&gt;=4, "Good",IF(Table1[[#This Row],[Customer Ratings]]=3, "Average","Poor"))</f>
        <v>Average</v>
      </c>
      <c r="S967" s="3" t="s">
        <v>32</v>
      </c>
    </row>
    <row r="968" spans="1:19" x14ac:dyDescent="0.25">
      <c r="A968" s="3">
        <v>967</v>
      </c>
      <c r="B968" s="5">
        <f>DATE(Table1[[#This Row],[Year]],Table1[[#This Row],[Month]],Table1[[#This Row],[Day]])</f>
        <v>44754</v>
      </c>
      <c r="C968" s="3">
        <v>12</v>
      </c>
      <c r="D968" s="3">
        <v>7</v>
      </c>
      <c r="E968" s="3">
        <v>2022</v>
      </c>
      <c r="F968" s="3" t="str">
        <f>"Qtr"&amp; " " &amp;CHOOSE(MONTH(Table1[[#This Row],[Date]]),1,1,1,2,2,2,3,3,3,4,4,4)</f>
        <v>Qtr 3</v>
      </c>
      <c r="G968" s="3" t="str">
        <f>TEXT(Table1[[#This Row],[Date]],"mmmm")</f>
        <v>July</v>
      </c>
      <c r="H968" s="3" t="s">
        <v>1082</v>
      </c>
      <c r="I968" s="3" t="s">
        <v>39</v>
      </c>
      <c r="J968" s="3">
        <v>7</v>
      </c>
      <c r="K968" s="3">
        <v>67667.100000000006</v>
      </c>
      <c r="L968" s="3">
        <f>Table1[[#This Row],[Price Per Unit]]*Table1[[#This Row],[Units Sold]]</f>
        <v>473669.70000000007</v>
      </c>
      <c r="M968" s="3" t="s">
        <v>312</v>
      </c>
      <c r="N968" s="3">
        <v>30</v>
      </c>
      <c r="O968" s="3" t="s">
        <v>48</v>
      </c>
      <c r="P968" s="3" t="s">
        <v>21</v>
      </c>
      <c r="Q968" s="4">
        <v>5</v>
      </c>
      <c r="R968" s="4" t="str">
        <f>IF(Table1[[#This Row],[Customer Ratings]]&gt;=4, "Good",IF(Table1[[#This Row],[Customer Ratings]]=3, "Average","Poor"))</f>
        <v>Good</v>
      </c>
      <c r="S968" s="3" t="s">
        <v>42</v>
      </c>
    </row>
    <row r="969" spans="1:19" x14ac:dyDescent="0.25">
      <c r="A969" s="3">
        <v>968</v>
      </c>
      <c r="B969" s="5">
        <f>DATE(Table1[[#This Row],[Year]],Table1[[#This Row],[Month]],Table1[[#This Row],[Day]])</f>
        <v>44754</v>
      </c>
      <c r="C969" s="3">
        <v>12</v>
      </c>
      <c r="D969" s="3">
        <v>7</v>
      </c>
      <c r="E969" s="3">
        <v>2022</v>
      </c>
      <c r="F969" s="3" t="str">
        <f>"Qtr"&amp; " " &amp;CHOOSE(MONTH(Table1[[#This Row],[Date]]),1,1,1,2,2,2,3,3,3,4,4,4)</f>
        <v>Qtr 3</v>
      </c>
      <c r="G969" s="3" t="str">
        <f>TEXT(Table1[[#This Row],[Date]],"mmmm")</f>
        <v>July</v>
      </c>
      <c r="H969" s="3" t="s">
        <v>1082</v>
      </c>
      <c r="I969" s="3" t="s">
        <v>33</v>
      </c>
      <c r="J969" s="3">
        <v>4</v>
      </c>
      <c r="K969" s="3">
        <v>47643.79</v>
      </c>
      <c r="L969" s="3">
        <f>Table1[[#This Row],[Price Per Unit]]*Table1[[#This Row],[Units Sold]]</f>
        <v>190575.16</v>
      </c>
      <c r="M969" s="3" t="s">
        <v>313</v>
      </c>
      <c r="N969" s="3">
        <v>42</v>
      </c>
      <c r="O969" s="3" t="s">
        <v>24</v>
      </c>
      <c r="P969" s="3" t="s">
        <v>45</v>
      </c>
      <c r="Q969" s="4">
        <v>5</v>
      </c>
      <c r="R969" s="4" t="str">
        <f>IF(Table1[[#This Row],[Customer Ratings]]&gt;=4, "Good",IF(Table1[[#This Row],[Customer Ratings]]=3, "Average","Poor"))</f>
        <v>Good</v>
      </c>
      <c r="S969" s="3" t="s">
        <v>83</v>
      </c>
    </row>
    <row r="970" spans="1:19" x14ac:dyDescent="0.25">
      <c r="A970" s="3">
        <v>969</v>
      </c>
      <c r="B970" s="5">
        <f>DATE(Table1[[#This Row],[Year]],Table1[[#This Row],[Month]],Table1[[#This Row],[Day]])</f>
        <v>44755</v>
      </c>
      <c r="C970" s="3">
        <v>13</v>
      </c>
      <c r="D970" s="3">
        <v>7</v>
      </c>
      <c r="E970" s="3">
        <v>2022</v>
      </c>
      <c r="F970" s="3" t="str">
        <f>"Qtr"&amp; " " &amp;CHOOSE(MONTH(Table1[[#This Row],[Date]]),1,1,1,2,2,2,3,3,3,4,4,4)</f>
        <v>Qtr 3</v>
      </c>
      <c r="G970" s="3" t="str">
        <f>TEXT(Table1[[#This Row],[Date]],"mmmm")</f>
        <v>July</v>
      </c>
      <c r="H970" s="3" t="s">
        <v>1083</v>
      </c>
      <c r="I970" s="3" t="s">
        <v>39</v>
      </c>
      <c r="J970" s="3">
        <v>5</v>
      </c>
      <c r="K970" s="3">
        <v>25573.03</v>
      </c>
      <c r="L970" s="3">
        <f>Table1[[#This Row],[Price Per Unit]]*Table1[[#This Row],[Units Sold]]</f>
        <v>127865.15</v>
      </c>
      <c r="M970" s="3" t="s">
        <v>673</v>
      </c>
      <c r="N970" s="3">
        <v>53</v>
      </c>
      <c r="O970" s="3" t="s">
        <v>102</v>
      </c>
      <c r="P970" s="3" t="s">
        <v>21</v>
      </c>
      <c r="Q970" s="4">
        <v>5</v>
      </c>
      <c r="R970" s="4" t="str">
        <f>IF(Table1[[#This Row],[Customer Ratings]]&gt;=4, "Good",IF(Table1[[#This Row],[Customer Ratings]]=3, "Average","Poor"))</f>
        <v>Good</v>
      </c>
      <c r="S970" s="3" t="s">
        <v>42</v>
      </c>
    </row>
    <row r="971" spans="1:19" x14ac:dyDescent="0.25">
      <c r="A971" s="3">
        <v>970</v>
      </c>
      <c r="B971" s="5">
        <f>DATE(Table1[[#This Row],[Year]],Table1[[#This Row],[Month]],Table1[[#This Row],[Day]])</f>
        <v>44755</v>
      </c>
      <c r="C971" s="3">
        <v>13</v>
      </c>
      <c r="D971" s="3">
        <v>7</v>
      </c>
      <c r="E971" s="3">
        <v>2022</v>
      </c>
      <c r="F971" s="3" t="str">
        <f>"Qtr"&amp; " " &amp;CHOOSE(MONTH(Table1[[#This Row],[Date]]),1,1,1,2,2,2,3,3,3,4,4,4)</f>
        <v>Qtr 3</v>
      </c>
      <c r="G971" s="3" t="str">
        <f>TEXT(Table1[[#This Row],[Date]],"mmmm")</f>
        <v>July</v>
      </c>
      <c r="H971" s="3" t="s">
        <v>1083</v>
      </c>
      <c r="I971" s="3" t="s">
        <v>18</v>
      </c>
      <c r="J971" s="3">
        <v>6</v>
      </c>
      <c r="K971" s="3">
        <v>27543.46</v>
      </c>
      <c r="L971" s="3">
        <f>Table1[[#This Row],[Price Per Unit]]*Table1[[#This Row],[Units Sold]]</f>
        <v>165260.76</v>
      </c>
      <c r="M971" s="3" t="s">
        <v>564</v>
      </c>
      <c r="N971" s="3">
        <v>42</v>
      </c>
      <c r="O971" s="3" t="s">
        <v>20</v>
      </c>
      <c r="P971" s="3" t="s">
        <v>21</v>
      </c>
      <c r="Q971" s="4">
        <v>3</v>
      </c>
      <c r="R971" s="4" t="str">
        <f>IF(Table1[[#This Row],[Customer Ratings]]&gt;=4, "Good",IF(Table1[[#This Row],[Customer Ratings]]=3, "Average","Poor"))</f>
        <v>Average</v>
      </c>
      <c r="S971" s="3" t="s">
        <v>55</v>
      </c>
    </row>
    <row r="972" spans="1:19" x14ac:dyDescent="0.25">
      <c r="A972" s="3">
        <v>971</v>
      </c>
      <c r="B972" s="5">
        <f>DATE(Table1[[#This Row],[Year]],Table1[[#This Row],[Month]],Table1[[#This Row],[Day]])</f>
        <v>44755</v>
      </c>
      <c r="C972" s="3">
        <v>13</v>
      </c>
      <c r="D972" s="3">
        <v>7</v>
      </c>
      <c r="E972" s="3">
        <v>2022</v>
      </c>
      <c r="F972" s="3" t="str">
        <f>"Qtr"&amp; " " &amp;CHOOSE(MONTH(Table1[[#This Row],[Date]]),1,1,1,2,2,2,3,3,3,4,4,4)</f>
        <v>Qtr 3</v>
      </c>
      <c r="G972" s="3" t="str">
        <f>TEXT(Table1[[#This Row],[Date]],"mmmm")</f>
        <v>July</v>
      </c>
      <c r="H972" s="3" t="s">
        <v>1083</v>
      </c>
      <c r="I972" s="3" t="s">
        <v>13</v>
      </c>
      <c r="J972" s="3">
        <v>5</v>
      </c>
      <c r="K972" s="3">
        <v>52318.400000000001</v>
      </c>
      <c r="L972" s="3">
        <f>Table1[[#This Row],[Price Per Unit]]*Table1[[#This Row],[Units Sold]]</f>
        <v>261592</v>
      </c>
      <c r="M972" s="3" t="s">
        <v>680</v>
      </c>
      <c r="N972" s="3">
        <v>45</v>
      </c>
      <c r="O972" s="3" t="s">
        <v>24</v>
      </c>
      <c r="P972" s="3" t="s">
        <v>16</v>
      </c>
      <c r="Q972" s="4">
        <v>5</v>
      </c>
      <c r="R972" s="4" t="str">
        <f>IF(Table1[[#This Row],[Customer Ratings]]&gt;=4, "Good",IF(Table1[[#This Row],[Customer Ratings]]=3, "Average","Poor"))</f>
        <v>Good</v>
      </c>
      <c r="S972" s="3" t="s">
        <v>17</v>
      </c>
    </row>
    <row r="973" spans="1:19" x14ac:dyDescent="0.25">
      <c r="A973" s="3">
        <v>972</v>
      </c>
      <c r="B973" s="5">
        <f>DATE(Table1[[#This Row],[Year]],Table1[[#This Row],[Month]],Table1[[#This Row],[Day]])</f>
        <v>44755</v>
      </c>
      <c r="C973" s="3">
        <v>13</v>
      </c>
      <c r="D973" s="3">
        <v>7</v>
      </c>
      <c r="E973" s="3">
        <v>2022</v>
      </c>
      <c r="F973" s="3" t="str">
        <f>"Qtr"&amp; " " &amp;CHOOSE(MONTH(Table1[[#This Row],[Date]]),1,1,1,2,2,2,3,3,3,4,4,4)</f>
        <v>Qtr 3</v>
      </c>
      <c r="G973" s="3" t="str">
        <f>TEXT(Table1[[#This Row],[Date]],"mmmm")</f>
        <v>July</v>
      </c>
      <c r="H973" s="3" t="s">
        <v>1083</v>
      </c>
      <c r="I973" s="3" t="s">
        <v>18</v>
      </c>
      <c r="J973" s="3">
        <v>1</v>
      </c>
      <c r="K973" s="3">
        <v>54126.2</v>
      </c>
      <c r="L973" s="3">
        <f>Table1[[#This Row],[Price Per Unit]]*Table1[[#This Row],[Units Sold]]</f>
        <v>54126.2</v>
      </c>
      <c r="M973" s="3" t="s">
        <v>681</v>
      </c>
      <c r="N973" s="3">
        <v>59</v>
      </c>
      <c r="O973" s="3" t="s">
        <v>15</v>
      </c>
      <c r="P973" s="3" t="s">
        <v>21</v>
      </c>
      <c r="Q973" s="4">
        <v>5</v>
      </c>
      <c r="R973" s="4" t="str">
        <f>IF(Table1[[#This Row],[Customer Ratings]]&gt;=4, "Good",IF(Table1[[#This Row],[Customer Ratings]]=3, "Average","Poor"))</f>
        <v>Good</v>
      </c>
      <c r="S973" s="3" t="s">
        <v>25</v>
      </c>
    </row>
    <row r="974" spans="1:19" x14ac:dyDescent="0.25">
      <c r="A974" s="3">
        <v>973</v>
      </c>
      <c r="B974" s="5">
        <f>DATE(Table1[[#This Row],[Year]],Table1[[#This Row],[Month]],Table1[[#This Row],[Day]])</f>
        <v>44756</v>
      </c>
      <c r="C974" s="3">
        <v>14</v>
      </c>
      <c r="D974" s="3">
        <v>7</v>
      </c>
      <c r="E974" s="3">
        <v>2022</v>
      </c>
      <c r="F974" s="3" t="str">
        <f>"Qtr"&amp; " " &amp;CHOOSE(MONTH(Table1[[#This Row],[Date]]),1,1,1,2,2,2,3,3,3,4,4,4)</f>
        <v>Qtr 3</v>
      </c>
      <c r="G974" s="3" t="str">
        <f>TEXT(Table1[[#This Row],[Date]],"mmmm")</f>
        <v>July</v>
      </c>
      <c r="H974" s="3" t="s">
        <v>1084</v>
      </c>
      <c r="I974" s="3" t="s">
        <v>28</v>
      </c>
      <c r="J974" s="3">
        <v>9</v>
      </c>
      <c r="K974" s="3">
        <v>28209.77</v>
      </c>
      <c r="L974" s="3">
        <f>Table1[[#This Row],[Price Per Unit]]*Table1[[#This Row],[Units Sold]]</f>
        <v>253887.93</v>
      </c>
      <c r="M974" s="3" t="s">
        <v>544</v>
      </c>
      <c r="N974" s="3">
        <v>56</v>
      </c>
      <c r="O974" s="3" t="s">
        <v>20</v>
      </c>
      <c r="P974" s="3" t="s">
        <v>21</v>
      </c>
      <c r="Q974" s="4">
        <v>2</v>
      </c>
      <c r="R974" s="4" t="str">
        <f>IF(Table1[[#This Row],[Customer Ratings]]&gt;=4, "Good",IF(Table1[[#This Row],[Customer Ratings]]=3, "Average","Poor"))</f>
        <v>Poor</v>
      </c>
      <c r="S974" s="3" t="s">
        <v>38</v>
      </c>
    </row>
    <row r="975" spans="1:19" x14ac:dyDescent="0.25">
      <c r="A975" s="3">
        <v>974</v>
      </c>
      <c r="B975" s="5">
        <f>DATE(Table1[[#This Row],[Year]],Table1[[#This Row],[Month]],Table1[[#This Row],[Day]])</f>
        <v>44756</v>
      </c>
      <c r="C975" s="3">
        <v>14</v>
      </c>
      <c r="D975" s="3">
        <v>7</v>
      </c>
      <c r="E975" s="3">
        <v>2022</v>
      </c>
      <c r="F975" s="3" t="str">
        <f>"Qtr"&amp; " " &amp;CHOOSE(MONTH(Table1[[#This Row],[Date]]),1,1,1,2,2,2,3,3,3,4,4,4)</f>
        <v>Qtr 3</v>
      </c>
      <c r="G975" s="3" t="str">
        <f>TEXT(Table1[[#This Row],[Date]],"mmmm")</f>
        <v>July</v>
      </c>
      <c r="H975" s="3" t="s">
        <v>1084</v>
      </c>
      <c r="I975" s="3" t="s">
        <v>39</v>
      </c>
      <c r="J975" s="3">
        <v>2</v>
      </c>
      <c r="K975" s="3">
        <v>30720.639999999999</v>
      </c>
      <c r="L975" s="3">
        <f>Table1[[#This Row],[Price Per Unit]]*Table1[[#This Row],[Units Sold]]</f>
        <v>61441.279999999999</v>
      </c>
      <c r="M975" s="3" t="s">
        <v>501</v>
      </c>
      <c r="N975" s="3">
        <v>47</v>
      </c>
      <c r="O975" s="3" t="s">
        <v>52</v>
      </c>
      <c r="P975" s="3" t="s">
        <v>31</v>
      </c>
      <c r="Q975" s="4">
        <v>3</v>
      </c>
      <c r="R975" s="4" t="str">
        <f>IF(Table1[[#This Row],[Customer Ratings]]&gt;=4, "Good",IF(Table1[[#This Row],[Customer Ratings]]=3, "Average","Poor"))</f>
        <v>Average</v>
      </c>
      <c r="S975" s="3" t="s">
        <v>76</v>
      </c>
    </row>
    <row r="976" spans="1:19" x14ac:dyDescent="0.25">
      <c r="A976" s="3">
        <v>975</v>
      </c>
      <c r="B976" s="5">
        <f>DATE(Table1[[#This Row],[Year]],Table1[[#This Row],[Month]],Table1[[#This Row],[Day]])</f>
        <v>44756</v>
      </c>
      <c r="C976" s="3">
        <v>14</v>
      </c>
      <c r="D976" s="3">
        <v>7</v>
      </c>
      <c r="E976" s="3">
        <v>2022</v>
      </c>
      <c r="F976" s="3" t="str">
        <f>"Qtr"&amp; " " &amp;CHOOSE(MONTH(Table1[[#This Row],[Date]]),1,1,1,2,2,2,3,3,3,4,4,4)</f>
        <v>Qtr 3</v>
      </c>
      <c r="G976" s="3" t="str">
        <f>TEXT(Table1[[#This Row],[Date]],"mmmm")</f>
        <v>July</v>
      </c>
      <c r="H976" s="3" t="s">
        <v>1084</v>
      </c>
      <c r="I976" s="3" t="s">
        <v>39</v>
      </c>
      <c r="J976" s="3">
        <v>9</v>
      </c>
      <c r="K976" s="3">
        <v>69463.39</v>
      </c>
      <c r="L976" s="3">
        <f>Table1[[#This Row],[Price Per Unit]]*Table1[[#This Row],[Units Sold]]</f>
        <v>625170.51</v>
      </c>
      <c r="M976" s="3" t="s">
        <v>345</v>
      </c>
      <c r="N976" s="3">
        <v>22</v>
      </c>
      <c r="O976" s="3" t="s">
        <v>20</v>
      </c>
      <c r="P976" s="3" t="s">
        <v>16</v>
      </c>
      <c r="Q976" s="4">
        <v>3</v>
      </c>
      <c r="R976" s="4" t="str">
        <f>IF(Table1[[#This Row],[Customer Ratings]]&gt;=4, "Good",IF(Table1[[#This Row],[Customer Ratings]]=3, "Average","Poor"))</f>
        <v>Average</v>
      </c>
      <c r="S976" s="3" t="s">
        <v>90</v>
      </c>
    </row>
    <row r="977" spans="1:19" x14ac:dyDescent="0.25">
      <c r="A977" s="3">
        <v>976</v>
      </c>
      <c r="B977" s="5">
        <f>DATE(Table1[[#This Row],[Year]],Table1[[#This Row],[Month]],Table1[[#This Row],[Day]])</f>
        <v>44757</v>
      </c>
      <c r="C977" s="3">
        <v>15</v>
      </c>
      <c r="D977" s="3">
        <v>7</v>
      </c>
      <c r="E977" s="3">
        <v>2022</v>
      </c>
      <c r="F977" s="3" t="str">
        <f>"Qtr"&amp; " " &amp;CHOOSE(MONTH(Table1[[#This Row],[Date]]),1,1,1,2,2,2,3,3,3,4,4,4)</f>
        <v>Qtr 3</v>
      </c>
      <c r="G977" s="3" t="str">
        <f>TEXT(Table1[[#This Row],[Date]],"mmmm")</f>
        <v>July</v>
      </c>
      <c r="H977" s="3" t="s">
        <v>1085</v>
      </c>
      <c r="I977" s="3" t="s">
        <v>39</v>
      </c>
      <c r="J977" s="3">
        <v>2</v>
      </c>
      <c r="K977" s="3">
        <v>16117.15</v>
      </c>
      <c r="L977" s="3">
        <f>Table1[[#This Row],[Price Per Unit]]*Table1[[#This Row],[Units Sold]]</f>
        <v>32234.3</v>
      </c>
      <c r="M977" s="3" t="s">
        <v>172</v>
      </c>
      <c r="N977" s="3">
        <v>34</v>
      </c>
      <c r="O977" s="3" t="s">
        <v>125</v>
      </c>
      <c r="P977" s="3" t="s">
        <v>45</v>
      </c>
      <c r="Q977" s="4">
        <v>4</v>
      </c>
      <c r="R977" s="4" t="str">
        <f>IF(Table1[[#This Row],[Customer Ratings]]&gt;=4, "Good",IF(Table1[[#This Row],[Customer Ratings]]=3, "Average","Poor"))</f>
        <v>Good</v>
      </c>
      <c r="S977" s="3" t="s">
        <v>42</v>
      </c>
    </row>
    <row r="978" spans="1:19" x14ac:dyDescent="0.25">
      <c r="A978" s="3">
        <v>977</v>
      </c>
      <c r="B978" s="5">
        <f>DATE(Table1[[#This Row],[Year]],Table1[[#This Row],[Month]],Table1[[#This Row],[Day]])</f>
        <v>44757</v>
      </c>
      <c r="C978" s="3">
        <v>15</v>
      </c>
      <c r="D978" s="3">
        <v>7</v>
      </c>
      <c r="E978" s="3">
        <v>2022</v>
      </c>
      <c r="F978" s="3" t="str">
        <f>"Qtr"&amp; " " &amp;CHOOSE(MONTH(Table1[[#This Row],[Date]]),1,1,1,2,2,2,3,3,3,4,4,4)</f>
        <v>Qtr 3</v>
      </c>
      <c r="G978" s="3" t="str">
        <f>TEXT(Table1[[#This Row],[Date]],"mmmm")</f>
        <v>July</v>
      </c>
      <c r="H978" s="3" t="s">
        <v>1085</v>
      </c>
      <c r="I978" s="3" t="s">
        <v>18</v>
      </c>
      <c r="J978" s="3">
        <v>9</v>
      </c>
      <c r="K978" s="3">
        <v>34278.699999999997</v>
      </c>
      <c r="L978" s="3">
        <f>Table1[[#This Row],[Price Per Unit]]*Table1[[#This Row],[Units Sold]]</f>
        <v>308508.3</v>
      </c>
      <c r="M978" s="3" t="s">
        <v>682</v>
      </c>
      <c r="N978" s="3">
        <v>35</v>
      </c>
      <c r="O978" s="3" t="s">
        <v>125</v>
      </c>
      <c r="P978" s="3" t="s">
        <v>21</v>
      </c>
      <c r="Q978" s="4">
        <v>4</v>
      </c>
      <c r="R978" s="4" t="str">
        <f>IF(Table1[[#This Row],[Customer Ratings]]&gt;=4, "Good",IF(Table1[[#This Row],[Customer Ratings]]=3, "Average","Poor"))</f>
        <v>Good</v>
      </c>
      <c r="S978" s="3" t="s">
        <v>25</v>
      </c>
    </row>
    <row r="979" spans="1:19" x14ac:dyDescent="0.25">
      <c r="A979" s="3">
        <v>978</v>
      </c>
      <c r="B979" s="5">
        <f>DATE(Table1[[#This Row],[Year]],Table1[[#This Row],[Month]],Table1[[#This Row],[Day]])</f>
        <v>44757</v>
      </c>
      <c r="C979" s="3">
        <v>15</v>
      </c>
      <c r="D979" s="3">
        <v>7</v>
      </c>
      <c r="E979" s="3">
        <v>2022</v>
      </c>
      <c r="F979" s="3" t="str">
        <f>"Qtr"&amp; " " &amp;CHOOSE(MONTH(Table1[[#This Row],[Date]]),1,1,1,2,2,2,3,3,3,4,4,4)</f>
        <v>Qtr 3</v>
      </c>
      <c r="G979" s="3" t="str">
        <f>TEXT(Table1[[#This Row],[Date]],"mmmm")</f>
        <v>July</v>
      </c>
      <c r="H979" s="3" t="s">
        <v>1085</v>
      </c>
      <c r="I979" s="3" t="s">
        <v>28</v>
      </c>
      <c r="J979" s="3">
        <v>6</v>
      </c>
      <c r="K979" s="3">
        <v>13746.85</v>
      </c>
      <c r="L979" s="3">
        <f>Table1[[#This Row],[Price Per Unit]]*Table1[[#This Row],[Units Sold]]</f>
        <v>82481.100000000006</v>
      </c>
      <c r="M979" s="3" t="s">
        <v>235</v>
      </c>
      <c r="N979" s="3">
        <v>38</v>
      </c>
      <c r="O979" s="3" t="s">
        <v>30</v>
      </c>
      <c r="P979" s="3" t="s">
        <v>45</v>
      </c>
      <c r="Q979" s="4">
        <v>4</v>
      </c>
      <c r="R979" s="4" t="str">
        <f>IF(Table1[[#This Row],[Customer Ratings]]&gt;=4, "Good",IF(Table1[[#This Row],[Customer Ratings]]=3, "Average","Poor"))</f>
        <v>Good</v>
      </c>
      <c r="S979" s="3" t="s">
        <v>38</v>
      </c>
    </row>
    <row r="980" spans="1:19" x14ac:dyDescent="0.25">
      <c r="A980" s="3">
        <v>979</v>
      </c>
      <c r="B980" s="5">
        <f>DATE(Table1[[#This Row],[Year]],Table1[[#This Row],[Month]],Table1[[#This Row],[Day]])</f>
        <v>44757</v>
      </c>
      <c r="C980" s="3">
        <v>15</v>
      </c>
      <c r="D980" s="3">
        <v>7</v>
      </c>
      <c r="E980" s="3">
        <v>2022</v>
      </c>
      <c r="F980" s="3" t="str">
        <f>"Qtr"&amp; " " &amp;CHOOSE(MONTH(Table1[[#This Row],[Date]]),1,1,1,2,2,2,3,3,3,4,4,4)</f>
        <v>Qtr 3</v>
      </c>
      <c r="G980" s="3" t="str">
        <f>TEXT(Table1[[#This Row],[Date]],"mmmm")</f>
        <v>July</v>
      </c>
      <c r="H980" s="3" t="s">
        <v>1085</v>
      </c>
      <c r="I980" s="3" t="s">
        <v>13</v>
      </c>
      <c r="J980" s="3">
        <v>9</v>
      </c>
      <c r="K980" s="3">
        <v>59264.7</v>
      </c>
      <c r="L980" s="3">
        <f>Table1[[#This Row],[Price Per Unit]]*Table1[[#This Row],[Units Sold]]</f>
        <v>533382.29999999993</v>
      </c>
      <c r="M980" s="3" t="s">
        <v>320</v>
      </c>
      <c r="N980" s="3">
        <v>39</v>
      </c>
      <c r="O980" s="3" t="s">
        <v>81</v>
      </c>
      <c r="P980" s="3" t="s">
        <v>31</v>
      </c>
      <c r="Q980" s="4">
        <v>5</v>
      </c>
      <c r="R980" s="4" t="str">
        <f>IF(Table1[[#This Row],[Customer Ratings]]&gt;=4, "Good",IF(Table1[[#This Row],[Customer Ratings]]=3, "Average","Poor"))</f>
        <v>Good</v>
      </c>
      <c r="S980" s="3" t="s">
        <v>72</v>
      </c>
    </row>
    <row r="981" spans="1:19" x14ac:dyDescent="0.25">
      <c r="A981" s="3">
        <v>980</v>
      </c>
      <c r="B981" s="5">
        <f>DATE(Table1[[#This Row],[Year]],Table1[[#This Row],[Month]],Table1[[#This Row],[Day]])</f>
        <v>44758</v>
      </c>
      <c r="C981" s="3">
        <v>16</v>
      </c>
      <c r="D981" s="3">
        <v>7</v>
      </c>
      <c r="E981" s="3">
        <v>2022</v>
      </c>
      <c r="F981" s="3" t="str">
        <f>"Qtr"&amp; " " &amp;CHOOSE(MONTH(Table1[[#This Row],[Date]]),1,1,1,2,2,2,3,3,3,4,4,4)</f>
        <v>Qtr 3</v>
      </c>
      <c r="G981" s="3" t="str">
        <f>TEXT(Table1[[#This Row],[Date]],"mmmm")</f>
        <v>July</v>
      </c>
      <c r="H981" s="3" t="s">
        <v>1079</v>
      </c>
      <c r="I981" s="3" t="s">
        <v>13</v>
      </c>
      <c r="J981" s="3">
        <v>6</v>
      </c>
      <c r="K981" s="3">
        <v>15540.75</v>
      </c>
      <c r="L981" s="3">
        <f>Table1[[#This Row],[Price Per Unit]]*Table1[[#This Row],[Units Sold]]</f>
        <v>93244.5</v>
      </c>
      <c r="M981" s="3" t="s">
        <v>311</v>
      </c>
      <c r="N981" s="3">
        <v>56</v>
      </c>
      <c r="O981" s="3" t="s">
        <v>41</v>
      </c>
      <c r="P981" s="3" t="s">
        <v>21</v>
      </c>
      <c r="Q981" s="4">
        <v>3</v>
      </c>
      <c r="R981" s="4" t="str">
        <f>IF(Table1[[#This Row],[Customer Ratings]]&gt;=4, "Good",IF(Table1[[#This Row],[Customer Ratings]]=3, "Average","Poor"))</f>
        <v>Average</v>
      </c>
      <c r="S981" s="3" t="s">
        <v>17</v>
      </c>
    </row>
    <row r="982" spans="1:19" x14ac:dyDescent="0.25">
      <c r="A982" s="3">
        <v>981</v>
      </c>
      <c r="B982" s="5">
        <f>DATE(Table1[[#This Row],[Year]],Table1[[#This Row],[Month]],Table1[[#This Row],[Day]])</f>
        <v>44758</v>
      </c>
      <c r="C982" s="3">
        <v>16</v>
      </c>
      <c r="D982" s="3">
        <v>7</v>
      </c>
      <c r="E982" s="3">
        <v>2022</v>
      </c>
      <c r="F982" s="3" t="str">
        <f>"Qtr"&amp; " " &amp;CHOOSE(MONTH(Table1[[#This Row],[Date]]),1,1,1,2,2,2,3,3,3,4,4,4)</f>
        <v>Qtr 3</v>
      </c>
      <c r="G982" s="3" t="str">
        <f>TEXT(Table1[[#This Row],[Date]],"mmmm")</f>
        <v>July</v>
      </c>
      <c r="H982" s="3" t="s">
        <v>1079</v>
      </c>
      <c r="I982" s="3" t="s">
        <v>18</v>
      </c>
      <c r="J982" s="3">
        <v>6</v>
      </c>
      <c r="K982" s="3">
        <v>50440.44</v>
      </c>
      <c r="L982" s="3">
        <f>Table1[[#This Row],[Price Per Unit]]*Table1[[#This Row],[Units Sold]]</f>
        <v>302642.64</v>
      </c>
      <c r="M982" s="3" t="s">
        <v>683</v>
      </c>
      <c r="N982" s="3">
        <v>23</v>
      </c>
      <c r="O982" s="3" t="s">
        <v>20</v>
      </c>
      <c r="P982" s="3" t="s">
        <v>45</v>
      </c>
      <c r="Q982" s="4">
        <v>4</v>
      </c>
      <c r="R982" s="4" t="str">
        <f>IF(Table1[[#This Row],[Customer Ratings]]&gt;=4, "Good",IF(Table1[[#This Row],[Customer Ratings]]=3, "Average","Poor"))</f>
        <v>Good</v>
      </c>
      <c r="S982" s="3" t="s">
        <v>55</v>
      </c>
    </row>
    <row r="983" spans="1:19" x14ac:dyDescent="0.25">
      <c r="A983" s="3">
        <v>982</v>
      </c>
      <c r="B983" s="5">
        <f>DATE(Table1[[#This Row],[Year]],Table1[[#This Row],[Month]],Table1[[#This Row],[Day]])</f>
        <v>44758</v>
      </c>
      <c r="C983" s="3">
        <v>16</v>
      </c>
      <c r="D983" s="3">
        <v>7</v>
      </c>
      <c r="E983" s="3">
        <v>2022</v>
      </c>
      <c r="F983" s="3" t="str">
        <f>"Qtr"&amp; " " &amp;CHOOSE(MONTH(Table1[[#This Row],[Date]]),1,1,1,2,2,2,3,3,3,4,4,4)</f>
        <v>Qtr 3</v>
      </c>
      <c r="G983" s="3" t="str">
        <f>TEXT(Table1[[#This Row],[Date]],"mmmm")</f>
        <v>July</v>
      </c>
      <c r="H983" s="3" t="s">
        <v>1079</v>
      </c>
      <c r="I983" s="3" t="s">
        <v>39</v>
      </c>
      <c r="J983" s="3">
        <v>2</v>
      </c>
      <c r="K983" s="3">
        <v>13389.01</v>
      </c>
      <c r="L983" s="3">
        <f>Table1[[#This Row],[Price Per Unit]]*Table1[[#This Row],[Units Sold]]</f>
        <v>26778.02</v>
      </c>
      <c r="M983" s="3" t="s">
        <v>629</v>
      </c>
      <c r="N983" s="3">
        <v>33</v>
      </c>
      <c r="O983" s="3" t="s">
        <v>41</v>
      </c>
      <c r="P983" s="3" t="s">
        <v>16</v>
      </c>
      <c r="Q983" s="4">
        <v>3</v>
      </c>
      <c r="R983" s="4" t="str">
        <f>IF(Table1[[#This Row],[Customer Ratings]]&gt;=4, "Good",IF(Table1[[#This Row],[Customer Ratings]]=3, "Average","Poor"))</f>
        <v>Average</v>
      </c>
      <c r="S983" s="3" t="s">
        <v>90</v>
      </c>
    </row>
    <row r="984" spans="1:19" x14ac:dyDescent="0.25">
      <c r="A984" s="3">
        <v>983</v>
      </c>
      <c r="B984" s="5">
        <f>DATE(Table1[[#This Row],[Year]],Table1[[#This Row],[Month]],Table1[[#This Row],[Day]])</f>
        <v>44758</v>
      </c>
      <c r="C984" s="3">
        <v>16</v>
      </c>
      <c r="D984" s="3">
        <v>7</v>
      </c>
      <c r="E984" s="3">
        <v>2022</v>
      </c>
      <c r="F984" s="3" t="str">
        <f>"Qtr"&amp; " " &amp;CHOOSE(MONTH(Table1[[#This Row],[Date]]),1,1,1,2,2,2,3,3,3,4,4,4)</f>
        <v>Qtr 3</v>
      </c>
      <c r="G984" s="3" t="str">
        <f>TEXT(Table1[[#This Row],[Date]],"mmmm")</f>
        <v>July</v>
      </c>
      <c r="H984" s="3" t="s">
        <v>1079</v>
      </c>
      <c r="I984" s="3" t="s">
        <v>33</v>
      </c>
      <c r="J984" s="3">
        <v>8</v>
      </c>
      <c r="K984" s="3">
        <v>50371.3</v>
      </c>
      <c r="L984" s="3">
        <f>Table1[[#This Row],[Price Per Unit]]*Table1[[#This Row],[Units Sold]]</f>
        <v>402970.4</v>
      </c>
      <c r="M984" s="3" t="s">
        <v>515</v>
      </c>
      <c r="N984" s="3">
        <v>19</v>
      </c>
      <c r="O984" s="3" t="s">
        <v>24</v>
      </c>
      <c r="P984" s="3" t="s">
        <v>31</v>
      </c>
      <c r="Q984" s="4">
        <v>5</v>
      </c>
      <c r="R984" s="4" t="str">
        <f>IF(Table1[[#This Row],[Customer Ratings]]&gt;=4, "Good",IF(Table1[[#This Row],[Customer Ratings]]=3, "Average","Poor"))</f>
        <v>Good</v>
      </c>
      <c r="S984" s="3" t="s">
        <v>36</v>
      </c>
    </row>
    <row r="985" spans="1:19" x14ac:dyDescent="0.25">
      <c r="A985" s="3">
        <v>984</v>
      </c>
      <c r="B985" s="5">
        <f>DATE(Table1[[#This Row],[Year]],Table1[[#This Row],[Month]],Table1[[#This Row],[Day]])</f>
        <v>44759</v>
      </c>
      <c r="C985" s="3">
        <v>17</v>
      </c>
      <c r="D985" s="3">
        <v>7</v>
      </c>
      <c r="E985" s="3">
        <v>2022</v>
      </c>
      <c r="F985" s="3" t="str">
        <f>"Qtr"&amp; " " &amp;CHOOSE(MONTH(Table1[[#This Row],[Date]]),1,1,1,2,2,2,3,3,3,4,4,4)</f>
        <v>Qtr 3</v>
      </c>
      <c r="G985" s="3" t="str">
        <f>TEXT(Table1[[#This Row],[Date]],"mmmm")</f>
        <v>July</v>
      </c>
      <c r="H985" s="3" t="s">
        <v>1080</v>
      </c>
      <c r="I985" s="3" t="s">
        <v>18</v>
      </c>
      <c r="J985" s="3">
        <v>3</v>
      </c>
      <c r="K985" s="3">
        <v>60582.22</v>
      </c>
      <c r="L985" s="3">
        <f>Table1[[#This Row],[Price Per Unit]]*Table1[[#This Row],[Units Sold]]</f>
        <v>181746.66</v>
      </c>
      <c r="M985" s="3" t="s">
        <v>650</v>
      </c>
      <c r="N985" s="3">
        <v>18</v>
      </c>
      <c r="O985" s="3" t="s">
        <v>24</v>
      </c>
      <c r="P985" s="3" t="s">
        <v>31</v>
      </c>
      <c r="Q985" s="4">
        <v>4</v>
      </c>
      <c r="R985" s="4" t="str">
        <f>IF(Table1[[#This Row],[Customer Ratings]]&gt;=4, "Good",IF(Table1[[#This Row],[Customer Ratings]]=3, "Average","Poor"))</f>
        <v>Good</v>
      </c>
      <c r="S985" s="3" t="s">
        <v>55</v>
      </c>
    </row>
    <row r="986" spans="1:19" x14ac:dyDescent="0.25">
      <c r="A986" s="3">
        <v>985</v>
      </c>
      <c r="B986" s="5">
        <f>DATE(Table1[[#This Row],[Year]],Table1[[#This Row],[Month]],Table1[[#This Row],[Day]])</f>
        <v>44759</v>
      </c>
      <c r="C986" s="3">
        <v>17</v>
      </c>
      <c r="D986" s="3">
        <v>7</v>
      </c>
      <c r="E986" s="3">
        <v>2022</v>
      </c>
      <c r="F986" s="3" t="str">
        <f>"Qtr"&amp; " " &amp;CHOOSE(MONTH(Table1[[#This Row],[Date]]),1,1,1,2,2,2,3,3,3,4,4,4)</f>
        <v>Qtr 3</v>
      </c>
      <c r="G986" s="3" t="str">
        <f>TEXT(Table1[[#This Row],[Date]],"mmmm")</f>
        <v>July</v>
      </c>
      <c r="H986" s="3" t="s">
        <v>1080</v>
      </c>
      <c r="I986" s="3" t="s">
        <v>18</v>
      </c>
      <c r="J986" s="3">
        <v>7</v>
      </c>
      <c r="K986" s="3">
        <v>33929.29</v>
      </c>
      <c r="L986" s="3">
        <f>Table1[[#This Row],[Price Per Unit]]*Table1[[#This Row],[Units Sold]]</f>
        <v>237505.03</v>
      </c>
      <c r="M986" s="3" t="s">
        <v>319</v>
      </c>
      <c r="N986" s="3">
        <v>47</v>
      </c>
      <c r="O986" s="3" t="s">
        <v>20</v>
      </c>
      <c r="P986" s="3" t="s">
        <v>45</v>
      </c>
      <c r="Q986" s="4">
        <v>3</v>
      </c>
      <c r="R986" s="4" t="str">
        <f>IF(Table1[[#This Row],[Customer Ratings]]&gt;=4, "Good",IF(Table1[[#This Row],[Customer Ratings]]=3, "Average","Poor"))</f>
        <v>Average</v>
      </c>
      <c r="S986" s="3" t="s">
        <v>22</v>
      </c>
    </row>
    <row r="987" spans="1:19" x14ac:dyDescent="0.25">
      <c r="A987" s="3">
        <v>986</v>
      </c>
      <c r="B987" s="5">
        <f>DATE(Table1[[#This Row],[Year]],Table1[[#This Row],[Month]],Table1[[#This Row],[Day]])</f>
        <v>44759</v>
      </c>
      <c r="C987" s="3">
        <v>17</v>
      </c>
      <c r="D987" s="3">
        <v>7</v>
      </c>
      <c r="E987" s="3">
        <v>2022</v>
      </c>
      <c r="F987" s="3" t="str">
        <f>"Qtr"&amp; " " &amp;CHOOSE(MONTH(Table1[[#This Row],[Date]]),1,1,1,2,2,2,3,3,3,4,4,4)</f>
        <v>Qtr 3</v>
      </c>
      <c r="G987" s="3" t="str">
        <f>TEXT(Table1[[#This Row],[Date]],"mmmm")</f>
        <v>July</v>
      </c>
      <c r="H987" s="3" t="s">
        <v>1080</v>
      </c>
      <c r="I987" s="3" t="s">
        <v>28</v>
      </c>
      <c r="J987" s="3">
        <v>5</v>
      </c>
      <c r="K987" s="3">
        <v>41327.589999999997</v>
      </c>
      <c r="L987" s="3">
        <f>Table1[[#This Row],[Price Per Unit]]*Table1[[#This Row],[Units Sold]]</f>
        <v>206637.94999999998</v>
      </c>
      <c r="M987" s="3" t="s">
        <v>684</v>
      </c>
      <c r="N987" s="3">
        <v>54</v>
      </c>
      <c r="O987" s="3" t="s">
        <v>105</v>
      </c>
      <c r="P987" s="3" t="s">
        <v>21</v>
      </c>
      <c r="Q987" s="4">
        <v>5</v>
      </c>
      <c r="R987" s="4" t="str">
        <f>IF(Table1[[#This Row],[Customer Ratings]]&gt;=4, "Good",IF(Table1[[#This Row],[Customer Ratings]]=3, "Average","Poor"))</f>
        <v>Good</v>
      </c>
      <c r="S987" s="3" t="s">
        <v>38</v>
      </c>
    </row>
    <row r="988" spans="1:19" x14ac:dyDescent="0.25">
      <c r="A988" s="3">
        <v>987</v>
      </c>
      <c r="B988" s="5">
        <f>DATE(Table1[[#This Row],[Year]],Table1[[#This Row],[Month]],Table1[[#This Row],[Day]])</f>
        <v>44759</v>
      </c>
      <c r="C988" s="3">
        <v>17</v>
      </c>
      <c r="D988" s="3">
        <v>7</v>
      </c>
      <c r="E988" s="3">
        <v>2022</v>
      </c>
      <c r="F988" s="3" t="str">
        <f>"Qtr"&amp; " " &amp;CHOOSE(MONTH(Table1[[#This Row],[Date]]),1,1,1,2,2,2,3,3,3,4,4,4)</f>
        <v>Qtr 3</v>
      </c>
      <c r="G988" s="3" t="str">
        <f>TEXT(Table1[[#This Row],[Date]],"mmmm")</f>
        <v>July</v>
      </c>
      <c r="H988" s="3" t="s">
        <v>1080</v>
      </c>
      <c r="I988" s="3" t="s">
        <v>13</v>
      </c>
      <c r="J988" s="3">
        <v>3</v>
      </c>
      <c r="K988" s="3">
        <v>34092.5</v>
      </c>
      <c r="L988" s="3">
        <f>Table1[[#This Row],[Price Per Unit]]*Table1[[#This Row],[Units Sold]]</f>
        <v>102277.5</v>
      </c>
      <c r="M988" s="3" t="s">
        <v>685</v>
      </c>
      <c r="N988" s="3">
        <v>40</v>
      </c>
      <c r="O988" s="3" t="s">
        <v>20</v>
      </c>
      <c r="P988" s="3" t="s">
        <v>21</v>
      </c>
      <c r="Q988" s="4">
        <v>5</v>
      </c>
      <c r="R988" s="4" t="str">
        <f>IF(Table1[[#This Row],[Customer Ratings]]&gt;=4, "Good",IF(Table1[[#This Row],[Customer Ratings]]=3, "Average","Poor"))</f>
        <v>Good</v>
      </c>
      <c r="S988" s="3" t="s">
        <v>27</v>
      </c>
    </row>
    <row r="989" spans="1:19" x14ac:dyDescent="0.25">
      <c r="A989" s="3">
        <v>988</v>
      </c>
      <c r="B989" s="5">
        <f>DATE(Table1[[#This Row],[Year]],Table1[[#This Row],[Month]],Table1[[#This Row],[Day]])</f>
        <v>44760</v>
      </c>
      <c r="C989" s="3">
        <v>18</v>
      </c>
      <c r="D989" s="3">
        <v>7</v>
      </c>
      <c r="E989" s="3">
        <v>2022</v>
      </c>
      <c r="F989" s="3" t="str">
        <f>"Qtr"&amp; " " &amp;CHOOSE(MONTH(Table1[[#This Row],[Date]]),1,1,1,2,2,2,3,3,3,4,4,4)</f>
        <v>Qtr 3</v>
      </c>
      <c r="G989" s="3" t="str">
        <f>TEXT(Table1[[#This Row],[Date]],"mmmm")</f>
        <v>July</v>
      </c>
      <c r="H989" s="3" t="s">
        <v>1081</v>
      </c>
      <c r="I989" s="3" t="s">
        <v>18</v>
      </c>
      <c r="J989" s="3">
        <v>1</v>
      </c>
      <c r="K989" s="3">
        <v>28029.33</v>
      </c>
      <c r="L989" s="3">
        <f>Table1[[#This Row],[Price Per Unit]]*Table1[[#This Row],[Units Sold]]</f>
        <v>28029.33</v>
      </c>
      <c r="M989" s="3" t="s">
        <v>686</v>
      </c>
      <c r="N989" s="3">
        <v>18</v>
      </c>
      <c r="O989" s="3" t="s">
        <v>78</v>
      </c>
      <c r="P989" s="3" t="s">
        <v>16</v>
      </c>
      <c r="Q989" s="4">
        <v>5</v>
      </c>
      <c r="R989" s="4" t="str">
        <f>IF(Table1[[#This Row],[Customer Ratings]]&gt;=4, "Good",IF(Table1[[#This Row],[Customer Ratings]]=3, "Average","Poor"))</f>
        <v>Good</v>
      </c>
      <c r="S989" s="3" t="s">
        <v>25</v>
      </c>
    </row>
    <row r="990" spans="1:19" x14ac:dyDescent="0.25">
      <c r="A990" s="3">
        <v>989</v>
      </c>
      <c r="B990" s="5">
        <f>DATE(Table1[[#This Row],[Year]],Table1[[#This Row],[Month]],Table1[[#This Row],[Day]])</f>
        <v>44760</v>
      </c>
      <c r="C990" s="3">
        <v>18</v>
      </c>
      <c r="D990" s="3">
        <v>7</v>
      </c>
      <c r="E990" s="3">
        <v>2022</v>
      </c>
      <c r="F990" s="3" t="str">
        <f>"Qtr"&amp; " " &amp;CHOOSE(MONTH(Table1[[#This Row],[Date]]),1,1,1,2,2,2,3,3,3,4,4,4)</f>
        <v>Qtr 3</v>
      </c>
      <c r="G990" s="3" t="str">
        <f>TEXT(Table1[[#This Row],[Date]],"mmmm")</f>
        <v>July</v>
      </c>
      <c r="H990" s="3" t="s">
        <v>1081</v>
      </c>
      <c r="I990" s="3" t="s">
        <v>18</v>
      </c>
      <c r="J990" s="3">
        <v>8</v>
      </c>
      <c r="K990" s="3">
        <v>58195.8</v>
      </c>
      <c r="L990" s="3">
        <f>Table1[[#This Row],[Price Per Unit]]*Table1[[#This Row],[Units Sold]]</f>
        <v>465566.4</v>
      </c>
      <c r="M990" s="3" t="s">
        <v>687</v>
      </c>
      <c r="N990" s="3">
        <v>36</v>
      </c>
      <c r="O990" s="3" t="s">
        <v>120</v>
      </c>
      <c r="P990" s="3" t="s">
        <v>16</v>
      </c>
      <c r="Q990" s="4">
        <v>4</v>
      </c>
      <c r="R990" s="4" t="str">
        <f>IF(Table1[[#This Row],[Customer Ratings]]&gt;=4, "Good",IF(Table1[[#This Row],[Customer Ratings]]=3, "Average","Poor"))</f>
        <v>Good</v>
      </c>
      <c r="S990" s="3" t="s">
        <v>22</v>
      </c>
    </row>
    <row r="991" spans="1:19" x14ac:dyDescent="0.25">
      <c r="A991" s="3">
        <v>990</v>
      </c>
      <c r="B991" s="5">
        <f>DATE(Table1[[#This Row],[Year]],Table1[[#This Row],[Month]],Table1[[#This Row],[Day]])</f>
        <v>44760</v>
      </c>
      <c r="C991" s="3">
        <v>18</v>
      </c>
      <c r="D991" s="3">
        <v>7</v>
      </c>
      <c r="E991" s="3">
        <v>2022</v>
      </c>
      <c r="F991" s="3" t="str">
        <f>"Qtr"&amp; " " &amp;CHOOSE(MONTH(Table1[[#This Row],[Date]]),1,1,1,2,2,2,3,3,3,4,4,4)</f>
        <v>Qtr 3</v>
      </c>
      <c r="G991" s="3" t="str">
        <f>TEXT(Table1[[#This Row],[Date]],"mmmm")</f>
        <v>July</v>
      </c>
      <c r="H991" s="3" t="s">
        <v>1081</v>
      </c>
      <c r="I991" s="3" t="s">
        <v>39</v>
      </c>
      <c r="J991" s="3">
        <v>3</v>
      </c>
      <c r="K991" s="3">
        <v>26320.15</v>
      </c>
      <c r="L991" s="3">
        <f>Table1[[#This Row],[Price Per Unit]]*Table1[[#This Row],[Units Sold]]</f>
        <v>78960.450000000012</v>
      </c>
      <c r="M991" s="3" t="s">
        <v>470</v>
      </c>
      <c r="N991" s="3">
        <v>20</v>
      </c>
      <c r="O991" s="3" t="s">
        <v>35</v>
      </c>
      <c r="P991" s="3" t="s">
        <v>21</v>
      </c>
      <c r="Q991" s="4">
        <v>5</v>
      </c>
      <c r="R991" s="4" t="str">
        <f>IF(Table1[[#This Row],[Customer Ratings]]&gt;=4, "Good",IF(Table1[[#This Row],[Customer Ratings]]=3, "Average","Poor"))</f>
        <v>Good</v>
      </c>
      <c r="S991" s="3" t="s">
        <v>76</v>
      </c>
    </row>
    <row r="992" spans="1:19" x14ac:dyDescent="0.25">
      <c r="A992" s="3">
        <v>991</v>
      </c>
      <c r="B992" s="5">
        <f>DATE(Table1[[#This Row],[Year]],Table1[[#This Row],[Month]],Table1[[#This Row],[Day]])</f>
        <v>44760</v>
      </c>
      <c r="C992" s="3">
        <v>18</v>
      </c>
      <c r="D992" s="3">
        <v>7</v>
      </c>
      <c r="E992" s="3">
        <v>2022</v>
      </c>
      <c r="F992" s="3" t="str">
        <f>"Qtr"&amp; " " &amp;CHOOSE(MONTH(Table1[[#This Row],[Date]]),1,1,1,2,2,2,3,3,3,4,4,4)</f>
        <v>Qtr 3</v>
      </c>
      <c r="G992" s="3" t="str">
        <f>TEXT(Table1[[#This Row],[Date]],"mmmm")</f>
        <v>July</v>
      </c>
      <c r="H992" s="3" t="s">
        <v>1081</v>
      </c>
      <c r="I992" s="3" t="s">
        <v>39</v>
      </c>
      <c r="J992" s="3">
        <v>2</v>
      </c>
      <c r="K992" s="3">
        <v>53376.61</v>
      </c>
      <c r="L992" s="3">
        <f>Table1[[#This Row],[Price Per Unit]]*Table1[[#This Row],[Units Sold]]</f>
        <v>106753.22</v>
      </c>
      <c r="M992" s="3" t="s">
        <v>688</v>
      </c>
      <c r="N992" s="3">
        <v>19</v>
      </c>
      <c r="O992" s="3" t="s">
        <v>54</v>
      </c>
      <c r="P992" s="3" t="s">
        <v>31</v>
      </c>
      <c r="Q992" s="4">
        <v>5</v>
      </c>
      <c r="R992" s="4" t="str">
        <f>IF(Table1[[#This Row],[Customer Ratings]]&gt;=4, "Good",IF(Table1[[#This Row],[Customer Ratings]]=3, "Average","Poor"))</f>
        <v>Good</v>
      </c>
      <c r="S992" s="3" t="s">
        <v>90</v>
      </c>
    </row>
    <row r="993" spans="1:19" x14ac:dyDescent="0.25">
      <c r="A993" s="3">
        <v>992</v>
      </c>
      <c r="B993" s="5">
        <f>DATE(Table1[[#This Row],[Year]],Table1[[#This Row],[Month]],Table1[[#This Row],[Day]])</f>
        <v>44761</v>
      </c>
      <c r="C993" s="3">
        <v>19</v>
      </c>
      <c r="D993" s="3">
        <v>7</v>
      </c>
      <c r="E993" s="3">
        <v>2022</v>
      </c>
      <c r="F993" s="3" t="str">
        <f>"Qtr"&amp; " " &amp;CHOOSE(MONTH(Table1[[#This Row],[Date]]),1,1,1,2,2,2,3,3,3,4,4,4)</f>
        <v>Qtr 3</v>
      </c>
      <c r="G993" s="3" t="str">
        <f>TEXT(Table1[[#This Row],[Date]],"mmmm")</f>
        <v>July</v>
      </c>
      <c r="H993" s="3" t="s">
        <v>1082</v>
      </c>
      <c r="I993" s="3" t="s">
        <v>33</v>
      </c>
      <c r="J993" s="3">
        <v>1</v>
      </c>
      <c r="K993" s="3">
        <v>22371.82</v>
      </c>
      <c r="L993" s="3">
        <f>Table1[[#This Row],[Price Per Unit]]*Table1[[#This Row],[Units Sold]]</f>
        <v>22371.82</v>
      </c>
      <c r="M993" s="3" t="s">
        <v>689</v>
      </c>
      <c r="N993" s="3">
        <v>54</v>
      </c>
      <c r="O993" s="3" t="s">
        <v>20</v>
      </c>
      <c r="P993" s="3" t="s">
        <v>16</v>
      </c>
      <c r="Q993" s="4">
        <v>5</v>
      </c>
      <c r="R993" s="4" t="str">
        <f>IF(Table1[[#This Row],[Customer Ratings]]&gt;=4, "Good",IF(Table1[[#This Row],[Customer Ratings]]=3, "Average","Poor"))</f>
        <v>Good</v>
      </c>
      <c r="S993" s="3" t="s">
        <v>36</v>
      </c>
    </row>
    <row r="994" spans="1:19" x14ac:dyDescent="0.25">
      <c r="A994" s="3">
        <v>993</v>
      </c>
      <c r="B994" s="5">
        <f>DATE(Table1[[#This Row],[Year]],Table1[[#This Row],[Month]],Table1[[#This Row],[Day]])</f>
        <v>44761</v>
      </c>
      <c r="C994" s="3">
        <v>19</v>
      </c>
      <c r="D994" s="3">
        <v>7</v>
      </c>
      <c r="E994" s="3">
        <v>2022</v>
      </c>
      <c r="F994" s="3" t="str">
        <f>"Qtr"&amp; " " &amp;CHOOSE(MONTH(Table1[[#This Row],[Date]]),1,1,1,2,2,2,3,3,3,4,4,4)</f>
        <v>Qtr 3</v>
      </c>
      <c r="G994" s="3" t="str">
        <f>TEXT(Table1[[#This Row],[Date]],"mmmm")</f>
        <v>July</v>
      </c>
      <c r="H994" s="3" t="s">
        <v>1082</v>
      </c>
      <c r="I994" s="3" t="s">
        <v>28</v>
      </c>
      <c r="J994" s="3">
        <v>4</v>
      </c>
      <c r="K994" s="3">
        <v>24991.23</v>
      </c>
      <c r="L994" s="3">
        <f>Table1[[#This Row],[Price Per Unit]]*Table1[[#This Row],[Units Sold]]</f>
        <v>99964.92</v>
      </c>
      <c r="M994" s="3" t="s">
        <v>690</v>
      </c>
      <c r="N994" s="3">
        <v>34</v>
      </c>
      <c r="O994" s="3" t="s">
        <v>24</v>
      </c>
      <c r="P994" s="3" t="s">
        <v>16</v>
      </c>
      <c r="Q994" s="4">
        <v>3</v>
      </c>
      <c r="R994" s="4" t="str">
        <f>IF(Table1[[#This Row],[Customer Ratings]]&gt;=4, "Good",IF(Table1[[#This Row],[Customer Ratings]]=3, "Average","Poor"))</f>
        <v>Average</v>
      </c>
      <c r="S994" s="3" t="s">
        <v>32</v>
      </c>
    </row>
    <row r="995" spans="1:19" x14ac:dyDescent="0.25">
      <c r="A995" s="3">
        <v>994</v>
      </c>
      <c r="B995" s="5">
        <f>DATE(Table1[[#This Row],[Year]],Table1[[#This Row],[Month]],Table1[[#This Row],[Day]])</f>
        <v>44761</v>
      </c>
      <c r="C995" s="3">
        <v>19</v>
      </c>
      <c r="D995" s="3">
        <v>7</v>
      </c>
      <c r="E995" s="3">
        <v>2022</v>
      </c>
      <c r="F995" s="3" t="str">
        <f>"Qtr"&amp; " " &amp;CHOOSE(MONTH(Table1[[#This Row],[Date]]),1,1,1,2,2,2,3,3,3,4,4,4)</f>
        <v>Qtr 3</v>
      </c>
      <c r="G995" s="3" t="str">
        <f>TEXT(Table1[[#This Row],[Date]],"mmmm")</f>
        <v>July</v>
      </c>
      <c r="H995" s="3" t="s">
        <v>1082</v>
      </c>
      <c r="I995" s="3" t="s">
        <v>33</v>
      </c>
      <c r="J995" s="3">
        <v>8</v>
      </c>
      <c r="K995" s="3">
        <v>30187.67</v>
      </c>
      <c r="L995" s="3">
        <f>Table1[[#This Row],[Price Per Unit]]*Table1[[#This Row],[Units Sold]]</f>
        <v>241501.36</v>
      </c>
      <c r="M995" s="3" t="s">
        <v>691</v>
      </c>
      <c r="N995" s="3">
        <v>45</v>
      </c>
      <c r="O995" s="3" t="s">
        <v>24</v>
      </c>
      <c r="P995" s="3" t="s">
        <v>31</v>
      </c>
      <c r="Q995" s="4">
        <v>5</v>
      </c>
      <c r="R995" s="4" t="str">
        <f>IF(Table1[[#This Row],[Customer Ratings]]&gt;=4, "Good",IF(Table1[[#This Row],[Customer Ratings]]=3, "Average","Poor"))</f>
        <v>Good</v>
      </c>
      <c r="S995" s="3" t="s">
        <v>83</v>
      </c>
    </row>
    <row r="996" spans="1:19" x14ac:dyDescent="0.25">
      <c r="A996" s="3">
        <v>995</v>
      </c>
      <c r="B996" s="5">
        <f>DATE(Table1[[#This Row],[Year]],Table1[[#This Row],[Month]],Table1[[#This Row],[Day]])</f>
        <v>44762</v>
      </c>
      <c r="C996" s="3">
        <v>20</v>
      </c>
      <c r="D996" s="3">
        <v>7</v>
      </c>
      <c r="E996" s="3">
        <v>2022</v>
      </c>
      <c r="F996" s="3" t="str">
        <f>"Qtr"&amp; " " &amp;CHOOSE(MONTH(Table1[[#This Row],[Date]]),1,1,1,2,2,2,3,3,3,4,4,4)</f>
        <v>Qtr 3</v>
      </c>
      <c r="G996" s="3" t="str">
        <f>TEXT(Table1[[#This Row],[Date]],"mmmm")</f>
        <v>July</v>
      </c>
      <c r="H996" s="3" t="s">
        <v>1083</v>
      </c>
      <c r="I996" s="3" t="s">
        <v>39</v>
      </c>
      <c r="J996" s="3">
        <v>3</v>
      </c>
      <c r="K996" s="3">
        <v>45349.38</v>
      </c>
      <c r="L996" s="3">
        <f>Table1[[#This Row],[Price Per Unit]]*Table1[[#This Row],[Units Sold]]</f>
        <v>136048.13999999998</v>
      </c>
      <c r="M996" s="3" t="s">
        <v>692</v>
      </c>
      <c r="N996" s="3">
        <v>35</v>
      </c>
      <c r="O996" s="3" t="s">
        <v>35</v>
      </c>
      <c r="P996" s="3" t="s">
        <v>21</v>
      </c>
      <c r="Q996" s="4">
        <v>4</v>
      </c>
      <c r="R996" s="4" t="str">
        <f>IF(Table1[[#This Row],[Customer Ratings]]&gt;=4, "Good",IF(Table1[[#This Row],[Customer Ratings]]=3, "Average","Poor"))</f>
        <v>Good</v>
      </c>
      <c r="S996" s="3" t="s">
        <v>76</v>
      </c>
    </row>
    <row r="997" spans="1:19" x14ac:dyDescent="0.25">
      <c r="A997" s="3">
        <v>996</v>
      </c>
      <c r="B997" s="5">
        <f>DATE(Table1[[#This Row],[Year]],Table1[[#This Row],[Month]],Table1[[#This Row],[Day]])</f>
        <v>44762</v>
      </c>
      <c r="C997" s="3">
        <v>20</v>
      </c>
      <c r="D997" s="3">
        <v>7</v>
      </c>
      <c r="E997" s="3">
        <v>2022</v>
      </c>
      <c r="F997" s="3" t="str">
        <f>"Qtr"&amp; " " &amp;CHOOSE(MONTH(Table1[[#This Row],[Date]]),1,1,1,2,2,2,3,3,3,4,4,4)</f>
        <v>Qtr 3</v>
      </c>
      <c r="G997" s="3" t="str">
        <f>TEXT(Table1[[#This Row],[Date]],"mmmm")</f>
        <v>July</v>
      </c>
      <c r="H997" s="3" t="s">
        <v>1083</v>
      </c>
      <c r="I997" s="3" t="s">
        <v>13</v>
      </c>
      <c r="J997" s="3">
        <v>1</v>
      </c>
      <c r="K997" s="3">
        <v>37265.339999999997</v>
      </c>
      <c r="L997" s="3">
        <f>Table1[[#This Row],[Price Per Unit]]*Table1[[#This Row],[Units Sold]]</f>
        <v>37265.339999999997</v>
      </c>
      <c r="M997" s="3" t="s">
        <v>693</v>
      </c>
      <c r="N997" s="3">
        <v>50</v>
      </c>
      <c r="O997" s="3" t="s">
        <v>24</v>
      </c>
      <c r="P997" s="3" t="s">
        <v>45</v>
      </c>
      <c r="Q997" s="4">
        <v>3</v>
      </c>
      <c r="R997" s="4" t="str">
        <f>IF(Table1[[#This Row],[Customer Ratings]]&gt;=4, "Good",IF(Table1[[#This Row],[Customer Ratings]]=3, "Average","Poor"))</f>
        <v>Average</v>
      </c>
      <c r="S997" s="3" t="s">
        <v>17</v>
      </c>
    </row>
    <row r="998" spans="1:19" x14ac:dyDescent="0.25">
      <c r="A998" s="3">
        <v>997</v>
      </c>
      <c r="B998" s="5">
        <f>DATE(Table1[[#This Row],[Year]],Table1[[#This Row],[Month]],Table1[[#This Row],[Day]])</f>
        <v>44762</v>
      </c>
      <c r="C998" s="3">
        <v>20</v>
      </c>
      <c r="D998" s="3">
        <v>7</v>
      </c>
      <c r="E998" s="3">
        <v>2022</v>
      </c>
      <c r="F998" s="3" t="str">
        <f>"Qtr"&amp; " " &amp;CHOOSE(MONTH(Table1[[#This Row],[Date]]),1,1,1,2,2,2,3,3,3,4,4,4)</f>
        <v>Qtr 3</v>
      </c>
      <c r="G998" s="3" t="str">
        <f>TEXT(Table1[[#This Row],[Date]],"mmmm")</f>
        <v>July</v>
      </c>
      <c r="H998" s="3" t="s">
        <v>1083</v>
      </c>
      <c r="I998" s="3" t="s">
        <v>39</v>
      </c>
      <c r="J998" s="3">
        <v>4</v>
      </c>
      <c r="K998" s="3">
        <v>54708.69</v>
      </c>
      <c r="L998" s="3">
        <f>Table1[[#This Row],[Price Per Unit]]*Table1[[#This Row],[Units Sold]]</f>
        <v>218834.76</v>
      </c>
      <c r="M998" s="3" t="s">
        <v>675</v>
      </c>
      <c r="N998" s="3">
        <v>32</v>
      </c>
      <c r="O998" s="3" t="s">
        <v>78</v>
      </c>
      <c r="P998" s="3" t="s">
        <v>16</v>
      </c>
      <c r="Q998" s="4">
        <v>3</v>
      </c>
      <c r="R998" s="4" t="str">
        <f>IF(Table1[[#This Row],[Customer Ratings]]&gt;=4, "Good",IF(Table1[[#This Row],[Customer Ratings]]=3, "Average","Poor"))</f>
        <v>Average</v>
      </c>
      <c r="S998" s="3" t="s">
        <v>76</v>
      </c>
    </row>
    <row r="999" spans="1:19" x14ac:dyDescent="0.25">
      <c r="A999" s="3">
        <v>998</v>
      </c>
      <c r="B999" s="5">
        <f>DATE(Table1[[#This Row],[Year]],Table1[[#This Row],[Month]],Table1[[#This Row],[Day]])</f>
        <v>44762</v>
      </c>
      <c r="C999" s="3">
        <v>20</v>
      </c>
      <c r="D999" s="3">
        <v>7</v>
      </c>
      <c r="E999" s="3">
        <v>2022</v>
      </c>
      <c r="F999" s="3" t="str">
        <f>"Qtr"&amp; " " &amp;CHOOSE(MONTH(Table1[[#This Row],[Date]]),1,1,1,2,2,2,3,3,3,4,4,4)</f>
        <v>Qtr 3</v>
      </c>
      <c r="G999" s="3" t="str">
        <f>TEXT(Table1[[#This Row],[Date]],"mmmm")</f>
        <v>July</v>
      </c>
      <c r="H999" s="3" t="s">
        <v>1083</v>
      </c>
      <c r="I999" s="3" t="s">
        <v>28</v>
      </c>
      <c r="J999" s="3">
        <v>9</v>
      </c>
      <c r="K999" s="3">
        <v>22814.04</v>
      </c>
      <c r="L999" s="3">
        <f>Table1[[#This Row],[Price Per Unit]]*Table1[[#This Row],[Units Sold]]</f>
        <v>205326.36000000002</v>
      </c>
      <c r="M999" s="3" t="s">
        <v>169</v>
      </c>
      <c r="N999" s="3">
        <v>39</v>
      </c>
      <c r="O999" s="3" t="s">
        <v>24</v>
      </c>
      <c r="P999" s="3" t="s">
        <v>31</v>
      </c>
      <c r="Q999" s="4">
        <v>5</v>
      </c>
      <c r="R999" s="4" t="str">
        <f>IF(Table1[[#This Row],[Customer Ratings]]&gt;=4, "Good",IF(Table1[[#This Row],[Customer Ratings]]=3, "Average","Poor"))</f>
        <v>Good</v>
      </c>
      <c r="S999" s="3" t="s">
        <v>32</v>
      </c>
    </row>
    <row r="1000" spans="1:19" x14ac:dyDescent="0.25">
      <c r="A1000" s="3">
        <v>999</v>
      </c>
      <c r="B1000" s="5">
        <f>DATE(Table1[[#This Row],[Year]],Table1[[#This Row],[Month]],Table1[[#This Row],[Day]])</f>
        <v>44763</v>
      </c>
      <c r="C1000" s="3">
        <v>21</v>
      </c>
      <c r="D1000" s="3">
        <v>7</v>
      </c>
      <c r="E1000" s="3">
        <v>2022</v>
      </c>
      <c r="F1000" s="3" t="str">
        <f>"Qtr"&amp; " " &amp;CHOOSE(MONTH(Table1[[#This Row],[Date]]),1,1,1,2,2,2,3,3,3,4,4,4)</f>
        <v>Qtr 3</v>
      </c>
      <c r="G1000" s="3" t="str">
        <f>TEXT(Table1[[#This Row],[Date]],"mmmm")</f>
        <v>July</v>
      </c>
      <c r="H1000" s="3" t="s">
        <v>1084</v>
      </c>
      <c r="I1000" s="3" t="s">
        <v>39</v>
      </c>
      <c r="J1000" s="3">
        <v>1</v>
      </c>
      <c r="K1000" s="3">
        <v>10640.34</v>
      </c>
      <c r="L1000" s="3">
        <f>Table1[[#This Row],[Price Per Unit]]*Table1[[#This Row],[Units Sold]]</f>
        <v>10640.34</v>
      </c>
      <c r="M1000" s="3" t="s">
        <v>51</v>
      </c>
      <c r="N1000" s="3">
        <v>58</v>
      </c>
      <c r="O1000" s="3" t="s">
        <v>125</v>
      </c>
      <c r="P1000" s="3" t="s">
        <v>16</v>
      </c>
      <c r="Q1000" s="4">
        <v>3</v>
      </c>
      <c r="R1000" s="4" t="str">
        <f>IF(Table1[[#This Row],[Customer Ratings]]&gt;=4, "Good",IF(Table1[[#This Row],[Customer Ratings]]=3, "Average","Poor"))</f>
        <v>Average</v>
      </c>
      <c r="S1000" s="3" t="s">
        <v>42</v>
      </c>
    </row>
    <row r="1001" spans="1:19" x14ac:dyDescent="0.25">
      <c r="A1001" s="3">
        <v>1000</v>
      </c>
      <c r="B1001" s="5">
        <f>DATE(Table1[[#This Row],[Year]],Table1[[#This Row],[Month]],Table1[[#This Row],[Day]])</f>
        <v>44763</v>
      </c>
      <c r="C1001" s="3">
        <v>21</v>
      </c>
      <c r="D1001" s="3">
        <v>7</v>
      </c>
      <c r="E1001" s="3">
        <v>2022</v>
      </c>
      <c r="F1001" s="3" t="str">
        <f>"Qtr"&amp; " " &amp;CHOOSE(MONTH(Table1[[#This Row],[Date]]),1,1,1,2,2,2,3,3,3,4,4,4)</f>
        <v>Qtr 3</v>
      </c>
      <c r="G1001" s="3" t="str">
        <f>TEXT(Table1[[#This Row],[Date]],"mmmm")</f>
        <v>July</v>
      </c>
      <c r="H1001" s="3" t="s">
        <v>1084</v>
      </c>
      <c r="I1001" s="3" t="s">
        <v>28</v>
      </c>
      <c r="J1001" s="3">
        <v>2</v>
      </c>
      <c r="K1001" s="3">
        <v>56593.45</v>
      </c>
      <c r="L1001" s="3">
        <f>Table1[[#This Row],[Price Per Unit]]*Table1[[#This Row],[Units Sold]]</f>
        <v>113186.9</v>
      </c>
      <c r="M1001" s="3" t="s">
        <v>183</v>
      </c>
      <c r="N1001" s="3">
        <v>44</v>
      </c>
      <c r="O1001" s="3" t="s">
        <v>24</v>
      </c>
      <c r="P1001" s="3" t="s">
        <v>31</v>
      </c>
      <c r="Q1001" s="4">
        <v>3</v>
      </c>
      <c r="R1001" s="4" t="str">
        <f>IF(Table1[[#This Row],[Customer Ratings]]&gt;=4, "Good",IF(Table1[[#This Row],[Customer Ratings]]=3, "Average","Poor"))</f>
        <v>Average</v>
      </c>
      <c r="S1001" s="3" t="s">
        <v>38</v>
      </c>
    </row>
    <row r="1002" spans="1:19" x14ac:dyDescent="0.25">
      <c r="A1002" s="3">
        <v>1001</v>
      </c>
      <c r="B1002" s="5">
        <f>DATE(Table1[[#This Row],[Year]],Table1[[#This Row],[Month]],Table1[[#This Row],[Day]])</f>
        <v>44763</v>
      </c>
      <c r="C1002" s="3">
        <v>21</v>
      </c>
      <c r="D1002" s="3">
        <v>7</v>
      </c>
      <c r="E1002" s="3">
        <v>2022</v>
      </c>
      <c r="F1002" s="3" t="str">
        <f>"Qtr"&amp; " " &amp;CHOOSE(MONTH(Table1[[#This Row],[Date]]),1,1,1,2,2,2,3,3,3,4,4,4)</f>
        <v>Qtr 3</v>
      </c>
      <c r="G1002" s="3" t="str">
        <f>TEXT(Table1[[#This Row],[Date]],"mmmm")</f>
        <v>July</v>
      </c>
      <c r="H1002" s="3" t="s">
        <v>1084</v>
      </c>
      <c r="I1002" s="3" t="s">
        <v>28</v>
      </c>
      <c r="J1002" s="3">
        <v>9</v>
      </c>
      <c r="K1002" s="3">
        <v>59298.96</v>
      </c>
      <c r="L1002" s="3">
        <f>Table1[[#This Row],[Price Per Unit]]*Table1[[#This Row],[Units Sold]]</f>
        <v>533690.64</v>
      </c>
      <c r="M1002" s="3" t="s">
        <v>694</v>
      </c>
      <c r="N1002" s="3">
        <v>54</v>
      </c>
      <c r="O1002" s="3" t="s">
        <v>120</v>
      </c>
      <c r="P1002" s="3" t="s">
        <v>16</v>
      </c>
      <c r="Q1002" s="4">
        <v>5</v>
      </c>
      <c r="R1002" s="4" t="str">
        <f>IF(Table1[[#This Row],[Customer Ratings]]&gt;=4, "Good",IF(Table1[[#This Row],[Customer Ratings]]=3, "Average","Poor"))</f>
        <v>Good</v>
      </c>
      <c r="S1002" s="3" t="s">
        <v>87</v>
      </c>
    </row>
    <row r="1003" spans="1:19" x14ac:dyDescent="0.25">
      <c r="A1003" s="3">
        <v>1002</v>
      </c>
      <c r="B1003" s="5">
        <f>DATE(Table1[[#This Row],[Year]],Table1[[#This Row],[Month]],Table1[[#This Row],[Day]])</f>
        <v>44764</v>
      </c>
      <c r="C1003" s="3">
        <v>22</v>
      </c>
      <c r="D1003" s="3">
        <v>7</v>
      </c>
      <c r="E1003" s="3">
        <v>2022</v>
      </c>
      <c r="F1003" s="3" t="str">
        <f>"Qtr"&amp; " " &amp;CHOOSE(MONTH(Table1[[#This Row],[Date]]),1,1,1,2,2,2,3,3,3,4,4,4)</f>
        <v>Qtr 3</v>
      </c>
      <c r="G1003" s="3" t="str">
        <f>TEXT(Table1[[#This Row],[Date]],"mmmm")</f>
        <v>July</v>
      </c>
      <c r="H1003" s="3" t="s">
        <v>1085</v>
      </c>
      <c r="I1003" s="3" t="s">
        <v>28</v>
      </c>
      <c r="J1003" s="3">
        <v>2</v>
      </c>
      <c r="K1003" s="3">
        <v>13568.81</v>
      </c>
      <c r="L1003" s="3">
        <f>Table1[[#This Row],[Price Per Unit]]*Table1[[#This Row],[Units Sold]]</f>
        <v>27137.62</v>
      </c>
      <c r="M1003" s="3" t="s">
        <v>695</v>
      </c>
      <c r="N1003" s="3">
        <v>49</v>
      </c>
      <c r="O1003" s="3" t="s">
        <v>24</v>
      </c>
      <c r="P1003" s="3" t="s">
        <v>21</v>
      </c>
      <c r="Q1003" s="4">
        <v>4</v>
      </c>
      <c r="R1003" s="4" t="str">
        <f>IF(Table1[[#This Row],[Customer Ratings]]&gt;=4, "Good",IF(Table1[[#This Row],[Customer Ratings]]=3, "Average","Poor"))</f>
        <v>Good</v>
      </c>
      <c r="S1003" s="3" t="s">
        <v>38</v>
      </c>
    </row>
    <row r="1004" spans="1:19" x14ac:dyDescent="0.25">
      <c r="A1004" s="3">
        <v>1003</v>
      </c>
      <c r="B1004" s="5">
        <f>DATE(Table1[[#This Row],[Year]],Table1[[#This Row],[Month]],Table1[[#This Row],[Day]])</f>
        <v>44764</v>
      </c>
      <c r="C1004" s="3">
        <v>22</v>
      </c>
      <c r="D1004" s="3">
        <v>7</v>
      </c>
      <c r="E1004" s="3">
        <v>2022</v>
      </c>
      <c r="F1004" s="3" t="str">
        <f>"Qtr"&amp; " " &amp;CHOOSE(MONTH(Table1[[#This Row],[Date]]),1,1,1,2,2,2,3,3,3,4,4,4)</f>
        <v>Qtr 3</v>
      </c>
      <c r="G1004" s="3" t="str">
        <f>TEXT(Table1[[#This Row],[Date]],"mmmm")</f>
        <v>July</v>
      </c>
      <c r="H1004" s="3" t="s">
        <v>1085</v>
      </c>
      <c r="I1004" s="3" t="s">
        <v>28</v>
      </c>
      <c r="J1004" s="3">
        <v>3</v>
      </c>
      <c r="K1004" s="3">
        <v>46654.45</v>
      </c>
      <c r="L1004" s="3">
        <f>Table1[[#This Row],[Price Per Unit]]*Table1[[#This Row],[Units Sold]]</f>
        <v>139963.34999999998</v>
      </c>
      <c r="M1004" s="3" t="s">
        <v>417</v>
      </c>
      <c r="N1004" s="3">
        <v>36</v>
      </c>
      <c r="O1004" s="3" t="s">
        <v>137</v>
      </c>
      <c r="P1004" s="3" t="s">
        <v>31</v>
      </c>
      <c r="Q1004" s="4">
        <v>5</v>
      </c>
      <c r="R1004" s="4" t="str">
        <f>IF(Table1[[#This Row],[Customer Ratings]]&gt;=4, "Good",IF(Table1[[#This Row],[Customer Ratings]]=3, "Average","Poor"))</f>
        <v>Good</v>
      </c>
      <c r="S1004" s="3" t="s">
        <v>38</v>
      </c>
    </row>
    <row r="1005" spans="1:19" x14ac:dyDescent="0.25">
      <c r="A1005" s="3">
        <v>1004</v>
      </c>
      <c r="B1005" s="5">
        <f>DATE(Table1[[#This Row],[Year]],Table1[[#This Row],[Month]],Table1[[#This Row],[Day]])</f>
        <v>44764</v>
      </c>
      <c r="C1005" s="3">
        <v>22</v>
      </c>
      <c r="D1005" s="3">
        <v>7</v>
      </c>
      <c r="E1005" s="3">
        <v>2022</v>
      </c>
      <c r="F1005" s="3" t="str">
        <f>"Qtr"&amp; " " &amp;CHOOSE(MONTH(Table1[[#This Row],[Date]]),1,1,1,2,2,2,3,3,3,4,4,4)</f>
        <v>Qtr 3</v>
      </c>
      <c r="G1005" s="3" t="str">
        <f>TEXT(Table1[[#This Row],[Date]],"mmmm")</f>
        <v>July</v>
      </c>
      <c r="H1005" s="3" t="s">
        <v>1085</v>
      </c>
      <c r="I1005" s="3" t="s">
        <v>28</v>
      </c>
      <c r="J1005" s="3">
        <v>7</v>
      </c>
      <c r="K1005" s="3">
        <v>32692.41</v>
      </c>
      <c r="L1005" s="3">
        <f>Table1[[#This Row],[Price Per Unit]]*Table1[[#This Row],[Units Sold]]</f>
        <v>228846.87</v>
      </c>
      <c r="M1005" s="3" t="s">
        <v>696</v>
      </c>
      <c r="N1005" s="3">
        <v>45</v>
      </c>
      <c r="O1005" s="3" t="s">
        <v>20</v>
      </c>
      <c r="P1005" s="3" t="s">
        <v>45</v>
      </c>
      <c r="Q1005" s="4">
        <v>5</v>
      </c>
      <c r="R1005" s="4" t="str">
        <f>IF(Table1[[#This Row],[Customer Ratings]]&gt;=4, "Good",IF(Table1[[#This Row],[Customer Ratings]]=3, "Average","Poor"))</f>
        <v>Good</v>
      </c>
      <c r="S1005" s="3" t="s">
        <v>38</v>
      </c>
    </row>
    <row r="1006" spans="1:19" x14ac:dyDescent="0.25">
      <c r="A1006" s="3">
        <v>1005</v>
      </c>
      <c r="B1006" s="5">
        <f>DATE(Table1[[#This Row],[Year]],Table1[[#This Row],[Month]],Table1[[#This Row],[Day]])</f>
        <v>44765</v>
      </c>
      <c r="C1006" s="3">
        <v>23</v>
      </c>
      <c r="D1006" s="3">
        <v>7</v>
      </c>
      <c r="E1006" s="3">
        <v>2022</v>
      </c>
      <c r="F1006" s="3" t="str">
        <f>"Qtr"&amp; " " &amp;CHOOSE(MONTH(Table1[[#This Row],[Date]]),1,1,1,2,2,2,3,3,3,4,4,4)</f>
        <v>Qtr 3</v>
      </c>
      <c r="G1006" s="3" t="str">
        <f>TEXT(Table1[[#This Row],[Date]],"mmmm")</f>
        <v>July</v>
      </c>
      <c r="H1006" s="3" t="s">
        <v>1079</v>
      </c>
      <c r="I1006" s="3" t="s">
        <v>13</v>
      </c>
      <c r="J1006" s="3">
        <v>3</v>
      </c>
      <c r="K1006" s="3">
        <v>57633.74</v>
      </c>
      <c r="L1006" s="3">
        <f>Table1[[#This Row],[Price Per Unit]]*Table1[[#This Row],[Units Sold]]</f>
        <v>172901.22</v>
      </c>
      <c r="M1006" s="3" t="s">
        <v>697</v>
      </c>
      <c r="N1006" s="3">
        <v>45</v>
      </c>
      <c r="O1006" s="3" t="s">
        <v>41</v>
      </c>
      <c r="P1006" s="3" t="s">
        <v>45</v>
      </c>
      <c r="Q1006" s="4">
        <v>5</v>
      </c>
      <c r="R1006" s="4" t="str">
        <f>IF(Table1[[#This Row],[Customer Ratings]]&gt;=4, "Good",IF(Table1[[#This Row],[Customer Ratings]]=3, "Average","Poor"))</f>
        <v>Good</v>
      </c>
      <c r="S1006" s="3" t="s">
        <v>17</v>
      </c>
    </row>
    <row r="1007" spans="1:19" x14ac:dyDescent="0.25">
      <c r="A1007" s="3">
        <v>1006</v>
      </c>
      <c r="B1007" s="5">
        <f>DATE(Table1[[#This Row],[Year]],Table1[[#This Row],[Month]],Table1[[#This Row],[Day]])</f>
        <v>44765</v>
      </c>
      <c r="C1007" s="3">
        <v>23</v>
      </c>
      <c r="D1007" s="3">
        <v>7</v>
      </c>
      <c r="E1007" s="3">
        <v>2022</v>
      </c>
      <c r="F1007" s="3" t="str">
        <f>"Qtr"&amp; " " &amp;CHOOSE(MONTH(Table1[[#This Row],[Date]]),1,1,1,2,2,2,3,3,3,4,4,4)</f>
        <v>Qtr 3</v>
      </c>
      <c r="G1007" s="3" t="str">
        <f>TEXT(Table1[[#This Row],[Date]],"mmmm")</f>
        <v>July</v>
      </c>
      <c r="H1007" s="3" t="s">
        <v>1079</v>
      </c>
      <c r="I1007" s="3" t="s">
        <v>33</v>
      </c>
      <c r="J1007" s="3">
        <v>9</v>
      </c>
      <c r="K1007" s="3">
        <v>62464.87</v>
      </c>
      <c r="L1007" s="3">
        <f>Table1[[#This Row],[Price Per Unit]]*Table1[[#This Row],[Units Sold]]</f>
        <v>562183.83000000007</v>
      </c>
      <c r="M1007" s="3" t="s">
        <v>581</v>
      </c>
      <c r="N1007" s="3">
        <v>27</v>
      </c>
      <c r="O1007" s="3" t="s">
        <v>52</v>
      </c>
      <c r="P1007" s="3" t="s">
        <v>16</v>
      </c>
      <c r="Q1007" s="4">
        <v>5</v>
      </c>
      <c r="R1007" s="4" t="str">
        <f>IF(Table1[[#This Row],[Customer Ratings]]&gt;=4, "Good",IF(Table1[[#This Row],[Customer Ratings]]=3, "Average","Poor"))</f>
        <v>Good</v>
      </c>
      <c r="S1007" s="3" t="s">
        <v>83</v>
      </c>
    </row>
    <row r="1008" spans="1:19" x14ac:dyDescent="0.25">
      <c r="A1008" s="3">
        <v>1007</v>
      </c>
      <c r="B1008" s="5">
        <f>DATE(Table1[[#This Row],[Year]],Table1[[#This Row],[Month]],Table1[[#This Row],[Day]])</f>
        <v>44765</v>
      </c>
      <c r="C1008" s="3">
        <v>23</v>
      </c>
      <c r="D1008" s="3">
        <v>7</v>
      </c>
      <c r="E1008" s="3">
        <v>2022</v>
      </c>
      <c r="F1008" s="3" t="str">
        <f>"Qtr"&amp; " " &amp;CHOOSE(MONTH(Table1[[#This Row],[Date]]),1,1,1,2,2,2,3,3,3,4,4,4)</f>
        <v>Qtr 3</v>
      </c>
      <c r="G1008" s="3" t="str">
        <f>TEXT(Table1[[#This Row],[Date]],"mmmm")</f>
        <v>July</v>
      </c>
      <c r="H1008" s="3" t="s">
        <v>1079</v>
      </c>
      <c r="I1008" s="3" t="s">
        <v>18</v>
      </c>
      <c r="J1008" s="3">
        <v>6</v>
      </c>
      <c r="K1008" s="3">
        <v>61060.23</v>
      </c>
      <c r="L1008" s="3">
        <f>Table1[[#This Row],[Price Per Unit]]*Table1[[#This Row],[Units Sold]]</f>
        <v>366361.38</v>
      </c>
      <c r="M1008" s="3" t="s">
        <v>698</v>
      </c>
      <c r="N1008" s="3">
        <v>37</v>
      </c>
      <c r="O1008" s="3" t="s">
        <v>35</v>
      </c>
      <c r="P1008" s="3" t="s">
        <v>45</v>
      </c>
      <c r="Q1008" s="4">
        <v>5</v>
      </c>
      <c r="R1008" s="4" t="str">
        <f>IF(Table1[[#This Row],[Customer Ratings]]&gt;=4, "Good",IF(Table1[[#This Row],[Customer Ratings]]=3, "Average","Poor"))</f>
        <v>Good</v>
      </c>
      <c r="S1008" s="3" t="s">
        <v>55</v>
      </c>
    </row>
    <row r="1009" spans="1:19" x14ac:dyDescent="0.25">
      <c r="A1009" s="3">
        <v>1008</v>
      </c>
      <c r="B1009" s="5">
        <f>DATE(Table1[[#This Row],[Year]],Table1[[#This Row],[Month]],Table1[[#This Row],[Day]])</f>
        <v>44766</v>
      </c>
      <c r="C1009" s="3">
        <v>24</v>
      </c>
      <c r="D1009" s="3">
        <v>7</v>
      </c>
      <c r="E1009" s="3">
        <v>2022</v>
      </c>
      <c r="F1009" s="3" t="str">
        <f>"Qtr"&amp; " " &amp;CHOOSE(MONTH(Table1[[#This Row],[Date]]),1,1,1,2,2,2,3,3,3,4,4,4)</f>
        <v>Qtr 3</v>
      </c>
      <c r="G1009" s="3" t="str">
        <f>TEXT(Table1[[#This Row],[Date]],"mmmm")</f>
        <v>July</v>
      </c>
      <c r="H1009" s="3" t="s">
        <v>1080</v>
      </c>
      <c r="I1009" s="3" t="s">
        <v>33</v>
      </c>
      <c r="J1009" s="3">
        <v>3</v>
      </c>
      <c r="K1009" s="3">
        <v>56632.25</v>
      </c>
      <c r="L1009" s="3">
        <f>Table1[[#This Row],[Price Per Unit]]*Table1[[#This Row],[Units Sold]]</f>
        <v>169896.75</v>
      </c>
      <c r="M1009" s="3" t="s">
        <v>270</v>
      </c>
      <c r="N1009" s="3">
        <v>42</v>
      </c>
      <c r="O1009" s="3" t="s">
        <v>102</v>
      </c>
      <c r="P1009" s="3" t="s">
        <v>16</v>
      </c>
      <c r="Q1009" s="4">
        <v>5</v>
      </c>
      <c r="R1009" s="4" t="str">
        <f>IF(Table1[[#This Row],[Customer Ratings]]&gt;=4, "Good",IF(Table1[[#This Row],[Customer Ratings]]=3, "Average","Poor"))</f>
        <v>Good</v>
      </c>
      <c r="S1009" s="3" t="s">
        <v>46</v>
      </c>
    </row>
    <row r="1010" spans="1:19" x14ac:dyDescent="0.25">
      <c r="A1010" s="3">
        <v>1009</v>
      </c>
      <c r="B1010" s="5">
        <f>DATE(Table1[[#This Row],[Year]],Table1[[#This Row],[Month]],Table1[[#This Row],[Day]])</f>
        <v>44766</v>
      </c>
      <c r="C1010" s="3">
        <v>24</v>
      </c>
      <c r="D1010" s="3">
        <v>7</v>
      </c>
      <c r="E1010" s="3">
        <v>2022</v>
      </c>
      <c r="F1010" s="3" t="str">
        <f>"Qtr"&amp; " " &amp;CHOOSE(MONTH(Table1[[#This Row],[Date]]),1,1,1,2,2,2,3,3,3,4,4,4)</f>
        <v>Qtr 3</v>
      </c>
      <c r="G1010" s="3" t="str">
        <f>TEXT(Table1[[#This Row],[Date]],"mmmm")</f>
        <v>July</v>
      </c>
      <c r="H1010" s="3" t="s">
        <v>1080</v>
      </c>
      <c r="I1010" s="3" t="s">
        <v>28</v>
      </c>
      <c r="J1010" s="3">
        <v>9</v>
      </c>
      <c r="K1010" s="3">
        <v>26143.13</v>
      </c>
      <c r="L1010" s="3">
        <f>Table1[[#This Row],[Price Per Unit]]*Table1[[#This Row],[Units Sold]]</f>
        <v>235288.17</v>
      </c>
      <c r="M1010" s="3" t="s">
        <v>411</v>
      </c>
      <c r="N1010" s="3">
        <v>38</v>
      </c>
      <c r="O1010" s="3" t="s">
        <v>98</v>
      </c>
      <c r="P1010" s="3" t="s">
        <v>31</v>
      </c>
      <c r="Q1010" s="4">
        <v>5</v>
      </c>
      <c r="R1010" s="4" t="str">
        <f>IF(Table1[[#This Row],[Customer Ratings]]&gt;=4, "Good",IF(Table1[[#This Row],[Customer Ratings]]=3, "Average","Poor"))</f>
        <v>Good</v>
      </c>
      <c r="S1010" s="3" t="s">
        <v>87</v>
      </c>
    </row>
    <row r="1011" spans="1:19" x14ac:dyDescent="0.25">
      <c r="A1011" s="3">
        <v>1010</v>
      </c>
      <c r="B1011" s="5">
        <f>DATE(Table1[[#This Row],[Year]],Table1[[#This Row],[Month]],Table1[[#This Row],[Day]])</f>
        <v>44766</v>
      </c>
      <c r="C1011" s="3">
        <v>24</v>
      </c>
      <c r="D1011" s="3">
        <v>7</v>
      </c>
      <c r="E1011" s="3">
        <v>2022</v>
      </c>
      <c r="F1011" s="3" t="str">
        <f>"Qtr"&amp; " " &amp;CHOOSE(MONTH(Table1[[#This Row],[Date]]),1,1,1,2,2,2,3,3,3,4,4,4)</f>
        <v>Qtr 3</v>
      </c>
      <c r="G1011" s="3" t="str">
        <f>TEXT(Table1[[#This Row],[Date]],"mmmm")</f>
        <v>July</v>
      </c>
      <c r="H1011" s="3" t="s">
        <v>1080</v>
      </c>
      <c r="I1011" s="3" t="s">
        <v>13</v>
      </c>
      <c r="J1011" s="3">
        <v>1</v>
      </c>
      <c r="K1011" s="3">
        <v>58713.38</v>
      </c>
      <c r="L1011" s="3">
        <f>Table1[[#This Row],[Price Per Unit]]*Table1[[#This Row],[Units Sold]]</f>
        <v>58713.38</v>
      </c>
      <c r="M1011" s="3" t="s">
        <v>643</v>
      </c>
      <c r="N1011" s="3">
        <v>31</v>
      </c>
      <c r="O1011" s="3" t="s">
        <v>20</v>
      </c>
      <c r="P1011" s="3" t="s">
        <v>31</v>
      </c>
      <c r="Q1011" s="4">
        <v>4</v>
      </c>
      <c r="R1011" s="4" t="str">
        <f>IF(Table1[[#This Row],[Customer Ratings]]&gt;=4, "Good",IF(Table1[[#This Row],[Customer Ratings]]=3, "Average","Poor"))</f>
        <v>Good</v>
      </c>
      <c r="S1011" s="3" t="s">
        <v>27</v>
      </c>
    </row>
    <row r="1012" spans="1:19" x14ac:dyDescent="0.25">
      <c r="A1012" s="3">
        <v>1011</v>
      </c>
      <c r="B1012" s="5">
        <f>DATE(Table1[[#This Row],[Year]],Table1[[#This Row],[Month]],Table1[[#This Row],[Day]])</f>
        <v>44767</v>
      </c>
      <c r="C1012" s="3">
        <v>25</v>
      </c>
      <c r="D1012" s="3">
        <v>7</v>
      </c>
      <c r="E1012" s="3">
        <v>2022</v>
      </c>
      <c r="F1012" s="3" t="str">
        <f>"Qtr"&amp; " " &amp;CHOOSE(MONTH(Table1[[#This Row],[Date]]),1,1,1,2,2,2,3,3,3,4,4,4)</f>
        <v>Qtr 3</v>
      </c>
      <c r="G1012" s="3" t="str">
        <f>TEXT(Table1[[#This Row],[Date]],"mmmm")</f>
        <v>July</v>
      </c>
      <c r="H1012" s="3" t="s">
        <v>1081</v>
      </c>
      <c r="I1012" s="3" t="s">
        <v>39</v>
      </c>
      <c r="J1012" s="3">
        <v>3</v>
      </c>
      <c r="K1012" s="3">
        <v>42008.71</v>
      </c>
      <c r="L1012" s="3">
        <f>Table1[[#This Row],[Price Per Unit]]*Table1[[#This Row],[Units Sold]]</f>
        <v>126026.13</v>
      </c>
      <c r="M1012" s="3" t="s">
        <v>432</v>
      </c>
      <c r="N1012" s="3">
        <v>39</v>
      </c>
      <c r="O1012" s="3" t="s">
        <v>98</v>
      </c>
      <c r="P1012" s="3" t="s">
        <v>45</v>
      </c>
      <c r="Q1012" s="4">
        <v>5</v>
      </c>
      <c r="R1012" s="4" t="str">
        <f>IF(Table1[[#This Row],[Customer Ratings]]&gt;=4, "Good",IF(Table1[[#This Row],[Customer Ratings]]=3, "Average","Poor"))</f>
        <v>Good</v>
      </c>
      <c r="S1012" s="3" t="s">
        <v>76</v>
      </c>
    </row>
    <row r="1013" spans="1:19" x14ac:dyDescent="0.25">
      <c r="A1013" s="3">
        <v>1012</v>
      </c>
      <c r="B1013" s="5">
        <f>DATE(Table1[[#This Row],[Year]],Table1[[#This Row],[Month]],Table1[[#This Row],[Day]])</f>
        <v>44767</v>
      </c>
      <c r="C1013" s="3">
        <v>25</v>
      </c>
      <c r="D1013" s="3">
        <v>7</v>
      </c>
      <c r="E1013" s="3">
        <v>2022</v>
      </c>
      <c r="F1013" s="3" t="str">
        <f>"Qtr"&amp; " " &amp;CHOOSE(MONTH(Table1[[#This Row],[Date]]),1,1,1,2,2,2,3,3,3,4,4,4)</f>
        <v>Qtr 3</v>
      </c>
      <c r="G1013" s="3" t="str">
        <f>TEXT(Table1[[#This Row],[Date]],"mmmm")</f>
        <v>July</v>
      </c>
      <c r="H1013" s="3" t="s">
        <v>1081</v>
      </c>
      <c r="I1013" s="3" t="s">
        <v>13</v>
      </c>
      <c r="J1013" s="3">
        <v>1</v>
      </c>
      <c r="K1013" s="3">
        <v>13165.4</v>
      </c>
      <c r="L1013" s="3">
        <f>Table1[[#This Row],[Price Per Unit]]*Table1[[#This Row],[Units Sold]]</f>
        <v>13165.4</v>
      </c>
      <c r="M1013" s="3" t="s">
        <v>635</v>
      </c>
      <c r="N1013" s="3">
        <v>43</v>
      </c>
      <c r="O1013" s="3" t="s">
        <v>81</v>
      </c>
      <c r="P1013" s="3" t="s">
        <v>45</v>
      </c>
      <c r="Q1013" s="4">
        <v>5</v>
      </c>
      <c r="R1013" s="4" t="str">
        <f>IF(Table1[[#This Row],[Customer Ratings]]&gt;=4, "Good",IF(Table1[[#This Row],[Customer Ratings]]=3, "Average","Poor"))</f>
        <v>Good</v>
      </c>
      <c r="S1013" s="3" t="s">
        <v>72</v>
      </c>
    </row>
    <row r="1014" spans="1:19" x14ac:dyDescent="0.25">
      <c r="A1014" s="3">
        <v>1013</v>
      </c>
      <c r="B1014" s="5">
        <f>DATE(Table1[[#This Row],[Year]],Table1[[#This Row],[Month]],Table1[[#This Row],[Day]])</f>
        <v>44767</v>
      </c>
      <c r="C1014" s="3">
        <v>25</v>
      </c>
      <c r="D1014" s="3">
        <v>7</v>
      </c>
      <c r="E1014" s="3">
        <v>2022</v>
      </c>
      <c r="F1014" s="3" t="str">
        <f>"Qtr"&amp; " " &amp;CHOOSE(MONTH(Table1[[#This Row],[Date]]),1,1,1,2,2,2,3,3,3,4,4,4)</f>
        <v>Qtr 3</v>
      </c>
      <c r="G1014" s="3" t="str">
        <f>TEXT(Table1[[#This Row],[Date]],"mmmm")</f>
        <v>July</v>
      </c>
      <c r="H1014" s="3" t="s">
        <v>1081</v>
      </c>
      <c r="I1014" s="3" t="s">
        <v>28</v>
      </c>
      <c r="J1014" s="3">
        <v>2</v>
      </c>
      <c r="K1014" s="3">
        <v>37416.33</v>
      </c>
      <c r="L1014" s="3">
        <f>Table1[[#This Row],[Price Per Unit]]*Table1[[#This Row],[Units Sold]]</f>
        <v>74832.66</v>
      </c>
      <c r="M1014" s="3" t="s">
        <v>372</v>
      </c>
      <c r="N1014" s="3">
        <v>28</v>
      </c>
      <c r="O1014" s="3" t="s">
        <v>20</v>
      </c>
      <c r="P1014" s="3" t="s">
        <v>21</v>
      </c>
      <c r="Q1014" s="4">
        <v>5</v>
      </c>
      <c r="R1014" s="4" t="str">
        <f>IF(Table1[[#This Row],[Customer Ratings]]&gt;=4, "Good",IF(Table1[[#This Row],[Customer Ratings]]=3, "Average","Poor"))</f>
        <v>Good</v>
      </c>
      <c r="S1014" s="3" t="s">
        <v>87</v>
      </c>
    </row>
    <row r="1015" spans="1:19" x14ac:dyDescent="0.25">
      <c r="A1015" s="3">
        <v>1014</v>
      </c>
      <c r="B1015" s="5">
        <f>DATE(Table1[[#This Row],[Year]],Table1[[#This Row],[Month]],Table1[[#This Row],[Day]])</f>
        <v>44767</v>
      </c>
      <c r="C1015" s="3">
        <v>25</v>
      </c>
      <c r="D1015" s="3">
        <v>7</v>
      </c>
      <c r="E1015" s="3">
        <v>2022</v>
      </c>
      <c r="F1015" s="3" t="str">
        <f>"Qtr"&amp; " " &amp;CHOOSE(MONTH(Table1[[#This Row],[Date]]),1,1,1,2,2,2,3,3,3,4,4,4)</f>
        <v>Qtr 3</v>
      </c>
      <c r="G1015" s="3" t="str">
        <f>TEXT(Table1[[#This Row],[Date]],"mmmm")</f>
        <v>July</v>
      </c>
      <c r="H1015" s="3" t="s">
        <v>1081</v>
      </c>
      <c r="I1015" s="3" t="s">
        <v>13</v>
      </c>
      <c r="J1015" s="3">
        <v>8</v>
      </c>
      <c r="K1015" s="3">
        <v>66529.48</v>
      </c>
      <c r="L1015" s="3">
        <f>Table1[[#This Row],[Price Per Unit]]*Table1[[#This Row],[Units Sold]]</f>
        <v>532235.84</v>
      </c>
      <c r="M1015" s="3" t="s">
        <v>618</v>
      </c>
      <c r="N1015" s="3">
        <v>24</v>
      </c>
      <c r="O1015" s="3" t="s">
        <v>102</v>
      </c>
      <c r="P1015" s="3" t="s">
        <v>31</v>
      </c>
      <c r="Q1015" s="4">
        <v>5</v>
      </c>
      <c r="R1015" s="4" t="str">
        <f>IF(Table1[[#This Row],[Customer Ratings]]&gt;=4, "Good",IF(Table1[[#This Row],[Customer Ratings]]=3, "Average","Poor"))</f>
        <v>Good</v>
      </c>
      <c r="S1015" s="3" t="s">
        <v>17</v>
      </c>
    </row>
    <row r="1016" spans="1:19" x14ac:dyDescent="0.25">
      <c r="A1016" s="3">
        <v>1015</v>
      </c>
      <c r="B1016" s="5">
        <f>DATE(Table1[[#This Row],[Year]],Table1[[#This Row],[Month]],Table1[[#This Row],[Day]])</f>
        <v>44768</v>
      </c>
      <c r="C1016" s="3">
        <v>26</v>
      </c>
      <c r="D1016" s="3">
        <v>7</v>
      </c>
      <c r="E1016" s="3">
        <v>2022</v>
      </c>
      <c r="F1016" s="3" t="str">
        <f>"Qtr"&amp; " " &amp;CHOOSE(MONTH(Table1[[#This Row],[Date]]),1,1,1,2,2,2,3,3,3,4,4,4)</f>
        <v>Qtr 3</v>
      </c>
      <c r="G1016" s="3" t="str">
        <f>TEXT(Table1[[#This Row],[Date]],"mmmm")</f>
        <v>July</v>
      </c>
      <c r="H1016" s="3" t="s">
        <v>1082</v>
      </c>
      <c r="I1016" s="3" t="s">
        <v>13</v>
      </c>
      <c r="J1016" s="3">
        <v>7</v>
      </c>
      <c r="K1016" s="3">
        <v>63271.56</v>
      </c>
      <c r="L1016" s="3">
        <f>Table1[[#This Row],[Price Per Unit]]*Table1[[#This Row],[Units Sold]]</f>
        <v>442900.92</v>
      </c>
      <c r="M1016" s="3" t="s">
        <v>510</v>
      </c>
      <c r="N1016" s="3">
        <v>34</v>
      </c>
      <c r="O1016" s="3" t="s">
        <v>137</v>
      </c>
      <c r="P1016" s="3" t="s">
        <v>45</v>
      </c>
      <c r="Q1016" s="4">
        <v>5</v>
      </c>
      <c r="R1016" s="4" t="str">
        <f>IF(Table1[[#This Row],[Customer Ratings]]&gt;=4, "Good",IF(Table1[[#This Row],[Customer Ratings]]=3, "Average","Poor"))</f>
        <v>Good</v>
      </c>
      <c r="S1016" s="3" t="s">
        <v>72</v>
      </c>
    </row>
    <row r="1017" spans="1:19" x14ac:dyDescent="0.25">
      <c r="A1017" s="3">
        <v>1016</v>
      </c>
      <c r="B1017" s="5">
        <f>DATE(Table1[[#This Row],[Year]],Table1[[#This Row],[Month]],Table1[[#This Row],[Day]])</f>
        <v>44768</v>
      </c>
      <c r="C1017" s="3">
        <v>26</v>
      </c>
      <c r="D1017" s="3">
        <v>7</v>
      </c>
      <c r="E1017" s="3">
        <v>2022</v>
      </c>
      <c r="F1017" s="3" t="str">
        <f>"Qtr"&amp; " " &amp;CHOOSE(MONTH(Table1[[#This Row],[Date]]),1,1,1,2,2,2,3,3,3,4,4,4)</f>
        <v>Qtr 3</v>
      </c>
      <c r="G1017" s="3" t="str">
        <f>TEXT(Table1[[#This Row],[Date]],"mmmm")</f>
        <v>July</v>
      </c>
      <c r="H1017" s="3" t="s">
        <v>1082</v>
      </c>
      <c r="I1017" s="3" t="s">
        <v>28</v>
      </c>
      <c r="J1017" s="3">
        <v>2</v>
      </c>
      <c r="K1017" s="3">
        <v>16135.86</v>
      </c>
      <c r="L1017" s="3">
        <f>Table1[[#This Row],[Price Per Unit]]*Table1[[#This Row],[Units Sold]]</f>
        <v>32271.72</v>
      </c>
      <c r="M1017" s="3" t="s">
        <v>699</v>
      </c>
      <c r="N1017" s="3">
        <v>35</v>
      </c>
      <c r="O1017" s="3" t="s">
        <v>24</v>
      </c>
      <c r="P1017" s="3" t="s">
        <v>45</v>
      </c>
      <c r="Q1017" s="4">
        <v>5</v>
      </c>
      <c r="R1017" s="4" t="str">
        <f>IF(Table1[[#This Row],[Customer Ratings]]&gt;=4, "Good",IF(Table1[[#This Row],[Customer Ratings]]=3, "Average","Poor"))</f>
        <v>Good</v>
      </c>
      <c r="S1017" s="3" t="s">
        <v>87</v>
      </c>
    </row>
    <row r="1018" spans="1:19" x14ac:dyDescent="0.25">
      <c r="A1018" s="3">
        <v>1017</v>
      </c>
      <c r="B1018" s="5">
        <f>DATE(Table1[[#This Row],[Year]],Table1[[#This Row],[Month]],Table1[[#This Row],[Day]])</f>
        <v>44768</v>
      </c>
      <c r="C1018" s="3">
        <v>26</v>
      </c>
      <c r="D1018" s="3">
        <v>7</v>
      </c>
      <c r="E1018" s="3">
        <v>2022</v>
      </c>
      <c r="F1018" s="3" t="str">
        <f>"Qtr"&amp; " " &amp;CHOOSE(MONTH(Table1[[#This Row],[Date]]),1,1,1,2,2,2,3,3,3,4,4,4)</f>
        <v>Qtr 3</v>
      </c>
      <c r="G1018" s="3" t="str">
        <f>TEXT(Table1[[#This Row],[Date]],"mmmm")</f>
        <v>July</v>
      </c>
      <c r="H1018" s="3" t="s">
        <v>1082</v>
      </c>
      <c r="I1018" s="3" t="s">
        <v>13</v>
      </c>
      <c r="J1018" s="3">
        <v>2</v>
      </c>
      <c r="K1018" s="3">
        <v>54647.6</v>
      </c>
      <c r="L1018" s="3">
        <f>Table1[[#This Row],[Price Per Unit]]*Table1[[#This Row],[Units Sold]]</f>
        <v>109295.2</v>
      </c>
      <c r="M1018" s="3" t="s">
        <v>700</v>
      </c>
      <c r="N1018" s="3">
        <v>24</v>
      </c>
      <c r="O1018" s="3" t="s">
        <v>78</v>
      </c>
      <c r="P1018" s="3" t="s">
        <v>45</v>
      </c>
      <c r="Q1018" s="4">
        <v>3</v>
      </c>
      <c r="R1018" s="4" t="str">
        <f>IF(Table1[[#This Row],[Customer Ratings]]&gt;=4, "Good",IF(Table1[[#This Row],[Customer Ratings]]=3, "Average","Poor"))</f>
        <v>Average</v>
      </c>
      <c r="S1018" s="3" t="s">
        <v>27</v>
      </c>
    </row>
    <row r="1019" spans="1:19" x14ac:dyDescent="0.25">
      <c r="A1019" s="3">
        <v>1018</v>
      </c>
      <c r="B1019" s="5">
        <f>DATE(Table1[[#This Row],[Year]],Table1[[#This Row],[Month]],Table1[[#This Row],[Day]])</f>
        <v>44769</v>
      </c>
      <c r="C1019" s="3">
        <v>27</v>
      </c>
      <c r="D1019" s="3">
        <v>7</v>
      </c>
      <c r="E1019" s="3">
        <v>2022</v>
      </c>
      <c r="F1019" s="3" t="str">
        <f>"Qtr"&amp; " " &amp;CHOOSE(MONTH(Table1[[#This Row],[Date]]),1,1,1,2,2,2,3,3,3,4,4,4)</f>
        <v>Qtr 3</v>
      </c>
      <c r="G1019" s="3" t="str">
        <f>TEXT(Table1[[#This Row],[Date]],"mmmm")</f>
        <v>July</v>
      </c>
      <c r="H1019" s="3" t="s">
        <v>1083</v>
      </c>
      <c r="I1019" s="3" t="s">
        <v>18</v>
      </c>
      <c r="J1019" s="3">
        <v>9</v>
      </c>
      <c r="K1019" s="3">
        <v>58347.57</v>
      </c>
      <c r="L1019" s="3">
        <f>Table1[[#This Row],[Price Per Unit]]*Table1[[#This Row],[Units Sold]]</f>
        <v>525128.13</v>
      </c>
      <c r="M1019" s="3" t="s">
        <v>269</v>
      </c>
      <c r="N1019" s="3">
        <v>37</v>
      </c>
      <c r="O1019" s="3" t="s">
        <v>105</v>
      </c>
      <c r="P1019" s="3" t="s">
        <v>16</v>
      </c>
      <c r="Q1019" s="4">
        <v>3</v>
      </c>
      <c r="R1019" s="4" t="str">
        <f>IF(Table1[[#This Row],[Customer Ratings]]&gt;=4, "Good",IF(Table1[[#This Row],[Customer Ratings]]=3, "Average","Poor"))</f>
        <v>Average</v>
      </c>
      <c r="S1019" s="3" t="s">
        <v>22</v>
      </c>
    </row>
    <row r="1020" spans="1:19" x14ac:dyDescent="0.25">
      <c r="A1020" s="3">
        <v>1019</v>
      </c>
      <c r="B1020" s="5">
        <f>DATE(Table1[[#This Row],[Year]],Table1[[#This Row],[Month]],Table1[[#This Row],[Day]])</f>
        <v>44769</v>
      </c>
      <c r="C1020" s="3">
        <v>27</v>
      </c>
      <c r="D1020" s="3">
        <v>7</v>
      </c>
      <c r="E1020" s="3">
        <v>2022</v>
      </c>
      <c r="F1020" s="3" t="str">
        <f>"Qtr"&amp; " " &amp;CHOOSE(MONTH(Table1[[#This Row],[Date]]),1,1,1,2,2,2,3,3,3,4,4,4)</f>
        <v>Qtr 3</v>
      </c>
      <c r="G1020" s="3" t="str">
        <f>TEXT(Table1[[#This Row],[Date]],"mmmm")</f>
        <v>July</v>
      </c>
      <c r="H1020" s="3" t="s">
        <v>1083</v>
      </c>
      <c r="I1020" s="3" t="s">
        <v>18</v>
      </c>
      <c r="J1020" s="3">
        <v>6</v>
      </c>
      <c r="K1020" s="3">
        <v>26283.29</v>
      </c>
      <c r="L1020" s="3">
        <f>Table1[[#This Row],[Price Per Unit]]*Table1[[#This Row],[Units Sold]]</f>
        <v>157699.74</v>
      </c>
      <c r="M1020" s="3" t="s">
        <v>257</v>
      </c>
      <c r="N1020" s="3">
        <v>55</v>
      </c>
      <c r="O1020" s="3" t="s">
        <v>15</v>
      </c>
      <c r="P1020" s="3" t="s">
        <v>21</v>
      </c>
      <c r="Q1020" s="4">
        <v>3</v>
      </c>
      <c r="R1020" s="4" t="str">
        <f>IF(Table1[[#This Row],[Customer Ratings]]&gt;=4, "Good",IF(Table1[[#This Row],[Customer Ratings]]=3, "Average","Poor"))</f>
        <v>Average</v>
      </c>
      <c r="S1020" s="3" t="s">
        <v>55</v>
      </c>
    </row>
    <row r="1021" spans="1:19" x14ac:dyDescent="0.25">
      <c r="A1021" s="3">
        <v>1020</v>
      </c>
      <c r="B1021" s="5">
        <f>DATE(Table1[[#This Row],[Year]],Table1[[#This Row],[Month]],Table1[[#This Row],[Day]])</f>
        <v>44769</v>
      </c>
      <c r="C1021" s="3">
        <v>27</v>
      </c>
      <c r="D1021" s="3">
        <v>7</v>
      </c>
      <c r="E1021" s="3">
        <v>2022</v>
      </c>
      <c r="F1021" s="3" t="str">
        <f>"Qtr"&amp; " " &amp;CHOOSE(MONTH(Table1[[#This Row],[Date]]),1,1,1,2,2,2,3,3,3,4,4,4)</f>
        <v>Qtr 3</v>
      </c>
      <c r="G1021" s="3" t="str">
        <f>TEXT(Table1[[#This Row],[Date]],"mmmm")</f>
        <v>July</v>
      </c>
      <c r="H1021" s="3" t="s">
        <v>1083</v>
      </c>
      <c r="I1021" s="3" t="s">
        <v>13</v>
      </c>
      <c r="J1021" s="3">
        <v>5</v>
      </c>
      <c r="K1021" s="3">
        <v>38296.51</v>
      </c>
      <c r="L1021" s="3">
        <f>Table1[[#This Row],[Price Per Unit]]*Table1[[#This Row],[Units Sold]]</f>
        <v>191482.55000000002</v>
      </c>
      <c r="M1021" s="3" t="s">
        <v>166</v>
      </c>
      <c r="N1021" s="3">
        <v>28</v>
      </c>
      <c r="O1021" s="3" t="s">
        <v>24</v>
      </c>
      <c r="P1021" s="3" t="s">
        <v>31</v>
      </c>
      <c r="Q1021" s="4">
        <v>3</v>
      </c>
      <c r="R1021" s="4" t="str">
        <f>IF(Table1[[#This Row],[Customer Ratings]]&gt;=4, "Good",IF(Table1[[#This Row],[Customer Ratings]]=3, "Average","Poor"))</f>
        <v>Average</v>
      </c>
      <c r="S1021" s="3" t="s">
        <v>27</v>
      </c>
    </row>
    <row r="1022" spans="1:19" x14ac:dyDescent="0.25">
      <c r="A1022" s="3">
        <v>1021</v>
      </c>
      <c r="B1022" s="5">
        <f>DATE(Table1[[#This Row],[Year]],Table1[[#This Row],[Month]],Table1[[#This Row],[Day]])</f>
        <v>44770</v>
      </c>
      <c r="C1022" s="3">
        <v>28</v>
      </c>
      <c r="D1022" s="3">
        <v>7</v>
      </c>
      <c r="E1022" s="3">
        <v>2022</v>
      </c>
      <c r="F1022" s="3" t="str">
        <f>"Qtr"&amp; " " &amp;CHOOSE(MONTH(Table1[[#This Row],[Date]]),1,1,1,2,2,2,3,3,3,4,4,4)</f>
        <v>Qtr 3</v>
      </c>
      <c r="G1022" s="3" t="str">
        <f>TEXT(Table1[[#This Row],[Date]],"mmmm")</f>
        <v>July</v>
      </c>
      <c r="H1022" s="3" t="s">
        <v>1084</v>
      </c>
      <c r="I1022" s="3" t="s">
        <v>39</v>
      </c>
      <c r="J1022" s="3">
        <v>6</v>
      </c>
      <c r="K1022" s="3">
        <v>52659.28</v>
      </c>
      <c r="L1022" s="3">
        <f>Table1[[#This Row],[Price Per Unit]]*Table1[[#This Row],[Units Sold]]</f>
        <v>315955.68</v>
      </c>
      <c r="M1022" s="3" t="s">
        <v>569</v>
      </c>
      <c r="N1022" s="3">
        <v>33</v>
      </c>
      <c r="O1022" s="3" t="s">
        <v>102</v>
      </c>
      <c r="P1022" s="3" t="s">
        <v>45</v>
      </c>
      <c r="Q1022" s="4">
        <v>5</v>
      </c>
      <c r="R1022" s="4" t="str">
        <f>IF(Table1[[#This Row],[Customer Ratings]]&gt;=4, "Good",IF(Table1[[#This Row],[Customer Ratings]]=3, "Average","Poor"))</f>
        <v>Good</v>
      </c>
      <c r="S1022" s="3" t="s">
        <v>90</v>
      </c>
    </row>
    <row r="1023" spans="1:19" x14ac:dyDescent="0.25">
      <c r="A1023" s="3">
        <v>1022</v>
      </c>
      <c r="B1023" s="5">
        <f>DATE(Table1[[#This Row],[Year]],Table1[[#This Row],[Month]],Table1[[#This Row],[Day]])</f>
        <v>44770</v>
      </c>
      <c r="C1023" s="3">
        <v>28</v>
      </c>
      <c r="D1023" s="3">
        <v>7</v>
      </c>
      <c r="E1023" s="3">
        <v>2022</v>
      </c>
      <c r="F1023" s="3" t="str">
        <f>"Qtr"&amp; " " &amp;CHOOSE(MONTH(Table1[[#This Row],[Date]]),1,1,1,2,2,2,3,3,3,4,4,4)</f>
        <v>Qtr 3</v>
      </c>
      <c r="G1023" s="3" t="str">
        <f>TEXT(Table1[[#This Row],[Date]],"mmmm")</f>
        <v>July</v>
      </c>
      <c r="H1023" s="3" t="s">
        <v>1084</v>
      </c>
      <c r="I1023" s="3" t="s">
        <v>28</v>
      </c>
      <c r="J1023" s="3">
        <v>9</v>
      </c>
      <c r="K1023" s="3">
        <v>36342.49</v>
      </c>
      <c r="L1023" s="3">
        <f>Table1[[#This Row],[Price Per Unit]]*Table1[[#This Row],[Units Sold]]</f>
        <v>327082.40999999997</v>
      </c>
      <c r="M1023" s="3" t="s">
        <v>436</v>
      </c>
      <c r="N1023" s="3">
        <v>44</v>
      </c>
      <c r="O1023" s="3" t="s">
        <v>30</v>
      </c>
      <c r="P1023" s="3" t="s">
        <v>45</v>
      </c>
      <c r="Q1023" s="4">
        <v>3</v>
      </c>
      <c r="R1023" s="4" t="str">
        <f>IF(Table1[[#This Row],[Customer Ratings]]&gt;=4, "Good",IF(Table1[[#This Row],[Customer Ratings]]=3, "Average","Poor"))</f>
        <v>Average</v>
      </c>
      <c r="S1023" s="3" t="s">
        <v>87</v>
      </c>
    </row>
    <row r="1024" spans="1:19" x14ac:dyDescent="0.25">
      <c r="A1024" s="3">
        <v>1023</v>
      </c>
      <c r="B1024" s="5">
        <f>DATE(Table1[[#This Row],[Year]],Table1[[#This Row],[Month]],Table1[[#This Row],[Day]])</f>
        <v>44770</v>
      </c>
      <c r="C1024" s="3">
        <v>28</v>
      </c>
      <c r="D1024" s="3">
        <v>7</v>
      </c>
      <c r="E1024" s="3">
        <v>2022</v>
      </c>
      <c r="F1024" s="3" t="str">
        <f>"Qtr"&amp; " " &amp;CHOOSE(MONTH(Table1[[#This Row],[Date]]),1,1,1,2,2,2,3,3,3,4,4,4)</f>
        <v>Qtr 3</v>
      </c>
      <c r="G1024" s="3" t="str">
        <f>TEXT(Table1[[#This Row],[Date]],"mmmm")</f>
        <v>July</v>
      </c>
      <c r="H1024" s="3" t="s">
        <v>1084</v>
      </c>
      <c r="I1024" s="3" t="s">
        <v>18</v>
      </c>
      <c r="J1024" s="3">
        <v>7</v>
      </c>
      <c r="K1024" s="3">
        <v>16767.82</v>
      </c>
      <c r="L1024" s="3">
        <f>Table1[[#This Row],[Price Per Unit]]*Table1[[#This Row],[Units Sold]]</f>
        <v>117374.73999999999</v>
      </c>
      <c r="M1024" s="3" t="s">
        <v>701</v>
      </c>
      <c r="N1024" s="3">
        <v>28</v>
      </c>
      <c r="O1024" s="3" t="s">
        <v>20</v>
      </c>
      <c r="P1024" s="3" t="s">
        <v>45</v>
      </c>
      <c r="Q1024" s="4">
        <v>5</v>
      </c>
      <c r="R1024" s="4" t="str">
        <f>IF(Table1[[#This Row],[Customer Ratings]]&gt;=4, "Good",IF(Table1[[#This Row],[Customer Ratings]]=3, "Average","Poor"))</f>
        <v>Good</v>
      </c>
      <c r="S1024" s="3" t="s">
        <v>25</v>
      </c>
    </row>
    <row r="1025" spans="1:19" x14ac:dyDescent="0.25">
      <c r="A1025" s="3">
        <v>1024</v>
      </c>
      <c r="B1025" s="5">
        <f>DATE(Table1[[#This Row],[Year]],Table1[[#This Row],[Month]],Table1[[#This Row],[Day]])</f>
        <v>44771</v>
      </c>
      <c r="C1025" s="3">
        <v>29</v>
      </c>
      <c r="D1025" s="3">
        <v>7</v>
      </c>
      <c r="E1025" s="3">
        <v>2022</v>
      </c>
      <c r="F1025" s="3" t="str">
        <f>"Qtr"&amp; " " &amp;CHOOSE(MONTH(Table1[[#This Row],[Date]]),1,1,1,2,2,2,3,3,3,4,4,4)</f>
        <v>Qtr 3</v>
      </c>
      <c r="G1025" s="3" t="str">
        <f>TEXT(Table1[[#This Row],[Date]],"mmmm")</f>
        <v>July</v>
      </c>
      <c r="H1025" s="3" t="s">
        <v>1085</v>
      </c>
      <c r="I1025" s="3" t="s">
        <v>39</v>
      </c>
      <c r="J1025" s="3">
        <v>9</v>
      </c>
      <c r="K1025" s="3">
        <v>52352.95</v>
      </c>
      <c r="L1025" s="3">
        <f>Table1[[#This Row],[Price Per Unit]]*Table1[[#This Row],[Units Sold]]</f>
        <v>471176.55</v>
      </c>
      <c r="M1025" s="3" t="s">
        <v>116</v>
      </c>
      <c r="N1025" s="3">
        <v>33</v>
      </c>
      <c r="O1025" s="3" t="s">
        <v>105</v>
      </c>
      <c r="P1025" s="3" t="s">
        <v>16</v>
      </c>
      <c r="Q1025" s="4">
        <v>4</v>
      </c>
      <c r="R1025" s="4" t="str">
        <f>IF(Table1[[#This Row],[Customer Ratings]]&gt;=4, "Good",IF(Table1[[#This Row],[Customer Ratings]]=3, "Average","Poor"))</f>
        <v>Good</v>
      </c>
      <c r="S1025" s="3" t="s">
        <v>76</v>
      </c>
    </row>
    <row r="1026" spans="1:19" x14ac:dyDescent="0.25">
      <c r="A1026" s="3">
        <v>1025</v>
      </c>
      <c r="B1026" s="5">
        <f>DATE(Table1[[#This Row],[Year]],Table1[[#This Row],[Month]],Table1[[#This Row],[Day]])</f>
        <v>44771</v>
      </c>
      <c r="C1026" s="3">
        <v>29</v>
      </c>
      <c r="D1026" s="3">
        <v>7</v>
      </c>
      <c r="E1026" s="3">
        <v>2022</v>
      </c>
      <c r="F1026" s="3" t="str">
        <f>"Qtr"&amp; " " &amp;CHOOSE(MONTH(Table1[[#This Row],[Date]]),1,1,1,2,2,2,3,3,3,4,4,4)</f>
        <v>Qtr 3</v>
      </c>
      <c r="G1026" s="3" t="str">
        <f>TEXT(Table1[[#This Row],[Date]],"mmmm")</f>
        <v>July</v>
      </c>
      <c r="H1026" s="3" t="s">
        <v>1085</v>
      </c>
      <c r="I1026" s="3" t="s">
        <v>13</v>
      </c>
      <c r="J1026" s="3">
        <v>4</v>
      </c>
      <c r="K1026" s="3">
        <v>64698.32</v>
      </c>
      <c r="L1026" s="3">
        <f>Table1[[#This Row],[Price Per Unit]]*Table1[[#This Row],[Units Sold]]</f>
        <v>258793.28</v>
      </c>
      <c r="M1026" s="3" t="s">
        <v>360</v>
      </c>
      <c r="N1026" s="3">
        <v>40</v>
      </c>
      <c r="O1026" s="3" t="s">
        <v>105</v>
      </c>
      <c r="P1026" s="3" t="s">
        <v>31</v>
      </c>
      <c r="Q1026" s="4">
        <v>3</v>
      </c>
      <c r="R1026" s="4" t="str">
        <f>IF(Table1[[#This Row],[Customer Ratings]]&gt;=4, "Good",IF(Table1[[#This Row],[Customer Ratings]]=3, "Average","Poor"))</f>
        <v>Average</v>
      </c>
      <c r="S1026" s="3" t="s">
        <v>72</v>
      </c>
    </row>
    <row r="1027" spans="1:19" x14ac:dyDescent="0.25">
      <c r="A1027" s="3">
        <v>1026</v>
      </c>
      <c r="B1027" s="5">
        <f>DATE(Table1[[#This Row],[Year]],Table1[[#This Row],[Month]],Table1[[#This Row],[Day]])</f>
        <v>44771</v>
      </c>
      <c r="C1027" s="3">
        <v>29</v>
      </c>
      <c r="D1027" s="3">
        <v>7</v>
      </c>
      <c r="E1027" s="3">
        <v>2022</v>
      </c>
      <c r="F1027" s="3" t="str">
        <f>"Qtr"&amp; " " &amp;CHOOSE(MONTH(Table1[[#This Row],[Date]]),1,1,1,2,2,2,3,3,3,4,4,4)</f>
        <v>Qtr 3</v>
      </c>
      <c r="G1027" s="3" t="str">
        <f>TEXT(Table1[[#This Row],[Date]],"mmmm")</f>
        <v>July</v>
      </c>
      <c r="H1027" s="3" t="s">
        <v>1085</v>
      </c>
      <c r="I1027" s="3" t="s">
        <v>39</v>
      </c>
      <c r="J1027" s="3">
        <v>2</v>
      </c>
      <c r="K1027" s="3">
        <v>49149.08</v>
      </c>
      <c r="L1027" s="3">
        <f>Table1[[#This Row],[Price Per Unit]]*Table1[[#This Row],[Units Sold]]</f>
        <v>98298.16</v>
      </c>
      <c r="M1027" s="3" t="s">
        <v>243</v>
      </c>
      <c r="N1027" s="3">
        <v>29</v>
      </c>
      <c r="O1027" s="3" t="s">
        <v>24</v>
      </c>
      <c r="P1027" s="3" t="s">
        <v>45</v>
      </c>
      <c r="Q1027" s="4">
        <v>5</v>
      </c>
      <c r="R1027" s="4" t="str">
        <f>IF(Table1[[#This Row],[Customer Ratings]]&gt;=4, "Good",IF(Table1[[#This Row],[Customer Ratings]]=3, "Average","Poor"))</f>
        <v>Good</v>
      </c>
      <c r="S1027" s="3" t="s">
        <v>90</v>
      </c>
    </row>
    <row r="1028" spans="1:19" x14ac:dyDescent="0.25">
      <c r="A1028" s="3">
        <v>1027</v>
      </c>
      <c r="B1028" s="5">
        <f>DATE(Table1[[#This Row],[Year]],Table1[[#This Row],[Month]],Table1[[#This Row],[Day]])</f>
        <v>44771</v>
      </c>
      <c r="C1028" s="3">
        <v>29</v>
      </c>
      <c r="D1028" s="3">
        <v>7</v>
      </c>
      <c r="E1028" s="3">
        <v>2022</v>
      </c>
      <c r="F1028" s="3" t="str">
        <f>"Qtr"&amp; " " &amp;CHOOSE(MONTH(Table1[[#This Row],[Date]]),1,1,1,2,2,2,3,3,3,4,4,4)</f>
        <v>Qtr 3</v>
      </c>
      <c r="G1028" s="3" t="str">
        <f>TEXT(Table1[[#This Row],[Date]],"mmmm")</f>
        <v>July</v>
      </c>
      <c r="H1028" s="3" t="s">
        <v>1085</v>
      </c>
      <c r="I1028" s="3" t="s">
        <v>33</v>
      </c>
      <c r="J1028" s="3">
        <v>8</v>
      </c>
      <c r="K1028" s="3">
        <v>56428.04</v>
      </c>
      <c r="L1028" s="3">
        <f>Table1[[#This Row],[Price Per Unit]]*Table1[[#This Row],[Units Sold]]</f>
        <v>451424.32</v>
      </c>
      <c r="M1028" s="3" t="s">
        <v>593</v>
      </c>
      <c r="N1028" s="3">
        <v>57</v>
      </c>
      <c r="O1028" s="3" t="s">
        <v>20</v>
      </c>
      <c r="P1028" s="3" t="s">
        <v>45</v>
      </c>
      <c r="Q1028" s="4">
        <v>4</v>
      </c>
      <c r="R1028" s="4" t="str">
        <f>IF(Table1[[#This Row],[Customer Ratings]]&gt;=4, "Good",IF(Table1[[#This Row],[Customer Ratings]]=3, "Average","Poor"))</f>
        <v>Good</v>
      </c>
      <c r="S1028" s="3" t="s">
        <v>36</v>
      </c>
    </row>
    <row r="1029" spans="1:19" x14ac:dyDescent="0.25">
      <c r="A1029" s="3">
        <v>1028</v>
      </c>
      <c r="B1029" s="5">
        <f>DATE(Table1[[#This Row],[Year]],Table1[[#This Row],[Month]],Table1[[#This Row],[Day]])</f>
        <v>44772</v>
      </c>
      <c r="C1029" s="3">
        <v>30</v>
      </c>
      <c r="D1029" s="3">
        <v>7</v>
      </c>
      <c r="E1029" s="3">
        <v>2022</v>
      </c>
      <c r="F1029" s="3" t="str">
        <f>"Qtr"&amp; " " &amp;CHOOSE(MONTH(Table1[[#This Row],[Date]]),1,1,1,2,2,2,3,3,3,4,4,4)</f>
        <v>Qtr 3</v>
      </c>
      <c r="G1029" s="3" t="str">
        <f>TEXT(Table1[[#This Row],[Date]],"mmmm")</f>
        <v>July</v>
      </c>
      <c r="H1029" s="3" t="s">
        <v>1079</v>
      </c>
      <c r="I1029" s="3" t="s">
        <v>18</v>
      </c>
      <c r="J1029" s="3">
        <v>4</v>
      </c>
      <c r="K1029" s="3">
        <v>31501.75</v>
      </c>
      <c r="L1029" s="3">
        <f>Table1[[#This Row],[Price Per Unit]]*Table1[[#This Row],[Units Sold]]</f>
        <v>126007</v>
      </c>
      <c r="M1029" s="3" t="s">
        <v>702</v>
      </c>
      <c r="N1029" s="3">
        <v>20</v>
      </c>
      <c r="O1029" s="3" t="s">
        <v>125</v>
      </c>
      <c r="P1029" s="3" t="s">
        <v>16</v>
      </c>
      <c r="Q1029" s="4">
        <v>5</v>
      </c>
      <c r="R1029" s="4" t="str">
        <f>IF(Table1[[#This Row],[Customer Ratings]]&gt;=4, "Good",IF(Table1[[#This Row],[Customer Ratings]]=3, "Average","Poor"))</f>
        <v>Good</v>
      </c>
      <c r="S1029" s="3" t="s">
        <v>55</v>
      </c>
    </row>
    <row r="1030" spans="1:19" x14ac:dyDescent="0.25">
      <c r="A1030" s="3">
        <v>1029</v>
      </c>
      <c r="B1030" s="5">
        <f>DATE(Table1[[#This Row],[Year]],Table1[[#This Row],[Month]],Table1[[#This Row],[Day]])</f>
        <v>44772</v>
      </c>
      <c r="C1030" s="3">
        <v>30</v>
      </c>
      <c r="D1030" s="3">
        <v>7</v>
      </c>
      <c r="E1030" s="3">
        <v>2022</v>
      </c>
      <c r="F1030" s="3" t="str">
        <f>"Qtr"&amp; " " &amp;CHOOSE(MONTH(Table1[[#This Row],[Date]]),1,1,1,2,2,2,3,3,3,4,4,4)</f>
        <v>Qtr 3</v>
      </c>
      <c r="G1030" s="3" t="str">
        <f>TEXT(Table1[[#This Row],[Date]],"mmmm")</f>
        <v>July</v>
      </c>
      <c r="H1030" s="3" t="s">
        <v>1079</v>
      </c>
      <c r="I1030" s="3" t="s">
        <v>13</v>
      </c>
      <c r="J1030" s="3">
        <v>9</v>
      </c>
      <c r="K1030" s="3">
        <v>20991.89</v>
      </c>
      <c r="L1030" s="3">
        <f>Table1[[#This Row],[Price Per Unit]]*Table1[[#This Row],[Units Sold]]</f>
        <v>188927.01</v>
      </c>
      <c r="M1030" s="3" t="s">
        <v>703</v>
      </c>
      <c r="N1030" s="3">
        <v>19</v>
      </c>
      <c r="O1030" s="3" t="s">
        <v>81</v>
      </c>
      <c r="P1030" s="3" t="s">
        <v>16</v>
      </c>
      <c r="Q1030" s="4">
        <v>4</v>
      </c>
      <c r="R1030" s="4" t="str">
        <f>IF(Table1[[#This Row],[Customer Ratings]]&gt;=4, "Good",IF(Table1[[#This Row],[Customer Ratings]]=3, "Average","Poor"))</f>
        <v>Good</v>
      </c>
      <c r="S1030" s="3" t="s">
        <v>27</v>
      </c>
    </row>
    <row r="1031" spans="1:19" x14ac:dyDescent="0.25">
      <c r="A1031" s="3">
        <v>1030</v>
      </c>
      <c r="B1031" s="5">
        <f>DATE(Table1[[#This Row],[Year]],Table1[[#This Row],[Month]],Table1[[#This Row],[Day]])</f>
        <v>44772</v>
      </c>
      <c r="C1031" s="3">
        <v>30</v>
      </c>
      <c r="D1031" s="3">
        <v>7</v>
      </c>
      <c r="E1031" s="3">
        <v>2022</v>
      </c>
      <c r="F1031" s="3" t="str">
        <f>"Qtr"&amp; " " &amp;CHOOSE(MONTH(Table1[[#This Row],[Date]]),1,1,1,2,2,2,3,3,3,4,4,4)</f>
        <v>Qtr 3</v>
      </c>
      <c r="G1031" s="3" t="str">
        <f>TEXT(Table1[[#This Row],[Date]],"mmmm")</f>
        <v>July</v>
      </c>
      <c r="H1031" s="3" t="s">
        <v>1079</v>
      </c>
      <c r="I1031" s="3" t="s">
        <v>28</v>
      </c>
      <c r="J1031" s="3">
        <v>4</v>
      </c>
      <c r="K1031" s="3">
        <v>48566.42</v>
      </c>
      <c r="L1031" s="3">
        <f>Table1[[#This Row],[Price Per Unit]]*Table1[[#This Row],[Units Sold]]</f>
        <v>194265.68</v>
      </c>
      <c r="M1031" s="3" t="s">
        <v>704</v>
      </c>
      <c r="N1031" s="3">
        <v>55</v>
      </c>
      <c r="O1031" s="3" t="s">
        <v>20</v>
      </c>
      <c r="P1031" s="3" t="s">
        <v>21</v>
      </c>
      <c r="Q1031" s="4">
        <v>4</v>
      </c>
      <c r="R1031" s="4" t="str">
        <f>IF(Table1[[#This Row],[Customer Ratings]]&gt;=4, "Good",IF(Table1[[#This Row],[Customer Ratings]]=3, "Average","Poor"))</f>
        <v>Good</v>
      </c>
      <c r="S1031" s="3" t="s">
        <v>32</v>
      </c>
    </row>
    <row r="1032" spans="1:19" x14ac:dyDescent="0.25">
      <c r="A1032" s="3">
        <v>1031</v>
      </c>
      <c r="B1032" s="5">
        <f>DATE(Table1[[#This Row],[Year]],Table1[[#This Row],[Month]],Table1[[#This Row],[Day]])</f>
        <v>44772</v>
      </c>
      <c r="C1032" s="3">
        <v>30</v>
      </c>
      <c r="D1032" s="3">
        <v>7</v>
      </c>
      <c r="E1032" s="3">
        <v>2022</v>
      </c>
      <c r="F1032" s="3" t="str">
        <f>"Qtr"&amp; " " &amp;CHOOSE(MONTH(Table1[[#This Row],[Date]]),1,1,1,2,2,2,3,3,3,4,4,4)</f>
        <v>Qtr 3</v>
      </c>
      <c r="G1032" s="3" t="str">
        <f>TEXT(Table1[[#This Row],[Date]],"mmmm")</f>
        <v>July</v>
      </c>
      <c r="H1032" s="3" t="s">
        <v>1079</v>
      </c>
      <c r="I1032" s="3" t="s">
        <v>13</v>
      </c>
      <c r="J1032" s="3">
        <v>8</v>
      </c>
      <c r="K1032" s="3">
        <v>29666.27</v>
      </c>
      <c r="L1032" s="3">
        <f>Table1[[#This Row],[Price Per Unit]]*Table1[[#This Row],[Units Sold]]</f>
        <v>237330.16</v>
      </c>
      <c r="M1032" s="3" t="s">
        <v>705</v>
      </c>
      <c r="N1032" s="3">
        <v>41</v>
      </c>
      <c r="O1032" s="3" t="s">
        <v>78</v>
      </c>
      <c r="P1032" s="3" t="s">
        <v>21</v>
      </c>
      <c r="Q1032" s="4">
        <v>5</v>
      </c>
      <c r="R1032" s="4" t="str">
        <f>IF(Table1[[#This Row],[Customer Ratings]]&gt;=4, "Good",IF(Table1[[#This Row],[Customer Ratings]]=3, "Average","Poor"))</f>
        <v>Good</v>
      </c>
      <c r="S1032" s="3" t="s">
        <v>27</v>
      </c>
    </row>
    <row r="1033" spans="1:19" x14ac:dyDescent="0.25">
      <c r="A1033" s="3">
        <v>1032</v>
      </c>
      <c r="B1033" s="5">
        <f>DATE(Table1[[#This Row],[Year]],Table1[[#This Row],[Month]],Table1[[#This Row],[Day]])</f>
        <v>44773</v>
      </c>
      <c r="C1033" s="3">
        <v>31</v>
      </c>
      <c r="D1033" s="3">
        <v>7</v>
      </c>
      <c r="E1033" s="3">
        <v>2022</v>
      </c>
      <c r="F1033" s="3" t="str">
        <f>"Qtr"&amp; " " &amp;CHOOSE(MONTH(Table1[[#This Row],[Date]]),1,1,1,2,2,2,3,3,3,4,4,4)</f>
        <v>Qtr 3</v>
      </c>
      <c r="G1033" s="3" t="str">
        <f>TEXT(Table1[[#This Row],[Date]],"mmmm")</f>
        <v>July</v>
      </c>
      <c r="H1033" s="3" t="s">
        <v>1080</v>
      </c>
      <c r="I1033" s="3" t="s">
        <v>28</v>
      </c>
      <c r="J1033" s="3">
        <v>9</v>
      </c>
      <c r="K1033" s="3">
        <v>61604.41</v>
      </c>
      <c r="L1033" s="3">
        <f>Table1[[#This Row],[Price Per Unit]]*Table1[[#This Row],[Units Sold]]</f>
        <v>554439.69000000006</v>
      </c>
      <c r="M1033" s="3" t="s">
        <v>706</v>
      </c>
      <c r="N1033" s="3">
        <v>46</v>
      </c>
      <c r="O1033" s="3" t="s">
        <v>105</v>
      </c>
      <c r="P1033" s="3" t="s">
        <v>31</v>
      </c>
      <c r="Q1033" s="4">
        <v>3</v>
      </c>
      <c r="R1033" s="4" t="str">
        <f>IF(Table1[[#This Row],[Customer Ratings]]&gt;=4, "Good",IF(Table1[[#This Row],[Customer Ratings]]=3, "Average","Poor"))</f>
        <v>Average</v>
      </c>
      <c r="S1033" s="3" t="s">
        <v>32</v>
      </c>
    </row>
    <row r="1034" spans="1:19" x14ac:dyDescent="0.25">
      <c r="A1034" s="3">
        <v>1033</v>
      </c>
      <c r="B1034" s="5">
        <f>DATE(Table1[[#This Row],[Year]],Table1[[#This Row],[Month]],Table1[[#This Row],[Day]])</f>
        <v>44773</v>
      </c>
      <c r="C1034" s="3">
        <v>31</v>
      </c>
      <c r="D1034" s="3">
        <v>7</v>
      </c>
      <c r="E1034" s="3">
        <v>2022</v>
      </c>
      <c r="F1034" s="3" t="str">
        <f>"Qtr"&amp; " " &amp;CHOOSE(MONTH(Table1[[#This Row],[Date]]),1,1,1,2,2,2,3,3,3,4,4,4)</f>
        <v>Qtr 3</v>
      </c>
      <c r="G1034" s="3" t="str">
        <f>TEXT(Table1[[#This Row],[Date]],"mmmm")</f>
        <v>July</v>
      </c>
      <c r="H1034" s="3" t="s">
        <v>1080</v>
      </c>
      <c r="I1034" s="3" t="s">
        <v>13</v>
      </c>
      <c r="J1034" s="3">
        <v>9</v>
      </c>
      <c r="K1034" s="3">
        <v>17357.68</v>
      </c>
      <c r="L1034" s="3">
        <f>Table1[[#This Row],[Price Per Unit]]*Table1[[#This Row],[Units Sold]]</f>
        <v>156219.12</v>
      </c>
      <c r="M1034" s="3" t="s">
        <v>234</v>
      </c>
      <c r="N1034" s="3">
        <v>51</v>
      </c>
      <c r="O1034" s="3" t="s">
        <v>81</v>
      </c>
      <c r="P1034" s="3" t="s">
        <v>21</v>
      </c>
      <c r="Q1034" s="4">
        <v>5</v>
      </c>
      <c r="R1034" s="4" t="str">
        <f>IF(Table1[[#This Row],[Customer Ratings]]&gt;=4, "Good",IF(Table1[[#This Row],[Customer Ratings]]=3, "Average","Poor"))</f>
        <v>Good</v>
      </c>
      <c r="S1034" s="3" t="s">
        <v>72</v>
      </c>
    </row>
    <row r="1035" spans="1:19" x14ac:dyDescent="0.25">
      <c r="A1035" s="3">
        <v>1034</v>
      </c>
      <c r="B1035" s="5">
        <f>DATE(Table1[[#This Row],[Year]],Table1[[#This Row],[Month]],Table1[[#This Row],[Day]])</f>
        <v>44773</v>
      </c>
      <c r="C1035" s="3">
        <v>31</v>
      </c>
      <c r="D1035" s="3">
        <v>7</v>
      </c>
      <c r="E1035" s="3">
        <v>2022</v>
      </c>
      <c r="F1035" s="3" t="str">
        <f>"Qtr"&amp; " " &amp;CHOOSE(MONTH(Table1[[#This Row],[Date]]),1,1,1,2,2,2,3,3,3,4,4,4)</f>
        <v>Qtr 3</v>
      </c>
      <c r="G1035" s="3" t="str">
        <f>TEXT(Table1[[#This Row],[Date]],"mmmm")</f>
        <v>July</v>
      </c>
      <c r="H1035" s="3" t="s">
        <v>1080</v>
      </c>
      <c r="I1035" s="3" t="s">
        <v>39</v>
      </c>
      <c r="J1035" s="3">
        <v>4</v>
      </c>
      <c r="K1035" s="3">
        <v>36007.82</v>
      </c>
      <c r="L1035" s="3">
        <f>Table1[[#This Row],[Price Per Unit]]*Table1[[#This Row],[Units Sold]]</f>
        <v>144031.28</v>
      </c>
      <c r="M1035" s="3" t="s">
        <v>507</v>
      </c>
      <c r="N1035" s="3">
        <v>37</v>
      </c>
      <c r="O1035" s="3" t="s">
        <v>20</v>
      </c>
      <c r="P1035" s="3" t="s">
        <v>31</v>
      </c>
      <c r="Q1035" s="4">
        <v>5</v>
      </c>
      <c r="R1035" s="4" t="str">
        <f>IF(Table1[[#This Row],[Customer Ratings]]&gt;=4, "Good",IF(Table1[[#This Row],[Customer Ratings]]=3, "Average","Poor"))</f>
        <v>Good</v>
      </c>
      <c r="S1035" s="3" t="s">
        <v>90</v>
      </c>
    </row>
    <row r="1036" spans="1:19" x14ac:dyDescent="0.25">
      <c r="A1036" s="3">
        <v>1035</v>
      </c>
      <c r="B1036" s="5">
        <f>DATE(Table1[[#This Row],[Year]],Table1[[#This Row],[Month]],Table1[[#This Row],[Day]])</f>
        <v>44773</v>
      </c>
      <c r="C1036" s="3">
        <v>31</v>
      </c>
      <c r="D1036" s="3">
        <v>7</v>
      </c>
      <c r="E1036" s="3">
        <v>2022</v>
      </c>
      <c r="F1036" s="3" t="str">
        <f>"Qtr"&amp; " " &amp;CHOOSE(MONTH(Table1[[#This Row],[Date]]),1,1,1,2,2,2,3,3,3,4,4,4)</f>
        <v>Qtr 3</v>
      </c>
      <c r="G1036" s="3" t="str">
        <f>TEXT(Table1[[#This Row],[Date]],"mmmm")</f>
        <v>July</v>
      </c>
      <c r="H1036" s="3" t="s">
        <v>1080</v>
      </c>
      <c r="I1036" s="3" t="s">
        <v>39</v>
      </c>
      <c r="J1036" s="3">
        <v>1</v>
      </c>
      <c r="K1036" s="3">
        <v>33803.660000000003</v>
      </c>
      <c r="L1036" s="3">
        <f>Table1[[#This Row],[Price Per Unit]]*Table1[[#This Row],[Units Sold]]</f>
        <v>33803.660000000003</v>
      </c>
      <c r="M1036" s="3" t="s">
        <v>707</v>
      </c>
      <c r="N1036" s="3">
        <v>35</v>
      </c>
      <c r="O1036" s="3" t="s">
        <v>125</v>
      </c>
      <c r="P1036" s="3" t="s">
        <v>21</v>
      </c>
      <c r="Q1036" s="4">
        <v>5</v>
      </c>
      <c r="R1036" s="4" t="str">
        <f>IF(Table1[[#This Row],[Customer Ratings]]&gt;=4, "Good",IF(Table1[[#This Row],[Customer Ratings]]=3, "Average","Poor"))</f>
        <v>Good</v>
      </c>
      <c r="S1036" s="3" t="s">
        <v>42</v>
      </c>
    </row>
    <row r="1037" spans="1:19" x14ac:dyDescent="0.25">
      <c r="A1037" s="3">
        <v>1036</v>
      </c>
      <c r="B1037" s="5">
        <f>DATE(Table1[[#This Row],[Year]],Table1[[#This Row],[Month]],Table1[[#This Row],[Day]])</f>
        <v>44774</v>
      </c>
      <c r="C1037" s="3">
        <v>1</v>
      </c>
      <c r="D1037" s="3">
        <v>8</v>
      </c>
      <c r="E1037" s="3">
        <v>2022</v>
      </c>
      <c r="F1037" s="3" t="str">
        <f>"Qtr"&amp; " " &amp;CHOOSE(MONTH(Table1[[#This Row],[Date]]),1,1,1,2,2,2,3,3,3,4,4,4)</f>
        <v>Qtr 3</v>
      </c>
      <c r="G1037" s="3" t="str">
        <f>TEXT(Table1[[#This Row],[Date]],"mmmm")</f>
        <v>August</v>
      </c>
      <c r="H1037" s="3" t="s">
        <v>1081</v>
      </c>
      <c r="I1037" s="3" t="s">
        <v>39</v>
      </c>
      <c r="J1037" s="3">
        <v>3</v>
      </c>
      <c r="K1037" s="3">
        <v>66283.23</v>
      </c>
      <c r="L1037" s="3">
        <f>Table1[[#This Row],[Price Per Unit]]*Table1[[#This Row],[Units Sold]]</f>
        <v>198849.69</v>
      </c>
      <c r="M1037" s="3" t="s">
        <v>251</v>
      </c>
      <c r="N1037" s="3">
        <v>31</v>
      </c>
      <c r="O1037" s="3" t="s">
        <v>20</v>
      </c>
      <c r="P1037" s="3" t="s">
        <v>45</v>
      </c>
      <c r="Q1037" s="4">
        <v>5</v>
      </c>
      <c r="R1037" s="4" t="str">
        <f>IF(Table1[[#This Row],[Customer Ratings]]&gt;=4, "Good",IF(Table1[[#This Row],[Customer Ratings]]=3, "Average","Poor"))</f>
        <v>Good</v>
      </c>
      <c r="S1037" s="3" t="s">
        <v>76</v>
      </c>
    </row>
    <row r="1038" spans="1:19" x14ac:dyDescent="0.25">
      <c r="A1038" s="3">
        <v>1037</v>
      </c>
      <c r="B1038" s="5">
        <f>DATE(Table1[[#This Row],[Year]],Table1[[#This Row],[Month]],Table1[[#This Row],[Day]])</f>
        <v>44774</v>
      </c>
      <c r="C1038" s="3">
        <v>1</v>
      </c>
      <c r="D1038" s="3">
        <v>8</v>
      </c>
      <c r="E1038" s="3">
        <v>2022</v>
      </c>
      <c r="F1038" s="3" t="str">
        <f>"Qtr"&amp; " " &amp;CHOOSE(MONTH(Table1[[#This Row],[Date]]),1,1,1,2,2,2,3,3,3,4,4,4)</f>
        <v>Qtr 3</v>
      </c>
      <c r="G1038" s="3" t="str">
        <f>TEXT(Table1[[#This Row],[Date]],"mmmm")</f>
        <v>August</v>
      </c>
      <c r="H1038" s="3" t="s">
        <v>1081</v>
      </c>
      <c r="I1038" s="3" t="s">
        <v>33</v>
      </c>
      <c r="J1038" s="3">
        <v>9</v>
      </c>
      <c r="K1038" s="3">
        <v>19188.09</v>
      </c>
      <c r="L1038" s="3">
        <f>Table1[[#This Row],[Price Per Unit]]*Table1[[#This Row],[Units Sold]]</f>
        <v>172692.81</v>
      </c>
      <c r="M1038" s="3" t="s">
        <v>554</v>
      </c>
      <c r="N1038" s="3">
        <v>35</v>
      </c>
      <c r="O1038" s="3" t="s">
        <v>35</v>
      </c>
      <c r="P1038" s="3" t="s">
        <v>21</v>
      </c>
      <c r="Q1038" s="4">
        <v>5</v>
      </c>
      <c r="R1038" s="4" t="str">
        <f>IF(Table1[[#This Row],[Customer Ratings]]&gt;=4, "Good",IF(Table1[[#This Row],[Customer Ratings]]=3, "Average","Poor"))</f>
        <v>Good</v>
      </c>
      <c r="S1038" s="3" t="s">
        <v>46</v>
      </c>
    </row>
    <row r="1039" spans="1:19" x14ac:dyDescent="0.25">
      <c r="A1039" s="3">
        <v>1038</v>
      </c>
      <c r="B1039" s="5">
        <f>DATE(Table1[[#This Row],[Year]],Table1[[#This Row],[Month]],Table1[[#This Row],[Day]])</f>
        <v>44774</v>
      </c>
      <c r="C1039" s="3">
        <v>1</v>
      </c>
      <c r="D1039" s="3">
        <v>8</v>
      </c>
      <c r="E1039" s="3">
        <v>2022</v>
      </c>
      <c r="F1039" s="3" t="str">
        <f>"Qtr"&amp; " " &amp;CHOOSE(MONTH(Table1[[#This Row],[Date]]),1,1,1,2,2,2,3,3,3,4,4,4)</f>
        <v>Qtr 3</v>
      </c>
      <c r="G1039" s="3" t="str">
        <f>TEXT(Table1[[#This Row],[Date]],"mmmm")</f>
        <v>August</v>
      </c>
      <c r="H1039" s="3" t="s">
        <v>1081</v>
      </c>
      <c r="I1039" s="3" t="s">
        <v>28</v>
      </c>
      <c r="J1039" s="3">
        <v>4</v>
      </c>
      <c r="K1039" s="3">
        <v>10590.81</v>
      </c>
      <c r="L1039" s="3">
        <f>Table1[[#This Row],[Price Per Unit]]*Table1[[#This Row],[Units Sold]]</f>
        <v>42363.24</v>
      </c>
      <c r="M1039" s="3" t="s">
        <v>406</v>
      </c>
      <c r="N1039" s="3">
        <v>19</v>
      </c>
      <c r="O1039" s="3" t="s">
        <v>65</v>
      </c>
      <c r="P1039" s="3" t="s">
        <v>45</v>
      </c>
      <c r="Q1039" s="4">
        <v>4</v>
      </c>
      <c r="R1039" s="4" t="str">
        <f>IF(Table1[[#This Row],[Customer Ratings]]&gt;=4, "Good",IF(Table1[[#This Row],[Customer Ratings]]=3, "Average","Poor"))</f>
        <v>Good</v>
      </c>
      <c r="S1039" s="3" t="s">
        <v>87</v>
      </c>
    </row>
    <row r="1040" spans="1:19" x14ac:dyDescent="0.25">
      <c r="A1040" s="3">
        <v>1039</v>
      </c>
      <c r="B1040" s="5">
        <f>DATE(Table1[[#This Row],[Year]],Table1[[#This Row],[Month]],Table1[[#This Row],[Day]])</f>
        <v>44774</v>
      </c>
      <c r="C1040" s="3">
        <v>1</v>
      </c>
      <c r="D1040" s="3">
        <v>8</v>
      </c>
      <c r="E1040" s="3">
        <v>2022</v>
      </c>
      <c r="F1040" s="3" t="str">
        <f>"Qtr"&amp; " " &amp;CHOOSE(MONTH(Table1[[#This Row],[Date]]),1,1,1,2,2,2,3,3,3,4,4,4)</f>
        <v>Qtr 3</v>
      </c>
      <c r="G1040" s="3" t="str">
        <f>TEXT(Table1[[#This Row],[Date]],"mmmm")</f>
        <v>August</v>
      </c>
      <c r="H1040" s="3" t="s">
        <v>1081</v>
      </c>
      <c r="I1040" s="3" t="s">
        <v>39</v>
      </c>
      <c r="J1040" s="3">
        <v>5</v>
      </c>
      <c r="K1040" s="3">
        <v>24285.11</v>
      </c>
      <c r="L1040" s="3">
        <f>Table1[[#This Row],[Price Per Unit]]*Table1[[#This Row],[Units Sold]]</f>
        <v>121425.55</v>
      </c>
      <c r="M1040" s="3" t="s">
        <v>708</v>
      </c>
      <c r="N1040" s="3">
        <v>18</v>
      </c>
      <c r="O1040" s="3" t="s">
        <v>102</v>
      </c>
      <c r="P1040" s="3" t="s">
        <v>31</v>
      </c>
      <c r="Q1040" s="4">
        <v>3</v>
      </c>
      <c r="R1040" s="4" t="str">
        <f>IF(Table1[[#This Row],[Customer Ratings]]&gt;=4, "Good",IF(Table1[[#This Row],[Customer Ratings]]=3, "Average","Poor"))</f>
        <v>Average</v>
      </c>
      <c r="S1040" s="3" t="s">
        <v>42</v>
      </c>
    </row>
    <row r="1041" spans="1:19" x14ac:dyDescent="0.25">
      <c r="A1041" s="3">
        <v>1040</v>
      </c>
      <c r="B1041" s="5">
        <f>DATE(Table1[[#This Row],[Year]],Table1[[#This Row],[Month]],Table1[[#This Row],[Day]])</f>
        <v>44775</v>
      </c>
      <c r="C1041" s="3">
        <v>2</v>
      </c>
      <c r="D1041" s="3">
        <v>8</v>
      </c>
      <c r="E1041" s="3">
        <v>2022</v>
      </c>
      <c r="F1041" s="3" t="str">
        <f>"Qtr"&amp; " " &amp;CHOOSE(MONTH(Table1[[#This Row],[Date]]),1,1,1,2,2,2,3,3,3,4,4,4)</f>
        <v>Qtr 3</v>
      </c>
      <c r="G1041" s="3" t="str">
        <f>TEXT(Table1[[#This Row],[Date]],"mmmm")</f>
        <v>August</v>
      </c>
      <c r="H1041" s="3" t="s">
        <v>1082</v>
      </c>
      <c r="I1041" s="3" t="s">
        <v>33</v>
      </c>
      <c r="J1041" s="3">
        <v>7</v>
      </c>
      <c r="K1041" s="3">
        <v>59216.61</v>
      </c>
      <c r="L1041" s="3">
        <f>Table1[[#This Row],[Price Per Unit]]*Table1[[#This Row],[Units Sold]]</f>
        <v>414516.27</v>
      </c>
      <c r="M1041" s="3" t="s">
        <v>580</v>
      </c>
      <c r="N1041" s="3">
        <v>37</v>
      </c>
      <c r="O1041" s="3" t="s">
        <v>20</v>
      </c>
      <c r="P1041" s="3" t="s">
        <v>21</v>
      </c>
      <c r="Q1041" s="4">
        <v>3</v>
      </c>
      <c r="R1041" s="4" t="str">
        <f>IF(Table1[[#This Row],[Customer Ratings]]&gt;=4, "Good",IF(Table1[[#This Row],[Customer Ratings]]=3, "Average","Poor"))</f>
        <v>Average</v>
      </c>
      <c r="S1041" s="3" t="s">
        <v>83</v>
      </c>
    </row>
    <row r="1042" spans="1:19" x14ac:dyDescent="0.25">
      <c r="A1042" s="3">
        <v>1041</v>
      </c>
      <c r="B1042" s="5">
        <f>DATE(Table1[[#This Row],[Year]],Table1[[#This Row],[Month]],Table1[[#This Row],[Day]])</f>
        <v>44775</v>
      </c>
      <c r="C1042" s="3">
        <v>2</v>
      </c>
      <c r="D1042" s="3">
        <v>8</v>
      </c>
      <c r="E1042" s="3">
        <v>2022</v>
      </c>
      <c r="F1042" s="3" t="str">
        <f>"Qtr"&amp; " " &amp;CHOOSE(MONTH(Table1[[#This Row],[Date]]),1,1,1,2,2,2,3,3,3,4,4,4)</f>
        <v>Qtr 3</v>
      </c>
      <c r="G1042" s="3" t="str">
        <f>TEXT(Table1[[#This Row],[Date]],"mmmm")</f>
        <v>August</v>
      </c>
      <c r="H1042" s="3" t="s">
        <v>1082</v>
      </c>
      <c r="I1042" s="3" t="s">
        <v>28</v>
      </c>
      <c r="J1042" s="3">
        <v>5</v>
      </c>
      <c r="K1042" s="3">
        <v>22559.31</v>
      </c>
      <c r="L1042" s="3">
        <f>Table1[[#This Row],[Price Per Unit]]*Table1[[#This Row],[Units Sold]]</f>
        <v>112796.55</v>
      </c>
      <c r="M1042" s="3" t="s">
        <v>690</v>
      </c>
      <c r="N1042" s="3">
        <v>51</v>
      </c>
      <c r="O1042" s="3" t="s">
        <v>20</v>
      </c>
      <c r="P1042" s="3" t="s">
        <v>21</v>
      </c>
      <c r="Q1042" s="4">
        <v>5</v>
      </c>
      <c r="R1042" s="4" t="str">
        <f>IF(Table1[[#This Row],[Customer Ratings]]&gt;=4, "Good",IF(Table1[[#This Row],[Customer Ratings]]=3, "Average","Poor"))</f>
        <v>Good</v>
      </c>
      <c r="S1042" s="3" t="s">
        <v>32</v>
      </c>
    </row>
    <row r="1043" spans="1:19" x14ac:dyDescent="0.25">
      <c r="A1043" s="3">
        <v>1042</v>
      </c>
      <c r="B1043" s="5">
        <f>DATE(Table1[[#This Row],[Year]],Table1[[#This Row],[Month]],Table1[[#This Row],[Day]])</f>
        <v>44775</v>
      </c>
      <c r="C1043" s="3">
        <v>2</v>
      </c>
      <c r="D1043" s="3">
        <v>8</v>
      </c>
      <c r="E1043" s="3">
        <v>2022</v>
      </c>
      <c r="F1043" s="3" t="str">
        <f>"Qtr"&amp; " " &amp;CHOOSE(MONTH(Table1[[#This Row],[Date]]),1,1,1,2,2,2,3,3,3,4,4,4)</f>
        <v>Qtr 3</v>
      </c>
      <c r="G1043" s="3" t="str">
        <f>TEXT(Table1[[#This Row],[Date]],"mmmm")</f>
        <v>August</v>
      </c>
      <c r="H1043" s="3" t="s">
        <v>1082</v>
      </c>
      <c r="I1043" s="3" t="s">
        <v>13</v>
      </c>
      <c r="J1043" s="3">
        <v>4</v>
      </c>
      <c r="K1043" s="3">
        <v>24452.68</v>
      </c>
      <c r="L1043" s="3">
        <f>Table1[[#This Row],[Price Per Unit]]*Table1[[#This Row],[Units Sold]]</f>
        <v>97810.72</v>
      </c>
      <c r="M1043" s="3" t="s">
        <v>546</v>
      </c>
      <c r="N1043" s="3">
        <v>58</v>
      </c>
      <c r="O1043" s="3" t="s">
        <v>24</v>
      </c>
      <c r="P1043" s="3" t="s">
        <v>21</v>
      </c>
      <c r="Q1043" s="4">
        <v>5</v>
      </c>
      <c r="R1043" s="4" t="str">
        <f>IF(Table1[[#This Row],[Customer Ratings]]&gt;=4, "Good",IF(Table1[[#This Row],[Customer Ratings]]=3, "Average","Poor"))</f>
        <v>Good</v>
      </c>
      <c r="S1043" s="3" t="s">
        <v>72</v>
      </c>
    </row>
    <row r="1044" spans="1:19" x14ac:dyDescent="0.25">
      <c r="A1044" s="3">
        <v>1043</v>
      </c>
      <c r="B1044" s="5">
        <f>DATE(Table1[[#This Row],[Year]],Table1[[#This Row],[Month]],Table1[[#This Row],[Day]])</f>
        <v>44776</v>
      </c>
      <c r="C1044" s="3">
        <v>3</v>
      </c>
      <c r="D1044" s="3">
        <v>8</v>
      </c>
      <c r="E1044" s="3">
        <v>2022</v>
      </c>
      <c r="F1044" s="3" t="str">
        <f>"Qtr"&amp; " " &amp;CHOOSE(MONTH(Table1[[#This Row],[Date]]),1,1,1,2,2,2,3,3,3,4,4,4)</f>
        <v>Qtr 3</v>
      </c>
      <c r="G1044" s="3" t="str">
        <f>TEXT(Table1[[#This Row],[Date]],"mmmm")</f>
        <v>August</v>
      </c>
      <c r="H1044" s="3" t="s">
        <v>1083</v>
      </c>
      <c r="I1044" s="3" t="s">
        <v>33</v>
      </c>
      <c r="J1044" s="3">
        <v>2</v>
      </c>
      <c r="K1044" s="3">
        <v>17793.93</v>
      </c>
      <c r="L1044" s="3">
        <f>Table1[[#This Row],[Price Per Unit]]*Table1[[#This Row],[Units Sold]]</f>
        <v>35587.86</v>
      </c>
      <c r="M1044" s="3" t="s">
        <v>709</v>
      </c>
      <c r="N1044" s="3">
        <v>58</v>
      </c>
      <c r="O1044" s="3" t="s">
        <v>20</v>
      </c>
      <c r="P1044" s="3" t="s">
        <v>45</v>
      </c>
      <c r="Q1044" s="4">
        <v>5</v>
      </c>
      <c r="R1044" s="4" t="str">
        <f>IF(Table1[[#This Row],[Customer Ratings]]&gt;=4, "Good",IF(Table1[[#This Row],[Customer Ratings]]=3, "Average","Poor"))</f>
        <v>Good</v>
      </c>
      <c r="S1044" s="3" t="s">
        <v>83</v>
      </c>
    </row>
    <row r="1045" spans="1:19" x14ac:dyDescent="0.25">
      <c r="A1045" s="3">
        <v>1044</v>
      </c>
      <c r="B1045" s="5">
        <f>DATE(Table1[[#This Row],[Year]],Table1[[#This Row],[Month]],Table1[[#This Row],[Day]])</f>
        <v>44776</v>
      </c>
      <c r="C1045" s="3">
        <v>3</v>
      </c>
      <c r="D1045" s="3">
        <v>8</v>
      </c>
      <c r="E1045" s="3">
        <v>2022</v>
      </c>
      <c r="F1045" s="3" t="str">
        <f>"Qtr"&amp; " " &amp;CHOOSE(MONTH(Table1[[#This Row],[Date]]),1,1,1,2,2,2,3,3,3,4,4,4)</f>
        <v>Qtr 3</v>
      </c>
      <c r="G1045" s="3" t="str">
        <f>TEXT(Table1[[#This Row],[Date]],"mmmm")</f>
        <v>August</v>
      </c>
      <c r="H1045" s="3" t="s">
        <v>1083</v>
      </c>
      <c r="I1045" s="3" t="s">
        <v>18</v>
      </c>
      <c r="J1045" s="3">
        <v>2</v>
      </c>
      <c r="K1045" s="3">
        <v>52926.17</v>
      </c>
      <c r="L1045" s="3">
        <f>Table1[[#This Row],[Price Per Unit]]*Table1[[#This Row],[Units Sold]]</f>
        <v>105852.34</v>
      </c>
      <c r="M1045" s="3" t="s">
        <v>185</v>
      </c>
      <c r="N1045" s="3">
        <v>28</v>
      </c>
      <c r="O1045" s="3" t="s">
        <v>137</v>
      </c>
      <c r="P1045" s="3" t="s">
        <v>45</v>
      </c>
      <c r="Q1045" s="4">
        <v>5</v>
      </c>
      <c r="R1045" s="4" t="str">
        <f>IF(Table1[[#This Row],[Customer Ratings]]&gt;=4, "Good",IF(Table1[[#This Row],[Customer Ratings]]=3, "Average","Poor"))</f>
        <v>Good</v>
      </c>
      <c r="S1045" s="3" t="s">
        <v>25</v>
      </c>
    </row>
    <row r="1046" spans="1:19" x14ac:dyDescent="0.25">
      <c r="A1046" s="3">
        <v>1045</v>
      </c>
      <c r="B1046" s="5">
        <f>DATE(Table1[[#This Row],[Year]],Table1[[#This Row],[Month]],Table1[[#This Row],[Day]])</f>
        <v>44776</v>
      </c>
      <c r="C1046" s="3">
        <v>3</v>
      </c>
      <c r="D1046" s="3">
        <v>8</v>
      </c>
      <c r="E1046" s="3">
        <v>2022</v>
      </c>
      <c r="F1046" s="3" t="str">
        <f>"Qtr"&amp; " " &amp;CHOOSE(MONTH(Table1[[#This Row],[Date]]),1,1,1,2,2,2,3,3,3,4,4,4)</f>
        <v>Qtr 3</v>
      </c>
      <c r="G1046" s="3" t="str">
        <f>TEXT(Table1[[#This Row],[Date]],"mmmm")</f>
        <v>August</v>
      </c>
      <c r="H1046" s="3" t="s">
        <v>1083</v>
      </c>
      <c r="I1046" s="3" t="s">
        <v>33</v>
      </c>
      <c r="J1046" s="3">
        <v>4</v>
      </c>
      <c r="K1046" s="3">
        <v>14150.45</v>
      </c>
      <c r="L1046" s="3">
        <f>Table1[[#This Row],[Price Per Unit]]*Table1[[#This Row],[Units Sold]]</f>
        <v>56601.8</v>
      </c>
      <c r="M1046" s="3" t="s">
        <v>165</v>
      </c>
      <c r="N1046" s="3">
        <v>44</v>
      </c>
      <c r="O1046" s="3" t="s">
        <v>20</v>
      </c>
      <c r="P1046" s="3" t="s">
        <v>21</v>
      </c>
      <c r="Q1046" s="4">
        <v>5</v>
      </c>
      <c r="R1046" s="4" t="str">
        <f>IF(Table1[[#This Row],[Customer Ratings]]&gt;=4, "Good",IF(Table1[[#This Row],[Customer Ratings]]=3, "Average","Poor"))</f>
        <v>Good</v>
      </c>
      <c r="S1046" s="3" t="s">
        <v>83</v>
      </c>
    </row>
    <row r="1047" spans="1:19" x14ac:dyDescent="0.25">
      <c r="A1047" s="3">
        <v>1046</v>
      </c>
      <c r="B1047" s="5">
        <f>DATE(Table1[[#This Row],[Year]],Table1[[#This Row],[Month]],Table1[[#This Row],[Day]])</f>
        <v>44777</v>
      </c>
      <c r="C1047" s="3">
        <v>4</v>
      </c>
      <c r="D1047" s="3">
        <v>8</v>
      </c>
      <c r="E1047" s="3">
        <v>2022</v>
      </c>
      <c r="F1047" s="3" t="str">
        <f>"Qtr"&amp; " " &amp;CHOOSE(MONTH(Table1[[#This Row],[Date]]),1,1,1,2,2,2,3,3,3,4,4,4)</f>
        <v>Qtr 3</v>
      </c>
      <c r="G1047" s="3" t="str">
        <f>TEXT(Table1[[#This Row],[Date]],"mmmm")</f>
        <v>August</v>
      </c>
      <c r="H1047" s="3" t="s">
        <v>1084</v>
      </c>
      <c r="I1047" s="3" t="s">
        <v>33</v>
      </c>
      <c r="J1047" s="3">
        <v>9</v>
      </c>
      <c r="K1047" s="3">
        <v>29872.5</v>
      </c>
      <c r="L1047" s="3">
        <f>Table1[[#This Row],[Price Per Unit]]*Table1[[#This Row],[Units Sold]]</f>
        <v>268852.5</v>
      </c>
      <c r="M1047" s="3" t="s">
        <v>710</v>
      </c>
      <c r="N1047" s="3">
        <v>40</v>
      </c>
      <c r="O1047" s="3" t="s">
        <v>120</v>
      </c>
      <c r="P1047" s="3" t="s">
        <v>31</v>
      </c>
      <c r="Q1047" s="4">
        <v>5</v>
      </c>
      <c r="R1047" s="4" t="str">
        <f>IF(Table1[[#This Row],[Customer Ratings]]&gt;=4, "Good",IF(Table1[[#This Row],[Customer Ratings]]=3, "Average","Poor"))</f>
        <v>Good</v>
      </c>
      <c r="S1047" s="3" t="s">
        <v>46</v>
      </c>
    </row>
    <row r="1048" spans="1:19" x14ac:dyDescent="0.25">
      <c r="A1048" s="3">
        <v>1047</v>
      </c>
      <c r="B1048" s="5">
        <f>DATE(Table1[[#This Row],[Year]],Table1[[#This Row],[Month]],Table1[[#This Row],[Day]])</f>
        <v>44777</v>
      </c>
      <c r="C1048" s="3">
        <v>4</v>
      </c>
      <c r="D1048" s="3">
        <v>8</v>
      </c>
      <c r="E1048" s="3">
        <v>2022</v>
      </c>
      <c r="F1048" s="3" t="str">
        <f>"Qtr"&amp; " " &amp;CHOOSE(MONTH(Table1[[#This Row],[Date]]),1,1,1,2,2,2,3,3,3,4,4,4)</f>
        <v>Qtr 3</v>
      </c>
      <c r="G1048" s="3" t="str">
        <f>TEXT(Table1[[#This Row],[Date]],"mmmm")</f>
        <v>August</v>
      </c>
      <c r="H1048" s="3" t="s">
        <v>1084</v>
      </c>
      <c r="I1048" s="3" t="s">
        <v>28</v>
      </c>
      <c r="J1048" s="3">
        <v>8</v>
      </c>
      <c r="K1048" s="3">
        <v>26949.919999999998</v>
      </c>
      <c r="L1048" s="3">
        <f>Table1[[#This Row],[Price Per Unit]]*Table1[[#This Row],[Units Sold]]</f>
        <v>215599.35999999999</v>
      </c>
      <c r="M1048" s="3" t="s">
        <v>287</v>
      </c>
      <c r="N1048" s="3">
        <v>55</v>
      </c>
      <c r="O1048" s="3" t="s">
        <v>48</v>
      </c>
      <c r="P1048" s="3" t="s">
        <v>45</v>
      </c>
      <c r="Q1048" s="4">
        <v>5</v>
      </c>
      <c r="R1048" s="4" t="str">
        <f>IF(Table1[[#This Row],[Customer Ratings]]&gt;=4, "Good",IF(Table1[[#This Row],[Customer Ratings]]=3, "Average","Poor"))</f>
        <v>Good</v>
      </c>
      <c r="S1048" s="3" t="s">
        <v>87</v>
      </c>
    </row>
    <row r="1049" spans="1:19" x14ac:dyDescent="0.25">
      <c r="A1049" s="3">
        <v>1048</v>
      </c>
      <c r="B1049" s="5">
        <f>DATE(Table1[[#This Row],[Year]],Table1[[#This Row],[Month]],Table1[[#This Row],[Day]])</f>
        <v>44777</v>
      </c>
      <c r="C1049" s="3">
        <v>4</v>
      </c>
      <c r="D1049" s="3">
        <v>8</v>
      </c>
      <c r="E1049" s="3">
        <v>2022</v>
      </c>
      <c r="F1049" s="3" t="str">
        <f>"Qtr"&amp; " " &amp;CHOOSE(MONTH(Table1[[#This Row],[Date]]),1,1,1,2,2,2,3,3,3,4,4,4)</f>
        <v>Qtr 3</v>
      </c>
      <c r="G1049" s="3" t="str">
        <f>TEXT(Table1[[#This Row],[Date]],"mmmm")</f>
        <v>August</v>
      </c>
      <c r="H1049" s="3" t="s">
        <v>1084</v>
      </c>
      <c r="I1049" s="3" t="s">
        <v>13</v>
      </c>
      <c r="J1049" s="3">
        <v>3</v>
      </c>
      <c r="K1049" s="3">
        <v>43309.58</v>
      </c>
      <c r="L1049" s="3">
        <f>Table1[[#This Row],[Price Per Unit]]*Table1[[#This Row],[Units Sold]]</f>
        <v>129928.74</v>
      </c>
      <c r="M1049" s="3" t="s">
        <v>711</v>
      </c>
      <c r="N1049" s="3">
        <v>20</v>
      </c>
      <c r="O1049" s="3" t="s">
        <v>24</v>
      </c>
      <c r="P1049" s="3" t="s">
        <v>16</v>
      </c>
      <c r="Q1049" s="4">
        <v>5</v>
      </c>
      <c r="R1049" s="4" t="str">
        <f>IF(Table1[[#This Row],[Customer Ratings]]&gt;=4, "Good",IF(Table1[[#This Row],[Customer Ratings]]=3, "Average","Poor"))</f>
        <v>Good</v>
      </c>
      <c r="S1049" s="3" t="s">
        <v>72</v>
      </c>
    </row>
    <row r="1050" spans="1:19" x14ac:dyDescent="0.25">
      <c r="A1050" s="3">
        <v>1049</v>
      </c>
      <c r="B1050" s="5">
        <f>DATE(Table1[[#This Row],[Year]],Table1[[#This Row],[Month]],Table1[[#This Row],[Day]])</f>
        <v>44777</v>
      </c>
      <c r="C1050" s="3">
        <v>4</v>
      </c>
      <c r="D1050" s="3">
        <v>8</v>
      </c>
      <c r="E1050" s="3">
        <v>2022</v>
      </c>
      <c r="F1050" s="3" t="str">
        <f>"Qtr"&amp; " " &amp;CHOOSE(MONTH(Table1[[#This Row],[Date]]),1,1,1,2,2,2,3,3,3,4,4,4)</f>
        <v>Qtr 3</v>
      </c>
      <c r="G1050" s="3" t="str">
        <f>TEXT(Table1[[#This Row],[Date]],"mmmm")</f>
        <v>August</v>
      </c>
      <c r="H1050" s="3" t="s">
        <v>1084</v>
      </c>
      <c r="I1050" s="3" t="s">
        <v>18</v>
      </c>
      <c r="J1050" s="3">
        <v>9</v>
      </c>
      <c r="K1050" s="3">
        <v>53824.98</v>
      </c>
      <c r="L1050" s="3">
        <f>Table1[[#This Row],[Price Per Unit]]*Table1[[#This Row],[Units Sold]]</f>
        <v>484424.82</v>
      </c>
      <c r="M1050" s="3" t="s">
        <v>596</v>
      </c>
      <c r="N1050" s="3">
        <v>29</v>
      </c>
      <c r="O1050" s="3" t="s">
        <v>24</v>
      </c>
      <c r="P1050" s="3" t="s">
        <v>31</v>
      </c>
      <c r="Q1050" s="4">
        <v>5</v>
      </c>
      <c r="R1050" s="4" t="str">
        <f>IF(Table1[[#This Row],[Customer Ratings]]&gt;=4, "Good",IF(Table1[[#This Row],[Customer Ratings]]=3, "Average","Poor"))</f>
        <v>Good</v>
      </c>
      <c r="S1050" s="3" t="s">
        <v>55</v>
      </c>
    </row>
    <row r="1051" spans="1:19" x14ac:dyDescent="0.25">
      <c r="A1051" s="3">
        <v>1050</v>
      </c>
      <c r="B1051" s="5">
        <f>DATE(Table1[[#This Row],[Year]],Table1[[#This Row],[Month]],Table1[[#This Row],[Day]])</f>
        <v>44778</v>
      </c>
      <c r="C1051" s="3">
        <v>5</v>
      </c>
      <c r="D1051" s="3">
        <v>8</v>
      </c>
      <c r="E1051" s="3">
        <v>2022</v>
      </c>
      <c r="F1051" s="3" t="str">
        <f>"Qtr"&amp; " " &amp;CHOOSE(MONTH(Table1[[#This Row],[Date]]),1,1,1,2,2,2,3,3,3,4,4,4)</f>
        <v>Qtr 3</v>
      </c>
      <c r="G1051" s="3" t="str">
        <f>TEXT(Table1[[#This Row],[Date]],"mmmm")</f>
        <v>August</v>
      </c>
      <c r="H1051" s="3" t="s">
        <v>1085</v>
      </c>
      <c r="I1051" s="3" t="s">
        <v>39</v>
      </c>
      <c r="J1051" s="3">
        <v>5</v>
      </c>
      <c r="K1051" s="3">
        <v>41972.59</v>
      </c>
      <c r="L1051" s="3">
        <f>Table1[[#This Row],[Price Per Unit]]*Table1[[#This Row],[Units Sold]]</f>
        <v>209862.94999999998</v>
      </c>
      <c r="M1051" s="3" t="s">
        <v>706</v>
      </c>
      <c r="N1051" s="3">
        <v>47</v>
      </c>
      <c r="O1051" s="3" t="s">
        <v>54</v>
      </c>
      <c r="P1051" s="3" t="s">
        <v>31</v>
      </c>
      <c r="Q1051" s="4">
        <v>5</v>
      </c>
      <c r="R1051" s="4" t="str">
        <f>IF(Table1[[#This Row],[Customer Ratings]]&gt;=4, "Good",IF(Table1[[#This Row],[Customer Ratings]]=3, "Average","Poor"))</f>
        <v>Good</v>
      </c>
      <c r="S1051" s="3" t="s">
        <v>76</v>
      </c>
    </row>
    <row r="1052" spans="1:19" x14ac:dyDescent="0.25">
      <c r="A1052" s="3">
        <v>1051</v>
      </c>
      <c r="B1052" s="5">
        <f>DATE(Table1[[#This Row],[Year]],Table1[[#This Row],[Month]],Table1[[#This Row],[Day]])</f>
        <v>44778</v>
      </c>
      <c r="C1052" s="3">
        <v>5</v>
      </c>
      <c r="D1052" s="3">
        <v>8</v>
      </c>
      <c r="E1052" s="3">
        <v>2022</v>
      </c>
      <c r="F1052" s="3" t="str">
        <f>"Qtr"&amp; " " &amp;CHOOSE(MONTH(Table1[[#This Row],[Date]]),1,1,1,2,2,2,3,3,3,4,4,4)</f>
        <v>Qtr 3</v>
      </c>
      <c r="G1052" s="3" t="str">
        <f>TEXT(Table1[[#This Row],[Date]],"mmmm")</f>
        <v>August</v>
      </c>
      <c r="H1052" s="3" t="s">
        <v>1085</v>
      </c>
      <c r="I1052" s="3" t="s">
        <v>39</v>
      </c>
      <c r="J1052" s="3">
        <v>3</v>
      </c>
      <c r="K1052" s="3">
        <v>65861.56</v>
      </c>
      <c r="L1052" s="3">
        <f>Table1[[#This Row],[Price Per Unit]]*Table1[[#This Row],[Units Sold]]</f>
        <v>197584.68</v>
      </c>
      <c r="M1052" s="3" t="s">
        <v>712</v>
      </c>
      <c r="N1052" s="3">
        <v>48</v>
      </c>
      <c r="O1052" s="3" t="s">
        <v>35</v>
      </c>
      <c r="P1052" s="3" t="s">
        <v>31</v>
      </c>
      <c r="Q1052" s="4">
        <v>5</v>
      </c>
      <c r="R1052" s="4" t="str">
        <f>IF(Table1[[#This Row],[Customer Ratings]]&gt;=4, "Good",IF(Table1[[#This Row],[Customer Ratings]]=3, "Average","Poor"))</f>
        <v>Good</v>
      </c>
      <c r="S1052" s="3" t="s">
        <v>42</v>
      </c>
    </row>
    <row r="1053" spans="1:19" x14ac:dyDescent="0.25">
      <c r="A1053" s="3">
        <v>1052</v>
      </c>
      <c r="B1053" s="5">
        <f>DATE(Table1[[#This Row],[Year]],Table1[[#This Row],[Month]],Table1[[#This Row],[Day]])</f>
        <v>44778</v>
      </c>
      <c r="C1053" s="3">
        <v>5</v>
      </c>
      <c r="D1053" s="3">
        <v>8</v>
      </c>
      <c r="E1053" s="3">
        <v>2022</v>
      </c>
      <c r="F1053" s="3" t="str">
        <f>"Qtr"&amp; " " &amp;CHOOSE(MONTH(Table1[[#This Row],[Date]]),1,1,1,2,2,2,3,3,3,4,4,4)</f>
        <v>Qtr 3</v>
      </c>
      <c r="G1053" s="3" t="str">
        <f>TEXT(Table1[[#This Row],[Date]],"mmmm")</f>
        <v>August</v>
      </c>
      <c r="H1053" s="3" t="s">
        <v>1085</v>
      </c>
      <c r="I1053" s="3" t="s">
        <v>33</v>
      </c>
      <c r="J1053" s="3">
        <v>5</v>
      </c>
      <c r="K1053" s="3">
        <v>67086.559999999998</v>
      </c>
      <c r="L1053" s="3">
        <f>Table1[[#This Row],[Price Per Unit]]*Table1[[#This Row],[Units Sold]]</f>
        <v>335432.8</v>
      </c>
      <c r="M1053" s="3" t="s">
        <v>600</v>
      </c>
      <c r="N1053" s="3">
        <v>40</v>
      </c>
      <c r="O1053" s="3" t="s">
        <v>24</v>
      </c>
      <c r="P1053" s="3" t="s">
        <v>45</v>
      </c>
      <c r="Q1053" s="4">
        <v>5</v>
      </c>
      <c r="R1053" s="4" t="str">
        <f>IF(Table1[[#This Row],[Customer Ratings]]&gt;=4, "Good",IF(Table1[[#This Row],[Customer Ratings]]=3, "Average","Poor"))</f>
        <v>Good</v>
      </c>
      <c r="S1053" s="3" t="s">
        <v>36</v>
      </c>
    </row>
    <row r="1054" spans="1:19" x14ac:dyDescent="0.25">
      <c r="A1054" s="3">
        <v>1053</v>
      </c>
      <c r="B1054" s="5">
        <f>DATE(Table1[[#This Row],[Year]],Table1[[#This Row],[Month]],Table1[[#This Row],[Day]])</f>
        <v>44779</v>
      </c>
      <c r="C1054" s="3">
        <v>6</v>
      </c>
      <c r="D1054" s="3">
        <v>8</v>
      </c>
      <c r="E1054" s="3">
        <v>2022</v>
      </c>
      <c r="F1054" s="3" t="str">
        <f>"Qtr"&amp; " " &amp;CHOOSE(MONTH(Table1[[#This Row],[Date]]),1,1,1,2,2,2,3,3,3,4,4,4)</f>
        <v>Qtr 3</v>
      </c>
      <c r="G1054" s="3" t="str">
        <f>TEXT(Table1[[#This Row],[Date]],"mmmm")</f>
        <v>August</v>
      </c>
      <c r="H1054" s="3" t="s">
        <v>1079</v>
      </c>
      <c r="I1054" s="3" t="s">
        <v>28</v>
      </c>
      <c r="J1054" s="3">
        <v>4</v>
      </c>
      <c r="K1054" s="3">
        <v>31687.919999999998</v>
      </c>
      <c r="L1054" s="3">
        <f>Table1[[#This Row],[Price Per Unit]]*Table1[[#This Row],[Units Sold]]</f>
        <v>126751.67999999999</v>
      </c>
      <c r="M1054" s="3" t="s">
        <v>348</v>
      </c>
      <c r="N1054" s="3">
        <v>18</v>
      </c>
      <c r="O1054" s="3" t="s">
        <v>78</v>
      </c>
      <c r="P1054" s="3" t="s">
        <v>21</v>
      </c>
      <c r="Q1054" s="4">
        <v>4</v>
      </c>
      <c r="R1054" s="4" t="str">
        <f>IF(Table1[[#This Row],[Customer Ratings]]&gt;=4, "Good",IF(Table1[[#This Row],[Customer Ratings]]=3, "Average","Poor"))</f>
        <v>Good</v>
      </c>
      <c r="S1054" s="3" t="s">
        <v>38</v>
      </c>
    </row>
    <row r="1055" spans="1:19" x14ac:dyDescent="0.25">
      <c r="A1055" s="3">
        <v>1054</v>
      </c>
      <c r="B1055" s="5">
        <f>DATE(Table1[[#This Row],[Year]],Table1[[#This Row],[Month]],Table1[[#This Row],[Day]])</f>
        <v>44779</v>
      </c>
      <c r="C1055" s="3">
        <v>6</v>
      </c>
      <c r="D1055" s="3">
        <v>8</v>
      </c>
      <c r="E1055" s="3">
        <v>2022</v>
      </c>
      <c r="F1055" s="3" t="str">
        <f>"Qtr"&amp; " " &amp;CHOOSE(MONTH(Table1[[#This Row],[Date]]),1,1,1,2,2,2,3,3,3,4,4,4)</f>
        <v>Qtr 3</v>
      </c>
      <c r="G1055" s="3" t="str">
        <f>TEXT(Table1[[#This Row],[Date]],"mmmm")</f>
        <v>August</v>
      </c>
      <c r="H1055" s="3" t="s">
        <v>1079</v>
      </c>
      <c r="I1055" s="3" t="s">
        <v>28</v>
      </c>
      <c r="J1055" s="3">
        <v>8</v>
      </c>
      <c r="K1055" s="3">
        <v>56660.82</v>
      </c>
      <c r="L1055" s="3">
        <f>Table1[[#This Row],[Price Per Unit]]*Table1[[#This Row],[Units Sold]]</f>
        <v>453286.56</v>
      </c>
      <c r="M1055" s="3" t="s">
        <v>713</v>
      </c>
      <c r="N1055" s="3">
        <v>58</v>
      </c>
      <c r="O1055" s="3" t="s">
        <v>102</v>
      </c>
      <c r="P1055" s="3" t="s">
        <v>21</v>
      </c>
      <c r="Q1055" s="4">
        <v>5</v>
      </c>
      <c r="R1055" s="4" t="str">
        <f>IF(Table1[[#This Row],[Customer Ratings]]&gt;=4, "Good",IF(Table1[[#This Row],[Customer Ratings]]=3, "Average","Poor"))</f>
        <v>Good</v>
      </c>
      <c r="S1055" s="3" t="s">
        <v>87</v>
      </c>
    </row>
    <row r="1056" spans="1:19" x14ac:dyDescent="0.25">
      <c r="A1056" s="3">
        <v>1055</v>
      </c>
      <c r="B1056" s="5">
        <f>DATE(Table1[[#This Row],[Year]],Table1[[#This Row],[Month]],Table1[[#This Row],[Day]])</f>
        <v>44779</v>
      </c>
      <c r="C1056" s="3">
        <v>6</v>
      </c>
      <c r="D1056" s="3">
        <v>8</v>
      </c>
      <c r="E1056" s="3">
        <v>2022</v>
      </c>
      <c r="F1056" s="3" t="str">
        <f>"Qtr"&amp; " " &amp;CHOOSE(MONTH(Table1[[#This Row],[Date]]),1,1,1,2,2,2,3,3,3,4,4,4)</f>
        <v>Qtr 3</v>
      </c>
      <c r="G1056" s="3" t="str">
        <f>TEXT(Table1[[#This Row],[Date]],"mmmm")</f>
        <v>August</v>
      </c>
      <c r="H1056" s="3" t="s">
        <v>1079</v>
      </c>
      <c r="I1056" s="3" t="s">
        <v>39</v>
      </c>
      <c r="J1056" s="3">
        <v>5</v>
      </c>
      <c r="K1056" s="3">
        <v>54328.08</v>
      </c>
      <c r="L1056" s="3">
        <f>Table1[[#This Row],[Price Per Unit]]*Table1[[#This Row],[Units Sold]]</f>
        <v>271640.40000000002</v>
      </c>
      <c r="M1056" s="3" t="s">
        <v>145</v>
      </c>
      <c r="N1056" s="3">
        <v>37</v>
      </c>
      <c r="O1056" s="3" t="s">
        <v>24</v>
      </c>
      <c r="P1056" s="3" t="s">
        <v>16</v>
      </c>
      <c r="Q1056" s="4">
        <v>5</v>
      </c>
      <c r="R1056" s="4" t="str">
        <f>IF(Table1[[#This Row],[Customer Ratings]]&gt;=4, "Good",IF(Table1[[#This Row],[Customer Ratings]]=3, "Average","Poor"))</f>
        <v>Good</v>
      </c>
      <c r="S1056" s="3" t="s">
        <v>76</v>
      </c>
    </row>
    <row r="1057" spans="1:19" x14ac:dyDescent="0.25">
      <c r="A1057" s="3">
        <v>1056</v>
      </c>
      <c r="B1057" s="5">
        <f>DATE(Table1[[#This Row],[Year]],Table1[[#This Row],[Month]],Table1[[#This Row],[Day]])</f>
        <v>44780</v>
      </c>
      <c r="C1057" s="3">
        <v>7</v>
      </c>
      <c r="D1057" s="3">
        <v>8</v>
      </c>
      <c r="E1057" s="3">
        <v>2022</v>
      </c>
      <c r="F1057" s="3" t="str">
        <f>"Qtr"&amp; " " &amp;CHOOSE(MONTH(Table1[[#This Row],[Date]]),1,1,1,2,2,2,3,3,3,4,4,4)</f>
        <v>Qtr 3</v>
      </c>
      <c r="G1057" s="3" t="str">
        <f>TEXT(Table1[[#This Row],[Date]],"mmmm")</f>
        <v>August</v>
      </c>
      <c r="H1057" s="3" t="s">
        <v>1080</v>
      </c>
      <c r="I1057" s="3" t="s">
        <v>18</v>
      </c>
      <c r="J1057" s="3">
        <v>8</v>
      </c>
      <c r="K1057" s="3">
        <v>63577.88</v>
      </c>
      <c r="L1057" s="3">
        <f>Table1[[#This Row],[Price Per Unit]]*Table1[[#This Row],[Units Sold]]</f>
        <v>508623.04</v>
      </c>
      <c r="M1057" s="3" t="s">
        <v>714</v>
      </c>
      <c r="N1057" s="3">
        <v>23</v>
      </c>
      <c r="O1057" s="3" t="s">
        <v>120</v>
      </c>
      <c r="P1057" s="3" t="s">
        <v>21</v>
      </c>
      <c r="Q1057" s="4">
        <v>5</v>
      </c>
      <c r="R1057" s="4" t="str">
        <f>IF(Table1[[#This Row],[Customer Ratings]]&gt;=4, "Good",IF(Table1[[#This Row],[Customer Ratings]]=3, "Average","Poor"))</f>
        <v>Good</v>
      </c>
      <c r="S1057" s="3" t="s">
        <v>25</v>
      </c>
    </row>
    <row r="1058" spans="1:19" x14ac:dyDescent="0.25">
      <c r="A1058" s="3">
        <v>1057</v>
      </c>
      <c r="B1058" s="5">
        <f>DATE(Table1[[#This Row],[Year]],Table1[[#This Row],[Month]],Table1[[#This Row],[Day]])</f>
        <v>44780</v>
      </c>
      <c r="C1058" s="3">
        <v>7</v>
      </c>
      <c r="D1058" s="3">
        <v>8</v>
      </c>
      <c r="E1058" s="3">
        <v>2022</v>
      </c>
      <c r="F1058" s="3" t="str">
        <f>"Qtr"&amp; " " &amp;CHOOSE(MONTH(Table1[[#This Row],[Date]]),1,1,1,2,2,2,3,3,3,4,4,4)</f>
        <v>Qtr 3</v>
      </c>
      <c r="G1058" s="3" t="str">
        <f>TEXT(Table1[[#This Row],[Date]],"mmmm")</f>
        <v>August</v>
      </c>
      <c r="H1058" s="3" t="s">
        <v>1080</v>
      </c>
      <c r="I1058" s="3" t="s">
        <v>13</v>
      </c>
      <c r="J1058" s="3">
        <v>9</v>
      </c>
      <c r="K1058" s="3">
        <v>36876.620000000003</v>
      </c>
      <c r="L1058" s="3">
        <f>Table1[[#This Row],[Price Per Unit]]*Table1[[#This Row],[Units Sold]]</f>
        <v>331889.58</v>
      </c>
      <c r="M1058" s="3" t="s">
        <v>278</v>
      </c>
      <c r="N1058" s="3">
        <v>28</v>
      </c>
      <c r="O1058" s="3" t="s">
        <v>54</v>
      </c>
      <c r="P1058" s="3" t="s">
        <v>16</v>
      </c>
      <c r="Q1058" s="4">
        <v>5</v>
      </c>
      <c r="R1058" s="4" t="str">
        <f>IF(Table1[[#This Row],[Customer Ratings]]&gt;=4, "Good",IF(Table1[[#This Row],[Customer Ratings]]=3, "Average","Poor"))</f>
        <v>Good</v>
      </c>
      <c r="S1058" s="3" t="s">
        <v>27</v>
      </c>
    </row>
    <row r="1059" spans="1:19" x14ac:dyDescent="0.25">
      <c r="A1059" s="3">
        <v>1058</v>
      </c>
      <c r="B1059" s="5">
        <f>DATE(Table1[[#This Row],[Year]],Table1[[#This Row],[Month]],Table1[[#This Row],[Day]])</f>
        <v>44780</v>
      </c>
      <c r="C1059" s="3">
        <v>7</v>
      </c>
      <c r="D1059" s="3">
        <v>8</v>
      </c>
      <c r="E1059" s="3">
        <v>2022</v>
      </c>
      <c r="F1059" s="3" t="str">
        <f>"Qtr"&amp; " " &amp;CHOOSE(MONTH(Table1[[#This Row],[Date]]),1,1,1,2,2,2,3,3,3,4,4,4)</f>
        <v>Qtr 3</v>
      </c>
      <c r="G1059" s="3" t="str">
        <f>TEXT(Table1[[#This Row],[Date]],"mmmm")</f>
        <v>August</v>
      </c>
      <c r="H1059" s="3" t="s">
        <v>1080</v>
      </c>
      <c r="I1059" s="3" t="s">
        <v>18</v>
      </c>
      <c r="J1059" s="3">
        <v>4</v>
      </c>
      <c r="K1059" s="3">
        <v>41828.39</v>
      </c>
      <c r="L1059" s="3">
        <f>Table1[[#This Row],[Price Per Unit]]*Table1[[#This Row],[Units Sold]]</f>
        <v>167313.56</v>
      </c>
      <c r="M1059" s="3" t="s">
        <v>715</v>
      </c>
      <c r="N1059" s="3">
        <v>52</v>
      </c>
      <c r="O1059" s="3" t="s">
        <v>65</v>
      </c>
      <c r="P1059" s="3" t="s">
        <v>16</v>
      </c>
      <c r="Q1059" s="4">
        <v>5</v>
      </c>
      <c r="R1059" s="4" t="str">
        <f>IF(Table1[[#This Row],[Customer Ratings]]&gt;=4, "Good",IF(Table1[[#This Row],[Customer Ratings]]=3, "Average","Poor"))</f>
        <v>Good</v>
      </c>
      <c r="S1059" s="3" t="s">
        <v>22</v>
      </c>
    </row>
    <row r="1060" spans="1:19" x14ac:dyDescent="0.25">
      <c r="A1060" s="3">
        <v>1059</v>
      </c>
      <c r="B1060" s="5">
        <f>DATE(Table1[[#This Row],[Year]],Table1[[#This Row],[Month]],Table1[[#This Row],[Day]])</f>
        <v>44781</v>
      </c>
      <c r="C1060" s="3">
        <v>8</v>
      </c>
      <c r="D1060" s="3">
        <v>8</v>
      </c>
      <c r="E1060" s="3">
        <v>2022</v>
      </c>
      <c r="F1060" s="3" t="str">
        <f>"Qtr"&amp; " " &amp;CHOOSE(MONTH(Table1[[#This Row],[Date]]),1,1,1,2,2,2,3,3,3,4,4,4)</f>
        <v>Qtr 3</v>
      </c>
      <c r="G1060" s="3" t="str">
        <f>TEXT(Table1[[#This Row],[Date]],"mmmm")</f>
        <v>August</v>
      </c>
      <c r="H1060" s="3" t="s">
        <v>1081</v>
      </c>
      <c r="I1060" s="3" t="s">
        <v>13</v>
      </c>
      <c r="J1060" s="3">
        <v>7</v>
      </c>
      <c r="K1060" s="3">
        <v>34946.46</v>
      </c>
      <c r="L1060" s="3">
        <f>Table1[[#This Row],[Price Per Unit]]*Table1[[#This Row],[Units Sold]]</f>
        <v>244625.22</v>
      </c>
      <c r="M1060" s="3" t="s">
        <v>716</v>
      </c>
      <c r="N1060" s="3">
        <v>21</v>
      </c>
      <c r="O1060" s="3" t="s">
        <v>125</v>
      </c>
      <c r="P1060" s="3" t="s">
        <v>21</v>
      </c>
      <c r="Q1060" s="4">
        <v>3</v>
      </c>
      <c r="R1060" s="4" t="str">
        <f>IF(Table1[[#This Row],[Customer Ratings]]&gt;=4, "Good",IF(Table1[[#This Row],[Customer Ratings]]=3, "Average","Poor"))</f>
        <v>Average</v>
      </c>
      <c r="S1060" s="3" t="s">
        <v>72</v>
      </c>
    </row>
    <row r="1061" spans="1:19" x14ac:dyDescent="0.25">
      <c r="A1061" s="3">
        <v>1060</v>
      </c>
      <c r="B1061" s="5">
        <f>DATE(Table1[[#This Row],[Year]],Table1[[#This Row],[Month]],Table1[[#This Row],[Day]])</f>
        <v>44781</v>
      </c>
      <c r="C1061" s="3">
        <v>8</v>
      </c>
      <c r="D1061" s="3">
        <v>8</v>
      </c>
      <c r="E1061" s="3">
        <v>2022</v>
      </c>
      <c r="F1061" s="3" t="str">
        <f>"Qtr"&amp; " " &amp;CHOOSE(MONTH(Table1[[#This Row],[Date]]),1,1,1,2,2,2,3,3,3,4,4,4)</f>
        <v>Qtr 3</v>
      </c>
      <c r="G1061" s="3" t="str">
        <f>TEXT(Table1[[#This Row],[Date]],"mmmm")</f>
        <v>August</v>
      </c>
      <c r="H1061" s="3" t="s">
        <v>1081</v>
      </c>
      <c r="I1061" s="3" t="s">
        <v>39</v>
      </c>
      <c r="J1061" s="3">
        <v>2</v>
      </c>
      <c r="K1061" s="3">
        <v>61022.62</v>
      </c>
      <c r="L1061" s="3">
        <f>Table1[[#This Row],[Price Per Unit]]*Table1[[#This Row],[Units Sold]]</f>
        <v>122045.24</v>
      </c>
      <c r="M1061" s="3" t="s">
        <v>658</v>
      </c>
      <c r="N1061" s="3">
        <v>46</v>
      </c>
      <c r="O1061" s="3" t="s">
        <v>20</v>
      </c>
      <c r="P1061" s="3" t="s">
        <v>16</v>
      </c>
      <c r="Q1061" s="4">
        <v>5</v>
      </c>
      <c r="R1061" s="4" t="str">
        <f>IF(Table1[[#This Row],[Customer Ratings]]&gt;=4, "Good",IF(Table1[[#This Row],[Customer Ratings]]=3, "Average","Poor"))</f>
        <v>Good</v>
      </c>
      <c r="S1061" s="3" t="s">
        <v>76</v>
      </c>
    </row>
    <row r="1062" spans="1:19" x14ac:dyDescent="0.25">
      <c r="A1062" s="3">
        <v>1061</v>
      </c>
      <c r="B1062" s="5">
        <f>DATE(Table1[[#This Row],[Year]],Table1[[#This Row],[Month]],Table1[[#This Row],[Day]])</f>
        <v>44781</v>
      </c>
      <c r="C1062" s="3">
        <v>8</v>
      </c>
      <c r="D1062" s="3">
        <v>8</v>
      </c>
      <c r="E1062" s="3">
        <v>2022</v>
      </c>
      <c r="F1062" s="3" t="str">
        <f>"Qtr"&amp; " " &amp;CHOOSE(MONTH(Table1[[#This Row],[Date]]),1,1,1,2,2,2,3,3,3,4,4,4)</f>
        <v>Qtr 3</v>
      </c>
      <c r="G1062" s="3" t="str">
        <f>TEXT(Table1[[#This Row],[Date]],"mmmm")</f>
        <v>August</v>
      </c>
      <c r="H1062" s="3" t="s">
        <v>1081</v>
      </c>
      <c r="I1062" s="3" t="s">
        <v>13</v>
      </c>
      <c r="J1062" s="3">
        <v>6</v>
      </c>
      <c r="K1062" s="3">
        <v>23782.14</v>
      </c>
      <c r="L1062" s="3">
        <f>Table1[[#This Row],[Price Per Unit]]*Table1[[#This Row],[Units Sold]]</f>
        <v>142692.84</v>
      </c>
      <c r="M1062" s="3" t="s">
        <v>717</v>
      </c>
      <c r="N1062" s="3">
        <v>27</v>
      </c>
      <c r="O1062" s="3" t="s">
        <v>52</v>
      </c>
      <c r="P1062" s="3" t="s">
        <v>31</v>
      </c>
      <c r="Q1062" s="4">
        <v>5</v>
      </c>
      <c r="R1062" s="4" t="str">
        <f>IF(Table1[[#This Row],[Customer Ratings]]&gt;=4, "Good",IF(Table1[[#This Row],[Customer Ratings]]=3, "Average","Poor"))</f>
        <v>Good</v>
      </c>
      <c r="S1062" s="3" t="s">
        <v>72</v>
      </c>
    </row>
    <row r="1063" spans="1:19" x14ac:dyDescent="0.25">
      <c r="A1063" s="3">
        <v>1062</v>
      </c>
      <c r="B1063" s="5">
        <f>DATE(Table1[[#This Row],[Year]],Table1[[#This Row],[Month]],Table1[[#This Row],[Day]])</f>
        <v>44781</v>
      </c>
      <c r="C1063" s="3">
        <v>8</v>
      </c>
      <c r="D1063" s="3">
        <v>8</v>
      </c>
      <c r="E1063" s="3">
        <v>2022</v>
      </c>
      <c r="F1063" s="3" t="str">
        <f>"Qtr"&amp; " " &amp;CHOOSE(MONTH(Table1[[#This Row],[Date]]),1,1,1,2,2,2,3,3,3,4,4,4)</f>
        <v>Qtr 3</v>
      </c>
      <c r="G1063" s="3" t="str">
        <f>TEXT(Table1[[#This Row],[Date]],"mmmm")</f>
        <v>August</v>
      </c>
      <c r="H1063" s="3" t="s">
        <v>1081</v>
      </c>
      <c r="I1063" s="3" t="s">
        <v>28</v>
      </c>
      <c r="J1063" s="3">
        <v>8</v>
      </c>
      <c r="K1063" s="3">
        <v>24382.54</v>
      </c>
      <c r="L1063" s="3">
        <f>Table1[[#This Row],[Price Per Unit]]*Table1[[#This Row],[Units Sold]]</f>
        <v>195060.32</v>
      </c>
      <c r="M1063" s="3" t="s">
        <v>139</v>
      </c>
      <c r="N1063" s="3">
        <v>46</v>
      </c>
      <c r="O1063" s="3" t="s">
        <v>15</v>
      </c>
      <c r="P1063" s="3" t="s">
        <v>31</v>
      </c>
      <c r="Q1063" s="4">
        <v>3</v>
      </c>
      <c r="R1063" s="4" t="str">
        <f>IF(Table1[[#This Row],[Customer Ratings]]&gt;=4, "Good",IF(Table1[[#This Row],[Customer Ratings]]=3, "Average","Poor"))</f>
        <v>Average</v>
      </c>
      <c r="S1063" s="3" t="s">
        <v>87</v>
      </c>
    </row>
    <row r="1064" spans="1:19" x14ac:dyDescent="0.25">
      <c r="A1064" s="3">
        <v>1063</v>
      </c>
      <c r="B1064" s="5">
        <f>DATE(Table1[[#This Row],[Year]],Table1[[#This Row],[Month]],Table1[[#This Row],[Day]])</f>
        <v>44782</v>
      </c>
      <c r="C1064" s="3">
        <v>9</v>
      </c>
      <c r="D1064" s="3">
        <v>8</v>
      </c>
      <c r="E1064" s="3">
        <v>2022</v>
      </c>
      <c r="F1064" s="3" t="str">
        <f>"Qtr"&amp; " " &amp;CHOOSE(MONTH(Table1[[#This Row],[Date]]),1,1,1,2,2,2,3,3,3,4,4,4)</f>
        <v>Qtr 3</v>
      </c>
      <c r="G1064" s="3" t="str">
        <f>TEXT(Table1[[#This Row],[Date]],"mmmm")</f>
        <v>August</v>
      </c>
      <c r="H1064" s="3" t="s">
        <v>1082</v>
      </c>
      <c r="I1064" s="3" t="s">
        <v>33</v>
      </c>
      <c r="J1064" s="3">
        <v>7</v>
      </c>
      <c r="K1064" s="3">
        <v>32356.31</v>
      </c>
      <c r="L1064" s="3">
        <f>Table1[[#This Row],[Price Per Unit]]*Table1[[#This Row],[Units Sold]]</f>
        <v>226494.17</v>
      </c>
      <c r="M1064" s="3" t="s">
        <v>531</v>
      </c>
      <c r="N1064" s="3">
        <v>55</v>
      </c>
      <c r="O1064" s="3" t="s">
        <v>125</v>
      </c>
      <c r="P1064" s="3" t="s">
        <v>31</v>
      </c>
      <c r="Q1064" s="4">
        <v>5</v>
      </c>
      <c r="R1064" s="4" t="str">
        <f>IF(Table1[[#This Row],[Customer Ratings]]&gt;=4, "Good",IF(Table1[[#This Row],[Customer Ratings]]=3, "Average","Poor"))</f>
        <v>Good</v>
      </c>
      <c r="S1064" s="3" t="s">
        <v>83</v>
      </c>
    </row>
    <row r="1065" spans="1:19" x14ac:dyDescent="0.25">
      <c r="A1065" s="3">
        <v>1064</v>
      </c>
      <c r="B1065" s="5">
        <f>DATE(Table1[[#This Row],[Year]],Table1[[#This Row],[Month]],Table1[[#This Row],[Day]])</f>
        <v>44782</v>
      </c>
      <c r="C1065" s="3">
        <v>9</v>
      </c>
      <c r="D1065" s="3">
        <v>8</v>
      </c>
      <c r="E1065" s="3">
        <v>2022</v>
      </c>
      <c r="F1065" s="3" t="str">
        <f>"Qtr"&amp; " " &amp;CHOOSE(MONTH(Table1[[#This Row],[Date]]),1,1,1,2,2,2,3,3,3,4,4,4)</f>
        <v>Qtr 3</v>
      </c>
      <c r="G1065" s="3" t="str">
        <f>TEXT(Table1[[#This Row],[Date]],"mmmm")</f>
        <v>August</v>
      </c>
      <c r="H1065" s="3" t="s">
        <v>1082</v>
      </c>
      <c r="I1065" s="3" t="s">
        <v>33</v>
      </c>
      <c r="J1065" s="3">
        <v>7</v>
      </c>
      <c r="K1065" s="3">
        <v>23820.57</v>
      </c>
      <c r="L1065" s="3">
        <f>Table1[[#This Row],[Price Per Unit]]*Table1[[#This Row],[Units Sold]]</f>
        <v>166743.99</v>
      </c>
      <c r="M1065" s="3" t="s">
        <v>244</v>
      </c>
      <c r="N1065" s="3">
        <v>18</v>
      </c>
      <c r="O1065" s="3" t="s">
        <v>24</v>
      </c>
      <c r="P1065" s="3" t="s">
        <v>45</v>
      </c>
      <c r="Q1065" s="4">
        <v>5</v>
      </c>
      <c r="R1065" s="4" t="str">
        <f>IF(Table1[[#This Row],[Customer Ratings]]&gt;=4, "Good",IF(Table1[[#This Row],[Customer Ratings]]=3, "Average","Poor"))</f>
        <v>Good</v>
      </c>
      <c r="S1065" s="3" t="s">
        <v>36</v>
      </c>
    </row>
    <row r="1066" spans="1:19" x14ac:dyDescent="0.25">
      <c r="A1066" s="3">
        <v>1065</v>
      </c>
      <c r="B1066" s="5">
        <f>DATE(Table1[[#This Row],[Year]],Table1[[#This Row],[Month]],Table1[[#This Row],[Day]])</f>
        <v>44782</v>
      </c>
      <c r="C1066" s="3">
        <v>9</v>
      </c>
      <c r="D1066" s="3">
        <v>8</v>
      </c>
      <c r="E1066" s="3">
        <v>2022</v>
      </c>
      <c r="F1066" s="3" t="str">
        <f>"Qtr"&amp; " " &amp;CHOOSE(MONTH(Table1[[#This Row],[Date]]),1,1,1,2,2,2,3,3,3,4,4,4)</f>
        <v>Qtr 3</v>
      </c>
      <c r="G1066" s="3" t="str">
        <f>TEXT(Table1[[#This Row],[Date]],"mmmm")</f>
        <v>August</v>
      </c>
      <c r="H1066" s="3" t="s">
        <v>1082</v>
      </c>
      <c r="I1066" s="3" t="s">
        <v>39</v>
      </c>
      <c r="J1066" s="3">
        <v>8</v>
      </c>
      <c r="K1066" s="3">
        <v>43660.41</v>
      </c>
      <c r="L1066" s="3">
        <f>Table1[[#This Row],[Price Per Unit]]*Table1[[#This Row],[Units Sold]]</f>
        <v>349283.28</v>
      </c>
      <c r="M1066" s="3" t="s">
        <v>718</v>
      </c>
      <c r="N1066" s="3">
        <v>57</v>
      </c>
      <c r="O1066" s="3" t="s">
        <v>137</v>
      </c>
      <c r="P1066" s="3" t="s">
        <v>16</v>
      </c>
      <c r="Q1066" s="4">
        <v>4</v>
      </c>
      <c r="R1066" s="4" t="str">
        <f>IF(Table1[[#This Row],[Customer Ratings]]&gt;=4, "Good",IF(Table1[[#This Row],[Customer Ratings]]=3, "Average","Poor"))</f>
        <v>Good</v>
      </c>
      <c r="S1066" s="3" t="s">
        <v>76</v>
      </c>
    </row>
    <row r="1067" spans="1:19" x14ac:dyDescent="0.25">
      <c r="A1067" s="3">
        <v>1066</v>
      </c>
      <c r="B1067" s="5">
        <f>DATE(Table1[[#This Row],[Year]],Table1[[#This Row],[Month]],Table1[[#This Row],[Day]])</f>
        <v>44782</v>
      </c>
      <c r="C1067" s="3">
        <v>9</v>
      </c>
      <c r="D1067" s="3">
        <v>8</v>
      </c>
      <c r="E1067" s="3">
        <v>2022</v>
      </c>
      <c r="F1067" s="3" t="str">
        <f>"Qtr"&amp; " " &amp;CHOOSE(MONTH(Table1[[#This Row],[Date]]),1,1,1,2,2,2,3,3,3,4,4,4)</f>
        <v>Qtr 3</v>
      </c>
      <c r="G1067" s="3" t="str">
        <f>TEXT(Table1[[#This Row],[Date]],"mmmm")</f>
        <v>August</v>
      </c>
      <c r="H1067" s="3" t="s">
        <v>1082</v>
      </c>
      <c r="I1067" s="3" t="s">
        <v>28</v>
      </c>
      <c r="J1067" s="3">
        <v>7</v>
      </c>
      <c r="K1067" s="3">
        <v>18069.41</v>
      </c>
      <c r="L1067" s="3">
        <f>Table1[[#This Row],[Price Per Unit]]*Table1[[#This Row],[Units Sold]]</f>
        <v>126485.87</v>
      </c>
      <c r="M1067" s="3" t="s">
        <v>719</v>
      </c>
      <c r="N1067" s="3">
        <v>25</v>
      </c>
      <c r="O1067" s="3" t="s">
        <v>48</v>
      </c>
      <c r="P1067" s="3" t="s">
        <v>16</v>
      </c>
      <c r="Q1067" s="4">
        <v>4</v>
      </c>
      <c r="R1067" s="4" t="str">
        <f>IF(Table1[[#This Row],[Customer Ratings]]&gt;=4, "Good",IF(Table1[[#This Row],[Customer Ratings]]=3, "Average","Poor"))</f>
        <v>Good</v>
      </c>
      <c r="S1067" s="3" t="s">
        <v>38</v>
      </c>
    </row>
    <row r="1068" spans="1:19" x14ac:dyDescent="0.25">
      <c r="A1068" s="3">
        <v>1067</v>
      </c>
      <c r="B1068" s="5">
        <f>DATE(Table1[[#This Row],[Year]],Table1[[#This Row],[Month]],Table1[[#This Row],[Day]])</f>
        <v>44783</v>
      </c>
      <c r="C1068" s="3">
        <v>10</v>
      </c>
      <c r="D1068" s="3">
        <v>8</v>
      </c>
      <c r="E1068" s="3">
        <v>2022</v>
      </c>
      <c r="F1068" s="3" t="str">
        <f>"Qtr"&amp; " " &amp;CHOOSE(MONTH(Table1[[#This Row],[Date]]),1,1,1,2,2,2,3,3,3,4,4,4)</f>
        <v>Qtr 3</v>
      </c>
      <c r="G1068" s="3" t="str">
        <f>TEXT(Table1[[#This Row],[Date]],"mmmm")</f>
        <v>August</v>
      </c>
      <c r="H1068" s="3" t="s">
        <v>1083</v>
      </c>
      <c r="I1068" s="3" t="s">
        <v>18</v>
      </c>
      <c r="J1068" s="3">
        <v>5</v>
      </c>
      <c r="K1068" s="3">
        <v>29211.17</v>
      </c>
      <c r="L1068" s="3">
        <f>Table1[[#This Row],[Price Per Unit]]*Table1[[#This Row],[Units Sold]]</f>
        <v>146055.84999999998</v>
      </c>
      <c r="M1068" s="3" t="s">
        <v>126</v>
      </c>
      <c r="N1068" s="3">
        <v>55</v>
      </c>
      <c r="O1068" s="3" t="s">
        <v>125</v>
      </c>
      <c r="P1068" s="3" t="s">
        <v>31</v>
      </c>
      <c r="Q1068" s="4">
        <v>4</v>
      </c>
      <c r="R1068" s="4" t="str">
        <f>IF(Table1[[#This Row],[Customer Ratings]]&gt;=4, "Good",IF(Table1[[#This Row],[Customer Ratings]]=3, "Average","Poor"))</f>
        <v>Good</v>
      </c>
      <c r="S1068" s="3" t="s">
        <v>22</v>
      </c>
    </row>
    <row r="1069" spans="1:19" x14ac:dyDescent="0.25">
      <c r="A1069" s="3">
        <v>1068</v>
      </c>
      <c r="B1069" s="5">
        <f>DATE(Table1[[#This Row],[Year]],Table1[[#This Row],[Month]],Table1[[#This Row],[Day]])</f>
        <v>44783</v>
      </c>
      <c r="C1069" s="3">
        <v>10</v>
      </c>
      <c r="D1069" s="3">
        <v>8</v>
      </c>
      <c r="E1069" s="3">
        <v>2022</v>
      </c>
      <c r="F1069" s="3" t="str">
        <f>"Qtr"&amp; " " &amp;CHOOSE(MONTH(Table1[[#This Row],[Date]]),1,1,1,2,2,2,3,3,3,4,4,4)</f>
        <v>Qtr 3</v>
      </c>
      <c r="G1069" s="3" t="str">
        <f>TEXT(Table1[[#This Row],[Date]],"mmmm")</f>
        <v>August</v>
      </c>
      <c r="H1069" s="3" t="s">
        <v>1083</v>
      </c>
      <c r="I1069" s="3" t="s">
        <v>28</v>
      </c>
      <c r="J1069" s="3">
        <v>7</v>
      </c>
      <c r="K1069" s="3">
        <v>64806.68</v>
      </c>
      <c r="L1069" s="3">
        <f>Table1[[#This Row],[Price Per Unit]]*Table1[[#This Row],[Units Sold]]</f>
        <v>453646.76</v>
      </c>
      <c r="M1069" s="3" t="s">
        <v>332</v>
      </c>
      <c r="N1069" s="3">
        <v>34</v>
      </c>
      <c r="O1069" s="3" t="s">
        <v>24</v>
      </c>
      <c r="P1069" s="3" t="s">
        <v>45</v>
      </c>
      <c r="Q1069" s="4">
        <v>5</v>
      </c>
      <c r="R1069" s="4" t="str">
        <f>IF(Table1[[#This Row],[Customer Ratings]]&gt;=4, "Good",IF(Table1[[#This Row],[Customer Ratings]]=3, "Average","Poor"))</f>
        <v>Good</v>
      </c>
      <c r="S1069" s="3" t="s">
        <v>38</v>
      </c>
    </row>
    <row r="1070" spans="1:19" x14ac:dyDescent="0.25">
      <c r="A1070" s="3">
        <v>1069</v>
      </c>
      <c r="B1070" s="5">
        <f>DATE(Table1[[#This Row],[Year]],Table1[[#This Row],[Month]],Table1[[#This Row],[Day]])</f>
        <v>44783</v>
      </c>
      <c r="C1070" s="3">
        <v>10</v>
      </c>
      <c r="D1070" s="3">
        <v>8</v>
      </c>
      <c r="E1070" s="3">
        <v>2022</v>
      </c>
      <c r="F1070" s="3" t="str">
        <f>"Qtr"&amp; " " &amp;CHOOSE(MONTH(Table1[[#This Row],[Date]]),1,1,1,2,2,2,3,3,3,4,4,4)</f>
        <v>Qtr 3</v>
      </c>
      <c r="G1070" s="3" t="str">
        <f>TEXT(Table1[[#This Row],[Date]],"mmmm")</f>
        <v>August</v>
      </c>
      <c r="H1070" s="3" t="s">
        <v>1083</v>
      </c>
      <c r="I1070" s="3" t="s">
        <v>33</v>
      </c>
      <c r="J1070" s="3">
        <v>3</v>
      </c>
      <c r="K1070" s="3">
        <v>34553.53</v>
      </c>
      <c r="L1070" s="3">
        <f>Table1[[#This Row],[Price Per Unit]]*Table1[[#This Row],[Units Sold]]</f>
        <v>103660.59</v>
      </c>
      <c r="M1070" s="3" t="s">
        <v>720</v>
      </c>
      <c r="N1070" s="3">
        <v>36</v>
      </c>
      <c r="O1070" s="3" t="s">
        <v>20</v>
      </c>
      <c r="P1070" s="3" t="s">
        <v>21</v>
      </c>
      <c r="Q1070" s="4">
        <v>5</v>
      </c>
      <c r="R1070" s="4" t="str">
        <f>IF(Table1[[#This Row],[Customer Ratings]]&gt;=4, "Good",IF(Table1[[#This Row],[Customer Ratings]]=3, "Average","Poor"))</f>
        <v>Good</v>
      </c>
      <c r="S1070" s="3" t="s">
        <v>46</v>
      </c>
    </row>
    <row r="1071" spans="1:19" x14ac:dyDescent="0.25">
      <c r="A1071" s="3">
        <v>1070</v>
      </c>
      <c r="B1071" s="5">
        <f>DATE(Table1[[#This Row],[Year]],Table1[[#This Row],[Month]],Table1[[#This Row],[Day]])</f>
        <v>44784</v>
      </c>
      <c r="C1071" s="3">
        <v>11</v>
      </c>
      <c r="D1071" s="3">
        <v>8</v>
      </c>
      <c r="E1071" s="3">
        <v>2022</v>
      </c>
      <c r="F1071" s="3" t="str">
        <f>"Qtr"&amp; " " &amp;CHOOSE(MONTH(Table1[[#This Row],[Date]]),1,1,1,2,2,2,3,3,3,4,4,4)</f>
        <v>Qtr 3</v>
      </c>
      <c r="G1071" s="3" t="str">
        <f>TEXT(Table1[[#This Row],[Date]],"mmmm")</f>
        <v>August</v>
      </c>
      <c r="H1071" s="3" t="s">
        <v>1084</v>
      </c>
      <c r="I1071" s="3" t="s">
        <v>33</v>
      </c>
      <c r="J1071" s="3">
        <v>5</v>
      </c>
      <c r="K1071" s="3">
        <v>54894.02</v>
      </c>
      <c r="L1071" s="3">
        <f>Table1[[#This Row],[Price Per Unit]]*Table1[[#This Row],[Units Sold]]</f>
        <v>274470.09999999998</v>
      </c>
      <c r="M1071" s="3" t="s">
        <v>721</v>
      </c>
      <c r="N1071" s="3">
        <v>50</v>
      </c>
      <c r="O1071" s="3" t="s">
        <v>58</v>
      </c>
      <c r="P1071" s="3" t="s">
        <v>31</v>
      </c>
      <c r="Q1071" s="4">
        <v>3</v>
      </c>
      <c r="R1071" s="4" t="str">
        <f>IF(Table1[[#This Row],[Customer Ratings]]&gt;=4, "Good",IF(Table1[[#This Row],[Customer Ratings]]=3, "Average","Poor"))</f>
        <v>Average</v>
      </c>
      <c r="S1071" s="3" t="s">
        <v>46</v>
      </c>
    </row>
    <row r="1072" spans="1:19" x14ac:dyDescent="0.25">
      <c r="A1072" s="3">
        <v>1071</v>
      </c>
      <c r="B1072" s="5">
        <f>DATE(Table1[[#This Row],[Year]],Table1[[#This Row],[Month]],Table1[[#This Row],[Day]])</f>
        <v>44784</v>
      </c>
      <c r="C1072" s="3">
        <v>11</v>
      </c>
      <c r="D1072" s="3">
        <v>8</v>
      </c>
      <c r="E1072" s="3">
        <v>2022</v>
      </c>
      <c r="F1072" s="3" t="str">
        <f>"Qtr"&amp; " " &amp;CHOOSE(MONTH(Table1[[#This Row],[Date]]),1,1,1,2,2,2,3,3,3,4,4,4)</f>
        <v>Qtr 3</v>
      </c>
      <c r="G1072" s="3" t="str">
        <f>TEXT(Table1[[#This Row],[Date]],"mmmm")</f>
        <v>August</v>
      </c>
      <c r="H1072" s="3" t="s">
        <v>1084</v>
      </c>
      <c r="I1072" s="3" t="s">
        <v>28</v>
      </c>
      <c r="J1072" s="3">
        <v>7</v>
      </c>
      <c r="K1072" s="3">
        <v>16807.73</v>
      </c>
      <c r="L1072" s="3">
        <f>Table1[[#This Row],[Price Per Unit]]*Table1[[#This Row],[Units Sold]]</f>
        <v>117654.11</v>
      </c>
      <c r="M1072" s="3" t="s">
        <v>722</v>
      </c>
      <c r="N1072" s="3">
        <v>32</v>
      </c>
      <c r="O1072" s="3" t="s">
        <v>102</v>
      </c>
      <c r="P1072" s="3" t="s">
        <v>45</v>
      </c>
      <c r="Q1072" s="4">
        <v>5</v>
      </c>
      <c r="R1072" s="4" t="str">
        <f>IF(Table1[[#This Row],[Customer Ratings]]&gt;=4, "Good",IF(Table1[[#This Row],[Customer Ratings]]=3, "Average","Poor"))</f>
        <v>Good</v>
      </c>
      <c r="S1072" s="3" t="s">
        <v>38</v>
      </c>
    </row>
    <row r="1073" spans="1:19" x14ac:dyDescent="0.25">
      <c r="A1073" s="3">
        <v>1072</v>
      </c>
      <c r="B1073" s="5">
        <f>DATE(Table1[[#This Row],[Year]],Table1[[#This Row],[Month]],Table1[[#This Row],[Day]])</f>
        <v>44784</v>
      </c>
      <c r="C1073" s="3">
        <v>11</v>
      </c>
      <c r="D1073" s="3">
        <v>8</v>
      </c>
      <c r="E1073" s="3">
        <v>2022</v>
      </c>
      <c r="F1073" s="3" t="str">
        <f>"Qtr"&amp; " " &amp;CHOOSE(MONTH(Table1[[#This Row],[Date]]),1,1,1,2,2,2,3,3,3,4,4,4)</f>
        <v>Qtr 3</v>
      </c>
      <c r="G1073" s="3" t="str">
        <f>TEXT(Table1[[#This Row],[Date]],"mmmm")</f>
        <v>August</v>
      </c>
      <c r="H1073" s="3" t="s">
        <v>1084</v>
      </c>
      <c r="I1073" s="3" t="s">
        <v>28</v>
      </c>
      <c r="J1073" s="3">
        <v>9</v>
      </c>
      <c r="K1073" s="3">
        <v>24853.87</v>
      </c>
      <c r="L1073" s="3">
        <f>Table1[[#This Row],[Price Per Unit]]*Table1[[#This Row],[Units Sold]]</f>
        <v>223684.83</v>
      </c>
      <c r="M1073" s="3" t="s">
        <v>723</v>
      </c>
      <c r="N1073" s="3">
        <v>48</v>
      </c>
      <c r="O1073" s="3" t="s">
        <v>20</v>
      </c>
      <c r="P1073" s="3" t="s">
        <v>21</v>
      </c>
      <c r="Q1073" s="4">
        <v>5</v>
      </c>
      <c r="R1073" s="4" t="str">
        <f>IF(Table1[[#This Row],[Customer Ratings]]&gt;=4, "Good",IF(Table1[[#This Row],[Customer Ratings]]=3, "Average","Poor"))</f>
        <v>Good</v>
      </c>
      <c r="S1073" s="3" t="s">
        <v>38</v>
      </c>
    </row>
    <row r="1074" spans="1:19" x14ac:dyDescent="0.25">
      <c r="A1074" s="3">
        <v>1073</v>
      </c>
      <c r="B1074" s="5">
        <f>DATE(Table1[[#This Row],[Year]],Table1[[#This Row],[Month]],Table1[[#This Row],[Day]])</f>
        <v>44784</v>
      </c>
      <c r="C1074" s="3">
        <v>11</v>
      </c>
      <c r="D1074" s="3">
        <v>8</v>
      </c>
      <c r="E1074" s="3">
        <v>2022</v>
      </c>
      <c r="F1074" s="3" t="str">
        <f>"Qtr"&amp; " " &amp;CHOOSE(MONTH(Table1[[#This Row],[Date]]),1,1,1,2,2,2,3,3,3,4,4,4)</f>
        <v>Qtr 3</v>
      </c>
      <c r="G1074" s="3" t="str">
        <f>TEXT(Table1[[#This Row],[Date]],"mmmm")</f>
        <v>August</v>
      </c>
      <c r="H1074" s="3" t="s">
        <v>1084</v>
      </c>
      <c r="I1074" s="3" t="s">
        <v>33</v>
      </c>
      <c r="J1074" s="3">
        <v>2</v>
      </c>
      <c r="K1074" s="3">
        <v>58440.74</v>
      </c>
      <c r="L1074" s="3">
        <f>Table1[[#This Row],[Price Per Unit]]*Table1[[#This Row],[Units Sold]]</f>
        <v>116881.48</v>
      </c>
      <c r="M1074" s="3" t="s">
        <v>724</v>
      </c>
      <c r="N1074" s="3">
        <v>38</v>
      </c>
      <c r="O1074" s="3" t="s">
        <v>24</v>
      </c>
      <c r="P1074" s="3" t="s">
        <v>45</v>
      </c>
      <c r="Q1074" s="4">
        <v>3</v>
      </c>
      <c r="R1074" s="4" t="str">
        <f>IF(Table1[[#This Row],[Customer Ratings]]&gt;=4, "Good",IF(Table1[[#This Row],[Customer Ratings]]=3, "Average","Poor"))</f>
        <v>Average</v>
      </c>
      <c r="S1074" s="3" t="s">
        <v>83</v>
      </c>
    </row>
    <row r="1075" spans="1:19" x14ac:dyDescent="0.25">
      <c r="A1075" s="3">
        <v>1074</v>
      </c>
      <c r="B1075" s="5">
        <f>DATE(Table1[[#This Row],[Year]],Table1[[#This Row],[Month]],Table1[[#This Row],[Day]])</f>
        <v>44785</v>
      </c>
      <c r="C1075" s="3">
        <v>12</v>
      </c>
      <c r="D1075" s="3">
        <v>8</v>
      </c>
      <c r="E1075" s="3">
        <v>2022</v>
      </c>
      <c r="F1075" s="3" t="str">
        <f>"Qtr"&amp; " " &amp;CHOOSE(MONTH(Table1[[#This Row],[Date]]),1,1,1,2,2,2,3,3,3,4,4,4)</f>
        <v>Qtr 3</v>
      </c>
      <c r="G1075" s="3" t="str">
        <f>TEXT(Table1[[#This Row],[Date]],"mmmm")</f>
        <v>August</v>
      </c>
      <c r="H1075" s="3" t="s">
        <v>1085</v>
      </c>
      <c r="I1075" s="3" t="s">
        <v>18</v>
      </c>
      <c r="J1075" s="3">
        <v>4</v>
      </c>
      <c r="K1075" s="3">
        <v>55779.58</v>
      </c>
      <c r="L1075" s="3">
        <f>Table1[[#This Row],[Price Per Unit]]*Table1[[#This Row],[Units Sold]]</f>
        <v>223118.32</v>
      </c>
      <c r="M1075" s="3" t="s">
        <v>708</v>
      </c>
      <c r="N1075" s="3">
        <v>20</v>
      </c>
      <c r="O1075" s="3" t="s">
        <v>41</v>
      </c>
      <c r="P1075" s="3" t="s">
        <v>21</v>
      </c>
      <c r="Q1075" s="4">
        <v>3</v>
      </c>
      <c r="R1075" s="4" t="str">
        <f>IF(Table1[[#This Row],[Customer Ratings]]&gt;=4, "Good",IF(Table1[[#This Row],[Customer Ratings]]=3, "Average","Poor"))</f>
        <v>Average</v>
      </c>
      <c r="S1075" s="3" t="s">
        <v>22</v>
      </c>
    </row>
    <row r="1076" spans="1:19" x14ac:dyDescent="0.25">
      <c r="A1076" s="3">
        <v>1075</v>
      </c>
      <c r="B1076" s="5">
        <f>DATE(Table1[[#This Row],[Year]],Table1[[#This Row],[Month]],Table1[[#This Row],[Day]])</f>
        <v>44785</v>
      </c>
      <c r="C1076" s="3">
        <v>12</v>
      </c>
      <c r="D1076" s="3">
        <v>8</v>
      </c>
      <c r="E1076" s="3">
        <v>2022</v>
      </c>
      <c r="F1076" s="3" t="str">
        <f>"Qtr"&amp; " " &amp;CHOOSE(MONTH(Table1[[#This Row],[Date]]),1,1,1,2,2,2,3,3,3,4,4,4)</f>
        <v>Qtr 3</v>
      </c>
      <c r="G1076" s="3" t="str">
        <f>TEXT(Table1[[#This Row],[Date]],"mmmm")</f>
        <v>August</v>
      </c>
      <c r="H1076" s="3" t="s">
        <v>1085</v>
      </c>
      <c r="I1076" s="3" t="s">
        <v>39</v>
      </c>
      <c r="J1076" s="3">
        <v>7</v>
      </c>
      <c r="K1076" s="3">
        <v>33169.360000000001</v>
      </c>
      <c r="L1076" s="3">
        <f>Table1[[#This Row],[Price Per Unit]]*Table1[[#This Row],[Units Sold]]</f>
        <v>232185.52000000002</v>
      </c>
      <c r="M1076" s="3" t="s">
        <v>725</v>
      </c>
      <c r="N1076" s="3">
        <v>19</v>
      </c>
      <c r="O1076" s="3" t="s">
        <v>20</v>
      </c>
      <c r="P1076" s="3" t="s">
        <v>16</v>
      </c>
      <c r="Q1076" s="4">
        <v>5</v>
      </c>
      <c r="R1076" s="4" t="str">
        <f>IF(Table1[[#This Row],[Customer Ratings]]&gt;=4, "Good",IF(Table1[[#This Row],[Customer Ratings]]=3, "Average","Poor"))</f>
        <v>Good</v>
      </c>
      <c r="S1076" s="3" t="s">
        <v>90</v>
      </c>
    </row>
    <row r="1077" spans="1:19" x14ac:dyDescent="0.25">
      <c r="A1077" s="3">
        <v>1076</v>
      </c>
      <c r="B1077" s="5">
        <f>DATE(Table1[[#This Row],[Year]],Table1[[#This Row],[Month]],Table1[[#This Row],[Day]])</f>
        <v>44785</v>
      </c>
      <c r="C1077" s="3">
        <v>12</v>
      </c>
      <c r="D1077" s="3">
        <v>8</v>
      </c>
      <c r="E1077" s="3">
        <v>2022</v>
      </c>
      <c r="F1077" s="3" t="str">
        <f>"Qtr"&amp; " " &amp;CHOOSE(MONTH(Table1[[#This Row],[Date]]),1,1,1,2,2,2,3,3,3,4,4,4)</f>
        <v>Qtr 3</v>
      </c>
      <c r="G1077" s="3" t="str">
        <f>TEXT(Table1[[#This Row],[Date]],"mmmm")</f>
        <v>August</v>
      </c>
      <c r="H1077" s="3" t="s">
        <v>1085</v>
      </c>
      <c r="I1077" s="3" t="s">
        <v>39</v>
      </c>
      <c r="J1077" s="3">
        <v>1</v>
      </c>
      <c r="K1077" s="3">
        <v>67263.81</v>
      </c>
      <c r="L1077" s="3">
        <f>Table1[[#This Row],[Price Per Unit]]*Table1[[#This Row],[Units Sold]]</f>
        <v>67263.81</v>
      </c>
      <c r="M1077" s="3" t="s">
        <v>317</v>
      </c>
      <c r="N1077" s="3">
        <v>52</v>
      </c>
      <c r="O1077" s="3" t="s">
        <v>20</v>
      </c>
      <c r="P1077" s="3" t="s">
        <v>16</v>
      </c>
      <c r="Q1077" s="4">
        <v>5</v>
      </c>
      <c r="R1077" s="4" t="str">
        <f>IF(Table1[[#This Row],[Customer Ratings]]&gt;=4, "Good",IF(Table1[[#This Row],[Customer Ratings]]=3, "Average","Poor"))</f>
        <v>Good</v>
      </c>
      <c r="S1077" s="3" t="s">
        <v>90</v>
      </c>
    </row>
    <row r="1078" spans="1:19" x14ac:dyDescent="0.25">
      <c r="A1078" s="3">
        <v>1077</v>
      </c>
      <c r="B1078" s="5">
        <f>DATE(Table1[[#This Row],[Year]],Table1[[#This Row],[Month]],Table1[[#This Row],[Day]])</f>
        <v>44785</v>
      </c>
      <c r="C1078" s="3">
        <v>12</v>
      </c>
      <c r="D1078" s="3">
        <v>8</v>
      </c>
      <c r="E1078" s="3">
        <v>2022</v>
      </c>
      <c r="F1078" s="3" t="str">
        <f>"Qtr"&amp; " " &amp;CHOOSE(MONTH(Table1[[#This Row],[Date]]),1,1,1,2,2,2,3,3,3,4,4,4)</f>
        <v>Qtr 3</v>
      </c>
      <c r="G1078" s="3" t="str">
        <f>TEXT(Table1[[#This Row],[Date]],"mmmm")</f>
        <v>August</v>
      </c>
      <c r="H1078" s="3" t="s">
        <v>1085</v>
      </c>
      <c r="I1078" s="3" t="s">
        <v>28</v>
      </c>
      <c r="J1078" s="3">
        <v>2</v>
      </c>
      <c r="K1078" s="3">
        <v>64638.58</v>
      </c>
      <c r="L1078" s="3">
        <f>Table1[[#This Row],[Price Per Unit]]*Table1[[#This Row],[Units Sold]]</f>
        <v>129277.16</v>
      </c>
      <c r="M1078" s="3" t="s">
        <v>19</v>
      </c>
      <c r="N1078" s="3">
        <v>58</v>
      </c>
      <c r="O1078" s="3" t="s">
        <v>102</v>
      </c>
      <c r="P1078" s="3" t="s">
        <v>45</v>
      </c>
      <c r="Q1078" s="4">
        <v>5</v>
      </c>
      <c r="R1078" s="4" t="str">
        <f>IF(Table1[[#This Row],[Customer Ratings]]&gt;=4, "Good",IF(Table1[[#This Row],[Customer Ratings]]=3, "Average","Poor"))</f>
        <v>Good</v>
      </c>
      <c r="S1078" s="3" t="s">
        <v>32</v>
      </c>
    </row>
    <row r="1079" spans="1:19" x14ac:dyDescent="0.25">
      <c r="A1079" s="3">
        <v>1078</v>
      </c>
      <c r="B1079" s="5">
        <f>DATE(Table1[[#This Row],[Year]],Table1[[#This Row],[Month]],Table1[[#This Row],[Day]])</f>
        <v>44786</v>
      </c>
      <c r="C1079" s="3">
        <v>13</v>
      </c>
      <c r="D1079" s="3">
        <v>8</v>
      </c>
      <c r="E1079" s="3">
        <v>2022</v>
      </c>
      <c r="F1079" s="3" t="str">
        <f>"Qtr"&amp; " " &amp;CHOOSE(MONTH(Table1[[#This Row],[Date]]),1,1,1,2,2,2,3,3,3,4,4,4)</f>
        <v>Qtr 3</v>
      </c>
      <c r="G1079" s="3" t="str">
        <f>TEXT(Table1[[#This Row],[Date]],"mmmm")</f>
        <v>August</v>
      </c>
      <c r="H1079" s="3" t="s">
        <v>1079</v>
      </c>
      <c r="I1079" s="3" t="s">
        <v>39</v>
      </c>
      <c r="J1079" s="3">
        <v>9</v>
      </c>
      <c r="K1079" s="3">
        <v>67738.039999999994</v>
      </c>
      <c r="L1079" s="3">
        <f>Table1[[#This Row],[Price Per Unit]]*Table1[[#This Row],[Units Sold]]</f>
        <v>609642.36</v>
      </c>
      <c r="M1079" s="3" t="s">
        <v>726</v>
      </c>
      <c r="N1079" s="3">
        <v>33</v>
      </c>
      <c r="O1079" s="3" t="s">
        <v>41</v>
      </c>
      <c r="P1079" s="3" t="s">
        <v>45</v>
      </c>
      <c r="Q1079" s="4">
        <v>5</v>
      </c>
      <c r="R1079" s="4" t="str">
        <f>IF(Table1[[#This Row],[Customer Ratings]]&gt;=4, "Good",IF(Table1[[#This Row],[Customer Ratings]]=3, "Average","Poor"))</f>
        <v>Good</v>
      </c>
      <c r="S1079" s="3" t="s">
        <v>42</v>
      </c>
    </row>
    <row r="1080" spans="1:19" x14ac:dyDescent="0.25">
      <c r="A1080" s="3">
        <v>1079</v>
      </c>
      <c r="B1080" s="5">
        <f>DATE(Table1[[#This Row],[Year]],Table1[[#This Row],[Month]],Table1[[#This Row],[Day]])</f>
        <v>44786</v>
      </c>
      <c r="C1080" s="3">
        <v>13</v>
      </c>
      <c r="D1080" s="3">
        <v>8</v>
      </c>
      <c r="E1080" s="3">
        <v>2022</v>
      </c>
      <c r="F1080" s="3" t="str">
        <f>"Qtr"&amp; " " &amp;CHOOSE(MONTH(Table1[[#This Row],[Date]]),1,1,1,2,2,2,3,3,3,4,4,4)</f>
        <v>Qtr 3</v>
      </c>
      <c r="G1080" s="3" t="str">
        <f>TEXT(Table1[[#This Row],[Date]],"mmmm")</f>
        <v>August</v>
      </c>
      <c r="H1080" s="3" t="s">
        <v>1079</v>
      </c>
      <c r="I1080" s="3" t="s">
        <v>33</v>
      </c>
      <c r="J1080" s="3">
        <v>7</v>
      </c>
      <c r="K1080" s="3">
        <v>35674.879999999997</v>
      </c>
      <c r="L1080" s="3">
        <f>Table1[[#This Row],[Price Per Unit]]*Table1[[#This Row],[Units Sold]]</f>
        <v>249724.15999999997</v>
      </c>
      <c r="M1080" s="3" t="s">
        <v>589</v>
      </c>
      <c r="N1080" s="3">
        <v>38</v>
      </c>
      <c r="O1080" s="3" t="s">
        <v>20</v>
      </c>
      <c r="P1080" s="3" t="s">
        <v>21</v>
      </c>
      <c r="Q1080" s="4">
        <v>4</v>
      </c>
      <c r="R1080" s="4" t="str">
        <f>IF(Table1[[#This Row],[Customer Ratings]]&gt;=4, "Good",IF(Table1[[#This Row],[Customer Ratings]]=3, "Average","Poor"))</f>
        <v>Good</v>
      </c>
      <c r="S1080" s="3" t="s">
        <v>36</v>
      </c>
    </row>
    <row r="1081" spans="1:19" x14ac:dyDescent="0.25">
      <c r="A1081" s="3">
        <v>1080</v>
      </c>
      <c r="B1081" s="5">
        <f>DATE(Table1[[#This Row],[Year]],Table1[[#This Row],[Month]],Table1[[#This Row],[Day]])</f>
        <v>44786</v>
      </c>
      <c r="C1081" s="3">
        <v>13</v>
      </c>
      <c r="D1081" s="3">
        <v>8</v>
      </c>
      <c r="E1081" s="3">
        <v>2022</v>
      </c>
      <c r="F1081" s="3" t="str">
        <f>"Qtr"&amp; " " &amp;CHOOSE(MONTH(Table1[[#This Row],[Date]]),1,1,1,2,2,2,3,3,3,4,4,4)</f>
        <v>Qtr 3</v>
      </c>
      <c r="G1081" s="3" t="str">
        <f>TEXT(Table1[[#This Row],[Date]],"mmmm")</f>
        <v>August</v>
      </c>
      <c r="H1081" s="3" t="s">
        <v>1079</v>
      </c>
      <c r="I1081" s="3" t="s">
        <v>33</v>
      </c>
      <c r="J1081" s="3">
        <v>7</v>
      </c>
      <c r="K1081" s="3">
        <v>21848.42</v>
      </c>
      <c r="L1081" s="3">
        <f>Table1[[#This Row],[Price Per Unit]]*Table1[[#This Row],[Units Sold]]</f>
        <v>152938.94</v>
      </c>
      <c r="M1081" s="3" t="s">
        <v>298</v>
      </c>
      <c r="N1081" s="3">
        <v>29</v>
      </c>
      <c r="O1081" s="3" t="s">
        <v>20</v>
      </c>
      <c r="P1081" s="3" t="s">
        <v>45</v>
      </c>
      <c r="Q1081" s="4">
        <v>5</v>
      </c>
      <c r="R1081" s="4" t="str">
        <f>IF(Table1[[#This Row],[Customer Ratings]]&gt;=4, "Good",IF(Table1[[#This Row],[Customer Ratings]]=3, "Average","Poor"))</f>
        <v>Good</v>
      </c>
      <c r="S1081" s="3" t="s">
        <v>36</v>
      </c>
    </row>
    <row r="1082" spans="1:19" x14ac:dyDescent="0.25">
      <c r="A1082" s="3">
        <v>1081</v>
      </c>
      <c r="B1082" s="5">
        <f>DATE(Table1[[#This Row],[Year]],Table1[[#This Row],[Month]],Table1[[#This Row],[Day]])</f>
        <v>44786</v>
      </c>
      <c r="C1082" s="3">
        <v>13</v>
      </c>
      <c r="D1082" s="3">
        <v>8</v>
      </c>
      <c r="E1082" s="3">
        <v>2022</v>
      </c>
      <c r="F1082" s="3" t="str">
        <f>"Qtr"&amp; " " &amp;CHOOSE(MONTH(Table1[[#This Row],[Date]]),1,1,1,2,2,2,3,3,3,4,4,4)</f>
        <v>Qtr 3</v>
      </c>
      <c r="G1082" s="3" t="str">
        <f>TEXT(Table1[[#This Row],[Date]],"mmmm")</f>
        <v>August</v>
      </c>
      <c r="H1082" s="3" t="s">
        <v>1079</v>
      </c>
      <c r="I1082" s="3" t="s">
        <v>28</v>
      </c>
      <c r="J1082" s="3">
        <v>6</v>
      </c>
      <c r="K1082" s="3">
        <v>47599.519999999997</v>
      </c>
      <c r="L1082" s="3">
        <f>Table1[[#This Row],[Price Per Unit]]*Table1[[#This Row],[Units Sold]]</f>
        <v>285597.12</v>
      </c>
      <c r="M1082" s="3" t="s">
        <v>442</v>
      </c>
      <c r="N1082" s="3">
        <v>45</v>
      </c>
      <c r="O1082" s="3" t="s">
        <v>20</v>
      </c>
      <c r="P1082" s="3" t="s">
        <v>45</v>
      </c>
      <c r="Q1082" s="4">
        <v>3</v>
      </c>
      <c r="R1082" s="4" t="str">
        <f>IF(Table1[[#This Row],[Customer Ratings]]&gt;=4, "Good",IF(Table1[[#This Row],[Customer Ratings]]=3, "Average","Poor"))</f>
        <v>Average</v>
      </c>
      <c r="S1082" s="3" t="s">
        <v>87</v>
      </c>
    </row>
    <row r="1083" spans="1:19" x14ac:dyDescent="0.25">
      <c r="A1083" s="3">
        <v>1082</v>
      </c>
      <c r="B1083" s="5">
        <f>DATE(Table1[[#This Row],[Year]],Table1[[#This Row],[Month]],Table1[[#This Row],[Day]])</f>
        <v>44787</v>
      </c>
      <c r="C1083" s="3">
        <v>14</v>
      </c>
      <c r="D1083" s="3">
        <v>8</v>
      </c>
      <c r="E1083" s="3">
        <v>2022</v>
      </c>
      <c r="F1083" s="3" t="str">
        <f>"Qtr"&amp; " " &amp;CHOOSE(MONTH(Table1[[#This Row],[Date]]),1,1,1,2,2,2,3,3,3,4,4,4)</f>
        <v>Qtr 3</v>
      </c>
      <c r="G1083" s="3" t="str">
        <f>TEXT(Table1[[#This Row],[Date]],"mmmm")</f>
        <v>August</v>
      </c>
      <c r="H1083" s="3" t="s">
        <v>1080</v>
      </c>
      <c r="I1083" s="3" t="s">
        <v>28</v>
      </c>
      <c r="J1083" s="3">
        <v>3</v>
      </c>
      <c r="K1083" s="3">
        <v>51086.39</v>
      </c>
      <c r="L1083" s="3">
        <f>Table1[[#This Row],[Price Per Unit]]*Table1[[#This Row],[Units Sold]]</f>
        <v>153259.16999999998</v>
      </c>
      <c r="M1083" s="3" t="s">
        <v>486</v>
      </c>
      <c r="N1083" s="3">
        <v>29</v>
      </c>
      <c r="O1083" s="3" t="s">
        <v>52</v>
      </c>
      <c r="P1083" s="3" t="s">
        <v>21</v>
      </c>
      <c r="Q1083" s="4">
        <v>3</v>
      </c>
      <c r="R1083" s="4" t="str">
        <f>IF(Table1[[#This Row],[Customer Ratings]]&gt;=4, "Good",IF(Table1[[#This Row],[Customer Ratings]]=3, "Average","Poor"))</f>
        <v>Average</v>
      </c>
      <c r="S1083" s="3" t="s">
        <v>38</v>
      </c>
    </row>
    <row r="1084" spans="1:19" x14ac:dyDescent="0.25">
      <c r="A1084" s="3">
        <v>1083</v>
      </c>
      <c r="B1084" s="5">
        <f>DATE(Table1[[#This Row],[Year]],Table1[[#This Row],[Month]],Table1[[#This Row],[Day]])</f>
        <v>44787</v>
      </c>
      <c r="C1084" s="3">
        <v>14</v>
      </c>
      <c r="D1084" s="3">
        <v>8</v>
      </c>
      <c r="E1084" s="3">
        <v>2022</v>
      </c>
      <c r="F1084" s="3" t="str">
        <f>"Qtr"&amp; " " &amp;CHOOSE(MONTH(Table1[[#This Row],[Date]]),1,1,1,2,2,2,3,3,3,4,4,4)</f>
        <v>Qtr 3</v>
      </c>
      <c r="G1084" s="3" t="str">
        <f>TEXT(Table1[[#This Row],[Date]],"mmmm")</f>
        <v>August</v>
      </c>
      <c r="H1084" s="3" t="s">
        <v>1080</v>
      </c>
      <c r="I1084" s="3" t="s">
        <v>28</v>
      </c>
      <c r="J1084" s="3">
        <v>3</v>
      </c>
      <c r="K1084" s="3">
        <v>17526.509999999998</v>
      </c>
      <c r="L1084" s="3">
        <f>Table1[[#This Row],[Price Per Unit]]*Table1[[#This Row],[Units Sold]]</f>
        <v>52579.53</v>
      </c>
      <c r="M1084" s="3" t="s">
        <v>727</v>
      </c>
      <c r="N1084" s="3">
        <v>50</v>
      </c>
      <c r="O1084" s="3" t="s">
        <v>20</v>
      </c>
      <c r="P1084" s="3" t="s">
        <v>21</v>
      </c>
      <c r="Q1084" s="4">
        <v>4</v>
      </c>
      <c r="R1084" s="4" t="str">
        <f>IF(Table1[[#This Row],[Customer Ratings]]&gt;=4, "Good",IF(Table1[[#This Row],[Customer Ratings]]=3, "Average","Poor"))</f>
        <v>Good</v>
      </c>
      <c r="S1084" s="3" t="s">
        <v>32</v>
      </c>
    </row>
    <row r="1085" spans="1:19" x14ac:dyDescent="0.25">
      <c r="A1085" s="3">
        <v>1084</v>
      </c>
      <c r="B1085" s="5">
        <f>DATE(Table1[[#This Row],[Year]],Table1[[#This Row],[Month]],Table1[[#This Row],[Day]])</f>
        <v>44787</v>
      </c>
      <c r="C1085" s="3">
        <v>14</v>
      </c>
      <c r="D1085" s="3">
        <v>8</v>
      </c>
      <c r="E1085" s="3">
        <v>2022</v>
      </c>
      <c r="F1085" s="3" t="str">
        <f>"Qtr"&amp; " " &amp;CHOOSE(MONTH(Table1[[#This Row],[Date]]),1,1,1,2,2,2,3,3,3,4,4,4)</f>
        <v>Qtr 3</v>
      </c>
      <c r="G1085" s="3" t="str">
        <f>TEXT(Table1[[#This Row],[Date]],"mmmm")</f>
        <v>August</v>
      </c>
      <c r="H1085" s="3" t="s">
        <v>1080</v>
      </c>
      <c r="I1085" s="3" t="s">
        <v>18</v>
      </c>
      <c r="J1085" s="3">
        <v>2</v>
      </c>
      <c r="K1085" s="3">
        <v>57188.98</v>
      </c>
      <c r="L1085" s="3">
        <f>Table1[[#This Row],[Price Per Unit]]*Table1[[#This Row],[Units Sold]]</f>
        <v>114377.96</v>
      </c>
      <c r="M1085" s="3" t="s">
        <v>728</v>
      </c>
      <c r="N1085" s="3">
        <v>37</v>
      </c>
      <c r="O1085" s="3" t="s">
        <v>125</v>
      </c>
      <c r="P1085" s="3" t="s">
        <v>16</v>
      </c>
      <c r="Q1085" s="4">
        <v>3</v>
      </c>
      <c r="R1085" s="4" t="str">
        <f>IF(Table1[[#This Row],[Customer Ratings]]&gt;=4, "Good",IF(Table1[[#This Row],[Customer Ratings]]=3, "Average","Poor"))</f>
        <v>Average</v>
      </c>
      <c r="S1085" s="3" t="s">
        <v>55</v>
      </c>
    </row>
    <row r="1086" spans="1:19" x14ac:dyDescent="0.25">
      <c r="A1086" s="3">
        <v>1085</v>
      </c>
      <c r="B1086" s="5">
        <f>DATE(Table1[[#This Row],[Year]],Table1[[#This Row],[Month]],Table1[[#This Row],[Day]])</f>
        <v>44787</v>
      </c>
      <c r="C1086" s="3">
        <v>14</v>
      </c>
      <c r="D1086" s="3">
        <v>8</v>
      </c>
      <c r="E1086" s="3">
        <v>2022</v>
      </c>
      <c r="F1086" s="3" t="str">
        <f>"Qtr"&amp; " " &amp;CHOOSE(MONTH(Table1[[#This Row],[Date]]),1,1,1,2,2,2,3,3,3,4,4,4)</f>
        <v>Qtr 3</v>
      </c>
      <c r="G1086" s="3" t="str">
        <f>TEXT(Table1[[#This Row],[Date]],"mmmm")</f>
        <v>August</v>
      </c>
      <c r="H1086" s="3" t="s">
        <v>1080</v>
      </c>
      <c r="I1086" s="3" t="s">
        <v>39</v>
      </c>
      <c r="J1086" s="3">
        <v>6</v>
      </c>
      <c r="K1086" s="3">
        <v>11083.61</v>
      </c>
      <c r="L1086" s="3">
        <f>Table1[[#This Row],[Price Per Unit]]*Table1[[#This Row],[Units Sold]]</f>
        <v>66501.66</v>
      </c>
      <c r="M1086" s="3" t="s">
        <v>405</v>
      </c>
      <c r="N1086" s="3">
        <v>57</v>
      </c>
      <c r="O1086" s="3" t="s">
        <v>137</v>
      </c>
      <c r="P1086" s="3" t="s">
        <v>31</v>
      </c>
      <c r="Q1086" s="4">
        <v>4</v>
      </c>
      <c r="R1086" s="4" t="str">
        <f>IF(Table1[[#This Row],[Customer Ratings]]&gt;=4, "Good",IF(Table1[[#This Row],[Customer Ratings]]=3, "Average","Poor"))</f>
        <v>Good</v>
      </c>
      <c r="S1086" s="3" t="s">
        <v>76</v>
      </c>
    </row>
    <row r="1087" spans="1:19" x14ac:dyDescent="0.25">
      <c r="A1087" s="3">
        <v>1086</v>
      </c>
      <c r="B1087" s="5">
        <f>DATE(Table1[[#This Row],[Year]],Table1[[#This Row],[Month]],Table1[[#This Row],[Day]])</f>
        <v>44788</v>
      </c>
      <c r="C1087" s="3">
        <v>15</v>
      </c>
      <c r="D1087" s="3">
        <v>8</v>
      </c>
      <c r="E1087" s="3">
        <v>2022</v>
      </c>
      <c r="F1087" s="3" t="str">
        <f>"Qtr"&amp; " " &amp;CHOOSE(MONTH(Table1[[#This Row],[Date]]),1,1,1,2,2,2,3,3,3,4,4,4)</f>
        <v>Qtr 3</v>
      </c>
      <c r="G1087" s="3" t="str">
        <f>TEXT(Table1[[#This Row],[Date]],"mmmm")</f>
        <v>August</v>
      </c>
      <c r="H1087" s="3" t="s">
        <v>1081</v>
      </c>
      <c r="I1087" s="3" t="s">
        <v>28</v>
      </c>
      <c r="J1087" s="3">
        <v>4</v>
      </c>
      <c r="K1087" s="3">
        <v>38963.699999999997</v>
      </c>
      <c r="L1087" s="3">
        <f>Table1[[#This Row],[Price Per Unit]]*Table1[[#This Row],[Units Sold]]</f>
        <v>155854.79999999999</v>
      </c>
      <c r="M1087" s="3" t="s">
        <v>246</v>
      </c>
      <c r="N1087" s="3">
        <v>38</v>
      </c>
      <c r="O1087" s="3" t="s">
        <v>20</v>
      </c>
      <c r="P1087" s="3" t="s">
        <v>45</v>
      </c>
      <c r="Q1087" s="4">
        <v>5</v>
      </c>
      <c r="R1087" s="4" t="str">
        <f>IF(Table1[[#This Row],[Customer Ratings]]&gt;=4, "Good",IF(Table1[[#This Row],[Customer Ratings]]=3, "Average","Poor"))</f>
        <v>Good</v>
      </c>
      <c r="S1087" s="3" t="s">
        <v>32</v>
      </c>
    </row>
    <row r="1088" spans="1:19" x14ac:dyDescent="0.25">
      <c r="A1088" s="3">
        <v>1087</v>
      </c>
      <c r="B1088" s="5">
        <f>DATE(Table1[[#This Row],[Year]],Table1[[#This Row],[Month]],Table1[[#This Row],[Day]])</f>
        <v>44788</v>
      </c>
      <c r="C1088" s="3">
        <v>15</v>
      </c>
      <c r="D1088" s="3">
        <v>8</v>
      </c>
      <c r="E1088" s="3">
        <v>2022</v>
      </c>
      <c r="F1088" s="3" t="str">
        <f>"Qtr"&amp; " " &amp;CHOOSE(MONTH(Table1[[#This Row],[Date]]),1,1,1,2,2,2,3,3,3,4,4,4)</f>
        <v>Qtr 3</v>
      </c>
      <c r="G1088" s="3" t="str">
        <f>TEXT(Table1[[#This Row],[Date]],"mmmm")</f>
        <v>August</v>
      </c>
      <c r="H1088" s="3" t="s">
        <v>1081</v>
      </c>
      <c r="I1088" s="3" t="s">
        <v>13</v>
      </c>
      <c r="J1088" s="3">
        <v>5</v>
      </c>
      <c r="K1088" s="3">
        <v>29860.98</v>
      </c>
      <c r="L1088" s="3">
        <f>Table1[[#This Row],[Price Per Unit]]*Table1[[#This Row],[Units Sold]]</f>
        <v>149304.9</v>
      </c>
      <c r="M1088" s="3" t="s">
        <v>311</v>
      </c>
      <c r="N1088" s="3">
        <v>56</v>
      </c>
      <c r="O1088" s="3" t="s">
        <v>20</v>
      </c>
      <c r="P1088" s="3" t="s">
        <v>21</v>
      </c>
      <c r="Q1088" s="4">
        <v>4</v>
      </c>
      <c r="R1088" s="4" t="str">
        <f>IF(Table1[[#This Row],[Customer Ratings]]&gt;=4, "Good",IF(Table1[[#This Row],[Customer Ratings]]=3, "Average","Poor"))</f>
        <v>Good</v>
      </c>
      <c r="S1088" s="3" t="s">
        <v>27</v>
      </c>
    </row>
    <row r="1089" spans="1:19" x14ac:dyDescent="0.25">
      <c r="A1089" s="3">
        <v>1088</v>
      </c>
      <c r="B1089" s="5">
        <f>DATE(Table1[[#This Row],[Year]],Table1[[#This Row],[Month]],Table1[[#This Row],[Day]])</f>
        <v>44788</v>
      </c>
      <c r="C1089" s="3">
        <v>15</v>
      </c>
      <c r="D1089" s="3">
        <v>8</v>
      </c>
      <c r="E1089" s="3">
        <v>2022</v>
      </c>
      <c r="F1089" s="3" t="str">
        <f>"Qtr"&amp; " " &amp;CHOOSE(MONTH(Table1[[#This Row],[Date]]),1,1,1,2,2,2,3,3,3,4,4,4)</f>
        <v>Qtr 3</v>
      </c>
      <c r="G1089" s="3" t="str">
        <f>TEXT(Table1[[#This Row],[Date]],"mmmm")</f>
        <v>August</v>
      </c>
      <c r="H1089" s="3" t="s">
        <v>1081</v>
      </c>
      <c r="I1089" s="3" t="s">
        <v>13</v>
      </c>
      <c r="J1089" s="3">
        <v>3</v>
      </c>
      <c r="K1089" s="3">
        <v>54418.18</v>
      </c>
      <c r="L1089" s="3">
        <f>Table1[[#This Row],[Price Per Unit]]*Table1[[#This Row],[Units Sold]]</f>
        <v>163254.54</v>
      </c>
      <c r="M1089" s="3" t="s">
        <v>285</v>
      </c>
      <c r="N1089" s="3">
        <v>58</v>
      </c>
      <c r="O1089" s="3" t="s">
        <v>78</v>
      </c>
      <c r="P1089" s="3" t="s">
        <v>16</v>
      </c>
      <c r="Q1089" s="4">
        <v>5</v>
      </c>
      <c r="R1089" s="4" t="str">
        <f>IF(Table1[[#This Row],[Customer Ratings]]&gt;=4, "Good",IF(Table1[[#This Row],[Customer Ratings]]=3, "Average","Poor"))</f>
        <v>Good</v>
      </c>
      <c r="S1089" s="3" t="s">
        <v>17</v>
      </c>
    </row>
    <row r="1090" spans="1:19" x14ac:dyDescent="0.25">
      <c r="A1090" s="3">
        <v>1089</v>
      </c>
      <c r="B1090" s="5">
        <f>DATE(Table1[[#This Row],[Year]],Table1[[#This Row],[Month]],Table1[[#This Row],[Day]])</f>
        <v>44788</v>
      </c>
      <c r="C1090" s="3">
        <v>15</v>
      </c>
      <c r="D1090" s="3">
        <v>8</v>
      </c>
      <c r="E1090" s="3">
        <v>2022</v>
      </c>
      <c r="F1090" s="3" t="str">
        <f>"Qtr"&amp; " " &amp;CHOOSE(MONTH(Table1[[#This Row],[Date]]),1,1,1,2,2,2,3,3,3,4,4,4)</f>
        <v>Qtr 3</v>
      </c>
      <c r="G1090" s="3" t="str">
        <f>TEXT(Table1[[#This Row],[Date]],"mmmm")</f>
        <v>August</v>
      </c>
      <c r="H1090" s="3" t="s">
        <v>1081</v>
      </c>
      <c r="I1090" s="3" t="s">
        <v>33</v>
      </c>
      <c r="J1090" s="3">
        <v>6</v>
      </c>
      <c r="K1090" s="3">
        <v>28765.64</v>
      </c>
      <c r="L1090" s="3">
        <f>Table1[[#This Row],[Price Per Unit]]*Table1[[#This Row],[Units Sold]]</f>
        <v>172593.84</v>
      </c>
      <c r="M1090" s="3" t="s">
        <v>312</v>
      </c>
      <c r="N1090" s="3">
        <v>59</v>
      </c>
      <c r="O1090" s="3" t="s">
        <v>41</v>
      </c>
      <c r="P1090" s="3" t="s">
        <v>31</v>
      </c>
      <c r="Q1090" s="4">
        <v>4</v>
      </c>
      <c r="R1090" s="4" t="str">
        <f>IF(Table1[[#This Row],[Customer Ratings]]&gt;=4, "Good",IF(Table1[[#This Row],[Customer Ratings]]=3, "Average","Poor"))</f>
        <v>Good</v>
      </c>
      <c r="S1090" s="3" t="s">
        <v>46</v>
      </c>
    </row>
    <row r="1091" spans="1:19" x14ac:dyDescent="0.25">
      <c r="A1091" s="3">
        <v>1090</v>
      </c>
      <c r="B1091" s="5">
        <f>DATE(Table1[[#This Row],[Year]],Table1[[#This Row],[Month]],Table1[[#This Row],[Day]])</f>
        <v>44789</v>
      </c>
      <c r="C1091" s="3">
        <v>16</v>
      </c>
      <c r="D1091" s="3">
        <v>8</v>
      </c>
      <c r="E1091" s="3">
        <v>2022</v>
      </c>
      <c r="F1091" s="3" t="str">
        <f>"Qtr"&amp; " " &amp;CHOOSE(MONTH(Table1[[#This Row],[Date]]),1,1,1,2,2,2,3,3,3,4,4,4)</f>
        <v>Qtr 3</v>
      </c>
      <c r="G1091" s="3" t="str">
        <f>TEXT(Table1[[#This Row],[Date]],"mmmm")</f>
        <v>August</v>
      </c>
      <c r="H1091" s="3" t="s">
        <v>1082</v>
      </c>
      <c r="I1091" s="3" t="s">
        <v>39</v>
      </c>
      <c r="J1091" s="3">
        <v>3</v>
      </c>
      <c r="K1091" s="3">
        <v>59608.43</v>
      </c>
      <c r="L1091" s="3">
        <f>Table1[[#This Row],[Price Per Unit]]*Table1[[#This Row],[Units Sold]]</f>
        <v>178825.29</v>
      </c>
      <c r="M1091" s="3" t="s">
        <v>222</v>
      </c>
      <c r="N1091" s="3">
        <v>53</v>
      </c>
      <c r="O1091" s="3" t="s">
        <v>78</v>
      </c>
      <c r="P1091" s="3" t="s">
        <v>45</v>
      </c>
      <c r="Q1091" s="4">
        <v>5</v>
      </c>
      <c r="R1091" s="4" t="str">
        <f>IF(Table1[[#This Row],[Customer Ratings]]&gt;=4, "Good",IF(Table1[[#This Row],[Customer Ratings]]=3, "Average","Poor"))</f>
        <v>Good</v>
      </c>
      <c r="S1091" s="3" t="s">
        <v>90</v>
      </c>
    </row>
    <row r="1092" spans="1:19" x14ac:dyDescent="0.25">
      <c r="A1092" s="3">
        <v>1091</v>
      </c>
      <c r="B1092" s="5">
        <f>DATE(Table1[[#This Row],[Year]],Table1[[#This Row],[Month]],Table1[[#This Row],[Day]])</f>
        <v>44789</v>
      </c>
      <c r="C1092" s="3">
        <v>16</v>
      </c>
      <c r="D1092" s="3">
        <v>8</v>
      </c>
      <c r="E1092" s="3">
        <v>2022</v>
      </c>
      <c r="F1092" s="3" t="str">
        <f>"Qtr"&amp; " " &amp;CHOOSE(MONTH(Table1[[#This Row],[Date]]),1,1,1,2,2,2,3,3,3,4,4,4)</f>
        <v>Qtr 3</v>
      </c>
      <c r="G1092" s="3" t="str">
        <f>TEXT(Table1[[#This Row],[Date]],"mmmm")</f>
        <v>August</v>
      </c>
      <c r="H1092" s="3" t="s">
        <v>1082</v>
      </c>
      <c r="I1092" s="3" t="s">
        <v>28</v>
      </c>
      <c r="J1092" s="3">
        <v>8</v>
      </c>
      <c r="K1092" s="3">
        <v>45697.21</v>
      </c>
      <c r="L1092" s="3">
        <f>Table1[[#This Row],[Price Per Unit]]*Table1[[#This Row],[Units Sold]]</f>
        <v>365577.68</v>
      </c>
      <c r="M1092" s="3" t="s">
        <v>94</v>
      </c>
      <c r="N1092" s="3">
        <v>39</v>
      </c>
      <c r="O1092" s="3" t="s">
        <v>137</v>
      </c>
      <c r="P1092" s="3" t="s">
        <v>16</v>
      </c>
      <c r="Q1092" s="4">
        <v>4</v>
      </c>
      <c r="R1092" s="4" t="str">
        <f>IF(Table1[[#This Row],[Customer Ratings]]&gt;=4, "Good",IF(Table1[[#This Row],[Customer Ratings]]=3, "Average","Poor"))</f>
        <v>Good</v>
      </c>
      <c r="S1092" s="3" t="s">
        <v>32</v>
      </c>
    </row>
    <row r="1093" spans="1:19" x14ac:dyDescent="0.25">
      <c r="A1093" s="3">
        <v>1092</v>
      </c>
      <c r="B1093" s="5">
        <f>DATE(Table1[[#This Row],[Year]],Table1[[#This Row],[Month]],Table1[[#This Row],[Day]])</f>
        <v>44789</v>
      </c>
      <c r="C1093" s="3">
        <v>16</v>
      </c>
      <c r="D1093" s="3">
        <v>8</v>
      </c>
      <c r="E1093" s="3">
        <v>2022</v>
      </c>
      <c r="F1093" s="3" t="str">
        <f>"Qtr"&amp; " " &amp;CHOOSE(MONTH(Table1[[#This Row],[Date]]),1,1,1,2,2,2,3,3,3,4,4,4)</f>
        <v>Qtr 3</v>
      </c>
      <c r="G1093" s="3" t="str">
        <f>TEXT(Table1[[#This Row],[Date]],"mmmm")</f>
        <v>August</v>
      </c>
      <c r="H1093" s="3" t="s">
        <v>1082</v>
      </c>
      <c r="I1093" s="3" t="s">
        <v>13</v>
      </c>
      <c r="J1093" s="3">
        <v>9</v>
      </c>
      <c r="K1093" s="3">
        <v>57633.599999999999</v>
      </c>
      <c r="L1093" s="3">
        <f>Table1[[#This Row],[Price Per Unit]]*Table1[[#This Row],[Units Sold]]</f>
        <v>518702.39999999997</v>
      </c>
      <c r="M1093" s="3" t="s">
        <v>729</v>
      </c>
      <c r="N1093" s="3">
        <v>43</v>
      </c>
      <c r="O1093" s="3" t="s">
        <v>20</v>
      </c>
      <c r="P1093" s="3" t="s">
        <v>31</v>
      </c>
      <c r="Q1093" s="4">
        <v>5</v>
      </c>
      <c r="R1093" s="4" t="str">
        <f>IF(Table1[[#This Row],[Customer Ratings]]&gt;=4, "Good",IF(Table1[[#This Row],[Customer Ratings]]=3, "Average","Poor"))</f>
        <v>Good</v>
      </c>
      <c r="S1093" s="3" t="s">
        <v>27</v>
      </c>
    </row>
    <row r="1094" spans="1:19" x14ac:dyDescent="0.25">
      <c r="A1094" s="3">
        <v>1093</v>
      </c>
      <c r="B1094" s="5">
        <f>DATE(Table1[[#This Row],[Year]],Table1[[#This Row],[Month]],Table1[[#This Row],[Day]])</f>
        <v>44790</v>
      </c>
      <c r="C1094" s="3">
        <v>17</v>
      </c>
      <c r="D1094" s="3">
        <v>8</v>
      </c>
      <c r="E1094" s="3">
        <v>2022</v>
      </c>
      <c r="F1094" s="3" t="str">
        <f>"Qtr"&amp; " " &amp;CHOOSE(MONTH(Table1[[#This Row],[Date]]),1,1,1,2,2,2,3,3,3,4,4,4)</f>
        <v>Qtr 3</v>
      </c>
      <c r="G1094" s="3" t="str">
        <f>TEXT(Table1[[#This Row],[Date]],"mmmm")</f>
        <v>August</v>
      </c>
      <c r="H1094" s="3" t="s">
        <v>1083</v>
      </c>
      <c r="I1094" s="3" t="s">
        <v>39</v>
      </c>
      <c r="J1094" s="3">
        <v>4</v>
      </c>
      <c r="K1094" s="3">
        <v>69360.44</v>
      </c>
      <c r="L1094" s="3">
        <f>Table1[[#This Row],[Price Per Unit]]*Table1[[#This Row],[Units Sold]]</f>
        <v>277441.76</v>
      </c>
      <c r="M1094" s="3" t="s">
        <v>730</v>
      </c>
      <c r="N1094" s="3">
        <v>24</v>
      </c>
      <c r="O1094" s="3" t="s">
        <v>20</v>
      </c>
      <c r="P1094" s="3" t="s">
        <v>45</v>
      </c>
      <c r="Q1094" s="4">
        <v>5</v>
      </c>
      <c r="R1094" s="4" t="str">
        <f>IF(Table1[[#This Row],[Customer Ratings]]&gt;=4, "Good",IF(Table1[[#This Row],[Customer Ratings]]=3, "Average","Poor"))</f>
        <v>Good</v>
      </c>
      <c r="S1094" s="3" t="s">
        <v>42</v>
      </c>
    </row>
    <row r="1095" spans="1:19" x14ac:dyDescent="0.25">
      <c r="A1095" s="3">
        <v>1094</v>
      </c>
      <c r="B1095" s="5">
        <f>DATE(Table1[[#This Row],[Year]],Table1[[#This Row],[Month]],Table1[[#This Row],[Day]])</f>
        <v>44790</v>
      </c>
      <c r="C1095" s="3">
        <v>17</v>
      </c>
      <c r="D1095" s="3">
        <v>8</v>
      </c>
      <c r="E1095" s="3">
        <v>2022</v>
      </c>
      <c r="F1095" s="3" t="str">
        <f>"Qtr"&amp; " " &amp;CHOOSE(MONTH(Table1[[#This Row],[Date]]),1,1,1,2,2,2,3,3,3,4,4,4)</f>
        <v>Qtr 3</v>
      </c>
      <c r="G1095" s="3" t="str">
        <f>TEXT(Table1[[#This Row],[Date]],"mmmm")</f>
        <v>August</v>
      </c>
      <c r="H1095" s="3" t="s">
        <v>1083</v>
      </c>
      <c r="I1095" s="3" t="s">
        <v>33</v>
      </c>
      <c r="J1095" s="3">
        <v>9</v>
      </c>
      <c r="K1095" s="3">
        <v>50749.5</v>
      </c>
      <c r="L1095" s="3">
        <f>Table1[[#This Row],[Price Per Unit]]*Table1[[#This Row],[Units Sold]]</f>
        <v>456745.5</v>
      </c>
      <c r="M1095" s="3" t="s">
        <v>731</v>
      </c>
      <c r="N1095" s="3">
        <v>24</v>
      </c>
      <c r="O1095" s="3" t="s">
        <v>105</v>
      </c>
      <c r="P1095" s="3" t="s">
        <v>16</v>
      </c>
      <c r="Q1095" s="4">
        <v>5</v>
      </c>
      <c r="R1095" s="4" t="str">
        <f>IF(Table1[[#This Row],[Customer Ratings]]&gt;=4, "Good",IF(Table1[[#This Row],[Customer Ratings]]=3, "Average","Poor"))</f>
        <v>Good</v>
      </c>
      <c r="S1095" s="3" t="s">
        <v>36</v>
      </c>
    </row>
    <row r="1096" spans="1:19" x14ac:dyDescent="0.25">
      <c r="A1096" s="3">
        <v>1095</v>
      </c>
      <c r="B1096" s="5">
        <f>DATE(Table1[[#This Row],[Year]],Table1[[#This Row],[Month]],Table1[[#This Row],[Day]])</f>
        <v>44790</v>
      </c>
      <c r="C1096" s="3">
        <v>17</v>
      </c>
      <c r="D1096" s="3">
        <v>8</v>
      </c>
      <c r="E1096" s="3">
        <v>2022</v>
      </c>
      <c r="F1096" s="3" t="str">
        <f>"Qtr"&amp; " " &amp;CHOOSE(MONTH(Table1[[#This Row],[Date]]),1,1,1,2,2,2,3,3,3,4,4,4)</f>
        <v>Qtr 3</v>
      </c>
      <c r="G1096" s="3" t="str">
        <f>TEXT(Table1[[#This Row],[Date]],"mmmm")</f>
        <v>August</v>
      </c>
      <c r="H1096" s="3" t="s">
        <v>1083</v>
      </c>
      <c r="I1096" s="3" t="s">
        <v>18</v>
      </c>
      <c r="J1096" s="3">
        <v>7</v>
      </c>
      <c r="K1096" s="3">
        <v>69097.02</v>
      </c>
      <c r="L1096" s="3">
        <f>Table1[[#This Row],[Price Per Unit]]*Table1[[#This Row],[Units Sold]]</f>
        <v>483679.14</v>
      </c>
      <c r="M1096" s="3" t="s">
        <v>732</v>
      </c>
      <c r="N1096" s="3">
        <v>25</v>
      </c>
      <c r="O1096" s="3" t="s">
        <v>20</v>
      </c>
      <c r="P1096" s="3" t="s">
        <v>45</v>
      </c>
      <c r="Q1096" s="4">
        <v>5</v>
      </c>
      <c r="R1096" s="4" t="str">
        <f>IF(Table1[[#This Row],[Customer Ratings]]&gt;=4, "Good",IF(Table1[[#This Row],[Customer Ratings]]=3, "Average","Poor"))</f>
        <v>Good</v>
      </c>
      <c r="S1096" s="3" t="s">
        <v>25</v>
      </c>
    </row>
    <row r="1097" spans="1:19" x14ac:dyDescent="0.25">
      <c r="A1097" s="3">
        <v>1096</v>
      </c>
      <c r="B1097" s="5">
        <f>DATE(Table1[[#This Row],[Year]],Table1[[#This Row],[Month]],Table1[[#This Row],[Day]])</f>
        <v>44790</v>
      </c>
      <c r="C1097" s="3">
        <v>17</v>
      </c>
      <c r="D1097" s="3">
        <v>8</v>
      </c>
      <c r="E1097" s="3">
        <v>2022</v>
      </c>
      <c r="F1097" s="3" t="str">
        <f>"Qtr"&amp; " " &amp;CHOOSE(MONTH(Table1[[#This Row],[Date]]),1,1,1,2,2,2,3,3,3,4,4,4)</f>
        <v>Qtr 3</v>
      </c>
      <c r="G1097" s="3" t="str">
        <f>TEXT(Table1[[#This Row],[Date]],"mmmm")</f>
        <v>August</v>
      </c>
      <c r="H1097" s="3" t="s">
        <v>1083</v>
      </c>
      <c r="I1097" s="3" t="s">
        <v>39</v>
      </c>
      <c r="J1097" s="3">
        <v>3</v>
      </c>
      <c r="K1097" s="3">
        <v>11730.18</v>
      </c>
      <c r="L1097" s="3">
        <f>Table1[[#This Row],[Price Per Unit]]*Table1[[#This Row],[Units Sold]]</f>
        <v>35190.54</v>
      </c>
      <c r="M1097" s="3" t="s">
        <v>444</v>
      </c>
      <c r="N1097" s="3">
        <v>43</v>
      </c>
      <c r="O1097" s="3" t="s">
        <v>20</v>
      </c>
      <c r="P1097" s="3" t="s">
        <v>31</v>
      </c>
      <c r="Q1097" s="4">
        <v>5</v>
      </c>
      <c r="R1097" s="4" t="str">
        <f>IF(Table1[[#This Row],[Customer Ratings]]&gt;=4, "Good",IF(Table1[[#This Row],[Customer Ratings]]=3, "Average","Poor"))</f>
        <v>Good</v>
      </c>
      <c r="S1097" s="3" t="s">
        <v>76</v>
      </c>
    </row>
    <row r="1098" spans="1:19" x14ac:dyDescent="0.25">
      <c r="A1098" s="3">
        <v>1097</v>
      </c>
      <c r="B1098" s="5">
        <f>DATE(Table1[[#This Row],[Year]],Table1[[#This Row],[Month]],Table1[[#This Row],[Day]])</f>
        <v>44791</v>
      </c>
      <c r="C1098" s="3">
        <v>18</v>
      </c>
      <c r="D1098" s="3">
        <v>8</v>
      </c>
      <c r="E1098" s="3">
        <v>2022</v>
      </c>
      <c r="F1098" s="3" t="str">
        <f>"Qtr"&amp; " " &amp;CHOOSE(MONTH(Table1[[#This Row],[Date]]),1,1,1,2,2,2,3,3,3,4,4,4)</f>
        <v>Qtr 3</v>
      </c>
      <c r="G1098" s="3" t="str">
        <f>TEXT(Table1[[#This Row],[Date]],"mmmm")</f>
        <v>August</v>
      </c>
      <c r="H1098" s="3" t="s">
        <v>1084</v>
      </c>
      <c r="I1098" s="3" t="s">
        <v>39</v>
      </c>
      <c r="J1098" s="3">
        <v>7</v>
      </c>
      <c r="K1098" s="3">
        <v>30288.400000000001</v>
      </c>
      <c r="L1098" s="3">
        <f>Table1[[#This Row],[Price Per Unit]]*Table1[[#This Row],[Units Sold]]</f>
        <v>212018.80000000002</v>
      </c>
      <c r="M1098" s="3" t="s">
        <v>732</v>
      </c>
      <c r="N1098" s="3">
        <v>41</v>
      </c>
      <c r="O1098" s="3" t="s">
        <v>20</v>
      </c>
      <c r="P1098" s="3" t="s">
        <v>21</v>
      </c>
      <c r="Q1098" s="4">
        <v>5</v>
      </c>
      <c r="R1098" s="4" t="str">
        <f>IF(Table1[[#This Row],[Customer Ratings]]&gt;=4, "Good",IF(Table1[[#This Row],[Customer Ratings]]=3, "Average","Poor"))</f>
        <v>Good</v>
      </c>
      <c r="S1098" s="3" t="s">
        <v>42</v>
      </c>
    </row>
    <row r="1099" spans="1:19" x14ac:dyDescent="0.25">
      <c r="A1099" s="3">
        <v>1098</v>
      </c>
      <c r="B1099" s="5">
        <f>DATE(Table1[[#This Row],[Year]],Table1[[#This Row],[Month]],Table1[[#This Row],[Day]])</f>
        <v>44791</v>
      </c>
      <c r="C1099" s="3">
        <v>18</v>
      </c>
      <c r="D1099" s="3">
        <v>8</v>
      </c>
      <c r="E1099" s="3">
        <v>2022</v>
      </c>
      <c r="F1099" s="3" t="str">
        <f>"Qtr"&amp; " " &amp;CHOOSE(MONTH(Table1[[#This Row],[Date]]),1,1,1,2,2,2,3,3,3,4,4,4)</f>
        <v>Qtr 3</v>
      </c>
      <c r="G1099" s="3" t="str">
        <f>TEXT(Table1[[#This Row],[Date]],"mmmm")</f>
        <v>August</v>
      </c>
      <c r="H1099" s="3" t="s">
        <v>1084</v>
      </c>
      <c r="I1099" s="3" t="s">
        <v>18</v>
      </c>
      <c r="J1099" s="3">
        <v>1</v>
      </c>
      <c r="K1099" s="3">
        <v>16471.2</v>
      </c>
      <c r="L1099" s="3">
        <f>Table1[[#This Row],[Price Per Unit]]*Table1[[#This Row],[Units Sold]]</f>
        <v>16471.2</v>
      </c>
      <c r="M1099" s="3" t="s">
        <v>79</v>
      </c>
      <c r="N1099" s="3">
        <v>41</v>
      </c>
      <c r="O1099" s="3" t="s">
        <v>24</v>
      </c>
      <c r="P1099" s="3" t="s">
        <v>16</v>
      </c>
      <c r="Q1099" s="4">
        <v>4</v>
      </c>
      <c r="R1099" s="4" t="str">
        <f>IF(Table1[[#This Row],[Customer Ratings]]&gt;=4, "Good",IF(Table1[[#This Row],[Customer Ratings]]=3, "Average","Poor"))</f>
        <v>Good</v>
      </c>
      <c r="S1099" s="3" t="s">
        <v>55</v>
      </c>
    </row>
    <row r="1100" spans="1:19" x14ac:dyDescent="0.25">
      <c r="A1100" s="3">
        <v>1099</v>
      </c>
      <c r="B1100" s="5">
        <f>DATE(Table1[[#This Row],[Year]],Table1[[#This Row],[Month]],Table1[[#This Row],[Day]])</f>
        <v>44791</v>
      </c>
      <c r="C1100" s="3">
        <v>18</v>
      </c>
      <c r="D1100" s="3">
        <v>8</v>
      </c>
      <c r="E1100" s="3">
        <v>2022</v>
      </c>
      <c r="F1100" s="3" t="str">
        <f>"Qtr"&amp; " " &amp;CHOOSE(MONTH(Table1[[#This Row],[Date]]),1,1,1,2,2,2,3,3,3,4,4,4)</f>
        <v>Qtr 3</v>
      </c>
      <c r="G1100" s="3" t="str">
        <f>TEXT(Table1[[#This Row],[Date]],"mmmm")</f>
        <v>August</v>
      </c>
      <c r="H1100" s="3" t="s">
        <v>1084</v>
      </c>
      <c r="I1100" s="3" t="s">
        <v>39</v>
      </c>
      <c r="J1100" s="3">
        <v>3</v>
      </c>
      <c r="K1100" s="3">
        <v>25738.3</v>
      </c>
      <c r="L1100" s="3">
        <f>Table1[[#This Row],[Price Per Unit]]*Table1[[#This Row],[Units Sold]]</f>
        <v>77214.899999999994</v>
      </c>
      <c r="M1100" s="3" t="s">
        <v>733</v>
      </c>
      <c r="N1100" s="3">
        <v>57</v>
      </c>
      <c r="O1100" s="3" t="s">
        <v>20</v>
      </c>
      <c r="P1100" s="3" t="s">
        <v>31</v>
      </c>
      <c r="Q1100" s="4">
        <v>5</v>
      </c>
      <c r="R1100" s="4" t="str">
        <f>IF(Table1[[#This Row],[Customer Ratings]]&gt;=4, "Good",IF(Table1[[#This Row],[Customer Ratings]]=3, "Average","Poor"))</f>
        <v>Good</v>
      </c>
      <c r="S1100" s="3" t="s">
        <v>90</v>
      </c>
    </row>
    <row r="1101" spans="1:19" x14ac:dyDescent="0.25">
      <c r="A1101" s="3">
        <v>1100</v>
      </c>
      <c r="B1101" s="5">
        <f>DATE(Table1[[#This Row],[Year]],Table1[[#This Row],[Month]],Table1[[#This Row],[Day]])</f>
        <v>44792</v>
      </c>
      <c r="C1101" s="3">
        <v>19</v>
      </c>
      <c r="D1101" s="3">
        <v>8</v>
      </c>
      <c r="E1101" s="3">
        <v>2022</v>
      </c>
      <c r="F1101" s="3" t="str">
        <f>"Qtr"&amp; " " &amp;CHOOSE(MONTH(Table1[[#This Row],[Date]]),1,1,1,2,2,2,3,3,3,4,4,4)</f>
        <v>Qtr 3</v>
      </c>
      <c r="G1101" s="3" t="str">
        <f>TEXT(Table1[[#This Row],[Date]],"mmmm")</f>
        <v>August</v>
      </c>
      <c r="H1101" s="3" t="s">
        <v>1085</v>
      </c>
      <c r="I1101" s="3" t="s">
        <v>33</v>
      </c>
      <c r="J1101" s="3">
        <v>6</v>
      </c>
      <c r="K1101" s="3">
        <v>60333.27</v>
      </c>
      <c r="L1101" s="3">
        <f>Table1[[#This Row],[Price Per Unit]]*Table1[[#This Row],[Units Sold]]</f>
        <v>361999.62</v>
      </c>
      <c r="M1101" s="3" t="s">
        <v>289</v>
      </c>
      <c r="N1101" s="3">
        <v>29</v>
      </c>
      <c r="O1101" s="3" t="s">
        <v>20</v>
      </c>
      <c r="P1101" s="3" t="s">
        <v>45</v>
      </c>
      <c r="Q1101" s="4">
        <v>5</v>
      </c>
      <c r="R1101" s="4" t="str">
        <f>IF(Table1[[#This Row],[Customer Ratings]]&gt;=4, "Good",IF(Table1[[#This Row],[Customer Ratings]]=3, "Average","Poor"))</f>
        <v>Good</v>
      </c>
      <c r="S1101" s="3" t="s">
        <v>46</v>
      </c>
    </row>
    <row r="1102" spans="1:19" x14ac:dyDescent="0.25">
      <c r="A1102" s="3">
        <v>1101</v>
      </c>
      <c r="B1102" s="5">
        <f>DATE(Table1[[#This Row],[Year]],Table1[[#This Row],[Month]],Table1[[#This Row],[Day]])</f>
        <v>44792</v>
      </c>
      <c r="C1102" s="3">
        <v>19</v>
      </c>
      <c r="D1102" s="3">
        <v>8</v>
      </c>
      <c r="E1102" s="3">
        <v>2022</v>
      </c>
      <c r="F1102" s="3" t="str">
        <f>"Qtr"&amp; " " &amp;CHOOSE(MONTH(Table1[[#This Row],[Date]]),1,1,1,2,2,2,3,3,3,4,4,4)</f>
        <v>Qtr 3</v>
      </c>
      <c r="G1102" s="3" t="str">
        <f>TEXT(Table1[[#This Row],[Date]],"mmmm")</f>
        <v>August</v>
      </c>
      <c r="H1102" s="3" t="s">
        <v>1085</v>
      </c>
      <c r="I1102" s="3" t="s">
        <v>33</v>
      </c>
      <c r="J1102" s="3">
        <v>4</v>
      </c>
      <c r="K1102" s="3">
        <v>11939.4</v>
      </c>
      <c r="L1102" s="3">
        <f>Table1[[#This Row],[Price Per Unit]]*Table1[[#This Row],[Units Sold]]</f>
        <v>47757.599999999999</v>
      </c>
      <c r="M1102" s="3" t="s">
        <v>449</v>
      </c>
      <c r="N1102" s="3">
        <v>25</v>
      </c>
      <c r="O1102" s="3" t="s">
        <v>30</v>
      </c>
      <c r="P1102" s="3" t="s">
        <v>31</v>
      </c>
      <c r="Q1102" s="4">
        <v>5</v>
      </c>
      <c r="R1102" s="4" t="str">
        <f>IF(Table1[[#This Row],[Customer Ratings]]&gt;=4, "Good",IF(Table1[[#This Row],[Customer Ratings]]=3, "Average","Poor"))</f>
        <v>Good</v>
      </c>
      <c r="S1102" s="3" t="s">
        <v>36</v>
      </c>
    </row>
    <row r="1103" spans="1:19" x14ac:dyDescent="0.25">
      <c r="A1103" s="3">
        <v>1102</v>
      </c>
      <c r="B1103" s="5">
        <f>DATE(Table1[[#This Row],[Year]],Table1[[#This Row],[Month]],Table1[[#This Row],[Day]])</f>
        <v>44792</v>
      </c>
      <c r="C1103" s="3">
        <v>19</v>
      </c>
      <c r="D1103" s="3">
        <v>8</v>
      </c>
      <c r="E1103" s="3">
        <v>2022</v>
      </c>
      <c r="F1103" s="3" t="str">
        <f>"Qtr"&amp; " " &amp;CHOOSE(MONTH(Table1[[#This Row],[Date]]),1,1,1,2,2,2,3,3,3,4,4,4)</f>
        <v>Qtr 3</v>
      </c>
      <c r="G1103" s="3" t="str">
        <f>TEXT(Table1[[#This Row],[Date]],"mmmm")</f>
        <v>August</v>
      </c>
      <c r="H1103" s="3" t="s">
        <v>1085</v>
      </c>
      <c r="I1103" s="3" t="s">
        <v>18</v>
      </c>
      <c r="J1103" s="3">
        <v>7</v>
      </c>
      <c r="K1103" s="3">
        <v>41210.980000000003</v>
      </c>
      <c r="L1103" s="3">
        <f>Table1[[#This Row],[Price Per Unit]]*Table1[[#This Row],[Units Sold]]</f>
        <v>288476.86000000004</v>
      </c>
      <c r="M1103" s="3" t="s">
        <v>213</v>
      </c>
      <c r="N1103" s="3">
        <v>26</v>
      </c>
      <c r="O1103" s="3" t="s">
        <v>24</v>
      </c>
      <c r="P1103" s="3" t="s">
        <v>31</v>
      </c>
      <c r="Q1103" s="4">
        <v>5</v>
      </c>
      <c r="R1103" s="4" t="str">
        <f>IF(Table1[[#This Row],[Customer Ratings]]&gt;=4, "Good",IF(Table1[[#This Row],[Customer Ratings]]=3, "Average","Poor"))</f>
        <v>Good</v>
      </c>
      <c r="S1103" s="3" t="s">
        <v>25</v>
      </c>
    </row>
    <row r="1104" spans="1:19" x14ac:dyDescent="0.25">
      <c r="A1104" s="3">
        <v>1103</v>
      </c>
      <c r="B1104" s="5">
        <f>DATE(Table1[[#This Row],[Year]],Table1[[#This Row],[Month]],Table1[[#This Row],[Day]])</f>
        <v>44793</v>
      </c>
      <c r="C1104" s="3">
        <v>20</v>
      </c>
      <c r="D1104" s="3">
        <v>8</v>
      </c>
      <c r="E1104" s="3">
        <v>2022</v>
      </c>
      <c r="F1104" s="3" t="str">
        <f>"Qtr"&amp; " " &amp;CHOOSE(MONTH(Table1[[#This Row],[Date]]),1,1,1,2,2,2,3,3,3,4,4,4)</f>
        <v>Qtr 3</v>
      </c>
      <c r="G1104" s="3" t="str">
        <f>TEXT(Table1[[#This Row],[Date]],"mmmm")</f>
        <v>August</v>
      </c>
      <c r="H1104" s="3" t="s">
        <v>1079</v>
      </c>
      <c r="I1104" s="3" t="s">
        <v>28</v>
      </c>
      <c r="J1104" s="3">
        <v>3</v>
      </c>
      <c r="K1104" s="3">
        <v>44027.72</v>
      </c>
      <c r="L1104" s="3">
        <f>Table1[[#This Row],[Price Per Unit]]*Table1[[#This Row],[Units Sold]]</f>
        <v>132083.16</v>
      </c>
      <c r="M1104" s="3" t="s">
        <v>734</v>
      </c>
      <c r="N1104" s="3">
        <v>20</v>
      </c>
      <c r="O1104" s="3" t="s">
        <v>125</v>
      </c>
      <c r="P1104" s="3" t="s">
        <v>21</v>
      </c>
      <c r="Q1104" s="4">
        <v>5</v>
      </c>
      <c r="R1104" s="4" t="str">
        <f>IF(Table1[[#This Row],[Customer Ratings]]&gt;=4, "Good",IF(Table1[[#This Row],[Customer Ratings]]=3, "Average","Poor"))</f>
        <v>Good</v>
      </c>
      <c r="S1104" s="3" t="s">
        <v>87</v>
      </c>
    </row>
    <row r="1105" spans="1:19" x14ac:dyDescent="0.25">
      <c r="A1105" s="3">
        <v>1104</v>
      </c>
      <c r="B1105" s="5">
        <f>DATE(Table1[[#This Row],[Year]],Table1[[#This Row],[Month]],Table1[[#This Row],[Day]])</f>
        <v>44793</v>
      </c>
      <c r="C1105" s="3">
        <v>20</v>
      </c>
      <c r="D1105" s="3">
        <v>8</v>
      </c>
      <c r="E1105" s="3">
        <v>2022</v>
      </c>
      <c r="F1105" s="3" t="str">
        <f>"Qtr"&amp; " " &amp;CHOOSE(MONTH(Table1[[#This Row],[Date]]),1,1,1,2,2,2,3,3,3,4,4,4)</f>
        <v>Qtr 3</v>
      </c>
      <c r="G1105" s="3" t="str">
        <f>TEXT(Table1[[#This Row],[Date]],"mmmm")</f>
        <v>August</v>
      </c>
      <c r="H1105" s="3" t="s">
        <v>1079</v>
      </c>
      <c r="I1105" s="3" t="s">
        <v>13</v>
      </c>
      <c r="J1105" s="3">
        <v>1</v>
      </c>
      <c r="K1105" s="3">
        <v>43669.07</v>
      </c>
      <c r="L1105" s="3">
        <f>Table1[[#This Row],[Price Per Unit]]*Table1[[#This Row],[Units Sold]]</f>
        <v>43669.07</v>
      </c>
      <c r="M1105" s="3" t="s">
        <v>400</v>
      </c>
      <c r="N1105" s="3">
        <v>38</v>
      </c>
      <c r="O1105" s="3" t="s">
        <v>20</v>
      </c>
      <c r="P1105" s="3" t="s">
        <v>16</v>
      </c>
      <c r="Q1105" s="4">
        <v>5</v>
      </c>
      <c r="R1105" s="4" t="str">
        <f>IF(Table1[[#This Row],[Customer Ratings]]&gt;=4, "Good",IF(Table1[[#This Row],[Customer Ratings]]=3, "Average","Poor"))</f>
        <v>Good</v>
      </c>
      <c r="S1105" s="3" t="s">
        <v>27</v>
      </c>
    </row>
    <row r="1106" spans="1:19" x14ac:dyDescent="0.25">
      <c r="A1106" s="3">
        <v>1105</v>
      </c>
      <c r="B1106" s="5">
        <f>DATE(Table1[[#This Row],[Year]],Table1[[#This Row],[Month]],Table1[[#This Row],[Day]])</f>
        <v>44793</v>
      </c>
      <c r="C1106" s="3">
        <v>20</v>
      </c>
      <c r="D1106" s="3">
        <v>8</v>
      </c>
      <c r="E1106" s="3">
        <v>2022</v>
      </c>
      <c r="F1106" s="3" t="str">
        <f>"Qtr"&amp; " " &amp;CHOOSE(MONTH(Table1[[#This Row],[Date]]),1,1,1,2,2,2,3,3,3,4,4,4)</f>
        <v>Qtr 3</v>
      </c>
      <c r="G1106" s="3" t="str">
        <f>TEXT(Table1[[#This Row],[Date]],"mmmm")</f>
        <v>August</v>
      </c>
      <c r="H1106" s="3" t="s">
        <v>1079</v>
      </c>
      <c r="I1106" s="3" t="s">
        <v>28</v>
      </c>
      <c r="J1106" s="3">
        <v>9</v>
      </c>
      <c r="K1106" s="3">
        <v>38517.82</v>
      </c>
      <c r="L1106" s="3">
        <f>Table1[[#This Row],[Price Per Unit]]*Table1[[#This Row],[Units Sold]]</f>
        <v>346660.38</v>
      </c>
      <c r="M1106" s="3" t="s">
        <v>735</v>
      </c>
      <c r="N1106" s="3">
        <v>48</v>
      </c>
      <c r="O1106" s="3" t="s">
        <v>54</v>
      </c>
      <c r="P1106" s="3" t="s">
        <v>31</v>
      </c>
      <c r="Q1106" s="4">
        <v>5</v>
      </c>
      <c r="R1106" s="4" t="str">
        <f>IF(Table1[[#This Row],[Customer Ratings]]&gt;=4, "Good",IF(Table1[[#This Row],[Customer Ratings]]=3, "Average","Poor"))</f>
        <v>Good</v>
      </c>
      <c r="S1106" s="3" t="s">
        <v>87</v>
      </c>
    </row>
    <row r="1107" spans="1:19" x14ac:dyDescent="0.25">
      <c r="A1107" s="3">
        <v>1106</v>
      </c>
      <c r="B1107" s="5">
        <f>DATE(Table1[[#This Row],[Year]],Table1[[#This Row],[Month]],Table1[[#This Row],[Day]])</f>
        <v>44793</v>
      </c>
      <c r="C1107" s="3">
        <v>20</v>
      </c>
      <c r="D1107" s="3">
        <v>8</v>
      </c>
      <c r="E1107" s="3">
        <v>2022</v>
      </c>
      <c r="F1107" s="3" t="str">
        <f>"Qtr"&amp; " " &amp;CHOOSE(MONTH(Table1[[#This Row],[Date]]),1,1,1,2,2,2,3,3,3,4,4,4)</f>
        <v>Qtr 3</v>
      </c>
      <c r="G1107" s="3" t="str">
        <f>TEXT(Table1[[#This Row],[Date]],"mmmm")</f>
        <v>August</v>
      </c>
      <c r="H1107" s="3" t="s">
        <v>1079</v>
      </c>
      <c r="I1107" s="3" t="s">
        <v>39</v>
      </c>
      <c r="J1107" s="3">
        <v>6</v>
      </c>
      <c r="K1107" s="3">
        <v>57436.18</v>
      </c>
      <c r="L1107" s="3">
        <f>Table1[[#This Row],[Price Per Unit]]*Table1[[#This Row],[Units Sold]]</f>
        <v>344617.08</v>
      </c>
      <c r="M1107" s="3" t="s">
        <v>450</v>
      </c>
      <c r="N1107" s="3">
        <v>41</v>
      </c>
      <c r="O1107" s="3" t="s">
        <v>81</v>
      </c>
      <c r="P1107" s="3" t="s">
        <v>21</v>
      </c>
      <c r="Q1107" s="4">
        <v>3</v>
      </c>
      <c r="R1107" s="4" t="str">
        <f>IF(Table1[[#This Row],[Customer Ratings]]&gt;=4, "Good",IF(Table1[[#This Row],[Customer Ratings]]=3, "Average","Poor"))</f>
        <v>Average</v>
      </c>
      <c r="S1107" s="3" t="s">
        <v>42</v>
      </c>
    </row>
    <row r="1108" spans="1:19" x14ac:dyDescent="0.25">
      <c r="A1108" s="3">
        <v>1107</v>
      </c>
      <c r="B1108" s="5">
        <f>DATE(Table1[[#This Row],[Year]],Table1[[#This Row],[Month]],Table1[[#This Row],[Day]])</f>
        <v>44794</v>
      </c>
      <c r="C1108" s="3">
        <v>21</v>
      </c>
      <c r="D1108" s="3">
        <v>8</v>
      </c>
      <c r="E1108" s="3">
        <v>2022</v>
      </c>
      <c r="F1108" s="3" t="str">
        <f>"Qtr"&amp; " " &amp;CHOOSE(MONTH(Table1[[#This Row],[Date]]),1,1,1,2,2,2,3,3,3,4,4,4)</f>
        <v>Qtr 3</v>
      </c>
      <c r="G1108" s="3" t="str">
        <f>TEXT(Table1[[#This Row],[Date]],"mmmm")</f>
        <v>August</v>
      </c>
      <c r="H1108" s="3" t="s">
        <v>1080</v>
      </c>
      <c r="I1108" s="3" t="s">
        <v>13</v>
      </c>
      <c r="J1108" s="3">
        <v>8</v>
      </c>
      <c r="K1108" s="3">
        <v>18012.59</v>
      </c>
      <c r="L1108" s="3">
        <f>Table1[[#This Row],[Price Per Unit]]*Table1[[#This Row],[Units Sold]]</f>
        <v>144100.72</v>
      </c>
      <c r="M1108" s="3" t="s">
        <v>736</v>
      </c>
      <c r="N1108" s="3">
        <v>21</v>
      </c>
      <c r="O1108" s="3" t="s">
        <v>20</v>
      </c>
      <c r="P1108" s="3" t="s">
        <v>21</v>
      </c>
      <c r="Q1108" s="4">
        <v>5</v>
      </c>
      <c r="R1108" s="4" t="str">
        <f>IF(Table1[[#This Row],[Customer Ratings]]&gt;=4, "Good",IF(Table1[[#This Row],[Customer Ratings]]=3, "Average","Poor"))</f>
        <v>Good</v>
      </c>
      <c r="S1108" s="3" t="s">
        <v>72</v>
      </c>
    </row>
    <row r="1109" spans="1:19" x14ac:dyDescent="0.25">
      <c r="A1109" s="3">
        <v>1108</v>
      </c>
      <c r="B1109" s="5">
        <f>DATE(Table1[[#This Row],[Year]],Table1[[#This Row],[Month]],Table1[[#This Row],[Day]])</f>
        <v>44794</v>
      </c>
      <c r="C1109" s="3">
        <v>21</v>
      </c>
      <c r="D1109" s="3">
        <v>8</v>
      </c>
      <c r="E1109" s="3">
        <v>2022</v>
      </c>
      <c r="F1109" s="3" t="str">
        <f>"Qtr"&amp; " " &amp;CHOOSE(MONTH(Table1[[#This Row],[Date]]),1,1,1,2,2,2,3,3,3,4,4,4)</f>
        <v>Qtr 3</v>
      </c>
      <c r="G1109" s="3" t="str">
        <f>TEXT(Table1[[#This Row],[Date]],"mmmm")</f>
        <v>August</v>
      </c>
      <c r="H1109" s="3" t="s">
        <v>1080</v>
      </c>
      <c r="I1109" s="3" t="s">
        <v>18</v>
      </c>
      <c r="J1109" s="3">
        <v>3</v>
      </c>
      <c r="K1109" s="3">
        <v>28634.62</v>
      </c>
      <c r="L1109" s="3">
        <f>Table1[[#This Row],[Price Per Unit]]*Table1[[#This Row],[Units Sold]]</f>
        <v>85903.86</v>
      </c>
      <c r="M1109" s="3" t="s">
        <v>233</v>
      </c>
      <c r="N1109" s="3">
        <v>37</v>
      </c>
      <c r="O1109" s="3" t="s">
        <v>20</v>
      </c>
      <c r="P1109" s="3" t="s">
        <v>21</v>
      </c>
      <c r="Q1109" s="4">
        <v>1</v>
      </c>
      <c r="R1109" s="4" t="str">
        <f>IF(Table1[[#This Row],[Customer Ratings]]&gt;=4, "Good",IF(Table1[[#This Row],[Customer Ratings]]=3, "Average","Poor"))</f>
        <v>Poor</v>
      </c>
      <c r="S1109" s="3" t="s">
        <v>55</v>
      </c>
    </row>
    <row r="1110" spans="1:19" x14ac:dyDescent="0.25">
      <c r="A1110" s="3">
        <v>1109</v>
      </c>
      <c r="B1110" s="5">
        <f>DATE(Table1[[#This Row],[Year]],Table1[[#This Row],[Month]],Table1[[#This Row],[Day]])</f>
        <v>44794</v>
      </c>
      <c r="C1110" s="3">
        <v>21</v>
      </c>
      <c r="D1110" s="3">
        <v>8</v>
      </c>
      <c r="E1110" s="3">
        <v>2022</v>
      </c>
      <c r="F1110" s="3" t="str">
        <f>"Qtr"&amp; " " &amp;CHOOSE(MONTH(Table1[[#This Row],[Date]]),1,1,1,2,2,2,3,3,3,4,4,4)</f>
        <v>Qtr 3</v>
      </c>
      <c r="G1110" s="3" t="str">
        <f>TEXT(Table1[[#This Row],[Date]],"mmmm")</f>
        <v>August</v>
      </c>
      <c r="H1110" s="3" t="s">
        <v>1080</v>
      </c>
      <c r="I1110" s="3" t="s">
        <v>18</v>
      </c>
      <c r="J1110" s="3">
        <v>8</v>
      </c>
      <c r="K1110" s="3">
        <v>46943.56</v>
      </c>
      <c r="L1110" s="3">
        <f>Table1[[#This Row],[Price Per Unit]]*Table1[[#This Row],[Units Sold]]</f>
        <v>375548.48</v>
      </c>
      <c r="M1110" s="3" t="s">
        <v>737</v>
      </c>
      <c r="N1110" s="3">
        <v>33</v>
      </c>
      <c r="O1110" s="3" t="s">
        <v>30</v>
      </c>
      <c r="P1110" s="3" t="s">
        <v>45</v>
      </c>
      <c r="Q1110" s="4">
        <v>4</v>
      </c>
      <c r="R1110" s="4" t="str">
        <f>IF(Table1[[#This Row],[Customer Ratings]]&gt;=4, "Good",IF(Table1[[#This Row],[Customer Ratings]]=3, "Average","Poor"))</f>
        <v>Good</v>
      </c>
      <c r="S1110" s="3" t="s">
        <v>55</v>
      </c>
    </row>
    <row r="1111" spans="1:19" x14ac:dyDescent="0.25">
      <c r="A1111" s="3">
        <v>1110</v>
      </c>
      <c r="B1111" s="5">
        <f>DATE(Table1[[#This Row],[Year]],Table1[[#This Row],[Month]],Table1[[#This Row],[Day]])</f>
        <v>44795</v>
      </c>
      <c r="C1111" s="3">
        <v>22</v>
      </c>
      <c r="D1111" s="3">
        <v>8</v>
      </c>
      <c r="E1111" s="3">
        <v>2022</v>
      </c>
      <c r="F1111" s="3" t="str">
        <f>"Qtr"&amp; " " &amp;CHOOSE(MONTH(Table1[[#This Row],[Date]]),1,1,1,2,2,2,3,3,3,4,4,4)</f>
        <v>Qtr 3</v>
      </c>
      <c r="G1111" s="3" t="str">
        <f>TEXT(Table1[[#This Row],[Date]],"mmmm")</f>
        <v>August</v>
      </c>
      <c r="H1111" s="3" t="s">
        <v>1081</v>
      </c>
      <c r="I1111" s="3" t="s">
        <v>13</v>
      </c>
      <c r="J1111" s="3">
        <v>2</v>
      </c>
      <c r="K1111" s="3">
        <v>51457.08</v>
      </c>
      <c r="L1111" s="3">
        <f>Table1[[#This Row],[Price Per Unit]]*Table1[[#This Row],[Units Sold]]</f>
        <v>102914.16</v>
      </c>
      <c r="M1111" s="3" t="s">
        <v>377</v>
      </c>
      <c r="N1111" s="3">
        <v>27</v>
      </c>
      <c r="O1111" s="3" t="s">
        <v>15</v>
      </c>
      <c r="P1111" s="3" t="s">
        <v>21</v>
      </c>
      <c r="Q1111" s="4">
        <v>4</v>
      </c>
      <c r="R1111" s="4" t="str">
        <f>IF(Table1[[#This Row],[Customer Ratings]]&gt;=4, "Good",IF(Table1[[#This Row],[Customer Ratings]]=3, "Average","Poor"))</f>
        <v>Good</v>
      </c>
      <c r="S1111" s="3" t="s">
        <v>27</v>
      </c>
    </row>
    <row r="1112" spans="1:19" x14ac:dyDescent="0.25">
      <c r="A1112" s="3">
        <v>1111</v>
      </c>
      <c r="B1112" s="5">
        <f>DATE(Table1[[#This Row],[Year]],Table1[[#This Row],[Month]],Table1[[#This Row],[Day]])</f>
        <v>44795</v>
      </c>
      <c r="C1112" s="3">
        <v>22</v>
      </c>
      <c r="D1112" s="3">
        <v>8</v>
      </c>
      <c r="E1112" s="3">
        <v>2022</v>
      </c>
      <c r="F1112" s="3" t="str">
        <f>"Qtr"&amp; " " &amp;CHOOSE(MONTH(Table1[[#This Row],[Date]]),1,1,1,2,2,2,3,3,3,4,4,4)</f>
        <v>Qtr 3</v>
      </c>
      <c r="G1112" s="3" t="str">
        <f>TEXT(Table1[[#This Row],[Date]],"mmmm")</f>
        <v>August</v>
      </c>
      <c r="H1112" s="3" t="s">
        <v>1081</v>
      </c>
      <c r="I1112" s="3" t="s">
        <v>33</v>
      </c>
      <c r="J1112" s="3">
        <v>4</v>
      </c>
      <c r="K1112" s="3">
        <v>34248.910000000003</v>
      </c>
      <c r="L1112" s="3">
        <f>Table1[[#This Row],[Price Per Unit]]*Table1[[#This Row],[Units Sold]]</f>
        <v>136995.64000000001</v>
      </c>
      <c r="M1112" s="3" t="s">
        <v>588</v>
      </c>
      <c r="N1112" s="3">
        <v>43</v>
      </c>
      <c r="O1112" s="3" t="s">
        <v>20</v>
      </c>
      <c r="P1112" s="3" t="s">
        <v>21</v>
      </c>
      <c r="Q1112" s="4">
        <v>3</v>
      </c>
      <c r="R1112" s="4" t="str">
        <f>IF(Table1[[#This Row],[Customer Ratings]]&gt;=4, "Good",IF(Table1[[#This Row],[Customer Ratings]]=3, "Average","Poor"))</f>
        <v>Average</v>
      </c>
      <c r="S1112" s="3" t="s">
        <v>46</v>
      </c>
    </row>
    <row r="1113" spans="1:19" x14ac:dyDescent="0.25">
      <c r="A1113" s="3">
        <v>1112</v>
      </c>
      <c r="B1113" s="5">
        <f>DATE(Table1[[#This Row],[Year]],Table1[[#This Row],[Month]],Table1[[#This Row],[Day]])</f>
        <v>44795</v>
      </c>
      <c r="C1113" s="3">
        <v>22</v>
      </c>
      <c r="D1113" s="3">
        <v>8</v>
      </c>
      <c r="E1113" s="3">
        <v>2022</v>
      </c>
      <c r="F1113" s="3" t="str">
        <f>"Qtr"&amp; " " &amp;CHOOSE(MONTH(Table1[[#This Row],[Date]]),1,1,1,2,2,2,3,3,3,4,4,4)</f>
        <v>Qtr 3</v>
      </c>
      <c r="G1113" s="3" t="str">
        <f>TEXT(Table1[[#This Row],[Date]],"mmmm")</f>
        <v>August</v>
      </c>
      <c r="H1113" s="3" t="s">
        <v>1081</v>
      </c>
      <c r="I1113" s="3" t="s">
        <v>13</v>
      </c>
      <c r="J1113" s="3">
        <v>3</v>
      </c>
      <c r="K1113" s="3">
        <v>62522.28</v>
      </c>
      <c r="L1113" s="3">
        <f>Table1[[#This Row],[Price Per Unit]]*Table1[[#This Row],[Units Sold]]</f>
        <v>187566.84</v>
      </c>
      <c r="M1113" s="3" t="s">
        <v>252</v>
      </c>
      <c r="N1113" s="3">
        <v>46</v>
      </c>
      <c r="O1113" s="3" t="s">
        <v>20</v>
      </c>
      <c r="P1113" s="3" t="s">
        <v>21</v>
      </c>
      <c r="Q1113" s="4">
        <v>1</v>
      </c>
      <c r="R1113" s="4" t="str">
        <f>IF(Table1[[#This Row],[Customer Ratings]]&gt;=4, "Good",IF(Table1[[#This Row],[Customer Ratings]]=3, "Average","Poor"))</f>
        <v>Poor</v>
      </c>
      <c r="S1113" s="3" t="s">
        <v>17</v>
      </c>
    </row>
    <row r="1114" spans="1:19" x14ac:dyDescent="0.25">
      <c r="A1114" s="3">
        <v>1113</v>
      </c>
      <c r="B1114" s="5">
        <f>DATE(Table1[[#This Row],[Year]],Table1[[#This Row],[Month]],Table1[[#This Row],[Day]])</f>
        <v>44796</v>
      </c>
      <c r="C1114" s="3">
        <v>23</v>
      </c>
      <c r="D1114" s="3">
        <v>8</v>
      </c>
      <c r="E1114" s="3">
        <v>2022</v>
      </c>
      <c r="F1114" s="3" t="str">
        <f>"Qtr"&amp; " " &amp;CHOOSE(MONTH(Table1[[#This Row],[Date]]),1,1,1,2,2,2,3,3,3,4,4,4)</f>
        <v>Qtr 3</v>
      </c>
      <c r="G1114" s="3" t="str">
        <f>TEXT(Table1[[#This Row],[Date]],"mmmm")</f>
        <v>August</v>
      </c>
      <c r="H1114" s="3" t="s">
        <v>1082</v>
      </c>
      <c r="I1114" s="3" t="s">
        <v>39</v>
      </c>
      <c r="J1114" s="3">
        <v>1</v>
      </c>
      <c r="K1114" s="3">
        <v>34929.599999999999</v>
      </c>
      <c r="L1114" s="3">
        <f>Table1[[#This Row],[Price Per Unit]]*Table1[[#This Row],[Units Sold]]</f>
        <v>34929.599999999999</v>
      </c>
      <c r="M1114" s="3" t="s">
        <v>147</v>
      </c>
      <c r="N1114" s="3">
        <v>22</v>
      </c>
      <c r="O1114" s="3" t="s">
        <v>35</v>
      </c>
      <c r="P1114" s="3" t="s">
        <v>21</v>
      </c>
      <c r="Q1114" s="4">
        <v>5</v>
      </c>
      <c r="R1114" s="4" t="str">
        <f>IF(Table1[[#This Row],[Customer Ratings]]&gt;=4, "Good",IF(Table1[[#This Row],[Customer Ratings]]=3, "Average","Poor"))</f>
        <v>Good</v>
      </c>
      <c r="S1114" s="3" t="s">
        <v>90</v>
      </c>
    </row>
    <row r="1115" spans="1:19" x14ac:dyDescent="0.25">
      <c r="A1115" s="3">
        <v>1114</v>
      </c>
      <c r="B1115" s="5">
        <f>DATE(Table1[[#This Row],[Year]],Table1[[#This Row],[Month]],Table1[[#This Row],[Day]])</f>
        <v>44796</v>
      </c>
      <c r="C1115" s="3">
        <v>23</v>
      </c>
      <c r="D1115" s="3">
        <v>8</v>
      </c>
      <c r="E1115" s="3">
        <v>2022</v>
      </c>
      <c r="F1115" s="3" t="str">
        <f>"Qtr"&amp; " " &amp;CHOOSE(MONTH(Table1[[#This Row],[Date]]),1,1,1,2,2,2,3,3,3,4,4,4)</f>
        <v>Qtr 3</v>
      </c>
      <c r="G1115" s="3" t="str">
        <f>TEXT(Table1[[#This Row],[Date]],"mmmm")</f>
        <v>August</v>
      </c>
      <c r="H1115" s="3" t="s">
        <v>1082</v>
      </c>
      <c r="I1115" s="3" t="s">
        <v>33</v>
      </c>
      <c r="J1115" s="3">
        <v>7</v>
      </c>
      <c r="K1115" s="3">
        <v>34166.57</v>
      </c>
      <c r="L1115" s="3">
        <f>Table1[[#This Row],[Price Per Unit]]*Table1[[#This Row],[Units Sold]]</f>
        <v>239165.99</v>
      </c>
      <c r="M1115" s="3" t="s">
        <v>738</v>
      </c>
      <c r="N1115" s="3">
        <v>28</v>
      </c>
      <c r="O1115" s="3" t="s">
        <v>98</v>
      </c>
      <c r="P1115" s="3" t="s">
        <v>16</v>
      </c>
      <c r="Q1115" s="4">
        <v>5</v>
      </c>
      <c r="R1115" s="4" t="str">
        <f>IF(Table1[[#This Row],[Customer Ratings]]&gt;=4, "Good",IF(Table1[[#This Row],[Customer Ratings]]=3, "Average","Poor"))</f>
        <v>Good</v>
      </c>
      <c r="S1115" s="3" t="s">
        <v>46</v>
      </c>
    </row>
    <row r="1116" spans="1:19" x14ac:dyDescent="0.25">
      <c r="A1116" s="3">
        <v>1115</v>
      </c>
      <c r="B1116" s="5">
        <f>DATE(Table1[[#This Row],[Year]],Table1[[#This Row],[Month]],Table1[[#This Row],[Day]])</f>
        <v>44796</v>
      </c>
      <c r="C1116" s="3">
        <v>23</v>
      </c>
      <c r="D1116" s="3">
        <v>8</v>
      </c>
      <c r="E1116" s="3">
        <v>2022</v>
      </c>
      <c r="F1116" s="3" t="str">
        <f>"Qtr"&amp; " " &amp;CHOOSE(MONTH(Table1[[#This Row],[Date]]),1,1,1,2,2,2,3,3,3,4,4,4)</f>
        <v>Qtr 3</v>
      </c>
      <c r="G1116" s="3" t="str">
        <f>TEXT(Table1[[#This Row],[Date]],"mmmm")</f>
        <v>August</v>
      </c>
      <c r="H1116" s="3" t="s">
        <v>1082</v>
      </c>
      <c r="I1116" s="3" t="s">
        <v>18</v>
      </c>
      <c r="J1116" s="3">
        <v>2</v>
      </c>
      <c r="K1116" s="3">
        <v>12172.44</v>
      </c>
      <c r="L1116" s="3">
        <f>Table1[[#This Row],[Price Per Unit]]*Table1[[#This Row],[Units Sold]]</f>
        <v>24344.880000000001</v>
      </c>
      <c r="M1116" s="3" t="s">
        <v>177</v>
      </c>
      <c r="N1116" s="3">
        <v>46</v>
      </c>
      <c r="O1116" s="3" t="s">
        <v>20</v>
      </c>
      <c r="P1116" s="3" t="s">
        <v>16</v>
      </c>
      <c r="Q1116" s="4">
        <v>5</v>
      </c>
      <c r="R1116" s="4" t="str">
        <f>IF(Table1[[#This Row],[Customer Ratings]]&gt;=4, "Good",IF(Table1[[#This Row],[Customer Ratings]]=3, "Average","Poor"))</f>
        <v>Good</v>
      </c>
      <c r="S1116" s="3" t="s">
        <v>25</v>
      </c>
    </row>
    <row r="1117" spans="1:19" x14ac:dyDescent="0.25">
      <c r="A1117" s="3">
        <v>1116</v>
      </c>
      <c r="B1117" s="5">
        <f>DATE(Table1[[#This Row],[Year]],Table1[[#This Row],[Month]],Table1[[#This Row],[Day]])</f>
        <v>44797</v>
      </c>
      <c r="C1117" s="3">
        <v>24</v>
      </c>
      <c r="D1117" s="3">
        <v>8</v>
      </c>
      <c r="E1117" s="3">
        <v>2022</v>
      </c>
      <c r="F1117" s="3" t="str">
        <f>"Qtr"&amp; " " &amp;CHOOSE(MONTH(Table1[[#This Row],[Date]]),1,1,1,2,2,2,3,3,3,4,4,4)</f>
        <v>Qtr 3</v>
      </c>
      <c r="G1117" s="3" t="str">
        <f>TEXT(Table1[[#This Row],[Date]],"mmmm")</f>
        <v>August</v>
      </c>
      <c r="H1117" s="3" t="s">
        <v>1083</v>
      </c>
      <c r="I1117" s="3" t="s">
        <v>13</v>
      </c>
      <c r="J1117" s="3">
        <v>4</v>
      </c>
      <c r="K1117" s="3">
        <v>43068.480000000003</v>
      </c>
      <c r="L1117" s="3">
        <f>Table1[[#This Row],[Price Per Unit]]*Table1[[#This Row],[Units Sold]]</f>
        <v>172273.92000000001</v>
      </c>
      <c r="M1117" s="3" t="s">
        <v>548</v>
      </c>
      <c r="N1117" s="3">
        <v>32</v>
      </c>
      <c r="O1117" s="3" t="s">
        <v>125</v>
      </c>
      <c r="P1117" s="3" t="s">
        <v>21</v>
      </c>
      <c r="Q1117" s="4">
        <v>3</v>
      </c>
      <c r="R1117" s="4" t="str">
        <f>IF(Table1[[#This Row],[Customer Ratings]]&gt;=4, "Good",IF(Table1[[#This Row],[Customer Ratings]]=3, "Average","Poor"))</f>
        <v>Average</v>
      </c>
      <c r="S1117" s="3" t="s">
        <v>17</v>
      </c>
    </row>
    <row r="1118" spans="1:19" x14ac:dyDescent="0.25">
      <c r="A1118" s="3">
        <v>1117</v>
      </c>
      <c r="B1118" s="5">
        <f>DATE(Table1[[#This Row],[Year]],Table1[[#This Row],[Month]],Table1[[#This Row],[Day]])</f>
        <v>44797</v>
      </c>
      <c r="C1118" s="3">
        <v>24</v>
      </c>
      <c r="D1118" s="3">
        <v>8</v>
      </c>
      <c r="E1118" s="3">
        <v>2022</v>
      </c>
      <c r="F1118" s="3" t="str">
        <f>"Qtr"&amp; " " &amp;CHOOSE(MONTH(Table1[[#This Row],[Date]]),1,1,1,2,2,2,3,3,3,4,4,4)</f>
        <v>Qtr 3</v>
      </c>
      <c r="G1118" s="3" t="str">
        <f>TEXT(Table1[[#This Row],[Date]],"mmmm")</f>
        <v>August</v>
      </c>
      <c r="H1118" s="3" t="s">
        <v>1083</v>
      </c>
      <c r="I1118" s="3" t="s">
        <v>28</v>
      </c>
      <c r="J1118" s="3">
        <v>9</v>
      </c>
      <c r="K1118" s="3">
        <v>52520.85</v>
      </c>
      <c r="L1118" s="3">
        <f>Table1[[#This Row],[Price Per Unit]]*Table1[[#This Row],[Units Sold]]</f>
        <v>472687.64999999997</v>
      </c>
      <c r="M1118" s="3" t="s">
        <v>170</v>
      </c>
      <c r="N1118" s="3">
        <v>23</v>
      </c>
      <c r="O1118" s="3" t="s">
        <v>24</v>
      </c>
      <c r="P1118" s="3" t="s">
        <v>31</v>
      </c>
      <c r="Q1118" s="4">
        <v>3</v>
      </c>
      <c r="R1118" s="4" t="str">
        <f>IF(Table1[[#This Row],[Customer Ratings]]&gt;=4, "Good",IF(Table1[[#This Row],[Customer Ratings]]=3, "Average","Poor"))</f>
        <v>Average</v>
      </c>
      <c r="S1118" s="3" t="s">
        <v>87</v>
      </c>
    </row>
    <row r="1119" spans="1:19" x14ac:dyDescent="0.25">
      <c r="A1119" s="3">
        <v>1118</v>
      </c>
      <c r="B1119" s="5">
        <f>DATE(Table1[[#This Row],[Year]],Table1[[#This Row],[Month]],Table1[[#This Row],[Day]])</f>
        <v>44797</v>
      </c>
      <c r="C1119" s="3">
        <v>24</v>
      </c>
      <c r="D1119" s="3">
        <v>8</v>
      </c>
      <c r="E1119" s="3">
        <v>2022</v>
      </c>
      <c r="F1119" s="3" t="str">
        <f>"Qtr"&amp; " " &amp;CHOOSE(MONTH(Table1[[#This Row],[Date]]),1,1,1,2,2,2,3,3,3,4,4,4)</f>
        <v>Qtr 3</v>
      </c>
      <c r="G1119" s="3" t="str">
        <f>TEXT(Table1[[#This Row],[Date]],"mmmm")</f>
        <v>August</v>
      </c>
      <c r="H1119" s="3" t="s">
        <v>1083</v>
      </c>
      <c r="I1119" s="3" t="s">
        <v>28</v>
      </c>
      <c r="J1119" s="3">
        <v>6</v>
      </c>
      <c r="K1119" s="3">
        <v>16866.29</v>
      </c>
      <c r="L1119" s="3">
        <f>Table1[[#This Row],[Price Per Unit]]*Table1[[#This Row],[Units Sold]]</f>
        <v>101197.74</v>
      </c>
      <c r="M1119" s="3" t="s">
        <v>739</v>
      </c>
      <c r="N1119" s="3">
        <v>32</v>
      </c>
      <c r="O1119" s="3" t="s">
        <v>35</v>
      </c>
      <c r="P1119" s="3" t="s">
        <v>45</v>
      </c>
      <c r="Q1119" s="4">
        <v>3</v>
      </c>
      <c r="R1119" s="4" t="str">
        <f>IF(Table1[[#This Row],[Customer Ratings]]&gt;=4, "Good",IF(Table1[[#This Row],[Customer Ratings]]=3, "Average","Poor"))</f>
        <v>Average</v>
      </c>
      <c r="S1119" s="3" t="s">
        <v>32</v>
      </c>
    </row>
    <row r="1120" spans="1:19" x14ac:dyDescent="0.25">
      <c r="A1120" s="3">
        <v>1119</v>
      </c>
      <c r="B1120" s="5">
        <f>DATE(Table1[[#This Row],[Year]],Table1[[#This Row],[Month]],Table1[[#This Row],[Day]])</f>
        <v>44797</v>
      </c>
      <c r="C1120" s="3">
        <v>24</v>
      </c>
      <c r="D1120" s="3">
        <v>8</v>
      </c>
      <c r="E1120" s="3">
        <v>2022</v>
      </c>
      <c r="F1120" s="3" t="str">
        <f>"Qtr"&amp; " " &amp;CHOOSE(MONTH(Table1[[#This Row],[Date]]),1,1,1,2,2,2,3,3,3,4,4,4)</f>
        <v>Qtr 3</v>
      </c>
      <c r="G1120" s="3" t="str">
        <f>TEXT(Table1[[#This Row],[Date]],"mmmm")</f>
        <v>August</v>
      </c>
      <c r="H1120" s="3" t="s">
        <v>1083</v>
      </c>
      <c r="I1120" s="3" t="s">
        <v>39</v>
      </c>
      <c r="J1120" s="3">
        <v>8</v>
      </c>
      <c r="K1120" s="3">
        <v>28325.97</v>
      </c>
      <c r="L1120" s="3">
        <f>Table1[[#This Row],[Price Per Unit]]*Table1[[#This Row],[Units Sold]]</f>
        <v>226607.76</v>
      </c>
      <c r="M1120" s="3" t="s">
        <v>740</v>
      </c>
      <c r="N1120" s="3">
        <v>37</v>
      </c>
      <c r="O1120" s="3" t="s">
        <v>65</v>
      </c>
      <c r="P1120" s="3" t="s">
        <v>31</v>
      </c>
      <c r="Q1120" s="4">
        <v>3</v>
      </c>
      <c r="R1120" s="4" t="str">
        <f>IF(Table1[[#This Row],[Customer Ratings]]&gt;=4, "Good",IF(Table1[[#This Row],[Customer Ratings]]=3, "Average","Poor"))</f>
        <v>Average</v>
      </c>
      <c r="S1120" s="3" t="s">
        <v>76</v>
      </c>
    </row>
    <row r="1121" spans="1:19" x14ac:dyDescent="0.25">
      <c r="A1121" s="3">
        <v>1120</v>
      </c>
      <c r="B1121" s="5">
        <f>DATE(Table1[[#This Row],[Year]],Table1[[#This Row],[Month]],Table1[[#This Row],[Day]])</f>
        <v>44798</v>
      </c>
      <c r="C1121" s="3">
        <v>25</v>
      </c>
      <c r="D1121" s="3">
        <v>8</v>
      </c>
      <c r="E1121" s="3">
        <v>2022</v>
      </c>
      <c r="F1121" s="3" t="str">
        <f>"Qtr"&amp; " " &amp;CHOOSE(MONTH(Table1[[#This Row],[Date]]),1,1,1,2,2,2,3,3,3,4,4,4)</f>
        <v>Qtr 3</v>
      </c>
      <c r="G1121" s="3" t="str">
        <f>TEXT(Table1[[#This Row],[Date]],"mmmm")</f>
        <v>August</v>
      </c>
      <c r="H1121" s="3" t="s">
        <v>1084</v>
      </c>
      <c r="I1121" s="3" t="s">
        <v>28</v>
      </c>
      <c r="J1121" s="3">
        <v>2</v>
      </c>
      <c r="K1121" s="3">
        <v>56875.42</v>
      </c>
      <c r="L1121" s="3">
        <f>Table1[[#This Row],[Price Per Unit]]*Table1[[#This Row],[Units Sold]]</f>
        <v>113750.84</v>
      </c>
      <c r="M1121" s="3" t="s">
        <v>688</v>
      </c>
      <c r="N1121" s="3">
        <v>51</v>
      </c>
      <c r="O1121" s="3" t="s">
        <v>20</v>
      </c>
      <c r="P1121" s="3" t="s">
        <v>31</v>
      </c>
      <c r="Q1121" s="4">
        <v>3</v>
      </c>
      <c r="R1121" s="4" t="str">
        <f>IF(Table1[[#This Row],[Customer Ratings]]&gt;=4, "Good",IF(Table1[[#This Row],[Customer Ratings]]=3, "Average","Poor"))</f>
        <v>Average</v>
      </c>
      <c r="S1121" s="3" t="s">
        <v>32</v>
      </c>
    </row>
    <row r="1122" spans="1:19" x14ac:dyDescent="0.25">
      <c r="A1122" s="3">
        <v>1121</v>
      </c>
      <c r="B1122" s="5">
        <f>DATE(Table1[[#This Row],[Year]],Table1[[#This Row],[Month]],Table1[[#This Row],[Day]])</f>
        <v>44798</v>
      </c>
      <c r="C1122" s="3">
        <v>25</v>
      </c>
      <c r="D1122" s="3">
        <v>8</v>
      </c>
      <c r="E1122" s="3">
        <v>2022</v>
      </c>
      <c r="F1122" s="3" t="str">
        <f>"Qtr"&amp; " " &amp;CHOOSE(MONTH(Table1[[#This Row],[Date]]),1,1,1,2,2,2,3,3,3,4,4,4)</f>
        <v>Qtr 3</v>
      </c>
      <c r="G1122" s="3" t="str">
        <f>TEXT(Table1[[#This Row],[Date]],"mmmm")</f>
        <v>August</v>
      </c>
      <c r="H1122" s="3" t="s">
        <v>1084</v>
      </c>
      <c r="I1122" s="3" t="s">
        <v>13</v>
      </c>
      <c r="J1122" s="3">
        <v>7</v>
      </c>
      <c r="K1122" s="3">
        <v>31955.17</v>
      </c>
      <c r="L1122" s="3">
        <f>Table1[[#This Row],[Price Per Unit]]*Table1[[#This Row],[Units Sold]]</f>
        <v>223686.19</v>
      </c>
      <c r="M1122" s="3" t="s">
        <v>192</v>
      </c>
      <c r="N1122" s="3">
        <v>19</v>
      </c>
      <c r="O1122" s="3" t="s">
        <v>20</v>
      </c>
      <c r="P1122" s="3" t="s">
        <v>21</v>
      </c>
      <c r="Q1122" s="4">
        <v>3</v>
      </c>
      <c r="R1122" s="4" t="str">
        <f>IF(Table1[[#This Row],[Customer Ratings]]&gt;=4, "Good",IF(Table1[[#This Row],[Customer Ratings]]=3, "Average","Poor"))</f>
        <v>Average</v>
      </c>
      <c r="S1122" s="3" t="s">
        <v>27</v>
      </c>
    </row>
    <row r="1123" spans="1:19" x14ac:dyDescent="0.25">
      <c r="A1123" s="3">
        <v>1122</v>
      </c>
      <c r="B1123" s="5">
        <f>DATE(Table1[[#This Row],[Year]],Table1[[#This Row],[Month]],Table1[[#This Row],[Day]])</f>
        <v>44798</v>
      </c>
      <c r="C1123" s="3">
        <v>25</v>
      </c>
      <c r="D1123" s="3">
        <v>8</v>
      </c>
      <c r="E1123" s="3">
        <v>2022</v>
      </c>
      <c r="F1123" s="3" t="str">
        <f>"Qtr"&amp; " " &amp;CHOOSE(MONTH(Table1[[#This Row],[Date]]),1,1,1,2,2,2,3,3,3,4,4,4)</f>
        <v>Qtr 3</v>
      </c>
      <c r="G1123" s="3" t="str">
        <f>TEXT(Table1[[#This Row],[Date]],"mmmm")</f>
        <v>August</v>
      </c>
      <c r="H1123" s="3" t="s">
        <v>1084</v>
      </c>
      <c r="I1123" s="3" t="s">
        <v>13</v>
      </c>
      <c r="J1123" s="3">
        <v>6</v>
      </c>
      <c r="K1123" s="3">
        <v>24496.15</v>
      </c>
      <c r="L1123" s="3">
        <f>Table1[[#This Row],[Price Per Unit]]*Table1[[#This Row],[Units Sold]]</f>
        <v>146976.90000000002</v>
      </c>
      <c r="M1123" s="3" t="s">
        <v>404</v>
      </c>
      <c r="N1123" s="3">
        <v>33</v>
      </c>
      <c r="O1123" s="3" t="s">
        <v>48</v>
      </c>
      <c r="P1123" s="3" t="s">
        <v>31</v>
      </c>
      <c r="Q1123" s="4">
        <v>5</v>
      </c>
      <c r="R1123" s="4" t="str">
        <f>IF(Table1[[#This Row],[Customer Ratings]]&gt;=4, "Good",IF(Table1[[#This Row],[Customer Ratings]]=3, "Average","Poor"))</f>
        <v>Good</v>
      </c>
      <c r="S1123" s="3" t="s">
        <v>72</v>
      </c>
    </row>
    <row r="1124" spans="1:19" x14ac:dyDescent="0.25">
      <c r="A1124" s="3">
        <v>1123</v>
      </c>
      <c r="B1124" s="5">
        <f>DATE(Table1[[#This Row],[Year]],Table1[[#This Row],[Month]],Table1[[#This Row],[Day]])</f>
        <v>44798</v>
      </c>
      <c r="C1124" s="3">
        <v>25</v>
      </c>
      <c r="D1124" s="3">
        <v>8</v>
      </c>
      <c r="E1124" s="3">
        <v>2022</v>
      </c>
      <c r="F1124" s="3" t="str">
        <f>"Qtr"&amp; " " &amp;CHOOSE(MONTH(Table1[[#This Row],[Date]]),1,1,1,2,2,2,3,3,3,4,4,4)</f>
        <v>Qtr 3</v>
      </c>
      <c r="G1124" s="3" t="str">
        <f>TEXT(Table1[[#This Row],[Date]],"mmmm")</f>
        <v>August</v>
      </c>
      <c r="H1124" s="3" t="s">
        <v>1084</v>
      </c>
      <c r="I1124" s="3" t="s">
        <v>28</v>
      </c>
      <c r="J1124" s="3">
        <v>9</v>
      </c>
      <c r="K1124" s="3">
        <v>50332.04</v>
      </c>
      <c r="L1124" s="3">
        <f>Table1[[#This Row],[Price Per Unit]]*Table1[[#This Row],[Units Sold]]</f>
        <v>452988.36</v>
      </c>
      <c r="M1124" s="3" t="s">
        <v>741</v>
      </c>
      <c r="N1124" s="3">
        <v>36</v>
      </c>
      <c r="O1124" s="3" t="s">
        <v>120</v>
      </c>
      <c r="P1124" s="3" t="s">
        <v>16</v>
      </c>
      <c r="Q1124" s="4">
        <v>5</v>
      </c>
      <c r="R1124" s="4" t="str">
        <f>IF(Table1[[#This Row],[Customer Ratings]]&gt;=4, "Good",IF(Table1[[#This Row],[Customer Ratings]]=3, "Average","Poor"))</f>
        <v>Good</v>
      </c>
      <c r="S1124" s="3" t="s">
        <v>87</v>
      </c>
    </row>
    <row r="1125" spans="1:19" x14ac:dyDescent="0.25">
      <c r="A1125" s="3">
        <v>1124</v>
      </c>
      <c r="B1125" s="5">
        <f>DATE(Table1[[#This Row],[Year]],Table1[[#This Row],[Month]],Table1[[#This Row],[Day]])</f>
        <v>44799</v>
      </c>
      <c r="C1125" s="3">
        <v>26</v>
      </c>
      <c r="D1125" s="3">
        <v>8</v>
      </c>
      <c r="E1125" s="3">
        <v>2022</v>
      </c>
      <c r="F1125" s="3" t="str">
        <f>"Qtr"&amp; " " &amp;CHOOSE(MONTH(Table1[[#This Row],[Date]]),1,1,1,2,2,2,3,3,3,4,4,4)</f>
        <v>Qtr 3</v>
      </c>
      <c r="G1125" s="3" t="str">
        <f>TEXT(Table1[[#This Row],[Date]],"mmmm")</f>
        <v>August</v>
      </c>
      <c r="H1125" s="3" t="s">
        <v>1085</v>
      </c>
      <c r="I1125" s="3" t="s">
        <v>13</v>
      </c>
      <c r="J1125" s="3">
        <v>7</v>
      </c>
      <c r="K1125" s="3">
        <v>21805.53</v>
      </c>
      <c r="L1125" s="3">
        <f>Table1[[#This Row],[Price Per Unit]]*Table1[[#This Row],[Units Sold]]</f>
        <v>152638.71</v>
      </c>
      <c r="M1125" s="3" t="s">
        <v>73</v>
      </c>
      <c r="N1125" s="3">
        <v>51</v>
      </c>
      <c r="O1125" s="3" t="s">
        <v>65</v>
      </c>
      <c r="P1125" s="3" t="s">
        <v>16</v>
      </c>
      <c r="Q1125" s="4">
        <v>5</v>
      </c>
      <c r="R1125" s="4" t="str">
        <f>IF(Table1[[#This Row],[Customer Ratings]]&gt;=4, "Good",IF(Table1[[#This Row],[Customer Ratings]]=3, "Average","Poor"))</f>
        <v>Good</v>
      </c>
      <c r="S1125" s="3" t="s">
        <v>27</v>
      </c>
    </row>
    <row r="1126" spans="1:19" x14ac:dyDescent="0.25">
      <c r="A1126" s="3">
        <v>1125</v>
      </c>
      <c r="B1126" s="5">
        <f>DATE(Table1[[#This Row],[Year]],Table1[[#This Row],[Month]],Table1[[#This Row],[Day]])</f>
        <v>44799</v>
      </c>
      <c r="C1126" s="3">
        <v>26</v>
      </c>
      <c r="D1126" s="3">
        <v>8</v>
      </c>
      <c r="E1126" s="3">
        <v>2022</v>
      </c>
      <c r="F1126" s="3" t="str">
        <f>"Qtr"&amp; " " &amp;CHOOSE(MONTH(Table1[[#This Row],[Date]]),1,1,1,2,2,2,3,3,3,4,4,4)</f>
        <v>Qtr 3</v>
      </c>
      <c r="G1126" s="3" t="str">
        <f>TEXT(Table1[[#This Row],[Date]],"mmmm")</f>
        <v>August</v>
      </c>
      <c r="H1126" s="3" t="s">
        <v>1085</v>
      </c>
      <c r="I1126" s="3" t="s">
        <v>39</v>
      </c>
      <c r="J1126" s="3">
        <v>1</v>
      </c>
      <c r="K1126" s="3">
        <v>63739.18</v>
      </c>
      <c r="L1126" s="3">
        <f>Table1[[#This Row],[Price Per Unit]]*Table1[[#This Row],[Units Sold]]</f>
        <v>63739.18</v>
      </c>
      <c r="M1126" s="3" t="s">
        <v>257</v>
      </c>
      <c r="N1126" s="3">
        <v>31</v>
      </c>
      <c r="O1126" s="3" t="s">
        <v>20</v>
      </c>
      <c r="P1126" s="3" t="s">
        <v>45</v>
      </c>
      <c r="Q1126" s="4">
        <v>5</v>
      </c>
      <c r="R1126" s="4" t="str">
        <f>IF(Table1[[#This Row],[Customer Ratings]]&gt;=4, "Good",IF(Table1[[#This Row],[Customer Ratings]]=3, "Average","Poor"))</f>
        <v>Good</v>
      </c>
      <c r="S1126" s="3" t="s">
        <v>76</v>
      </c>
    </row>
    <row r="1127" spans="1:19" x14ac:dyDescent="0.25">
      <c r="A1127" s="3">
        <v>1126</v>
      </c>
      <c r="B1127" s="5">
        <f>DATE(Table1[[#This Row],[Year]],Table1[[#This Row],[Month]],Table1[[#This Row],[Day]])</f>
        <v>44799</v>
      </c>
      <c r="C1127" s="3">
        <v>26</v>
      </c>
      <c r="D1127" s="3">
        <v>8</v>
      </c>
      <c r="E1127" s="3">
        <v>2022</v>
      </c>
      <c r="F1127" s="3" t="str">
        <f>"Qtr"&amp; " " &amp;CHOOSE(MONTH(Table1[[#This Row],[Date]]),1,1,1,2,2,2,3,3,3,4,4,4)</f>
        <v>Qtr 3</v>
      </c>
      <c r="G1127" s="3" t="str">
        <f>TEXT(Table1[[#This Row],[Date]],"mmmm")</f>
        <v>August</v>
      </c>
      <c r="H1127" s="3" t="s">
        <v>1085</v>
      </c>
      <c r="I1127" s="3" t="s">
        <v>33</v>
      </c>
      <c r="J1127" s="3">
        <v>8</v>
      </c>
      <c r="K1127" s="3">
        <v>16335.9</v>
      </c>
      <c r="L1127" s="3">
        <f>Table1[[#This Row],[Price Per Unit]]*Table1[[#This Row],[Units Sold]]</f>
        <v>130687.2</v>
      </c>
      <c r="M1127" s="3" t="s">
        <v>742</v>
      </c>
      <c r="N1127" s="3">
        <v>41</v>
      </c>
      <c r="O1127" s="3" t="s">
        <v>24</v>
      </c>
      <c r="P1127" s="3" t="s">
        <v>16</v>
      </c>
      <c r="Q1127" s="4">
        <v>3</v>
      </c>
      <c r="R1127" s="4" t="str">
        <f>IF(Table1[[#This Row],[Customer Ratings]]&gt;=4, "Good",IF(Table1[[#This Row],[Customer Ratings]]=3, "Average","Poor"))</f>
        <v>Average</v>
      </c>
      <c r="S1127" s="3" t="s">
        <v>36</v>
      </c>
    </row>
    <row r="1128" spans="1:19" x14ac:dyDescent="0.25">
      <c r="A1128" s="3">
        <v>1127</v>
      </c>
      <c r="B1128" s="5">
        <f>DATE(Table1[[#This Row],[Year]],Table1[[#This Row],[Month]],Table1[[#This Row],[Day]])</f>
        <v>44800</v>
      </c>
      <c r="C1128" s="3">
        <v>27</v>
      </c>
      <c r="D1128" s="3">
        <v>8</v>
      </c>
      <c r="E1128" s="3">
        <v>2022</v>
      </c>
      <c r="F1128" s="3" t="str">
        <f>"Qtr"&amp; " " &amp;CHOOSE(MONTH(Table1[[#This Row],[Date]]),1,1,1,2,2,2,3,3,3,4,4,4)</f>
        <v>Qtr 3</v>
      </c>
      <c r="G1128" s="3" t="str">
        <f>TEXT(Table1[[#This Row],[Date]],"mmmm")</f>
        <v>August</v>
      </c>
      <c r="H1128" s="3" t="s">
        <v>1079</v>
      </c>
      <c r="I1128" s="3" t="s">
        <v>39</v>
      </c>
      <c r="J1128" s="3">
        <v>3</v>
      </c>
      <c r="K1128" s="3">
        <v>52392.99</v>
      </c>
      <c r="L1128" s="3">
        <f>Table1[[#This Row],[Price Per Unit]]*Table1[[#This Row],[Units Sold]]</f>
        <v>157178.97</v>
      </c>
      <c r="M1128" s="3" t="s">
        <v>477</v>
      </c>
      <c r="N1128" s="3">
        <v>45</v>
      </c>
      <c r="O1128" s="3" t="s">
        <v>20</v>
      </c>
      <c r="P1128" s="3" t="s">
        <v>16</v>
      </c>
      <c r="Q1128" s="4">
        <v>5</v>
      </c>
      <c r="R1128" s="4" t="str">
        <f>IF(Table1[[#This Row],[Customer Ratings]]&gt;=4, "Good",IF(Table1[[#This Row],[Customer Ratings]]=3, "Average","Poor"))</f>
        <v>Good</v>
      </c>
      <c r="S1128" s="3" t="s">
        <v>90</v>
      </c>
    </row>
    <row r="1129" spans="1:19" x14ac:dyDescent="0.25">
      <c r="A1129" s="3">
        <v>1128</v>
      </c>
      <c r="B1129" s="5">
        <f>DATE(Table1[[#This Row],[Year]],Table1[[#This Row],[Month]],Table1[[#This Row],[Day]])</f>
        <v>44800</v>
      </c>
      <c r="C1129" s="3">
        <v>27</v>
      </c>
      <c r="D1129" s="3">
        <v>8</v>
      </c>
      <c r="E1129" s="3">
        <v>2022</v>
      </c>
      <c r="F1129" s="3" t="str">
        <f>"Qtr"&amp; " " &amp;CHOOSE(MONTH(Table1[[#This Row],[Date]]),1,1,1,2,2,2,3,3,3,4,4,4)</f>
        <v>Qtr 3</v>
      </c>
      <c r="G1129" s="3" t="str">
        <f>TEXT(Table1[[#This Row],[Date]],"mmmm")</f>
        <v>August</v>
      </c>
      <c r="H1129" s="3" t="s">
        <v>1079</v>
      </c>
      <c r="I1129" s="3" t="s">
        <v>39</v>
      </c>
      <c r="J1129" s="3">
        <v>2</v>
      </c>
      <c r="K1129" s="3">
        <v>39972.92</v>
      </c>
      <c r="L1129" s="3">
        <f>Table1[[#This Row],[Price Per Unit]]*Table1[[#This Row],[Units Sold]]</f>
        <v>79945.84</v>
      </c>
      <c r="M1129" s="3" t="s">
        <v>743</v>
      </c>
      <c r="N1129" s="3">
        <v>49</v>
      </c>
      <c r="O1129" s="3" t="s">
        <v>24</v>
      </c>
      <c r="P1129" s="3" t="s">
        <v>21</v>
      </c>
      <c r="Q1129" s="4">
        <v>3</v>
      </c>
      <c r="R1129" s="4" t="str">
        <f>IF(Table1[[#This Row],[Customer Ratings]]&gt;=4, "Good",IF(Table1[[#This Row],[Customer Ratings]]=3, "Average","Poor"))</f>
        <v>Average</v>
      </c>
      <c r="S1129" s="3" t="s">
        <v>90</v>
      </c>
    </row>
    <row r="1130" spans="1:19" x14ac:dyDescent="0.25">
      <c r="A1130" s="3">
        <v>1129</v>
      </c>
      <c r="B1130" s="5">
        <f>DATE(Table1[[#This Row],[Year]],Table1[[#This Row],[Month]],Table1[[#This Row],[Day]])</f>
        <v>44800</v>
      </c>
      <c r="C1130" s="3">
        <v>27</v>
      </c>
      <c r="D1130" s="3">
        <v>8</v>
      </c>
      <c r="E1130" s="3">
        <v>2022</v>
      </c>
      <c r="F1130" s="3" t="str">
        <f>"Qtr"&amp; " " &amp;CHOOSE(MONTH(Table1[[#This Row],[Date]]),1,1,1,2,2,2,3,3,3,4,4,4)</f>
        <v>Qtr 3</v>
      </c>
      <c r="G1130" s="3" t="str">
        <f>TEXT(Table1[[#This Row],[Date]],"mmmm")</f>
        <v>August</v>
      </c>
      <c r="H1130" s="3" t="s">
        <v>1079</v>
      </c>
      <c r="I1130" s="3" t="s">
        <v>13</v>
      </c>
      <c r="J1130" s="3">
        <v>3</v>
      </c>
      <c r="K1130" s="3">
        <v>62195.77</v>
      </c>
      <c r="L1130" s="3">
        <f>Table1[[#This Row],[Price Per Unit]]*Table1[[#This Row],[Units Sold]]</f>
        <v>186587.31</v>
      </c>
      <c r="M1130" s="3" t="s">
        <v>196</v>
      </c>
      <c r="N1130" s="3">
        <v>54</v>
      </c>
      <c r="O1130" s="3" t="s">
        <v>24</v>
      </c>
      <c r="P1130" s="3" t="s">
        <v>16</v>
      </c>
      <c r="Q1130" s="4">
        <v>5</v>
      </c>
      <c r="R1130" s="4" t="str">
        <f>IF(Table1[[#This Row],[Customer Ratings]]&gt;=4, "Good",IF(Table1[[#This Row],[Customer Ratings]]=3, "Average","Poor"))</f>
        <v>Good</v>
      </c>
      <c r="S1130" s="3" t="s">
        <v>72</v>
      </c>
    </row>
    <row r="1131" spans="1:19" x14ac:dyDescent="0.25">
      <c r="A1131" s="3">
        <v>1130</v>
      </c>
      <c r="B1131" s="5">
        <f>DATE(Table1[[#This Row],[Year]],Table1[[#This Row],[Month]],Table1[[#This Row],[Day]])</f>
        <v>44800</v>
      </c>
      <c r="C1131" s="3">
        <v>27</v>
      </c>
      <c r="D1131" s="3">
        <v>8</v>
      </c>
      <c r="E1131" s="3">
        <v>2022</v>
      </c>
      <c r="F1131" s="3" t="str">
        <f>"Qtr"&amp; " " &amp;CHOOSE(MONTH(Table1[[#This Row],[Date]]),1,1,1,2,2,2,3,3,3,4,4,4)</f>
        <v>Qtr 3</v>
      </c>
      <c r="G1131" s="3" t="str">
        <f>TEXT(Table1[[#This Row],[Date]],"mmmm")</f>
        <v>August</v>
      </c>
      <c r="H1131" s="3" t="s">
        <v>1079</v>
      </c>
      <c r="I1131" s="3" t="s">
        <v>33</v>
      </c>
      <c r="J1131" s="3">
        <v>6</v>
      </c>
      <c r="K1131" s="3">
        <v>17571.71</v>
      </c>
      <c r="L1131" s="3">
        <f>Table1[[#This Row],[Price Per Unit]]*Table1[[#This Row],[Units Sold]]</f>
        <v>105430.26</v>
      </c>
      <c r="M1131" s="3" t="s">
        <v>693</v>
      </c>
      <c r="N1131" s="3">
        <v>27</v>
      </c>
      <c r="O1131" s="3" t="s">
        <v>52</v>
      </c>
      <c r="P1131" s="3" t="s">
        <v>31</v>
      </c>
      <c r="Q1131" s="4">
        <v>4</v>
      </c>
      <c r="R1131" s="4" t="str">
        <f>IF(Table1[[#This Row],[Customer Ratings]]&gt;=4, "Good",IF(Table1[[#This Row],[Customer Ratings]]=3, "Average","Poor"))</f>
        <v>Good</v>
      </c>
      <c r="S1131" s="3" t="s">
        <v>36</v>
      </c>
    </row>
    <row r="1132" spans="1:19" x14ac:dyDescent="0.25">
      <c r="A1132" s="3">
        <v>1131</v>
      </c>
      <c r="B1132" s="5">
        <f>DATE(Table1[[#This Row],[Year]],Table1[[#This Row],[Month]],Table1[[#This Row],[Day]])</f>
        <v>44801</v>
      </c>
      <c r="C1132" s="3">
        <v>28</v>
      </c>
      <c r="D1132" s="3">
        <v>8</v>
      </c>
      <c r="E1132" s="3">
        <v>2022</v>
      </c>
      <c r="F1132" s="3" t="str">
        <f>"Qtr"&amp; " " &amp;CHOOSE(MONTH(Table1[[#This Row],[Date]]),1,1,1,2,2,2,3,3,3,4,4,4)</f>
        <v>Qtr 3</v>
      </c>
      <c r="G1132" s="3" t="str">
        <f>TEXT(Table1[[#This Row],[Date]],"mmmm")</f>
        <v>August</v>
      </c>
      <c r="H1132" s="3" t="s">
        <v>1080</v>
      </c>
      <c r="I1132" s="3" t="s">
        <v>13</v>
      </c>
      <c r="J1132" s="3">
        <v>3</v>
      </c>
      <c r="K1132" s="3">
        <v>50673.7</v>
      </c>
      <c r="L1132" s="3">
        <f>Table1[[#This Row],[Price Per Unit]]*Table1[[#This Row],[Units Sold]]</f>
        <v>152021.09999999998</v>
      </c>
      <c r="M1132" s="3" t="s">
        <v>624</v>
      </c>
      <c r="N1132" s="3">
        <v>26</v>
      </c>
      <c r="O1132" s="3" t="s">
        <v>105</v>
      </c>
      <c r="P1132" s="3" t="s">
        <v>31</v>
      </c>
      <c r="Q1132" s="4">
        <v>5</v>
      </c>
      <c r="R1132" s="4" t="str">
        <f>IF(Table1[[#This Row],[Customer Ratings]]&gt;=4, "Good",IF(Table1[[#This Row],[Customer Ratings]]=3, "Average","Poor"))</f>
        <v>Good</v>
      </c>
      <c r="S1132" s="3" t="s">
        <v>17</v>
      </c>
    </row>
    <row r="1133" spans="1:19" x14ac:dyDescent="0.25">
      <c r="A1133" s="3">
        <v>1132</v>
      </c>
      <c r="B1133" s="5">
        <f>DATE(Table1[[#This Row],[Year]],Table1[[#This Row],[Month]],Table1[[#This Row],[Day]])</f>
        <v>44801</v>
      </c>
      <c r="C1133" s="3">
        <v>28</v>
      </c>
      <c r="D1133" s="3">
        <v>8</v>
      </c>
      <c r="E1133" s="3">
        <v>2022</v>
      </c>
      <c r="F1133" s="3" t="str">
        <f>"Qtr"&amp; " " &amp;CHOOSE(MONTH(Table1[[#This Row],[Date]]),1,1,1,2,2,2,3,3,3,4,4,4)</f>
        <v>Qtr 3</v>
      </c>
      <c r="G1133" s="3" t="str">
        <f>TEXT(Table1[[#This Row],[Date]],"mmmm")</f>
        <v>August</v>
      </c>
      <c r="H1133" s="3" t="s">
        <v>1080</v>
      </c>
      <c r="I1133" s="3" t="s">
        <v>18</v>
      </c>
      <c r="J1133" s="3">
        <v>5</v>
      </c>
      <c r="K1133" s="3">
        <v>44323.28</v>
      </c>
      <c r="L1133" s="3">
        <f>Table1[[#This Row],[Price Per Unit]]*Table1[[#This Row],[Units Sold]]</f>
        <v>221616.4</v>
      </c>
      <c r="M1133" s="3" t="s">
        <v>298</v>
      </c>
      <c r="N1133" s="3">
        <v>41</v>
      </c>
      <c r="O1133" s="3" t="s">
        <v>20</v>
      </c>
      <c r="P1133" s="3" t="s">
        <v>16</v>
      </c>
      <c r="Q1133" s="4">
        <v>1</v>
      </c>
      <c r="R1133" s="4" t="str">
        <f>IF(Table1[[#This Row],[Customer Ratings]]&gt;=4, "Good",IF(Table1[[#This Row],[Customer Ratings]]=3, "Average","Poor"))</f>
        <v>Poor</v>
      </c>
      <c r="S1133" s="3" t="s">
        <v>55</v>
      </c>
    </row>
    <row r="1134" spans="1:19" x14ac:dyDescent="0.25">
      <c r="A1134" s="3">
        <v>1133</v>
      </c>
      <c r="B1134" s="5">
        <f>DATE(Table1[[#This Row],[Year]],Table1[[#This Row],[Month]],Table1[[#This Row],[Day]])</f>
        <v>44801</v>
      </c>
      <c r="C1134" s="3">
        <v>28</v>
      </c>
      <c r="D1134" s="3">
        <v>8</v>
      </c>
      <c r="E1134" s="3">
        <v>2022</v>
      </c>
      <c r="F1134" s="3" t="str">
        <f>"Qtr"&amp; " " &amp;CHOOSE(MONTH(Table1[[#This Row],[Date]]),1,1,1,2,2,2,3,3,3,4,4,4)</f>
        <v>Qtr 3</v>
      </c>
      <c r="G1134" s="3" t="str">
        <f>TEXT(Table1[[#This Row],[Date]],"mmmm")</f>
        <v>August</v>
      </c>
      <c r="H1134" s="3" t="s">
        <v>1080</v>
      </c>
      <c r="I1134" s="3" t="s">
        <v>13</v>
      </c>
      <c r="J1134" s="3">
        <v>6</v>
      </c>
      <c r="K1134" s="3">
        <v>38805.410000000003</v>
      </c>
      <c r="L1134" s="3">
        <f>Table1[[#This Row],[Price Per Unit]]*Table1[[#This Row],[Units Sold]]</f>
        <v>232832.46000000002</v>
      </c>
      <c r="M1134" s="3" t="s">
        <v>653</v>
      </c>
      <c r="N1134" s="3">
        <v>53</v>
      </c>
      <c r="O1134" s="3" t="s">
        <v>52</v>
      </c>
      <c r="P1134" s="3" t="s">
        <v>45</v>
      </c>
      <c r="Q1134" s="4">
        <v>5</v>
      </c>
      <c r="R1134" s="4" t="str">
        <f>IF(Table1[[#This Row],[Customer Ratings]]&gt;=4, "Good",IF(Table1[[#This Row],[Customer Ratings]]=3, "Average","Poor"))</f>
        <v>Good</v>
      </c>
      <c r="S1134" s="3" t="s">
        <v>27</v>
      </c>
    </row>
    <row r="1135" spans="1:19" x14ac:dyDescent="0.25">
      <c r="A1135" s="3">
        <v>1134</v>
      </c>
      <c r="B1135" s="5">
        <f>DATE(Table1[[#This Row],[Year]],Table1[[#This Row],[Month]],Table1[[#This Row],[Day]])</f>
        <v>44801</v>
      </c>
      <c r="C1135" s="3">
        <v>28</v>
      </c>
      <c r="D1135" s="3">
        <v>8</v>
      </c>
      <c r="E1135" s="3">
        <v>2022</v>
      </c>
      <c r="F1135" s="3" t="str">
        <f>"Qtr"&amp; " " &amp;CHOOSE(MONTH(Table1[[#This Row],[Date]]),1,1,1,2,2,2,3,3,3,4,4,4)</f>
        <v>Qtr 3</v>
      </c>
      <c r="G1135" s="3" t="str">
        <f>TEXT(Table1[[#This Row],[Date]],"mmmm")</f>
        <v>August</v>
      </c>
      <c r="H1135" s="3" t="s">
        <v>1080</v>
      </c>
      <c r="I1135" s="3" t="s">
        <v>13</v>
      </c>
      <c r="J1135" s="3">
        <v>8</v>
      </c>
      <c r="K1135" s="3">
        <v>39484.44</v>
      </c>
      <c r="L1135" s="3">
        <f>Table1[[#This Row],[Price Per Unit]]*Table1[[#This Row],[Units Sold]]</f>
        <v>315875.52</v>
      </c>
      <c r="M1135" s="3" t="s">
        <v>744</v>
      </c>
      <c r="N1135" s="3">
        <v>46</v>
      </c>
      <c r="O1135" s="3" t="s">
        <v>15</v>
      </c>
      <c r="P1135" s="3" t="s">
        <v>45</v>
      </c>
      <c r="Q1135" s="4">
        <v>1</v>
      </c>
      <c r="R1135" s="4" t="str">
        <f>IF(Table1[[#This Row],[Customer Ratings]]&gt;=4, "Good",IF(Table1[[#This Row],[Customer Ratings]]=3, "Average","Poor"))</f>
        <v>Poor</v>
      </c>
      <c r="S1135" s="3" t="s">
        <v>17</v>
      </c>
    </row>
    <row r="1136" spans="1:19" x14ac:dyDescent="0.25">
      <c r="A1136" s="3">
        <v>1135</v>
      </c>
      <c r="B1136" s="5">
        <f>DATE(Table1[[#This Row],[Year]],Table1[[#This Row],[Month]],Table1[[#This Row],[Day]])</f>
        <v>44802</v>
      </c>
      <c r="C1136" s="3">
        <v>29</v>
      </c>
      <c r="D1136" s="3">
        <v>8</v>
      </c>
      <c r="E1136" s="3">
        <v>2022</v>
      </c>
      <c r="F1136" s="3" t="str">
        <f>"Qtr"&amp; " " &amp;CHOOSE(MONTH(Table1[[#This Row],[Date]]),1,1,1,2,2,2,3,3,3,4,4,4)</f>
        <v>Qtr 3</v>
      </c>
      <c r="G1136" s="3" t="str">
        <f>TEXT(Table1[[#This Row],[Date]],"mmmm")</f>
        <v>August</v>
      </c>
      <c r="H1136" s="3" t="s">
        <v>1081</v>
      </c>
      <c r="I1136" s="3" t="s">
        <v>13</v>
      </c>
      <c r="J1136" s="3">
        <v>7</v>
      </c>
      <c r="K1136" s="3">
        <v>53318.62</v>
      </c>
      <c r="L1136" s="3">
        <f>Table1[[#This Row],[Price Per Unit]]*Table1[[#This Row],[Units Sold]]</f>
        <v>373230.34</v>
      </c>
      <c r="M1136" s="3" t="s">
        <v>745</v>
      </c>
      <c r="N1136" s="3">
        <v>46</v>
      </c>
      <c r="O1136" s="3" t="s">
        <v>24</v>
      </c>
      <c r="P1136" s="3" t="s">
        <v>45</v>
      </c>
      <c r="Q1136" s="4">
        <v>5</v>
      </c>
      <c r="R1136" s="4" t="str">
        <f>IF(Table1[[#This Row],[Customer Ratings]]&gt;=4, "Good",IF(Table1[[#This Row],[Customer Ratings]]=3, "Average","Poor"))</f>
        <v>Good</v>
      </c>
      <c r="S1136" s="3" t="s">
        <v>17</v>
      </c>
    </row>
    <row r="1137" spans="1:19" x14ac:dyDescent="0.25">
      <c r="A1137" s="3">
        <v>1136</v>
      </c>
      <c r="B1137" s="5">
        <f>DATE(Table1[[#This Row],[Year]],Table1[[#This Row],[Month]],Table1[[#This Row],[Day]])</f>
        <v>44802</v>
      </c>
      <c r="C1137" s="3">
        <v>29</v>
      </c>
      <c r="D1137" s="3">
        <v>8</v>
      </c>
      <c r="E1137" s="3">
        <v>2022</v>
      </c>
      <c r="F1137" s="3" t="str">
        <f>"Qtr"&amp; " " &amp;CHOOSE(MONTH(Table1[[#This Row],[Date]]),1,1,1,2,2,2,3,3,3,4,4,4)</f>
        <v>Qtr 3</v>
      </c>
      <c r="G1137" s="3" t="str">
        <f>TEXT(Table1[[#This Row],[Date]],"mmmm")</f>
        <v>August</v>
      </c>
      <c r="H1137" s="3" t="s">
        <v>1081</v>
      </c>
      <c r="I1137" s="3" t="s">
        <v>33</v>
      </c>
      <c r="J1137" s="3">
        <v>8</v>
      </c>
      <c r="K1137" s="3">
        <v>66264.5</v>
      </c>
      <c r="L1137" s="3">
        <f>Table1[[#This Row],[Price Per Unit]]*Table1[[#This Row],[Units Sold]]</f>
        <v>530116</v>
      </c>
      <c r="M1137" s="3" t="s">
        <v>101</v>
      </c>
      <c r="N1137" s="3">
        <v>40</v>
      </c>
      <c r="O1137" s="3" t="s">
        <v>24</v>
      </c>
      <c r="P1137" s="3" t="s">
        <v>16</v>
      </c>
      <c r="Q1137" s="4">
        <v>5</v>
      </c>
      <c r="R1137" s="4" t="str">
        <f>IF(Table1[[#This Row],[Customer Ratings]]&gt;=4, "Good",IF(Table1[[#This Row],[Customer Ratings]]=3, "Average","Poor"))</f>
        <v>Good</v>
      </c>
      <c r="S1137" s="3" t="s">
        <v>46</v>
      </c>
    </row>
    <row r="1138" spans="1:19" x14ac:dyDescent="0.25">
      <c r="A1138" s="3">
        <v>1137</v>
      </c>
      <c r="B1138" s="5">
        <f>DATE(Table1[[#This Row],[Year]],Table1[[#This Row],[Month]],Table1[[#This Row],[Day]])</f>
        <v>44802</v>
      </c>
      <c r="C1138" s="3">
        <v>29</v>
      </c>
      <c r="D1138" s="3">
        <v>8</v>
      </c>
      <c r="E1138" s="3">
        <v>2022</v>
      </c>
      <c r="F1138" s="3" t="str">
        <f>"Qtr"&amp; " " &amp;CHOOSE(MONTH(Table1[[#This Row],[Date]]),1,1,1,2,2,2,3,3,3,4,4,4)</f>
        <v>Qtr 3</v>
      </c>
      <c r="G1138" s="3" t="str">
        <f>TEXT(Table1[[#This Row],[Date]],"mmmm")</f>
        <v>August</v>
      </c>
      <c r="H1138" s="3" t="s">
        <v>1081</v>
      </c>
      <c r="I1138" s="3" t="s">
        <v>13</v>
      </c>
      <c r="J1138" s="3">
        <v>3</v>
      </c>
      <c r="K1138" s="3">
        <v>15475.1</v>
      </c>
      <c r="L1138" s="3">
        <f>Table1[[#This Row],[Price Per Unit]]*Table1[[#This Row],[Units Sold]]</f>
        <v>46425.3</v>
      </c>
      <c r="M1138" s="3" t="s">
        <v>150</v>
      </c>
      <c r="N1138" s="3">
        <v>44</v>
      </c>
      <c r="O1138" s="3" t="s">
        <v>125</v>
      </c>
      <c r="P1138" s="3" t="s">
        <v>45</v>
      </c>
      <c r="Q1138" s="4">
        <v>4</v>
      </c>
      <c r="R1138" s="4" t="str">
        <f>IF(Table1[[#This Row],[Customer Ratings]]&gt;=4, "Good",IF(Table1[[#This Row],[Customer Ratings]]=3, "Average","Poor"))</f>
        <v>Good</v>
      </c>
      <c r="S1138" s="3" t="s">
        <v>27</v>
      </c>
    </row>
    <row r="1139" spans="1:19" x14ac:dyDescent="0.25">
      <c r="A1139" s="3">
        <v>1138</v>
      </c>
      <c r="B1139" s="5">
        <f>DATE(Table1[[#This Row],[Year]],Table1[[#This Row],[Month]],Table1[[#This Row],[Day]])</f>
        <v>44802</v>
      </c>
      <c r="C1139" s="3">
        <v>29</v>
      </c>
      <c r="D1139" s="3">
        <v>8</v>
      </c>
      <c r="E1139" s="3">
        <v>2022</v>
      </c>
      <c r="F1139" s="3" t="str">
        <f>"Qtr"&amp; " " &amp;CHOOSE(MONTH(Table1[[#This Row],[Date]]),1,1,1,2,2,2,3,3,3,4,4,4)</f>
        <v>Qtr 3</v>
      </c>
      <c r="G1139" s="3" t="str">
        <f>TEXT(Table1[[#This Row],[Date]],"mmmm")</f>
        <v>August</v>
      </c>
      <c r="H1139" s="3" t="s">
        <v>1081</v>
      </c>
      <c r="I1139" s="3" t="s">
        <v>33</v>
      </c>
      <c r="J1139" s="3">
        <v>4</v>
      </c>
      <c r="K1139" s="3">
        <v>11170.16</v>
      </c>
      <c r="L1139" s="3">
        <f>Table1[[#This Row],[Price Per Unit]]*Table1[[#This Row],[Units Sold]]</f>
        <v>44680.639999999999</v>
      </c>
      <c r="M1139" s="3" t="s">
        <v>746</v>
      </c>
      <c r="N1139" s="3">
        <v>48</v>
      </c>
      <c r="O1139" s="3" t="s">
        <v>125</v>
      </c>
      <c r="P1139" s="3" t="s">
        <v>16</v>
      </c>
      <c r="Q1139" s="4">
        <v>5</v>
      </c>
      <c r="R1139" s="4" t="str">
        <f>IF(Table1[[#This Row],[Customer Ratings]]&gt;=4, "Good",IF(Table1[[#This Row],[Customer Ratings]]=3, "Average","Poor"))</f>
        <v>Good</v>
      </c>
      <c r="S1139" s="3" t="s">
        <v>46</v>
      </c>
    </row>
    <row r="1140" spans="1:19" x14ac:dyDescent="0.25">
      <c r="A1140" s="3">
        <v>1139</v>
      </c>
      <c r="B1140" s="5">
        <f>DATE(Table1[[#This Row],[Year]],Table1[[#This Row],[Month]],Table1[[#This Row],[Day]])</f>
        <v>44803</v>
      </c>
      <c r="C1140" s="3">
        <v>30</v>
      </c>
      <c r="D1140" s="3">
        <v>8</v>
      </c>
      <c r="E1140" s="3">
        <v>2022</v>
      </c>
      <c r="F1140" s="3" t="str">
        <f>"Qtr"&amp; " " &amp;CHOOSE(MONTH(Table1[[#This Row],[Date]]),1,1,1,2,2,2,3,3,3,4,4,4)</f>
        <v>Qtr 3</v>
      </c>
      <c r="G1140" s="3" t="str">
        <f>TEXT(Table1[[#This Row],[Date]],"mmmm")</f>
        <v>August</v>
      </c>
      <c r="H1140" s="3" t="s">
        <v>1082</v>
      </c>
      <c r="I1140" s="3" t="s">
        <v>28</v>
      </c>
      <c r="J1140" s="3">
        <v>6</v>
      </c>
      <c r="K1140" s="3">
        <v>58342.29</v>
      </c>
      <c r="L1140" s="3">
        <f>Table1[[#This Row],[Price Per Unit]]*Table1[[#This Row],[Units Sold]]</f>
        <v>350053.74</v>
      </c>
      <c r="M1140" s="3" t="s">
        <v>747</v>
      </c>
      <c r="N1140" s="3">
        <v>24</v>
      </c>
      <c r="O1140" s="3" t="s">
        <v>24</v>
      </c>
      <c r="P1140" s="3" t="s">
        <v>31</v>
      </c>
      <c r="Q1140" s="4">
        <v>5</v>
      </c>
      <c r="R1140" s="4" t="str">
        <f>IF(Table1[[#This Row],[Customer Ratings]]&gt;=4, "Good",IF(Table1[[#This Row],[Customer Ratings]]=3, "Average","Poor"))</f>
        <v>Good</v>
      </c>
      <c r="S1140" s="3" t="s">
        <v>87</v>
      </c>
    </row>
    <row r="1141" spans="1:19" x14ac:dyDescent="0.25">
      <c r="A1141" s="3">
        <v>1140</v>
      </c>
      <c r="B1141" s="5">
        <f>DATE(Table1[[#This Row],[Year]],Table1[[#This Row],[Month]],Table1[[#This Row],[Day]])</f>
        <v>44803</v>
      </c>
      <c r="C1141" s="3">
        <v>30</v>
      </c>
      <c r="D1141" s="3">
        <v>8</v>
      </c>
      <c r="E1141" s="3">
        <v>2022</v>
      </c>
      <c r="F1141" s="3" t="str">
        <f>"Qtr"&amp; " " &amp;CHOOSE(MONTH(Table1[[#This Row],[Date]]),1,1,1,2,2,2,3,3,3,4,4,4)</f>
        <v>Qtr 3</v>
      </c>
      <c r="G1141" s="3" t="str">
        <f>TEXT(Table1[[#This Row],[Date]],"mmmm")</f>
        <v>August</v>
      </c>
      <c r="H1141" s="3" t="s">
        <v>1082</v>
      </c>
      <c r="I1141" s="3" t="s">
        <v>18</v>
      </c>
      <c r="J1141" s="3">
        <v>7</v>
      </c>
      <c r="K1141" s="3">
        <v>16490.16</v>
      </c>
      <c r="L1141" s="3">
        <f>Table1[[#This Row],[Price Per Unit]]*Table1[[#This Row],[Units Sold]]</f>
        <v>115431.12</v>
      </c>
      <c r="M1141" s="3" t="s">
        <v>546</v>
      </c>
      <c r="N1141" s="3">
        <v>21</v>
      </c>
      <c r="O1141" s="3" t="s">
        <v>20</v>
      </c>
      <c r="P1141" s="3" t="s">
        <v>45</v>
      </c>
      <c r="Q1141" s="4">
        <v>5</v>
      </c>
      <c r="R1141" s="4" t="str">
        <f>IF(Table1[[#This Row],[Customer Ratings]]&gt;=4, "Good",IF(Table1[[#This Row],[Customer Ratings]]=3, "Average","Poor"))</f>
        <v>Good</v>
      </c>
      <c r="S1141" s="3" t="s">
        <v>55</v>
      </c>
    </row>
    <row r="1142" spans="1:19" x14ac:dyDescent="0.25">
      <c r="A1142" s="3">
        <v>1141</v>
      </c>
      <c r="B1142" s="5">
        <f>DATE(Table1[[#This Row],[Year]],Table1[[#This Row],[Month]],Table1[[#This Row],[Day]])</f>
        <v>44803</v>
      </c>
      <c r="C1142" s="3">
        <v>30</v>
      </c>
      <c r="D1142" s="3">
        <v>8</v>
      </c>
      <c r="E1142" s="3">
        <v>2022</v>
      </c>
      <c r="F1142" s="3" t="str">
        <f>"Qtr"&amp; " " &amp;CHOOSE(MONTH(Table1[[#This Row],[Date]]),1,1,1,2,2,2,3,3,3,4,4,4)</f>
        <v>Qtr 3</v>
      </c>
      <c r="G1142" s="3" t="str">
        <f>TEXT(Table1[[#This Row],[Date]],"mmmm")</f>
        <v>August</v>
      </c>
      <c r="H1142" s="3" t="s">
        <v>1082</v>
      </c>
      <c r="I1142" s="3" t="s">
        <v>33</v>
      </c>
      <c r="J1142" s="3">
        <v>9</v>
      </c>
      <c r="K1142" s="3">
        <v>69201.81</v>
      </c>
      <c r="L1142" s="3">
        <f>Table1[[#This Row],[Price Per Unit]]*Table1[[#This Row],[Units Sold]]</f>
        <v>622816.29</v>
      </c>
      <c r="M1142" s="3" t="s">
        <v>425</v>
      </c>
      <c r="N1142" s="3">
        <v>31</v>
      </c>
      <c r="O1142" s="3" t="s">
        <v>20</v>
      </c>
      <c r="P1142" s="3" t="s">
        <v>45</v>
      </c>
      <c r="Q1142" s="4">
        <v>3</v>
      </c>
      <c r="R1142" s="4" t="str">
        <f>IF(Table1[[#This Row],[Customer Ratings]]&gt;=4, "Good",IF(Table1[[#This Row],[Customer Ratings]]=3, "Average","Poor"))</f>
        <v>Average</v>
      </c>
      <c r="S1142" s="3" t="s">
        <v>46</v>
      </c>
    </row>
    <row r="1143" spans="1:19" x14ac:dyDescent="0.25">
      <c r="A1143" s="3">
        <v>1142</v>
      </c>
      <c r="B1143" s="5">
        <f>DATE(Table1[[#This Row],[Year]],Table1[[#This Row],[Month]],Table1[[#This Row],[Day]])</f>
        <v>44803</v>
      </c>
      <c r="C1143" s="3">
        <v>30</v>
      </c>
      <c r="D1143" s="3">
        <v>8</v>
      </c>
      <c r="E1143" s="3">
        <v>2022</v>
      </c>
      <c r="F1143" s="3" t="str">
        <f>"Qtr"&amp; " " &amp;CHOOSE(MONTH(Table1[[#This Row],[Date]]),1,1,1,2,2,2,3,3,3,4,4,4)</f>
        <v>Qtr 3</v>
      </c>
      <c r="G1143" s="3" t="str">
        <f>TEXT(Table1[[#This Row],[Date]],"mmmm")</f>
        <v>August</v>
      </c>
      <c r="H1143" s="3" t="s">
        <v>1082</v>
      </c>
      <c r="I1143" s="3" t="s">
        <v>28</v>
      </c>
      <c r="J1143" s="3">
        <v>1</v>
      </c>
      <c r="K1143" s="3">
        <v>47160.89</v>
      </c>
      <c r="L1143" s="3">
        <f>Table1[[#This Row],[Price Per Unit]]*Table1[[#This Row],[Units Sold]]</f>
        <v>47160.89</v>
      </c>
      <c r="M1143" s="3" t="s">
        <v>79</v>
      </c>
      <c r="N1143" s="3">
        <v>59</v>
      </c>
      <c r="O1143" s="3" t="s">
        <v>48</v>
      </c>
      <c r="P1143" s="3" t="s">
        <v>45</v>
      </c>
      <c r="Q1143" s="4">
        <v>5</v>
      </c>
      <c r="R1143" s="4" t="str">
        <f>IF(Table1[[#This Row],[Customer Ratings]]&gt;=4, "Good",IF(Table1[[#This Row],[Customer Ratings]]=3, "Average","Poor"))</f>
        <v>Good</v>
      </c>
      <c r="S1143" s="3" t="s">
        <v>38</v>
      </c>
    </row>
    <row r="1144" spans="1:19" x14ac:dyDescent="0.25">
      <c r="A1144" s="3">
        <v>1143</v>
      </c>
      <c r="B1144" s="5">
        <f>DATE(Table1[[#This Row],[Year]],Table1[[#This Row],[Month]],Table1[[#This Row],[Day]])</f>
        <v>44804</v>
      </c>
      <c r="C1144" s="3">
        <v>31</v>
      </c>
      <c r="D1144" s="3">
        <v>8</v>
      </c>
      <c r="E1144" s="3">
        <v>2022</v>
      </c>
      <c r="F1144" s="3" t="str">
        <f>"Qtr"&amp; " " &amp;CHOOSE(MONTH(Table1[[#This Row],[Date]]),1,1,1,2,2,2,3,3,3,4,4,4)</f>
        <v>Qtr 3</v>
      </c>
      <c r="G1144" s="3" t="str">
        <f>TEXT(Table1[[#This Row],[Date]],"mmmm")</f>
        <v>August</v>
      </c>
      <c r="H1144" s="3" t="s">
        <v>1083</v>
      </c>
      <c r="I1144" s="3" t="s">
        <v>33</v>
      </c>
      <c r="J1144" s="3">
        <v>8</v>
      </c>
      <c r="K1144" s="3">
        <v>49051.98</v>
      </c>
      <c r="L1144" s="3">
        <f>Table1[[#This Row],[Price Per Unit]]*Table1[[#This Row],[Units Sold]]</f>
        <v>392415.84</v>
      </c>
      <c r="M1144" s="3" t="s">
        <v>488</v>
      </c>
      <c r="N1144" s="3">
        <v>59</v>
      </c>
      <c r="O1144" s="3" t="s">
        <v>20</v>
      </c>
      <c r="P1144" s="3" t="s">
        <v>31</v>
      </c>
      <c r="Q1144" s="4">
        <v>5</v>
      </c>
      <c r="R1144" s="4" t="str">
        <f>IF(Table1[[#This Row],[Customer Ratings]]&gt;=4, "Good",IF(Table1[[#This Row],[Customer Ratings]]=3, "Average","Poor"))</f>
        <v>Good</v>
      </c>
      <c r="S1144" s="3" t="s">
        <v>83</v>
      </c>
    </row>
    <row r="1145" spans="1:19" x14ac:dyDescent="0.25">
      <c r="A1145" s="3">
        <v>1144</v>
      </c>
      <c r="B1145" s="5">
        <f>DATE(Table1[[#This Row],[Year]],Table1[[#This Row],[Month]],Table1[[#This Row],[Day]])</f>
        <v>44804</v>
      </c>
      <c r="C1145" s="3">
        <v>31</v>
      </c>
      <c r="D1145" s="3">
        <v>8</v>
      </c>
      <c r="E1145" s="3">
        <v>2022</v>
      </c>
      <c r="F1145" s="3" t="str">
        <f>"Qtr"&amp; " " &amp;CHOOSE(MONTH(Table1[[#This Row],[Date]]),1,1,1,2,2,2,3,3,3,4,4,4)</f>
        <v>Qtr 3</v>
      </c>
      <c r="G1145" s="3" t="str">
        <f>TEXT(Table1[[#This Row],[Date]],"mmmm")</f>
        <v>August</v>
      </c>
      <c r="H1145" s="3" t="s">
        <v>1083</v>
      </c>
      <c r="I1145" s="3" t="s">
        <v>33</v>
      </c>
      <c r="J1145" s="3">
        <v>8</v>
      </c>
      <c r="K1145" s="3">
        <v>21933.5</v>
      </c>
      <c r="L1145" s="3">
        <f>Table1[[#This Row],[Price Per Unit]]*Table1[[#This Row],[Units Sold]]</f>
        <v>175468</v>
      </c>
      <c r="M1145" s="3" t="s">
        <v>572</v>
      </c>
      <c r="N1145" s="3">
        <v>27</v>
      </c>
      <c r="O1145" s="3" t="s">
        <v>105</v>
      </c>
      <c r="P1145" s="3" t="s">
        <v>16</v>
      </c>
      <c r="Q1145" s="4">
        <v>4</v>
      </c>
      <c r="R1145" s="4" t="str">
        <f>IF(Table1[[#This Row],[Customer Ratings]]&gt;=4, "Good",IF(Table1[[#This Row],[Customer Ratings]]=3, "Average","Poor"))</f>
        <v>Good</v>
      </c>
      <c r="S1145" s="3" t="s">
        <v>83</v>
      </c>
    </row>
    <row r="1146" spans="1:19" x14ac:dyDescent="0.25">
      <c r="A1146" s="3">
        <v>1145</v>
      </c>
      <c r="B1146" s="5">
        <f>DATE(Table1[[#This Row],[Year]],Table1[[#This Row],[Month]],Table1[[#This Row],[Day]])</f>
        <v>44804</v>
      </c>
      <c r="C1146" s="3">
        <v>31</v>
      </c>
      <c r="D1146" s="3">
        <v>8</v>
      </c>
      <c r="E1146" s="3">
        <v>2022</v>
      </c>
      <c r="F1146" s="3" t="str">
        <f>"Qtr"&amp; " " &amp;CHOOSE(MONTH(Table1[[#This Row],[Date]]),1,1,1,2,2,2,3,3,3,4,4,4)</f>
        <v>Qtr 3</v>
      </c>
      <c r="G1146" s="3" t="str">
        <f>TEXT(Table1[[#This Row],[Date]],"mmmm")</f>
        <v>August</v>
      </c>
      <c r="H1146" s="3" t="s">
        <v>1083</v>
      </c>
      <c r="I1146" s="3" t="s">
        <v>18</v>
      </c>
      <c r="J1146" s="3">
        <v>6</v>
      </c>
      <c r="K1146" s="3">
        <v>24418.74</v>
      </c>
      <c r="L1146" s="3">
        <f>Table1[[#This Row],[Price Per Unit]]*Table1[[#This Row],[Units Sold]]</f>
        <v>146512.44</v>
      </c>
      <c r="M1146" s="3" t="s">
        <v>718</v>
      </c>
      <c r="N1146" s="3">
        <v>51</v>
      </c>
      <c r="O1146" s="3" t="s">
        <v>24</v>
      </c>
      <c r="P1146" s="3" t="s">
        <v>31</v>
      </c>
      <c r="Q1146" s="4">
        <v>1</v>
      </c>
      <c r="R1146" s="4" t="str">
        <f>IF(Table1[[#This Row],[Customer Ratings]]&gt;=4, "Good",IF(Table1[[#This Row],[Customer Ratings]]=3, "Average","Poor"))</f>
        <v>Poor</v>
      </c>
      <c r="S1146" s="3" t="s">
        <v>22</v>
      </c>
    </row>
    <row r="1147" spans="1:19" x14ac:dyDescent="0.25">
      <c r="A1147" s="3">
        <v>1146</v>
      </c>
      <c r="B1147" s="5">
        <f>DATE(Table1[[#This Row],[Year]],Table1[[#This Row],[Month]],Table1[[#This Row],[Day]])</f>
        <v>44805</v>
      </c>
      <c r="C1147" s="3">
        <v>1</v>
      </c>
      <c r="D1147" s="3">
        <v>9</v>
      </c>
      <c r="E1147" s="3">
        <v>2022</v>
      </c>
      <c r="F1147" s="3" t="str">
        <f>"Qtr"&amp; " " &amp;CHOOSE(MONTH(Table1[[#This Row],[Date]]),1,1,1,2,2,2,3,3,3,4,4,4)</f>
        <v>Qtr 3</v>
      </c>
      <c r="G1147" s="3" t="str">
        <f>TEXT(Table1[[#This Row],[Date]],"mmmm")</f>
        <v>September</v>
      </c>
      <c r="H1147" s="3" t="s">
        <v>1084</v>
      </c>
      <c r="I1147" s="3" t="s">
        <v>39</v>
      </c>
      <c r="J1147" s="3">
        <v>4</v>
      </c>
      <c r="K1147" s="3">
        <v>49561.02</v>
      </c>
      <c r="L1147" s="3">
        <f>Table1[[#This Row],[Price Per Unit]]*Table1[[#This Row],[Units Sold]]</f>
        <v>198244.08</v>
      </c>
      <c r="M1147" s="3" t="s">
        <v>748</v>
      </c>
      <c r="N1147" s="3">
        <v>43</v>
      </c>
      <c r="O1147" s="3" t="s">
        <v>24</v>
      </c>
      <c r="P1147" s="3" t="s">
        <v>31</v>
      </c>
      <c r="Q1147" s="4">
        <v>1</v>
      </c>
      <c r="R1147" s="4" t="str">
        <f>IF(Table1[[#This Row],[Customer Ratings]]&gt;=4, "Good",IF(Table1[[#This Row],[Customer Ratings]]=3, "Average","Poor"))</f>
        <v>Poor</v>
      </c>
      <c r="S1147" s="3" t="s">
        <v>90</v>
      </c>
    </row>
    <row r="1148" spans="1:19" x14ac:dyDescent="0.25">
      <c r="A1148" s="3">
        <v>1147</v>
      </c>
      <c r="B1148" s="5">
        <f>DATE(Table1[[#This Row],[Year]],Table1[[#This Row],[Month]],Table1[[#This Row],[Day]])</f>
        <v>44805</v>
      </c>
      <c r="C1148" s="3">
        <v>1</v>
      </c>
      <c r="D1148" s="3">
        <v>9</v>
      </c>
      <c r="E1148" s="3">
        <v>2022</v>
      </c>
      <c r="F1148" s="3" t="str">
        <f>"Qtr"&amp; " " &amp;CHOOSE(MONTH(Table1[[#This Row],[Date]]),1,1,1,2,2,2,3,3,3,4,4,4)</f>
        <v>Qtr 3</v>
      </c>
      <c r="G1148" s="3" t="str">
        <f>TEXT(Table1[[#This Row],[Date]],"mmmm")</f>
        <v>September</v>
      </c>
      <c r="H1148" s="3" t="s">
        <v>1084</v>
      </c>
      <c r="I1148" s="3" t="s">
        <v>39</v>
      </c>
      <c r="J1148" s="3">
        <v>3</v>
      </c>
      <c r="K1148" s="3">
        <v>64583.61</v>
      </c>
      <c r="L1148" s="3">
        <f>Table1[[#This Row],[Price Per Unit]]*Table1[[#This Row],[Units Sold]]</f>
        <v>193750.83000000002</v>
      </c>
      <c r="M1148" s="3" t="s">
        <v>749</v>
      </c>
      <c r="N1148" s="3">
        <v>40</v>
      </c>
      <c r="O1148" s="3" t="s">
        <v>20</v>
      </c>
      <c r="P1148" s="3" t="s">
        <v>21</v>
      </c>
      <c r="Q1148" s="4">
        <v>4</v>
      </c>
      <c r="R1148" s="4" t="str">
        <f>IF(Table1[[#This Row],[Customer Ratings]]&gt;=4, "Good",IF(Table1[[#This Row],[Customer Ratings]]=3, "Average","Poor"))</f>
        <v>Good</v>
      </c>
      <c r="S1148" s="3" t="s">
        <v>42</v>
      </c>
    </row>
    <row r="1149" spans="1:19" x14ac:dyDescent="0.25">
      <c r="A1149" s="3">
        <v>1148</v>
      </c>
      <c r="B1149" s="5">
        <f>DATE(Table1[[#This Row],[Year]],Table1[[#This Row],[Month]],Table1[[#This Row],[Day]])</f>
        <v>44805</v>
      </c>
      <c r="C1149" s="3">
        <v>1</v>
      </c>
      <c r="D1149" s="3">
        <v>9</v>
      </c>
      <c r="E1149" s="3">
        <v>2022</v>
      </c>
      <c r="F1149" s="3" t="str">
        <f>"Qtr"&amp; " " &amp;CHOOSE(MONTH(Table1[[#This Row],[Date]]),1,1,1,2,2,2,3,3,3,4,4,4)</f>
        <v>Qtr 3</v>
      </c>
      <c r="G1149" s="3" t="str">
        <f>TEXT(Table1[[#This Row],[Date]],"mmmm")</f>
        <v>September</v>
      </c>
      <c r="H1149" s="3" t="s">
        <v>1084</v>
      </c>
      <c r="I1149" s="3" t="s">
        <v>33</v>
      </c>
      <c r="J1149" s="3">
        <v>3</v>
      </c>
      <c r="K1149" s="3">
        <v>68943.429999999993</v>
      </c>
      <c r="L1149" s="3">
        <f>Table1[[#This Row],[Price Per Unit]]*Table1[[#This Row],[Units Sold]]</f>
        <v>206830.28999999998</v>
      </c>
      <c r="M1149" s="3" t="s">
        <v>750</v>
      </c>
      <c r="N1149" s="3">
        <v>26</v>
      </c>
      <c r="O1149" s="3" t="s">
        <v>24</v>
      </c>
      <c r="P1149" s="3" t="s">
        <v>45</v>
      </c>
      <c r="Q1149" s="4">
        <v>5</v>
      </c>
      <c r="R1149" s="4" t="str">
        <f>IF(Table1[[#This Row],[Customer Ratings]]&gt;=4, "Good",IF(Table1[[#This Row],[Customer Ratings]]=3, "Average","Poor"))</f>
        <v>Good</v>
      </c>
      <c r="S1149" s="3" t="s">
        <v>83</v>
      </c>
    </row>
    <row r="1150" spans="1:19" x14ac:dyDescent="0.25">
      <c r="A1150" s="3">
        <v>1149</v>
      </c>
      <c r="B1150" s="5">
        <f>DATE(Table1[[#This Row],[Year]],Table1[[#This Row],[Month]],Table1[[#This Row],[Day]])</f>
        <v>44806</v>
      </c>
      <c r="C1150" s="3">
        <v>2</v>
      </c>
      <c r="D1150" s="3">
        <v>9</v>
      </c>
      <c r="E1150" s="3">
        <v>2022</v>
      </c>
      <c r="F1150" s="3" t="str">
        <f>"Qtr"&amp; " " &amp;CHOOSE(MONTH(Table1[[#This Row],[Date]]),1,1,1,2,2,2,3,3,3,4,4,4)</f>
        <v>Qtr 3</v>
      </c>
      <c r="G1150" s="3" t="str">
        <f>TEXT(Table1[[#This Row],[Date]],"mmmm")</f>
        <v>September</v>
      </c>
      <c r="H1150" s="3" t="s">
        <v>1085</v>
      </c>
      <c r="I1150" s="3" t="s">
        <v>13</v>
      </c>
      <c r="J1150" s="3">
        <v>6</v>
      </c>
      <c r="K1150" s="3">
        <v>21881.86</v>
      </c>
      <c r="L1150" s="3">
        <f>Table1[[#This Row],[Price Per Unit]]*Table1[[#This Row],[Units Sold]]</f>
        <v>131291.16</v>
      </c>
      <c r="M1150" s="3" t="s">
        <v>658</v>
      </c>
      <c r="N1150" s="3">
        <v>54</v>
      </c>
      <c r="O1150" s="3" t="s">
        <v>20</v>
      </c>
      <c r="P1150" s="3" t="s">
        <v>16</v>
      </c>
      <c r="Q1150" s="4">
        <v>5</v>
      </c>
      <c r="R1150" s="4" t="str">
        <f>IF(Table1[[#This Row],[Customer Ratings]]&gt;=4, "Good",IF(Table1[[#This Row],[Customer Ratings]]=3, "Average","Poor"))</f>
        <v>Good</v>
      </c>
      <c r="S1150" s="3" t="s">
        <v>72</v>
      </c>
    </row>
    <row r="1151" spans="1:19" x14ac:dyDescent="0.25">
      <c r="A1151" s="3">
        <v>1150</v>
      </c>
      <c r="B1151" s="5">
        <f>DATE(Table1[[#This Row],[Year]],Table1[[#This Row],[Month]],Table1[[#This Row],[Day]])</f>
        <v>44806</v>
      </c>
      <c r="C1151" s="3">
        <v>2</v>
      </c>
      <c r="D1151" s="3">
        <v>9</v>
      </c>
      <c r="E1151" s="3">
        <v>2022</v>
      </c>
      <c r="F1151" s="3" t="str">
        <f>"Qtr"&amp; " " &amp;CHOOSE(MONTH(Table1[[#This Row],[Date]]),1,1,1,2,2,2,3,3,3,4,4,4)</f>
        <v>Qtr 3</v>
      </c>
      <c r="G1151" s="3" t="str">
        <f>TEXT(Table1[[#This Row],[Date]],"mmmm")</f>
        <v>September</v>
      </c>
      <c r="H1151" s="3" t="s">
        <v>1085</v>
      </c>
      <c r="I1151" s="3" t="s">
        <v>28</v>
      </c>
      <c r="J1151" s="3">
        <v>8</v>
      </c>
      <c r="K1151" s="3">
        <v>18047.18</v>
      </c>
      <c r="L1151" s="3">
        <f>Table1[[#This Row],[Price Per Unit]]*Table1[[#This Row],[Units Sold]]</f>
        <v>144377.44</v>
      </c>
      <c r="M1151" s="3" t="s">
        <v>751</v>
      </c>
      <c r="N1151" s="3">
        <v>25</v>
      </c>
      <c r="O1151" s="3" t="s">
        <v>105</v>
      </c>
      <c r="P1151" s="3" t="s">
        <v>16</v>
      </c>
      <c r="Q1151" s="4">
        <v>5</v>
      </c>
      <c r="R1151" s="4" t="str">
        <f>IF(Table1[[#This Row],[Customer Ratings]]&gt;=4, "Good",IF(Table1[[#This Row],[Customer Ratings]]=3, "Average","Poor"))</f>
        <v>Good</v>
      </c>
      <c r="S1151" s="3" t="s">
        <v>38</v>
      </c>
    </row>
    <row r="1152" spans="1:19" x14ac:dyDescent="0.25">
      <c r="A1152" s="3">
        <v>1151</v>
      </c>
      <c r="B1152" s="5">
        <f>DATE(Table1[[#This Row],[Year]],Table1[[#This Row],[Month]],Table1[[#This Row],[Day]])</f>
        <v>44806</v>
      </c>
      <c r="C1152" s="3">
        <v>2</v>
      </c>
      <c r="D1152" s="3">
        <v>9</v>
      </c>
      <c r="E1152" s="3">
        <v>2022</v>
      </c>
      <c r="F1152" s="3" t="str">
        <f>"Qtr"&amp; " " &amp;CHOOSE(MONTH(Table1[[#This Row],[Date]]),1,1,1,2,2,2,3,3,3,4,4,4)</f>
        <v>Qtr 3</v>
      </c>
      <c r="G1152" s="3" t="str">
        <f>TEXT(Table1[[#This Row],[Date]],"mmmm")</f>
        <v>September</v>
      </c>
      <c r="H1152" s="3" t="s">
        <v>1085</v>
      </c>
      <c r="I1152" s="3" t="s">
        <v>13</v>
      </c>
      <c r="J1152" s="3">
        <v>7</v>
      </c>
      <c r="K1152" s="3">
        <v>13384.08</v>
      </c>
      <c r="L1152" s="3">
        <f>Table1[[#This Row],[Price Per Unit]]*Table1[[#This Row],[Units Sold]]</f>
        <v>93688.56</v>
      </c>
      <c r="M1152" s="3" t="s">
        <v>752</v>
      </c>
      <c r="N1152" s="3">
        <v>31</v>
      </c>
      <c r="O1152" s="3" t="s">
        <v>48</v>
      </c>
      <c r="P1152" s="3" t="s">
        <v>21</v>
      </c>
      <c r="Q1152" s="4">
        <v>4</v>
      </c>
      <c r="R1152" s="4" t="str">
        <f>IF(Table1[[#This Row],[Customer Ratings]]&gt;=4, "Good",IF(Table1[[#This Row],[Customer Ratings]]=3, "Average","Poor"))</f>
        <v>Good</v>
      </c>
      <c r="S1152" s="3" t="s">
        <v>27</v>
      </c>
    </row>
    <row r="1153" spans="1:19" x14ac:dyDescent="0.25">
      <c r="A1153" s="3">
        <v>1152</v>
      </c>
      <c r="B1153" s="5">
        <f>DATE(Table1[[#This Row],[Year]],Table1[[#This Row],[Month]],Table1[[#This Row],[Day]])</f>
        <v>44806</v>
      </c>
      <c r="C1153" s="3">
        <v>2</v>
      </c>
      <c r="D1153" s="3">
        <v>9</v>
      </c>
      <c r="E1153" s="3">
        <v>2022</v>
      </c>
      <c r="F1153" s="3" t="str">
        <f>"Qtr"&amp; " " &amp;CHOOSE(MONTH(Table1[[#This Row],[Date]]),1,1,1,2,2,2,3,3,3,4,4,4)</f>
        <v>Qtr 3</v>
      </c>
      <c r="G1153" s="3" t="str">
        <f>TEXT(Table1[[#This Row],[Date]],"mmmm")</f>
        <v>September</v>
      </c>
      <c r="H1153" s="3" t="s">
        <v>1085</v>
      </c>
      <c r="I1153" s="3" t="s">
        <v>13</v>
      </c>
      <c r="J1153" s="3">
        <v>1</v>
      </c>
      <c r="K1153" s="3">
        <v>62097.82</v>
      </c>
      <c r="L1153" s="3">
        <f>Table1[[#This Row],[Price Per Unit]]*Table1[[#This Row],[Units Sold]]</f>
        <v>62097.82</v>
      </c>
      <c r="M1153" s="3" t="s">
        <v>753</v>
      </c>
      <c r="N1153" s="3">
        <v>24</v>
      </c>
      <c r="O1153" s="3" t="s">
        <v>102</v>
      </c>
      <c r="P1153" s="3" t="s">
        <v>21</v>
      </c>
      <c r="Q1153" s="4">
        <v>5</v>
      </c>
      <c r="R1153" s="4" t="str">
        <f>IF(Table1[[#This Row],[Customer Ratings]]&gt;=4, "Good",IF(Table1[[#This Row],[Customer Ratings]]=3, "Average","Poor"))</f>
        <v>Good</v>
      </c>
      <c r="S1153" s="3" t="s">
        <v>72</v>
      </c>
    </row>
    <row r="1154" spans="1:19" x14ac:dyDescent="0.25">
      <c r="A1154" s="3">
        <v>1153</v>
      </c>
      <c r="B1154" s="5">
        <f>DATE(Table1[[#This Row],[Year]],Table1[[#This Row],[Month]],Table1[[#This Row],[Day]])</f>
        <v>44807</v>
      </c>
      <c r="C1154" s="3">
        <v>3</v>
      </c>
      <c r="D1154" s="3">
        <v>9</v>
      </c>
      <c r="E1154" s="3">
        <v>2022</v>
      </c>
      <c r="F1154" s="3" t="str">
        <f>"Qtr"&amp; " " &amp;CHOOSE(MONTH(Table1[[#This Row],[Date]]),1,1,1,2,2,2,3,3,3,4,4,4)</f>
        <v>Qtr 3</v>
      </c>
      <c r="G1154" s="3" t="str">
        <f>TEXT(Table1[[#This Row],[Date]],"mmmm")</f>
        <v>September</v>
      </c>
      <c r="H1154" s="3" t="s">
        <v>1079</v>
      </c>
      <c r="I1154" s="3" t="s">
        <v>33</v>
      </c>
      <c r="J1154" s="3">
        <v>6</v>
      </c>
      <c r="K1154" s="3">
        <v>27682.89</v>
      </c>
      <c r="L1154" s="3">
        <f>Table1[[#This Row],[Price Per Unit]]*Table1[[#This Row],[Units Sold]]</f>
        <v>166097.34</v>
      </c>
      <c r="M1154" s="3" t="s">
        <v>644</v>
      </c>
      <c r="N1154" s="3">
        <v>24</v>
      </c>
      <c r="O1154" s="3" t="s">
        <v>65</v>
      </c>
      <c r="P1154" s="3" t="s">
        <v>31</v>
      </c>
      <c r="Q1154" s="4">
        <v>1</v>
      </c>
      <c r="R1154" s="4" t="str">
        <f>IF(Table1[[#This Row],[Customer Ratings]]&gt;=4, "Good",IF(Table1[[#This Row],[Customer Ratings]]=3, "Average","Poor"))</f>
        <v>Poor</v>
      </c>
      <c r="S1154" s="3" t="s">
        <v>83</v>
      </c>
    </row>
    <row r="1155" spans="1:19" x14ac:dyDescent="0.25">
      <c r="A1155" s="3">
        <v>1154</v>
      </c>
      <c r="B1155" s="5">
        <f>DATE(Table1[[#This Row],[Year]],Table1[[#This Row],[Month]],Table1[[#This Row],[Day]])</f>
        <v>44807</v>
      </c>
      <c r="C1155" s="3">
        <v>3</v>
      </c>
      <c r="D1155" s="3">
        <v>9</v>
      </c>
      <c r="E1155" s="3">
        <v>2022</v>
      </c>
      <c r="F1155" s="3" t="str">
        <f>"Qtr"&amp; " " &amp;CHOOSE(MONTH(Table1[[#This Row],[Date]]),1,1,1,2,2,2,3,3,3,4,4,4)</f>
        <v>Qtr 3</v>
      </c>
      <c r="G1155" s="3" t="str">
        <f>TEXT(Table1[[#This Row],[Date]],"mmmm")</f>
        <v>September</v>
      </c>
      <c r="H1155" s="3" t="s">
        <v>1079</v>
      </c>
      <c r="I1155" s="3" t="s">
        <v>33</v>
      </c>
      <c r="J1155" s="3">
        <v>7</v>
      </c>
      <c r="K1155" s="3">
        <v>10108.719999999999</v>
      </c>
      <c r="L1155" s="3">
        <f>Table1[[#This Row],[Price Per Unit]]*Table1[[#This Row],[Units Sold]]</f>
        <v>70761.039999999994</v>
      </c>
      <c r="M1155" s="3" t="s">
        <v>400</v>
      </c>
      <c r="N1155" s="3">
        <v>26</v>
      </c>
      <c r="O1155" s="3" t="s">
        <v>20</v>
      </c>
      <c r="P1155" s="3" t="s">
        <v>21</v>
      </c>
      <c r="Q1155" s="4">
        <v>3</v>
      </c>
      <c r="R1155" s="4" t="str">
        <f>IF(Table1[[#This Row],[Customer Ratings]]&gt;=4, "Good",IF(Table1[[#This Row],[Customer Ratings]]=3, "Average","Poor"))</f>
        <v>Average</v>
      </c>
      <c r="S1155" s="3" t="s">
        <v>83</v>
      </c>
    </row>
    <row r="1156" spans="1:19" x14ac:dyDescent="0.25">
      <c r="A1156" s="3">
        <v>1155</v>
      </c>
      <c r="B1156" s="5">
        <f>DATE(Table1[[#This Row],[Year]],Table1[[#This Row],[Month]],Table1[[#This Row],[Day]])</f>
        <v>44807</v>
      </c>
      <c r="C1156" s="3">
        <v>3</v>
      </c>
      <c r="D1156" s="3">
        <v>9</v>
      </c>
      <c r="E1156" s="3">
        <v>2022</v>
      </c>
      <c r="F1156" s="3" t="str">
        <f>"Qtr"&amp; " " &amp;CHOOSE(MONTH(Table1[[#This Row],[Date]]),1,1,1,2,2,2,3,3,3,4,4,4)</f>
        <v>Qtr 3</v>
      </c>
      <c r="G1156" s="3" t="str">
        <f>TEXT(Table1[[#This Row],[Date]],"mmmm")</f>
        <v>September</v>
      </c>
      <c r="H1156" s="3" t="s">
        <v>1079</v>
      </c>
      <c r="I1156" s="3" t="s">
        <v>33</v>
      </c>
      <c r="J1156" s="3">
        <v>7</v>
      </c>
      <c r="K1156" s="3">
        <v>23429.09</v>
      </c>
      <c r="L1156" s="3">
        <f>Table1[[#This Row],[Price Per Unit]]*Table1[[#This Row],[Units Sold]]</f>
        <v>164003.63</v>
      </c>
      <c r="M1156" s="3" t="s">
        <v>754</v>
      </c>
      <c r="N1156" s="3">
        <v>20</v>
      </c>
      <c r="O1156" s="3" t="s">
        <v>24</v>
      </c>
      <c r="P1156" s="3" t="s">
        <v>16</v>
      </c>
      <c r="Q1156" s="4">
        <v>5</v>
      </c>
      <c r="R1156" s="4" t="str">
        <f>IF(Table1[[#This Row],[Customer Ratings]]&gt;=4, "Good",IF(Table1[[#This Row],[Customer Ratings]]=3, "Average","Poor"))</f>
        <v>Good</v>
      </c>
      <c r="S1156" s="3" t="s">
        <v>83</v>
      </c>
    </row>
    <row r="1157" spans="1:19" x14ac:dyDescent="0.25">
      <c r="A1157" s="3">
        <v>1156</v>
      </c>
      <c r="B1157" s="5">
        <f>DATE(Table1[[#This Row],[Year]],Table1[[#This Row],[Month]],Table1[[#This Row],[Day]])</f>
        <v>44807</v>
      </c>
      <c r="C1157" s="3">
        <v>3</v>
      </c>
      <c r="D1157" s="3">
        <v>9</v>
      </c>
      <c r="E1157" s="3">
        <v>2022</v>
      </c>
      <c r="F1157" s="3" t="str">
        <f>"Qtr"&amp; " " &amp;CHOOSE(MONTH(Table1[[#This Row],[Date]]),1,1,1,2,2,2,3,3,3,4,4,4)</f>
        <v>Qtr 3</v>
      </c>
      <c r="G1157" s="3" t="str">
        <f>TEXT(Table1[[#This Row],[Date]],"mmmm")</f>
        <v>September</v>
      </c>
      <c r="H1157" s="3" t="s">
        <v>1079</v>
      </c>
      <c r="I1157" s="3" t="s">
        <v>33</v>
      </c>
      <c r="J1157" s="3">
        <v>9</v>
      </c>
      <c r="K1157" s="3">
        <v>30426.46</v>
      </c>
      <c r="L1157" s="3">
        <f>Table1[[#This Row],[Price Per Unit]]*Table1[[#This Row],[Units Sold]]</f>
        <v>273838.14</v>
      </c>
      <c r="M1157" s="3" t="s">
        <v>218</v>
      </c>
      <c r="N1157" s="3">
        <v>31</v>
      </c>
      <c r="O1157" s="3" t="s">
        <v>41</v>
      </c>
      <c r="P1157" s="3" t="s">
        <v>16</v>
      </c>
      <c r="Q1157" s="4">
        <v>3</v>
      </c>
      <c r="R1157" s="4" t="str">
        <f>IF(Table1[[#This Row],[Customer Ratings]]&gt;=4, "Good",IF(Table1[[#This Row],[Customer Ratings]]=3, "Average","Poor"))</f>
        <v>Average</v>
      </c>
      <c r="S1157" s="3" t="s">
        <v>83</v>
      </c>
    </row>
    <row r="1158" spans="1:19" x14ac:dyDescent="0.25">
      <c r="A1158" s="3">
        <v>1157</v>
      </c>
      <c r="B1158" s="5">
        <f>DATE(Table1[[#This Row],[Year]],Table1[[#This Row],[Month]],Table1[[#This Row],[Day]])</f>
        <v>44808</v>
      </c>
      <c r="C1158" s="3">
        <v>4</v>
      </c>
      <c r="D1158" s="3">
        <v>9</v>
      </c>
      <c r="E1158" s="3">
        <v>2022</v>
      </c>
      <c r="F1158" s="3" t="str">
        <f>"Qtr"&amp; " " &amp;CHOOSE(MONTH(Table1[[#This Row],[Date]]),1,1,1,2,2,2,3,3,3,4,4,4)</f>
        <v>Qtr 3</v>
      </c>
      <c r="G1158" s="3" t="str">
        <f>TEXT(Table1[[#This Row],[Date]],"mmmm")</f>
        <v>September</v>
      </c>
      <c r="H1158" s="3" t="s">
        <v>1080</v>
      </c>
      <c r="I1158" s="3" t="s">
        <v>39</v>
      </c>
      <c r="J1158" s="3">
        <v>5</v>
      </c>
      <c r="K1158" s="3">
        <v>69459.17</v>
      </c>
      <c r="L1158" s="3">
        <f>Table1[[#This Row],[Price Per Unit]]*Table1[[#This Row],[Units Sold]]</f>
        <v>347295.85</v>
      </c>
      <c r="M1158" s="3" t="s">
        <v>279</v>
      </c>
      <c r="N1158" s="3">
        <v>34</v>
      </c>
      <c r="O1158" s="3" t="s">
        <v>35</v>
      </c>
      <c r="P1158" s="3" t="s">
        <v>16</v>
      </c>
      <c r="Q1158" s="4">
        <v>5</v>
      </c>
      <c r="R1158" s="4" t="str">
        <f>IF(Table1[[#This Row],[Customer Ratings]]&gt;=4, "Good",IF(Table1[[#This Row],[Customer Ratings]]=3, "Average","Poor"))</f>
        <v>Good</v>
      </c>
      <c r="S1158" s="3" t="s">
        <v>90</v>
      </c>
    </row>
    <row r="1159" spans="1:19" x14ac:dyDescent="0.25">
      <c r="A1159" s="3">
        <v>1158</v>
      </c>
      <c r="B1159" s="5">
        <f>DATE(Table1[[#This Row],[Year]],Table1[[#This Row],[Month]],Table1[[#This Row],[Day]])</f>
        <v>44808</v>
      </c>
      <c r="C1159" s="3">
        <v>4</v>
      </c>
      <c r="D1159" s="3">
        <v>9</v>
      </c>
      <c r="E1159" s="3">
        <v>2022</v>
      </c>
      <c r="F1159" s="3" t="str">
        <f>"Qtr"&amp; " " &amp;CHOOSE(MONTH(Table1[[#This Row],[Date]]),1,1,1,2,2,2,3,3,3,4,4,4)</f>
        <v>Qtr 3</v>
      </c>
      <c r="G1159" s="3" t="str">
        <f>TEXT(Table1[[#This Row],[Date]],"mmmm")</f>
        <v>September</v>
      </c>
      <c r="H1159" s="3" t="s">
        <v>1080</v>
      </c>
      <c r="I1159" s="3" t="s">
        <v>33</v>
      </c>
      <c r="J1159" s="3">
        <v>1</v>
      </c>
      <c r="K1159" s="3">
        <v>41412.5</v>
      </c>
      <c r="L1159" s="3">
        <f>Table1[[#This Row],[Price Per Unit]]*Table1[[#This Row],[Units Sold]]</f>
        <v>41412.5</v>
      </c>
      <c r="M1159" s="3" t="s">
        <v>755</v>
      </c>
      <c r="N1159" s="3">
        <v>39</v>
      </c>
      <c r="O1159" s="3" t="s">
        <v>20</v>
      </c>
      <c r="P1159" s="3" t="s">
        <v>31</v>
      </c>
      <c r="Q1159" s="4">
        <v>4</v>
      </c>
      <c r="R1159" s="4" t="str">
        <f>IF(Table1[[#This Row],[Customer Ratings]]&gt;=4, "Good",IF(Table1[[#This Row],[Customer Ratings]]=3, "Average","Poor"))</f>
        <v>Good</v>
      </c>
      <c r="S1159" s="3" t="s">
        <v>83</v>
      </c>
    </row>
    <row r="1160" spans="1:19" x14ac:dyDescent="0.25">
      <c r="A1160" s="3">
        <v>1159</v>
      </c>
      <c r="B1160" s="5">
        <f>DATE(Table1[[#This Row],[Year]],Table1[[#This Row],[Month]],Table1[[#This Row],[Day]])</f>
        <v>44808</v>
      </c>
      <c r="C1160" s="3">
        <v>4</v>
      </c>
      <c r="D1160" s="3">
        <v>9</v>
      </c>
      <c r="E1160" s="3">
        <v>2022</v>
      </c>
      <c r="F1160" s="3" t="str">
        <f>"Qtr"&amp; " " &amp;CHOOSE(MONTH(Table1[[#This Row],[Date]]),1,1,1,2,2,2,3,3,3,4,4,4)</f>
        <v>Qtr 3</v>
      </c>
      <c r="G1160" s="3" t="str">
        <f>TEXT(Table1[[#This Row],[Date]],"mmmm")</f>
        <v>September</v>
      </c>
      <c r="H1160" s="3" t="s">
        <v>1080</v>
      </c>
      <c r="I1160" s="3" t="s">
        <v>39</v>
      </c>
      <c r="J1160" s="3">
        <v>2</v>
      </c>
      <c r="K1160" s="3">
        <v>22282.84</v>
      </c>
      <c r="L1160" s="3">
        <f>Table1[[#This Row],[Price Per Unit]]*Table1[[#This Row],[Units Sold]]</f>
        <v>44565.68</v>
      </c>
      <c r="M1160" s="3" t="s">
        <v>755</v>
      </c>
      <c r="N1160" s="3">
        <v>43</v>
      </c>
      <c r="O1160" s="3" t="s">
        <v>102</v>
      </c>
      <c r="P1160" s="3" t="s">
        <v>45</v>
      </c>
      <c r="Q1160" s="4">
        <v>3</v>
      </c>
      <c r="R1160" s="4" t="str">
        <f>IF(Table1[[#This Row],[Customer Ratings]]&gt;=4, "Good",IF(Table1[[#This Row],[Customer Ratings]]=3, "Average","Poor"))</f>
        <v>Average</v>
      </c>
      <c r="S1160" s="3" t="s">
        <v>42</v>
      </c>
    </row>
    <row r="1161" spans="1:19" x14ac:dyDescent="0.25">
      <c r="A1161" s="3">
        <v>1160</v>
      </c>
      <c r="B1161" s="5">
        <f>DATE(Table1[[#This Row],[Year]],Table1[[#This Row],[Month]],Table1[[#This Row],[Day]])</f>
        <v>44809</v>
      </c>
      <c r="C1161" s="3">
        <v>5</v>
      </c>
      <c r="D1161" s="3">
        <v>9</v>
      </c>
      <c r="E1161" s="3">
        <v>2022</v>
      </c>
      <c r="F1161" s="3" t="str">
        <f>"Qtr"&amp; " " &amp;CHOOSE(MONTH(Table1[[#This Row],[Date]]),1,1,1,2,2,2,3,3,3,4,4,4)</f>
        <v>Qtr 3</v>
      </c>
      <c r="G1161" s="3" t="str">
        <f>TEXT(Table1[[#This Row],[Date]],"mmmm")</f>
        <v>September</v>
      </c>
      <c r="H1161" s="3" t="s">
        <v>1081</v>
      </c>
      <c r="I1161" s="3" t="s">
        <v>39</v>
      </c>
      <c r="J1161" s="3">
        <v>4</v>
      </c>
      <c r="K1161" s="3">
        <v>30089.1</v>
      </c>
      <c r="L1161" s="3">
        <f>Table1[[#This Row],[Price Per Unit]]*Table1[[#This Row],[Units Sold]]</f>
        <v>120356.4</v>
      </c>
      <c r="M1161" s="3" t="s">
        <v>345</v>
      </c>
      <c r="N1161" s="3">
        <v>45</v>
      </c>
      <c r="O1161" s="3" t="s">
        <v>15</v>
      </c>
      <c r="P1161" s="3" t="s">
        <v>45</v>
      </c>
      <c r="Q1161" s="4">
        <v>5</v>
      </c>
      <c r="R1161" s="4" t="str">
        <f>IF(Table1[[#This Row],[Customer Ratings]]&gt;=4, "Good",IF(Table1[[#This Row],[Customer Ratings]]=3, "Average","Poor"))</f>
        <v>Good</v>
      </c>
      <c r="S1161" s="3" t="s">
        <v>42</v>
      </c>
    </row>
    <row r="1162" spans="1:19" x14ac:dyDescent="0.25">
      <c r="A1162" s="3">
        <v>1161</v>
      </c>
      <c r="B1162" s="5">
        <f>DATE(Table1[[#This Row],[Year]],Table1[[#This Row],[Month]],Table1[[#This Row],[Day]])</f>
        <v>44809</v>
      </c>
      <c r="C1162" s="3">
        <v>5</v>
      </c>
      <c r="D1162" s="3">
        <v>9</v>
      </c>
      <c r="E1162" s="3">
        <v>2022</v>
      </c>
      <c r="F1162" s="3" t="str">
        <f>"Qtr"&amp; " " &amp;CHOOSE(MONTH(Table1[[#This Row],[Date]]),1,1,1,2,2,2,3,3,3,4,4,4)</f>
        <v>Qtr 3</v>
      </c>
      <c r="G1162" s="3" t="str">
        <f>TEXT(Table1[[#This Row],[Date]],"mmmm")</f>
        <v>September</v>
      </c>
      <c r="H1162" s="3" t="s">
        <v>1081</v>
      </c>
      <c r="I1162" s="3" t="s">
        <v>33</v>
      </c>
      <c r="J1162" s="3">
        <v>5</v>
      </c>
      <c r="K1162" s="3">
        <v>29818.46</v>
      </c>
      <c r="L1162" s="3">
        <f>Table1[[#This Row],[Price Per Unit]]*Table1[[#This Row],[Units Sold]]</f>
        <v>149092.29999999999</v>
      </c>
      <c r="M1162" s="3" t="s">
        <v>756</v>
      </c>
      <c r="N1162" s="3">
        <v>31</v>
      </c>
      <c r="O1162" s="3" t="s">
        <v>24</v>
      </c>
      <c r="P1162" s="3" t="s">
        <v>31</v>
      </c>
      <c r="Q1162" s="4">
        <v>4</v>
      </c>
      <c r="R1162" s="4" t="str">
        <f>IF(Table1[[#This Row],[Customer Ratings]]&gt;=4, "Good",IF(Table1[[#This Row],[Customer Ratings]]=3, "Average","Poor"))</f>
        <v>Good</v>
      </c>
      <c r="S1162" s="3" t="s">
        <v>83</v>
      </c>
    </row>
    <row r="1163" spans="1:19" x14ac:dyDescent="0.25">
      <c r="A1163" s="3">
        <v>1162</v>
      </c>
      <c r="B1163" s="5">
        <f>DATE(Table1[[#This Row],[Year]],Table1[[#This Row],[Month]],Table1[[#This Row],[Day]])</f>
        <v>44809</v>
      </c>
      <c r="C1163" s="3">
        <v>5</v>
      </c>
      <c r="D1163" s="3">
        <v>9</v>
      </c>
      <c r="E1163" s="3">
        <v>2022</v>
      </c>
      <c r="F1163" s="3" t="str">
        <f>"Qtr"&amp; " " &amp;CHOOSE(MONTH(Table1[[#This Row],[Date]]),1,1,1,2,2,2,3,3,3,4,4,4)</f>
        <v>Qtr 3</v>
      </c>
      <c r="G1163" s="3" t="str">
        <f>TEXT(Table1[[#This Row],[Date]],"mmmm")</f>
        <v>September</v>
      </c>
      <c r="H1163" s="3" t="s">
        <v>1081</v>
      </c>
      <c r="I1163" s="3" t="s">
        <v>18</v>
      </c>
      <c r="J1163" s="3">
        <v>9</v>
      </c>
      <c r="K1163" s="3">
        <v>11183.54</v>
      </c>
      <c r="L1163" s="3">
        <f>Table1[[#This Row],[Price Per Unit]]*Table1[[#This Row],[Units Sold]]</f>
        <v>100651.86000000002</v>
      </c>
      <c r="M1163" s="3" t="s">
        <v>480</v>
      </c>
      <c r="N1163" s="3">
        <v>26</v>
      </c>
      <c r="O1163" s="3" t="s">
        <v>20</v>
      </c>
      <c r="P1163" s="3" t="s">
        <v>16</v>
      </c>
      <c r="Q1163" s="4">
        <v>1</v>
      </c>
      <c r="R1163" s="4" t="str">
        <f>IF(Table1[[#This Row],[Customer Ratings]]&gt;=4, "Good",IF(Table1[[#This Row],[Customer Ratings]]=3, "Average","Poor"))</f>
        <v>Poor</v>
      </c>
      <c r="S1163" s="3" t="s">
        <v>22</v>
      </c>
    </row>
    <row r="1164" spans="1:19" x14ac:dyDescent="0.25">
      <c r="A1164" s="3">
        <v>1163</v>
      </c>
      <c r="B1164" s="5">
        <f>DATE(Table1[[#This Row],[Year]],Table1[[#This Row],[Month]],Table1[[#This Row],[Day]])</f>
        <v>44810</v>
      </c>
      <c r="C1164" s="3">
        <v>6</v>
      </c>
      <c r="D1164" s="3">
        <v>9</v>
      </c>
      <c r="E1164" s="3">
        <v>2022</v>
      </c>
      <c r="F1164" s="3" t="str">
        <f>"Qtr"&amp; " " &amp;CHOOSE(MONTH(Table1[[#This Row],[Date]]),1,1,1,2,2,2,3,3,3,4,4,4)</f>
        <v>Qtr 3</v>
      </c>
      <c r="G1164" s="3" t="str">
        <f>TEXT(Table1[[#This Row],[Date]],"mmmm")</f>
        <v>September</v>
      </c>
      <c r="H1164" s="3" t="s">
        <v>1082</v>
      </c>
      <c r="I1164" s="3" t="s">
        <v>28</v>
      </c>
      <c r="J1164" s="3">
        <v>1</v>
      </c>
      <c r="K1164" s="3">
        <v>18110.98</v>
      </c>
      <c r="L1164" s="3">
        <f>Table1[[#This Row],[Price Per Unit]]*Table1[[#This Row],[Units Sold]]</f>
        <v>18110.98</v>
      </c>
      <c r="M1164" s="3" t="s">
        <v>757</v>
      </c>
      <c r="N1164" s="3">
        <v>43</v>
      </c>
      <c r="O1164" s="3" t="s">
        <v>20</v>
      </c>
      <c r="P1164" s="3" t="s">
        <v>16</v>
      </c>
      <c r="Q1164" s="4">
        <v>5</v>
      </c>
      <c r="R1164" s="4" t="str">
        <f>IF(Table1[[#This Row],[Customer Ratings]]&gt;=4, "Good",IF(Table1[[#This Row],[Customer Ratings]]=3, "Average","Poor"))</f>
        <v>Good</v>
      </c>
      <c r="S1164" s="3" t="s">
        <v>87</v>
      </c>
    </row>
    <row r="1165" spans="1:19" x14ac:dyDescent="0.25">
      <c r="A1165" s="3">
        <v>1164</v>
      </c>
      <c r="B1165" s="5">
        <f>DATE(Table1[[#This Row],[Year]],Table1[[#This Row],[Month]],Table1[[#This Row],[Day]])</f>
        <v>44810</v>
      </c>
      <c r="C1165" s="3">
        <v>6</v>
      </c>
      <c r="D1165" s="3">
        <v>9</v>
      </c>
      <c r="E1165" s="3">
        <v>2022</v>
      </c>
      <c r="F1165" s="3" t="str">
        <f>"Qtr"&amp; " " &amp;CHOOSE(MONTH(Table1[[#This Row],[Date]]),1,1,1,2,2,2,3,3,3,4,4,4)</f>
        <v>Qtr 3</v>
      </c>
      <c r="G1165" s="3" t="str">
        <f>TEXT(Table1[[#This Row],[Date]],"mmmm")</f>
        <v>September</v>
      </c>
      <c r="H1165" s="3" t="s">
        <v>1082</v>
      </c>
      <c r="I1165" s="3" t="s">
        <v>13</v>
      </c>
      <c r="J1165" s="3">
        <v>3</v>
      </c>
      <c r="K1165" s="3">
        <v>51711.79</v>
      </c>
      <c r="L1165" s="3">
        <f>Table1[[#This Row],[Price Per Unit]]*Table1[[#This Row],[Units Sold]]</f>
        <v>155135.37</v>
      </c>
      <c r="M1165" s="3" t="s">
        <v>437</v>
      </c>
      <c r="N1165" s="3">
        <v>19</v>
      </c>
      <c r="O1165" s="3" t="s">
        <v>24</v>
      </c>
      <c r="P1165" s="3" t="s">
        <v>31</v>
      </c>
      <c r="Q1165" s="4">
        <v>4</v>
      </c>
      <c r="R1165" s="4" t="str">
        <f>IF(Table1[[#This Row],[Customer Ratings]]&gt;=4, "Good",IF(Table1[[#This Row],[Customer Ratings]]=3, "Average","Poor"))</f>
        <v>Good</v>
      </c>
      <c r="S1165" s="3" t="s">
        <v>72</v>
      </c>
    </row>
    <row r="1166" spans="1:19" x14ac:dyDescent="0.25">
      <c r="A1166" s="3">
        <v>1165</v>
      </c>
      <c r="B1166" s="5">
        <f>DATE(Table1[[#This Row],[Year]],Table1[[#This Row],[Month]],Table1[[#This Row],[Day]])</f>
        <v>44810</v>
      </c>
      <c r="C1166" s="3">
        <v>6</v>
      </c>
      <c r="D1166" s="3">
        <v>9</v>
      </c>
      <c r="E1166" s="3">
        <v>2022</v>
      </c>
      <c r="F1166" s="3" t="str">
        <f>"Qtr"&amp; " " &amp;CHOOSE(MONTH(Table1[[#This Row],[Date]]),1,1,1,2,2,2,3,3,3,4,4,4)</f>
        <v>Qtr 3</v>
      </c>
      <c r="G1166" s="3" t="str">
        <f>TEXT(Table1[[#This Row],[Date]],"mmmm")</f>
        <v>September</v>
      </c>
      <c r="H1166" s="3" t="s">
        <v>1082</v>
      </c>
      <c r="I1166" s="3" t="s">
        <v>39</v>
      </c>
      <c r="J1166" s="3">
        <v>5</v>
      </c>
      <c r="K1166" s="3">
        <v>17215.060000000001</v>
      </c>
      <c r="L1166" s="3">
        <f>Table1[[#This Row],[Price Per Unit]]*Table1[[#This Row],[Units Sold]]</f>
        <v>86075.3</v>
      </c>
      <c r="M1166" s="3" t="s">
        <v>758</v>
      </c>
      <c r="N1166" s="3">
        <v>28</v>
      </c>
      <c r="O1166" s="3" t="s">
        <v>35</v>
      </c>
      <c r="P1166" s="3" t="s">
        <v>31</v>
      </c>
      <c r="Q1166" s="4">
        <v>4</v>
      </c>
      <c r="R1166" s="4" t="str">
        <f>IF(Table1[[#This Row],[Customer Ratings]]&gt;=4, "Good",IF(Table1[[#This Row],[Customer Ratings]]=3, "Average","Poor"))</f>
        <v>Good</v>
      </c>
      <c r="S1166" s="3" t="s">
        <v>90</v>
      </c>
    </row>
    <row r="1167" spans="1:19" x14ac:dyDescent="0.25">
      <c r="A1167" s="3">
        <v>1166</v>
      </c>
      <c r="B1167" s="5">
        <f>DATE(Table1[[#This Row],[Year]],Table1[[#This Row],[Month]],Table1[[#This Row],[Day]])</f>
        <v>44810</v>
      </c>
      <c r="C1167" s="3">
        <v>6</v>
      </c>
      <c r="D1167" s="3">
        <v>9</v>
      </c>
      <c r="E1167" s="3">
        <v>2022</v>
      </c>
      <c r="F1167" s="3" t="str">
        <f>"Qtr"&amp; " " &amp;CHOOSE(MONTH(Table1[[#This Row],[Date]]),1,1,1,2,2,2,3,3,3,4,4,4)</f>
        <v>Qtr 3</v>
      </c>
      <c r="G1167" s="3" t="str">
        <f>TEXT(Table1[[#This Row],[Date]],"mmmm")</f>
        <v>September</v>
      </c>
      <c r="H1167" s="3" t="s">
        <v>1082</v>
      </c>
      <c r="I1167" s="3" t="s">
        <v>28</v>
      </c>
      <c r="J1167" s="3">
        <v>3</v>
      </c>
      <c r="K1167" s="3">
        <v>23844.06</v>
      </c>
      <c r="L1167" s="3">
        <f>Table1[[#This Row],[Price Per Unit]]*Table1[[#This Row],[Units Sold]]</f>
        <v>71532.180000000008</v>
      </c>
      <c r="M1167" s="3" t="s">
        <v>759</v>
      </c>
      <c r="N1167" s="3">
        <v>34</v>
      </c>
      <c r="O1167" s="3" t="s">
        <v>24</v>
      </c>
      <c r="P1167" s="3" t="s">
        <v>21</v>
      </c>
      <c r="Q1167" s="4">
        <v>1</v>
      </c>
      <c r="R1167" s="4" t="str">
        <f>IF(Table1[[#This Row],[Customer Ratings]]&gt;=4, "Good",IF(Table1[[#This Row],[Customer Ratings]]=3, "Average","Poor"))</f>
        <v>Poor</v>
      </c>
      <c r="S1167" s="3" t="s">
        <v>87</v>
      </c>
    </row>
    <row r="1168" spans="1:19" x14ac:dyDescent="0.25">
      <c r="A1168" s="3">
        <v>1167</v>
      </c>
      <c r="B1168" s="5">
        <f>DATE(Table1[[#This Row],[Year]],Table1[[#This Row],[Month]],Table1[[#This Row],[Day]])</f>
        <v>44811</v>
      </c>
      <c r="C1168" s="3">
        <v>7</v>
      </c>
      <c r="D1168" s="3">
        <v>9</v>
      </c>
      <c r="E1168" s="3">
        <v>2022</v>
      </c>
      <c r="F1168" s="3" t="str">
        <f>"Qtr"&amp; " " &amp;CHOOSE(MONTH(Table1[[#This Row],[Date]]),1,1,1,2,2,2,3,3,3,4,4,4)</f>
        <v>Qtr 3</v>
      </c>
      <c r="G1168" s="3" t="str">
        <f>TEXT(Table1[[#This Row],[Date]],"mmmm")</f>
        <v>September</v>
      </c>
      <c r="H1168" s="3" t="s">
        <v>1083</v>
      </c>
      <c r="I1168" s="3" t="s">
        <v>18</v>
      </c>
      <c r="J1168" s="3">
        <v>4</v>
      </c>
      <c r="K1168" s="3">
        <v>31044.240000000002</v>
      </c>
      <c r="L1168" s="3">
        <f>Table1[[#This Row],[Price Per Unit]]*Table1[[#This Row],[Units Sold]]</f>
        <v>124176.96000000001</v>
      </c>
      <c r="M1168" s="3" t="s">
        <v>601</v>
      </c>
      <c r="N1168" s="3">
        <v>51</v>
      </c>
      <c r="O1168" s="3" t="s">
        <v>52</v>
      </c>
      <c r="P1168" s="3" t="s">
        <v>31</v>
      </c>
      <c r="Q1168" s="4">
        <v>3</v>
      </c>
      <c r="R1168" s="4" t="str">
        <f>IF(Table1[[#This Row],[Customer Ratings]]&gt;=4, "Good",IF(Table1[[#This Row],[Customer Ratings]]=3, "Average","Poor"))</f>
        <v>Average</v>
      </c>
      <c r="S1168" s="3" t="s">
        <v>22</v>
      </c>
    </row>
    <row r="1169" spans="1:19" x14ac:dyDescent="0.25">
      <c r="A1169" s="3">
        <v>1168</v>
      </c>
      <c r="B1169" s="5">
        <f>DATE(Table1[[#This Row],[Year]],Table1[[#This Row],[Month]],Table1[[#This Row],[Day]])</f>
        <v>44811</v>
      </c>
      <c r="C1169" s="3">
        <v>7</v>
      </c>
      <c r="D1169" s="3">
        <v>9</v>
      </c>
      <c r="E1169" s="3">
        <v>2022</v>
      </c>
      <c r="F1169" s="3" t="str">
        <f>"Qtr"&amp; " " &amp;CHOOSE(MONTH(Table1[[#This Row],[Date]]),1,1,1,2,2,2,3,3,3,4,4,4)</f>
        <v>Qtr 3</v>
      </c>
      <c r="G1169" s="3" t="str">
        <f>TEXT(Table1[[#This Row],[Date]],"mmmm")</f>
        <v>September</v>
      </c>
      <c r="H1169" s="3" t="s">
        <v>1083</v>
      </c>
      <c r="I1169" s="3" t="s">
        <v>13</v>
      </c>
      <c r="J1169" s="3">
        <v>3</v>
      </c>
      <c r="K1169" s="3">
        <v>55464.1</v>
      </c>
      <c r="L1169" s="3">
        <f>Table1[[#This Row],[Price Per Unit]]*Table1[[#This Row],[Units Sold]]</f>
        <v>166392.29999999999</v>
      </c>
      <c r="M1169" s="3" t="s">
        <v>760</v>
      </c>
      <c r="N1169" s="3">
        <v>36</v>
      </c>
      <c r="O1169" s="3" t="s">
        <v>125</v>
      </c>
      <c r="P1169" s="3" t="s">
        <v>45</v>
      </c>
      <c r="Q1169" s="4">
        <v>5</v>
      </c>
      <c r="R1169" s="4" t="str">
        <f>IF(Table1[[#This Row],[Customer Ratings]]&gt;=4, "Good",IF(Table1[[#This Row],[Customer Ratings]]=3, "Average","Poor"))</f>
        <v>Good</v>
      </c>
      <c r="S1169" s="3" t="s">
        <v>72</v>
      </c>
    </row>
    <row r="1170" spans="1:19" x14ac:dyDescent="0.25">
      <c r="A1170" s="3">
        <v>1169</v>
      </c>
      <c r="B1170" s="5">
        <f>DATE(Table1[[#This Row],[Year]],Table1[[#This Row],[Month]],Table1[[#This Row],[Day]])</f>
        <v>44811</v>
      </c>
      <c r="C1170" s="3">
        <v>7</v>
      </c>
      <c r="D1170" s="3">
        <v>9</v>
      </c>
      <c r="E1170" s="3">
        <v>2022</v>
      </c>
      <c r="F1170" s="3" t="str">
        <f>"Qtr"&amp; " " &amp;CHOOSE(MONTH(Table1[[#This Row],[Date]]),1,1,1,2,2,2,3,3,3,4,4,4)</f>
        <v>Qtr 3</v>
      </c>
      <c r="G1170" s="3" t="str">
        <f>TEXT(Table1[[#This Row],[Date]],"mmmm")</f>
        <v>September</v>
      </c>
      <c r="H1170" s="3" t="s">
        <v>1083</v>
      </c>
      <c r="I1170" s="3" t="s">
        <v>13</v>
      </c>
      <c r="J1170" s="3">
        <v>4</v>
      </c>
      <c r="K1170" s="3">
        <v>44944.06</v>
      </c>
      <c r="L1170" s="3">
        <f>Table1[[#This Row],[Price Per Unit]]*Table1[[#This Row],[Units Sold]]</f>
        <v>179776.24</v>
      </c>
      <c r="M1170" s="3" t="s">
        <v>520</v>
      </c>
      <c r="N1170" s="3">
        <v>56</v>
      </c>
      <c r="O1170" s="3" t="s">
        <v>24</v>
      </c>
      <c r="P1170" s="3" t="s">
        <v>31</v>
      </c>
      <c r="Q1170" s="4">
        <v>3</v>
      </c>
      <c r="R1170" s="4" t="str">
        <f>IF(Table1[[#This Row],[Customer Ratings]]&gt;=4, "Good",IF(Table1[[#This Row],[Customer Ratings]]=3, "Average","Poor"))</f>
        <v>Average</v>
      </c>
      <c r="S1170" s="3" t="s">
        <v>17</v>
      </c>
    </row>
    <row r="1171" spans="1:19" x14ac:dyDescent="0.25">
      <c r="A1171" s="3">
        <v>1170</v>
      </c>
      <c r="B1171" s="5">
        <f>DATE(Table1[[#This Row],[Year]],Table1[[#This Row],[Month]],Table1[[#This Row],[Day]])</f>
        <v>44812</v>
      </c>
      <c r="C1171" s="3">
        <v>8</v>
      </c>
      <c r="D1171" s="3">
        <v>9</v>
      </c>
      <c r="E1171" s="3">
        <v>2022</v>
      </c>
      <c r="F1171" s="3" t="str">
        <f>"Qtr"&amp; " " &amp;CHOOSE(MONTH(Table1[[#This Row],[Date]]),1,1,1,2,2,2,3,3,3,4,4,4)</f>
        <v>Qtr 3</v>
      </c>
      <c r="G1171" s="3" t="str">
        <f>TEXT(Table1[[#This Row],[Date]],"mmmm")</f>
        <v>September</v>
      </c>
      <c r="H1171" s="3" t="s">
        <v>1084</v>
      </c>
      <c r="I1171" s="3" t="s">
        <v>39</v>
      </c>
      <c r="J1171" s="3">
        <v>1</v>
      </c>
      <c r="K1171" s="3">
        <v>51340</v>
      </c>
      <c r="L1171" s="3">
        <f>Table1[[#This Row],[Price Per Unit]]*Table1[[#This Row],[Units Sold]]</f>
        <v>51340</v>
      </c>
      <c r="M1171" s="3" t="s">
        <v>207</v>
      </c>
      <c r="N1171" s="3">
        <v>35</v>
      </c>
      <c r="O1171" s="3" t="s">
        <v>24</v>
      </c>
      <c r="P1171" s="3" t="s">
        <v>16</v>
      </c>
      <c r="Q1171" s="4">
        <v>4</v>
      </c>
      <c r="R1171" s="4" t="str">
        <f>IF(Table1[[#This Row],[Customer Ratings]]&gt;=4, "Good",IF(Table1[[#This Row],[Customer Ratings]]=3, "Average","Poor"))</f>
        <v>Good</v>
      </c>
      <c r="S1171" s="3" t="s">
        <v>76</v>
      </c>
    </row>
    <row r="1172" spans="1:19" x14ac:dyDescent="0.25">
      <c r="A1172" s="3">
        <v>1171</v>
      </c>
      <c r="B1172" s="5">
        <f>DATE(Table1[[#This Row],[Year]],Table1[[#This Row],[Month]],Table1[[#This Row],[Day]])</f>
        <v>44812</v>
      </c>
      <c r="C1172" s="3">
        <v>8</v>
      </c>
      <c r="D1172" s="3">
        <v>9</v>
      </c>
      <c r="E1172" s="3">
        <v>2022</v>
      </c>
      <c r="F1172" s="3" t="str">
        <f>"Qtr"&amp; " " &amp;CHOOSE(MONTH(Table1[[#This Row],[Date]]),1,1,1,2,2,2,3,3,3,4,4,4)</f>
        <v>Qtr 3</v>
      </c>
      <c r="G1172" s="3" t="str">
        <f>TEXT(Table1[[#This Row],[Date]],"mmmm")</f>
        <v>September</v>
      </c>
      <c r="H1172" s="3" t="s">
        <v>1084</v>
      </c>
      <c r="I1172" s="3" t="s">
        <v>33</v>
      </c>
      <c r="J1172" s="3">
        <v>8</v>
      </c>
      <c r="K1172" s="3">
        <v>44020.74</v>
      </c>
      <c r="L1172" s="3">
        <f>Table1[[#This Row],[Price Per Unit]]*Table1[[#This Row],[Units Sold]]</f>
        <v>352165.92</v>
      </c>
      <c r="M1172" s="3" t="s">
        <v>338</v>
      </c>
      <c r="N1172" s="3">
        <v>30</v>
      </c>
      <c r="O1172" s="3" t="s">
        <v>30</v>
      </c>
      <c r="P1172" s="3" t="s">
        <v>16</v>
      </c>
      <c r="Q1172" s="4">
        <v>5</v>
      </c>
      <c r="R1172" s="4" t="str">
        <f>IF(Table1[[#This Row],[Customer Ratings]]&gt;=4, "Good",IF(Table1[[#This Row],[Customer Ratings]]=3, "Average","Poor"))</f>
        <v>Good</v>
      </c>
      <c r="S1172" s="3" t="s">
        <v>83</v>
      </c>
    </row>
    <row r="1173" spans="1:19" x14ac:dyDescent="0.25">
      <c r="A1173" s="3">
        <v>1172</v>
      </c>
      <c r="B1173" s="5">
        <f>DATE(Table1[[#This Row],[Year]],Table1[[#This Row],[Month]],Table1[[#This Row],[Day]])</f>
        <v>44812</v>
      </c>
      <c r="C1173" s="3">
        <v>8</v>
      </c>
      <c r="D1173" s="3">
        <v>9</v>
      </c>
      <c r="E1173" s="3">
        <v>2022</v>
      </c>
      <c r="F1173" s="3" t="str">
        <f>"Qtr"&amp; " " &amp;CHOOSE(MONTH(Table1[[#This Row],[Date]]),1,1,1,2,2,2,3,3,3,4,4,4)</f>
        <v>Qtr 3</v>
      </c>
      <c r="G1173" s="3" t="str">
        <f>TEXT(Table1[[#This Row],[Date]],"mmmm")</f>
        <v>September</v>
      </c>
      <c r="H1173" s="3" t="s">
        <v>1084</v>
      </c>
      <c r="I1173" s="3" t="s">
        <v>18</v>
      </c>
      <c r="J1173" s="3">
        <v>4</v>
      </c>
      <c r="K1173" s="3">
        <v>51015.55</v>
      </c>
      <c r="L1173" s="3">
        <f>Table1[[#This Row],[Price Per Unit]]*Table1[[#This Row],[Units Sold]]</f>
        <v>204062.2</v>
      </c>
      <c r="M1173" s="3" t="s">
        <v>59</v>
      </c>
      <c r="N1173" s="3">
        <v>22</v>
      </c>
      <c r="O1173" s="3" t="s">
        <v>98</v>
      </c>
      <c r="P1173" s="3" t="s">
        <v>16</v>
      </c>
      <c r="Q1173" s="4">
        <v>5</v>
      </c>
      <c r="R1173" s="4" t="str">
        <f>IF(Table1[[#This Row],[Customer Ratings]]&gt;=4, "Good",IF(Table1[[#This Row],[Customer Ratings]]=3, "Average","Poor"))</f>
        <v>Good</v>
      </c>
      <c r="S1173" s="3" t="s">
        <v>22</v>
      </c>
    </row>
    <row r="1174" spans="1:19" x14ac:dyDescent="0.25">
      <c r="A1174" s="3">
        <v>1173</v>
      </c>
      <c r="B1174" s="5">
        <f>DATE(Table1[[#This Row],[Year]],Table1[[#This Row],[Month]],Table1[[#This Row],[Day]])</f>
        <v>44812</v>
      </c>
      <c r="C1174" s="3">
        <v>8</v>
      </c>
      <c r="D1174" s="3">
        <v>9</v>
      </c>
      <c r="E1174" s="3">
        <v>2022</v>
      </c>
      <c r="F1174" s="3" t="str">
        <f>"Qtr"&amp; " " &amp;CHOOSE(MONTH(Table1[[#This Row],[Date]]),1,1,1,2,2,2,3,3,3,4,4,4)</f>
        <v>Qtr 3</v>
      </c>
      <c r="G1174" s="3" t="str">
        <f>TEXT(Table1[[#This Row],[Date]],"mmmm")</f>
        <v>September</v>
      </c>
      <c r="H1174" s="3" t="s">
        <v>1084</v>
      </c>
      <c r="I1174" s="3" t="s">
        <v>39</v>
      </c>
      <c r="J1174" s="3">
        <v>7</v>
      </c>
      <c r="K1174" s="3">
        <v>10170.530000000001</v>
      </c>
      <c r="L1174" s="3">
        <f>Table1[[#This Row],[Price Per Unit]]*Table1[[#This Row],[Units Sold]]</f>
        <v>71193.710000000006</v>
      </c>
      <c r="M1174" s="3" t="s">
        <v>659</v>
      </c>
      <c r="N1174" s="3">
        <v>40</v>
      </c>
      <c r="O1174" s="3" t="s">
        <v>20</v>
      </c>
      <c r="P1174" s="3" t="s">
        <v>45</v>
      </c>
      <c r="Q1174" s="4">
        <v>5</v>
      </c>
      <c r="R1174" s="4" t="str">
        <f>IF(Table1[[#This Row],[Customer Ratings]]&gt;=4, "Good",IF(Table1[[#This Row],[Customer Ratings]]=3, "Average","Poor"))</f>
        <v>Good</v>
      </c>
      <c r="S1174" s="3" t="s">
        <v>42</v>
      </c>
    </row>
    <row r="1175" spans="1:19" x14ac:dyDescent="0.25">
      <c r="A1175" s="3">
        <v>1174</v>
      </c>
      <c r="B1175" s="5">
        <f>DATE(Table1[[#This Row],[Year]],Table1[[#This Row],[Month]],Table1[[#This Row],[Day]])</f>
        <v>44813</v>
      </c>
      <c r="C1175" s="3">
        <v>9</v>
      </c>
      <c r="D1175" s="3">
        <v>9</v>
      </c>
      <c r="E1175" s="3">
        <v>2022</v>
      </c>
      <c r="F1175" s="3" t="str">
        <f>"Qtr"&amp; " " &amp;CHOOSE(MONTH(Table1[[#This Row],[Date]]),1,1,1,2,2,2,3,3,3,4,4,4)</f>
        <v>Qtr 3</v>
      </c>
      <c r="G1175" s="3" t="str">
        <f>TEXT(Table1[[#This Row],[Date]],"mmmm")</f>
        <v>September</v>
      </c>
      <c r="H1175" s="3" t="s">
        <v>1085</v>
      </c>
      <c r="I1175" s="3" t="s">
        <v>18</v>
      </c>
      <c r="J1175" s="3">
        <v>2</v>
      </c>
      <c r="K1175" s="3">
        <v>65853.89</v>
      </c>
      <c r="L1175" s="3">
        <f>Table1[[#This Row],[Price Per Unit]]*Table1[[#This Row],[Units Sold]]</f>
        <v>131707.78</v>
      </c>
      <c r="M1175" s="3" t="s">
        <v>761</v>
      </c>
      <c r="N1175" s="3">
        <v>41</v>
      </c>
      <c r="O1175" s="3" t="s">
        <v>30</v>
      </c>
      <c r="P1175" s="3" t="s">
        <v>45</v>
      </c>
      <c r="Q1175" s="4">
        <v>5</v>
      </c>
      <c r="R1175" s="4" t="str">
        <f>IF(Table1[[#This Row],[Customer Ratings]]&gt;=4, "Good",IF(Table1[[#This Row],[Customer Ratings]]=3, "Average","Poor"))</f>
        <v>Good</v>
      </c>
      <c r="S1175" s="3" t="s">
        <v>25</v>
      </c>
    </row>
    <row r="1176" spans="1:19" x14ac:dyDescent="0.25">
      <c r="A1176" s="3">
        <v>1175</v>
      </c>
      <c r="B1176" s="5">
        <f>DATE(Table1[[#This Row],[Year]],Table1[[#This Row],[Month]],Table1[[#This Row],[Day]])</f>
        <v>44813</v>
      </c>
      <c r="C1176" s="3">
        <v>9</v>
      </c>
      <c r="D1176" s="3">
        <v>9</v>
      </c>
      <c r="E1176" s="3">
        <v>2022</v>
      </c>
      <c r="F1176" s="3" t="str">
        <f>"Qtr"&amp; " " &amp;CHOOSE(MONTH(Table1[[#This Row],[Date]]),1,1,1,2,2,2,3,3,3,4,4,4)</f>
        <v>Qtr 3</v>
      </c>
      <c r="G1176" s="3" t="str">
        <f>TEXT(Table1[[#This Row],[Date]],"mmmm")</f>
        <v>September</v>
      </c>
      <c r="H1176" s="3" t="s">
        <v>1085</v>
      </c>
      <c r="I1176" s="3" t="s">
        <v>33</v>
      </c>
      <c r="J1176" s="3">
        <v>2</v>
      </c>
      <c r="K1176" s="3">
        <v>16655.21</v>
      </c>
      <c r="L1176" s="3">
        <f>Table1[[#This Row],[Price Per Unit]]*Table1[[#This Row],[Units Sold]]</f>
        <v>33310.42</v>
      </c>
      <c r="M1176" s="3" t="s">
        <v>218</v>
      </c>
      <c r="N1176" s="3">
        <v>46</v>
      </c>
      <c r="O1176" s="3" t="s">
        <v>98</v>
      </c>
      <c r="P1176" s="3" t="s">
        <v>21</v>
      </c>
      <c r="Q1176" s="4">
        <v>4</v>
      </c>
      <c r="R1176" s="4" t="str">
        <f>IF(Table1[[#This Row],[Customer Ratings]]&gt;=4, "Good",IF(Table1[[#This Row],[Customer Ratings]]=3, "Average","Poor"))</f>
        <v>Good</v>
      </c>
      <c r="S1176" s="3" t="s">
        <v>83</v>
      </c>
    </row>
    <row r="1177" spans="1:19" x14ac:dyDescent="0.25">
      <c r="A1177" s="3">
        <v>1176</v>
      </c>
      <c r="B1177" s="5">
        <f>DATE(Table1[[#This Row],[Year]],Table1[[#This Row],[Month]],Table1[[#This Row],[Day]])</f>
        <v>44813</v>
      </c>
      <c r="C1177" s="3">
        <v>9</v>
      </c>
      <c r="D1177" s="3">
        <v>9</v>
      </c>
      <c r="E1177" s="3">
        <v>2022</v>
      </c>
      <c r="F1177" s="3" t="str">
        <f>"Qtr"&amp; " " &amp;CHOOSE(MONTH(Table1[[#This Row],[Date]]),1,1,1,2,2,2,3,3,3,4,4,4)</f>
        <v>Qtr 3</v>
      </c>
      <c r="G1177" s="3" t="str">
        <f>TEXT(Table1[[#This Row],[Date]],"mmmm")</f>
        <v>September</v>
      </c>
      <c r="H1177" s="3" t="s">
        <v>1085</v>
      </c>
      <c r="I1177" s="3" t="s">
        <v>33</v>
      </c>
      <c r="J1177" s="3">
        <v>6</v>
      </c>
      <c r="K1177" s="3">
        <v>34374.949999999997</v>
      </c>
      <c r="L1177" s="3">
        <f>Table1[[#This Row],[Price Per Unit]]*Table1[[#This Row],[Units Sold]]</f>
        <v>206249.69999999998</v>
      </c>
      <c r="M1177" s="3" t="s">
        <v>172</v>
      </c>
      <c r="N1177" s="3">
        <v>25</v>
      </c>
      <c r="O1177" s="3" t="s">
        <v>24</v>
      </c>
      <c r="P1177" s="3" t="s">
        <v>31</v>
      </c>
      <c r="Q1177" s="4">
        <v>1</v>
      </c>
      <c r="R1177" s="4" t="str">
        <f>IF(Table1[[#This Row],[Customer Ratings]]&gt;=4, "Good",IF(Table1[[#This Row],[Customer Ratings]]=3, "Average","Poor"))</f>
        <v>Poor</v>
      </c>
      <c r="S1177" s="3" t="s">
        <v>83</v>
      </c>
    </row>
    <row r="1178" spans="1:19" x14ac:dyDescent="0.25">
      <c r="A1178" s="3">
        <v>1177</v>
      </c>
      <c r="B1178" s="5">
        <f>DATE(Table1[[#This Row],[Year]],Table1[[#This Row],[Month]],Table1[[#This Row],[Day]])</f>
        <v>44813</v>
      </c>
      <c r="C1178" s="3">
        <v>9</v>
      </c>
      <c r="D1178" s="3">
        <v>9</v>
      </c>
      <c r="E1178" s="3">
        <v>2022</v>
      </c>
      <c r="F1178" s="3" t="str">
        <f>"Qtr"&amp; " " &amp;CHOOSE(MONTH(Table1[[#This Row],[Date]]),1,1,1,2,2,2,3,3,3,4,4,4)</f>
        <v>Qtr 3</v>
      </c>
      <c r="G1178" s="3" t="str">
        <f>TEXT(Table1[[#This Row],[Date]],"mmmm")</f>
        <v>September</v>
      </c>
      <c r="H1178" s="3" t="s">
        <v>1085</v>
      </c>
      <c r="I1178" s="3" t="s">
        <v>39</v>
      </c>
      <c r="J1178" s="3">
        <v>2</v>
      </c>
      <c r="K1178" s="3">
        <v>56262.3</v>
      </c>
      <c r="L1178" s="3">
        <f>Table1[[#This Row],[Price Per Unit]]*Table1[[#This Row],[Units Sold]]</f>
        <v>112524.6</v>
      </c>
      <c r="M1178" s="3" t="s">
        <v>762</v>
      </c>
      <c r="N1178" s="3">
        <v>43</v>
      </c>
      <c r="O1178" s="3" t="s">
        <v>35</v>
      </c>
      <c r="P1178" s="3" t="s">
        <v>21</v>
      </c>
      <c r="Q1178" s="4">
        <v>3</v>
      </c>
      <c r="R1178" s="4" t="str">
        <f>IF(Table1[[#This Row],[Customer Ratings]]&gt;=4, "Good",IF(Table1[[#This Row],[Customer Ratings]]=3, "Average","Poor"))</f>
        <v>Average</v>
      </c>
      <c r="S1178" s="3" t="s">
        <v>90</v>
      </c>
    </row>
    <row r="1179" spans="1:19" x14ac:dyDescent="0.25">
      <c r="A1179" s="3">
        <v>1178</v>
      </c>
      <c r="B1179" s="5">
        <f>DATE(Table1[[#This Row],[Year]],Table1[[#This Row],[Month]],Table1[[#This Row],[Day]])</f>
        <v>44814</v>
      </c>
      <c r="C1179" s="3">
        <v>10</v>
      </c>
      <c r="D1179" s="3">
        <v>9</v>
      </c>
      <c r="E1179" s="3">
        <v>2022</v>
      </c>
      <c r="F1179" s="3" t="str">
        <f>"Qtr"&amp; " " &amp;CHOOSE(MONTH(Table1[[#This Row],[Date]]),1,1,1,2,2,2,3,3,3,4,4,4)</f>
        <v>Qtr 3</v>
      </c>
      <c r="G1179" s="3" t="str">
        <f>TEXT(Table1[[#This Row],[Date]],"mmmm")</f>
        <v>September</v>
      </c>
      <c r="H1179" s="3" t="s">
        <v>1079</v>
      </c>
      <c r="I1179" s="3" t="s">
        <v>33</v>
      </c>
      <c r="J1179" s="3">
        <v>6</v>
      </c>
      <c r="K1179" s="3">
        <v>36113.839999999997</v>
      </c>
      <c r="L1179" s="3">
        <f>Table1[[#This Row],[Price Per Unit]]*Table1[[#This Row],[Units Sold]]</f>
        <v>216683.03999999998</v>
      </c>
      <c r="M1179" s="3" t="s">
        <v>763</v>
      </c>
      <c r="N1179" s="3">
        <v>32</v>
      </c>
      <c r="O1179" s="3" t="s">
        <v>20</v>
      </c>
      <c r="P1179" s="3" t="s">
        <v>31</v>
      </c>
      <c r="Q1179" s="4">
        <v>3</v>
      </c>
      <c r="R1179" s="4" t="str">
        <f>IF(Table1[[#This Row],[Customer Ratings]]&gt;=4, "Good",IF(Table1[[#This Row],[Customer Ratings]]=3, "Average","Poor"))</f>
        <v>Average</v>
      </c>
      <c r="S1179" s="3" t="s">
        <v>83</v>
      </c>
    </row>
    <row r="1180" spans="1:19" x14ac:dyDescent="0.25">
      <c r="A1180" s="3">
        <v>1179</v>
      </c>
      <c r="B1180" s="5">
        <f>DATE(Table1[[#This Row],[Year]],Table1[[#This Row],[Month]],Table1[[#This Row],[Day]])</f>
        <v>44814</v>
      </c>
      <c r="C1180" s="3">
        <v>10</v>
      </c>
      <c r="D1180" s="3">
        <v>9</v>
      </c>
      <c r="E1180" s="3">
        <v>2022</v>
      </c>
      <c r="F1180" s="3" t="str">
        <f>"Qtr"&amp; " " &amp;CHOOSE(MONTH(Table1[[#This Row],[Date]]),1,1,1,2,2,2,3,3,3,4,4,4)</f>
        <v>Qtr 3</v>
      </c>
      <c r="G1180" s="3" t="str">
        <f>TEXT(Table1[[#This Row],[Date]],"mmmm")</f>
        <v>September</v>
      </c>
      <c r="H1180" s="3" t="s">
        <v>1079</v>
      </c>
      <c r="I1180" s="3" t="s">
        <v>28</v>
      </c>
      <c r="J1180" s="3">
        <v>2</v>
      </c>
      <c r="K1180" s="3">
        <v>66810.55</v>
      </c>
      <c r="L1180" s="3">
        <f>Table1[[#This Row],[Price Per Unit]]*Table1[[#This Row],[Units Sold]]</f>
        <v>133621.1</v>
      </c>
      <c r="M1180" s="3" t="s">
        <v>764</v>
      </c>
      <c r="N1180" s="3">
        <v>18</v>
      </c>
      <c r="O1180" s="3" t="s">
        <v>20</v>
      </c>
      <c r="P1180" s="3" t="s">
        <v>31</v>
      </c>
      <c r="Q1180" s="4">
        <v>1</v>
      </c>
      <c r="R1180" s="4" t="str">
        <f>IF(Table1[[#This Row],[Customer Ratings]]&gt;=4, "Good",IF(Table1[[#This Row],[Customer Ratings]]=3, "Average","Poor"))</f>
        <v>Poor</v>
      </c>
      <c r="S1180" s="3" t="s">
        <v>32</v>
      </c>
    </row>
    <row r="1181" spans="1:19" x14ac:dyDescent="0.25">
      <c r="A1181" s="3">
        <v>1180</v>
      </c>
      <c r="B1181" s="5">
        <f>DATE(Table1[[#This Row],[Year]],Table1[[#This Row],[Month]],Table1[[#This Row],[Day]])</f>
        <v>44814</v>
      </c>
      <c r="C1181" s="3">
        <v>10</v>
      </c>
      <c r="D1181" s="3">
        <v>9</v>
      </c>
      <c r="E1181" s="3">
        <v>2022</v>
      </c>
      <c r="F1181" s="3" t="str">
        <f>"Qtr"&amp; " " &amp;CHOOSE(MONTH(Table1[[#This Row],[Date]]),1,1,1,2,2,2,3,3,3,4,4,4)</f>
        <v>Qtr 3</v>
      </c>
      <c r="G1181" s="3" t="str">
        <f>TEXT(Table1[[#This Row],[Date]],"mmmm")</f>
        <v>September</v>
      </c>
      <c r="H1181" s="3" t="s">
        <v>1079</v>
      </c>
      <c r="I1181" s="3" t="s">
        <v>13</v>
      </c>
      <c r="J1181" s="3">
        <v>4</v>
      </c>
      <c r="K1181" s="3">
        <v>38055.339999999997</v>
      </c>
      <c r="L1181" s="3">
        <f>Table1[[#This Row],[Price Per Unit]]*Table1[[#This Row],[Units Sold]]</f>
        <v>152221.35999999999</v>
      </c>
      <c r="M1181" s="3" t="s">
        <v>426</v>
      </c>
      <c r="N1181" s="3">
        <v>45</v>
      </c>
      <c r="O1181" s="3" t="s">
        <v>20</v>
      </c>
      <c r="P1181" s="3" t="s">
        <v>45</v>
      </c>
      <c r="Q1181" s="4">
        <v>1</v>
      </c>
      <c r="R1181" s="4" t="str">
        <f>IF(Table1[[#This Row],[Customer Ratings]]&gt;=4, "Good",IF(Table1[[#This Row],[Customer Ratings]]=3, "Average","Poor"))</f>
        <v>Poor</v>
      </c>
      <c r="S1181" s="3" t="s">
        <v>27</v>
      </c>
    </row>
    <row r="1182" spans="1:19" x14ac:dyDescent="0.25">
      <c r="A1182" s="3">
        <v>1181</v>
      </c>
      <c r="B1182" s="5">
        <f>DATE(Table1[[#This Row],[Year]],Table1[[#This Row],[Month]],Table1[[#This Row],[Day]])</f>
        <v>44815</v>
      </c>
      <c r="C1182" s="3">
        <v>11</v>
      </c>
      <c r="D1182" s="3">
        <v>9</v>
      </c>
      <c r="E1182" s="3">
        <v>2022</v>
      </c>
      <c r="F1182" s="3" t="str">
        <f>"Qtr"&amp; " " &amp;CHOOSE(MONTH(Table1[[#This Row],[Date]]),1,1,1,2,2,2,3,3,3,4,4,4)</f>
        <v>Qtr 3</v>
      </c>
      <c r="G1182" s="3" t="str">
        <f>TEXT(Table1[[#This Row],[Date]],"mmmm")</f>
        <v>September</v>
      </c>
      <c r="H1182" s="3" t="s">
        <v>1080</v>
      </c>
      <c r="I1182" s="3" t="s">
        <v>39</v>
      </c>
      <c r="J1182" s="3">
        <v>7</v>
      </c>
      <c r="K1182" s="3">
        <v>62496.36</v>
      </c>
      <c r="L1182" s="3">
        <f>Table1[[#This Row],[Price Per Unit]]*Table1[[#This Row],[Units Sold]]</f>
        <v>437474.52</v>
      </c>
      <c r="M1182" s="3" t="s">
        <v>765</v>
      </c>
      <c r="N1182" s="3">
        <v>31</v>
      </c>
      <c r="O1182" s="3" t="s">
        <v>20</v>
      </c>
      <c r="P1182" s="3" t="s">
        <v>16</v>
      </c>
      <c r="Q1182" s="4">
        <v>5</v>
      </c>
      <c r="R1182" s="4" t="str">
        <f>IF(Table1[[#This Row],[Customer Ratings]]&gt;=4, "Good",IF(Table1[[#This Row],[Customer Ratings]]=3, "Average","Poor"))</f>
        <v>Good</v>
      </c>
      <c r="S1182" s="3" t="s">
        <v>76</v>
      </c>
    </row>
    <row r="1183" spans="1:19" x14ac:dyDescent="0.25">
      <c r="A1183" s="3">
        <v>1182</v>
      </c>
      <c r="B1183" s="5">
        <f>DATE(Table1[[#This Row],[Year]],Table1[[#This Row],[Month]],Table1[[#This Row],[Day]])</f>
        <v>44815</v>
      </c>
      <c r="C1183" s="3">
        <v>11</v>
      </c>
      <c r="D1183" s="3">
        <v>9</v>
      </c>
      <c r="E1183" s="3">
        <v>2022</v>
      </c>
      <c r="F1183" s="3" t="str">
        <f>"Qtr"&amp; " " &amp;CHOOSE(MONTH(Table1[[#This Row],[Date]]),1,1,1,2,2,2,3,3,3,4,4,4)</f>
        <v>Qtr 3</v>
      </c>
      <c r="G1183" s="3" t="str">
        <f>TEXT(Table1[[#This Row],[Date]],"mmmm")</f>
        <v>September</v>
      </c>
      <c r="H1183" s="3" t="s">
        <v>1080</v>
      </c>
      <c r="I1183" s="3" t="s">
        <v>18</v>
      </c>
      <c r="J1183" s="3">
        <v>8</v>
      </c>
      <c r="K1183" s="3">
        <v>58649.69</v>
      </c>
      <c r="L1183" s="3">
        <f>Table1[[#This Row],[Price Per Unit]]*Table1[[#This Row],[Units Sold]]</f>
        <v>469197.52</v>
      </c>
      <c r="M1183" s="3" t="s">
        <v>66</v>
      </c>
      <c r="N1183" s="3">
        <v>59</v>
      </c>
      <c r="O1183" s="3" t="s">
        <v>102</v>
      </c>
      <c r="P1183" s="3" t="s">
        <v>31</v>
      </c>
      <c r="Q1183" s="4">
        <v>1</v>
      </c>
      <c r="R1183" s="4" t="str">
        <f>IF(Table1[[#This Row],[Customer Ratings]]&gt;=4, "Good",IF(Table1[[#This Row],[Customer Ratings]]=3, "Average","Poor"))</f>
        <v>Poor</v>
      </c>
      <c r="S1183" s="3" t="s">
        <v>22</v>
      </c>
    </row>
    <row r="1184" spans="1:19" x14ac:dyDescent="0.25">
      <c r="A1184" s="3">
        <v>1183</v>
      </c>
      <c r="B1184" s="5">
        <f>DATE(Table1[[#This Row],[Year]],Table1[[#This Row],[Month]],Table1[[#This Row],[Day]])</f>
        <v>44815</v>
      </c>
      <c r="C1184" s="3">
        <v>11</v>
      </c>
      <c r="D1184" s="3">
        <v>9</v>
      </c>
      <c r="E1184" s="3">
        <v>2022</v>
      </c>
      <c r="F1184" s="3" t="str">
        <f>"Qtr"&amp; " " &amp;CHOOSE(MONTH(Table1[[#This Row],[Date]]),1,1,1,2,2,2,3,3,3,4,4,4)</f>
        <v>Qtr 3</v>
      </c>
      <c r="G1184" s="3" t="str">
        <f>TEXT(Table1[[#This Row],[Date]],"mmmm")</f>
        <v>September</v>
      </c>
      <c r="H1184" s="3" t="s">
        <v>1080</v>
      </c>
      <c r="I1184" s="3" t="s">
        <v>28</v>
      </c>
      <c r="J1184" s="3">
        <v>3</v>
      </c>
      <c r="K1184" s="3">
        <v>68859.179999999993</v>
      </c>
      <c r="L1184" s="3">
        <f>Table1[[#This Row],[Price Per Unit]]*Table1[[#This Row],[Units Sold]]</f>
        <v>206577.53999999998</v>
      </c>
      <c r="M1184" s="3" t="s">
        <v>648</v>
      </c>
      <c r="N1184" s="3">
        <v>51</v>
      </c>
      <c r="O1184" s="3" t="s">
        <v>20</v>
      </c>
      <c r="P1184" s="3" t="s">
        <v>45</v>
      </c>
      <c r="Q1184" s="4">
        <v>5</v>
      </c>
      <c r="R1184" s="4" t="str">
        <f>IF(Table1[[#This Row],[Customer Ratings]]&gt;=4, "Good",IF(Table1[[#This Row],[Customer Ratings]]=3, "Average","Poor"))</f>
        <v>Good</v>
      </c>
      <c r="S1184" s="3" t="s">
        <v>32</v>
      </c>
    </row>
    <row r="1185" spans="1:19" x14ac:dyDescent="0.25">
      <c r="A1185" s="3">
        <v>1184</v>
      </c>
      <c r="B1185" s="5">
        <f>DATE(Table1[[#This Row],[Year]],Table1[[#This Row],[Month]],Table1[[#This Row],[Day]])</f>
        <v>44816</v>
      </c>
      <c r="C1185" s="3">
        <v>12</v>
      </c>
      <c r="D1185" s="3">
        <v>9</v>
      </c>
      <c r="E1185" s="3">
        <v>2022</v>
      </c>
      <c r="F1185" s="3" t="str">
        <f>"Qtr"&amp; " " &amp;CHOOSE(MONTH(Table1[[#This Row],[Date]]),1,1,1,2,2,2,3,3,3,4,4,4)</f>
        <v>Qtr 3</v>
      </c>
      <c r="G1185" s="3" t="str">
        <f>TEXT(Table1[[#This Row],[Date]],"mmmm")</f>
        <v>September</v>
      </c>
      <c r="H1185" s="3" t="s">
        <v>1081</v>
      </c>
      <c r="I1185" s="3" t="s">
        <v>39</v>
      </c>
      <c r="J1185" s="3">
        <v>9</v>
      </c>
      <c r="K1185" s="3">
        <v>65592.87</v>
      </c>
      <c r="L1185" s="3">
        <f>Table1[[#This Row],[Price Per Unit]]*Table1[[#This Row],[Units Sold]]</f>
        <v>590335.82999999996</v>
      </c>
      <c r="M1185" s="3" t="s">
        <v>514</v>
      </c>
      <c r="N1185" s="3">
        <v>48</v>
      </c>
      <c r="O1185" s="3" t="s">
        <v>54</v>
      </c>
      <c r="P1185" s="3" t="s">
        <v>21</v>
      </c>
      <c r="Q1185" s="4">
        <v>5</v>
      </c>
      <c r="R1185" s="4" t="str">
        <f>IF(Table1[[#This Row],[Customer Ratings]]&gt;=4, "Good",IF(Table1[[#This Row],[Customer Ratings]]=3, "Average","Poor"))</f>
        <v>Good</v>
      </c>
      <c r="S1185" s="3" t="s">
        <v>90</v>
      </c>
    </row>
    <row r="1186" spans="1:19" x14ac:dyDescent="0.25">
      <c r="A1186" s="3">
        <v>1185</v>
      </c>
      <c r="B1186" s="5">
        <f>DATE(Table1[[#This Row],[Year]],Table1[[#This Row],[Month]],Table1[[#This Row],[Day]])</f>
        <v>44816</v>
      </c>
      <c r="C1186" s="3">
        <v>12</v>
      </c>
      <c r="D1186" s="3">
        <v>9</v>
      </c>
      <c r="E1186" s="3">
        <v>2022</v>
      </c>
      <c r="F1186" s="3" t="str">
        <f>"Qtr"&amp; " " &amp;CHOOSE(MONTH(Table1[[#This Row],[Date]]),1,1,1,2,2,2,3,3,3,4,4,4)</f>
        <v>Qtr 3</v>
      </c>
      <c r="G1186" s="3" t="str">
        <f>TEXT(Table1[[#This Row],[Date]],"mmmm")</f>
        <v>September</v>
      </c>
      <c r="H1186" s="3" t="s">
        <v>1081</v>
      </c>
      <c r="I1186" s="3" t="s">
        <v>33</v>
      </c>
      <c r="J1186" s="3">
        <v>2</v>
      </c>
      <c r="K1186" s="3">
        <v>63887.43</v>
      </c>
      <c r="L1186" s="3">
        <f>Table1[[#This Row],[Price Per Unit]]*Table1[[#This Row],[Units Sold]]</f>
        <v>127774.86</v>
      </c>
      <c r="M1186" s="3" t="s">
        <v>753</v>
      </c>
      <c r="N1186" s="3">
        <v>23</v>
      </c>
      <c r="O1186" s="3" t="s">
        <v>48</v>
      </c>
      <c r="P1186" s="3" t="s">
        <v>16</v>
      </c>
      <c r="Q1186" s="4">
        <v>4</v>
      </c>
      <c r="R1186" s="4" t="str">
        <f>IF(Table1[[#This Row],[Customer Ratings]]&gt;=4, "Good",IF(Table1[[#This Row],[Customer Ratings]]=3, "Average","Poor"))</f>
        <v>Good</v>
      </c>
      <c r="S1186" s="3" t="s">
        <v>36</v>
      </c>
    </row>
    <row r="1187" spans="1:19" x14ac:dyDescent="0.25">
      <c r="A1187" s="3">
        <v>1186</v>
      </c>
      <c r="B1187" s="5">
        <f>DATE(Table1[[#This Row],[Year]],Table1[[#This Row],[Month]],Table1[[#This Row],[Day]])</f>
        <v>44816</v>
      </c>
      <c r="C1187" s="3">
        <v>12</v>
      </c>
      <c r="D1187" s="3">
        <v>9</v>
      </c>
      <c r="E1187" s="3">
        <v>2022</v>
      </c>
      <c r="F1187" s="3" t="str">
        <f>"Qtr"&amp; " " &amp;CHOOSE(MONTH(Table1[[#This Row],[Date]]),1,1,1,2,2,2,3,3,3,4,4,4)</f>
        <v>Qtr 3</v>
      </c>
      <c r="G1187" s="3" t="str">
        <f>TEXT(Table1[[#This Row],[Date]],"mmmm")</f>
        <v>September</v>
      </c>
      <c r="H1187" s="3" t="s">
        <v>1081</v>
      </c>
      <c r="I1187" s="3" t="s">
        <v>33</v>
      </c>
      <c r="J1187" s="3">
        <v>8</v>
      </c>
      <c r="K1187" s="3">
        <v>53896.26</v>
      </c>
      <c r="L1187" s="3">
        <f>Table1[[#This Row],[Price Per Unit]]*Table1[[#This Row],[Units Sold]]</f>
        <v>431170.08</v>
      </c>
      <c r="M1187" s="3" t="s">
        <v>283</v>
      </c>
      <c r="N1187" s="3">
        <v>22</v>
      </c>
      <c r="O1187" s="3" t="s">
        <v>20</v>
      </c>
      <c r="P1187" s="3" t="s">
        <v>21</v>
      </c>
      <c r="Q1187" s="4">
        <v>5</v>
      </c>
      <c r="R1187" s="4" t="str">
        <f>IF(Table1[[#This Row],[Customer Ratings]]&gt;=4, "Good",IF(Table1[[#This Row],[Customer Ratings]]=3, "Average","Poor"))</f>
        <v>Good</v>
      </c>
      <c r="S1187" s="3" t="s">
        <v>83</v>
      </c>
    </row>
    <row r="1188" spans="1:19" x14ac:dyDescent="0.25">
      <c r="A1188" s="3">
        <v>1187</v>
      </c>
      <c r="B1188" s="5">
        <f>DATE(Table1[[#This Row],[Year]],Table1[[#This Row],[Month]],Table1[[#This Row],[Day]])</f>
        <v>44816</v>
      </c>
      <c r="C1188" s="3">
        <v>12</v>
      </c>
      <c r="D1188" s="3">
        <v>9</v>
      </c>
      <c r="E1188" s="3">
        <v>2022</v>
      </c>
      <c r="F1188" s="3" t="str">
        <f>"Qtr"&amp; " " &amp;CHOOSE(MONTH(Table1[[#This Row],[Date]]),1,1,1,2,2,2,3,3,3,4,4,4)</f>
        <v>Qtr 3</v>
      </c>
      <c r="G1188" s="3" t="str">
        <f>TEXT(Table1[[#This Row],[Date]],"mmmm")</f>
        <v>September</v>
      </c>
      <c r="H1188" s="3" t="s">
        <v>1081</v>
      </c>
      <c r="I1188" s="3" t="s">
        <v>33</v>
      </c>
      <c r="J1188" s="3">
        <v>8</v>
      </c>
      <c r="K1188" s="3">
        <v>32019.89</v>
      </c>
      <c r="L1188" s="3">
        <f>Table1[[#This Row],[Price Per Unit]]*Table1[[#This Row],[Units Sold]]</f>
        <v>256159.12</v>
      </c>
      <c r="M1188" s="3" t="s">
        <v>604</v>
      </c>
      <c r="N1188" s="3">
        <v>48</v>
      </c>
      <c r="O1188" s="3" t="s">
        <v>20</v>
      </c>
      <c r="P1188" s="3" t="s">
        <v>21</v>
      </c>
      <c r="Q1188" s="4">
        <v>5</v>
      </c>
      <c r="R1188" s="4" t="str">
        <f>IF(Table1[[#This Row],[Customer Ratings]]&gt;=4, "Good",IF(Table1[[#This Row],[Customer Ratings]]=3, "Average","Poor"))</f>
        <v>Good</v>
      </c>
      <c r="S1188" s="3" t="s">
        <v>46</v>
      </c>
    </row>
    <row r="1189" spans="1:19" x14ac:dyDescent="0.25">
      <c r="A1189" s="3">
        <v>1188</v>
      </c>
      <c r="B1189" s="5">
        <f>DATE(Table1[[#This Row],[Year]],Table1[[#This Row],[Month]],Table1[[#This Row],[Day]])</f>
        <v>44817</v>
      </c>
      <c r="C1189" s="3">
        <v>13</v>
      </c>
      <c r="D1189" s="3">
        <v>9</v>
      </c>
      <c r="E1189" s="3">
        <v>2022</v>
      </c>
      <c r="F1189" s="3" t="str">
        <f>"Qtr"&amp; " " &amp;CHOOSE(MONTH(Table1[[#This Row],[Date]]),1,1,1,2,2,2,3,3,3,4,4,4)</f>
        <v>Qtr 3</v>
      </c>
      <c r="G1189" s="3" t="str">
        <f>TEXT(Table1[[#This Row],[Date]],"mmmm")</f>
        <v>September</v>
      </c>
      <c r="H1189" s="3" t="s">
        <v>1082</v>
      </c>
      <c r="I1189" s="3" t="s">
        <v>33</v>
      </c>
      <c r="J1189" s="3">
        <v>4</v>
      </c>
      <c r="K1189" s="3">
        <v>16367.53</v>
      </c>
      <c r="L1189" s="3">
        <f>Table1[[#This Row],[Price Per Unit]]*Table1[[#This Row],[Units Sold]]</f>
        <v>65470.12</v>
      </c>
      <c r="M1189" s="3" t="s">
        <v>621</v>
      </c>
      <c r="N1189" s="3">
        <v>54</v>
      </c>
      <c r="O1189" s="3" t="s">
        <v>15</v>
      </c>
      <c r="P1189" s="3" t="s">
        <v>45</v>
      </c>
      <c r="Q1189" s="4">
        <v>3</v>
      </c>
      <c r="R1189" s="4" t="str">
        <f>IF(Table1[[#This Row],[Customer Ratings]]&gt;=4, "Good",IF(Table1[[#This Row],[Customer Ratings]]=3, "Average","Poor"))</f>
        <v>Average</v>
      </c>
      <c r="S1189" s="3" t="s">
        <v>36</v>
      </c>
    </row>
    <row r="1190" spans="1:19" x14ac:dyDescent="0.25">
      <c r="A1190" s="3">
        <v>1189</v>
      </c>
      <c r="B1190" s="5">
        <f>DATE(Table1[[#This Row],[Year]],Table1[[#This Row],[Month]],Table1[[#This Row],[Day]])</f>
        <v>44817</v>
      </c>
      <c r="C1190" s="3">
        <v>13</v>
      </c>
      <c r="D1190" s="3">
        <v>9</v>
      </c>
      <c r="E1190" s="3">
        <v>2022</v>
      </c>
      <c r="F1190" s="3" t="str">
        <f>"Qtr"&amp; " " &amp;CHOOSE(MONTH(Table1[[#This Row],[Date]]),1,1,1,2,2,2,3,3,3,4,4,4)</f>
        <v>Qtr 3</v>
      </c>
      <c r="G1190" s="3" t="str">
        <f>TEXT(Table1[[#This Row],[Date]],"mmmm")</f>
        <v>September</v>
      </c>
      <c r="H1190" s="3" t="s">
        <v>1082</v>
      </c>
      <c r="I1190" s="3" t="s">
        <v>18</v>
      </c>
      <c r="J1190" s="3">
        <v>1</v>
      </c>
      <c r="K1190" s="3">
        <v>51318.7</v>
      </c>
      <c r="L1190" s="3">
        <f>Table1[[#This Row],[Price Per Unit]]*Table1[[#This Row],[Units Sold]]</f>
        <v>51318.7</v>
      </c>
      <c r="M1190" s="3" t="s">
        <v>325</v>
      </c>
      <c r="N1190" s="3">
        <v>32</v>
      </c>
      <c r="O1190" s="3" t="s">
        <v>20</v>
      </c>
      <c r="P1190" s="3" t="s">
        <v>16</v>
      </c>
      <c r="Q1190" s="4">
        <v>1</v>
      </c>
      <c r="R1190" s="4" t="str">
        <f>IF(Table1[[#This Row],[Customer Ratings]]&gt;=4, "Good",IF(Table1[[#This Row],[Customer Ratings]]=3, "Average","Poor"))</f>
        <v>Poor</v>
      </c>
      <c r="S1190" s="3" t="s">
        <v>25</v>
      </c>
    </row>
    <row r="1191" spans="1:19" x14ac:dyDescent="0.25">
      <c r="A1191" s="3">
        <v>1190</v>
      </c>
      <c r="B1191" s="5">
        <f>DATE(Table1[[#This Row],[Year]],Table1[[#This Row],[Month]],Table1[[#This Row],[Day]])</f>
        <v>44817</v>
      </c>
      <c r="C1191" s="3">
        <v>13</v>
      </c>
      <c r="D1191" s="3">
        <v>9</v>
      </c>
      <c r="E1191" s="3">
        <v>2022</v>
      </c>
      <c r="F1191" s="3" t="str">
        <f>"Qtr"&amp; " " &amp;CHOOSE(MONTH(Table1[[#This Row],[Date]]),1,1,1,2,2,2,3,3,3,4,4,4)</f>
        <v>Qtr 3</v>
      </c>
      <c r="G1191" s="3" t="str">
        <f>TEXT(Table1[[#This Row],[Date]],"mmmm")</f>
        <v>September</v>
      </c>
      <c r="H1191" s="3" t="s">
        <v>1082</v>
      </c>
      <c r="I1191" s="3" t="s">
        <v>28</v>
      </c>
      <c r="J1191" s="3">
        <v>1</v>
      </c>
      <c r="K1191" s="3">
        <v>68719.240000000005</v>
      </c>
      <c r="L1191" s="3">
        <f>Table1[[#This Row],[Price Per Unit]]*Table1[[#This Row],[Units Sold]]</f>
        <v>68719.240000000005</v>
      </c>
      <c r="M1191" s="3" t="s">
        <v>159</v>
      </c>
      <c r="N1191" s="3">
        <v>32</v>
      </c>
      <c r="O1191" s="3" t="s">
        <v>98</v>
      </c>
      <c r="P1191" s="3" t="s">
        <v>31</v>
      </c>
      <c r="Q1191" s="4">
        <v>5</v>
      </c>
      <c r="R1191" s="4" t="str">
        <f>IF(Table1[[#This Row],[Customer Ratings]]&gt;=4, "Good",IF(Table1[[#This Row],[Customer Ratings]]=3, "Average","Poor"))</f>
        <v>Good</v>
      </c>
      <c r="S1191" s="3" t="s">
        <v>87</v>
      </c>
    </row>
    <row r="1192" spans="1:19" x14ac:dyDescent="0.25">
      <c r="A1192" s="3">
        <v>1191</v>
      </c>
      <c r="B1192" s="5">
        <f>DATE(Table1[[#This Row],[Year]],Table1[[#This Row],[Month]],Table1[[#This Row],[Day]])</f>
        <v>44817</v>
      </c>
      <c r="C1192" s="3">
        <v>13</v>
      </c>
      <c r="D1192" s="3">
        <v>9</v>
      </c>
      <c r="E1192" s="3">
        <v>2022</v>
      </c>
      <c r="F1192" s="3" t="str">
        <f>"Qtr"&amp; " " &amp;CHOOSE(MONTH(Table1[[#This Row],[Date]]),1,1,1,2,2,2,3,3,3,4,4,4)</f>
        <v>Qtr 3</v>
      </c>
      <c r="G1192" s="3" t="str">
        <f>TEXT(Table1[[#This Row],[Date]],"mmmm")</f>
        <v>September</v>
      </c>
      <c r="H1192" s="3" t="s">
        <v>1082</v>
      </c>
      <c r="I1192" s="3" t="s">
        <v>13</v>
      </c>
      <c r="J1192" s="3">
        <v>2</v>
      </c>
      <c r="K1192" s="3">
        <v>53596.27</v>
      </c>
      <c r="L1192" s="3">
        <f>Table1[[#This Row],[Price Per Unit]]*Table1[[#This Row],[Units Sold]]</f>
        <v>107192.54</v>
      </c>
      <c r="M1192" s="3" t="s">
        <v>766</v>
      </c>
      <c r="N1192" s="3">
        <v>22</v>
      </c>
      <c r="O1192" s="3" t="s">
        <v>125</v>
      </c>
      <c r="P1192" s="3" t="s">
        <v>21</v>
      </c>
      <c r="Q1192" s="4">
        <v>1</v>
      </c>
      <c r="R1192" s="4" t="str">
        <f>IF(Table1[[#This Row],[Customer Ratings]]&gt;=4, "Good",IF(Table1[[#This Row],[Customer Ratings]]=3, "Average","Poor"))</f>
        <v>Poor</v>
      </c>
      <c r="S1192" s="3" t="s">
        <v>17</v>
      </c>
    </row>
    <row r="1193" spans="1:19" x14ac:dyDescent="0.25">
      <c r="A1193" s="3">
        <v>1192</v>
      </c>
      <c r="B1193" s="5">
        <f>DATE(Table1[[#This Row],[Year]],Table1[[#This Row],[Month]],Table1[[#This Row],[Day]])</f>
        <v>44818</v>
      </c>
      <c r="C1193" s="3">
        <v>14</v>
      </c>
      <c r="D1193" s="3">
        <v>9</v>
      </c>
      <c r="E1193" s="3">
        <v>2022</v>
      </c>
      <c r="F1193" s="3" t="str">
        <f>"Qtr"&amp; " " &amp;CHOOSE(MONTH(Table1[[#This Row],[Date]]),1,1,1,2,2,2,3,3,3,4,4,4)</f>
        <v>Qtr 3</v>
      </c>
      <c r="G1193" s="3" t="str">
        <f>TEXT(Table1[[#This Row],[Date]],"mmmm")</f>
        <v>September</v>
      </c>
      <c r="H1193" s="3" t="s">
        <v>1083</v>
      </c>
      <c r="I1193" s="3" t="s">
        <v>18</v>
      </c>
      <c r="J1193" s="3">
        <v>9</v>
      </c>
      <c r="K1193" s="3">
        <v>65723.759999999995</v>
      </c>
      <c r="L1193" s="3">
        <f>Table1[[#This Row],[Price Per Unit]]*Table1[[#This Row],[Units Sold]]</f>
        <v>591513.84</v>
      </c>
      <c r="M1193" s="3" t="s">
        <v>487</v>
      </c>
      <c r="N1193" s="3">
        <v>45</v>
      </c>
      <c r="O1193" s="3" t="s">
        <v>20</v>
      </c>
      <c r="P1193" s="3" t="s">
        <v>31</v>
      </c>
      <c r="Q1193" s="4">
        <v>3</v>
      </c>
      <c r="R1193" s="4" t="str">
        <f>IF(Table1[[#This Row],[Customer Ratings]]&gt;=4, "Good",IF(Table1[[#This Row],[Customer Ratings]]=3, "Average","Poor"))</f>
        <v>Average</v>
      </c>
      <c r="S1193" s="3" t="s">
        <v>55</v>
      </c>
    </row>
    <row r="1194" spans="1:19" x14ac:dyDescent="0.25">
      <c r="A1194" s="3">
        <v>1193</v>
      </c>
      <c r="B1194" s="5">
        <f>DATE(Table1[[#This Row],[Year]],Table1[[#This Row],[Month]],Table1[[#This Row],[Day]])</f>
        <v>44818</v>
      </c>
      <c r="C1194" s="3">
        <v>14</v>
      </c>
      <c r="D1194" s="3">
        <v>9</v>
      </c>
      <c r="E1194" s="3">
        <v>2022</v>
      </c>
      <c r="F1194" s="3" t="str">
        <f>"Qtr"&amp; " " &amp;CHOOSE(MONTH(Table1[[#This Row],[Date]]),1,1,1,2,2,2,3,3,3,4,4,4)</f>
        <v>Qtr 3</v>
      </c>
      <c r="G1194" s="3" t="str">
        <f>TEXT(Table1[[#This Row],[Date]],"mmmm")</f>
        <v>September</v>
      </c>
      <c r="H1194" s="3" t="s">
        <v>1083</v>
      </c>
      <c r="I1194" s="3" t="s">
        <v>18</v>
      </c>
      <c r="J1194" s="3">
        <v>2</v>
      </c>
      <c r="K1194" s="3">
        <v>58258.28</v>
      </c>
      <c r="L1194" s="3">
        <f>Table1[[#This Row],[Price Per Unit]]*Table1[[#This Row],[Units Sold]]</f>
        <v>116516.56</v>
      </c>
      <c r="M1194" s="3" t="s">
        <v>616</v>
      </c>
      <c r="N1194" s="3">
        <v>50</v>
      </c>
      <c r="O1194" s="3" t="s">
        <v>15</v>
      </c>
      <c r="P1194" s="3" t="s">
        <v>16</v>
      </c>
      <c r="Q1194" s="4">
        <v>1</v>
      </c>
      <c r="R1194" s="4" t="str">
        <f>IF(Table1[[#This Row],[Customer Ratings]]&gt;=4, "Good",IF(Table1[[#This Row],[Customer Ratings]]=3, "Average","Poor"))</f>
        <v>Poor</v>
      </c>
      <c r="S1194" s="3" t="s">
        <v>22</v>
      </c>
    </row>
    <row r="1195" spans="1:19" x14ac:dyDescent="0.25">
      <c r="A1195" s="3">
        <v>1194</v>
      </c>
      <c r="B1195" s="5">
        <f>DATE(Table1[[#This Row],[Year]],Table1[[#This Row],[Month]],Table1[[#This Row],[Day]])</f>
        <v>44818</v>
      </c>
      <c r="C1195" s="3">
        <v>14</v>
      </c>
      <c r="D1195" s="3">
        <v>9</v>
      </c>
      <c r="E1195" s="3">
        <v>2022</v>
      </c>
      <c r="F1195" s="3" t="str">
        <f>"Qtr"&amp; " " &amp;CHOOSE(MONTH(Table1[[#This Row],[Date]]),1,1,1,2,2,2,3,3,3,4,4,4)</f>
        <v>Qtr 3</v>
      </c>
      <c r="G1195" s="3" t="str">
        <f>TEXT(Table1[[#This Row],[Date]],"mmmm")</f>
        <v>September</v>
      </c>
      <c r="H1195" s="3" t="s">
        <v>1083</v>
      </c>
      <c r="I1195" s="3" t="s">
        <v>13</v>
      </c>
      <c r="J1195" s="3">
        <v>2</v>
      </c>
      <c r="K1195" s="3">
        <v>19786.88</v>
      </c>
      <c r="L1195" s="3">
        <f>Table1[[#This Row],[Price Per Unit]]*Table1[[#This Row],[Units Sold]]</f>
        <v>39573.760000000002</v>
      </c>
      <c r="M1195" s="3" t="s">
        <v>104</v>
      </c>
      <c r="N1195" s="3">
        <v>28</v>
      </c>
      <c r="O1195" s="3" t="s">
        <v>20</v>
      </c>
      <c r="P1195" s="3" t="s">
        <v>45</v>
      </c>
      <c r="Q1195" s="4">
        <v>5</v>
      </c>
      <c r="R1195" s="4" t="str">
        <f>IF(Table1[[#This Row],[Customer Ratings]]&gt;=4, "Good",IF(Table1[[#This Row],[Customer Ratings]]=3, "Average","Poor"))</f>
        <v>Good</v>
      </c>
      <c r="S1195" s="3" t="s">
        <v>27</v>
      </c>
    </row>
    <row r="1196" spans="1:19" x14ac:dyDescent="0.25">
      <c r="A1196" s="3">
        <v>1195</v>
      </c>
      <c r="B1196" s="5">
        <f>DATE(Table1[[#This Row],[Year]],Table1[[#This Row],[Month]],Table1[[#This Row],[Day]])</f>
        <v>44819</v>
      </c>
      <c r="C1196" s="3">
        <v>15</v>
      </c>
      <c r="D1196" s="3">
        <v>9</v>
      </c>
      <c r="E1196" s="3">
        <v>2022</v>
      </c>
      <c r="F1196" s="3" t="str">
        <f>"Qtr"&amp; " " &amp;CHOOSE(MONTH(Table1[[#This Row],[Date]]),1,1,1,2,2,2,3,3,3,4,4,4)</f>
        <v>Qtr 3</v>
      </c>
      <c r="G1196" s="3" t="str">
        <f>TEXT(Table1[[#This Row],[Date]],"mmmm")</f>
        <v>September</v>
      </c>
      <c r="H1196" s="3" t="s">
        <v>1084</v>
      </c>
      <c r="I1196" s="3" t="s">
        <v>13</v>
      </c>
      <c r="J1196" s="3">
        <v>6</v>
      </c>
      <c r="K1196" s="3">
        <v>24952.23</v>
      </c>
      <c r="L1196" s="3">
        <f>Table1[[#This Row],[Price Per Unit]]*Table1[[#This Row],[Units Sold]]</f>
        <v>149713.38</v>
      </c>
      <c r="M1196" s="3" t="s">
        <v>715</v>
      </c>
      <c r="N1196" s="3">
        <v>23</v>
      </c>
      <c r="O1196" s="3" t="s">
        <v>30</v>
      </c>
      <c r="P1196" s="3" t="s">
        <v>45</v>
      </c>
      <c r="Q1196" s="4">
        <v>1</v>
      </c>
      <c r="R1196" s="4" t="str">
        <f>IF(Table1[[#This Row],[Customer Ratings]]&gt;=4, "Good",IF(Table1[[#This Row],[Customer Ratings]]=3, "Average","Poor"))</f>
        <v>Poor</v>
      </c>
      <c r="S1196" s="3" t="s">
        <v>27</v>
      </c>
    </row>
    <row r="1197" spans="1:19" x14ac:dyDescent="0.25">
      <c r="A1197" s="3">
        <v>1196</v>
      </c>
      <c r="B1197" s="5">
        <f>DATE(Table1[[#This Row],[Year]],Table1[[#This Row],[Month]],Table1[[#This Row],[Day]])</f>
        <v>44819</v>
      </c>
      <c r="C1197" s="3">
        <v>15</v>
      </c>
      <c r="D1197" s="3">
        <v>9</v>
      </c>
      <c r="E1197" s="3">
        <v>2022</v>
      </c>
      <c r="F1197" s="3" t="str">
        <f>"Qtr"&amp; " " &amp;CHOOSE(MONTH(Table1[[#This Row],[Date]]),1,1,1,2,2,2,3,3,3,4,4,4)</f>
        <v>Qtr 3</v>
      </c>
      <c r="G1197" s="3" t="str">
        <f>TEXT(Table1[[#This Row],[Date]],"mmmm")</f>
        <v>September</v>
      </c>
      <c r="H1197" s="3" t="s">
        <v>1084</v>
      </c>
      <c r="I1197" s="3" t="s">
        <v>33</v>
      </c>
      <c r="J1197" s="3">
        <v>7</v>
      </c>
      <c r="K1197" s="3">
        <v>30511.94</v>
      </c>
      <c r="L1197" s="3">
        <f>Table1[[#This Row],[Price Per Unit]]*Table1[[#This Row],[Units Sold]]</f>
        <v>213583.58</v>
      </c>
      <c r="M1197" s="3" t="s">
        <v>767</v>
      </c>
      <c r="N1197" s="3">
        <v>40</v>
      </c>
      <c r="O1197" s="3" t="s">
        <v>137</v>
      </c>
      <c r="P1197" s="3" t="s">
        <v>45</v>
      </c>
      <c r="Q1197" s="4">
        <v>3</v>
      </c>
      <c r="R1197" s="4" t="str">
        <f>IF(Table1[[#This Row],[Customer Ratings]]&gt;=4, "Good",IF(Table1[[#This Row],[Customer Ratings]]=3, "Average","Poor"))</f>
        <v>Average</v>
      </c>
      <c r="S1197" s="3" t="s">
        <v>83</v>
      </c>
    </row>
    <row r="1198" spans="1:19" x14ac:dyDescent="0.25">
      <c r="A1198" s="3">
        <v>1197</v>
      </c>
      <c r="B1198" s="5">
        <f>DATE(Table1[[#This Row],[Year]],Table1[[#This Row],[Month]],Table1[[#This Row],[Day]])</f>
        <v>44819</v>
      </c>
      <c r="C1198" s="3">
        <v>15</v>
      </c>
      <c r="D1198" s="3">
        <v>9</v>
      </c>
      <c r="E1198" s="3">
        <v>2022</v>
      </c>
      <c r="F1198" s="3" t="str">
        <f>"Qtr"&amp; " " &amp;CHOOSE(MONTH(Table1[[#This Row],[Date]]),1,1,1,2,2,2,3,3,3,4,4,4)</f>
        <v>Qtr 3</v>
      </c>
      <c r="G1198" s="3" t="str">
        <f>TEXT(Table1[[#This Row],[Date]],"mmmm")</f>
        <v>September</v>
      </c>
      <c r="H1198" s="3" t="s">
        <v>1084</v>
      </c>
      <c r="I1198" s="3" t="s">
        <v>18</v>
      </c>
      <c r="J1198" s="3">
        <v>7</v>
      </c>
      <c r="K1198" s="3">
        <v>20095.63</v>
      </c>
      <c r="L1198" s="3">
        <f>Table1[[#This Row],[Price Per Unit]]*Table1[[#This Row],[Units Sold]]</f>
        <v>140669.41</v>
      </c>
      <c r="M1198" s="3" t="s">
        <v>768</v>
      </c>
      <c r="N1198" s="3">
        <v>57</v>
      </c>
      <c r="O1198" s="3" t="s">
        <v>20</v>
      </c>
      <c r="P1198" s="3" t="s">
        <v>31</v>
      </c>
      <c r="Q1198" s="4">
        <v>5</v>
      </c>
      <c r="R1198" s="4" t="str">
        <f>IF(Table1[[#This Row],[Customer Ratings]]&gt;=4, "Good",IF(Table1[[#This Row],[Customer Ratings]]=3, "Average","Poor"))</f>
        <v>Good</v>
      </c>
      <c r="S1198" s="3" t="s">
        <v>22</v>
      </c>
    </row>
    <row r="1199" spans="1:19" x14ac:dyDescent="0.25">
      <c r="A1199" s="3">
        <v>1198</v>
      </c>
      <c r="B1199" s="5">
        <f>DATE(Table1[[#This Row],[Year]],Table1[[#This Row],[Month]],Table1[[#This Row],[Day]])</f>
        <v>44819</v>
      </c>
      <c r="C1199" s="3">
        <v>15</v>
      </c>
      <c r="D1199" s="3">
        <v>9</v>
      </c>
      <c r="E1199" s="3">
        <v>2022</v>
      </c>
      <c r="F1199" s="3" t="str">
        <f>"Qtr"&amp; " " &amp;CHOOSE(MONTH(Table1[[#This Row],[Date]]),1,1,1,2,2,2,3,3,3,4,4,4)</f>
        <v>Qtr 3</v>
      </c>
      <c r="G1199" s="3" t="str">
        <f>TEXT(Table1[[#This Row],[Date]],"mmmm")</f>
        <v>September</v>
      </c>
      <c r="H1199" s="3" t="s">
        <v>1084</v>
      </c>
      <c r="I1199" s="3" t="s">
        <v>39</v>
      </c>
      <c r="J1199" s="3">
        <v>9</v>
      </c>
      <c r="K1199" s="3">
        <v>44899.08</v>
      </c>
      <c r="L1199" s="3">
        <f>Table1[[#This Row],[Price Per Unit]]*Table1[[#This Row],[Units Sold]]</f>
        <v>404091.72000000003</v>
      </c>
      <c r="M1199" s="3" t="s">
        <v>769</v>
      </c>
      <c r="N1199" s="3">
        <v>19</v>
      </c>
      <c r="O1199" s="3" t="s">
        <v>120</v>
      </c>
      <c r="P1199" s="3" t="s">
        <v>31</v>
      </c>
      <c r="Q1199" s="4">
        <v>1</v>
      </c>
      <c r="R1199" s="4" t="str">
        <f>IF(Table1[[#This Row],[Customer Ratings]]&gt;=4, "Good",IF(Table1[[#This Row],[Customer Ratings]]=3, "Average","Poor"))</f>
        <v>Poor</v>
      </c>
      <c r="S1199" s="3" t="s">
        <v>42</v>
      </c>
    </row>
    <row r="1200" spans="1:19" x14ac:dyDescent="0.25">
      <c r="A1200" s="3">
        <v>1199</v>
      </c>
      <c r="B1200" s="5">
        <f>DATE(Table1[[#This Row],[Year]],Table1[[#This Row],[Month]],Table1[[#This Row],[Day]])</f>
        <v>44820</v>
      </c>
      <c r="C1200" s="3">
        <v>16</v>
      </c>
      <c r="D1200" s="3">
        <v>9</v>
      </c>
      <c r="E1200" s="3">
        <v>2022</v>
      </c>
      <c r="F1200" s="3" t="str">
        <f>"Qtr"&amp; " " &amp;CHOOSE(MONTH(Table1[[#This Row],[Date]]),1,1,1,2,2,2,3,3,3,4,4,4)</f>
        <v>Qtr 3</v>
      </c>
      <c r="G1200" s="3" t="str">
        <f>TEXT(Table1[[#This Row],[Date]],"mmmm")</f>
        <v>September</v>
      </c>
      <c r="H1200" s="3" t="s">
        <v>1085</v>
      </c>
      <c r="I1200" s="3" t="s">
        <v>13</v>
      </c>
      <c r="J1200" s="3">
        <v>6</v>
      </c>
      <c r="K1200" s="3">
        <v>68527.03</v>
      </c>
      <c r="L1200" s="3">
        <f>Table1[[#This Row],[Price Per Unit]]*Table1[[#This Row],[Units Sold]]</f>
        <v>411162.18</v>
      </c>
      <c r="M1200" s="3" t="s">
        <v>721</v>
      </c>
      <c r="N1200" s="3">
        <v>32</v>
      </c>
      <c r="O1200" s="3" t="s">
        <v>52</v>
      </c>
      <c r="P1200" s="3" t="s">
        <v>16</v>
      </c>
      <c r="Q1200" s="4">
        <v>3</v>
      </c>
      <c r="R1200" s="4" t="str">
        <f>IF(Table1[[#This Row],[Customer Ratings]]&gt;=4, "Good",IF(Table1[[#This Row],[Customer Ratings]]=3, "Average","Poor"))</f>
        <v>Average</v>
      </c>
      <c r="S1200" s="3" t="s">
        <v>27</v>
      </c>
    </row>
    <row r="1201" spans="1:19" x14ac:dyDescent="0.25">
      <c r="A1201" s="3">
        <v>1200</v>
      </c>
      <c r="B1201" s="5">
        <f>DATE(Table1[[#This Row],[Year]],Table1[[#This Row],[Month]],Table1[[#This Row],[Day]])</f>
        <v>44820</v>
      </c>
      <c r="C1201" s="3">
        <v>16</v>
      </c>
      <c r="D1201" s="3">
        <v>9</v>
      </c>
      <c r="E1201" s="3">
        <v>2022</v>
      </c>
      <c r="F1201" s="3" t="str">
        <f>"Qtr"&amp; " " &amp;CHOOSE(MONTH(Table1[[#This Row],[Date]]),1,1,1,2,2,2,3,3,3,4,4,4)</f>
        <v>Qtr 3</v>
      </c>
      <c r="G1201" s="3" t="str">
        <f>TEXT(Table1[[#This Row],[Date]],"mmmm")</f>
        <v>September</v>
      </c>
      <c r="H1201" s="3" t="s">
        <v>1085</v>
      </c>
      <c r="I1201" s="3" t="s">
        <v>13</v>
      </c>
      <c r="J1201" s="3">
        <v>8</v>
      </c>
      <c r="K1201" s="3">
        <v>55687.53</v>
      </c>
      <c r="L1201" s="3">
        <f>Table1[[#This Row],[Price Per Unit]]*Table1[[#This Row],[Units Sold]]</f>
        <v>445500.24</v>
      </c>
      <c r="M1201" s="3" t="s">
        <v>302</v>
      </c>
      <c r="N1201" s="3">
        <v>40</v>
      </c>
      <c r="O1201" s="3" t="s">
        <v>137</v>
      </c>
      <c r="P1201" s="3" t="s">
        <v>31</v>
      </c>
      <c r="Q1201" s="4">
        <v>3</v>
      </c>
      <c r="R1201" s="4" t="str">
        <f>IF(Table1[[#This Row],[Customer Ratings]]&gt;=4, "Good",IF(Table1[[#This Row],[Customer Ratings]]=3, "Average","Poor"))</f>
        <v>Average</v>
      </c>
      <c r="S1201" s="3" t="s">
        <v>17</v>
      </c>
    </row>
    <row r="1202" spans="1:19" x14ac:dyDescent="0.25">
      <c r="A1202" s="3">
        <v>1201</v>
      </c>
      <c r="B1202" s="5">
        <f>DATE(Table1[[#This Row],[Year]],Table1[[#This Row],[Month]],Table1[[#This Row],[Day]])</f>
        <v>44820</v>
      </c>
      <c r="C1202" s="3">
        <v>16</v>
      </c>
      <c r="D1202" s="3">
        <v>9</v>
      </c>
      <c r="E1202" s="3">
        <v>2022</v>
      </c>
      <c r="F1202" s="3" t="str">
        <f>"Qtr"&amp; " " &amp;CHOOSE(MONTH(Table1[[#This Row],[Date]]),1,1,1,2,2,2,3,3,3,4,4,4)</f>
        <v>Qtr 3</v>
      </c>
      <c r="G1202" s="3" t="str">
        <f>TEXT(Table1[[#This Row],[Date]],"mmmm")</f>
        <v>September</v>
      </c>
      <c r="H1202" s="3" t="s">
        <v>1085</v>
      </c>
      <c r="I1202" s="3" t="s">
        <v>28</v>
      </c>
      <c r="J1202" s="3">
        <v>6</v>
      </c>
      <c r="K1202" s="3">
        <v>35403.199999999997</v>
      </c>
      <c r="L1202" s="3">
        <f>Table1[[#This Row],[Price Per Unit]]*Table1[[#This Row],[Units Sold]]</f>
        <v>212419.19999999998</v>
      </c>
      <c r="M1202" s="3" t="s">
        <v>631</v>
      </c>
      <c r="N1202" s="3">
        <v>39</v>
      </c>
      <c r="O1202" s="3" t="s">
        <v>81</v>
      </c>
      <c r="P1202" s="3" t="s">
        <v>45</v>
      </c>
      <c r="Q1202" s="4">
        <v>5</v>
      </c>
      <c r="R1202" s="4" t="str">
        <f>IF(Table1[[#This Row],[Customer Ratings]]&gt;=4, "Good",IF(Table1[[#This Row],[Customer Ratings]]=3, "Average","Poor"))</f>
        <v>Good</v>
      </c>
      <c r="S1202" s="3" t="s">
        <v>87</v>
      </c>
    </row>
    <row r="1203" spans="1:19" x14ac:dyDescent="0.25">
      <c r="A1203" s="3">
        <v>1202</v>
      </c>
      <c r="B1203" s="5">
        <f>DATE(Table1[[#This Row],[Year]],Table1[[#This Row],[Month]],Table1[[#This Row],[Day]])</f>
        <v>44821</v>
      </c>
      <c r="C1203" s="3">
        <v>17</v>
      </c>
      <c r="D1203" s="3">
        <v>9</v>
      </c>
      <c r="E1203" s="3">
        <v>2022</v>
      </c>
      <c r="F1203" s="3" t="str">
        <f>"Qtr"&amp; " " &amp;CHOOSE(MONTH(Table1[[#This Row],[Date]]),1,1,1,2,2,2,3,3,3,4,4,4)</f>
        <v>Qtr 3</v>
      </c>
      <c r="G1203" s="3" t="str">
        <f>TEXT(Table1[[#This Row],[Date]],"mmmm")</f>
        <v>September</v>
      </c>
      <c r="H1203" s="3" t="s">
        <v>1079</v>
      </c>
      <c r="I1203" s="3" t="s">
        <v>39</v>
      </c>
      <c r="J1203" s="3">
        <v>2</v>
      </c>
      <c r="K1203" s="3">
        <v>10270.27</v>
      </c>
      <c r="L1203" s="3">
        <f>Table1[[#This Row],[Price Per Unit]]*Table1[[#This Row],[Units Sold]]</f>
        <v>20540.54</v>
      </c>
      <c r="M1203" s="3" t="s">
        <v>770</v>
      </c>
      <c r="N1203" s="3">
        <v>26</v>
      </c>
      <c r="O1203" s="3" t="s">
        <v>24</v>
      </c>
      <c r="P1203" s="3" t="s">
        <v>21</v>
      </c>
      <c r="Q1203" s="4">
        <v>5</v>
      </c>
      <c r="R1203" s="4" t="str">
        <f>IF(Table1[[#This Row],[Customer Ratings]]&gt;=4, "Good",IF(Table1[[#This Row],[Customer Ratings]]=3, "Average","Poor"))</f>
        <v>Good</v>
      </c>
      <c r="S1203" s="3" t="s">
        <v>76</v>
      </c>
    </row>
    <row r="1204" spans="1:19" x14ac:dyDescent="0.25">
      <c r="A1204" s="3">
        <v>1203</v>
      </c>
      <c r="B1204" s="5">
        <f>DATE(Table1[[#This Row],[Year]],Table1[[#This Row],[Month]],Table1[[#This Row],[Day]])</f>
        <v>44821</v>
      </c>
      <c r="C1204" s="3">
        <v>17</v>
      </c>
      <c r="D1204" s="3">
        <v>9</v>
      </c>
      <c r="E1204" s="3">
        <v>2022</v>
      </c>
      <c r="F1204" s="3" t="str">
        <f>"Qtr"&amp; " " &amp;CHOOSE(MONTH(Table1[[#This Row],[Date]]),1,1,1,2,2,2,3,3,3,4,4,4)</f>
        <v>Qtr 3</v>
      </c>
      <c r="G1204" s="3" t="str">
        <f>TEXT(Table1[[#This Row],[Date]],"mmmm")</f>
        <v>September</v>
      </c>
      <c r="H1204" s="3" t="s">
        <v>1079</v>
      </c>
      <c r="I1204" s="3" t="s">
        <v>39</v>
      </c>
      <c r="J1204" s="3">
        <v>1</v>
      </c>
      <c r="K1204" s="3">
        <v>28796.560000000001</v>
      </c>
      <c r="L1204" s="3">
        <f>Table1[[#This Row],[Price Per Unit]]*Table1[[#This Row],[Units Sold]]</f>
        <v>28796.560000000001</v>
      </c>
      <c r="M1204" s="3" t="s">
        <v>464</v>
      </c>
      <c r="N1204" s="3">
        <v>57</v>
      </c>
      <c r="O1204" s="3" t="s">
        <v>20</v>
      </c>
      <c r="P1204" s="3" t="s">
        <v>21</v>
      </c>
      <c r="Q1204" s="4">
        <v>5</v>
      </c>
      <c r="R1204" s="4" t="str">
        <f>IF(Table1[[#This Row],[Customer Ratings]]&gt;=4, "Good",IF(Table1[[#This Row],[Customer Ratings]]=3, "Average","Poor"))</f>
        <v>Good</v>
      </c>
      <c r="S1204" s="3" t="s">
        <v>76</v>
      </c>
    </row>
    <row r="1205" spans="1:19" x14ac:dyDescent="0.25">
      <c r="A1205" s="3">
        <v>1204</v>
      </c>
      <c r="B1205" s="5">
        <f>DATE(Table1[[#This Row],[Year]],Table1[[#This Row],[Month]],Table1[[#This Row],[Day]])</f>
        <v>44821</v>
      </c>
      <c r="C1205" s="3">
        <v>17</v>
      </c>
      <c r="D1205" s="3">
        <v>9</v>
      </c>
      <c r="E1205" s="3">
        <v>2022</v>
      </c>
      <c r="F1205" s="3" t="str">
        <f>"Qtr"&amp; " " &amp;CHOOSE(MONTH(Table1[[#This Row],[Date]]),1,1,1,2,2,2,3,3,3,4,4,4)</f>
        <v>Qtr 3</v>
      </c>
      <c r="G1205" s="3" t="str">
        <f>TEXT(Table1[[#This Row],[Date]],"mmmm")</f>
        <v>September</v>
      </c>
      <c r="H1205" s="3" t="s">
        <v>1079</v>
      </c>
      <c r="I1205" s="3" t="s">
        <v>13</v>
      </c>
      <c r="J1205" s="3">
        <v>5</v>
      </c>
      <c r="K1205" s="3">
        <v>41605.56</v>
      </c>
      <c r="L1205" s="3">
        <f>Table1[[#This Row],[Price Per Unit]]*Table1[[#This Row],[Units Sold]]</f>
        <v>208027.8</v>
      </c>
      <c r="M1205" s="3" t="s">
        <v>450</v>
      </c>
      <c r="N1205" s="3">
        <v>47</v>
      </c>
      <c r="O1205" s="3" t="s">
        <v>24</v>
      </c>
      <c r="P1205" s="3" t="s">
        <v>21</v>
      </c>
      <c r="Q1205" s="4">
        <v>1</v>
      </c>
      <c r="R1205" s="4" t="str">
        <f>IF(Table1[[#This Row],[Customer Ratings]]&gt;=4, "Good",IF(Table1[[#This Row],[Customer Ratings]]=3, "Average","Poor"))</f>
        <v>Poor</v>
      </c>
      <c r="S1205" s="3" t="s">
        <v>17</v>
      </c>
    </row>
    <row r="1206" spans="1:19" x14ac:dyDescent="0.25">
      <c r="A1206" s="3">
        <v>1205</v>
      </c>
      <c r="B1206" s="5">
        <f>DATE(Table1[[#This Row],[Year]],Table1[[#This Row],[Month]],Table1[[#This Row],[Day]])</f>
        <v>44821</v>
      </c>
      <c r="C1206" s="3">
        <v>17</v>
      </c>
      <c r="D1206" s="3">
        <v>9</v>
      </c>
      <c r="E1206" s="3">
        <v>2022</v>
      </c>
      <c r="F1206" s="3" t="str">
        <f>"Qtr"&amp; " " &amp;CHOOSE(MONTH(Table1[[#This Row],[Date]]),1,1,1,2,2,2,3,3,3,4,4,4)</f>
        <v>Qtr 3</v>
      </c>
      <c r="G1206" s="3" t="str">
        <f>TEXT(Table1[[#This Row],[Date]],"mmmm")</f>
        <v>September</v>
      </c>
      <c r="H1206" s="3" t="s">
        <v>1079</v>
      </c>
      <c r="I1206" s="3" t="s">
        <v>33</v>
      </c>
      <c r="J1206" s="3">
        <v>9</v>
      </c>
      <c r="K1206" s="3">
        <v>29455.05</v>
      </c>
      <c r="L1206" s="3">
        <f>Table1[[#This Row],[Price Per Unit]]*Table1[[#This Row],[Units Sold]]</f>
        <v>265095.45</v>
      </c>
      <c r="M1206" s="3" t="s">
        <v>661</v>
      </c>
      <c r="N1206" s="3">
        <v>33</v>
      </c>
      <c r="O1206" s="3" t="s">
        <v>98</v>
      </c>
      <c r="P1206" s="3" t="s">
        <v>45</v>
      </c>
      <c r="Q1206" s="4">
        <v>5</v>
      </c>
      <c r="R1206" s="4" t="str">
        <f>IF(Table1[[#This Row],[Customer Ratings]]&gt;=4, "Good",IF(Table1[[#This Row],[Customer Ratings]]=3, "Average","Poor"))</f>
        <v>Good</v>
      </c>
      <c r="S1206" s="3" t="s">
        <v>36</v>
      </c>
    </row>
    <row r="1207" spans="1:19" x14ac:dyDescent="0.25">
      <c r="A1207" s="3">
        <v>1206</v>
      </c>
      <c r="B1207" s="5">
        <f>DATE(Table1[[#This Row],[Year]],Table1[[#This Row],[Month]],Table1[[#This Row],[Day]])</f>
        <v>44822</v>
      </c>
      <c r="C1207" s="3">
        <v>18</v>
      </c>
      <c r="D1207" s="3">
        <v>9</v>
      </c>
      <c r="E1207" s="3">
        <v>2022</v>
      </c>
      <c r="F1207" s="3" t="str">
        <f>"Qtr"&amp; " " &amp;CHOOSE(MONTH(Table1[[#This Row],[Date]]),1,1,1,2,2,2,3,3,3,4,4,4)</f>
        <v>Qtr 3</v>
      </c>
      <c r="G1207" s="3" t="str">
        <f>TEXT(Table1[[#This Row],[Date]],"mmmm")</f>
        <v>September</v>
      </c>
      <c r="H1207" s="3" t="s">
        <v>1080</v>
      </c>
      <c r="I1207" s="3" t="s">
        <v>28</v>
      </c>
      <c r="J1207" s="3">
        <v>8</v>
      </c>
      <c r="K1207" s="3">
        <v>16662.099999999999</v>
      </c>
      <c r="L1207" s="3">
        <f>Table1[[#This Row],[Price Per Unit]]*Table1[[#This Row],[Units Sold]]</f>
        <v>133296.79999999999</v>
      </c>
      <c r="M1207" s="3" t="s">
        <v>771</v>
      </c>
      <c r="N1207" s="3">
        <v>47</v>
      </c>
      <c r="O1207" s="3" t="s">
        <v>20</v>
      </c>
      <c r="P1207" s="3" t="s">
        <v>31</v>
      </c>
      <c r="Q1207" s="4">
        <v>5</v>
      </c>
      <c r="R1207" s="4" t="str">
        <f>IF(Table1[[#This Row],[Customer Ratings]]&gt;=4, "Good",IF(Table1[[#This Row],[Customer Ratings]]=3, "Average","Poor"))</f>
        <v>Good</v>
      </c>
      <c r="S1207" s="3" t="s">
        <v>38</v>
      </c>
    </row>
    <row r="1208" spans="1:19" x14ac:dyDescent="0.25">
      <c r="A1208" s="3">
        <v>1207</v>
      </c>
      <c r="B1208" s="5">
        <f>DATE(Table1[[#This Row],[Year]],Table1[[#This Row],[Month]],Table1[[#This Row],[Day]])</f>
        <v>44822</v>
      </c>
      <c r="C1208" s="3">
        <v>18</v>
      </c>
      <c r="D1208" s="3">
        <v>9</v>
      </c>
      <c r="E1208" s="3">
        <v>2022</v>
      </c>
      <c r="F1208" s="3" t="str">
        <f>"Qtr"&amp; " " &amp;CHOOSE(MONTH(Table1[[#This Row],[Date]]),1,1,1,2,2,2,3,3,3,4,4,4)</f>
        <v>Qtr 3</v>
      </c>
      <c r="G1208" s="3" t="str">
        <f>TEXT(Table1[[#This Row],[Date]],"mmmm")</f>
        <v>September</v>
      </c>
      <c r="H1208" s="3" t="s">
        <v>1080</v>
      </c>
      <c r="I1208" s="3" t="s">
        <v>39</v>
      </c>
      <c r="J1208" s="3">
        <v>4</v>
      </c>
      <c r="K1208" s="3">
        <v>36565.9</v>
      </c>
      <c r="L1208" s="3">
        <f>Table1[[#This Row],[Price Per Unit]]*Table1[[#This Row],[Units Sold]]</f>
        <v>146263.6</v>
      </c>
      <c r="M1208" s="3" t="s">
        <v>156</v>
      </c>
      <c r="N1208" s="3">
        <v>26</v>
      </c>
      <c r="O1208" s="3" t="s">
        <v>20</v>
      </c>
      <c r="P1208" s="3" t="s">
        <v>21</v>
      </c>
      <c r="Q1208" s="4">
        <v>3</v>
      </c>
      <c r="R1208" s="4" t="str">
        <f>IF(Table1[[#This Row],[Customer Ratings]]&gt;=4, "Good",IF(Table1[[#This Row],[Customer Ratings]]=3, "Average","Poor"))</f>
        <v>Average</v>
      </c>
      <c r="S1208" s="3" t="s">
        <v>90</v>
      </c>
    </row>
    <row r="1209" spans="1:19" x14ac:dyDescent="0.25">
      <c r="A1209" s="3">
        <v>1208</v>
      </c>
      <c r="B1209" s="5">
        <f>DATE(Table1[[#This Row],[Year]],Table1[[#This Row],[Month]],Table1[[#This Row],[Day]])</f>
        <v>44822</v>
      </c>
      <c r="C1209" s="3">
        <v>18</v>
      </c>
      <c r="D1209" s="3">
        <v>9</v>
      </c>
      <c r="E1209" s="3">
        <v>2022</v>
      </c>
      <c r="F1209" s="3" t="str">
        <f>"Qtr"&amp; " " &amp;CHOOSE(MONTH(Table1[[#This Row],[Date]]),1,1,1,2,2,2,3,3,3,4,4,4)</f>
        <v>Qtr 3</v>
      </c>
      <c r="G1209" s="3" t="str">
        <f>TEXT(Table1[[#This Row],[Date]],"mmmm")</f>
        <v>September</v>
      </c>
      <c r="H1209" s="3" t="s">
        <v>1080</v>
      </c>
      <c r="I1209" s="3" t="s">
        <v>13</v>
      </c>
      <c r="J1209" s="3">
        <v>5</v>
      </c>
      <c r="K1209" s="3">
        <v>25195.17</v>
      </c>
      <c r="L1209" s="3">
        <f>Table1[[#This Row],[Price Per Unit]]*Table1[[#This Row],[Units Sold]]</f>
        <v>125975.84999999999</v>
      </c>
      <c r="M1209" s="3" t="s">
        <v>419</v>
      </c>
      <c r="N1209" s="3">
        <v>18</v>
      </c>
      <c r="O1209" s="3" t="s">
        <v>102</v>
      </c>
      <c r="P1209" s="3" t="s">
        <v>31</v>
      </c>
      <c r="Q1209" s="4">
        <v>5</v>
      </c>
      <c r="R1209" s="4" t="str">
        <f>IF(Table1[[#This Row],[Customer Ratings]]&gt;=4, "Good",IF(Table1[[#This Row],[Customer Ratings]]=3, "Average","Poor"))</f>
        <v>Good</v>
      </c>
      <c r="S1209" s="3" t="s">
        <v>27</v>
      </c>
    </row>
    <row r="1210" spans="1:19" x14ac:dyDescent="0.25">
      <c r="A1210" s="3">
        <v>1209</v>
      </c>
      <c r="B1210" s="5">
        <f>DATE(Table1[[#This Row],[Year]],Table1[[#This Row],[Month]],Table1[[#This Row],[Day]])</f>
        <v>44823</v>
      </c>
      <c r="C1210" s="3">
        <v>19</v>
      </c>
      <c r="D1210" s="3">
        <v>9</v>
      </c>
      <c r="E1210" s="3">
        <v>2022</v>
      </c>
      <c r="F1210" s="3" t="str">
        <f>"Qtr"&amp; " " &amp;CHOOSE(MONTH(Table1[[#This Row],[Date]]),1,1,1,2,2,2,3,3,3,4,4,4)</f>
        <v>Qtr 3</v>
      </c>
      <c r="G1210" s="3" t="str">
        <f>TEXT(Table1[[#This Row],[Date]],"mmmm")</f>
        <v>September</v>
      </c>
      <c r="H1210" s="3" t="s">
        <v>1081</v>
      </c>
      <c r="I1210" s="3" t="s">
        <v>39</v>
      </c>
      <c r="J1210" s="3">
        <v>5</v>
      </c>
      <c r="K1210" s="3">
        <v>64553.94</v>
      </c>
      <c r="L1210" s="3">
        <f>Table1[[#This Row],[Price Per Unit]]*Table1[[#This Row],[Units Sold]]</f>
        <v>322769.7</v>
      </c>
      <c r="M1210" s="3" t="s">
        <v>492</v>
      </c>
      <c r="N1210" s="3">
        <v>55</v>
      </c>
      <c r="O1210" s="3" t="s">
        <v>125</v>
      </c>
      <c r="P1210" s="3" t="s">
        <v>31</v>
      </c>
      <c r="Q1210" s="4">
        <v>5</v>
      </c>
      <c r="R1210" s="4" t="str">
        <f>IF(Table1[[#This Row],[Customer Ratings]]&gt;=4, "Good",IF(Table1[[#This Row],[Customer Ratings]]=3, "Average","Poor"))</f>
        <v>Good</v>
      </c>
      <c r="S1210" s="3" t="s">
        <v>90</v>
      </c>
    </row>
    <row r="1211" spans="1:19" x14ac:dyDescent="0.25">
      <c r="A1211" s="3">
        <v>1210</v>
      </c>
      <c r="B1211" s="5">
        <f>DATE(Table1[[#This Row],[Year]],Table1[[#This Row],[Month]],Table1[[#This Row],[Day]])</f>
        <v>44823</v>
      </c>
      <c r="C1211" s="3">
        <v>19</v>
      </c>
      <c r="D1211" s="3">
        <v>9</v>
      </c>
      <c r="E1211" s="3">
        <v>2022</v>
      </c>
      <c r="F1211" s="3" t="str">
        <f>"Qtr"&amp; " " &amp;CHOOSE(MONTH(Table1[[#This Row],[Date]]),1,1,1,2,2,2,3,3,3,4,4,4)</f>
        <v>Qtr 3</v>
      </c>
      <c r="G1211" s="3" t="str">
        <f>TEXT(Table1[[#This Row],[Date]],"mmmm")</f>
        <v>September</v>
      </c>
      <c r="H1211" s="3" t="s">
        <v>1081</v>
      </c>
      <c r="I1211" s="3" t="s">
        <v>28</v>
      </c>
      <c r="J1211" s="3">
        <v>6</v>
      </c>
      <c r="K1211" s="3">
        <v>16105.27</v>
      </c>
      <c r="L1211" s="3">
        <f>Table1[[#This Row],[Price Per Unit]]*Table1[[#This Row],[Units Sold]]</f>
        <v>96631.62</v>
      </c>
      <c r="M1211" s="3" t="s">
        <v>662</v>
      </c>
      <c r="N1211" s="3">
        <v>25</v>
      </c>
      <c r="O1211" s="3" t="s">
        <v>24</v>
      </c>
      <c r="P1211" s="3" t="s">
        <v>45</v>
      </c>
      <c r="Q1211" s="4">
        <v>4</v>
      </c>
      <c r="R1211" s="4" t="str">
        <f>IF(Table1[[#This Row],[Customer Ratings]]&gt;=4, "Good",IF(Table1[[#This Row],[Customer Ratings]]=3, "Average","Poor"))</f>
        <v>Good</v>
      </c>
      <c r="S1211" s="3" t="s">
        <v>38</v>
      </c>
    </row>
    <row r="1212" spans="1:19" x14ac:dyDescent="0.25">
      <c r="A1212" s="3">
        <v>1211</v>
      </c>
      <c r="B1212" s="5">
        <f>DATE(Table1[[#This Row],[Year]],Table1[[#This Row],[Month]],Table1[[#This Row],[Day]])</f>
        <v>44823</v>
      </c>
      <c r="C1212" s="3">
        <v>19</v>
      </c>
      <c r="D1212" s="3">
        <v>9</v>
      </c>
      <c r="E1212" s="3">
        <v>2022</v>
      </c>
      <c r="F1212" s="3" t="str">
        <f>"Qtr"&amp; " " &amp;CHOOSE(MONTH(Table1[[#This Row],[Date]]),1,1,1,2,2,2,3,3,3,4,4,4)</f>
        <v>Qtr 3</v>
      </c>
      <c r="G1212" s="3" t="str">
        <f>TEXT(Table1[[#This Row],[Date]],"mmmm")</f>
        <v>September</v>
      </c>
      <c r="H1212" s="3" t="s">
        <v>1081</v>
      </c>
      <c r="I1212" s="3" t="s">
        <v>28</v>
      </c>
      <c r="J1212" s="3">
        <v>3</v>
      </c>
      <c r="K1212" s="3">
        <v>12949.16</v>
      </c>
      <c r="L1212" s="3">
        <f>Table1[[#This Row],[Price Per Unit]]*Table1[[#This Row],[Units Sold]]</f>
        <v>38847.479999999996</v>
      </c>
      <c r="M1212" s="3" t="s">
        <v>156</v>
      </c>
      <c r="N1212" s="3">
        <v>35</v>
      </c>
      <c r="O1212" s="3" t="s">
        <v>58</v>
      </c>
      <c r="P1212" s="3" t="s">
        <v>31</v>
      </c>
      <c r="Q1212" s="4">
        <v>3</v>
      </c>
      <c r="R1212" s="4" t="str">
        <f>IF(Table1[[#This Row],[Customer Ratings]]&gt;=4, "Good",IF(Table1[[#This Row],[Customer Ratings]]=3, "Average","Poor"))</f>
        <v>Average</v>
      </c>
      <c r="S1212" s="3" t="s">
        <v>32</v>
      </c>
    </row>
    <row r="1213" spans="1:19" x14ac:dyDescent="0.25">
      <c r="A1213" s="3">
        <v>1212</v>
      </c>
      <c r="B1213" s="5">
        <f>DATE(Table1[[#This Row],[Year]],Table1[[#This Row],[Month]],Table1[[#This Row],[Day]])</f>
        <v>44824</v>
      </c>
      <c r="C1213" s="3">
        <v>20</v>
      </c>
      <c r="D1213" s="3">
        <v>9</v>
      </c>
      <c r="E1213" s="3">
        <v>2022</v>
      </c>
      <c r="F1213" s="3" t="str">
        <f>"Qtr"&amp; " " &amp;CHOOSE(MONTH(Table1[[#This Row],[Date]]),1,1,1,2,2,2,3,3,3,4,4,4)</f>
        <v>Qtr 3</v>
      </c>
      <c r="G1213" s="3" t="str">
        <f>TEXT(Table1[[#This Row],[Date]],"mmmm")</f>
        <v>September</v>
      </c>
      <c r="H1213" s="3" t="s">
        <v>1082</v>
      </c>
      <c r="I1213" s="3" t="s">
        <v>18</v>
      </c>
      <c r="J1213" s="3">
        <v>5</v>
      </c>
      <c r="K1213" s="3">
        <v>10318.85</v>
      </c>
      <c r="L1213" s="3">
        <f>Table1[[#This Row],[Price Per Unit]]*Table1[[#This Row],[Units Sold]]</f>
        <v>51594.25</v>
      </c>
      <c r="M1213" s="3" t="s">
        <v>492</v>
      </c>
      <c r="N1213" s="3">
        <v>44</v>
      </c>
      <c r="O1213" s="3" t="s">
        <v>20</v>
      </c>
      <c r="P1213" s="3" t="s">
        <v>31</v>
      </c>
      <c r="Q1213" s="4">
        <v>5</v>
      </c>
      <c r="R1213" s="4" t="str">
        <f>IF(Table1[[#This Row],[Customer Ratings]]&gt;=4, "Good",IF(Table1[[#This Row],[Customer Ratings]]=3, "Average","Poor"))</f>
        <v>Good</v>
      </c>
      <c r="S1213" s="3" t="s">
        <v>25</v>
      </c>
    </row>
    <row r="1214" spans="1:19" x14ac:dyDescent="0.25">
      <c r="A1214" s="3">
        <v>1213</v>
      </c>
      <c r="B1214" s="5">
        <f>DATE(Table1[[#This Row],[Year]],Table1[[#This Row],[Month]],Table1[[#This Row],[Day]])</f>
        <v>44824</v>
      </c>
      <c r="C1214" s="3">
        <v>20</v>
      </c>
      <c r="D1214" s="3">
        <v>9</v>
      </c>
      <c r="E1214" s="3">
        <v>2022</v>
      </c>
      <c r="F1214" s="3" t="str">
        <f>"Qtr"&amp; " " &amp;CHOOSE(MONTH(Table1[[#This Row],[Date]]),1,1,1,2,2,2,3,3,3,4,4,4)</f>
        <v>Qtr 3</v>
      </c>
      <c r="G1214" s="3" t="str">
        <f>TEXT(Table1[[#This Row],[Date]],"mmmm")</f>
        <v>September</v>
      </c>
      <c r="H1214" s="3" t="s">
        <v>1082</v>
      </c>
      <c r="I1214" s="3" t="s">
        <v>13</v>
      </c>
      <c r="J1214" s="3">
        <v>2</v>
      </c>
      <c r="K1214" s="3">
        <v>29684.18</v>
      </c>
      <c r="L1214" s="3">
        <f>Table1[[#This Row],[Price Per Unit]]*Table1[[#This Row],[Units Sold]]</f>
        <v>59368.36</v>
      </c>
      <c r="M1214" s="3" t="s">
        <v>558</v>
      </c>
      <c r="N1214" s="3">
        <v>35</v>
      </c>
      <c r="O1214" s="3" t="s">
        <v>120</v>
      </c>
      <c r="P1214" s="3" t="s">
        <v>45</v>
      </c>
      <c r="Q1214" s="4">
        <v>3</v>
      </c>
      <c r="R1214" s="4" t="str">
        <f>IF(Table1[[#This Row],[Customer Ratings]]&gt;=4, "Good",IF(Table1[[#This Row],[Customer Ratings]]=3, "Average","Poor"))</f>
        <v>Average</v>
      </c>
      <c r="S1214" s="3" t="s">
        <v>17</v>
      </c>
    </row>
    <row r="1215" spans="1:19" x14ac:dyDescent="0.25">
      <c r="A1215" s="3">
        <v>1214</v>
      </c>
      <c r="B1215" s="5">
        <f>DATE(Table1[[#This Row],[Year]],Table1[[#This Row],[Month]],Table1[[#This Row],[Day]])</f>
        <v>44824</v>
      </c>
      <c r="C1215" s="3">
        <v>20</v>
      </c>
      <c r="D1215" s="3">
        <v>9</v>
      </c>
      <c r="E1215" s="3">
        <v>2022</v>
      </c>
      <c r="F1215" s="3" t="str">
        <f>"Qtr"&amp; " " &amp;CHOOSE(MONTH(Table1[[#This Row],[Date]]),1,1,1,2,2,2,3,3,3,4,4,4)</f>
        <v>Qtr 3</v>
      </c>
      <c r="G1215" s="3" t="str">
        <f>TEXT(Table1[[#This Row],[Date]],"mmmm")</f>
        <v>September</v>
      </c>
      <c r="H1215" s="3" t="s">
        <v>1082</v>
      </c>
      <c r="I1215" s="3" t="s">
        <v>28</v>
      </c>
      <c r="J1215" s="3">
        <v>1</v>
      </c>
      <c r="K1215" s="3">
        <v>49623.21</v>
      </c>
      <c r="L1215" s="3">
        <f>Table1[[#This Row],[Price Per Unit]]*Table1[[#This Row],[Units Sold]]</f>
        <v>49623.21</v>
      </c>
      <c r="M1215" s="3" t="s">
        <v>305</v>
      </c>
      <c r="N1215" s="3">
        <v>49</v>
      </c>
      <c r="O1215" s="3" t="s">
        <v>81</v>
      </c>
      <c r="P1215" s="3" t="s">
        <v>16</v>
      </c>
      <c r="Q1215" s="4">
        <v>1</v>
      </c>
      <c r="R1215" s="4" t="str">
        <f>IF(Table1[[#This Row],[Customer Ratings]]&gt;=4, "Good",IF(Table1[[#This Row],[Customer Ratings]]=3, "Average","Poor"))</f>
        <v>Poor</v>
      </c>
      <c r="S1215" s="3" t="s">
        <v>38</v>
      </c>
    </row>
    <row r="1216" spans="1:19" x14ac:dyDescent="0.25">
      <c r="A1216" s="3">
        <v>1215</v>
      </c>
      <c r="B1216" s="5">
        <f>DATE(Table1[[#This Row],[Year]],Table1[[#This Row],[Month]],Table1[[#This Row],[Day]])</f>
        <v>44825</v>
      </c>
      <c r="C1216" s="3">
        <v>21</v>
      </c>
      <c r="D1216" s="3">
        <v>9</v>
      </c>
      <c r="E1216" s="3">
        <v>2022</v>
      </c>
      <c r="F1216" s="3" t="str">
        <f>"Qtr"&amp; " " &amp;CHOOSE(MONTH(Table1[[#This Row],[Date]]),1,1,1,2,2,2,3,3,3,4,4,4)</f>
        <v>Qtr 3</v>
      </c>
      <c r="G1216" s="3" t="str">
        <f>TEXT(Table1[[#This Row],[Date]],"mmmm")</f>
        <v>September</v>
      </c>
      <c r="H1216" s="3" t="s">
        <v>1083</v>
      </c>
      <c r="I1216" s="3" t="s">
        <v>18</v>
      </c>
      <c r="J1216" s="3">
        <v>1</v>
      </c>
      <c r="K1216" s="3">
        <v>53824.83</v>
      </c>
      <c r="L1216" s="3">
        <f>Table1[[#This Row],[Price Per Unit]]*Table1[[#This Row],[Units Sold]]</f>
        <v>53824.83</v>
      </c>
      <c r="M1216" s="3" t="s">
        <v>689</v>
      </c>
      <c r="N1216" s="3">
        <v>49</v>
      </c>
      <c r="O1216" s="3" t="s">
        <v>20</v>
      </c>
      <c r="P1216" s="3" t="s">
        <v>21</v>
      </c>
      <c r="Q1216" s="4">
        <v>3</v>
      </c>
      <c r="R1216" s="4" t="str">
        <f>IF(Table1[[#This Row],[Customer Ratings]]&gt;=4, "Good",IF(Table1[[#This Row],[Customer Ratings]]=3, "Average","Poor"))</f>
        <v>Average</v>
      </c>
      <c r="S1216" s="3" t="s">
        <v>22</v>
      </c>
    </row>
    <row r="1217" spans="1:19" x14ac:dyDescent="0.25">
      <c r="A1217" s="3">
        <v>1216</v>
      </c>
      <c r="B1217" s="5">
        <f>DATE(Table1[[#This Row],[Year]],Table1[[#This Row],[Month]],Table1[[#This Row],[Day]])</f>
        <v>44825</v>
      </c>
      <c r="C1217" s="3">
        <v>21</v>
      </c>
      <c r="D1217" s="3">
        <v>9</v>
      </c>
      <c r="E1217" s="3">
        <v>2022</v>
      </c>
      <c r="F1217" s="3" t="str">
        <f>"Qtr"&amp; " " &amp;CHOOSE(MONTH(Table1[[#This Row],[Date]]),1,1,1,2,2,2,3,3,3,4,4,4)</f>
        <v>Qtr 3</v>
      </c>
      <c r="G1217" s="3" t="str">
        <f>TEXT(Table1[[#This Row],[Date]],"mmmm")</f>
        <v>September</v>
      </c>
      <c r="H1217" s="3" t="s">
        <v>1083</v>
      </c>
      <c r="I1217" s="3" t="s">
        <v>18</v>
      </c>
      <c r="J1217" s="3">
        <v>7</v>
      </c>
      <c r="K1217" s="3">
        <v>37195.699999999997</v>
      </c>
      <c r="L1217" s="3">
        <f>Table1[[#This Row],[Price Per Unit]]*Table1[[#This Row],[Units Sold]]</f>
        <v>260369.89999999997</v>
      </c>
      <c r="M1217" s="3" t="s">
        <v>772</v>
      </c>
      <c r="N1217" s="3">
        <v>53</v>
      </c>
      <c r="O1217" s="3" t="s">
        <v>81</v>
      </c>
      <c r="P1217" s="3" t="s">
        <v>21</v>
      </c>
      <c r="Q1217" s="4">
        <v>5</v>
      </c>
      <c r="R1217" s="4" t="str">
        <f>IF(Table1[[#This Row],[Customer Ratings]]&gt;=4, "Good",IF(Table1[[#This Row],[Customer Ratings]]=3, "Average","Poor"))</f>
        <v>Good</v>
      </c>
      <c r="S1217" s="3" t="s">
        <v>22</v>
      </c>
    </row>
    <row r="1218" spans="1:19" x14ac:dyDescent="0.25">
      <c r="A1218" s="3">
        <v>1217</v>
      </c>
      <c r="B1218" s="5">
        <f>DATE(Table1[[#This Row],[Year]],Table1[[#This Row],[Month]],Table1[[#This Row],[Day]])</f>
        <v>44825</v>
      </c>
      <c r="C1218" s="3">
        <v>21</v>
      </c>
      <c r="D1218" s="3">
        <v>9</v>
      </c>
      <c r="E1218" s="3">
        <v>2022</v>
      </c>
      <c r="F1218" s="3" t="str">
        <f>"Qtr"&amp; " " &amp;CHOOSE(MONTH(Table1[[#This Row],[Date]]),1,1,1,2,2,2,3,3,3,4,4,4)</f>
        <v>Qtr 3</v>
      </c>
      <c r="G1218" s="3" t="str">
        <f>TEXT(Table1[[#This Row],[Date]],"mmmm")</f>
        <v>September</v>
      </c>
      <c r="H1218" s="3" t="s">
        <v>1083</v>
      </c>
      <c r="I1218" s="3" t="s">
        <v>39</v>
      </c>
      <c r="J1218" s="3">
        <v>2</v>
      </c>
      <c r="K1218" s="3">
        <v>51059.72</v>
      </c>
      <c r="L1218" s="3">
        <f>Table1[[#This Row],[Price Per Unit]]*Table1[[#This Row],[Units Sold]]</f>
        <v>102119.44</v>
      </c>
      <c r="M1218" s="3" t="s">
        <v>526</v>
      </c>
      <c r="N1218" s="3">
        <v>53</v>
      </c>
      <c r="O1218" s="3" t="s">
        <v>137</v>
      </c>
      <c r="P1218" s="3" t="s">
        <v>31</v>
      </c>
      <c r="Q1218" s="4">
        <v>1</v>
      </c>
      <c r="R1218" s="4" t="str">
        <f>IF(Table1[[#This Row],[Customer Ratings]]&gt;=4, "Good",IF(Table1[[#This Row],[Customer Ratings]]=3, "Average","Poor"))</f>
        <v>Poor</v>
      </c>
      <c r="S1218" s="3" t="s">
        <v>90</v>
      </c>
    </row>
    <row r="1219" spans="1:19" x14ac:dyDescent="0.25">
      <c r="A1219" s="3">
        <v>1218</v>
      </c>
      <c r="B1219" s="5">
        <f>DATE(Table1[[#This Row],[Year]],Table1[[#This Row],[Month]],Table1[[#This Row],[Day]])</f>
        <v>44825</v>
      </c>
      <c r="C1219" s="3">
        <v>21</v>
      </c>
      <c r="D1219" s="3">
        <v>9</v>
      </c>
      <c r="E1219" s="3">
        <v>2022</v>
      </c>
      <c r="F1219" s="3" t="str">
        <f>"Qtr"&amp; " " &amp;CHOOSE(MONTH(Table1[[#This Row],[Date]]),1,1,1,2,2,2,3,3,3,4,4,4)</f>
        <v>Qtr 3</v>
      </c>
      <c r="G1219" s="3" t="str">
        <f>TEXT(Table1[[#This Row],[Date]],"mmmm")</f>
        <v>September</v>
      </c>
      <c r="H1219" s="3" t="s">
        <v>1083</v>
      </c>
      <c r="I1219" s="3" t="s">
        <v>39</v>
      </c>
      <c r="J1219" s="3">
        <v>4</v>
      </c>
      <c r="K1219" s="3">
        <v>31594.84</v>
      </c>
      <c r="L1219" s="3">
        <f>Table1[[#This Row],[Price Per Unit]]*Table1[[#This Row],[Units Sold]]</f>
        <v>126379.36</v>
      </c>
      <c r="M1219" s="3" t="s">
        <v>773</v>
      </c>
      <c r="N1219" s="3">
        <v>38</v>
      </c>
      <c r="O1219" s="3" t="s">
        <v>30</v>
      </c>
      <c r="P1219" s="3" t="s">
        <v>16</v>
      </c>
      <c r="Q1219" s="4">
        <v>1</v>
      </c>
      <c r="R1219" s="4" t="str">
        <f>IF(Table1[[#This Row],[Customer Ratings]]&gt;=4, "Good",IF(Table1[[#This Row],[Customer Ratings]]=3, "Average","Poor"))</f>
        <v>Poor</v>
      </c>
      <c r="S1219" s="3" t="s">
        <v>76</v>
      </c>
    </row>
    <row r="1220" spans="1:19" x14ac:dyDescent="0.25">
      <c r="A1220" s="3">
        <v>1219</v>
      </c>
      <c r="B1220" s="5">
        <f>DATE(Table1[[#This Row],[Year]],Table1[[#This Row],[Month]],Table1[[#This Row],[Day]])</f>
        <v>44826</v>
      </c>
      <c r="C1220" s="3">
        <v>22</v>
      </c>
      <c r="D1220" s="3">
        <v>9</v>
      </c>
      <c r="E1220" s="3">
        <v>2022</v>
      </c>
      <c r="F1220" s="3" t="str">
        <f>"Qtr"&amp; " " &amp;CHOOSE(MONTH(Table1[[#This Row],[Date]]),1,1,1,2,2,2,3,3,3,4,4,4)</f>
        <v>Qtr 3</v>
      </c>
      <c r="G1220" s="3" t="str">
        <f>TEXT(Table1[[#This Row],[Date]],"mmmm")</f>
        <v>September</v>
      </c>
      <c r="H1220" s="3" t="s">
        <v>1084</v>
      </c>
      <c r="I1220" s="3" t="s">
        <v>18</v>
      </c>
      <c r="J1220" s="3">
        <v>5</v>
      </c>
      <c r="K1220" s="3">
        <v>50068.37</v>
      </c>
      <c r="L1220" s="3">
        <f>Table1[[#This Row],[Price Per Unit]]*Table1[[#This Row],[Units Sold]]</f>
        <v>250341.85</v>
      </c>
      <c r="M1220" s="3" t="s">
        <v>256</v>
      </c>
      <c r="N1220" s="3">
        <v>49</v>
      </c>
      <c r="O1220" s="3" t="s">
        <v>52</v>
      </c>
      <c r="P1220" s="3" t="s">
        <v>45</v>
      </c>
      <c r="Q1220" s="4">
        <v>1</v>
      </c>
      <c r="R1220" s="4" t="str">
        <f>IF(Table1[[#This Row],[Customer Ratings]]&gt;=4, "Good",IF(Table1[[#This Row],[Customer Ratings]]=3, "Average","Poor"))</f>
        <v>Poor</v>
      </c>
      <c r="S1220" s="3" t="s">
        <v>25</v>
      </c>
    </row>
    <row r="1221" spans="1:19" x14ac:dyDescent="0.25">
      <c r="A1221" s="3">
        <v>1220</v>
      </c>
      <c r="B1221" s="5">
        <f>DATE(Table1[[#This Row],[Year]],Table1[[#This Row],[Month]],Table1[[#This Row],[Day]])</f>
        <v>44826</v>
      </c>
      <c r="C1221" s="3">
        <v>22</v>
      </c>
      <c r="D1221" s="3">
        <v>9</v>
      </c>
      <c r="E1221" s="3">
        <v>2022</v>
      </c>
      <c r="F1221" s="3" t="str">
        <f>"Qtr"&amp; " " &amp;CHOOSE(MONTH(Table1[[#This Row],[Date]]),1,1,1,2,2,2,3,3,3,4,4,4)</f>
        <v>Qtr 3</v>
      </c>
      <c r="G1221" s="3" t="str">
        <f>TEXT(Table1[[#This Row],[Date]],"mmmm")</f>
        <v>September</v>
      </c>
      <c r="H1221" s="3" t="s">
        <v>1084</v>
      </c>
      <c r="I1221" s="3" t="s">
        <v>39</v>
      </c>
      <c r="J1221" s="3">
        <v>7</v>
      </c>
      <c r="K1221" s="3">
        <v>12435.76</v>
      </c>
      <c r="L1221" s="3">
        <f>Table1[[#This Row],[Price Per Unit]]*Table1[[#This Row],[Units Sold]]</f>
        <v>87050.32</v>
      </c>
      <c r="M1221" s="3" t="s">
        <v>774</v>
      </c>
      <c r="N1221" s="3">
        <v>48</v>
      </c>
      <c r="O1221" s="3" t="s">
        <v>105</v>
      </c>
      <c r="P1221" s="3" t="s">
        <v>31</v>
      </c>
      <c r="Q1221" s="4">
        <v>4</v>
      </c>
      <c r="R1221" s="4" t="str">
        <f>IF(Table1[[#This Row],[Customer Ratings]]&gt;=4, "Good",IF(Table1[[#This Row],[Customer Ratings]]=3, "Average","Poor"))</f>
        <v>Good</v>
      </c>
      <c r="S1221" s="3" t="s">
        <v>42</v>
      </c>
    </row>
    <row r="1222" spans="1:19" x14ac:dyDescent="0.25">
      <c r="A1222" s="3">
        <v>1221</v>
      </c>
      <c r="B1222" s="5">
        <f>DATE(Table1[[#This Row],[Year]],Table1[[#This Row],[Month]],Table1[[#This Row],[Day]])</f>
        <v>44826</v>
      </c>
      <c r="C1222" s="3">
        <v>22</v>
      </c>
      <c r="D1222" s="3">
        <v>9</v>
      </c>
      <c r="E1222" s="3">
        <v>2022</v>
      </c>
      <c r="F1222" s="3" t="str">
        <f>"Qtr"&amp; " " &amp;CHOOSE(MONTH(Table1[[#This Row],[Date]]),1,1,1,2,2,2,3,3,3,4,4,4)</f>
        <v>Qtr 3</v>
      </c>
      <c r="G1222" s="3" t="str">
        <f>TEXT(Table1[[#This Row],[Date]],"mmmm")</f>
        <v>September</v>
      </c>
      <c r="H1222" s="3" t="s">
        <v>1084</v>
      </c>
      <c r="I1222" s="3" t="s">
        <v>28</v>
      </c>
      <c r="J1222" s="3">
        <v>2</v>
      </c>
      <c r="K1222" s="3">
        <v>33445.18</v>
      </c>
      <c r="L1222" s="3">
        <f>Table1[[#This Row],[Price Per Unit]]*Table1[[#This Row],[Units Sold]]</f>
        <v>66890.36</v>
      </c>
      <c r="M1222" s="3" t="s">
        <v>398</v>
      </c>
      <c r="N1222" s="3">
        <v>54</v>
      </c>
      <c r="O1222" s="3" t="s">
        <v>41</v>
      </c>
      <c r="P1222" s="3" t="s">
        <v>45</v>
      </c>
      <c r="Q1222" s="4">
        <v>4</v>
      </c>
      <c r="R1222" s="4" t="str">
        <f>IF(Table1[[#This Row],[Customer Ratings]]&gt;=4, "Good",IF(Table1[[#This Row],[Customer Ratings]]=3, "Average","Poor"))</f>
        <v>Good</v>
      </c>
      <c r="S1222" s="3" t="s">
        <v>38</v>
      </c>
    </row>
    <row r="1223" spans="1:19" x14ac:dyDescent="0.25">
      <c r="A1223" s="3">
        <v>1222</v>
      </c>
      <c r="B1223" s="5">
        <f>DATE(Table1[[#This Row],[Year]],Table1[[#This Row],[Month]],Table1[[#This Row],[Day]])</f>
        <v>44826</v>
      </c>
      <c r="C1223" s="3">
        <v>22</v>
      </c>
      <c r="D1223" s="3">
        <v>9</v>
      </c>
      <c r="E1223" s="3">
        <v>2022</v>
      </c>
      <c r="F1223" s="3" t="str">
        <f>"Qtr"&amp; " " &amp;CHOOSE(MONTH(Table1[[#This Row],[Date]]),1,1,1,2,2,2,3,3,3,4,4,4)</f>
        <v>Qtr 3</v>
      </c>
      <c r="G1223" s="3" t="str">
        <f>TEXT(Table1[[#This Row],[Date]],"mmmm")</f>
        <v>September</v>
      </c>
      <c r="H1223" s="3" t="s">
        <v>1084</v>
      </c>
      <c r="I1223" s="3" t="s">
        <v>33</v>
      </c>
      <c r="J1223" s="3">
        <v>6</v>
      </c>
      <c r="K1223" s="3">
        <v>57450.98</v>
      </c>
      <c r="L1223" s="3">
        <f>Table1[[#This Row],[Price Per Unit]]*Table1[[#This Row],[Units Sold]]</f>
        <v>344705.88</v>
      </c>
      <c r="M1223" s="3" t="s">
        <v>775</v>
      </c>
      <c r="N1223" s="3">
        <v>33</v>
      </c>
      <c r="O1223" s="3" t="s">
        <v>30</v>
      </c>
      <c r="P1223" s="3" t="s">
        <v>21</v>
      </c>
      <c r="Q1223" s="4">
        <v>1</v>
      </c>
      <c r="R1223" s="4" t="str">
        <f>IF(Table1[[#This Row],[Customer Ratings]]&gt;=4, "Good",IF(Table1[[#This Row],[Customer Ratings]]=3, "Average","Poor"))</f>
        <v>Poor</v>
      </c>
      <c r="S1223" s="3" t="s">
        <v>83</v>
      </c>
    </row>
    <row r="1224" spans="1:19" x14ac:dyDescent="0.25">
      <c r="A1224" s="3">
        <v>1223</v>
      </c>
      <c r="B1224" s="5">
        <f>DATE(Table1[[#This Row],[Year]],Table1[[#This Row],[Month]],Table1[[#This Row],[Day]])</f>
        <v>44827</v>
      </c>
      <c r="C1224" s="3">
        <v>23</v>
      </c>
      <c r="D1224" s="3">
        <v>9</v>
      </c>
      <c r="E1224" s="3">
        <v>2022</v>
      </c>
      <c r="F1224" s="3" t="str">
        <f>"Qtr"&amp; " " &amp;CHOOSE(MONTH(Table1[[#This Row],[Date]]),1,1,1,2,2,2,3,3,3,4,4,4)</f>
        <v>Qtr 3</v>
      </c>
      <c r="G1224" s="3" t="str">
        <f>TEXT(Table1[[#This Row],[Date]],"mmmm")</f>
        <v>September</v>
      </c>
      <c r="H1224" s="3" t="s">
        <v>1085</v>
      </c>
      <c r="I1224" s="3" t="s">
        <v>28</v>
      </c>
      <c r="J1224" s="3">
        <v>1</v>
      </c>
      <c r="K1224" s="3">
        <v>58180.36</v>
      </c>
      <c r="L1224" s="3">
        <f>Table1[[#This Row],[Price Per Unit]]*Table1[[#This Row],[Units Sold]]</f>
        <v>58180.36</v>
      </c>
      <c r="M1224" s="3" t="s">
        <v>618</v>
      </c>
      <c r="N1224" s="3">
        <v>31</v>
      </c>
      <c r="O1224" s="3" t="s">
        <v>105</v>
      </c>
      <c r="P1224" s="3" t="s">
        <v>45</v>
      </c>
      <c r="Q1224" s="4">
        <v>5</v>
      </c>
      <c r="R1224" s="4" t="str">
        <f>IF(Table1[[#This Row],[Customer Ratings]]&gt;=4, "Good",IF(Table1[[#This Row],[Customer Ratings]]=3, "Average","Poor"))</f>
        <v>Good</v>
      </c>
      <c r="S1224" s="3" t="s">
        <v>38</v>
      </c>
    </row>
    <row r="1225" spans="1:19" x14ac:dyDescent="0.25">
      <c r="A1225" s="3">
        <v>1224</v>
      </c>
      <c r="B1225" s="5">
        <f>DATE(Table1[[#This Row],[Year]],Table1[[#This Row],[Month]],Table1[[#This Row],[Day]])</f>
        <v>44827</v>
      </c>
      <c r="C1225" s="3">
        <v>23</v>
      </c>
      <c r="D1225" s="3">
        <v>9</v>
      </c>
      <c r="E1225" s="3">
        <v>2022</v>
      </c>
      <c r="F1225" s="3" t="str">
        <f>"Qtr"&amp; " " &amp;CHOOSE(MONTH(Table1[[#This Row],[Date]]),1,1,1,2,2,2,3,3,3,4,4,4)</f>
        <v>Qtr 3</v>
      </c>
      <c r="G1225" s="3" t="str">
        <f>TEXT(Table1[[#This Row],[Date]],"mmmm")</f>
        <v>September</v>
      </c>
      <c r="H1225" s="3" t="s">
        <v>1085</v>
      </c>
      <c r="I1225" s="3" t="s">
        <v>18</v>
      </c>
      <c r="J1225" s="3">
        <v>7</v>
      </c>
      <c r="K1225" s="3">
        <v>52968.93</v>
      </c>
      <c r="L1225" s="3">
        <f>Table1[[#This Row],[Price Per Unit]]*Table1[[#This Row],[Units Sold]]</f>
        <v>370782.51</v>
      </c>
      <c r="M1225" s="3" t="s">
        <v>267</v>
      </c>
      <c r="N1225" s="3">
        <v>41</v>
      </c>
      <c r="O1225" s="3" t="s">
        <v>58</v>
      </c>
      <c r="P1225" s="3" t="s">
        <v>21</v>
      </c>
      <c r="Q1225" s="4">
        <v>1</v>
      </c>
      <c r="R1225" s="4" t="str">
        <f>IF(Table1[[#This Row],[Customer Ratings]]&gt;=4, "Good",IF(Table1[[#This Row],[Customer Ratings]]=3, "Average","Poor"))</f>
        <v>Poor</v>
      </c>
      <c r="S1225" s="3" t="s">
        <v>22</v>
      </c>
    </row>
    <row r="1226" spans="1:19" x14ac:dyDescent="0.25">
      <c r="A1226" s="3">
        <v>1225</v>
      </c>
      <c r="B1226" s="5">
        <f>DATE(Table1[[#This Row],[Year]],Table1[[#This Row],[Month]],Table1[[#This Row],[Day]])</f>
        <v>44827</v>
      </c>
      <c r="C1226" s="3">
        <v>23</v>
      </c>
      <c r="D1226" s="3">
        <v>9</v>
      </c>
      <c r="E1226" s="3">
        <v>2022</v>
      </c>
      <c r="F1226" s="3" t="str">
        <f>"Qtr"&amp; " " &amp;CHOOSE(MONTH(Table1[[#This Row],[Date]]),1,1,1,2,2,2,3,3,3,4,4,4)</f>
        <v>Qtr 3</v>
      </c>
      <c r="G1226" s="3" t="str">
        <f>TEXT(Table1[[#This Row],[Date]],"mmmm")</f>
        <v>September</v>
      </c>
      <c r="H1226" s="3" t="s">
        <v>1085</v>
      </c>
      <c r="I1226" s="3" t="s">
        <v>18</v>
      </c>
      <c r="J1226" s="3">
        <v>9</v>
      </c>
      <c r="K1226" s="3">
        <v>22254.32</v>
      </c>
      <c r="L1226" s="3">
        <f>Table1[[#This Row],[Price Per Unit]]*Table1[[#This Row],[Units Sold]]</f>
        <v>200288.88</v>
      </c>
      <c r="M1226" s="3" t="s">
        <v>565</v>
      </c>
      <c r="N1226" s="3">
        <v>42</v>
      </c>
      <c r="O1226" s="3" t="s">
        <v>52</v>
      </c>
      <c r="P1226" s="3" t="s">
        <v>45</v>
      </c>
      <c r="Q1226" s="4">
        <v>1</v>
      </c>
      <c r="R1226" s="4" t="str">
        <f>IF(Table1[[#This Row],[Customer Ratings]]&gt;=4, "Good",IF(Table1[[#This Row],[Customer Ratings]]=3, "Average","Poor"))</f>
        <v>Poor</v>
      </c>
      <c r="S1226" s="3" t="s">
        <v>25</v>
      </c>
    </row>
    <row r="1227" spans="1:19" x14ac:dyDescent="0.25">
      <c r="A1227" s="3">
        <v>1226</v>
      </c>
      <c r="B1227" s="5">
        <f>DATE(Table1[[#This Row],[Year]],Table1[[#This Row],[Month]],Table1[[#This Row],[Day]])</f>
        <v>44828</v>
      </c>
      <c r="C1227" s="3">
        <v>24</v>
      </c>
      <c r="D1227" s="3">
        <v>9</v>
      </c>
      <c r="E1227" s="3">
        <v>2022</v>
      </c>
      <c r="F1227" s="3" t="str">
        <f>"Qtr"&amp; " " &amp;CHOOSE(MONTH(Table1[[#This Row],[Date]]),1,1,1,2,2,2,3,3,3,4,4,4)</f>
        <v>Qtr 3</v>
      </c>
      <c r="G1227" s="3" t="str">
        <f>TEXT(Table1[[#This Row],[Date]],"mmmm")</f>
        <v>September</v>
      </c>
      <c r="H1227" s="3" t="s">
        <v>1079</v>
      </c>
      <c r="I1227" s="3" t="s">
        <v>28</v>
      </c>
      <c r="J1227" s="3">
        <v>5</v>
      </c>
      <c r="K1227" s="3">
        <v>24832.31</v>
      </c>
      <c r="L1227" s="3">
        <f>Table1[[#This Row],[Price Per Unit]]*Table1[[#This Row],[Units Sold]]</f>
        <v>124161.55</v>
      </c>
      <c r="M1227" s="3" t="s">
        <v>319</v>
      </c>
      <c r="N1227" s="3">
        <v>52</v>
      </c>
      <c r="O1227" s="3" t="s">
        <v>98</v>
      </c>
      <c r="P1227" s="3" t="s">
        <v>45</v>
      </c>
      <c r="Q1227" s="4">
        <v>3</v>
      </c>
      <c r="R1227" s="4" t="str">
        <f>IF(Table1[[#This Row],[Customer Ratings]]&gt;=4, "Good",IF(Table1[[#This Row],[Customer Ratings]]=3, "Average","Poor"))</f>
        <v>Average</v>
      </c>
      <c r="S1227" s="3" t="s">
        <v>87</v>
      </c>
    </row>
    <row r="1228" spans="1:19" x14ac:dyDescent="0.25">
      <c r="A1228" s="3">
        <v>1227</v>
      </c>
      <c r="B1228" s="5">
        <f>DATE(Table1[[#This Row],[Year]],Table1[[#This Row],[Month]],Table1[[#This Row],[Day]])</f>
        <v>44828</v>
      </c>
      <c r="C1228" s="3">
        <v>24</v>
      </c>
      <c r="D1228" s="3">
        <v>9</v>
      </c>
      <c r="E1228" s="3">
        <v>2022</v>
      </c>
      <c r="F1228" s="3" t="str">
        <f>"Qtr"&amp; " " &amp;CHOOSE(MONTH(Table1[[#This Row],[Date]]),1,1,1,2,2,2,3,3,3,4,4,4)</f>
        <v>Qtr 3</v>
      </c>
      <c r="G1228" s="3" t="str">
        <f>TEXT(Table1[[#This Row],[Date]],"mmmm")</f>
        <v>September</v>
      </c>
      <c r="H1228" s="3" t="s">
        <v>1079</v>
      </c>
      <c r="I1228" s="3" t="s">
        <v>39</v>
      </c>
      <c r="J1228" s="3">
        <v>5</v>
      </c>
      <c r="K1228" s="3">
        <v>69765.320000000007</v>
      </c>
      <c r="L1228" s="3">
        <f>Table1[[#This Row],[Price Per Unit]]*Table1[[#This Row],[Units Sold]]</f>
        <v>348826.60000000003</v>
      </c>
      <c r="M1228" s="3" t="s">
        <v>242</v>
      </c>
      <c r="N1228" s="3">
        <v>34</v>
      </c>
      <c r="O1228" s="3" t="s">
        <v>48</v>
      </c>
      <c r="P1228" s="3" t="s">
        <v>16</v>
      </c>
      <c r="Q1228" s="4">
        <v>3</v>
      </c>
      <c r="R1228" s="4" t="str">
        <f>IF(Table1[[#This Row],[Customer Ratings]]&gt;=4, "Good",IF(Table1[[#This Row],[Customer Ratings]]=3, "Average","Poor"))</f>
        <v>Average</v>
      </c>
      <c r="S1228" s="3" t="s">
        <v>76</v>
      </c>
    </row>
    <row r="1229" spans="1:19" x14ac:dyDescent="0.25">
      <c r="A1229" s="3">
        <v>1228</v>
      </c>
      <c r="B1229" s="5">
        <f>DATE(Table1[[#This Row],[Year]],Table1[[#This Row],[Month]],Table1[[#This Row],[Day]])</f>
        <v>44828</v>
      </c>
      <c r="C1229" s="3">
        <v>24</v>
      </c>
      <c r="D1229" s="3">
        <v>9</v>
      </c>
      <c r="E1229" s="3">
        <v>2022</v>
      </c>
      <c r="F1229" s="3" t="str">
        <f>"Qtr"&amp; " " &amp;CHOOSE(MONTH(Table1[[#This Row],[Date]]),1,1,1,2,2,2,3,3,3,4,4,4)</f>
        <v>Qtr 3</v>
      </c>
      <c r="G1229" s="3" t="str">
        <f>TEXT(Table1[[#This Row],[Date]],"mmmm")</f>
        <v>September</v>
      </c>
      <c r="H1229" s="3" t="s">
        <v>1079</v>
      </c>
      <c r="I1229" s="3" t="s">
        <v>39</v>
      </c>
      <c r="J1229" s="3">
        <v>4</v>
      </c>
      <c r="K1229" s="3">
        <v>16202.68</v>
      </c>
      <c r="L1229" s="3">
        <f>Table1[[#This Row],[Price Per Unit]]*Table1[[#This Row],[Units Sold]]</f>
        <v>64810.720000000001</v>
      </c>
      <c r="M1229" s="3" t="s">
        <v>776</v>
      </c>
      <c r="N1229" s="3">
        <v>59</v>
      </c>
      <c r="O1229" s="3" t="s">
        <v>52</v>
      </c>
      <c r="P1229" s="3" t="s">
        <v>45</v>
      </c>
      <c r="Q1229" s="4">
        <v>3</v>
      </c>
      <c r="R1229" s="4" t="str">
        <f>IF(Table1[[#This Row],[Customer Ratings]]&gt;=4, "Good",IF(Table1[[#This Row],[Customer Ratings]]=3, "Average","Poor"))</f>
        <v>Average</v>
      </c>
      <c r="S1229" s="3" t="s">
        <v>42</v>
      </c>
    </row>
    <row r="1230" spans="1:19" x14ac:dyDescent="0.25">
      <c r="A1230" s="3">
        <v>1229</v>
      </c>
      <c r="B1230" s="5">
        <f>DATE(Table1[[#This Row],[Year]],Table1[[#This Row],[Month]],Table1[[#This Row],[Day]])</f>
        <v>44828</v>
      </c>
      <c r="C1230" s="3">
        <v>24</v>
      </c>
      <c r="D1230" s="3">
        <v>9</v>
      </c>
      <c r="E1230" s="3">
        <v>2022</v>
      </c>
      <c r="F1230" s="3" t="str">
        <f>"Qtr"&amp; " " &amp;CHOOSE(MONTH(Table1[[#This Row],[Date]]),1,1,1,2,2,2,3,3,3,4,4,4)</f>
        <v>Qtr 3</v>
      </c>
      <c r="G1230" s="3" t="str">
        <f>TEXT(Table1[[#This Row],[Date]],"mmmm")</f>
        <v>September</v>
      </c>
      <c r="H1230" s="3" t="s">
        <v>1079</v>
      </c>
      <c r="I1230" s="3" t="s">
        <v>18</v>
      </c>
      <c r="J1230" s="3">
        <v>3</v>
      </c>
      <c r="K1230" s="3">
        <v>20839.759999999998</v>
      </c>
      <c r="L1230" s="3">
        <f>Table1[[#This Row],[Price Per Unit]]*Table1[[#This Row],[Units Sold]]</f>
        <v>62519.28</v>
      </c>
      <c r="M1230" s="3" t="s">
        <v>225</v>
      </c>
      <c r="N1230" s="3">
        <v>21</v>
      </c>
      <c r="O1230" s="3" t="s">
        <v>105</v>
      </c>
      <c r="P1230" s="3" t="s">
        <v>31</v>
      </c>
      <c r="Q1230" s="4">
        <v>5</v>
      </c>
      <c r="R1230" s="4" t="str">
        <f>IF(Table1[[#This Row],[Customer Ratings]]&gt;=4, "Good",IF(Table1[[#This Row],[Customer Ratings]]=3, "Average","Poor"))</f>
        <v>Good</v>
      </c>
      <c r="S1230" s="3" t="s">
        <v>25</v>
      </c>
    </row>
    <row r="1231" spans="1:19" x14ac:dyDescent="0.25">
      <c r="A1231" s="3">
        <v>1230</v>
      </c>
      <c r="B1231" s="5">
        <f>DATE(Table1[[#This Row],[Year]],Table1[[#This Row],[Month]],Table1[[#This Row],[Day]])</f>
        <v>44829</v>
      </c>
      <c r="C1231" s="3">
        <v>25</v>
      </c>
      <c r="D1231" s="3">
        <v>9</v>
      </c>
      <c r="E1231" s="3">
        <v>2022</v>
      </c>
      <c r="F1231" s="3" t="str">
        <f>"Qtr"&amp; " " &amp;CHOOSE(MONTH(Table1[[#This Row],[Date]]),1,1,1,2,2,2,3,3,3,4,4,4)</f>
        <v>Qtr 3</v>
      </c>
      <c r="G1231" s="3" t="str">
        <f>TEXT(Table1[[#This Row],[Date]],"mmmm")</f>
        <v>September</v>
      </c>
      <c r="H1231" s="3" t="s">
        <v>1080</v>
      </c>
      <c r="I1231" s="3" t="s">
        <v>13</v>
      </c>
      <c r="J1231" s="3">
        <v>9</v>
      </c>
      <c r="K1231" s="3">
        <v>17801.580000000002</v>
      </c>
      <c r="L1231" s="3">
        <f>Table1[[#This Row],[Price Per Unit]]*Table1[[#This Row],[Units Sold]]</f>
        <v>160214.22000000003</v>
      </c>
      <c r="M1231" s="3" t="s">
        <v>528</v>
      </c>
      <c r="N1231" s="3">
        <v>28</v>
      </c>
      <c r="O1231" s="3" t="s">
        <v>120</v>
      </c>
      <c r="P1231" s="3" t="s">
        <v>16</v>
      </c>
      <c r="Q1231" s="4">
        <v>3</v>
      </c>
      <c r="R1231" s="4" t="str">
        <f>IF(Table1[[#This Row],[Customer Ratings]]&gt;=4, "Good",IF(Table1[[#This Row],[Customer Ratings]]=3, "Average","Poor"))</f>
        <v>Average</v>
      </c>
      <c r="S1231" s="3" t="s">
        <v>27</v>
      </c>
    </row>
    <row r="1232" spans="1:19" x14ac:dyDescent="0.25">
      <c r="A1232" s="3">
        <v>1231</v>
      </c>
      <c r="B1232" s="5">
        <f>DATE(Table1[[#This Row],[Year]],Table1[[#This Row],[Month]],Table1[[#This Row],[Day]])</f>
        <v>44829</v>
      </c>
      <c r="C1232" s="3">
        <v>25</v>
      </c>
      <c r="D1232" s="3">
        <v>9</v>
      </c>
      <c r="E1232" s="3">
        <v>2022</v>
      </c>
      <c r="F1232" s="3" t="str">
        <f>"Qtr"&amp; " " &amp;CHOOSE(MONTH(Table1[[#This Row],[Date]]),1,1,1,2,2,2,3,3,3,4,4,4)</f>
        <v>Qtr 3</v>
      </c>
      <c r="G1232" s="3" t="str">
        <f>TEXT(Table1[[#This Row],[Date]],"mmmm")</f>
        <v>September</v>
      </c>
      <c r="H1232" s="3" t="s">
        <v>1080</v>
      </c>
      <c r="I1232" s="3" t="s">
        <v>39</v>
      </c>
      <c r="J1232" s="3">
        <v>5</v>
      </c>
      <c r="K1232" s="3">
        <v>29659.3</v>
      </c>
      <c r="L1232" s="3">
        <f>Table1[[#This Row],[Price Per Unit]]*Table1[[#This Row],[Units Sold]]</f>
        <v>148296.5</v>
      </c>
      <c r="M1232" s="3" t="s">
        <v>432</v>
      </c>
      <c r="N1232" s="3">
        <v>32</v>
      </c>
      <c r="O1232" s="3" t="s">
        <v>20</v>
      </c>
      <c r="P1232" s="3" t="s">
        <v>31</v>
      </c>
      <c r="Q1232" s="4">
        <v>3</v>
      </c>
      <c r="R1232" s="4" t="str">
        <f>IF(Table1[[#This Row],[Customer Ratings]]&gt;=4, "Good",IF(Table1[[#This Row],[Customer Ratings]]=3, "Average","Poor"))</f>
        <v>Average</v>
      </c>
      <c r="S1232" s="3" t="s">
        <v>76</v>
      </c>
    </row>
    <row r="1233" spans="1:19" x14ac:dyDescent="0.25">
      <c r="A1233" s="3">
        <v>1232</v>
      </c>
      <c r="B1233" s="5">
        <f>DATE(Table1[[#This Row],[Year]],Table1[[#This Row],[Month]],Table1[[#This Row],[Day]])</f>
        <v>44829</v>
      </c>
      <c r="C1233" s="3">
        <v>25</v>
      </c>
      <c r="D1233" s="3">
        <v>9</v>
      </c>
      <c r="E1233" s="3">
        <v>2022</v>
      </c>
      <c r="F1233" s="3" t="str">
        <f>"Qtr"&amp; " " &amp;CHOOSE(MONTH(Table1[[#This Row],[Date]]),1,1,1,2,2,2,3,3,3,4,4,4)</f>
        <v>Qtr 3</v>
      </c>
      <c r="G1233" s="3" t="str">
        <f>TEXT(Table1[[#This Row],[Date]],"mmmm")</f>
        <v>September</v>
      </c>
      <c r="H1233" s="3" t="s">
        <v>1080</v>
      </c>
      <c r="I1233" s="3" t="s">
        <v>28</v>
      </c>
      <c r="J1233" s="3">
        <v>8</v>
      </c>
      <c r="K1233" s="3">
        <v>22610.55</v>
      </c>
      <c r="L1233" s="3">
        <f>Table1[[#This Row],[Price Per Unit]]*Table1[[#This Row],[Units Sold]]</f>
        <v>180884.4</v>
      </c>
      <c r="M1233" s="3" t="s">
        <v>239</v>
      </c>
      <c r="N1233" s="3">
        <v>47</v>
      </c>
      <c r="O1233" s="3" t="s">
        <v>20</v>
      </c>
      <c r="P1233" s="3" t="s">
        <v>45</v>
      </c>
      <c r="Q1233" s="4">
        <v>5</v>
      </c>
      <c r="R1233" s="4" t="str">
        <f>IF(Table1[[#This Row],[Customer Ratings]]&gt;=4, "Good",IF(Table1[[#This Row],[Customer Ratings]]=3, "Average","Poor"))</f>
        <v>Good</v>
      </c>
      <c r="S1233" s="3" t="s">
        <v>32</v>
      </c>
    </row>
    <row r="1234" spans="1:19" x14ac:dyDescent="0.25">
      <c r="A1234" s="3">
        <v>1233</v>
      </c>
      <c r="B1234" s="5">
        <f>DATE(Table1[[#This Row],[Year]],Table1[[#This Row],[Month]],Table1[[#This Row],[Day]])</f>
        <v>44830</v>
      </c>
      <c r="C1234" s="3">
        <v>26</v>
      </c>
      <c r="D1234" s="3">
        <v>9</v>
      </c>
      <c r="E1234" s="3">
        <v>2022</v>
      </c>
      <c r="F1234" s="3" t="str">
        <f>"Qtr"&amp; " " &amp;CHOOSE(MONTH(Table1[[#This Row],[Date]]),1,1,1,2,2,2,3,3,3,4,4,4)</f>
        <v>Qtr 3</v>
      </c>
      <c r="G1234" s="3" t="str">
        <f>TEXT(Table1[[#This Row],[Date]],"mmmm")</f>
        <v>September</v>
      </c>
      <c r="H1234" s="3" t="s">
        <v>1081</v>
      </c>
      <c r="I1234" s="3" t="s">
        <v>39</v>
      </c>
      <c r="J1234" s="3">
        <v>9</v>
      </c>
      <c r="K1234" s="3">
        <v>39861.279999999999</v>
      </c>
      <c r="L1234" s="3">
        <f>Table1[[#This Row],[Price Per Unit]]*Table1[[#This Row],[Units Sold]]</f>
        <v>358751.52</v>
      </c>
      <c r="M1234" s="3" t="s">
        <v>376</v>
      </c>
      <c r="N1234" s="3">
        <v>41</v>
      </c>
      <c r="O1234" s="3" t="s">
        <v>120</v>
      </c>
      <c r="P1234" s="3" t="s">
        <v>45</v>
      </c>
      <c r="Q1234" s="4">
        <v>4</v>
      </c>
      <c r="R1234" s="4" t="str">
        <f>IF(Table1[[#This Row],[Customer Ratings]]&gt;=4, "Good",IF(Table1[[#This Row],[Customer Ratings]]=3, "Average","Poor"))</f>
        <v>Good</v>
      </c>
      <c r="S1234" s="3" t="s">
        <v>42</v>
      </c>
    </row>
    <row r="1235" spans="1:19" x14ac:dyDescent="0.25">
      <c r="A1235" s="3">
        <v>1234</v>
      </c>
      <c r="B1235" s="5">
        <f>DATE(Table1[[#This Row],[Year]],Table1[[#This Row],[Month]],Table1[[#This Row],[Day]])</f>
        <v>44830</v>
      </c>
      <c r="C1235" s="3">
        <v>26</v>
      </c>
      <c r="D1235" s="3">
        <v>9</v>
      </c>
      <c r="E1235" s="3">
        <v>2022</v>
      </c>
      <c r="F1235" s="3" t="str">
        <f>"Qtr"&amp; " " &amp;CHOOSE(MONTH(Table1[[#This Row],[Date]]),1,1,1,2,2,2,3,3,3,4,4,4)</f>
        <v>Qtr 3</v>
      </c>
      <c r="G1235" s="3" t="str">
        <f>TEXT(Table1[[#This Row],[Date]],"mmmm")</f>
        <v>September</v>
      </c>
      <c r="H1235" s="3" t="s">
        <v>1081</v>
      </c>
      <c r="I1235" s="3" t="s">
        <v>28</v>
      </c>
      <c r="J1235" s="3">
        <v>5</v>
      </c>
      <c r="K1235" s="3">
        <v>38561.24</v>
      </c>
      <c r="L1235" s="3">
        <f>Table1[[#This Row],[Price Per Unit]]*Table1[[#This Row],[Units Sold]]</f>
        <v>192806.19999999998</v>
      </c>
      <c r="M1235" s="3" t="s">
        <v>777</v>
      </c>
      <c r="N1235" s="3">
        <v>19</v>
      </c>
      <c r="O1235" s="3" t="s">
        <v>65</v>
      </c>
      <c r="P1235" s="3" t="s">
        <v>16</v>
      </c>
      <c r="Q1235" s="4">
        <v>4</v>
      </c>
      <c r="R1235" s="4" t="str">
        <f>IF(Table1[[#This Row],[Customer Ratings]]&gt;=4, "Good",IF(Table1[[#This Row],[Customer Ratings]]=3, "Average","Poor"))</f>
        <v>Good</v>
      </c>
      <c r="S1235" s="3" t="s">
        <v>32</v>
      </c>
    </row>
    <row r="1236" spans="1:19" x14ac:dyDescent="0.25">
      <c r="A1236" s="3">
        <v>1235</v>
      </c>
      <c r="B1236" s="5">
        <f>DATE(Table1[[#This Row],[Year]],Table1[[#This Row],[Month]],Table1[[#This Row],[Day]])</f>
        <v>44830</v>
      </c>
      <c r="C1236" s="3">
        <v>26</v>
      </c>
      <c r="D1236" s="3">
        <v>9</v>
      </c>
      <c r="E1236" s="3">
        <v>2022</v>
      </c>
      <c r="F1236" s="3" t="str">
        <f>"Qtr"&amp; " " &amp;CHOOSE(MONTH(Table1[[#This Row],[Date]]),1,1,1,2,2,2,3,3,3,4,4,4)</f>
        <v>Qtr 3</v>
      </c>
      <c r="G1236" s="3" t="str">
        <f>TEXT(Table1[[#This Row],[Date]],"mmmm")</f>
        <v>September</v>
      </c>
      <c r="H1236" s="3" t="s">
        <v>1081</v>
      </c>
      <c r="I1236" s="3" t="s">
        <v>18</v>
      </c>
      <c r="J1236" s="3">
        <v>9</v>
      </c>
      <c r="K1236" s="3">
        <v>64090.34</v>
      </c>
      <c r="L1236" s="3">
        <f>Table1[[#This Row],[Price Per Unit]]*Table1[[#This Row],[Units Sold]]</f>
        <v>576813.05999999994</v>
      </c>
      <c r="M1236" s="3" t="s">
        <v>778</v>
      </c>
      <c r="N1236" s="3">
        <v>51</v>
      </c>
      <c r="O1236" s="3" t="s">
        <v>24</v>
      </c>
      <c r="P1236" s="3" t="s">
        <v>21</v>
      </c>
      <c r="Q1236" s="4">
        <v>4</v>
      </c>
      <c r="R1236" s="4" t="str">
        <f>IF(Table1[[#This Row],[Customer Ratings]]&gt;=4, "Good",IF(Table1[[#This Row],[Customer Ratings]]=3, "Average","Poor"))</f>
        <v>Good</v>
      </c>
      <c r="S1236" s="3" t="s">
        <v>55</v>
      </c>
    </row>
    <row r="1237" spans="1:19" x14ac:dyDescent="0.25">
      <c r="A1237" s="3">
        <v>1236</v>
      </c>
      <c r="B1237" s="5">
        <f>DATE(Table1[[#This Row],[Year]],Table1[[#This Row],[Month]],Table1[[#This Row],[Day]])</f>
        <v>44831</v>
      </c>
      <c r="C1237" s="3">
        <v>27</v>
      </c>
      <c r="D1237" s="3">
        <v>9</v>
      </c>
      <c r="E1237" s="3">
        <v>2022</v>
      </c>
      <c r="F1237" s="3" t="str">
        <f>"Qtr"&amp; " " &amp;CHOOSE(MONTH(Table1[[#This Row],[Date]]),1,1,1,2,2,2,3,3,3,4,4,4)</f>
        <v>Qtr 3</v>
      </c>
      <c r="G1237" s="3" t="str">
        <f>TEXT(Table1[[#This Row],[Date]],"mmmm")</f>
        <v>September</v>
      </c>
      <c r="H1237" s="3" t="s">
        <v>1082</v>
      </c>
      <c r="I1237" s="3" t="s">
        <v>39</v>
      </c>
      <c r="J1237" s="3">
        <v>2</v>
      </c>
      <c r="K1237" s="3">
        <v>12084.4</v>
      </c>
      <c r="L1237" s="3">
        <f>Table1[[#This Row],[Price Per Unit]]*Table1[[#This Row],[Units Sold]]</f>
        <v>24168.799999999999</v>
      </c>
      <c r="M1237" s="3" t="s">
        <v>269</v>
      </c>
      <c r="N1237" s="3">
        <v>40</v>
      </c>
      <c r="O1237" s="3" t="s">
        <v>20</v>
      </c>
      <c r="P1237" s="3" t="s">
        <v>16</v>
      </c>
      <c r="Q1237" s="4">
        <v>5</v>
      </c>
      <c r="R1237" s="4" t="str">
        <f>IF(Table1[[#This Row],[Customer Ratings]]&gt;=4, "Good",IF(Table1[[#This Row],[Customer Ratings]]=3, "Average","Poor"))</f>
        <v>Good</v>
      </c>
      <c r="S1237" s="3" t="s">
        <v>76</v>
      </c>
    </row>
    <row r="1238" spans="1:19" x14ac:dyDescent="0.25">
      <c r="A1238" s="3">
        <v>1237</v>
      </c>
      <c r="B1238" s="5">
        <f>DATE(Table1[[#This Row],[Year]],Table1[[#This Row],[Month]],Table1[[#This Row],[Day]])</f>
        <v>44831</v>
      </c>
      <c r="C1238" s="3">
        <v>27</v>
      </c>
      <c r="D1238" s="3">
        <v>9</v>
      </c>
      <c r="E1238" s="3">
        <v>2022</v>
      </c>
      <c r="F1238" s="3" t="str">
        <f>"Qtr"&amp; " " &amp;CHOOSE(MONTH(Table1[[#This Row],[Date]]),1,1,1,2,2,2,3,3,3,4,4,4)</f>
        <v>Qtr 3</v>
      </c>
      <c r="G1238" s="3" t="str">
        <f>TEXT(Table1[[#This Row],[Date]],"mmmm")</f>
        <v>September</v>
      </c>
      <c r="H1238" s="3" t="s">
        <v>1082</v>
      </c>
      <c r="I1238" s="3" t="s">
        <v>28</v>
      </c>
      <c r="J1238" s="3">
        <v>9</v>
      </c>
      <c r="K1238" s="3">
        <v>29192.77</v>
      </c>
      <c r="L1238" s="3">
        <f>Table1[[#This Row],[Price Per Unit]]*Table1[[#This Row],[Units Sold]]</f>
        <v>262734.93</v>
      </c>
      <c r="M1238" s="3" t="s">
        <v>779</v>
      </c>
      <c r="N1238" s="3">
        <v>48</v>
      </c>
      <c r="O1238" s="3" t="s">
        <v>52</v>
      </c>
      <c r="P1238" s="3" t="s">
        <v>21</v>
      </c>
      <c r="Q1238" s="4">
        <v>1</v>
      </c>
      <c r="R1238" s="4" t="str">
        <f>IF(Table1[[#This Row],[Customer Ratings]]&gt;=4, "Good",IF(Table1[[#This Row],[Customer Ratings]]=3, "Average","Poor"))</f>
        <v>Poor</v>
      </c>
      <c r="S1238" s="3" t="s">
        <v>32</v>
      </c>
    </row>
    <row r="1239" spans="1:19" x14ac:dyDescent="0.25">
      <c r="A1239" s="3">
        <v>1238</v>
      </c>
      <c r="B1239" s="5">
        <f>DATE(Table1[[#This Row],[Year]],Table1[[#This Row],[Month]],Table1[[#This Row],[Day]])</f>
        <v>44831</v>
      </c>
      <c r="C1239" s="3">
        <v>27</v>
      </c>
      <c r="D1239" s="3">
        <v>9</v>
      </c>
      <c r="E1239" s="3">
        <v>2022</v>
      </c>
      <c r="F1239" s="3" t="str">
        <f>"Qtr"&amp; " " &amp;CHOOSE(MONTH(Table1[[#This Row],[Date]]),1,1,1,2,2,2,3,3,3,4,4,4)</f>
        <v>Qtr 3</v>
      </c>
      <c r="G1239" s="3" t="str">
        <f>TEXT(Table1[[#This Row],[Date]],"mmmm")</f>
        <v>September</v>
      </c>
      <c r="H1239" s="3" t="s">
        <v>1082</v>
      </c>
      <c r="I1239" s="3" t="s">
        <v>18</v>
      </c>
      <c r="J1239" s="3">
        <v>4</v>
      </c>
      <c r="K1239" s="3">
        <v>45799.47</v>
      </c>
      <c r="L1239" s="3">
        <f>Table1[[#This Row],[Price Per Unit]]*Table1[[#This Row],[Units Sold]]</f>
        <v>183197.88</v>
      </c>
      <c r="M1239" s="3" t="s">
        <v>163</v>
      </c>
      <c r="N1239" s="3">
        <v>54</v>
      </c>
      <c r="O1239" s="3" t="s">
        <v>20</v>
      </c>
      <c r="P1239" s="3" t="s">
        <v>21</v>
      </c>
      <c r="Q1239" s="4">
        <v>3</v>
      </c>
      <c r="R1239" s="4" t="str">
        <f>IF(Table1[[#This Row],[Customer Ratings]]&gt;=4, "Good",IF(Table1[[#This Row],[Customer Ratings]]=3, "Average","Poor"))</f>
        <v>Average</v>
      </c>
      <c r="S1239" s="3" t="s">
        <v>25</v>
      </c>
    </row>
    <row r="1240" spans="1:19" x14ac:dyDescent="0.25">
      <c r="A1240" s="3">
        <v>1239</v>
      </c>
      <c r="B1240" s="5">
        <f>DATE(Table1[[#This Row],[Year]],Table1[[#This Row],[Month]],Table1[[#This Row],[Day]])</f>
        <v>44831</v>
      </c>
      <c r="C1240" s="3">
        <v>27</v>
      </c>
      <c r="D1240" s="3">
        <v>9</v>
      </c>
      <c r="E1240" s="3">
        <v>2022</v>
      </c>
      <c r="F1240" s="3" t="str">
        <f>"Qtr"&amp; " " &amp;CHOOSE(MONTH(Table1[[#This Row],[Date]]),1,1,1,2,2,2,3,3,3,4,4,4)</f>
        <v>Qtr 3</v>
      </c>
      <c r="G1240" s="3" t="str">
        <f>TEXT(Table1[[#This Row],[Date]],"mmmm")</f>
        <v>September</v>
      </c>
      <c r="H1240" s="3" t="s">
        <v>1082</v>
      </c>
      <c r="I1240" s="3" t="s">
        <v>13</v>
      </c>
      <c r="J1240" s="3">
        <v>6</v>
      </c>
      <c r="K1240" s="3">
        <v>46288.11</v>
      </c>
      <c r="L1240" s="3">
        <f>Table1[[#This Row],[Price Per Unit]]*Table1[[#This Row],[Units Sold]]</f>
        <v>277728.66000000003</v>
      </c>
      <c r="M1240" s="3" t="s">
        <v>579</v>
      </c>
      <c r="N1240" s="3">
        <v>30</v>
      </c>
      <c r="O1240" s="3" t="s">
        <v>81</v>
      </c>
      <c r="P1240" s="3" t="s">
        <v>45</v>
      </c>
      <c r="Q1240" s="4">
        <v>5</v>
      </c>
      <c r="R1240" s="4" t="str">
        <f>IF(Table1[[#This Row],[Customer Ratings]]&gt;=4, "Good",IF(Table1[[#This Row],[Customer Ratings]]=3, "Average","Poor"))</f>
        <v>Good</v>
      </c>
      <c r="S1240" s="3" t="s">
        <v>72</v>
      </c>
    </row>
    <row r="1241" spans="1:19" x14ac:dyDescent="0.25">
      <c r="A1241" s="3">
        <v>1240</v>
      </c>
      <c r="B1241" s="5">
        <f>DATE(Table1[[#This Row],[Year]],Table1[[#This Row],[Month]],Table1[[#This Row],[Day]])</f>
        <v>44832</v>
      </c>
      <c r="C1241" s="3">
        <v>28</v>
      </c>
      <c r="D1241" s="3">
        <v>9</v>
      </c>
      <c r="E1241" s="3">
        <v>2022</v>
      </c>
      <c r="F1241" s="3" t="str">
        <f>"Qtr"&amp; " " &amp;CHOOSE(MONTH(Table1[[#This Row],[Date]]),1,1,1,2,2,2,3,3,3,4,4,4)</f>
        <v>Qtr 3</v>
      </c>
      <c r="G1241" s="3" t="str">
        <f>TEXT(Table1[[#This Row],[Date]],"mmmm")</f>
        <v>September</v>
      </c>
      <c r="H1241" s="3" t="s">
        <v>1083</v>
      </c>
      <c r="I1241" s="3" t="s">
        <v>28</v>
      </c>
      <c r="J1241" s="3">
        <v>6</v>
      </c>
      <c r="K1241" s="3">
        <v>38807.57</v>
      </c>
      <c r="L1241" s="3">
        <f>Table1[[#This Row],[Price Per Unit]]*Table1[[#This Row],[Units Sold]]</f>
        <v>232845.41999999998</v>
      </c>
      <c r="M1241" s="3" t="s">
        <v>780</v>
      </c>
      <c r="N1241" s="3">
        <v>50</v>
      </c>
      <c r="O1241" s="3" t="s">
        <v>20</v>
      </c>
      <c r="P1241" s="3" t="s">
        <v>31</v>
      </c>
      <c r="Q1241" s="4">
        <v>5</v>
      </c>
      <c r="R1241" s="4" t="str">
        <f>IF(Table1[[#This Row],[Customer Ratings]]&gt;=4, "Good",IF(Table1[[#This Row],[Customer Ratings]]=3, "Average","Poor"))</f>
        <v>Good</v>
      </c>
      <c r="S1241" s="3" t="s">
        <v>38</v>
      </c>
    </row>
    <row r="1242" spans="1:19" x14ac:dyDescent="0.25">
      <c r="A1242" s="3">
        <v>1241</v>
      </c>
      <c r="B1242" s="5">
        <f>DATE(Table1[[#This Row],[Year]],Table1[[#This Row],[Month]],Table1[[#This Row],[Day]])</f>
        <v>44832</v>
      </c>
      <c r="C1242" s="3">
        <v>28</v>
      </c>
      <c r="D1242" s="3">
        <v>9</v>
      </c>
      <c r="E1242" s="3">
        <v>2022</v>
      </c>
      <c r="F1242" s="3" t="str">
        <f>"Qtr"&amp; " " &amp;CHOOSE(MONTH(Table1[[#This Row],[Date]]),1,1,1,2,2,2,3,3,3,4,4,4)</f>
        <v>Qtr 3</v>
      </c>
      <c r="G1242" s="3" t="str">
        <f>TEXT(Table1[[#This Row],[Date]],"mmmm")</f>
        <v>September</v>
      </c>
      <c r="H1242" s="3" t="s">
        <v>1083</v>
      </c>
      <c r="I1242" s="3" t="s">
        <v>13</v>
      </c>
      <c r="J1242" s="3">
        <v>6</v>
      </c>
      <c r="K1242" s="3">
        <v>58939.93</v>
      </c>
      <c r="L1242" s="3">
        <f>Table1[[#This Row],[Price Per Unit]]*Table1[[#This Row],[Units Sold]]</f>
        <v>353639.58</v>
      </c>
      <c r="M1242" s="3" t="s">
        <v>632</v>
      </c>
      <c r="N1242" s="3">
        <v>24</v>
      </c>
      <c r="O1242" s="3" t="s">
        <v>20</v>
      </c>
      <c r="P1242" s="3" t="s">
        <v>16</v>
      </c>
      <c r="Q1242" s="4">
        <v>4</v>
      </c>
      <c r="R1242" s="4" t="str">
        <f>IF(Table1[[#This Row],[Customer Ratings]]&gt;=4, "Good",IF(Table1[[#This Row],[Customer Ratings]]=3, "Average","Poor"))</f>
        <v>Good</v>
      </c>
      <c r="S1242" s="3" t="s">
        <v>17</v>
      </c>
    </row>
    <row r="1243" spans="1:19" x14ac:dyDescent="0.25">
      <c r="A1243" s="3">
        <v>1242</v>
      </c>
      <c r="B1243" s="5">
        <f>DATE(Table1[[#This Row],[Year]],Table1[[#This Row],[Month]],Table1[[#This Row],[Day]])</f>
        <v>44832</v>
      </c>
      <c r="C1243" s="3">
        <v>28</v>
      </c>
      <c r="D1243" s="3">
        <v>9</v>
      </c>
      <c r="E1243" s="3">
        <v>2022</v>
      </c>
      <c r="F1243" s="3" t="str">
        <f>"Qtr"&amp; " " &amp;CHOOSE(MONTH(Table1[[#This Row],[Date]]),1,1,1,2,2,2,3,3,3,4,4,4)</f>
        <v>Qtr 3</v>
      </c>
      <c r="G1243" s="3" t="str">
        <f>TEXT(Table1[[#This Row],[Date]],"mmmm")</f>
        <v>September</v>
      </c>
      <c r="H1243" s="3" t="s">
        <v>1083</v>
      </c>
      <c r="I1243" s="3" t="s">
        <v>13</v>
      </c>
      <c r="J1243" s="3">
        <v>2</v>
      </c>
      <c r="K1243" s="3">
        <v>13763.33</v>
      </c>
      <c r="L1243" s="3">
        <f>Table1[[#This Row],[Price Per Unit]]*Table1[[#This Row],[Units Sold]]</f>
        <v>27526.66</v>
      </c>
      <c r="M1243" s="3" t="s">
        <v>771</v>
      </c>
      <c r="N1243" s="3">
        <v>49</v>
      </c>
      <c r="O1243" s="3" t="s">
        <v>48</v>
      </c>
      <c r="P1243" s="3" t="s">
        <v>16</v>
      </c>
      <c r="Q1243" s="4">
        <v>5</v>
      </c>
      <c r="R1243" s="4" t="str">
        <f>IF(Table1[[#This Row],[Customer Ratings]]&gt;=4, "Good",IF(Table1[[#This Row],[Customer Ratings]]=3, "Average","Poor"))</f>
        <v>Good</v>
      </c>
      <c r="S1243" s="3" t="s">
        <v>17</v>
      </c>
    </row>
    <row r="1244" spans="1:19" x14ac:dyDescent="0.25">
      <c r="A1244" s="3">
        <v>1243</v>
      </c>
      <c r="B1244" s="5">
        <f>DATE(Table1[[#This Row],[Year]],Table1[[#This Row],[Month]],Table1[[#This Row],[Day]])</f>
        <v>44832</v>
      </c>
      <c r="C1244" s="3">
        <v>28</v>
      </c>
      <c r="D1244" s="3">
        <v>9</v>
      </c>
      <c r="E1244" s="3">
        <v>2022</v>
      </c>
      <c r="F1244" s="3" t="str">
        <f>"Qtr"&amp; " " &amp;CHOOSE(MONTH(Table1[[#This Row],[Date]]),1,1,1,2,2,2,3,3,3,4,4,4)</f>
        <v>Qtr 3</v>
      </c>
      <c r="G1244" s="3" t="str">
        <f>TEXT(Table1[[#This Row],[Date]],"mmmm")</f>
        <v>September</v>
      </c>
      <c r="H1244" s="3" t="s">
        <v>1083</v>
      </c>
      <c r="I1244" s="3" t="s">
        <v>33</v>
      </c>
      <c r="J1244" s="3">
        <v>7</v>
      </c>
      <c r="K1244" s="3">
        <v>58929.27</v>
      </c>
      <c r="L1244" s="3">
        <f>Table1[[#This Row],[Price Per Unit]]*Table1[[#This Row],[Units Sold]]</f>
        <v>412504.88999999996</v>
      </c>
      <c r="M1244" s="3" t="s">
        <v>268</v>
      </c>
      <c r="N1244" s="3">
        <v>24</v>
      </c>
      <c r="O1244" s="3" t="s">
        <v>20</v>
      </c>
      <c r="P1244" s="3" t="s">
        <v>45</v>
      </c>
      <c r="Q1244" s="4">
        <v>5</v>
      </c>
      <c r="R1244" s="4" t="str">
        <f>IF(Table1[[#This Row],[Customer Ratings]]&gt;=4, "Good",IF(Table1[[#This Row],[Customer Ratings]]=3, "Average","Poor"))</f>
        <v>Good</v>
      </c>
      <c r="S1244" s="3" t="s">
        <v>46</v>
      </c>
    </row>
    <row r="1245" spans="1:19" x14ac:dyDescent="0.25">
      <c r="A1245" s="3">
        <v>1244</v>
      </c>
      <c r="B1245" s="5">
        <f>DATE(Table1[[#This Row],[Year]],Table1[[#This Row],[Month]],Table1[[#This Row],[Day]])</f>
        <v>44833</v>
      </c>
      <c r="C1245" s="3">
        <v>29</v>
      </c>
      <c r="D1245" s="3">
        <v>9</v>
      </c>
      <c r="E1245" s="3">
        <v>2022</v>
      </c>
      <c r="F1245" s="3" t="str">
        <f>"Qtr"&amp; " " &amp;CHOOSE(MONTH(Table1[[#This Row],[Date]]),1,1,1,2,2,2,3,3,3,4,4,4)</f>
        <v>Qtr 3</v>
      </c>
      <c r="G1245" s="3" t="str">
        <f>TEXT(Table1[[#This Row],[Date]],"mmmm")</f>
        <v>September</v>
      </c>
      <c r="H1245" s="3" t="s">
        <v>1084</v>
      </c>
      <c r="I1245" s="3" t="s">
        <v>39</v>
      </c>
      <c r="J1245" s="3">
        <v>6</v>
      </c>
      <c r="K1245" s="3">
        <v>39685.25</v>
      </c>
      <c r="L1245" s="3">
        <f>Table1[[#This Row],[Price Per Unit]]*Table1[[#This Row],[Units Sold]]</f>
        <v>238111.5</v>
      </c>
      <c r="M1245" s="3" t="s">
        <v>459</v>
      </c>
      <c r="N1245" s="3">
        <v>59</v>
      </c>
      <c r="O1245" s="3" t="s">
        <v>52</v>
      </c>
      <c r="P1245" s="3" t="s">
        <v>45</v>
      </c>
      <c r="Q1245" s="4">
        <v>5</v>
      </c>
      <c r="R1245" s="4" t="str">
        <f>IF(Table1[[#This Row],[Customer Ratings]]&gt;=4, "Good",IF(Table1[[#This Row],[Customer Ratings]]=3, "Average","Poor"))</f>
        <v>Good</v>
      </c>
      <c r="S1245" s="3" t="s">
        <v>76</v>
      </c>
    </row>
    <row r="1246" spans="1:19" x14ac:dyDescent="0.25">
      <c r="A1246" s="3">
        <v>1245</v>
      </c>
      <c r="B1246" s="5">
        <f>DATE(Table1[[#This Row],[Year]],Table1[[#This Row],[Month]],Table1[[#This Row],[Day]])</f>
        <v>44833</v>
      </c>
      <c r="C1246" s="3">
        <v>29</v>
      </c>
      <c r="D1246" s="3">
        <v>9</v>
      </c>
      <c r="E1246" s="3">
        <v>2022</v>
      </c>
      <c r="F1246" s="3" t="str">
        <f>"Qtr"&amp; " " &amp;CHOOSE(MONTH(Table1[[#This Row],[Date]]),1,1,1,2,2,2,3,3,3,4,4,4)</f>
        <v>Qtr 3</v>
      </c>
      <c r="G1246" s="3" t="str">
        <f>TEXT(Table1[[#This Row],[Date]],"mmmm")</f>
        <v>September</v>
      </c>
      <c r="H1246" s="3" t="s">
        <v>1084</v>
      </c>
      <c r="I1246" s="3" t="s">
        <v>28</v>
      </c>
      <c r="J1246" s="3">
        <v>1</v>
      </c>
      <c r="K1246" s="3">
        <v>18025.64</v>
      </c>
      <c r="L1246" s="3">
        <f>Table1[[#This Row],[Price Per Unit]]*Table1[[#This Row],[Units Sold]]</f>
        <v>18025.64</v>
      </c>
      <c r="M1246" s="3" t="s">
        <v>448</v>
      </c>
      <c r="N1246" s="3">
        <v>55</v>
      </c>
      <c r="O1246" s="3" t="s">
        <v>20</v>
      </c>
      <c r="P1246" s="3" t="s">
        <v>16</v>
      </c>
      <c r="Q1246" s="4">
        <v>4</v>
      </c>
      <c r="R1246" s="4" t="str">
        <f>IF(Table1[[#This Row],[Customer Ratings]]&gt;=4, "Good",IF(Table1[[#This Row],[Customer Ratings]]=3, "Average","Poor"))</f>
        <v>Good</v>
      </c>
      <c r="S1246" s="3" t="s">
        <v>38</v>
      </c>
    </row>
    <row r="1247" spans="1:19" x14ac:dyDescent="0.25">
      <c r="A1247" s="3">
        <v>1246</v>
      </c>
      <c r="B1247" s="5">
        <f>DATE(Table1[[#This Row],[Year]],Table1[[#This Row],[Month]],Table1[[#This Row],[Day]])</f>
        <v>44833</v>
      </c>
      <c r="C1247" s="3">
        <v>29</v>
      </c>
      <c r="D1247" s="3">
        <v>9</v>
      </c>
      <c r="E1247" s="3">
        <v>2022</v>
      </c>
      <c r="F1247" s="3" t="str">
        <f>"Qtr"&amp; " " &amp;CHOOSE(MONTH(Table1[[#This Row],[Date]]),1,1,1,2,2,2,3,3,3,4,4,4)</f>
        <v>Qtr 3</v>
      </c>
      <c r="G1247" s="3" t="str">
        <f>TEXT(Table1[[#This Row],[Date]],"mmmm")</f>
        <v>September</v>
      </c>
      <c r="H1247" s="3" t="s">
        <v>1084</v>
      </c>
      <c r="I1247" s="3" t="s">
        <v>13</v>
      </c>
      <c r="J1247" s="3">
        <v>2</v>
      </c>
      <c r="K1247" s="3">
        <v>63142.11</v>
      </c>
      <c r="L1247" s="3">
        <f>Table1[[#This Row],[Price Per Unit]]*Table1[[#This Row],[Units Sold]]</f>
        <v>126284.22</v>
      </c>
      <c r="M1247" s="3" t="s">
        <v>781</v>
      </c>
      <c r="N1247" s="3">
        <v>30</v>
      </c>
      <c r="O1247" s="3" t="s">
        <v>65</v>
      </c>
      <c r="P1247" s="3" t="s">
        <v>16</v>
      </c>
      <c r="Q1247" s="4">
        <v>1</v>
      </c>
      <c r="R1247" s="4" t="str">
        <f>IF(Table1[[#This Row],[Customer Ratings]]&gt;=4, "Good",IF(Table1[[#This Row],[Customer Ratings]]=3, "Average","Poor"))</f>
        <v>Poor</v>
      </c>
      <c r="S1247" s="3" t="s">
        <v>27</v>
      </c>
    </row>
    <row r="1248" spans="1:19" x14ac:dyDescent="0.25">
      <c r="A1248" s="3">
        <v>1247</v>
      </c>
      <c r="B1248" s="5">
        <f>DATE(Table1[[#This Row],[Year]],Table1[[#This Row],[Month]],Table1[[#This Row],[Day]])</f>
        <v>44834</v>
      </c>
      <c r="C1248" s="3">
        <v>30</v>
      </c>
      <c r="D1248" s="3">
        <v>9</v>
      </c>
      <c r="E1248" s="3">
        <v>2022</v>
      </c>
      <c r="F1248" s="3" t="str">
        <f>"Qtr"&amp; " " &amp;CHOOSE(MONTH(Table1[[#This Row],[Date]]),1,1,1,2,2,2,3,3,3,4,4,4)</f>
        <v>Qtr 3</v>
      </c>
      <c r="G1248" s="3" t="str">
        <f>TEXT(Table1[[#This Row],[Date]],"mmmm")</f>
        <v>September</v>
      </c>
      <c r="H1248" s="3" t="s">
        <v>1085</v>
      </c>
      <c r="I1248" s="3" t="s">
        <v>33</v>
      </c>
      <c r="J1248" s="3">
        <v>7</v>
      </c>
      <c r="K1248" s="3">
        <v>48953.73</v>
      </c>
      <c r="L1248" s="3">
        <f>Table1[[#This Row],[Price Per Unit]]*Table1[[#This Row],[Units Sold]]</f>
        <v>342676.11000000004</v>
      </c>
      <c r="M1248" s="3" t="s">
        <v>458</v>
      </c>
      <c r="N1248" s="3">
        <v>41</v>
      </c>
      <c r="O1248" s="3" t="s">
        <v>98</v>
      </c>
      <c r="P1248" s="3" t="s">
        <v>31</v>
      </c>
      <c r="Q1248" s="4">
        <v>4</v>
      </c>
      <c r="R1248" s="4" t="str">
        <f>IF(Table1[[#This Row],[Customer Ratings]]&gt;=4, "Good",IF(Table1[[#This Row],[Customer Ratings]]=3, "Average","Poor"))</f>
        <v>Good</v>
      </c>
      <c r="S1248" s="3" t="s">
        <v>36</v>
      </c>
    </row>
    <row r="1249" spans="1:19" x14ac:dyDescent="0.25">
      <c r="A1249" s="3">
        <v>1248</v>
      </c>
      <c r="B1249" s="5">
        <f>DATE(Table1[[#This Row],[Year]],Table1[[#This Row],[Month]],Table1[[#This Row],[Day]])</f>
        <v>44834</v>
      </c>
      <c r="C1249" s="3">
        <v>30</v>
      </c>
      <c r="D1249" s="3">
        <v>9</v>
      </c>
      <c r="E1249" s="3">
        <v>2022</v>
      </c>
      <c r="F1249" s="3" t="str">
        <f>"Qtr"&amp; " " &amp;CHOOSE(MONTH(Table1[[#This Row],[Date]]),1,1,1,2,2,2,3,3,3,4,4,4)</f>
        <v>Qtr 3</v>
      </c>
      <c r="G1249" s="3" t="str">
        <f>TEXT(Table1[[#This Row],[Date]],"mmmm")</f>
        <v>September</v>
      </c>
      <c r="H1249" s="3" t="s">
        <v>1085</v>
      </c>
      <c r="I1249" s="3" t="s">
        <v>18</v>
      </c>
      <c r="J1249" s="3">
        <v>1</v>
      </c>
      <c r="K1249" s="3">
        <v>19812.740000000002</v>
      </c>
      <c r="L1249" s="3">
        <f>Table1[[#This Row],[Price Per Unit]]*Table1[[#This Row],[Units Sold]]</f>
        <v>19812.740000000002</v>
      </c>
      <c r="M1249" s="3" t="s">
        <v>392</v>
      </c>
      <c r="N1249" s="3">
        <v>45</v>
      </c>
      <c r="O1249" s="3" t="s">
        <v>15</v>
      </c>
      <c r="P1249" s="3" t="s">
        <v>45</v>
      </c>
      <c r="Q1249" s="4">
        <v>4</v>
      </c>
      <c r="R1249" s="4" t="str">
        <f>IF(Table1[[#This Row],[Customer Ratings]]&gt;=4, "Good",IF(Table1[[#This Row],[Customer Ratings]]=3, "Average","Poor"))</f>
        <v>Good</v>
      </c>
      <c r="S1249" s="3" t="s">
        <v>55</v>
      </c>
    </row>
    <row r="1250" spans="1:19" x14ac:dyDescent="0.25">
      <c r="A1250" s="3">
        <v>1249</v>
      </c>
      <c r="B1250" s="5">
        <f>DATE(Table1[[#This Row],[Year]],Table1[[#This Row],[Month]],Table1[[#This Row],[Day]])</f>
        <v>44834</v>
      </c>
      <c r="C1250" s="3">
        <v>30</v>
      </c>
      <c r="D1250" s="3">
        <v>9</v>
      </c>
      <c r="E1250" s="3">
        <v>2022</v>
      </c>
      <c r="F1250" s="3" t="str">
        <f>"Qtr"&amp; " " &amp;CHOOSE(MONTH(Table1[[#This Row],[Date]]),1,1,1,2,2,2,3,3,3,4,4,4)</f>
        <v>Qtr 3</v>
      </c>
      <c r="G1250" s="3" t="str">
        <f>TEXT(Table1[[#This Row],[Date]],"mmmm")</f>
        <v>September</v>
      </c>
      <c r="H1250" s="3" t="s">
        <v>1085</v>
      </c>
      <c r="I1250" s="3" t="s">
        <v>28</v>
      </c>
      <c r="J1250" s="3">
        <v>1</v>
      </c>
      <c r="K1250" s="3">
        <v>12018.98</v>
      </c>
      <c r="L1250" s="3">
        <f>Table1[[#This Row],[Price Per Unit]]*Table1[[#This Row],[Units Sold]]</f>
        <v>12018.98</v>
      </c>
      <c r="M1250" s="3" t="s">
        <v>782</v>
      </c>
      <c r="N1250" s="3">
        <v>49</v>
      </c>
      <c r="O1250" s="3" t="s">
        <v>24</v>
      </c>
      <c r="P1250" s="3" t="s">
        <v>31</v>
      </c>
      <c r="Q1250" s="4">
        <v>4</v>
      </c>
      <c r="R1250" s="4" t="str">
        <f>IF(Table1[[#This Row],[Customer Ratings]]&gt;=4, "Good",IF(Table1[[#This Row],[Customer Ratings]]=3, "Average","Poor"))</f>
        <v>Good</v>
      </c>
      <c r="S1250" s="3" t="s">
        <v>87</v>
      </c>
    </row>
    <row r="1251" spans="1:19" x14ac:dyDescent="0.25">
      <c r="A1251" s="3">
        <v>1250</v>
      </c>
      <c r="B1251" s="5">
        <f>DATE(Table1[[#This Row],[Year]],Table1[[#This Row],[Month]],Table1[[#This Row],[Day]])</f>
        <v>44834</v>
      </c>
      <c r="C1251" s="3">
        <v>30</v>
      </c>
      <c r="D1251" s="3">
        <v>9</v>
      </c>
      <c r="E1251" s="3">
        <v>2022</v>
      </c>
      <c r="F1251" s="3" t="str">
        <f>"Qtr"&amp; " " &amp;CHOOSE(MONTH(Table1[[#This Row],[Date]]),1,1,1,2,2,2,3,3,3,4,4,4)</f>
        <v>Qtr 3</v>
      </c>
      <c r="G1251" s="3" t="str">
        <f>TEXT(Table1[[#This Row],[Date]],"mmmm")</f>
        <v>September</v>
      </c>
      <c r="H1251" s="3" t="s">
        <v>1085</v>
      </c>
      <c r="I1251" s="3" t="s">
        <v>13</v>
      </c>
      <c r="J1251" s="3">
        <v>1</v>
      </c>
      <c r="K1251" s="3">
        <v>18466.580000000002</v>
      </c>
      <c r="L1251" s="3">
        <f>Table1[[#This Row],[Price Per Unit]]*Table1[[#This Row],[Units Sold]]</f>
        <v>18466.580000000002</v>
      </c>
      <c r="M1251" s="3" t="s">
        <v>783</v>
      </c>
      <c r="N1251" s="3">
        <v>35</v>
      </c>
      <c r="O1251" s="3" t="s">
        <v>20</v>
      </c>
      <c r="P1251" s="3" t="s">
        <v>45</v>
      </c>
      <c r="Q1251" s="4">
        <v>5</v>
      </c>
      <c r="R1251" s="4" t="str">
        <f>IF(Table1[[#This Row],[Customer Ratings]]&gt;=4, "Good",IF(Table1[[#This Row],[Customer Ratings]]=3, "Average","Poor"))</f>
        <v>Good</v>
      </c>
      <c r="S1251" s="3" t="s">
        <v>72</v>
      </c>
    </row>
    <row r="1252" spans="1:19" x14ac:dyDescent="0.25">
      <c r="A1252" s="3">
        <v>1251</v>
      </c>
      <c r="B1252" s="5">
        <f>DATE(Table1[[#This Row],[Year]],Table1[[#This Row],[Month]],Table1[[#This Row],[Day]])</f>
        <v>44835</v>
      </c>
      <c r="C1252" s="3">
        <v>1</v>
      </c>
      <c r="D1252" s="3">
        <v>10</v>
      </c>
      <c r="E1252" s="3">
        <v>2022</v>
      </c>
      <c r="F1252" s="3" t="str">
        <f>"Qtr"&amp; " " &amp;CHOOSE(MONTH(Table1[[#This Row],[Date]]),1,1,1,2,2,2,3,3,3,4,4,4)</f>
        <v>Qtr 4</v>
      </c>
      <c r="G1252" s="3" t="str">
        <f>TEXT(Table1[[#This Row],[Date]],"mmmm")</f>
        <v>October</v>
      </c>
      <c r="H1252" s="3" t="s">
        <v>1079</v>
      </c>
      <c r="I1252" s="3" t="s">
        <v>39</v>
      </c>
      <c r="J1252" s="3">
        <v>8</v>
      </c>
      <c r="K1252" s="3">
        <v>46527.88</v>
      </c>
      <c r="L1252" s="3">
        <f>Table1[[#This Row],[Price Per Unit]]*Table1[[#This Row],[Units Sold]]</f>
        <v>372223.04</v>
      </c>
      <c r="M1252" s="3" t="s">
        <v>375</v>
      </c>
      <c r="N1252" s="3">
        <v>51</v>
      </c>
      <c r="O1252" s="3" t="s">
        <v>52</v>
      </c>
      <c r="P1252" s="3" t="s">
        <v>45</v>
      </c>
      <c r="Q1252" s="4">
        <v>5</v>
      </c>
      <c r="R1252" s="4" t="str">
        <f>IF(Table1[[#This Row],[Customer Ratings]]&gt;=4, "Good",IF(Table1[[#This Row],[Customer Ratings]]=3, "Average","Poor"))</f>
        <v>Good</v>
      </c>
      <c r="S1252" s="3" t="s">
        <v>76</v>
      </c>
    </row>
    <row r="1253" spans="1:19" x14ac:dyDescent="0.25">
      <c r="A1253" s="3">
        <v>1252</v>
      </c>
      <c r="B1253" s="5">
        <f>DATE(Table1[[#This Row],[Year]],Table1[[#This Row],[Month]],Table1[[#This Row],[Day]])</f>
        <v>44835</v>
      </c>
      <c r="C1253" s="3">
        <v>1</v>
      </c>
      <c r="D1253" s="3">
        <v>10</v>
      </c>
      <c r="E1253" s="3">
        <v>2022</v>
      </c>
      <c r="F1253" s="3" t="str">
        <f>"Qtr"&amp; " " &amp;CHOOSE(MONTH(Table1[[#This Row],[Date]]),1,1,1,2,2,2,3,3,3,4,4,4)</f>
        <v>Qtr 4</v>
      </c>
      <c r="G1253" s="3" t="str">
        <f>TEXT(Table1[[#This Row],[Date]],"mmmm")</f>
        <v>October</v>
      </c>
      <c r="H1253" s="3" t="s">
        <v>1079</v>
      </c>
      <c r="I1253" s="3" t="s">
        <v>33</v>
      </c>
      <c r="J1253" s="3">
        <v>4</v>
      </c>
      <c r="K1253" s="3">
        <v>20757.77</v>
      </c>
      <c r="L1253" s="3">
        <f>Table1[[#This Row],[Price Per Unit]]*Table1[[#This Row],[Units Sold]]</f>
        <v>83031.08</v>
      </c>
      <c r="M1253" s="3" t="s">
        <v>486</v>
      </c>
      <c r="N1253" s="3">
        <v>51</v>
      </c>
      <c r="O1253" s="3" t="s">
        <v>20</v>
      </c>
      <c r="P1253" s="3" t="s">
        <v>31</v>
      </c>
      <c r="Q1253" s="4">
        <v>4</v>
      </c>
      <c r="R1253" s="4" t="str">
        <f>IF(Table1[[#This Row],[Customer Ratings]]&gt;=4, "Good",IF(Table1[[#This Row],[Customer Ratings]]=3, "Average","Poor"))</f>
        <v>Good</v>
      </c>
      <c r="S1253" s="3" t="s">
        <v>83</v>
      </c>
    </row>
    <row r="1254" spans="1:19" x14ac:dyDescent="0.25">
      <c r="A1254" s="3">
        <v>1253</v>
      </c>
      <c r="B1254" s="5">
        <f>DATE(Table1[[#This Row],[Year]],Table1[[#This Row],[Month]],Table1[[#This Row],[Day]])</f>
        <v>44835</v>
      </c>
      <c r="C1254" s="3">
        <v>1</v>
      </c>
      <c r="D1254" s="3">
        <v>10</v>
      </c>
      <c r="E1254" s="3">
        <v>2022</v>
      </c>
      <c r="F1254" s="3" t="str">
        <f>"Qtr"&amp; " " &amp;CHOOSE(MONTH(Table1[[#This Row],[Date]]),1,1,1,2,2,2,3,3,3,4,4,4)</f>
        <v>Qtr 4</v>
      </c>
      <c r="G1254" s="3" t="str">
        <f>TEXT(Table1[[#This Row],[Date]],"mmmm")</f>
        <v>October</v>
      </c>
      <c r="H1254" s="3" t="s">
        <v>1079</v>
      </c>
      <c r="I1254" s="3" t="s">
        <v>13</v>
      </c>
      <c r="J1254" s="3">
        <v>4</v>
      </c>
      <c r="K1254" s="3">
        <v>23545.78</v>
      </c>
      <c r="L1254" s="3">
        <f>Table1[[#This Row],[Price Per Unit]]*Table1[[#This Row],[Units Sold]]</f>
        <v>94183.12</v>
      </c>
      <c r="M1254" s="3" t="s">
        <v>313</v>
      </c>
      <c r="N1254" s="3">
        <v>55</v>
      </c>
      <c r="O1254" s="3" t="s">
        <v>20</v>
      </c>
      <c r="P1254" s="3" t="s">
        <v>21</v>
      </c>
      <c r="Q1254" s="4">
        <v>5</v>
      </c>
      <c r="R1254" s="4" t="str">
        <f>IF(Table1[[#This Row],[Customer Ratings]]&gt;=4, "Good",IF(Table1[[#This Row],[Customer Ratings]]=3, "Average","Poor"))</f>
        <v>Good</v>
      </c>
      <c r="S1254" s="3" t="s">
        <v>17</v>
      </c>
    </row>
    <row r="1255" spans="1:19" x14ac:dyDescent="0.25">
      <c r="A1255" s="3">
        <v>1254</v>
      </c>
      <c r="B1255" s="5">
        <f>DATE(Table1[[#This Row],[Year]],Table1[[#This Row],[Month]],Table1[[#This Row],[Day]])</f>
        <v>44835</v>
      </c>
      <c r="C1255" s="3">
        <v>1</v>
      </c>
      <c r="D1255" s="3">
        <v>10</v>
      </c>
      <c r="E1255" s="3">
        <v>2022</v>
      </c>
      <c r="F1255" s="3" t="str">
        <f>"Qtr"&amp; " " &amp;CHOOSE(MONTH(Table1[[#This Row],[Date]]),1,1,1,2,2,2,3,3,3,4,4,4)</f>
        <v>Qtr 4</v>
      </c>
      <c r="G1255" s="3" t="str">
        <f>TEXT(Table1[[#This Row],[Date]],"mmmm")</f>
        <v>October</v>
      </c>
      <c r="H1255" s="3" t="s">
        <v>1079</v>
      </c>
      <c r="I1255" s="3" t="s">
        <v>39</v>
      </c>
      <c r="J1255" s="3">
        <v>2</v>
      </c>
      <c r="K1255" s="3">
        <v>11508.38</v>
      </c>
      <c r="L1255" s="3">
        <f>Table1[[#This Row],[Price Per Unit]]*Table1[[#This Row],[Units Sold]]</f>
        <v>23016.76</v>
      </c>
      <c r="M1255" s="3" t="s">
        <v>784</v>
      </c>
      <c r="N1255" s="3">
        <v>18</v>
      </c>
      <c r="O1255" s="3" t="s">
        <v>52</v>
      </c>
      <c r="P1255" s="3" t="s">
        <v>21</v>
      </c>
      <c r="Q1255" s="4">
        <v>5</v>
      </c>
      <c r="R1255" s="4" t="str">
        <f>IF(Table1[[#This Row],[Customer Ratings]]&gt;=4, "Good",IF(Table1[[#This Row],[Customer Ratings]]=3, "Average","Poor"))</f>
        <v>Good</v>
      </c>
      <c r="S1255" s="3" t="s">
        <v>90</v>
      </c>
    </row>
    <row r="1256" spans="1:19" x14ac:dyDescent="0.25">
      <c r="A1256" s="3">
        <v>1255</v>
      </c>
      <c r="B1256" s="5">
        <f>DATE(Table1[[#This Row],[Year]],Table1[[#This Row],[Month]],Table1[[#This Row],[Day]])</f>
        <v>44836</v>
      </c>
      <c r="C1256" s="3">
        <v>2</v>
      </c>
      <c r="D1256" s="3">
        <v>10</v>
      </c>
      <c r="E1256" s="3">
        <v>2022</v>
      </c>
      <c r="F1256" s="3" t="str">
        <f>"Qtr"&amp; " " &amp;CHOOSE(MONTH(Table1[[#This Row],[Date]]),1,1,1,2,2,2,3,3,3,4,4,4)</f>
        <v>Qtr 4</v>
      </c>
      <c r="G1256" s="3" t="str">
        <f>TEXT(Table1[[#This Row],[Date]],"mmmm")</f>
        <v>October</v>
      </c>
      <c r="H1256" s="3" t="s">
        <v>1080</v>
      </c>
      <c r="I1256" s="3" t="s">
        <v>13</v>
      </c>
      <c r="J1256" s="3">
        <v>1</v>
      </c>
      <c r="K1256" s="3">
        <v>53375.839999999997</v>
      </c>
      <c r="L1256" s="3">
        <f>Table1[[#This Row],[Price Per Unit]]*Table1[[#This Row],[Units Sold]]</f>
        <v>53375.839999999997</v>
      </c>
      <c r="M1256" s="3" t="s">
        <v>782</v>
      </c>
      <c r="N1256" s="3">
        <v>59</v>
      </c>
      <c r="O1256" s="3" t="s">
        <v>52</v>
      </c>
      <c r="P1256" s="3" t="s">
        <v>21</v>
      </c>
      <c r="Q1256" s="4">
        <v>1</v>
      </c>
      <c r="R1256" s="4" t="str">
        <f>IF(Table1[[#This Row],[Customer Ratings]]&gt;=4, "Good",IF(Table1[[#This Row],[Customer Ratings]]=3, "Average","Poor"))</f>
        <v>Poor</v>
      </c>
      <c r="S1256" s="3" t="s">
        <v>72</v>
      </c>
    </row>
    <row r="1257" spans="1:19" x14ac:dyDescent="0.25">
      <c r="A1257" s="3">
        <v>1256</v>
      </c>
      <c r="B1257" s="5">
        <f>DATE(Table1[[#This Row],[Year]],Table1[[#This Row],[Month]],Table1[[#This Row],[Day]])</f>
        <v>44836</v>
      </c>
      <c r="C1257" s="3">
        <v>2</v>
      </c>
      <c r="D1257" s="3">
        <v>10</v>
      </c>
      <c r="E1257" s="3">
        <v>2022</v>
      </c>
      <c r="F1257" s="3" t="str">
        <f>"Qtr"&amp; " " &amp;CHOOSE(MONTH(Table1[[#This Row],[Date]]),1,1,1,2,2,2,3,3,3,4,4,4)</f>
        <v>Qtr 4</v>
      </c>
      <c r="G1257" s="3" t="str">
        <f>TEXT(Table1[[#This Row],[Date]],"mmmm")</f>
        <v>October</v>
      </c>
      <c r="H1257" s="3" t="s">
        <v>1080</v>
      </c>
      <c r="I1257" s="3" t="s">
        <v>28</v>
      </c>
      <c r="J1257" s="3">
        <v>9</v>
      </c>
      <c r="K1257" s="3">
        <v>58621.86</v>
      </c>
      <c r="L1257" s="3">
        <f>Table1[[#This Row],[Price Per Unit]]*Table1[[#This Row],[Units Sold]]</f>
        <v>527596.74</v>
      </c>
      <c r="M1257" s="3" t="s">
        <v>289</v>
      </c>
      <c r="N1257" s="3">
        <v>48</v>
      </c>
      <c r="O1257" s="3" t="s">
        <v>20</v>
      </c>
      <c r="P1257" s="3" t="s">
        <v>45</v>
      </c>
      <c r="Q1257" s="4">
        <v>4</v>
      </c>
      <c r="R1257" s="4" t="str">
        <f>IF(Table1[[#This Row],[Customer Ratings]]&gt;=4, "Good",IF(Table1[[#This Row],[Customer Ratings]]=3, "Average","Poor"))</f>
        <v>Good</v>
      </c>
      <c r="S1257" s="3" t="s">
        <v>32</v>
      </c>
    </row>
    <row r="1258" spans="1:19" x14ac:dyDescent="0.25">
      <c r="A1258" s="3">
        <v>1257</v>
      </c>
      <c r="B1258" s="5">
        <f>DATE(Table1[[#This Row],[Year]],Table1[[#This Row],[Month]],Table1[[#This Row],[Day]])</f>
        <v>44836</v>
      </c>
      <c r="C1258" s="3">
        <v>2</v>
      </c>
      <c r="D1258" s="3">
        <v>10</v>
      </c>
      <c r="E1258" s="3">
        <v>2022</v>
      </c>
      <c r="F1258" s="3" t="str">
        <f>"Qtr"&amp; " " &amp;CHOOSE(MONTH(Table1[[#This Row],[Date]]),1,1,1,2,2,2,3,3,3,4,4,4)</f>
        <v>Qtr 4</v>
      </c>
      <c r="G1258" s="3" t="str">
        <f>TEXT(Table1[[#This Row],[Date]],"mmmm")</f>
        <v>October</v>
      </c>
      <c r="H1258" s="3" t="s">
        <v>1080</v>
      </c>
      <c r="I1258" s="3" t="s">
        <v>28</v>
      </c>
      <c r="J1258" s="3">
        <v>7</v>
      </c>
      <c r="K1258" s="3">
        <v>57810.89</v>
      </c>
      <c r="L1258" s="3">
        <f>Table1[[#This Row],[Price Per Unit]]*Table1[[#This Row],[Units Sold]]</f>
        <v>404676.23</v>
      </c>
      <c r="M1258" s="3" t="s">
        <v>692</v>
      </c>
      <c r="N1258" s="3">
        <v>18</v>
      </c>
      <c r="O1258" s="3" t="s">
        <v>137</v>
      </c>
      <c r="P1258" s="3" t="s">
        <v>31</v>
      </c>
      <c r="Q1258" s="4">
        <v>3</v>
      </c>
      <c r="R1258" s="4" t="str">
        <f>IF(Table1[[#This Row],[Customer Ratings]]&gt;=4, "Good",IF(Table1[[#This Row],[Customer Ratings]]=3, "Average","Poor"))</f>
        <v>Average</v>
      </c>
      <c r="S1258" s="3" t="s">
        <v>32</v>
      </c>
    </row>
    <row r="1259" spans="1:19" x14ac:dyDescent="0.25">
      <c r="A1259" s="3">
        <v>1258</v>
      </c>
      <c r="B1259" s="5">
        <f>DATE(Table1[[#This Row],[Year]],Table1[[#This Row],[Month]],Table1[[#This Row],[Day]])</f>
        <v>44837</v>
      </c>
      <c r="C1259" s="3">
        <v>3</v>
      </c>
      <c r="D1259" s="3">
        <v>10</v>
      </c>
      <c r="E1259" s="3">
        <v>2022</v>
      </c>
      <c r="F1259" s="3" t="str">
        <f>"Qtr"&amp; " " &amp;CHOOSE(MONTH(Table1[[#This Row],[Date]]),1,1,1,2,2,2,3,3,3,4,4,4)</f>
        <v>Qtr 4</v>
      </c>
      <c r="G1259" s="3" t="str">
        <f>TEXT(Table1[[#This Row],[Date]],"mmmm")</f>
        <v>October</v>
      </c>
      <c r="H1259" s="3" t="s">
        <v>1081</v>
      </c>
      <c r="I1259" s="3" t="s">
        <v>28</v>
      </c>
      <c r="J1259" s="3">
        <v>4</v>
      </c>
      <c r="K1259" s="3">
        <v>17654.09</v>
      </c>
      <c r="L1259" s="3">
        <f>Table1[[#This Row],[Price Per Unit]]*Table1[[#This Row],[Units Sold]]</f>
        <v>70616.36</v>
      </c>
      <c r="M1259" s="3" t="s">
        <v>418</v>
      </c>
      <c r="N1259" s="3">
        <v>33</v>
      </c>
      <c r="O1259" s="3" t="s">
        <v>105</v>
      </c>
      <c r="P1259" s="3" t="s">
        <v>21</v>
      </c>
      <c r="Q1259" s="4">
        <v>5</v>
      </c>
      <c r="R1259" s="4" t="str">
        <f>IF(Table1[[#This Row],[Customer Ratings]]&gt;=4, "Good",IF(Table1[[#This Row],[Customer Ratings]]=3, "Average","Poor"))</f>
        <v>Good</v>
      </c>
      <c r="S1259" s="3" t="s">
        <v>87</v>
      </c>
    </row>
    <row r="1260" spans="1:19" x14ac:dyDescent="0.25">
      <c r="A1260" s="3">
        <v>1259</v>
      </c>
      <c r="B1260" s="5">
        <f>DATE(Table1[[#This Row],[Year]],Table1[[#This Row],[Month]],Table1[[#This Row],[Day]])</f>
        <v>44837</v>
      </c>
      <c r="C1260" s="3">
        <v>3</v>
      </c>
      <c r="D1260" s="3">
        <v>10</v>
      </c>
      <c r="E1260" s="3">
        <v>2022</v>
      </c>
      <c r="F1260" s="3" t="str">
        <f>"Qtr"&amp; " " &amp;CHOOSE(MONTH(Table1[[#This Row],[Date]]),1,1,1,2,2,2,3,3,3,4,4,4)</f>
        <v>Qtr 4</v>
      </c>
      <c r="G1260" s="3" t="str">
        <f>TEXT(Table1[[#This Row],[Date]],"mmmm")</f>
        <v>October</v>
      </c>
      <c r="H1260" s="3" t="s">
        <v>1081</v>
      </c>
      <c r="I1260" s="3" t="s">
        <v>33</v>
      </c>
      <c r="J1260" s="3">
        <v>6</v>
      </c>
      <c r="K1260" s="3">
        <v>64198.07</v>
      </c>
      <c r="L1260" s="3">
        <f>Table1[[#This Row],[Price Per Unit]]*Table1[[#This Row],[Units Sold]]</f>
        <v>385188.42</v>
      </c>
      <c r="M1260" s="3" t="s">
        <v>401</v>
      </c>
      <c r="N1260" s="3">
        <v>56</v>
      </c>
      <c r="O1260" s="3" t="s">
        <v>105</v>
      </c>
      <c r="P1260" s="3" t="s">
        <v>16</v>
      </c>
      <c r="Q1260" s="4">
        <v>1</v>
      </c>
      <c r="R1260" s="4" t="str">
        <f>IF(Table1[[#This Row],[Customer Ratings]]&gt;=4, "Good",IF(Table1[[#This Row],[Customer Ratings]]=3, "Average","Poor"))</f>
        <v>Poor</v>
      </c>
      <c r="S1260" s="3" t="s">
        <v>83</v>
      </c>
    </row>
    <row r="1261" spans="1:19" x14ac:dyDescent="0.25">
      <c r="A1261" s="3">
        <v>1260</v>
      </c>
      <c r="B1261" s="5">
        <f>DATE(Table1[[#This Row],[Year]],Table1[[#This Row],[Month]],Table1[[#This Row],[Day]])</f>
        <v>44837</v>
      </c>
      <c r="C1261" s="3">
        <v>3</v>
      </c>
      <c r="D1261" s="3">
        <v>10</v>
      </c>
      <c r="E1261" s="3">
        <v>2022</v>
      </c>
      <c r="F1261" s="3" t="str">
        <f>"Qtr"&amp; " " &amp;CHOOSE(MONTH(Table1[[#This Row],[Date]]),1,1,1,2,2,2,3,3,3,4,4,4)</f>
        <v>Qtr 4</v>
      </c>
      <c r="G1261" s="3" t="str">
        <f>TEXT(Table1[[#This Row],[Date]],"mmmm")</f>
        <v>October</v>
      </c>
      <c r="H1261" s="3" t="s">
        <v>1081</v>
      </c>
      <c r="I1261" s="3" t="s">
        <v>28</v>
      </c>
      <c r="J1261" s="3">
        <v>2</v>
      </c>
      <c r="K1261" s="3">
        <v>50336.73</v>
      </c>
      <c r="L1261" s="3">
        <f>Table1[[#This Row],[Price Per Unit]]*Table1[[#This Row],[Units Sold]]</f>
        <v>100673.46</v>
      </c>
      <c r="M1261" s="3" t="s">
        <v>117</v>
      </c>
      <c r="N1261" s="3">
        <v>32</v>
      </c>
      <c r="O1261" s="3" t="s">
        <v>30</v>
      </c>
      <c r="P1261" s="3" t="s">
        <v>21</v>
      </c>
      <c r="Q1261" s="4">
        <v>1</v>
      </c>
      <c r="R1261" s="4" t="str">
        <f>IF(Table1[[#This Row],[Customer Ratings]]&gt;=4, "Good",IF(Table1[[#This Row],[Customer Ratings]]=3, "Average","Poor"))</f>
        <v>Poor</v>
      </c>
      <c r="S1261" s="3" t="s">
        <v>87</v>
      </c>
    </row>
    <row r="1262" spans="1:19" x14ac:dyDescent="0.25">
      <c r="A1262" s="3">
        <v>1261</v>
      </c>
      <c r="B1262" s="5">
        <f>DATE(Table1[[#This Row],[Year]],Table1[[#This Row],[Month]],Table1[[#This Row],[Day]])</f>
        <v>44838</v>
      </c>
      <c r="C1262" s="3">
        <v>4</v>
      </c>
      <c r="D1262" s="3">
        <v>10</v>
      </c>
      <c r="E1262" s="3">
        <v>2022</v>
      </c>
      <c r="F1262" s="3" t="str">
        <f>"Qtr"&amp; " " &amp;CHOOSE(MONTH(Table1[[#This Row],[Date]]),1,1,1,2,2,2,3,3,3,4,4,4)</f>
        <v>Qtr 4</v>
      </c>
      <c r="G1262" s="3" t="str">
        <f>TEXT(Table1[[#This Row],[Date]],"mmmm")</f>
        <v>October</v>
      </c>
      <c r="H1262" s="3" t="s">
        <v>1082</v>
      </c>
      <c r="I1262" s="3" t="s">
        <v>39</v>
      </c>
      <c r="J1262" s="3">
        <v>7</v>
      </c>
      <c r="K1262" s="3">
        <v>63851.72</v>
      </c>
      <c r="L1262" s="3">
        <f>Table1[[#This Row],[Price Per Unit]]*Table1[[#This Row],[Units Sold]]</f>
        <v>446962.04000000004</v>
      </c>
      <c r="M1262" s="3" t="s">
        <v>785</v>
      </c>
      <c r="N1262" s="3">
        <v>50</v>
      </c>
      <c r="O1262" s="3" t="s">
        <v>20</v>
      </c>
      <c r="P1262" s="3" t="s">
        <v>31</v>
      </c>
      <c r="Q1262" s="4">
        <v>1</v>
      </c>
      <c r="R1262" s="4" t="str">
        <f>IF(Table1[[#This Row],[Customer Ratings]]&gt;=4, "Good",IF(Table1[[#This Row],[Customer Ratings]]=3, "Average","Poor"))</f>
        <v>Poor</v>
      </c>
      <c r="S1262" s="3" t="s">
        <v>76</v>
      </c>
    </row>
    <row r="1263" spans="1:19" x14ac:dyDescent="0.25">
      <c r="A1263" s="3">
        <v>1262</v>
      </c>
      <c r="B1263" s="5">
        <f>DATE(Table1[[#This Row],[Year]],Table1[[#This Row],[Month]],Table1[[#This Row],[Day]])</f>
        <v>44838</v>
      </c>
      <c r="C1263" s="3">
        <v>4</v>
      </c>
      <c r="D1263" s="3">
        <v>10</v>
      </c>
      <c r="E1263" s="3">
        <v>2022</v>
      </c>
      <c r="F1263" s="3" t="str">
        <f>"Qtr"&amp; " " &amp;CHOOSE(MONTH(Table1[[#This Row],[Date]]),1,1,1,2,2,2,3,3,3,4,4,4)</f>
        <v>Qtr 4</v>
      </c>
      <c r="G1263" s="3" t="str">
        <f>TEXT(Table1[[#This Row],[Date]],"mmmm")</f>
        <v>October</v>
      </c>
      <c r="H1263" s="3" t="s">
        <v>1082</v>
      </c>
      <c r="I1263" s="3" t="s">
        <v>13</v>
      </c>
      <c r="J1263" s="3">
        <v>2</v>
      </c>
      <c r="K1263" s="3">
        <v>36829.629999999997</v>
      </c>
      <c r="L1263" s="3">
        <f>Table1[[#This Row],[Price Per Unit]]*Table1[[#This Row],[Units Sold]]</f>
        <v>73659.259999999995</v>
      </c>
      <c r="M1263" s="3" t="s">
        <v>614</v>
      </c>
      <c r="N1263" s="3">
        <v>40</v>
      </c>
      <c r="O1263" s="3" t="s">
        <v>24</v>
      </c>
      <c r="P1263" s="3" t="s">
        <v>45</v>
      </c>
      <c r="Q1263" s="4">
        <v>5</v>
      </c>
      <c r="R1263" s="4" t="str">
        <f>IF(Table1[[#This Row],[Customer Ratings]]&gt;=4, "Good",IF(Table1[[#This Row],[Customer Ratings]]=3, "Average","Poor"))</f>
        <v>Good</v>
      </c>
      <c r="S1263" s="3" t="s">
        <v>27</v>
      </c>
    </row>
    <row r="1264" spans="1:19" x14ac:dyDescent="0.25">
      <c r="A1264" s="3">
        <v>1263</v>
      </c>
      <c r="B1264" s="5">
        <f>DATE(Table1[[#This Row],[Year]],Table1[[#This Row],[Month]],Table1[[#This Row],[Day]])</f>
        <v>44838</v>
      </c>
      <c r="C1264" s="3">
        <v>4</v>
      </c>
      <c r="D1264" s="3">
        <v>10</v>
      </c>
      <c r="E1264" s="3">
        <v>2022</v>
      </c>
      <c r="F1264" s="3" t="str">
        <f>"Qtr"&amp; " " &amp;CHOOSE(MONTH(Table1[[#This Row],[Date]]),1,1,1,2,2,2,3,3,3,4,4,4)</f>
        <v>Qtr 4</v>
      </c>
      <c r="G1264" s="3" t="str">
        <f>TEXT(Table1[[#This Row],[Date]],"mmmm")</f>
        <v>October</v>
      </c>
      <c r="H1264" s="3" t="s">
        <v>1082</v>
      </c>
      <c r="I1264" s="3" t="s">
        <v>18</v>
      </c>
      <c r="J1264" s="3">
        <v>8</v>
      </c>
      <c r="K1264" s="3">
        <v>36217.29</v>
      </c>
      <c r="L1264" s="3">
        <f>Table1[[#This Row],[Price Per Unit]]*Table1[[#This Row],[Units Sold]]</f>
        <v>289738.32</v>
      </c>
      <c r="M1264" s="3" t="s">
        <v>786</v>
      </c>
      <c r="N1264" s="3">
        <v>58</v>
      </c>
      <c r="O1264" s="3" t="s">
        <v>15</v>
      </c>
      <c r="P1264" s="3" t="s">
        <v>31</v>
      </c>
      <c r="Q1264" s="4">
        <v>5</v>
      </c>
      <c r="R1264" s="4" t="str">
        <f>IF(Table1[[#This Row],[Customer Ratings]]&gt;=4, "Good",IF(Table1[[#This Row],[Customer Ratings]]=3, "Average","Poor"))</f>
        <v>Good</v>
      </c>
      <c r="S1264" s="3" t="s">
        <v>55</v>
      </c>
    </row>
    <row r="1265" spans="1:19" x14ac:dyDescent="0.25">
      <c r="A1265" s="3">
        <v>1264</v>
      </c>
      <c r="B1265" s="5">
        <f>DATE(Table1[[#This Row],[Year]],Table1[[#This Row],[Month]],Table1[[#This Row],[Day]])</f>
        <v>44838</v>
      </c>
      <c r="C1265" s="3">
        <v>4</v>
      </c>
      <c r="D1265" s="3">
        <v>10</v>
      </c>
      <c r="E1265" s="3">
        <v>2022</v>
      </c>
      <c r="F1265" s="3" t="str">
        <f>"Qtr"&amp; " " &amp;CHOOSE(MONTH(Table1[[#This Row],[Date]]),1,1,1,2,2,2,3,3,3,4,4,4)</f>
        <v>Qtr 4</v>
      </c>
      <c r="G1265" s="3" t="str">
        <f>TEXT(Table1[[#This Row],[Date]],"mmmm")</f>
        <v>October</v>
      </c>
      <c r="H1265" s="3" t="s">
        <v>1082</v>
      </c>
      <c r="I1265" s="3" t="s">
        <v>39</v>
      </c>
      <c r="J1265" s="3">
        <v>8</v>
      </c>
      <c r="K1265" s="3">
        <v>57072.19</v>
      </c>
      <c r="L1265" s="3">
        <f>Table1[[#This Row],[Price Per Unit]]*Table1[[#This Row],[Units Sold]]</f>
        <v>456577.52</v>
      </c>
      <c r="M1265" s="3" t="s">
        <v>114</v>
      </c>
      <c r="N1265" s="3">
        <v>51</v>
      </c>
      <c r="O1265" s="3" t="s">
        <v>102</v>
      </c>
      <c r="P1265" s="3" t="s">
        <v>45</v>
      </c>
      <c r="Q1265" s="4">
        <v>3</v>
      </c>
      <c r="R1265" s="4" t="str">
        <f>IF(Table1[[#This Row],[Customer Ratings]]&gt;=4, "Good",IF(Table1[[#This Row],[Customer Ratings]]=3, "Average","Poor"))</f>
        <v>Average</v>
      </c>
      <c r="S1265" s="3" t="s">
        <v>90</v>
      </c>
    </row>
    <row r="1266" spans="1:19" x14ac:dyDescent="0.25">
      <c r="A1266" s="3">
        <v>1265</v>
      </c>
      <c r="B1266" s="5">
        <f>DATE(Table1[[#This Row],[Year]],Table1[[#This Row],[Month]],Table1[[#This Row],[Day]])</f>
        <v>44839</v>
      </c>
      <c r="C1266" s="3">
        <v>5</v>
      </c>
      <c r="D1266" s="3">
        <v>10</v>
      </c>
      <c r="E1266" s="3">
        <v>2022</v>
      </c>
      <c r="F1266" s="3" t="str">
        <f>"Qtr"&amp; " " &amp;CHOOSE(MONTH(Table1[[#This Row],[Date]]),1,1,1,2,2,2,3,3,3,4,4,4)</f>
        <v>Qtr 4</v>
      </c>
      <c r="G1266" s="3" t="str">
        <f>TEXT(Table1[[#This Row],[Date]],"mmmm")</f>
        <v>October</v>
      </c>
      <c r="H1266" s="3" t="s">
        <v>1083</v>
      </c>
      <c r="I1266" s="3" t="s">
        <v>39</v>
      </c>
      <c r="J1266" s="3">
        <v>1</v>
      </c>
      <c r="K1266" s="3">
        <v>15597.87</v>
      </c>
      <c r="L1266" s="3">
        <f>Table1[[#This Row],[Price Per Unit]]*Table1[[#This Row],[Units Sold]]</f>
        <v>15597.87</v>
      </c>
      <c r="M1266" s="3" t="s">
        <v>784</v>
      </c>
      <c r="N1266" s="3">
        <v>34</v>
      </c>
      <c r="O1266" s="3" t="s">
        <v>81</v>
      </c>
      <c r="P1266" s="3" t="s">
        <v>31</v>
      </c>
      <c r="Q1266" s="4">
        <v>5</v>
      </c>
      <c r="R1266" s="4" t="str">
        <f>IF(Table1[[#This Row],[Customer Ratings]]&gt;=4, "Good",IF(Table1[[#This Row],[Customer Ratings]]=3, "Average","Poor"))</f>
        <v>Good</v>
      </c>
      <c r="S1266" s="3" t="s">
        <v>90</v>
      </c>
    </row>
    <row r="1267" spans="1:19" x14ac:dyDescent="0.25">
      <c r="A1267" s="3">
        <v>1266</v>
      </c>
      <c r="B1267" s="5">
        <f>DATE(Table1[[#This Row],[Year]],Table1[[#This Row],[Month]],Table1[[#This Row],[Day]])</f>
        <v>44839</v>
      </c>
      <c r="C1267" s="3">
        <v>5</v>
      </c>
      <c r="D1267" s="3">
        <v>10</v>
      </c>
      <c r="E1267" s="3">
        <v>2022</v>
      </c>
      <c r="F1267" s="3" t="str">
        <f>"Qtr"&amp; " " &amp;CHOOSE(MONTH(Table1[[#This Row],[Date]]),1,1,1,2,2,2,3,3,3,4,4,4)</f>
        <v>Qtr 4</v>
      </c>
      <c r="G1267" s="3" t="str">
        <f>TEXT(Table1[[#This Row],[Date]],"mmmm")</f>
        <v>October</v>
      </c>
      <c r="H1267" s="3" t="s">
        <v>1083</v>
      </c>
      <c r="I1267" s="3" t="s">
        <v>28</v>
      </c>
      <c r="J1267" s="3">
        <v>8</v>
      </c>
      <c r="K1267" s="3">
        <v>41252.44</v>
      </c>
      <c r="L1267" s="3">
        <f>Table1[[#This Row],[Price Per Unit]]*Table1[[#This Row],[Units Sold]]</f>
        <v>330019.52</v>
      </c>
      <c r="M1267" s="3" t="s">
        <v>787</v>
      </c>
      <c r="N1267" s="3">
        <v>42</v>
      </c>
      <c r="O1267" s="3" t="s">
        <v>52</v>
      </c>
      <c r="P1267" s="3" t="s">
        <v>31</v>
      </c>
      <c r="Q1267" s="4">
        <v>4</v>
      </c>
      <c r="R1267" s="4" t="str">
        <f>IF(Table1[[#This Row],[Customer Ratings]]&gt;=4, "Good",IF(Table1[[#This Row],[Customer Ratings]]=3, "Average","Poor"))</f>
        <v>Good</v>
      </c>
      <c r="S1267" s="3" t="s">
        <v>38</v>
      </c>
    </row>
    <row r="1268" spans="1:19" x14ac:dyDescent="0.25">
      <c r="A1268" s="3">
        <v>1267</v>
      </c>
      <c r="B1268" s="5">
        <f>DATE(Table1[[#This Row],[Year]],Table1[[#This Row],[Month]],Table1[[#This Row],[Day]])</f>
        <v>44839</v>
      </c>
      <c r="C1268" s="3">
        <v>5</v>
      </c>
      <c r="D1268" s="3">
        <v>10</v>
      </c>
      <c r="E1268" s="3">
        <v>2022</v>
      </c>
      <c r="F1268" s="3" t="str">
        <f>"Qtr"&amp; " " &amp;CHOOSE(MONTH(Table1[[#This Row],[Date]]),1,1,1,2,2,2,3,3,3,4,4,4)</f>
        <v>Qtr 4</v>
      </c>
      <c r="G1268" s="3" t="str">
        <f>TEXT(Table1[[#This Row],[Date]],"mmmm")</f>
        <v>October</v>
      </c>
      <c r="H1268" s="3" t="s">
        <v>1083</v>
      </c>
      <c r="I1268" s="3" t="s">
        <v>33</v>
      </c>
      <c r="J1268" s="3">
        <v>2</v>
      </c>
      <c r="K1268" s="3">
        <v>60183.05</v>
      </c>
      <c r="L1268" s="3">
        <f>Table1[[#This Row],[Price Per Unit]]*Table1[[#This Row],[Units Sold]]</f>
        <v>120366.1</v>
      </c>
      <c r="M1268" s="3" t="s">
        <v>664</v>
      </c>
      <c r="N1268" s="3">
        <v>59</v>
      </c>
      <c r="O1268" s="3" t="s">
        <v>24</v>
      </c>
      <c r="P1268" s="3" t="s">
        <v>16</v>
      </c>
      <c r="Q1268" s="4">
        <v>3</v>
      </c>
      <c r="R1268" s="4" t="str">
        <f>IF(Table1[[#This Row],[Customer Ratings]]&gt;=4, "Good",IF(Table1[[#This Row],[Customer Ratings]]=3, "Average","Poor"))</f>
        <v>Average</v>
      </c>
      <c r="S1268" s="3" t="s">
        <v>36</v>
      </c>
    </row>
    <row r="1269" spans="1:19" x14ac:dyDescent="0.25">
      <c r="A1269" s="3">
        <v>1268</v>
      </c>
      <c r="B1269" s="5">
        <f>DATE(Table1[[#This Row],[Year]],Table1[[#This Row],[Month]],Table1[[#This Row],[Day]])</f>
        <v>44840</v>
      </c>
      <c r="C1269" s="3">
        <v>6</v>
      </c>
      <c r="D1269" s="3">
        <v>10</v>
      </c>
      <c r="E1269" s="3">
        <v>2022</v>
      </c>
      <c r="F1269" s="3" t="str">
        <f>"Qtr"&amp; " " &amp;CHOOSE(MONTH(Table1[[#This Row],[Date]]),1,1,1,2,2,2,3,3,3,4,4,4)</f>
        <v>Qtr 4</v>
      </c>
      <c r="G1269" s="3" t="str">
        <f>TEXT(Table1[[#This Row],[Date]],"mmmm")</f>
        <v>October</v>
      </c>
      <c r="H1269" s="3" t="s">
        <v>1084</v>
      </c>
      <c r="I1269" s="3" t="s">
        <v>13</v>
      </c>
      <c r="J1269" s="3">
        <v>6</v>
      </c>
      <c r="K1269" s="3">
        <v>59811.55</v>
      </c>
      <c r="L1269" s="3">
        <f>Table1[[#This Row],[Price Per Unit]]*Table1[[#This Row],[Units Sold]]</f>
        <v>358869.30000000005</v>
      </c>
      <c r="M1269" s="3" t="s">
        <v>788</v>
      </c>
      <c r="N1269" s="3">
        <v>23</v>
      </c>
      <c r="O1269" s="3" t="s">
        <v>48</v>
      </c>
      <c r="P1269" s="3" t="s">
        <v>21</v>
      </c>
      <c r="Q1269" s="4">
        <v>5</v>
      </c>
      <c r="R1269" s="4" t="str">
        <f>IF(Table1[[#This Row],[Customer Ratings]]&gt;=4, "Good",IF(Table1[[#This Row],[Customer Ratings]]=3, "Average","Poor"))</f>
        <v>Good</v>
      </c>
      <c r="S1269" s="3" t="s">
        <v>17</v>
      </c>
    </row>
    <row r="1270" spans="1:19" x14ac:dyDescent="0.25">
      <c r="A1270" s="3">
        <v>1269</v>
      </c>
      <c r="B1270" s="5">
        <f>DATE(Table1[[#This Row],[Year]],Table1[[#This Row],[Month]],Table1[[#This Row],[Day]])</f>
        <v>44840</v>
      </c>
      <c r="C1270" s="3">
        <v>6</v>
      </c>
      <c r="D1270" s="3">
        <v>10</v>
      </c>
      <c r="E1270" s="3">
        <v>2022</v>
      </c>
      <c r="F1270" s="3" t="str">
        <f>"Qtr"&amp; " " &amp;CHOOSE(MONTH(Table1[[#This Row],[Date]]),1,1,1,2,2,2,3,3,3,4,4,4)</f>
        <v>Qtr 4</v>
      </c>
      <c r="G1270" s="3" t="str">
        <f>TEXT(Table1[[#This Row],[Date]],"mmmm")</f>
        <v>October</v>
      </c>
      <c r="H1270" s="3" t="s">
        <v>1084</v>
      </c>
      <c r="I1270" s="3" t="s">
        <v>33</v>
      </c>
      <c r="J1270" s="3">
        <v>1</v>
      </c>
      <c r="K1270" s="3">
        <v>67367.97</v>
      </c>
      <c r="L1270" s="3">
        <f>Table1[[#This Row],[Price Per Unit]]*Table1[[#This Row],[Units Sold]]</f>
        <v>67367.97</v>
      </c>
      <c r="M1270" s="3" t="s">
        <v>482</v>
      </c>
      <c r="N1270" s="3">
        <v>48</v>
      </c>
      <c r="O1270" s="3" t="s">
        <v>58</v>
      </c>
      <c r="P1270" s="3" t="s">
        <v>21</v>
      </c>
      <c r="Q1270" s="4">
        <v>4</v>
      </c>
      <c r="R1270" s="4" t="str">
        <f>IF(Table1[[#This Row],[Customer Ratings]]&gt;=4, "Good",IF(Table1[[#This Row],[Customer Ratings]]=3, "Average","Poor"))</f>
        <v>Good</v>
      </c>
      <c r="S1270" s="3" t="s">
        <v>83</v>
      </c>
    </row>
    <row r="1271" spans="1:19" x14ac:dyDescent="0.25">
      <c r="A1271" s="3">
        <v>1270</v>
      </c>
      <c r="B1271" s="5">
        <f>DATE(Table1[[#This Row],[Year]],Table1[[#This Row],[Month]],Table1[[#This Row],[Day]])</f>
        <v>44840</v>
      </c>
      <c r="C1271" s="3">
        <v>6</v>
      </c>
      <c r="D1271" s="3">
        <v>10</v>
      </c>
      <c r="E1271" s="3">
        <v>2022</v>
      </c>
      <c r="F1271" s="3" t="str">
        <f>"Qtr"&amp; " " &amp;CHOOSE(MONTH(Table1[[#This Row],[Date]]),1,1,1,2,2,2,3,3,3,4,4,4)</f>
        <v>Qtr 4</v>
      </c>
      <c r="G1271" s="3" t="str">
        <f>TEXT(Table1[[#This Row],[Date]],"mmmm")</f>
        <v>October</v>
      </c>
      <c r="H1271" s="3" t="s">
        <v>1084</v>
      </c>
      <c r="I1271" s="3" t="s">
        <v>13</v>
      </c>
      <c r="J1271" s="3">
        <v>5</v>
      </c>
      <c r="K1271" s="3">
        <v>51896.36</v>
      </c>
      <c r="L1271" s="3">
        <f>Table1[[#This Row],[Price Per Unit]]*Table1[[#This Row],[Units Sold]]</f>
        <v>259481.8</v>
      </c>
      <c r="M1271" s="3" t="s">
        <v>359</v>
      </c>
      <c r="N1271" s="3">
        <v>22</v>
      </c>
      <c r="O1271" s="3" t="s">
        <v>98</v>
      </c>
      <c r="P1271" s="3" t="s">
        <v>31</v>
      </c>
      <c r="Q1271" s="4">
        <v>3</v>
      </c>
      <c r="R1271" s="4" t="str">
        <f>IF(Table1[[#This Row],[Customer Ratings]]&gt;=4, "Good",IF(Table1[[#This Row],[Customer Ratings]]=3, "Average","Poor"))</f>
        <v>Average</v>
      </c>
      <c r="S1271" s="3" t="s">
        <v>72</v>
      </c>
    </row>
    <row r="1272" spans="1:19" x14ac:dyDescent="0.25">
      <c r="A1272" s="3">
        <v>1271</v>
      </c>
      <c r="B1272" s="5">
        <f>DATE(Table1[[#This Row],[Year]],Table1[[#This Row],[Month]],Table1[[#This Row],[Day]])</f>
        <v>44841</v>
      </c>
      <c r="C1272" s="3">
        <v>7</v>
      </c>
      <c r="D1272" s="3">
        <v>10</v>
      </c>
      <c r="E1272" s="3">
        <v>2022</v>
      </c>
      <c r="F1272" s="3" t="str">
        <f>"Qtr"&amp; " " &amp;CHOOSE(MONTH(Table1[[#This Row],[Date]]),1,1,1,2,2,2,3,3,3,4,4,4)</f>
        <v>Qtr 4</v>
      </c>
      <c r="G1272" s="3" t="str">
        <f>TEXT(Table1[[#This Row],[Date]],"mmmm")</f>
        <v>October</v>
      </c>
      <c r="H1272" s="3" t="s">
        <v>1085</v>
      </c>
      <c r="I1272" s="3" t="s">
        <v>13</v>
      </c>
      <c r="J1272" s="3">
        <v>7</v>
      </c>
      <c r="K1272" s="3">
        <v>22466.240000000002</v>
      </c>
      <c r="L1272" s="3">
        <f>Table1[[#This Row],[Price Per Unit]]*Table1[[#This Row],[Units Sold]]</f>
        <v>157263.68000000002</v>
      </c>
      <c r="M1272" s="3" t="s">
        <v>716</v>
      </c>
      <c r="N1272" s="3">
        <v>57</v>
      </c>
      <c r="O1272" s="3" t="s">
        <v>52</v>
      </c>
      <c r="P1272" s="3" t="s">
        <v>21</v>
      </c>
      <c r="Q1272" s="4">
        <v>5</v>
      </c>
      <c r="R1272" s="4" t="str">
        <f>IF(Table1[[#This Row],[Customer Ratings]]&gt;=4, "Good",IF(Table1[[#This Row],[Customer Ratings]]=3, "Average","Poor"))</f>
        <v>Good</v>
      </c>
      <c r="S1272" s="3" t="s">
        <v>72</v>
      </c>
    </row>
    <row r="1273" spans="1:19" x14ac:dyDescent="0.25">
      <c r="A1273" s="3">
        <v>1272</v>
      </c>
      <c r="B1273" s="5">
        <f>DATE(Table1[[#This Row],[Year]],Table1[[#This Row],[Month]],Table1[[#This Row],[Day]])</f>
        <v>44841</v>
      </c>
      <c r="C1273" s="3">
        <v>7</v>
      </c>
      <c r="D1273" s="3">
        <v>10</v>
      </c>
      <c r="E1273" s="3">
        <v>2022</v>
      </c>
      <c r="F1273" s="3" t="str">
        <f>"Qtr"&amp; " " &amp;CHOOSE(MONTH(Table1[[#This Row],[Date]]),1,1,1,2,2,2,3,3,3,4,4,4)</f>
        <v>Qtr 4</v>
      </c>
      <c r="G1273" s="3" t="str">
        <f>TEXT(Table1[[#This Row],[Date]],"mmmm")</f>
        <v>October</v>
      </c>
      <c r="H1273" s="3" t="s">
        <v>1085</v>
      </c>
      <c r="I1273" s="3" t="s">
        <v>33</v>
      </c>
      <c r="J1273" s="3">
        <v>1</v>
      </c>
      <c r="K1273" s="3">
        <v>11216.82</v>
      </c>
      <c r="L1273" s="3">
        <f>Table1[[#This Row],[Price Per Unit]]*Table1[[#This Row],[Units Sold]]</f>
        <v>11216.82</v>
      </c>
      <c r="M1273" s="3" t="s">
        <v>789</v>
      </c>
      <c r="N1273" s="3">
        <v>57</v>
      </c>
      <c r="O1273" s="3" t="s">
        <v>24</v>
      </c>
      <c r="P1273" s="3" t="s">
        <v>16</v>
      </c>
      <c r="Q1273" s="4">
        <v>4</v>
      </c>
      <c r="R1273" s="4" t="str">
        <f>IF(Table1[[#This Row],[Customer Ratings]]&gt;=4, "Good",IF(Table1[[#This Row],[Customer Ratings]]=3, "Average","Poor"))</f>
        <v>Good</v>
      </c>
      <c r="S1273" s="3" t="s">
        <v>46</v>
      </c>
    </row>
    <row r="1274" spans="1:19" x14ac:dyDescent="0.25">
      <c r="A1274" s="3">
        <v>1273</v>
      </c>
      <c r="B1274" s="5">
        <f>DATE(Table1[[#This Row],[Year]],Table1[[#This Row],[Month]],Table1[[#This Row],[Day]])</f>
        <v>44841</v>
      </c>
      <c r="C1274" s="3">
        <v>7</v>
      </c>
      <c r="D1274" s="3">
        <v>10</v>
      </c>
      <c r="E1274" s="3">
        <v>2022</v>
      </c>
      <c r="F1274" s="3" t="str">
        <f>"Qtr"&amp; " " &amp;CHOOSE(MONTH(Table1[[#This Row],[Date]]),1,1,1,2,2,2,3,3,3,4,4,4)</f>
        <v>Qtr 4</v>
      </c>
      <c r="G1274" s="3" t="str">
        <f>TEXT(Table1[[#This Row],[Date]],"mmmm")</f>
        <v>October</v>
      </c>
      <c r="H1274" s="3" t="s">
        <v>1085</v>
      </c>
      <c r="I1274" s="3" t="s">
        <v>39</v>
      </c>
      <c r="J1274" s="3">
        <v>2</v>
      </c>
      <c r="K1274" s="3">
        <v>38764.949999999997</v>
      </c>
      <c r="L1274" s="3">
        <f>Table1[[#This Row],[Price Per Unit]]*Table1[[#This Row],[Units Sold]]</f>
        <v>77529.899999999994</v>
      </c>
      <c r="M1274" s="3" t="s">
        <v>790</v>
      </c>
      <c r="N1274" s="3">
        <v>47</v>
      </c>
      <c r="O1274" s="3" t="s">
        <v>20</v>
      </c>
      <c r="P1274" s="3" t="s">
        <v>31</v>
      </c>
      <c r="Q1274" s="4">
        <v>5</v>
      </c>
      <c r="R1274" s="4" t="str">
        <f>IF(Table1[[#This Row],[Customer Ratings]]&gt;=4, "Good",IF(Table1[[#This Row],[Customer Ratings]]=3, "Average","Poor"))</f>
        <v>Good</v>
      </c>
      <c r="S1274" s="3" t="s">
        <v>42</v>
      </c>
    </row>
    <row r="1275" spans="1:19" x14ac:dyDescent="0.25">
      <c r="A1275" s="3">
        <v>1274</v>
      </c>
      <c r="B1275" s="5">
        <f>DATE(Table1[[#This Row],[Year]],Table1[[#This Row],[Month]],Table1[[#This Row],[Day]])</f>
        <v>44841</v>
      </c>
      <c r="C1275" s="3">
        <v>7</v>
      </c>
      <c r="D1275" s="3">
        <v>10</v>
      </c>
      <c r="E1275" s="3">
        <v>2022</v>
      </c>
      <c r="F1275" s="3" t="str">
        <f>"Qtr"&amp; " " &amp;CHOOSE(MONTH(Table1[[#This Row],[Date]]),1,1,1,2,2,2,3,3,3,4,4,4)</f>
        <v>Qtr 4</v>
      </c>
      <c r="G1275" s="3" t="str">
        <f>TEXT(Table1[[#This Row],[Date]],"mmmm")</f>
        <v>October</v>
      </c>
      <c r="H1275" s="3" t="s">
        <v>1085</v>
      </c>
      <c r="I1275" s="3" t="s">
        <v>13</v>
      </c>
      <c r="J1275" s="3">
        <v>7</v>
      </c>
      <c r="K1275" s="3">
        <v>40822.230000000003</v>
      </c>
      <c r="L1275" s="3">
        <f>Table1[[#This Row],[Price Per Unit]]*Table1[[#This Row],[Units Sold]]</f>
        <v>285755.61000000004</v>
      </c>
      <c r="M1275" s="3" t="s">
        <v>590</v>
      </c>
      <c r="N1275" s="3">
        <v>22</v>
      </c>
      <c r="O1275" s="3" t="s">
        <v>24</v>
      </c>
      <c r="P1275" s="3" t="s">
        <v>21</v>
      </c>
      <c r="Q1275" s="4">
        <v>3</v>
      </c>
      <c r="R1275" s="4" t="str">
        <f>IF(Table1[[#This Row],[Customer Ratings]]&gt;=4, "Good",IF(Table1[[#This Row],[Customer Ratings]]=3, "Average","Poor"))</f>
        <v>Average</v>
      </c>
      <c r="S1275" s="3" t="s">
        <v>27</v>
      </c>
    </row>
    <row r="1276" spans="1:19" x14ac:dyDescent="0.25">
      <c r="A1276" s="3">
        <v>1275</v>
      </c>
      <c r="B1276" s="5">
        <f>DATE(Table1[[#This Row],[Year]],Table1[[#This Row],[Month]],Table1[[#This Row],[Day]])</f>
        <v>44842</v>
      </c>
      <c r="C1276" s="3">
        <v>8</v>
      </c>
      <c r="D1276" s="3">
        <v>10</v>
      </c>
      <c r="E1276" s="3">
        <v>2022</v>
      </c>
      <c r="F1276" s="3" t="str">
        <f>"Qtr"&amp; " " &amp;CHOOSE(MONTH(Table1[[#This Row],[Date]]),1,1,1,2,2,2,3,3,3,4,4,4)</f>
        <v>Qtr 4</v>
      </c>
      <c r="G1276" s="3" t="str">
        <f>TEXT(Table1[[#This Row],[Date]],"mmmm")</f>
        <v>October</v>
      </c>
      <c r="H1276" s="3" t="s">
        <v>1079</v>
      </c>
      <c r="I1276" s="3" t="s">
        <v>33</v>
      </c>
      <c r="J1276" s="3">
        <v>6</v>
      </c>
      <c r="K1276" s="3">
        <v>24415.759999999998</v>
      </c>
      <c r="L1276" s="3">
        <f>Table1[[#This Row],[Price Per Unit]]*Table1[[#This Row],[Units Sold]]</f>
        <v>146494.56</v>
      </c>
      <c r="M1276" s="3" t="s">
        <v>103</v>
      </c>
      <c r="N1276" s="3">
        <v>29</v>
      </c>
      <c r="O1276" s="3" t="s">
        <v>98</v>
      </c>
      <c r="P1276" s="3" t="s">
        <v>21</v>
      </c>
      <c r="Q1276" s="4">
        <v>4</v>
      </c>
      <c r="R1276" s="4" t="str">
        <f>IF(Table1[[#This Row],[Customer Ratings]]&gt;=4, "Good",IF(Table1[[#This Row],[Customer Ratings]]=3, "Average","Poor"))</f>
        <v>Good</v>
      </c>
      <c r="S1276" s="3" t="s">
        <v>83</v>
      </c>
    </row>
    <row r="1277" spans="1:19" x14ac:dyDescent="0.25">
      <c r="A1277" s="3">
        <v>1276</v>
      </c>
      <c r="B1277" s="5">
        <f>DATE(Table1[[#This Row],[Year]],Table1[[#This Row],[Month]],Table1[[#This Row],[Day]])</f>
        <v>44842</v>
      </c>
      <c r="C1277" s="3">
        <v>8</v>
      </c>
      <c r="D1277" s="3">
        <v>10</v>
      </c>
      <c r="E1277" s="3">
        <v>2022</v>
      </c>
      <c r="F1277" s="3" t="str">
        <f>"Qtr"&amp; " " &amp;CHOOSE(MONTH(Table1[[#This Row],[Date]]),1,1,1,2,2,2,3,3,3,4,4,4)</f>
        <v>Qtr 4</v>
      </c>
      <c r="G1277" s="3" t="str">
        <f>TEXT(Table1[[#This Row],[Date]],"mmmm")</f>
        <v>October</v>
      </c>
      <c r="H1277" s="3" t="s">
        <v>1079</v>
      </c>
      <c r="I1277" s="3" t="s">
        <v>13</v>
      </c>
      <c r="J1277" s="3">
        <v>3</v>
      </c>
      <c r="K1277" s="3">
        <v>17481.849999999999</v>
      </c>
      <c r="L1277" s="3">
        <f>Table1[[#This Row],[Price Per Unit]]*Table1[[#This Row],[Units Sold]]</f>
        <v>52445.549999999996</v>
      </c>
      <c r="M1277" s="3" t="s">
        <v>791</v>
      </c>
      <c r="N1277" s="3">
        <v>24</v>
      </c>
      <c r="O1277" s="3" t="s">
        <v>65</v>
      </c>
      <c r="P1277" s="3" t="s">
        <v>45</v>
      </c>
      <c r="Q1277" s="4">
        <v>4</v>
      </c>
      <c r="R1277" s="4" t="str">
        <f>IF(Table1[[#This Row],[Customer Ratings]]&gt;=4, "Good",IF(Table1[[#This Row],[Customer Ratings]]=3, "Average","Poor"))</f>
        <v>Good</v>
      </c>
      <c r="S1277" s="3" t="s">
        <v>17</v>
      </c>
    </row>
    <row r="1278" spans="1:19" x14ac:dyDescent="0.25">
      <c r="A1278" s="3">
        <v>1277</v>
      </c>
      <c r="B1278" s="5">
        <f>DATE(Table1[[#This Row],[Year]],Table1[[#This Row],[Month]],Table1[[#This Row],[Day]])</f>
        <v>44842</v>
      </c>
      <c r="C1278" s="3">
        <v>8</v>
      </c>
      <c r="D1278" s="3">
        <v>10</v>
      </c>
      <c r="E1278" s="3">
        <v>2022</v>
      </c>
      <c r="F1278" s="3" t="str">
        <f>"Qtr"&amp; " " &amp;CHOOSE(MONTH(Table1[[#This Row],[Date]]),1,1,1,2,2,2,3,3,3,4,4,4)</f>
        <v>Qtr 4</v>
      </c>
      <c r="G1278" s="3" t="str">
        <f>TEXT(Table1[[#This Row],[Date]],"mmmm")</f>
        <v>October</v>
      </c>
      <c r="H1278" s="3" t="s">
        <v>1079</v>
      </c>
      <c r="I1278" s="3" t="s">
        <v>18</v>
      </c>
      <c r="J1278" s="3">
        <v>2</v>
      </c>
      <c r="K1278" s="3">
        <v>45172.49</v>
      </c>
      <c r="L1278" s="3">
        <f>Table1[[#This Row],[Price Per Unit]]*Table1[[#This Row],[Units Sold]]</f>
        <v>90344.98</v>
      </c>
      <c r="M1278" s="3" t="s">
        <v>792</v>
      </c>
      <c r="N1278" s="3">
        <v>30</v>
      </c>
      <c r="O1278" s="3" t="s">
        <v>24</v>
      </c>
      <c r="P1278" s="3" t="s">
        <v>21</v>
      </c>
      <c r="Q1278" s="4">
        <v>5</v>
      </c>
      <c r="R1278" s="4" t="str">
        <f>IF(Table1[[#This Row],[Customer Ratings]]&gt;=4, "Good",IF(Table1[[#This Row],[Customer Ratings]]=3, "Average","Poor"))</f>
        <v>Good</v>
      </c>
      <c r="S1278" s="3" t="s">
        <v>25</v>
      </c>
    </row>
    <row r="1279" spans="1:19" x14ac:dyDescent="0.25">
      <c r="A1279" s="3">
        <v>1278</v>
      </c>
      <c r="B1279" s="5">
        <f>DATE(Table1[[#This Row],[Year]],Table1[[#This Row],[Month]],Table1[[#This Row],[Day]])</f>
        <v>44843</v>
      </c>
      <c r="C1279" s="3">
        <v>9</v>
      </c>
      <c r="D1279" s="3">
        <v>10</v>
      </c>
      <c r="E1279" s="3">
        <v>2022</v>
      </c>
      <c r="F1279" s="3" t="str">
        <f>"Qtr"&amp; " " &amp;CHOOSE(MONTH(Table1[[#This Row],[Date]]),1,1,1,2,2,2,3,3,3,4,4,4)</f>
        <v>Qtr 4</v>
      </c>
      <c r="G1279" s="3" t="str">
        <f>TEXT(Table1[[#This Row],[Date]],"mmmm")</f>
        <v>October</v>
      </c>
      <c r="H1279" s="3" t="s">
        <v>1080</v>
      </c>
      <c r="I1279" s="3" t="s">
        <v>39</v>
      </c>
      <c r="J1279" s="3">
        <v>4</v>
      </c>
      <c r="K1279" s="3">
        <v>55855.34</v>
      </c>
      <c r="L1279" s="3">
        <f>Table1[[#This Row],[Price Per Unit]]*Table1[[#This Row],[Units Sold]]</f>
        <v>223421.36</v>
      </c>
      <c r="M1279" s="3" t="s">
        <v>793</v>
      </c>
      <c r="N1279" s="3">
        <v>21</v>
      </c>
      <c r="O1279" s="3" t="s">
        <v>20</v>
      </c>
      <c r="P1279" s="3" t="s">
        <v>21</v>
      </c>
      <c r="Q1279" s="4">
        <v>4</v>
      </c>
      <c r="R1279" s="4" t="str">
        <f>IF(Table1[[#This Row],[Customer Ratings]]&gt;=4, "Good",IF(Table1[[#This Row],[Customer Ratings]]=3, "Average","Poor"))</f>
        <v>Good</v>
      </c>
      <c r="S1279" s="3" t="s">
        <v>76</v>
      </c>
    </row>
    <row r="1280" spans="1:19" x14ac:dyDescent="0.25">
      <c r="A1280" s="3">
        <v>1279</v>
      </c>
      <c r="B1280" s="5">
        <f>DATE(Table1[[#This Row],[Year]],Table1[[#This Row],[Month]],Table1[[#This Row],[Day]])</f>
        <v>44843</v>
      </c>
      <c r="C1280" s="3">
        <v>9</v>
      </c>
      <c r="D1280" s="3">
        <v>10</v>
      </c>
      <c r="E1280" s="3">
        <v>2022</v>
      </c>
      <c r="F1280" s="3" t="str">
        <f>"Qtr"&amp; " " &amp;CHOOSE(MONTH(Table1[[#This Row],[Date]]),1,1,1,2,2,2,3,3,3,4,4,4)</f>
        <v>Qtr 4</v>
      </c>
      <c r="G1280" s="3" t="str">
        <f>TEXT(Table1[[#This Row],[Date]],"mmmm")</f>
        <v>October</v>
      </c>
      <c r="H1280" s="3" t="s">
        <v>1080</v>
      </c>
      <c r="I1280" s="3" t="s">
        <v>28</v>
      </c>
      <c r="J1280" s="3">
        <v>3</v>
      </c>
      <c r="K1280" s="3">
        <v>69589.25</v>
      </c>
      <c r="L1280" s="3">
        <f>Table1[[#This Row],[Price Per Unit]]*Table1[[#This Row],[Units Sold]]</f>
        <v>208767.75</v>
      </c>
      <c r="M1280" s="3" t="s">
        <v>407</v>
      </c>
      <c r="N1280" s="3">
        <v>59</v>
      </c>
      <c r="O1280" s="3" t="s">
        <v>20</v>
      </c>
      <c r="P1280" s="3" t="s">
        <v>45</v>
      </c>
      <c r="Q1280" s="4">
        <v>3</v>
      </c>
      <c r="R1280" s="4" t="str">
        <f>IF(Table1[[#This Row],[Customer Ratings]]&gt;=4, "Good",IF(Table1[[#This Row],[Customer Ratings]]=3, "Average","Poor"))</f>
        <v>Average</v>
      </c>
      <c r="S1280" s="3" t="s">
        <v>87</v>
      </c>
    </row>
    <row r="1281" spans="1:19" x14ac:dyDescent="0.25">
      <c r="A1281" s="3">
        <v>1280</v>
      </c>
      <c r="B1281" s="5">
        <f>DATE(Table1[[#This Row],[Year]],Table1[[#This Row],[Month]],Table1[[#This Row],[Day]])</f>
        <v>44843</v>
      </c>
      <c r="C1281" s="3">
        <v>9</v>
      </c>
      <c r="D1281" s="3">
        <v>10</v>
      </c>
      <c r="E1281" s="3">
        <v>2022</v>
      </c>
      <c r="F1281" s="3" t="str">
        <f>"Qtr"&amp; " " &amp;CHOOSE(MONTH(Table1[[#This Row],[Date]]),1,1,1,2,2,2,3,3,3,4,4,4)</f>
        <v>Qtr 4</v>
      </c>
      <c r="G1281" s="3" t="str">
        <f>TEXT(Table1[[#This Row],[Date]],"mmmm")</f>
        <v>October</v>
      </c>
      <c r="H1281" s="3" t="s">
        <v>1080</v>
      </c>
      <c r="I1281" s="3" t="s">
        <v>13</v>
      </c>
      <c r="J1281" s="3">
        <v>7</v>
      </c>
      <c r="K1281" s="3">
        <v>55498.16</v>
      </c>
      <c r="L1281" s="3">
        <f>Table1[[#This Row],[Price Per Unit]]*Table1[[#This Row],[Units Sold]]</f>
        <v>388487.12</v>
      </c>
      <c r="M1281" s="3" t="s">
        <v>669</v>
      </c>
      <c r="N1281" s="3">
        <v>20</v>
      </c>
      <c r="O1281" s="3" t="s">
        <v>105</v>
      </c>
      <c r="P1281" s="3" t="s">
        <v>31</v>
      </c>
      <c r="Q1281" s="4">
        <v>1</v>
      </c>
      <c r="R1281" s="4" t="str">
        <f>IF(Table1[[#This Row],[Customer Ratings]]&gt;=4, "Good",IF(Table1[[#This Row],[Customer Ratings]]=3, "Average","Poor"))</f>
        <v>Poor</v>
      </c>
      <c r="S1281" s="3" t="s">
        <v>27</v>
      </c>
    </row>
    <row r="1282" spans="1:19" x14ac:dyDescent="0.25">
      <c r="A1282" s="3">
        <v>1281</v>
      </c>
      <c r="B1282" s="5">
        <f>DATE(Table1[[#This Row],[Year]],Table1[[#This Row],[Month]],Table1[[#This Row],[Day]])</f>
        <v>44844</v>
      </c>
      <c r="C1282" s="3">
        <v>10</v>
      </c>
      <c r="D1282" s="3">
        <v>10</v>
      </c>
      <c r="E1282" s="3">
        <v>2022</v>
      </c>
      <c r="F1282" s="3" t="str">
        <f>"Qtr"&amp; " " &amp;CHOOSE(MONTH(Table1[[#This Row],[Date]]),1,1,1,2,2,2,3,3,3,4,4,4)</f>
        <v>Qtr 4</v>
      </c>
      <c r="G1282" s="3" t="str">
        <f>TEXT(Table1[[#This Row],[Date]],"mmmm")</f>
        <v>October</v>
      </c>
      <c r="H1282" s="3" t="s">
        <v>1081</v>
      </c>
      <c r="I1282" s="3" t="s">
        <v>18</v>
      </c>
      <c r="J1282" s="3">
        <v>8</v>
      </c>
      <c r="K1282" s="3">
        <v>57617.94</v>
      </c>
      <c r="L1282" s="3">
        <f>Table1[[#This Row],[Price Per Unit]]*Table1[[#This Row],[Units Sold]]</f>
        <v>460943.52</v>
      </c>
      <c r="M1282" s="3" t="s">
        <v>794</v>
      </c>
      <c r="N1282" s="3">
        <v>29</v>
      </c>
      <c r="O1282" s="3" t="s">
        <v>102</v>
      </c>
      <c r="P1282" s="3" t="s">
        <v>31</v>
      </c>
      <c r="Q1282" s="4">
        <v>3</v>
      </c>
      <c r="R1282" s="4" t="str">
        <f>IF(Table1[[#This Row],[Customer Ratings]]&gt;=4, "Good",IF(Table1[[#This Row],[Customer Ratings]]=3, "Average","Poor"))</f>
        <v>Average</v>
      </c>
      <c r="S1282" s="3" t="s">
        <v>22</v>
      </c>
    </row>
    <row r="1283" spans="1:19" x14ac:dyDescent="0.25">
      <c r="A1283" s="3">
        <v>1282</v>
      </c>
      <c r="B1283" s="5">
        <f>DATE(Table1[[#This Row],[Year]],Table1[[#This Row],[Month]],Table1[[#This Row],[Day]])</f>
        <v>44844</v>
      </c>
      <c r="C1283" s="3">
        <v>10</v>
      </c>
      <c r="D1283" s="3">
        <v>10</v>
      </c>
      <c r="E1283" s="3">
        <v>2022</v>
      </c>
      <c r="F1283" s="3" t="str">
        <f>"Qtr"&amp; " " &amp;CHOOSE(MONTH(Table1[[#This Row],[Date]]),1,1,1,2,2,2,3,3,3,4,4,4)</f>
        <v>Qtr 4</v>
      </c>
      <c r="G1283" s="3" t="str">
        <f>TEXT(Table1[[#This Row],[Date]],"mmmm")</f>
        <v>October</v>
      </c>
      <c r="H1283" s="3" t="s">
        <v>1081</v>
      </c>
      <c r="I1283" s="3" t="s">
        <v>28</v>
      </c>
      <c r="J1283" s="3">
        <v>2</v>
      </c>
      <c r="K1283" s="3">
        <v>46987.65</v>
      </c>
      <c r="L1283" s="3">
        <f>Table1[[#This Row],[Price Per Unit]]*Table1[[#This Row],[Units Sold]]</f>
        <v>93975.3</v>
      </c>
      <c r="M1283" s="3" t="s">
        <v>795</v>
      </c>
      <c r="N1283" s="3">
        <v>18</v>
      </c>
      <c r="O1283" s="3" t="s">
        <v>20</v>
      </c>
      <c r="P1283" s="3" t="s">
        <v>16</v>
      </c>
      <c r="Q1283" s="4">
        <v>3</v>
      </c>
      <c r="R1283" s="4" t="str">
        <f>IF(Table1[[#This Row],[Customer Ratings]]&gt;=4, "Good",IF(Table1[[#This Row],[Customer Ratings]]=3, "Average","Poor"))</f>
        <v>Average</v>
      </c>
      <c r="S1283" s="3" t="s">
        <v>87</v>
      </c>
    </row>
    <row r="1284" spans="1:19" x14ac:dyDescent="0.25">
      <c r="A1284" s="3">
        <v>1283</v>
      </c>
      <c r="B1284" s="5">
        <f>DATE(Table1[[#This Row],[Year]],Table1[[#This Row],[Month]],Table1[[#This Row],[Day]])</f>
        <v>44844</v>
      </c>
      <c r="C1284" s="3">
        <v>10</v>
      </c>
      <c r="D1284" s="3">
        <v>10</v>
      </c>
      <c r="E1284" s="3">
        <v>2022</v>
      </c>
      <c r="F1284" s="3" t="str">
        <f>"Qtr"&amp; " " &amp;CHOOSE(MONTH(Table1[[#This Row],[Date]]),1,1,1,2,2,2,3,3,3,4,4,4)</f>
        <v>Qtr 4</v>
      </c>
      <c r="G1284" s="3" t="str">
        <f>TEXT(Table1[[#This Row],[Date]],"mmmm")</f>
        <v>October</v>
      </c>
      <c r="H1284" s="3" t="s">
        <v>1081</v>
      </c>
      <c r="I1284" s="3" t="s">
        <v>28</v>
      </c>
      <c r="J1284" s="3">
        <v>7</v>
      </c>
      <c r="K1284" s="3">
        <v>69155.360000000001</v>
      </c>
      <c r="L1284" s="3">
        <f>Table1[[#This Row],[Price Per Unit]]*Table1[[#This Row],[Units Sold]]</f>
        <v>484087.52</v>
      </c>
      <c r="M1284" s="3" t="s">
        <v>642</v>
      </c>
      <c r="N1284" s="3">
        <v>44</v>
      </c>
      <c r="O1284" s="3" t="s">
        <v>20</v>
      </c>
      <c r="P1284" s="3" t="s">
        <v>45</v>
      </c>
      <c r="Q1284" s="4">
        <v>5</v>
      </c>
      <c r="R1284" s="4" t="str">
        <f>IF(Table1[[#This Row],[Customer Ratings]]&gt;=4, "Good",IF(Table1[[#This Row],[Customer Ratings]]=3, "Average","Poor"))</f>
        <v>Good</v>
      </c>
      <c r="S1284" s="3" t="s">
        <v>32</v>
      </c>
    </row>
    <row r="1285" spans="1:19" x14ac:dyDescent="0.25">
      <c r="A1285" s="3">
        <v>1284</v>
      </c>
      <c r="B1285" s="5">
        <f>DATE(Table1[[#This Row],[Year]],Table1[[#This Row],[Month]],Table1[[#This Row],[Day]])</f>
        <v>44844</v>
      </c>
      <c r="C1285" s="3">
        <v>10</v>
      </c>
      <c r="D1285" s="3">
        <v>10</v>
      </c>
      <c r="E1285" s="3">
        <v>2022</v>
      </c>
      <c r="F1285" s="3" t="str">
        <f>"Qtr"&amp; " " &amp;CHOOSE(MONTH(Table1[[#This Row],[Date]]),1,1,1,2,2,2,3,3,3,4,4,4)</f>
        <v>Qtr 4</v>
      </c>
      <c r="G1285" s="3" t="str">
        <f>TEXT(Table1[[#This Row],[Date]],"mmmm")</f>
        <v>October</v>
      </c>
      <c r="H1285" s="3" t="s">
        <v>1081</v>
      </c>
      <c r="I1285" s="3" t="s">
        <v>13</v>
      </c>
      <c r="J1285" s="3">
        <v>8</v>
      </c>
      <c r="K1285" s="3">
        <v>48397.38</v>
      </c>
      <c r="L1285" s="3">
        <f>Table1[[#This Row],[Price Per Unit]]*Table1[[#This Row],[Units Sold]]</f>
        <v>387179.04</v>
      </c>
      <c r="M1285" s="3" t="s">
        <v>85</v>
      </c>
      <c r="N1285" s="3">
        <v>30</v>
      </c>
      <c r="O1285" s="3" t="s">
        <v>137</v>
      </c>
      <c r="P1285" s="3" t="s">
        <v>31</v>
      </c>
      <c r="Q1285" s="4">
        <v>5</v>
      </c>
      <c r="R1285" s="4" t="str">
        <f>IF(Table1[[#This Row],[Customer Ratings]]&gt;=4, "Good",IF(Table1[[#This Row],[Customer Ratings]]=3, "Average","Poor"))</f>
        <v>Good</v>
      </c>
      <c r="S1285" s="3" t="s">
        <v>27</v>
      </c>
    </row>
    <row r="1286" spans="1:19" x14ac:dyDescent="0.25">
      <c r="A1286" s="3">
        <v>1285</v>
      </c>
      <c r="B1286" s="5">
        <f>DATE(Table1[[#This Row],[Year]],Table1[[#This Row],[Month]],Table1[[#This Row],[Day]])</f>
        <v>44845</v>
      </c>
      <c r="C1286" s="3">
        <v>11</v>
      </c>
      <c r="D1286" s="3">
        <v>10</v>
      </c>
      <c r="E1286" s="3">
        <v>2022</v>
      </c>
      <c r="F1286" s="3" t="str">
        <f>"Qtr"&amp; " " &amp;CHOOSE(MONTH(Table1[[#This Row],[Date]]),1,1,1,2,2,2,3,3,3,4,4,4)</f>
        <v>Qtr 4</v>
      </c>
      <c r="G1286" s="3" t="str">
        <f>TEXT(Table1[[#This Row],[Date]],"mmmm")</f>
        <v>October</v>
      </c>
      <c r="H1286" s="3" t="s">
        <v>1082</v>
      </c>
      <c r="I1286" s="3" t="s">
        <v>33</v>
      </c>
      <c r="J1286" s="3">
        <v>6</v>
      </c>
      <c r="K1286" s="3">
        <v>61615.199999999997</v>
      </c>
      <c r="L1286" s="3">
        <f>Table1[[#This Row],[Price Per Unit]]*Table1[[#This Row],[Units Sold]]</f>
        <v>369691.19999999995</v>
      </c>
      <c r="M1286" s="3" t="s">
        <v>566</v>
      </c>
      <c r="N1286" s="3">
        <v>34</v>
      </c>
      <c r="O1286" s="3" t="s">
        <v>41</v>
      </c>
      <c r="P1286" s="3" t="s">
        <v>21</v>
      </c>
      <c r="Q1286" s="4">
        <v>4</v>
      </c>
      <c r="R1286" s="4" t="str">
        <f>IF(Table1[[#This Row],[Customer Ratings]]&gt;=4, "Good",IF(Table1[[#This Row],[Customer Ratings]]=3, "Average","Poor"))</f>
        <v>Good</v>
      </c>
      <c r="S1286" s="3" t="s">
        <v>83</v>
      </c>
    </row>
    <row r="1287" spans="1:19" x14ac:dyDescent="0.25">
      <c r="A1287" s="3">
        <v>1286</v>
      </c>
      <c r="B1287" s="5">
        <f>DATE(Table1[[#This Row],[Year]],Table1[[#This Row],[Month]],Table1[[#This Row],[Day]])</f>
        <v>44845</v>
      </c>
      <c r="C1287" s="3">
        <v>11</v>
      </c>
      <c r="D1287" s="3">
        <v>10</v>
      </c>
      <c r="E1287" s="3">
        <v>2022</v>
      </c>
      <c r="F1287" s="3" t="str">
        <f>"Qtr"&amp; " " &amp;CHOOSE(MONTH(Table1[[#This Row],[Date]]),1,1,1,2,2,2,3,3,3,4,4,4)</f>
        <v>Qtr 4</v>
      </c>
      <c r="G1287" s="3" t="str">
        <f>TEXT(Table1[[#This Row],[Date]],"mmmm")</f>
        <v>October</v>
      </c>
      <c r="H1287" s="3" t="s">
        <v>1082</v>
      </c>
      <c r="I1287" s="3" t="s">
        <v>13</v>
      </c>
      <c r="J1287" s="3">
        <v>6</v>
      </c>
      <c r="K1287" s="3">
        <v>66747.08</v>
      </c>
      <c r="L1287" s="3">
        <f>Table1[[#This Row],[Price Per Unit]]*Table1[[#This Row],[Units Sold]]</f>
        <v>400482.48</v>
      </c>
      <c r="M1287" s="3" t="s">
        <v>710</v>
      </c>
      <c r="N1287" s="3">
        <v>25</v>
      </c>
      <c r="O1287" s="3" t="s">
        <v>41</v>
      </c>
      <c r="P1287" s="3" t="s">
        <v>21</v>
      </c>
      <c r="Q1287" s="4">
        <v>5</v>
      </c>
      <c r="R1287" s="4" t="str">
        <f>IF(Table1[[#This Row],[Customer Ratings]]&gt;=4, "Good",IF(Table1[[#This Row],[Customer Ratings]]=3, "Average","Poor"))</f>
        <v>Good</v>
      </c>
      <c r="S1287" s="3" t="s">
        <v>17</v>
      </c>
    </row>
    <row r="1288" spans="1:19" x14ac:dyDescent="0.25">
      <c r="A1288" s="3">
        <v>1287</v>
      </c>
      <c r="B1288" s="5">
        <f>DATE(Table1[[#This Row],[Year]],Table1[[#This Row],[Month]],Table1[[#This Row],[Day]])</f>
        <v>44845</v>
      </c>
      <c r="C1288" s="3">
        <v>11</v>
      </c>
      <c r="D1288" s="3">
        <v>10</v>
      </c>
      <c r="E1288" s="3">
        <v>2022</v>
      </c>
      <c r="F1288" s="3" t="str">
        <f>"Qtr"&amp; " " &amp;CHOOSE(MONTH(Table1[[#This Row],[Date]]),1,1,1,2,2,2,3,3,3,4,4,4)</f>
        <v>Qtr 4</v>
      </c>
      <c r="G1288" s="3" t="str">
        <f>TEXT(Table1[[#This Row],[Date]],"mmmm")</f>
        <v>October</v>
      </c>
      <c r="H1288" s="3" t="s">
        <v>1082</v>
      </c>
      <c r="I1288" s="3" t="s">
        <v>18</v>
      </c>
      <c r="J1288" s="3">
        <v>1</v>
      </c>
      <c r="K1288" s="3">
        <v>65791.509999999995</v>
      </c>
      <c r="L1288" s="3">
        <f>Table1[[#This Row],[Price Per Unit]]*Table1[[#This Row],[Units Sold]]</f>
        <v>65791.509999999995</v>
      </c>
      <c r="M1288" s="3" t="s">
        <v>226</v>
      </c>
      <c r="N1288" s="3">
        <v>49</v>
      </c>
      <c r="O1288" s="3" t="s">
        <v>20</v>
      </c>
      <c r="P1288" s="3" t="s">
        <v>21</v>
      </c>
      <c r="Q1288" s="4">
        <v>4</v>
      </c>
      <c r="R1288" s="4" t="str">
        <f>IF(Table1[[#This Row],[Customer Ratings]]&gt;=4, "Good",IF(Table1[[#This Row],[Customer Ratings]]=3, "Average","Poor"))</f>
        <v>Good</v>
      </c>
      <c r="S1288" s="3" t="s">
        <v>22</v>
      </c>
    </row>
    <row r="1289" spans="1:19" x14ac:dyDescent="0.25">
      <c r="A1289" s="3">
        <v>1288</v>
      </c>
      <c r="B1289" s="5">
        <f>DATE(Table1[[#This Row],[Year]],Table1[[#This Row],[Month]],Table1[[#This Row],[Day]])</f>
        <v>44845</v>
      </c>
      <c r="C1289" s="3">
        <v>11</v>
      </c>
      <c r="D1289" s="3">
        <v>10</v>
      </c>
      <c r="E1289" s="3">
        <v>2022</v>
      </c>
      <c r="F1289" s="3" t="str">
        <f>"Qtr"&amp; " " &amp;CHOOSE(MONTH(Table1[[#This Row],[Date]]),1,1,1,2,2,2,3,3,3,4,4,4)</f>
        <v>Qtr 4</v>
      </c>
      <c r="G1289" s="3" t="str">
        <f>TEXT(Table1[[#This Row],[Date]],"mmmm")</f>
        <v>October</v>
      </c>
      <c r="H1289" s="3" t="s">
        <v>1082</v>
      </c>
      <c r="I1289" s="3" t="s">
        <v>28</v>
      </c>
      <c r="J1289" s="3">
        <v>4</v>
      </c>
      <c r="K1289" s="3">
        <v>32884.92</v>
      </c>
      <c r="L1289" s="3">
        <f>Table1[[#This Row],[Price Per Unit]]*Table1[[#This Row],[Units Sold]]</f>
        <v>131539.68</v>
      </c>
      <c r="M1289" s="3" t="s">
        <v>796</v>
      </c>
      <c r="N1289" s="3">
        <v>37</v>
      </c>
      <c r="O1289" s="3" t="s">
        <v>24</v>
      </c>
      <c r="P1289" s="3" t="s">
        <v>16</v>
      </c>
      <c r="Q1289" s="4">
        <v>1</v>
      </c>
      <c r="R1289" s="4" t="str">
        <f>IF(Table1[[#This Row],[Customer Ratings]]&gt;=4, "Good",IF(Table1[[#This Row],[Customer Ratings]]=3, "Average","Poor"))</f>
        <v>Poor</v>
      </c>
      <c r="S1289" s="3" t="s">
        <v>87</v>
      </c>
    </row>
    <row r="1290" spans="1:19" x14ac:dyDescent="0.25">
      <c r="A1290" s="3">
        <v>1289</v>
      </c>
      <c r="B1290" s="5">
        <f>DATE(Table1[[#This Row],[Year]],Table1[[#This Row],[Month]],Table1[[#This Row],[Day]])</f>
        <v>44846</v>
      </c>
      <c r="C1290" s="3">
        <v>12</v>
      </c>
      <c r="D1290" s="3">
        <v>10</v>
      </c>
      <c r="E1290" s="3">
        <v>2022</v>
      </c>
      <c r="F1290" s="3" t="str">
        <f>"Qtr"&amp; " " &amp;CHOOSE(MONTH(Table1[[#This Row],[Date]]),1,1,1,2,2,2,3,3,3,4,4,4)</f>
        <v>Qtr 4</v>
      </c>
      <c r="G1290" s="3" t="str">
        <f>TEXT(Table1[[#This Row],[Date]],"mmmm")</f>
        <v>October</v>
      </c>
      <c r="H1290" s="3" t="s">
        <v>1083</v>
      </c>
      <c r="I1290" s="3" t="s">
        <v>13</v>
      </c>
      <c r="J1290" s="3">
        <v>1</v>
      </c>
      <c r="K1290" s="3">
        <v>14719.72</v>
      </c>
      <c r="L1290" s="3">
        <f>Table1[[#This Row],[Price Per Unit]]*Table1[[#This Row],[Units Sold]]</f>
        <v>14719.72</v>
      </c>
      <c r="M1290" s="3" t="s">
        <v>479</v>
      </c>
      <c r="N1290" s="3">
        <v>34</v>
      </c>
      <c r="O1290" s="3" t="s">
        <v>35</v>
      </c>
      <c r="P1290" s="3" t="s">
        <v>31</v>
      </c>
      <c r="Q1290" s="4">
        <v>5</v>
      </c>
      <c r="R1290" s="4" t="str">
        <f>IF(Table1[[#This Row],[Customer Ratings]]&gt;=4, "Good",IF(Table1[[#This Row],[Customer Ratings]]=3, "Average","Poor"))</f>
        <v>Good</v>
      </c>
      <c r="S1290" s="3" t="s">
        <v>17</v>
      </c>
    </row>
    <row r="1291" spans="1:19" x14ac:dyDescent="0.25">
      <c r="A1291" s="3">
        <v>1290</v>
      </c>
      <c r="B1291" s="5">
        <f>DATE(Table1[[#This Row],[Year]],Table1[[#This Row],[Month]],Table1[[#This Row],[Day]])</f>
        <v>44846</v>
      </c>
      <c r="C1291" s="3">
        <v>12</v>
      </c>
      <c r="D1291" s="3">
        <v>10</v>
      </c>
      <c r="E1291" s="3">
        <v>2022</v>
      </c>
      <c r="F1291" s="3" t="str">
        <f>"Qtr"&amp; " " &amp;CHOOSE(MONTH(Table1[[#This Row],[Date]]),1,1,1,2,2,2,3,3,3,4,4,4)</f>
        <v>Qtr 4</v>
      </c>
      <c r="G1291" s="3" t="str">
        <f>TEXT(Table1[[#This Row],[Date]],"mmmm")</f>
        <v>October</v>
      </c>
      <c r="H1291" s="3" t="s">
        <v>1083</v>
      </c>
      <c r="I1291" s="3" t="s">
        <v>33</v>
      </c>
      <c r="J1291" s="3">
        <v>4</v>
      </c>
      <c r="K1291" s="3">
        <v>20312.419999999998</v>
      </c>
      <c r="L1291" s="3">
        <f>Table1[[#This Row],[Price Per Unit]]*Table1[[#This Row],[Units Sold]]</f>
        <v>81249.679999999993</v>
      </c>
      <c r="M1291" s="3" t="s">
        <v>797</v>
      </c>
      <c r="N1291" s="3">
        <v>51</v>
      </c>
      <c r="O1291" s="3" t="s">
        <v>20</v>
      </c>
      <c r="P1291" s="3" t="s">
        <v>45</v>
      </c>
      <c r="Q1291" s="4">
        <v>5</v>
      </c>
      <c r="R1291" s="4" t="str">
        <f>IF(Table1[[#This Row],[Customer Ratings]]&gt;=4, "Good",IF(Table1[[#This Row],[Customer Ratings]]=3, "Average","Poor"))</f>
        <v>Good</v>
      </c>
      <c r="S1291" s="3" t="s">
        <v>46</v>
      </c>
    </row>
    <row r="1292" spans="1:19" x14ac:dyDescent="0.25">
      <c r="A1292" s="3">
        <v>1291</v>
      </c>
      <c r="B1292" s="5">
        <f>DATE(Table1[[#This Row],[Year]],Table1[[#This Row],[Month]],Table1[[#This Row],[Day]])</f>
        <v>44846</v>
      </c>
      <c r="C1292" s="3">
        <v>12</v>
      </c>
      <c r="D1292" s="3">
        <v>10</v>
      </c>
      <c r="E1292" s="3">
        <v>2022</v>
      </c>
      <c r="F1292" s="3" t="str">
        <f>"Qtr"&amp; " " &amp;CHOOSE(MONTH(Table1[[#This Row],[Date]]),1,1,1,2,2,2,3,3,3,4,4,4)</f>
        <v>Qtr 4</v>
      </c>
      <c r="G1292" s="3" t="str">
        <f>TEXT(Table1[[#This Row],[Date]],"mmmm")</f>
        <v>October</v>
      </c>
      <c r="H1292" s="3" t="s">
        <v>1083</v>
      </c>
      <c r="I1292" s="3" t="s">
        <v>13</v>
      </c>
      <c r="J1292" s="3">
        <v>2</v>
      </c>
      <c r="K1292" s="3">
        <v>13553.4</v>
      </c>
      <c r="L1292" s="3">
        <f>Table1[[#This Row],[Price Per Unit]]*Table1[[#This Row],[Units Sold]]</f>
        <v>27106.799999999999</v>
      </c>
      <c r="M1292" s="3" t="s">
        <v>229</v>
      </c>
      <c r="N1292" s="3">
        <v>52</v>
      </c>
      <c r="O1292" s="3" t="s">
        <v>24</v>
      </c>
      <c r="P1292" s="3" t="s">
        <v>31</v>
      </c>
      <c r="Q1292" s="4">
        <v>5</v>
      </c>
      <c r="R1292" s="4" t="str">
        <f>IF(Table1[[#This Row],[Customer Ratings]]&gt;=4, "Good",IF(Table1[[#This Row],[Customer Ratings]]=3, "Average","Poor"))</f>
        <v>Good</v>
      </c>
      <c r="S1292" s="3" t="s">
        <v>27</v>
      </c>
    </row>
    <row r="1293" spans="1:19" x14ac:dyDescent="0.25">
      <c r="A1293" s="3">
        <v>1292</v>
      </c>
      <c r="B1293" s="5">
        <f>DATE(Table1[[#This Row],[Year]],Table1[[#This Row],[Month]],Table1[[#This Row],[Day]])</f>
        <v>44847</v>
      </c>
      <c r="C1293" s="3">
        <v>13</v>
      </c>
      <c r="D1293" s="3">
        <v>10</v>
      </c>
      <c r="E1293" s="3">
        <v>2022</v>
      </c>
      <c r="F1293" s="3" t="str">
        <f>"Qtr"&amp; " " &amp;CHOOSE(MONTH(Table1[[#This Row],[Date]]),1,1,1,2,2,2,3,3,3,4,4,4)</f>
        <v>Qtr 4</v>
      </c>
      <c r="G1293" s="3" t="str">
        <f>TEXT(Table1[[#This Row],[Date]],"mmmm")</f>
        <v>October</v>
      </c>
      <c r="H1293" s="3" t="s">
        <v>1084</v>
      </c>
      <c r="I1293" s="3" t="s">
        <v>39</v>
      </c>
      <c r="J1293" s="3">
        <v>5</v>
      </c>
      <c r="K1293" s="3">
        <v>16323.82</v>
      </c>
      <c r="L1293" s="3">
        <f>Table1[[#This Row],[Price Per Unit]]*Table1[[#This Row],[Units Sold]]</f>
        <v>81619.100000000006</v>
      </c>
      <c r="M1293" s="3" t="s">
        <v>798</v>
      </c>
      <c r="N1293" s="3">
        <v>52</v>
      </c>
      <c r="O1293" s="3" t="s">
        <v>65</v>
      </c>
      <c r="P1293" s="3" t="s">
        <v>45</v>
      </c>
      <c r="Q1293" s="4">
        <v>1</v>
      </c>
      <c r="R1293" s="4" t="str">
        <f>IF(Table1[[#This Row],[Customer Ratings]]&gt;=4, "Good",IF(Table1[[#This Row],[Customer Ratings]]=3, "Average","Poor"))</f>
        <v>Poor</v>
      </c>
      <c r="S1293" s="3" t="s">
        <v>76</v>
      </c>
    </row>
    <row r="1294" spans="1:19" x14ac:dyDescent="0.25">
      <c r="A1294" s="3">
        <v>1293</v>
      </c>
      <c r="B1294" s="5">
        <f>DATE(Table1[[#This Row],[Year]],Table1[[#This Row],[Month]],Table1[[#This Row],[Day]])</f>
        <v>44847</v>
      </c>
      <c r="C1294" s="3">
        <v>13</v>
      </c>
      <c r="D1294" s="3">
        <v>10</v>
      </c>
      <c r="E1294" s="3">
        <v>2022</v>
      </c>
      <c r="F1294" s="3" t="str">
        <f>"Qtr"&amp; " " &amp;CHOOSE(MONTH(Table1[[#This Row],[Date]]),1,1,1,2,2,2,3,3,3,4,4,4)</f>
        <v>Qtr 4</v>
      </c>
      <c r="G1294" s="3" t="str">
        <f>TEXT(Table1[[#This Row],[Date]],"mmmm")</f>
        <v>October</v>
      </c>
      <c r="H1294" s="3" t="s">
        <v>1084</v>
      </c>
      <c r="I1294" s="3" t="s">
        <v>33</v>
      </c>
      <c r="J1294" s="3">
        <v>9</v>
      </c>
      <c r="K1294" s="3">
        <v>21079.07</v>
      </c>
      <c r="L1294" s="3">
        <f>Table1[[#This Row],[Price Per Unit]]*Table1[[#This Row],[Units Sold]]</f>
        <v>189711.63</v>
      </c>
      <c r="M1294" s="3" t="s">
        <v>542</v>
      </c>
      <c r="N1294" s="3">
        <v>55</v>
      </c>
      <c r="O1294" s="3" t="s">
        <v>24</v>
      </c>
      <c r="P1294" s="3" t="s">
        <v>45</v>
      </c>
      <c r="Q1294" s="4">
        <v>5</v>
      </c>
      <c r="R1294" s="4" t="str">
        <f>IF(Table1[[#This Row],[Customer Ratings]]&gt;=4, "Good",IF(Table1[[#This Row],[Customer Ratings]]=3, "Average","Poor"))</f>
        <v>Good</v>
      </c>
      <c r="S1294" s="3" t="s">
        <v>83</v>
      </c>
    </row>
    <row r="1295" spans="1:19" x14ac:dyDescent="0.25">
      <c r="A1295" s="3">
        <v>1294</v>
      </c>
      <c r="B1295" s="5">
        <f>DATE(Table1[[#This Row],[Year]],Table1[[#This Row],[Month]],Table1[[#This Row],[Day]])</f>
        <v>44847</v>
      </c>
      <c r="C1295" s="3">
        <v>13</v>
      </c>
      <c r="D1295" s="3">
        <v>10</v>
      </c>
      <c r="E1295" s="3">
        <v>2022</v>
      </c>
      <c r="F1295" s="3" t="str">
        <f>"Qtr"&amp; " " &amp;CHOOSE(MONTH(Table1[[#This Row],[Date]]),1,1,1,2,2,2,3,3,3,4,4,4)</f>
        <v>Qtr 4</v>
      </c>
      <c r="G1295" s="3" t="str">
        <f>TEXT(Table1[[#This Row],[Date]],"mmmm")</f>
        <v>October</v>
      </c>
      <c r="H1295" s="3" t="s">
        <v>1084</v>
      </c>
      <c r="I1295" s="3" t="s">
        <v>18</v>
      </c>
      <c r="J1295" s="3">
        <v>3</v>
      </c>
      <c r="K1295" s="3">
        <v>30465.66</v>
      </c>
      <c r="L1295" s="3">
        <f>Table1[[#This Row],[Price Per Unit]]*Table1[[#This Row],[Units Sold]]</f>
        <v>91396.98</v>
      </c>
      <c r="M1295" s="3" t="s">
        <v>84</v>
      </c>
      <c r="N1295" s="3">
        <v>59</v>
      </c>
      <c r="O1295" s="3" t="s">
        <v>24</v>
      </c>
      <c r="P1295" s="3" t="s">
        <v>31</v>
      </c>
      <c r="Q1295" s="4">
        <v>1</v>
      </c>
      <c r="R1295" s="4" t="str">
        <f>IF(Table1[[#This Row],[Customer Ratings]]&gt;=4, "Good",IF(Table1[[#This Row],[Customer Ratings]]=3, "Average","Poor"))</f>
        <v>Poor</v>
      </c>
      <c r="S1295" s="3" t="s">
        <v>25</v>
      </c>
    </row>
    <row r="1296" spans="1:19" x14ac:dyDescent="0.25">
      <c r="A1296" s="3">
        <v>1295</v>
      </c>
      <c r="B1296" s="5">
        <f>DATE(Table1[[#This Row],[Year]],Table1[[#This Row],[Month]],Table1[[#This Row],[Day]])</f>
        <v>44848</v>
      </c>
      <c r="C1296" s="3">
        <v>14</v>
      </c>
      <c r="D1296" s="3">
        <v>10</v>
      </c>
      <c r="E1296" s="3">
        <v>2022</v>
      </c>
      <c r="F1296" s="3" t="str">
        <f>"Qtr"&amp; " " &amp;CHOOSE(MONTH(Table1[[#This Row],[Date]]),1,1,1,2,2,2,3,3,3,4,4,4)</f>
        <v>Qtr 4</v>
      </c>
      <c r="G1296" s="3" t="str">
        <f>TEXT(Table1[[#This Row],[Date]],"mmmm")</f>
        <v>October</v>
      </c>
      <c r="H1296" s="3" t="s">
        <v>1085</v>
      </c>
      <c r="I1296" s="3" t="s">
        <v>28</v>
      </c>
      <c r="J1296" s="3">
        <v>8</v>
      </c>
      <c r="K1296" s="3">
        <v>42612.38</v>
      </c>
      <c r="L1296" s="3">
        <f>Table1[[#This Row],[Price Per Unit]]*Table1[[#This Row],[Units Sold]]</f>
        <v>340899.04</v>
      </c>
      <c r="M1296" s="3" t="s">
        <v>799</v>
      </c>
      <c r="N1296" s="3">
        <v>41</v>
      </c>
      <c r="O1296" s="3" t="s">
        <v>125</v>
      </c>
      <c r="P1296" s="3" t="s">
        <v>21</v>
      </c>
      <c r="Q1296" s="4">
        <v>4</v>
      </c>
      <c r="R1296" s="4" t="str">
        <f>IF(Table1[[#This Row],[Customer Ratings]]&gt;=4, "Good",IF(Table1[[#This Row],[Customer Ratings]]=3, "Average","Poor"))</f>
        <v>Good</v>
      </c>
      <c r="S1296" s="3" t="s">
        <v>32</v>
      </c>
    </row>
    <row r="1297" spans="1:19" x14ac:dyDescent="0.25">
      <c r="A1297" s="3">
        <v>1296</v>
      </c>
      <c r="B1297" s="5">
        <f>DATE(Table1[[#This Row],[Year]],Table1[[#This Row],[Month]],Table1[[#This Row],[Day]])</f>
        <v>44848</v>
      </c>
      <c r="C1297" s="3">
        <v>14</v>
      </c>
      <c r="D1297" s="3">
        <v>10</v>
      </c>
      <c r="E1297" s="3">
        <v>2022</v>
      </c>
      <c r="F1297" s="3" t="str">
        <f>"Qtr"&amp; " " &amp;CHOOSE(MONTH(Table1[[#This Row],[Date]]),1,1,1,2,2,2,3,3,3,4,4,4)</f>
        <v>Qtr 4</v>
      </c>
      <c r="G1297" s="3" t="str">
        <f>TEXT(Table1[[#This Row],[Date]],"mmmm")</f>
        <v>October</v>
      </c>
      <c r="H1297" s="3" t="s">
        <v>1085</v>
      </c>
      <c r="I1297" s="3" t="s">
        <v>13</v>
      </c>
      <c r="J1297" s="3">
        <v>3</v>
      </c>
      <c r="K1297" s="3">
        <v>52700.92</v>
      </c>
      <c r="L1297" s="3">
        <f>Table1[[#This Row],[Price Per Unit]]*Table1[[#This Row],[Units Sold]]</f>
        <v>158102.76</v>
      </c>
      <c r="M1297" s="3" t="s">
        <v>561</v>
      </c>
      <c r="N1297" s="3">
        <v>35</v>
      </c>
      <c r="O1297" s="3" t="s">
        <v>24</v>
      </c>
      <c r="P1297" s="3" t="s">
        <v>21</v>
      </c>
      <c r="Q1297" s="4">
        <v>5</v>
      </c>
      <c r="R1297" s="4" t="str">
        <f>IF(Table1[[#This Row],[Customer Ratings]]&gt;=4, "Good",IF(Table1[[#This Row],[Customer Ratings]]=3, "Average","Poor"))</f>
        <v>Good</v>
      </c>
      <c r="S1297" s="3" t="s">
        <v>72</v>
      </c>
    </row>
    <row r="1298" spans="1:19" x14ac:dyDescent="0.25">
      <c r="A1298" s="3">
        <v>1297</v>
      </c>
      <c r="B1298" s="5">
        <f>DATE(Table1[[#This Row],[Year]],Table1[[#This Row],[Month]],Table1[[#This Row],[Day]])</f>
        <v>44848</v>
      </c>
      <c r="C1298" s="3">
        <v>14</v>
      </c>
      <c r="D1298" s="3">
        <v>10</v>
      </c>
      <c r="E1298" s="3">
        <v>2022</v>
      </c>
      <c r="F1298" s="3" t="str">
        <f>"Qtr"&amp; " " &amp;CHOOSE(MONTH(Table1[[#This Row],[Date]]),1,1,1,2,2,2,3,3,3,4,4,4)</f>
        <v>Qtr 4</v>
      </c>
      <c r="G1298" s="3" t="str">
        <f>TEXT(Table1[[#This Row],[Date]],"mmmm")</f>
        <v>October</v>
      </c>
      <c r="H1298" s="3" t="s">
        <v>1085</v>
      </c>
      <c r="I1298" s="3" t="s">
        <v>33</v>
      </c>
      <c r="J1298" s="3">
        <v>6</v>
      </c>
      <c r="K1298" s="3">
        <v>22655.64</v>
      </c>
      <c r="L1298" s="3">
        <f>Table1[[#This Row],[Price Per Unit]]*Table1[[#This Row],[Units Sold]]</f>
        <v>135933.84</v>
      </c>
      <c r="M1298" s="3" t="s">
        <v>749</v>
      </c>
      <c r="N1298" s="3">
        <v>56</v>
      </c>
      <c r="O1298" s="3" t="s">
        <v>20</v>
      </c>
      <c r="P1298" s="3" t="s">
        <v>45</v>
      </c>
      <c r="Q1298" s="4">
        <v>5</v>
      </c>
      <c r="R1298" s="4" t="str">
        <f>IF(Table1[[#This Row],[Customer Ratings]]&gt;=4, "Good",IF(Table1[[#This Row],[Customer Ratings]]=3, "Average","Poor"))</f>
        <v>Good</v>
      </c>
      <c r="S1298" s="3" t="s">
        <v>46</v>
      </c>
    </row>
    <row r="1299" spans="1:19" x14ac:dyDescent="0.25">
      <c r="A1299" s="3">
        <v>1298</v>
      </c>
      <c r="B1299" s="5">
        <f>DATE(Table1[[#This Row],[Year]],Table1[[#This Row],[Month]],Table1[[#This Row],[Day]])</f>
        <v>44848</v>
      </c>
      <c r="C1299" s="3">
        <v>14</v>
      </c>
      <c r="D1299" s="3">
        <v>10</v>
      </c>
      <c r="E1299" s="3">
        <v>2022</v>
      </c>
      <c r="F1299" s="3" t="str">
        <f>"Qtr"&amp; " " &amp;CHOOSE(MONTH(Table1[[#This Row],[Date]]),1,1,1,2,2,2,3,3,3,4,4,4)</f>
        <v>Qtr 4</v>
      </c>
      <c r="G1299" s="3" t="str">
        <f>TEXT(Table1[[#This Row],[Date]],"mmmm")</f>
        <v>October</v>
      </c>
      <c r="H1299" s="3" t="s">
        <v>1085</v>
      </c>
      <c r="I1299" s="3" t="s">
        <v>39</v>
      </c>
      <c r="J1299" s="3">
        <v>4</v>
      </c>
      <c r="K1299" s="3">
        <v>50351.34</v>
      </c>
      <c r="L1299" s="3">
        <f>Table1[[#This Row],[Price Per Unit]]*Table1[[#This Row],[Units Sold]]</f>
        <v>201405.36</v>
      </c>
      <c r="M1299" s="3" t="s">
        <v>800</v>
      </c>
      <c r="N1299" s="3">
        <v>50</v>
      </c>
      <c r="O1299" s="3" t="s">
        <v>15</v>
      </c>
      <c r="P1299" s="3" t="s">
        <v>21</v>
      </c>
      <c r="Q1299" s="4">
        <v>4</v>
      </c>
      <c r="R1299" s="4" t="str">
        <f>IF(Table1[[#This Row],[Customer Ratings]]&gt;=4, "Good",IF(Table1[[#This Row],[Customer Ratings]]=3, "Average","Poor"))</f>
        <v>Good</v>
      </c>
      <c r="S1299" s="3" t="s">
        <v>76</v>
      </c>
    </row>
    <row r="1300" spans="1:19" x14ac:dyDescent="0.25">
      <c r="A1300" s="3">
        <v>1299</v>
      </c>
      <c r="B1300" s="5">
        <f>DATE(Table1[[#This Row],[Year]],Table1[[#This Row],[Month]],Table1[[#This Row],[Day]])</f>
        <v>44849</v>
      </c>
      <c r="C1300" s="3">
        <v>15</v>
      </c>
      <c r="D1300" s="3">
        <v>10</v>
      </c>
      <c r="E1300" s="3">
        <v>2022</v>
      </c>
      <c r="F1300" s="3" t="str">
        <f>"Qtr"&amp; " " &amp;CHOOSE(MONTH(Table1[[#This Row],[Date]]),1,1,1,2,2,2,3,3,3,4,4,4)</f>
        <v>Qtr 4</v>
      </c>
      <c r="G1300" s="3" t="str">
        <f>TEXT(Table1[[#This Row],[Date]],"mmmm")</f>
        <v>October</v>
      </c>
      <c r="H1300" s="3" t="s">
        <v>1079</v>
      </c>
      <c r="I1300" s="3" t="s">
        <v>33</v>
      </c>
      <c r="J1300" s="3">
        <v>8</v>
      </c>
      <c r="K1300" s="3">
        <v>52255.54</v>
      </c>
      <c r="L1300" s="3">
        <f>Table1[[#This Row],[Price Per Unit]]*Table1[[#This Row],[Units Sold]]</f>
        <v>418044.32</v>
      </c>
      <c r="M1300" s="3" t="s">
        <v>646</v>
      </c>
      <c r="N1300" s="3">
        <v>40</v>
      </c>
      <c r="O1300" s="3" t="s">
        <v>102</v>
      </c>
      <c r="P1300" s="3" t="s">
        <v>16</v>
      </c>
      <c r="Q1300" s="4">
        <v>5</v>
      </c>
      <c r="R1300" s="4" t="str">
        <f>IF(Table1[[#This Row],[Customer Ratings]]&gt;=4, "Good",IF(Table1[[#This Row],[Customer Ratings]]=3, "Average","Poor"))</f>
        <v>Good</v>
      </c>
      <c r="S1300" s="3" t="s">
        <v>83</v>
      </c>
    </row>
    <row r="1301" spans="1:19" x14ac:dyDescent="0.25">
      <c r="A1301" s="3">
        <v>1300</v>
      </c>
      <c r="B1301" s="5">
        <f>DATE(Table1[[#This Row],[Year]],Table1[[#This Row],[Month]],Table1[[#This Row],[Day]])</f>
        <v>44849</v>
      </c>
      <c r="C1301" s="3">
        <v>15</v>
      </c>
      <c r="D1301" s="3">
        <v>10</v>
      </c>
      <c r="E1301" s="3">
        <v>2022</v>
      </c>
      <c r="F1301" s="3" t="str">
        <f>"Qtr"&amp; " " &amp;CHOOSE(MONTH(Table1[[#This Row],[Date]]),1,1,1,2,2,2,3,3,3,4,4,4)</f>
        <v>Qtr 4</v>
      </c>
      <c r="G1301" s="3" t="str">
        <f>TEXT(Table1[[#This Row],[Date]],"mmmm")</f>
        <v>October</v>
      </c>
      <c r="H1301" s="3" t="s">
        <v>1079</v>
      </c>
      <c r="I1301" s="3" t="s">
        <v>39</v>
      </c>
      <c r="J1301" s="3">
        <v>6</v>
      </c>
      <c r="K1301" s="3">
        <v>43517.34</v>
      </c>
      <c r="L1301" s="3">
        <f>Table1[[#This Row],[Price Per Unit]]*Table1[[#This Row],[Units Sold]]</f>
        <v>261104.03999999998</v>
      </c>
      <c r="M1301" s="3" t="s">
        <v>801</v>
      </c>
      <c r="N1301" s="3">
        <v>42</v>
      </c>
      <c r="O1301" s="3" t="s">
        <v>41</v>
      </c>
      <c r="P1301" s="3" t="s">
        <v>16</v>
      </c>
      <c r="Q1301" s="4">
        <v>3</v>
      </c>
      <c r="R1301" s="4" t="str">
        <f>IF(Table1[[#This Row],[Customer Ratings]]&gt;=4, "Good",IF(Table1[[#This Row],[Customer Ratings]]=3, "Average","Poor"))</f>
        <v>Average</v>
      </c>
      <c r="S1301" s="3" t="s">
        <v>42</v>
      </c>
    </row>
    <row r="1302" spans="1:19" x14ac:dyDescent="0.25">
      <c r="A1302" s="3">
        <v>1301</v>
      </c>
      <c r="B1302" s="5">
        <f>DATE(Table1[[#This Row],[Year]],Table1[[#This Row],[Month]],Table1[[#This Row],[Day]])</f>
        <v>44849</v>
      </c>
      <c r="C1302" s="3">
        <v>15</v>
      </c>
      <c r="D1302" s="3">
        <v>10</v>
      </c>
      <c r="E1302" s="3">
        <v>2022</v>
      </c>
      <c r="F1302" s="3" t="str">
        <f>"Qtr"&amp; " " &amp;CHOOSE(MONTH(Table1[[#This Row],[Date]]),1,1,1,2,2,2,3,3,3,4,4,4)</f>
        <v>Qtr 4</v>
      </c>
      <c r="G1302" s="3" t="str">
        <f>TEXT(Table1[[#This Row],[Date]],"mmmm")</f>
        <v>October</v>
      </c>
      <c r="H1302" s="3" t="s">
        <v>1079</v>
      </c>
      <c r="I1302" s="3" t="s">
        <v>18</v>
      </c>
      <c r="J1302" s="3">
        <v>8</v>
      </c>
      <c r="K1302" s="3">
        <v>64217.07</v>
      </c>
      <c r="L1302" s="3">
        <f>Table1[[#This Row],[Price Per Unit]]*Table1[[#This Row],[Units Sold]]</f>
        <v>513736.56</v>
      </c>
      <c r="M1302" s="3" t="s">
        <v>352</v>
      </c>
      <c r="N1302" s="3">
        <v>54</v>
      </c>
      <c r="O1302" s="3" t="s">
        <v>20</v>
      </c>
      <c r="P1302" s="3" t="s">
        <v>45</v>
      </c>
      <c r="Q1302" s="4">
        <v>1</v>
      </c>
      <c r="R1302" s="4" t="str">
        <f>IF(Table1[[#This Row],[Customer Ratings]]&gt;=4, "Good",IF(Table1[[#This Row],[Customer Ratings]]=3, "Average","Poor"))</f>
        <v>Poor</v>
      </c>
      <c r="S1302" s="3" t="s">
        <v>55</v>
      </c>
    </row>
    <row r="1303" spans="1:19" x14ac:dyDescent="0.25">
      <c r="A1303" s="3">
        <v>1302</v>
      </c>
      <c r="B1303" s="5">
        <f>DATE(Table1[[#This Row],[Year]],Table1[[#This Row],[Month]],Table1[[#This Row],[Day]])</f>
        <v>44849</v>
      </c>
      <c r="C1303" s="3">
        <v>15</v>
      </c>
      <c r="D1303" s="3">
        <v>10</v>
      </c>
      <c r="E1303" s="3">
        <v>2022</v>
      </c>
      <c r="F1303" s="3" t="str">
        <f>"Qtr"&amp; " " &amp;CHOOSE(MONTH(Table1[[#This Row],[Date]]),1,1,1,2,2,2,3,3,3,4,4,4)</f>
        <v>Qtr 4</v>
      </c>
      <c r="G1303" s="3" t="str">
        <f>TEXT(Table1[[#This Row],[Date]],"mmmm")</f>
        <v>October</v>
      </c>
      <c r="H1303" s="3" t="s">
        <v>1079</v>
      </c>
      <c r="I1303" s="3" t="s">
        <v>28</v>
      </c>
      <c r="J1303" s="3">
        <v>1</v>
      </c>
      <c r="K1303" s="3">
        <v>16659.689999999999</v>
      </c>
      <c r="L1303" s="3">
        <f>Table1[[#This Row],[Price Per Unit]]*Table1[[#This Row],[Units Sold]]</f>
        <v>16659.689999999999</v>
      </c>
      <c r="M1303" s="3" t="s">
        <v>724</v>
      </c>
      <c r="N1303" s="3">
        <v>44</v>
      </c>
      <c r="O1303" s="3" t="s">
        <v>120</v>
      </c>
      <c r="P1303" s="3" t="s">
        <v>21</v>
      </c>
      <c r="Q1303" s="4">
        <v>5</v>
      </c>
      <c r="R1303" s="4" t="str">
        <f>IF(Table1[[#This Row],[Customer Ratings]]&gt;=4, "Good",IF(Table1[[#This Row],[Customer Ratings]]=3, "Average","Poor"))</f>
        <v>Good</v>
      </c>
      <c r="S1303" s="3" t="s">
        <v>87</v>
      </c>
    </row>
    <row r="1304" spans="1:19" x14ac:dyDescent="0.25">
      <c r="A1304" s="3">
        <v>1303</v>
      </c>
      <c r="B1304" s="5">
        <f>DATE(Table1[[#This Row],[Year]],Table1[[#This Row],[Month]],Table1[[#This Row],[Day]])</f>
        <v>44850</v>
      </c>
      <c r="C1304" s="3">
        <v>16</v>
      </c>
      <c r="D1304" s="3">
        <v>10</v>
      </c>
      <c r="E1304" s="3">
        <v>2022</v>
      </c>
      <c r="F1304" s="3" t="str">
        <f>"Qtr"&amp; " " &amp;CHOOSE(MONTH(Table1[[#This Row],[Date]]),1,1,1,2,2,2,3,3,3,4,4,4)</f>
        <v>Qtr 4</v>
      </c>
      <c r="G1304" s="3" t="str">
        <f>TEXT(Table1[[#This Row],[Date]],"mmmm")</f>
        <v>October</v>
      </c>
      <c r="H1304" s="3" t="s">
        <v>1080</v>
      </c>
      <c r="I1304" s="3" t="s">
        <v>18</v>
      </c>
      <c r="J1304" s="3">
        <v>6</v>
      </c>
      <c r="K1304" s="3">
        <v>20627.29</v>
      </c>
      <c r="L1304" s="3">
        <f>Table1[[#This Row],[Price Per Unit]]*Table1[[#This Row],[Units Sold]]</f>
        <v>123763.74</v>
      </c>
      <c r="M1304" s="3" t="s">
        <v>802</v>
      </c>
      <c r="N1304" s="3">
        <v>18</v>
      </c>
      <c r="O1304" s="3" t="s">
        <v>52</v>
      </c>
      <c r="P1304" s="3" t="s">
        <v>45</v>
      </c>
      <c r="Q1304" s="4">
        <v>3</v>
      </c>
      <c r="R1304" s="4" t="str">
        <f>IF(Table1[[#This Row],[Customer Ratings]]&gt;=4, "Good",IF(Table1[[#This Row],[Customer Ratings]]=3, "Average","Poor"))</f>
        <v>Average</v>
      </c>
      <c r="S1304" s="3" t="s">
        <v>55</v>
      </c>
    </row>
    <row r="1305" spans="1:19" x14ac:dyDescent="0.25">
      <c r="A1305" s="3">
        <v>1304</v>
      </c>
      <c r="B1305" s="5">
        <f>DATE(Table1[[#This Row],[Year]],Table1[[#This Row],[Month]],Table1[[#This Row],[Day]])</f>
        <v>44850</v>
      </c>
      <c r="C1305" s="3">
        <v>16</v>
      </c>
      <c r="D1305" s="3">
        <v>10</v>
      </c>
      <c r="E1305" s="3">
        <v>2022</v>
      </c>
      <c r="F1305" s="3" t="str">
        <f>"Qtr"&amp; " " &amp;CHOOSE(MONTH(Table1[[#This Row],[Date]]),1,1,1,2,2,2,3,3,3,4,4,4)</f>
        <v>Qtr 4</v>
      </c>
      <c r="G1305" s="3" t="str">
        <f>TEXT(Table1[[#This Row],[Date]],"mmmm")</f>
        <v>October</v>
      </c>
      <c r="H1305" s="3" t="s">
        <v>1080</v>
      </c>
      <c r="I1305" s="3" t="s">
        <v>13</v>
      </c>
      <c r="J1305" s="3">
        <v>1</v>
      </c>
      <c r="K1305" s="3">
        <v>35719.89</v>
      </c>
      <c r="L1305" s="3">
        <f>Table1[[#This Row],[Price Per Unit]]*Table1[[#This Row],[Units Sold]]</f>
        <v>35719.89</v>
      </c>
      <c r="M1305" s="3" t="s">
        <v>703</v>
      </c>
      <c r="N1305" s="3">
        <v>38</v>
      </c>
      <c r="O1305" s="3" t="s">
        <v>81</v>
      </c>
      <c r="P1305" s="3" t="s">
        <v>16</v>
      </c>
      <c r="Q1305" s="4">
        <v>5</v>
      </c>
      <c r="R1305" s="4" t="str">
        <f>IF(Table1[[#This Row],[Customer Ratings]]&gt;=4, "Good",IF(Table1[[#This Row],[Customer Ratings]]=3, "Average","Poor"))</f>
        <v>Good</v>
      </c>
      <c r="S1305" s="3" t="s">
        <v>27</v>
      </c>
    </row>
    <row r="1306" spans="1:19" x14ac:dyDescent="0.25">
      <c r="A1306" s="3">
        <v>1305</v>
      </c>
      <c r="B1306" s="5">
        <f>DATE(Table1[[#This Row],[Year]],Table1[[#This Row],[Month]],Table1[[#This Row],[Day]])</f>
        <v>44850</v>
      </c>
      <c r="C1306" s="3">
        <v>16</v>
      </c>
      <c r="D1306" s="3">
        <v>10</v>
      </c>
      <c r="E1306" s="3">
        <v>2022</v>
      </c>
      <c r="F1306" s="3" t="str">
        <f>"Qtr"&amp; " " &amp;CHOOSE(MONTH(Table1[[#This Row],[Date]]),1,1,1,2,2,2,3,3,3,4,4,4)</f>
        <v>Qtr 4</v>
      </c>
      <c r="G1306" s="3" t="str">
        <f>TEXT(Table1[[#This Row],[Date]],"mmmm")</f>
        <v>October</v>
      </c>
      <c r="H1306" s="3" t="s">
        <v>1080</v>
      </c>
      <c r="I1306" s="3" t="s">
        <v>33</v>
      </c>
      <c r="J1306" s="3">
        <v>1</v>
      </c>
      <c r="K1306" s="3">
        <v>17602.759999999998</v>
      </c>
      <c r="L1306" s="3">
        <f>Table1[[#This Row],[Price Per Unit]]*Table1[[#This Row],[Units Sold]]</f>
        <v>17602.759999999998</v>
      </c>
      <c r="M1306" s="3" t="s">
        <v>591</v>
      </c>
      <c r="N1306" s="3">
        <v>27</v>
      </c>
      <c r="O1306" s="3" t="s">
        <v>24</v>
      </c>
      <c r="P1306" s="3" t="s">
        <v>16</v>
      </c>
      <c r="Q1306" s="4">
        <v>3</v>
      </c>
      <c r="R1306" s="4" t="str">
        <f>IF(Table1[[#This Row],[Customer Ratings]]&gt;=4, "Good",IF(Table1[[#This Row],[Customer Ratings]]=3, "Average","Poor"))</f>
        <v>Average</v>
      </c>
      <c r="S1306" s="3" t="s">
        <v>83</v>
      </c>
    </row>
    <row r="1307" spans="1:19" x14ac:dyDescent="0.25">
      <c r="A1307" s="3">
        <v>1306</v>
      </c>
      <c r="B1307" s="5">
        <f>DATE(Table1[[#This Row],[Year]],Table1[[#This Row],[Month]],Table1[[#This Row],[Day]])</f>
        <v>44850</v>
      </c>
      <c r="C1307" s="3">
        <v>16</v>
      </c>
      <c r="D1307" s="3">
        <v>10</v>
      </c>
      <c r="E1307" s="3">
        <v>2022</v>
      </c>
      <c r="F1307" s="3" t="str">
        <f>"Qtr"&amp; " " &amp;CHOOSE(MONTH(Table1[[#This Row],[Date]]),1,1,1,2,2,2,3,3,3,4,4,4)</f>
        <v>Qtr 4</v>
      </c>
      <c r="G1307" s="3" t="str">
        <f>TEXT(Table1[[#This Row],[Date]],"mmmm")</f>
        <v>October</v>
      </c>
      <c r="H1307" s="3" t="s">
        <v>1080</v>
      </c>
      <c r="I1307" s="3" t="s">
        <v>39</v>
      </c>
      <c r="J1307" s="3">
        <v>8</v>
      </c>
      <c r="K1307" s="3">
        <v>43977.77</v>
      </c>
      <c r="L1307" s="3">
        <f>Table1[[#This Row],[Price Per Unit]]*Table1[[#This Row],[Units Sold]]</f>
        <v>351822.16</v>
      </c>
      <c r="M1307" s="3" t="s">
        <v>705</v>
      </c>
      <c r="N1307" s="3">
        <v>48</v>
      </c>
      <c r="O1307" s="3" t="s">
        <v>78</v>
      </c>
      <c r="P1307" s="3" t="s">
        <v>16</v>
      </c>
      <c r="Q1307" s="4">
        <v>3</v>
      </c>
      <c r="R1307" s="4" t="str">
        <f>IF(Table1[[#This Row],[Customer Ratings]]&gt;=4, "Good",IF(Table1[[#This Row],[Customer Ratings]]=3, "Average","Poor"))</f>
        <v>Average</v>
      </c>
      <c r="S1307" s="3" t="s">
        <v>90</v>
      </c>
    </row>
    <row r="1308" spans="1:19" x14ac:dyDescent="0.25">
      <c r="A1308" s="3">
        <v>1307</v>
      </c>
      <c r="B1308" s="5">
        <f>DATE(Table1[[#This Row],[Year]],Table1[[#This Row],[Month]],Table1[[#This Row],[Day]])</f>
        <v>44851</v>
      </c>
      <c r="C1308" s="3">
        <v>17</v>
      </c>
      <c r="D1308" s="3">
        <v>10</v>
      </c>
      <c r="E1308" s="3">
        <v>2022</v>
      </c>
      <c r="F1308" s="3" t="str">
        <f>"Qtr"&amp; " " &amp;CHOOSE(MONTH(Table1[[#This Row],[Date]]),1,1,1,2,2,2,3,3,3,4,4,4)</f>
        <v>Qtr 4</v>
      </c>
      <c r="G1308" s="3" t="str">
        <f>TEXT(Table1[[#This Row],[Date]],"mmmm")</f>
        <v>October</v>
      </c>
      <c r="H1308" s="3" t="s">
        <v>1081</v>
      </c>
      <c r="I1308" s="3" t="s">
        <v>39</v>
      </c>
      <c r="J1308" s="3">
        <v>7</v>
      </c>
      <c r="K1308" s="3">
        <v>33904.03</v>
      </c>
      <c r="L1308" s="3">
        <f>Table1[[#This Row],[Price Per Unit]]*Table1[[#This Row],[Units Sold]]</f>
        <v>237328.21</v>
      </c>
      <c r="M1308" s="3" t="s">
        <v>305</v>
      </c>
      <c r="N1308" s="3">
        <v>42</v>
      </c>
      <c r="O1308" s="3" t="s">
        <v>24</v>
      </c>
      <c r="P1308" s="3" t="s">
        <v>31</v>
      </c>
      <c r="Q1308" s="4">
        <v>3</v>
      </c>
      <c r="R1308" s="4" t="str">
        <f>IF(Table1[[#This Row],[Customer Ratings]]&gt;=4, "Good",IF(Table1[[#This Row],[Customer Ratings]]=3, "Average","Poor"))</f>
        <v>Average</v>
      </c>
      <c r="S1308" s="3" t="s">
        <v>76</v>
      </c>
    </row>
    <row r="1309" spans="1:19" x14ac:dyDescent="0.25">
      <c r="A1309" s="3">
        <v>1308</v>
      </c>
      <c r="B1309" s="5">
        <f>DATE(Table1[[#This Row],[Year]],Table1[[#This Row],[Month]],Table1[[#This Row],[Day]])</f>
        <v>44851</v>
      </c>
      <c r="C1309" s="3">
        <v>17</v>
      </c>
      <c r="D1309" s="3">
        <v>10</v>
      </c>
      <c r="E1309" s="3">
        <v>2022</v>
      </c>
      <c r="F1309" s="3" t="str">
        <f>"Qtr"&amp; " " &amp;CHOOSE(MONTH(Table1[[#This Row],[Date]]),1,1,1,2,2,2,3,3,3,4,4,4)</f>
        <v>Qtr 4</v>
      </c>
      <c r="G1309" s="3" t="str">
        <f>TEXT(Table1[[#This Row],[Date]],"mmmm")</f>
        <v>October</v>
      </c>
      <c r="H1309" s="3" t="s">
        <v>1081</v>
      </c>
      <c r="I1309" s="3" t="s">
        <v>33</v>
      </c>
      <c r="J1309" s="3">
        <v>3</v>
      </c>
      <c r="K1309" s="3">
        <v>27075.75</v>
      </c>
      <c r="L1309" s="3">
        <f>Table1[[#This Row],[Price Per Unit]]*Table1[[#This Row],[Units Sold]]</f>
        <v>81227.25</v>
      </c>
      <c r="M1309" s="3" t="s">
        <v>415</v>
      </c>
      <c r="N1309" s="3">
        <v>37</v>
      </c>
      <c r="O1309" s="3" t="s">
        <v>98</v>
      </c>
      <c r="P1309" s="3" t="s">
        <v>16</v>
      </c>
      <c r="Q1309" s="4">
        <v>1</v>
      </c>
      <c r="R1309" s="4" t="str">
        <f>IF(Table1[[#This Row],[Customer Ratings]]&gt;=4, "Good",IF(Table1[[#This Row],[Customer Ratings]]=3, "Average","Poor"))</f>
        <v>Poor</v>
      </c>
      <c r="S1309" s="3" t="s">
        <v>46</v>
      </c>
    </row>
    <row r="1310" spans="1:19" x14ac:dyDescent="0.25">
      <c r="A1310" s="3">
        <v>1309</v>
      </c>
      <c r="B1310" s="5">
        <f>DATE(Table1[[#This Row],[Year]],Table1[[#This Row],[Month]],Table1[[#This Row],[Day]])</f>
        <v>44851</v>
      </c>
      <c r="C1310" s="3">
        <v>17</v>
      </c>
      <c r="D1310" s="3">
        <v>10</v>
      </c>
      <c r="E1310" s="3">
        <v>2022</v>
      </c>
      <c r="F1310" s="3" t="str">
        <f>"Qtr"&amp; " " &amp;CHOOSE(MONTH(Table1[[#This Row],[Date]]),1,1,1,2,2,2,3,3,3,4,4,4)</f>
        <v>Qtr 4</v>
      </c>
      <c r="G1310" s="3" t="str">
        <f>TEXT(Table1[[#This Row],[Date]],"mmmm")</f>
        <v>October</v>
      </c>
      <c r="H1310" s="3" t="s">
        <v>1081</v>
      </c>
      <c r="I1310" s="3" t="s">
        <v>33</v>
      </c>
      <c r="J1310" s="3">
        <v>6</v>
      </c>
      <c r="K1310" s="3">
        <v>20199.39</v>
      </c>
      <c r="L1310" s="3">
        <f>Table1[[#This Row],[Price Per Unit]]*Table1[[#This Row],[Units Sold]]</f>
        <v>121196.34</v>
      </c>
      <c r="M1310" s="3" t="s">
        <v>415</v>
      </c>
      <c r="N1310" s="3">
        <v>19</v>
      </c>
      <c r="O1310" s="3" t="s">
        <v>58</v>
      </c>
      <c r="P1310" s="3" t="s">
        <v>21</v>
      </c>
      <c r="Q1310" s="4">
        <v>5</v>
      </c>
      <c r="R1310" s="4" t="str">
        <f>IF(Table1[[#This Row],[Customer Ratings]]&gt;=4, "Good",IF(Table1[[#This Row],[Customer Ratings]]=3, "Average","Poor"))</f>
        <v>Good</v>
      </c>
      <c r="S1310" s="3" t="s">
        <v>83</v>
      </c>
    </row>
    <row r="1311" spans="1:19" x14ac:dyDescent="0.25">
      <c r="A1311" s="3">
        <v>1310</v>
      </c>
      <c r="B1311" s="5">
        <f>DATE(Table1[[#This Row],[Year]],Table1[[#This Row],[Month]],Table1[[#This Row],[Day]])</f>
        <v>44851</v>
      </c>
      <c r="C1311" s="3">
        <v>17</v>
      </c>
      <c r="D1311" s="3">
        <v>10</v>
      </c>
      <c r="E1311" s="3">
        <v>2022</v>
      </c>
      <c r="F1311" s="3" t="str">
        <f>"Qtr"&amp; " " &amp;CHOOSE(MONTH(Table1[[#This Row],[Date]]),1,1,1,2,2,2,3,3,3,4,4,4)</f>
        <v>Qtr 4</v>
      </c>
      <c r="G1311" s="3" t="str">
        <f>TEXT(Table1[[#This Row],[Date]],"mmmm")</f>
        <v>October</v>
      </c>
      <c r="H1311" s="3" t="s">
        <v>1081</v>
      </c>
      <c r="I1311" s="3" t="s">
        <v>13</v>
      </c>
      <c r="J1311" s="3">
        <v>9</v>
      </c>
      <c r="K1311" s="3">
        <v>30120.29</v>
      </c>
      <c r="L1311" s="3">
        <f>Table1[[#This Row],[Price Per Unit]]*Table1[[#This Row],[Units Sold]]</f>
        <v>271082.61</v>
      </c>
      <c r="M1311" s="3" t="s">
        <v>252</v>
      </c>
      <c r="N1311" s="3">
        <v>32</v>
      </c>
      <c r="O1311" s="3" t="s">
        <v>24</v>
      </c>
      <c r="P1311" s="3" t="s">
        <v>31</v>
      </c>
      <c r="Q1311" s="4">
        <v>4</v>
      </c>
      <c r="R1311" s="4" t="str">
        <f>IF(Table1[[#This Row],[Customer Ratings]]&gt;=4, "Good",IF(Table1[[#This Row],[Customer Ratings]]=3, "Average","Poor"))</f>
        <v>Good</v>
      </c>
      <c r="S1311" s="3" t="s">
        <v>27</v>
      </c>
    </row>
    <row r="1312" spans="1:19" x14ac:dyDescent="0.25">
      <c r="A1312" s="3">
        <v>1311</v>
      </c>
      <c r="B1312" s="5">
        <f>DATE(Table1[[#This Row],[Year]],Table1[[#This Row],[Month]],Table1[[#This Row],[Day]])</f>
        <v>44852</v>
      </c>
      <c r="C1312" s="3">
        <v>18</v>
      </c>
      <c r="D1312" s="3">
        <v>10</v>
      </c>
      <c r="E1312" s="3">
        <v>2022</v>
      </c>
      <c r="F1312" s="3" t="str">
        <f>"Qtr"&amp; " " &amp;CHOOSE(MONTH(Table1[[#This Row],[Date]]),1,1,1,2,2,2,3,3,3,4,4,4)</f>
        <v>Qtr 4</v>
      </c>
      <c r="G1312" s="3" t="str">
        <f>TEXT(Table1[[#This Row],[Date]],"mmmm")</f>
        <v>October</v>
      </c>
      <c r="H1312" s="3" t="s">
        <v>1082</v>
      </c>
      <c r="I1312" s="3" t="s">
        <v>18</v>
      </c>
      <c r="J1312" s="3">
        <v>7</v>
      </c>
      <c r="K1312" s="3">
        <v>46477.56</v>
      </c>
      <c r="L1312" s="3">
        <f>Table1[[#This Row],[Price Per Unit]]*Table1[[#This Row],[Units Sold]]</f>
        <v>325342.92</v>
      </c>
      <c r="M1312" s="3" t="s">
        <v>297</v>
      </c>
      <c r="N1312" s="3">
        <v>45</v>
      </c>
      <c r="O1312" s="3" t="s">
        <v>81</v>
      </c>
      <c r="P1312" s="3" t="s">
        <v>16</v>
      </c>
      <c r="Q1312" s="4">
        <v>4</v>
      </c>
      <c r="R1312" s="4" t="str">
        <f>IF(Table1[[#This Row],[Customer Ratings]]&gt;=4, "Good",IF(Table1[[#This Row],[Customer Ratings]]=3, "Average","Poor"))</f>
        <v>Good</v>
      </c>
      <c r="S1312" s="3" t="s">
        <v>25</v>
      </c>
    </row>
    <row r="1313" spans="1:19" x14ac:dyDescent="0.25">
      <c r="A1313" s="3">
        <v>1312</v>
      </c>
      <c r="B1313" s="5">
        <f>DATE(Table1[[#This Row],[Year]],Table1[[#This Row],[Month]],Table1[[#This Row],[Day]])</f>
        <v>44852</v>
      </c>
      <c r="C1313" s="3">
        <v>18</v>
      </c>
      <c r="D1313" s="3">
        <v>10</v>
      </c>
      <c r="E1313" s="3">
        <v>2022</v>
      </c>
      <c r="F1313" s="3" t="str">
        <f>"Qtr"&amp; " " &amp;CHOOSE(MONTH(Table1[[#This Row],[Date]]),1,1,1,2,2,2,3,3,3,4,4,4)</f>
        <v>Qtr 4</v>
      </c>
      <c r="G1313" s="3" t="str">
        <f>TEXT(Table1[[#This Row],[Date]],"mmmm")</f>
        <v>October</v>
      </c>
      <c r="H1313" s="3" t="s">
        <v>1082</v>
      </c>
      <c r="I1313" s="3" t="s">
        <v>39</v>
      </c>
      <c r="J1313" s="3">
        <v>3</v>
      </c>
      <c r="K1313" s="3">
        <v>44547.11</v>
      </c>
      <c r="L1313" s="3">
        <f>Table1[[#This Row],[Price Per Unit]]*Table1[[#This Row],[Units Sold]]</f>
        <v>133641.33000000002</v>
      </c>
      <c r="M1313" s="3" t="s">
        <v>594</v>
      </c>
      <c r="N1313" s="3">
        <v>30</v>
      </c>
      <c r="O1313" s="3" t="s">
        <v>137</v>
      </c>
      <c r="P1313" s="3" t="s">
        <v>21</v>
      </c>
      <c r="Q1313" s="4">
        <v>5</v>
      </c>
      <c r="R1313" s="4" t="str">
        <f>IF(Table1[[#This Row],[Customer Ratings]]&gt;=4, "Good",IF(Table1[[#This Row],[Customer Ratings]]=3, "Average","Poor"))</f>
        <v>Good</v>
      </c>
      <c r="S1313" s="3" t="s">
        <v>76</v>
      </c>
    </row>
    <row r="1314" spans="1:19" x14ac:dyDescent="0.25">
      <c r="A1314" s="3">
        <v>1313</v>
      </c>
      <c r="B1314" s="5">
        <f>DATE(Table1[[#This Row],[Year]],Table1[[#This Row],[Month]],Table1[[#This Row],[Day]])</f>
        <v>44852</v>
      </c>
      <c r="C1314" s="3">
        <v>18</v>
      </c>
      <c r="D1314" s="3">
        <v>10</v>
      </c>
      <c r="E1314" s="3">
        <v>2022</v>
      </c>
      <c r="F1314" s="3" t="str">
        <f>"Qtr"&amp; " " &amp;CHOOSE(MONTH(Table1[[#This Row],[Date]]),1,1,1,2,2,2,3,3,3,4,4,4)</f>
        <v>Qtr 4</v>
      </c>
      <c r="G1314" s="3" t="str">
        <f>TEXT(Table1[[#This Row],[Date]],"mmmm")</f>
        <v>October</v>
      </c>
      <c r="H1314" s="3" t="s">
        <v>1082</v>
      </c>
      <c r="I1314" s="3" t="s">
        <v>13</v>
      </c>
      <c r="J1314" s="3">
        <v>6</v>
      </c>
      <c r="K1314" s="3">
        <v>19817.439999999999</v>
      </c>
      <c r="L1314" s="3">
        <f>Table1[[#This Row],[Price Per Unit]]*Table1[[#This Row],[Units Sold]]</f>
        <v>118904.63999999998</v>
      </c>
      <c r="M1314" s="3" t="s">
        <v>734</v>
      </c>
      <c r="N1314" s="3">
        <v>31</v>
      </c>
      <c r="O1314" s="3" t="s">
        <v>24</v>
      </c>
      <c r="P1314" s="3" t="s">
        <v>16</v>
      </c>
      <c r="Q1314" s="4">
        <v>1</v>
      </c>
      <c r="R1314" s="4" t="str">
        <f>IF(Table1[[#This Row],[Customer Ratings]]&gt;=4, "Good",IF(Table1[[#This Row],[Customer Ratings]]=3, "Average","Poor"))</f>
        <v>Poor</v>
      </c>
      <c r="S1314" s="3" t="s">
        <v>27</v>
      </c>
    </row>
    <row r="1315" spans="1:19" x14ac:dyDescent="0.25">
      <c r="A1315" s="3">
        <v>1314</v>
      </c>
      <c r="B1315" s="5">
        <f>DATE(Table1[[#This Row],[Year]],Table1[[#This Row],[Month]],Table1[[#This Row],[Day]])</f>
        <v>44853</v>
      </c>
      <c r="C1315" s="3">
        <v>19</v>
      </c>
      <c r="D1315" s="3">
        <v>10</v>
      </c>
      <c r="E1315" s="3">
        <v>2022</v>
      </c>
      <c r="F1315" s="3" t="str">
        <f>"Qtr"&amp; " " &amp;CHOOSE(MONTH(Table1[[#This Row],[Date]]),1,1,1,2,2,2,3,3,3,4,4,4)</f>
        <v>Qtr 4</v>
      </c>
      <c r="G1315" s="3" t="str">
        <f>TEXT(Table1[[#This Row],[Date]],"mmmm")</f>
        <v>October</v>
      </c>
      <c r="H1315" s="3" t="s">
        <v>1083</v>
      </c>
      <c r="I1315" s="3" t="s">
        <v>18</v>
      </c>
      <c r="J1315" s="3">
        <v>4</v>
      </c>
      <c r="K1315" s="3">
        <v>17495.189999999999</v>
      </c>
      <c r="L1315" s="3">
        <f>Table1[[#This Row],[Price Per Unit]]*Table1[[#This Row],[Units Sold]]</f>
        <v>69980.759999999995</v>
      </c>
      <c r="M1315" s="3" t="s">
        <v>367</v>
      </c>
      <c r="N1315" s="3">
        <v>19</v>
      </c>
      <c r="O1315" s="3" t="s">
        <v>52</v>
      </c>
      <c r="P1315" s="3" t="s">
        <v>21</v>
      </c>
      <c r="Q1315" s="4">
        <v>1</v>
      </c>
      <c r="R1315" s="4" t="str">
        <f>IF(Table1[[#This Row],[Customer Ratings]]&gt;=4, "Good",IF(Table1[[#This Row],[Customer Ratings]]=3, "Average","Poor"))</f>
        <v>Poor</v>
      </c>
      <c r="S1315" s="3" t="s">
        <v>55</v>
      </c>
    </row>
    <row r="1316" spans="1:19" x14ac:dyDescent="0.25">
      <c r="A1316" s="3">
        <v>1315</v>
      </c>
      <c r="B1316" s="5">
        <f>DATE(Table1[[#This Row],[Year]],Table1[[#This Row],[Month]],Table1[[#This Row],[Day]])</f>
        <v>44853</v>
      </c>
      <c r="C1316" s="3">
        <v>19</v>
      </c>
      <c r="D1316" s="3">
        <v>10</v>
      </c>
      <c r="E1316" s="3">
        <v>2022</v>
      </c>
      <c r="F1316" s="3" t="str">
        <f>"Qtr"&amp; " " &amp;CHOOSE(MONTH(Table1[[#This Row],[Date]]),1,1,1,2,2,2,3,3,3,4,4,4)</f>
        <v>Qtr 4</v>
      </c>
      <c r="G1316" s="3" t="str">
        <f>TEXT(Table1[[#This Row],[Date]],"mmmm")</f>
        <v>October</v>
      </c>
      <c r="H1316" s="3" t="s">
        <v>1083</v>
      </c>
      <c r="I1316" s="3" t="s">
        <v>13</v>
      </c>
      <c r="J1316" s="3">
        <v>3</v>
      </c>
      <c r="K1316" s="3">
        <v>11600.61</v>
      </c>
      <c r="L1316" s="3">
        <f>Table1[[#This Row],[Price Per Unit]]*Table1[[#This Row],[Units Sold]]</f>
        <v>34801.83</v>
      </c>
      <c r="M1316" s="3" t="s">
        <v>590</v>
      </c>
      <c r="N1316" s="3">
        <v>51</v>
      </c>
      <c r="O1316" s="3" t="s">
        <v>20</v>
      </c>
      <c r="P1316" s="3" t="s">
        <v>21</v>
      </c>
      <c r="Q1316" s="4">
        <v>1</v>
      </c>
      <c r="R1316" s="4" t="str">
        <f>IF(Table1[[#This Row],[Customer Ratings]]&gt;=4, "Good",IF(Table1[[#This Row],[Customer Ratings]]=3, "Average","Poor"))</f>
        <v>Poor</v>
      </c>
      <c r="S1316" s="3" t="s">
        <v>72</v>
      </c>
    </row>
    <row r="1317" spans="1:19" x14ac:dyDescent="0.25">
      <c r="A1317" s="3">
        <v>1316</v>
      </c>
      <c r="B1317" s="5">
        <f>DATE(Table1[[#This Row],[Year]],Table1[[#This Row],[Month]],Table1[[#This Row],[Day]])</f>
        <v>44853</v>
      </c>
      <c r="C1317" s="3">
        <v>19</v>
      </c>
      <c r="D1317" s="3">
        <v>10</v>
      </c>
      <c r="E1317" s="3">
        <v>2022</v>
      </c>
      <c r="F1317" s="3" t="str">
        <f>"Qtr"&amp; " " &amp;CHOOSE(MONTH(Table1[[#This Row],[Date]]),1,1,1,2,2,2,3,3,3,4,4,4)</f>
        <v>Qtr 4</v>
      </c>
      <c r="G1317" s="3" t="str">
        <f>TEXT(Table1[[#This Row],[Date]],"mmmm")</f>
        <v>October</v>
      </c>
      <c r="H1317" s="3" t="s">
        <v>1083</v>
      </c>
      <c r="I1317" s="3" t="s">
        <v>39</v>
      </c>
      <c r="J1317" s="3">
        <v>9</v>
      </c>
      <c r="K1317" s="3">
        <v>10745.54</v>
      </c>
      <c r="L1317" s="3">
        <f>Table1[[#This Row],[Price Per Unit]]*Table1[[#This Row],[Units Sold]]</f>
        <v>96709.860000000015</v>
      </c>
      <c r="M1317" s="3" t="s">
        <v>528</v>
      </c>
      <c r="N1317" s="3">
        <v>52</v>
      </c>
      <c r="O1317" s="3" t="s">
        <v>81</v>
      </c>
      <c r="P1317" s="3" t="s">
        <v>16</v>
      </c>
      <c r="Q1317" s="4">
        <v>3</v>
      </c>
      <c r="R1317" s="4" t="str">
        <f>IF(Table1[[#This Row],[Customer Ratings]]&gt;=4, "Good",IF(Table1[[#This Row],[Customer Ratings]]=3, "Average","Poor"))</f>
        <v>Average</v>
      </c>
      <c r="S1317" s="3" t="s">
        <v>42</v>
      </c>
    </row>
    <row r="1318" spans="1:19" x14ac:dyDescent="0.25">
      <c r="A1318" s="3">
        <v>1317</v>
      </c>
      <c r="B1318" s="5">
        <f>DATE(Table1[[#This Row],[Year]],Table1[[#This Row],[Month]],Table1[[#This Row],[Day]])</f>
        <v>44853</v>
      </c>
      <c r="C1318" s="3">
        <v>19</v>
      </c>
      <c r="D1318" s="3">
        <v>10</v>
      </c>
      <c r="E1318" s="3">
        <v>2022</v>
      </c>
      <c r="F1318" s="3" t="str">
        <f>"Qtr"&amp; " " &amp;CHOOSE(MONTH(Table1[[#This Row],[Date]]),1,1,1,2,2,2,3,3,3,4,4,4)</f>
        <v>Qtr 4</v>
      </c>
      <c r="G1318" s="3" t="str">
        <f>TEXT(Table1[[#This Row],[Date]],"mmmm")</f>
        <v>October</v>
      </c>
      <c r="H1318" s="3" t="s">
        <v>1083</v>
      </c>
      <c r="I1318" s="3" t="s">
        <v>33</v>
      </c>
      <c r="J1318" s="3">
        <v>2</v>
      </c>
      <c r="K1318" s="3">
        <v>62788.63</v>
      </c>
      <c r="L1318" s="3">
        <f>Table1[[#This Row],[Price Per Unit]]*Table1[[#This Row],[Units Sold]]</f>
        <v>125577.26</v>
      </c>
      <c r="M1318" s="3" t="s">
        <v>124</v>
      </c>
      <c r="N1318" s="3">
        <v>54</v>
      </c>
      <c r="O1318" s="3" t="s">
        <v>48</v>
      </c>
      <c r="P1318" s="3" t="s">
        <v>16</v>
      </c>
      <c r="Q1318" s="4">
        <v>1</v>
      </c>
      <c r="R1318" s="4" t="str">
        <f>IF(Table1[[#This Row],[Customer Ratings]]&gt;=4, "Good",IF(Table1[[#This Row],[Customer Ratings]]=3, "Average","Poor"))</f>
        <v>Poor</v>
      </c>
      <c r="S1318" s="3" t="s">
        <v>83</v>
      </c>
    </row>
    <row r="1319" spans="1:19" x14ac:dyDescent="0.25">
      <c r="A1319" s="3">
        <v>1318</v>
      </c>
      <c r="B1319" s="5">
        <f>DATE(Table1[[#This Row],[Year]],Table1[[#This Row],[Month]],Table1[[#This Row],[Day]])</f>
        <v>44854</v>
      </c>
      <c r="C1319" s="3">
        <v>20</v>
      </c>
      <c r="D1319" s="3">
        <v>10</v>
      </c>
      <c r="E1319" s="3">
        <v>2022</v>
      </c>
      <c r="F1319" s="3" t="str">
        <f>"Qtr"&amp; " " &amp;CHOOSE(MONTH(Table1[[#This Row],[Date]]),1,1,1,2,2,2,3,3,3,4,4,4)</f>
        <v>Qtr 4</v>
      </c>
      <c r="G1319" s="3" t="str">
        <f>TEXT(Table1[[#This Row],[Date]],"mmmm")</f>
        <v>October</v>
      </c>
      <c r="H1319" s="3" t="s">
        <v>1084</v>
      </c>
      <c r="I1319" s="3" t="s">
        <v>33</v>
      </c>
      <c r="J1319" s="3">
        <v>1</v>
      </c>
      <c r="K1319" s="3">
        <v>12705.33</v>
      </c>
      <c r="L1319" s="3">
        <f>Table1[[#This Row],[Price Per Unit]]*Table1[[#This Row],[Units Sold]]</f>
        <v>12705.33</v>
      </c>
      <c r="M1319" s="3" t="s">
        <v>803</v>
      </c>
      <c r="N1319" s="3">
        <v>42</v>
      </c>
      <c r="O1319" s="3" t="s">
        <v>65</v>
      </c>
      <c r="P1319" s="3" t="s">
        <v>31</v>
      </c>
      <c r="Q1319" s="4">
        <v>4</v>
      </c>
      <c r="R1319" s="4" t="str">
        <f>IF(Table1[[#This Row],[Customer Ratings]]&gt;=4, "Good",IF(Table1[[#This Row],[Customer Ratings]]=3, "Average","Poor"))</f>
        <v>Good</v>
      </c>
      <c r="S1319" s="3" t="s">
        <v>36</v>
      </c>
    </row>
    <row r="1320" spans="1:19" x14ac:dyDescent="0.25">
      <c r="A1320" s="3">
        <v>1319</v>
      </c>
      <c r="B1320" s="5">
        <f>DATE(Table1[[#This Row],[Year]],Table1[[#This Row],[Month]],Table1[[#This Row],[Day]])</f>
        <v>44854</v>
      </c>
      <c r="C1320" s="3">
        <v>20</v>
      </c>
      <c r="D1320" s="3">
        <v>10</v>
      </c>
      <c r="E1320" s="3">
        <v>2022</v>
      </c>
      <c r="F1320" s="3" t="str">
        <f>"Qtr"&amp; " " &amp;CHOOSE(MONTH(Table1[[#This Row],[Date]]),1,1,1,2,2,2,3,3,3,4,4,4)</f>
        <v>Qtr 4</v>
      </c>
      <c r="G1320" s="3" t="str">
        <f>TEXT(Table1[[#This Row],[Date]],"mmmm")</f>
        <v>October</v>
      </c>
      <c r="H1320" s="3" t="s">
        <v>1084</v>
      </c>
      <c r="I1320" s="3" t="s">
        <v>18</v>
      </c>
      <c r="J1320" s="3">
        <v>2</v>
      </c>
      <c r="K1320" s="3">
        <v>53873.27</v>
      </c>
      <c r="L1320" s="3">
        <f>Table1[[#This Row],[Price Per Unit]]*Table1[[#This Row],[Units Sold]]</f>
        <v>107746.54</v>
      </c>
      <c r="M1320" s="3" t="s">
        <v>804</v>
      </c>
      <c r="N1320" s="3">
        <v>32</v>
      </c>
      <c r="O1320" s="3" t="s">
        <v>52</v>
      </c>
      <c r="P1320" s="3" t="s">
        <v>16</v>
      </c>
      <c r="Q1320" s="4">
        <v>1</v>
      </c>
      <c r="R1320" s="4" t="str">
        <f>IF(Table1[[#This Row],[Customer Ratings]]&gt;=4, "Good",IF(Table1[[#This Row],[Customer Ratings]]=3, "Average","Poor"))</f>
        <v>Poor</v>
      </c>
      <c r="S1320" s="3" t="s">
        <v>22</v>
      </c>
    </row>
    <row r="1321" spans="1:19" x14ac:dyDescent="0.25">
      <c r="A1321" s="3">
        <v>1320</v>
      </c>
      <c r="B1321" s="5">
        <f>DATE(Table1[[#This Row],[Year]],Table1[[#This Row],[Month]],Table1[[#This Row],[Day]])</f>
        <v>44854</v>
      </c>
      <c r="C1321" s="3">
        <v>20</v>
      </c>
      <c r="D1321" s="3">
        <v>10</v>
      </c>
      <c r="E1321" s="3">
        <v>2022</v>
      </c>
      <c r="F1321" s="3" t="str">
        <f>"Qtr"&amp; " " &amp;CHOOSE(MONTH(Table1[[#This Row],[Date]]),1,1,1,2,2,2,3,3,3,4,4,4)</f>
        <v>Qtr 4</v>
      </c>
      <c r="G1321" s="3" t="str">
        <f>TEXT(Table1[[#This Row],[Date]],"mmmm")</f>
        <v>October</v>
      </c>
      <c r="H1321" s="3" t="s">
        <v>1084</v>
      </c>
      <c r="I1321" s="3" t="s">
        <v>28</v>
      </c>
      <c r="J1321" s="3">
        <v>7</v>
      </c>
      <c r="K1321" s="3">
        <v>62319.11</v>
      </c>
      <c r="L1321" s="3">
        <f>Table1[[#This Row],[Price Per Unit]]*Table1[[#This Row],[Units Sold]]</f>
        <v>436233.77</v>
      </c>
      <c r="M1321" s="3" t="s">
        <v>805</v>
      </c>
      <c r="N1321" s="3">
        <v>29</v>
      </c>
      <c r="O1321" s="3" t="s">
        <v>24</v>
      </c>
      <c r="P1321" s="3" t="s">
        <v>21</v>
      </c>
      <c r="Q1321" s="4">
        <v>3</v>
      </c>
      <c r="R1321" s="4" t="str">
        <f>IF(Table1[[#This Row],[Customer Ratings]]&gt;=4, "Good",IF(Table1[[#This Row],[Customer Ratings]]=3, "Average","Poor"))</f>
        <v>Average</v>
      </c>
      <c r="S1321" s="3" t="s">
        <v>38</v>
      </c>
    </row>
    <row r="1322" spans="1:19" x14ac:dyDescent="0.25">
      <c r="A1322" s="3">
        <v>1321</v>
      </c>
      <c r="B1322" s="5">
        <f>DATE(Table1[[#This Row],[Year]],Table1[[#This Row],[Month]],Table1[[#This Row],[Day]])</f>
        <v>44854</v>
      </c>
      <c r="C1322" s="3">
        <v>20</v>
      </c>
      <c r="D1322" s="3">
        <v>10</v>
      </c>
      <c r="E1322" s="3">
        <v>2022</v>
      </c>
      <c r="F1322" s="3" t="str">
        <f>"Qtr"&amp; " " &amp;CHOOSE(MONTH(Table1[[#This Row],[Date]]),1,1,1,2,2,2,3,3,3,4,4,4)</f>
        <v>Qtr 4</v>
      </c>
      <c r="G1322" s="3" t="str">
        <f>TEXT(Table1[[#This Row],[Date]],"mmmm")</f>
        <v>October</v>
      </c>
      <c r="H1322" s="3" t="s">
        <v>1084</v>
      </c>
      <c r="I1322" s="3" t="s">
        <v>18</v>
      </c>
      <c r="J1322" s="3">
        <v>1</v>
      </c>
      <c r="K1322" s="3">
        <v>15883.47</v>
      </c>
      <c r="L1322" s="3">
        <f>Table1[[#This Row],[Price Per Unit]]*Table1[[#This Row],[Units Sold]]</f>
        <v>15883.47</v>
      </c>
      <c r="M1322" s="3" t="s">
        <v>157</v>
      </c>
      <c r="N1322" s="3">
        <v>26</v>
      </c>
      <c r="O1322" s="3" t="s">
        <v>20</v>
      </c>
      <c r="P1322" s="3" t="s">
        <v>45</v>
      </c>
      <c r="Q1322" s="4">
        <v>5</v>
      </c>
      <c r="R1322" s="4" t="str">
        <f>IF(Table1[[#This Row],[Customer Ratings]]&gt;=4, "Good",IF(Table1[[#This Row],[Customer Ratings]]=3, "Average","Poor"))</f>
        <v>Good</v>
      </c>
      <c r="S1322" s="3" t="s">
        <v>22</v>
      </c>
    </row>
    <row r="1323" spans="1:19" x14ac:dyDescent="0.25">
      <c r="A1323" s="3">
        <v>1322</v>
      </c>
      <c r="B1323" s="5">
        <f>DATE(Table1[[#This Row],[Year]],Table1[[#This Row],[Month]],Table1[[#This Row],[Day]])</f>
        <v>44855</v>
      </c>
      <c r="C1323" s="3">
        <v>21</v>
      </c>
      <c r="D1323" s="3">
        <v>10</v>
      </c>
      <c r="E1323" s="3">
        <v>2022</v>
      </c>
      <c r="F1323" s="3" t="str">
        <f>"Qtr"&amp; " " &amp;CHOOSE(MONTH(Table1[[#This Row],[Date]]),1,1,1,2,2,2,3,3,3,4,4,4)</f>
        <v>Qtr 4</v>
      </c>
      <c r="G1323" s="3" t="str">
        <f>TEXT(Table1[[#This Row],[Date]],"mmmm")</f>
        <v>October</v>
      </c>
      <c r="H1323" s="3" t="s">
        <v>1085</v>
      </c>
      <c r="I1323" s="3" t="s">
        <v>28</v>
      </c>
      <c r="J1323" s="3">
        <v>6</v>
      </c>
      <c r="K1323" s="3">
        <v>36178.089999999997</v>
      </c>
      <c r="L1323" s="3">
        <f>Table1[[#This Row],[Price Per Unit]]*Table1[[#This Row],[Units Sold]]</f>
        <v>217068.53999999998</v>
      </c>
      <c r="M1323" s="3" t="s">
        <v>806</v>
      </c>
      <c r="N1323" s="3">
        <v>48</v>
      </c>
      <c r="O1323" s="3" t="s">
        <v>20</v>
      </c>
      <c r="P1323" s="3" t="s">
        <v>31</v>
      </c>
      <c r="Q1323" s="4">
        <v>1</v>
      </c>
      <c r="R1323" s="4" t="str">
        <f>IF(Table1[[#This Row],[Customer Ratings]]&gt;=4, "Good",IF(Table1[[#This Row],[Customer Ratings]]=3, "Average","Poor"))</f>
        <v>Poor</v>
      </c>
      <c r="S1323" s="3" t="s">
        <v>38</v>
      </c>
    </row>
    <row r="1324" spans="1:19" x14ac:dyDescent="0.25">
      <c r="A1324" s="3">
        <v>1323</v>
      </c>
      <c r="B1324" s="5">
        <f>DATE(Table1[[#This Row],[Year]],Table1[[#This Row],[Month]],Table1[[#This Row],[Day]])</f>
        <v>44855</v>
      </c>
      <c r="C1324" s="3">
        <v>21</v>
      </c>
      <c r="D1324" s="3">
        <v>10</v>
      </c>
      <c r="E1324" s="3">
        <v>2022</v>
      </c>
      <c r="F1324" s="3" t="str">
        <f>"Qtr"&amp; " " &amp;CHOOSE(MONTH(Table1[[#This Row],[Date]]),1,1,1,2,2,2,3,3,3,4,4,4)</f>
        <v>Qtr 4</v>
      </c>
      <c r="G1324" s="3" t="str">
        <f>TEXT(Table1[[#This Row],[Date]],"mmmm")</f>
        <v>October</v>
      </c>
      <c r="H1324" s="3" t="s">
        <v>1085</v>
      </c>
      <c r="I1324" s="3" t="s">
        <v>13</v>
      </c>
      <c r="J1324" s="3">
        <v>7</v>
      </c>
      <c r="K1324" s="3">
        <v>67738.179999999993</v>
      </c>
      <c r="L1324" s="3">
        <f>Table1[[#This Row],[Price Per Unit]]*Table1[[#This Row],[Units Sold]]</f>
        <v>474167.25999999995</v>
      </c>
      <c r="M1324" s="3" t="s">
        <v>807</v>
      </c>
      <c r="N1324" s="3">
        <v>31</v>
      </c>
      <c r="O1324" s="3" t="s">
        <v>24</v>
      </c>
      <c r="P1324" s="3" t="s">
        <v>21</v>
      </c>
      <c r="Q1324" s="4">
        <v>5</v>
      </c>
      <c r="R1324" s="4" t="str">
        <f>IF(Table1[[#This Row],[Customer Ratings]]&gt;=4, "Good",IF(Table1[[#This Row],[Customer Ratings]]=3, "Average","Poor"))</f>
        <v>Good</v>
      </c>
      <c r="S1324" s="3" t="s">
        <v>72</v>
      </c>
    </row>
    <row r="1325" spans="1:19" x14ac:dyDescent="0.25">
      <c r="A1325" s="3">
        <v>1324</v>
      </c>
      <c r="B1325" s="5">
        <f>DATE(Table1[[#This Row],[Year]],Table1[[#This Row],[Month]],Table1[[#This Row],[Day]])</f>
        <v>44855</v>
      </c>
      <c r="C1325" s="3">
        <v>21</v>
      </c>
      <c r="D1325" s="3">
        <v>10</v>
      </c>
      <c r="E1325" s="3">
        <v>2022</v>
      </c>
      <c r="F1325" s="3" t="str">
        <f>"Qtr"&amp; " " &amp;CHOOSE(MONTH(Table1[[#This Row],[Date]]),1,1,1,2,2,2,3,3,3,4,4,4)</f>
        <v>Qtr 4</v>
      </c>
      <c r="G1325" s="3" t="str">
        <f>TEXT(Table1[[#This Row],[Date]],"mmmm")</f>
        <v>October</v>
      </c>
      <c r="H1325" s="3" t="s">
        <v>1085</v>
      </c>
      <c r="I1325" s="3" t="s">
        <v>13</v>
      </c>
      <c r="J1325" s="3">
        <v>9</v>
      </c>
      <c r="K1325" s="3">
        <v>60048.32</v>
      </c>
      <c r="L1325" s="3">
        <f>Table1[[#This Row],[Price Per Unit]]*Table1[[#This Row],[Units Sold]]</f>
        <v>540434.88</v>
      </c>
      <c r="M1325" s="3" t="s">
        <v>99</v>
      </c>
      <c r="N1325" s="3">
        <v>46</v>
      </c>
      <c r="O1325" s="3" t="s">
        <v>20</v>
      </c>
      <c r="P1325" s="3" t="s">
        <v>21</v>
      </c>
      <c r="Q1325" s="4">
        <v>5</v>
      </c>
      <c r="R1325" s="4" t="str">
        <f>IF(Table1[[#This Row],[Customer Ratings]]&gt;=4, "Good",IF(Table1[[#This Row],[Customer Ratings]]=3, "Average","Poor"))</f>
        <v>Good</v>
      </c>
      <c r="S1325" s="3" t="s">
        <v>72</v>
      </c>
    </row>
    <row r="1326" spans="1:19" x14ac:dyDescent="0.25">
      <c r="A1326" s="3">
        <v>1325</v>
      </c>
      <c r="B1326" s="5">
        <f>DATE(Table1[[#This Row],[Year]],Table1[[#This Row],[Month]],Table1[[#This Row],[Day]])</f>
        <v>44856</v>
      </c>
      <c r="C1326" s="3">
        <v>22</v>
      </c>
      <c r="D1326" s="3">
        <v>10</v>
      </c>
      <c r="E1326" s="3">
        <v>2022</v>
      </c>
      <c r="F1326" s="3" t="str">
        <f>"Qtr"&amp; " " &amp;CHOOSE(MONTH(Table1[[#This Row],[Date]]),1,1,1,2,2,2,3,3,3,4,4,4)</f>
        <v>Qtr 4</v>
      </c>
      <c r="G1326" s="3" t="str">
        <f>TEXT(Table1[[#This Row],[Date]],"mmmm")</f>
        <v>October</v>
      </c>
      <c r="H1326" s="3" t="s">
        <v>1079</v>
      </c>
      <c r="I1326" s="3" t="s">
        <v>39</v>
      </c>
      <c r="J1326" s="3">
        <v>8</v>
      </c>
      <c r="K1326" s="3">
        <v>39382.239999999998</v>
      </c>
      <c r="L1326" s="3">
        <f>Table1[[#This Row],[Price Per Unit]]*Table1[[#This Row],[Units Sold]]</f>
        <v>315057.91999999998</v>
      </c>
      <c r="M1326" s="3" t="s">
        <v>749</v>
      </c>
      <c r="N1326" s="3">
        <v>55</v>
      </c>
      <c r="O1326" s="3" t="s">
        <v>24</v>
      </c>
      <c r="P1326" s="3" t="s">
        <v>45</v>
      </c>
      <c r="Q1326" s="4">
        <v>3</v>
      </c>
      <c r="R1326" s="4" t="str">
        <f>IF(Table1[[#This Row],[Customer Ratings]]&gt;=4, "Good",IF(Table1[[#This Row],[Customer Ratings]]=3, "Average","Poor"))</f>
        <v>Average</v>
      </c>
      <c r="S1326" s="3" t="s">
        <v>42</v>
      </c>
    </row>
    <row r="1327" spans="1:19" x14ac:dyDescent="0.25">
      <c r="A1327" s="3">
        <v>1326</v>
      </c>
      <c r="B1327" s="5">
        <f>DATE(Table1[[#This Row],[Year]],Table1[[#This Row],[Month]],Table1[[#This Row],[Day]])</f>
        <v>44856</v>
      </c>
      <c r="C1327" s="3">
        <v>22</v>
      </c>
      <c r="D1327" s="3">
        <v>10</v>
      </c>
      <c r="E1327" s="3">
        <v>2022</v>
      </c>
      <c r="F1327" s="3" t="str">
        <f>"Qtr"&amp; " " &amp;CHOOSE(MONTH(Table1[[#This Row],[Date]]),1,1,1,2,2,2,3,3,3,4,4,4)</f>
        <v>Qtr 4</v>
      </c>
      <c r="G1327" s="3" t="str">
        <f>TEXT(Table1[[#This Row],[Date]],"mmmm")</f>
        <v>October</v>
      </c>
      <c r="H1327" s="3" t="s">
        <v>1079</v>
      </c>
      <c r="I1327" s="3" t="s">
        <v>28</v>
      </c>
      <c r="J1327" s="3">
        <v>6</v>
      </c>
      <c r="K1327" s="3">
        <v>55754.27</v>
      </c>
      <c r="L1327" s="3">
        <f>Table1[[#This Row],[Price Per Unit]]*Table1[[#This Row],[Units Sold]]</f>
        <v>334525.62</v>
      </c>
      <c r="M1327" s="3" t="s">
        <v>67</v>
      </c>
      <c r="N1327" s="3">
        <v>59</v>
      </c>
      <c r="O1327" s="3" t="s">
        <v>54</v>
      </c>
      <c r="P1327" s="3" t="s">
        <v>16</v>
      </c>
      <c r="Q1327" s="4">
        <v>1</v>
      </c>
      <c r="R1327" s="4" t="str">
        <f>IF(Table1[[#This Row],[Customer Ratings]]&gt;=4, "Good",IF(Table1[[#This Row],[Customer Ratings]]=3, "Average","Poor"))</f>
        <v>Poor</v>
      </c>
      <c r="S1327" s="3" t="s">
        <v>32</v>
      </c>
    </row>
    <row r="1328" spans="1:19" x14ac:dyDescent="0.25">
      <c r="A1328" s="3">
        <v>1327</v>
      </c>
      <c r="B1328" s="5">
        <f>DATE(Table1[[#This Row],[Year]],Table1[[#This Row],[Month]],Table1[[#This Row],[Day]])</f>
        <v>44856</v>
      </c>
      <c r="C1328" s="3">
        <v>22</v>
      </c>
      <c r="D1328" s="3">
        <v>10</v>
      </c>
      <c r="E1328" s="3">
        <v>2022</v>
      </c>
      <c r="F1328" s="3" t="str">
        <f>"Qtr"&amp; " " &amp;CHOOSE(MONTH(Table1[[#This Row],[Date]]),1,1,1,2,2,2,3,3,3,4,4,4)</f>
        <v>Qtr 4</v>
      </c>
      <c r="G1328" s="3" t="str">
        <f>TEXT(Table1[[#This Row],[Date]],"mmmm")</f>
        <v>October</v>
      </c>
      <c r="H1328" s="3" t="s">
        <v>1079</v>
      </c>
      <c r="I1328" s="3" t="s">
        <v>39</v>
      </c>
      <c r="J1328" s="3">
        <v>3</v>
      </c>
      <c r="K1328" s="3">
        <v>60002.66</v>
      </c>
      <c r="L1328" s="3">
        <f>Table1[[#This Row],[Price Per Unit]]*Table1[[#This Row],[Units Sold]]</f>
        <v>180007.98</v>
      </c>
      <c r="M1328" s="3" t="s">
        <v>151</v>
      </c>
      <c r="N1328" s="3">
        <v>25</v>
      </c>
      <c r="O1328" s="3" t="s">
        <v>24</v>
      </c>
      <c r="P1328" s="3" t="s">
        <v>21</v>
      </c>
      <c r="Q1328" s="4">
        <v>5</v>
      </c>
      <c r="R1328" s="4" t="str">
        <f>IF(Table1[[#This Row],[Customer Ratings]]&gt;=4, "Good",IF(Table1[[#This Row],[Customer Ratings]]=3, "Average","Poor"))</f>
        <v>Good</v>
      </c>
      <c r="S1328" s="3" t="s">
        <v>90</v>
      </c>
    </row>
    <row r="1329" spans="1:19" x14ac:dyDescent="0.25">
      <c r="A1329" s="3">
        <v>1328</v>
      </c>
      <c r="B1329" s="5">
        <f>DATE(Table1[[#This Row],[Year]],Table1[[#This Row],[Month]],Table1[[#This Row],[Day]])</f>
        <v>44856</v>
      </c>
      <c r="C1329" s="3">
        <v>22</v>
      </c>
      <c r="D1329" s="3">
        <v>10</v>
      </c>
      <c r="E1329" s="3">
        <v>2022</v>
      </c>
      <c r="F1329" s="3" t="str">
        <f>"Qtr"&amp; " " &amp;CHOOSE(MONTH(Table1[[#This Row],[Date]]),1,1,1,2,2,2,3,3,3,4,4,4)</f>
        <v>Qtr 4</v>
      </c>
      <c r="G1329" s="3" t="str">
        <f>TEXT(Table1[[#This Row],[Date]],"mmmm")</f>
        <v>October</v>
      </c>
      <c r="H1329" s="3" t="s">
        <v>1079</v>
      </c>
      <c r="I1329" s="3" t="s">
        <v>33</v>
      </c>
      <c r="J1329" s="3">
        <v>8</v>
      </c>
      <c r="K1329" s="3">
        <v>30881.62</v>
      </c>
      <c r="L1329" s="3">
        <f>Table1[[#This Row],[Price Per Unit]]*Table1[[#This Row],[Units Sold]]</f>
        <v>247052.96</v>
      </c>
      <c r="M1329" s="3" t="s">
        <v>392</v>
      </c>
      <c r="N1329" s="3">
        <v>20</v>
      </c>
      <c r="O1329" s="3" t="s">
        <v>81</v>
      </c>
      <c r="P1329" s="3" t="s">
        <v>45</v>
      </c>
      <c r="Q1329" s="4">
        <v>5</v>
      </c>
      <c r="R1329" s="4" t="str">
        <f>IF(Table1[[#This Row],[Customer Ratings]]&gt;=4, "Good",IF(Table1[[#This Row],[Customer Ratings]]=3, "Average","Poor"))</f>
        <v>Good</v>
      </c>
      <c r="S1329" s="3" t="s">
        <v>36</v>
      </c>
    </row>
    <row r="1330" spans="1:19" x14ac:dyDescent="0.25">
      <c r="A1330" s="3">
        <v>1329</v>
      </c>
      <c r="B1330" s="5">
        <f>DATE(Table1[[#This Row],[Year]],Table1[[#This Row],[Month]],Table1[[#This Row],[Day]])</f>
        <v>44857</v>
      </c>
      <c r="C1330" s="3">
        <v>23</v>
      </c>
      <c r="D1330" s="3">
        <v>10</v>
      </c>
      <c r="E1330" s="3">
        <v>2022</v>
      </c>
      <c r="F1330" s="3" t="str">
        <f>"Qtr"&amp; " " &amp;CHOOSE(MONTH(Table1[[#This Row],[Date]]),1,1,1,2,2,2,3,3,3,4,4,4)</f>
        <v>Qtr 4</v>
      </c>
      <c r="G1330" s="3" t="str">
        <f>TEXT(Table1[[#This Row],[Date]],"mmmm")</f>
        <v>October</v>
      </c>
      <c r="H1330" s="3" t="s">
        <v>1080</v>
      </c>
      <c r="I1330" s="3" t="s">
        <v>28</v>
      </c>
      <c r="J1330" s="3">
        <v>7</v>
      </c>
      <c r="K1330" s="3">
        <v>63529.18</v>
      </c>
      <c r="L1330" s="3">
        <f>Table1[[#This Row],[Price Per Unit]]*Table1[[#This Row],[Units Sold]]</f>
        <v>444704.26</v>
      </c>
      <c r="M1330" s="3" t="s">
        <v>808</v>
      </c>
      <c r="N1330" s="3">
        <v>19</v>
      </c>
      <c r="O1330" s="3" t="s">
        <v>20</v>
      </c>
      <c r="P1330" s="3" t="s">
        <v>45</v>
      </c>
      <c r="Q1330" s="4">
        <v>5</v>
      </c>
      <c r="R1330" s="4" t="str">
        <f>IF(Table1[[#This Row],[Customer Ratings]]&gt;=4, "Good",IF(Table1[[#This Row],[Customer Ratings]]=3, "Average","Poor"))</f>
        <v>Good</v>
      </c>
      <c r="S1330" s="3" t="s">
        <v>38</v>
      </c>
    </row>
    <row r="1331" spans="1:19" x14ac:dyDescent="0.25">
      <c r="A1331" s="3">
        <v>1330</v>
      </c>
      <c r="B1331" s="5">
        <f>DATE(Table1[[#This Row],[Year]],Table1[[#This Row],[Month]],Table1[[#This Row],[Day]])</f>
        <v>44857</v>
      </c>
      <c r="C1331" s="3">
        <v>23</v>
      </c>
      <c r="D1331" s="3">
        <v>10</v>
      </c>
      <c r="E1331" s="3">
        <v>2022</v>
      </c>
      <c r="F1331" s="3" t="str">
        <f>"Qtr"&amp; " " &amp;CHOOSE(MONTH(Table1[[#This Row],[Date]]),1,1,1,2,2,2,3,3,3,4,4,4)</f>
        <v>Qtr 4</v>
      </c>
      <c r="G1331" s="3" t="str">
        <f>TEXT(Table1[[#This Row],[Date]],"mmmm")</f>
        <v>October</v>
      </c>
      <c r="H1331" s="3" t="s">
        <v>1080</v>
      </c>
      <c r="I1331" s="3" t="s">
        <v>18</v>
      </c>
      <c r="J1331" s="3">
        <v>3</v>
      </c>
      <c r="K1331" s="3">
        <v>38228.400000000001</v>
      </c>
      <c r="L1331" s="3">
        <f>Table1[[#This Row],[Price Per Unit]]*Table1[[#This Row],[Units Sold]]</f>
        <v>114685.20000000001</v>
      </c>
      <c r="M1331" s="3" t="s">
        <v>702</v>
      </c>
      <c r="N1331" s="3">
        <v>33</v>
      </c>
      <c r="O1331" s="3" t="s">
        <v>24</v>
      </c>
      <c r="P1331" s="3" t="s">
        <v>16</v>
      </c>
      <c r="Q1331" s="4">
        <v>4</v>
      </c>
      <c r="R1331" s="4" t="str">
        <f>IF(Table1[[#This Row],[Customer Ratings]]&gt;=4, "Good",IF(Table1[[#This Row],[Customer Ratings]]=3, "Average","Poor"))</f>
        <v>Good</v>
      </c>
      <c r="S1331" s="3" t="s">
        <v>25</v>
      </c>
    </row>
    <row r="1332" spans="1:19" x14ac:dyDescent="0.25">
      <c r="A1332" s="3">
        <v>1331</v>
      </c>
      <c r="B1332" s="5">
        <f>DATE(Table1[[#This Row],[Year]],Table1[[#This Row],[Month]],Table1[[#This Row],[Day]])</f>
        <v>44857</v>
      </c>
      <c r="C1332" s="3">
        <v>23</v>
      </c>
      <c r="D1332" s="3">
        <v>10</v>
      </c>
      <c r="E1332" s="3">
        <v>2022</v>
      </c>
      <c r="F1332" s="3" t="str">
        <f>"Qtr"&amp; " " &amp;CHOOSE(MONTH(Table1[[#This Row],[Date]]),1,1,1,2,2,2,3,3,3,4,4,4)</f>
        <v>Qtr 4</v>
      </c>
      <c r="G1332" s="3" t="str">
        <f>TEXT(Table1[[#This Row],[Date]],"mmmm")</f>
        <v>October</v>
      </c>
      <c r="H1332" s="3" t="s">
        <v>1080</v>
      </c>
      <c r="I1332" s="3" t="s">
        <v>33</v>
      </c>
      <c r="J1332" s="3">
        <v>9</v>
      </c>
      <c r="K1332" s="3">
        <v>41668.44</v>
      </c>
      <c r="L1332" s="3">
        <f>Table1[[#This Row],[Price Per Unit]]*Table1[[#This Row],[Units Sold]]</f>
        <v>375015.96</v>
      </c>
      <c r="M1332" s="3" t="s">
        <v>440</v>
      </c>
      <c r="N1332" s="3">
        <v>36</v>
      </c>
      <c r="O1332" s="3" t="s">
        <v>105</v>
      </c>
      <c r="P1332" s="3" t="s">
        <v>45</v>
      </c>
      <c r="Q1332" s="4">
        <v>4</v>
      </c>
      <c r="R1332" s="4" t="str">
        <f>IF(Table1[[#This Row],[Customer Ratings]]&gt;=4, "Good",IF(Table1[[#This Row],[Customer Ratings]]=3, "Average","Poor"))</f>
        <v>Good</v>
      </c>
      <c r="S1332" s="3" t="s">
        <v>83</v>
      </c>
    </row>
    <row r="1333" spans="1:19" x14ac:dyDescent="0.25">
      <c r="A1333" s="3">
        <v>1332</v>
      </c>
      <c r="B1333" s="5">
        <f>DATE(Table1[[#This Row],[Year]],Table1[[#This Row],[Month]],Table1[[#This Row],[Day]])</f>
        <v>44858</v>
      </c>
      <c r="C1333" s="3">
        <v>24</v>
      </c>
      <c r="D1333" s="3">
        <v>10</v>
      </c>
      <c r="E1333" s="3">
        <v>2022</v>
      </c>
      <c r="F1333" s="3" t="str">
        <f>"Qtr"&amp; " " &amp;CHOOSE(MONTH(Table1[[#This Row],[Date]]),1,1,1,2,2,2,3,3,3,4,4,4)</f>
        <v>Qtr 4</v>
      </c>
      <c r="G1333" s="3" t="str">
        <f>TEXT(Table1[[#This Row],[Date]],"mmmm")</f>
        <v>October</v>
      </c>
      <c r="H1333" s="3" t="s">
        <v>1081</v>
      </c>
      <c r="I1333" s="3" t="s">
        <v>33</v>
      </c>
      <c r="J1333" s="3">
        <v>2</v>
      </c>
      <c r="K1333" s="3">
        <v>69982.460000000006</v>
      </c>
      <c r="L1333" s="3">
        <f>Table1[[#This Row],[Price Per Unit]]*Table1[[#This Row],[Units Sold]]</f>
        <v>139964.92000000001</v>
      </c>
      <c r="M1333" s="3" t="s">
        <v>599</v>
      </c>
      <c r="N1333" s="3">
        <v>47</v>
      </c>
      <c r="O1333" s="3" t="s">
        <v>24</v>
      </c>
      <c r="P1333" s="3" t="s">
        <v>45</v>
      </c>
      <c r="Q1333" s="4">
        <v>4</v>
      </c>
      <c r="R1333" s="4" t="str">
        <f>IF(Table1[[#This Row],[Customer Ratings]]&gt;=4, "Good",IF(Table1[[#This Row],[Customer Ratings]]=3, "Average","Poor"))</f>
        <v>Good</v>
      </c>
      <c r="S1333" s="3" t="s">
        <v>83</v>
      </c>
    </row>
    <row r="1334" spans="1:19" x14ac:dyDescent="0.25">
      <c r="A1334" s="3">
        <v>1333</v>
      </c>
      <c r="B1334" s="5">
        <f>DATE(Table1[[#This Row],[Year]],Table1[[#This Row],[Month]],Table1[[#This Row],[Day]])</f>
        <v>44858</v>
      </c>
      <c r="C1334" s="3">
        <v>24</v>
      </c>
      <c r="D1334" s="3">
        <v>10</v>
      </c>
      <c r="E1334" s="3">
        <v>2022</v>
      </c>
      <c r="F1334" s="3" t="str">
        <f>"Qtr"&amp; " " &amp;CHOOSE(MONTH(Table1[[#This Row],[Date]]),1,1,1,2,2,2,3,3,3,4,4,4)</f>
        <v>Qtr 4</v>
      </c>
      <c r="G1334" s="3" t="str">
        <f>TEXT(Table1[[#This Row],[Date]],"mmmm")</f>
        <v>October</v>
      </c>
      <c r="H1334" s="3" t="s">
        <v>1081</v>
      </c>
      <c r="I1334" s="3" t="s">
        <v>18</v>
      </c>
      <c r="J1334" s="3">
        <v>3</v>
      </c>
      <c r="K1334" s="3">
        <v>60598.18</v>
      </c>
      <c r="L1334" s="3">
        <f>Table1[[#This Row],[Price Per Unit]]*Table1[[#This Row],[Units Sold]]</f>
        <v>181794.54</v>
      </c>
      <c r="M1334" s="3" t="s">
        <v>461</v>
      </c>
      <c r="N1334" s="3">
        <v>58</v>
      </c>
      <c r="O1334" s="3" t="s">
        <v>35</v>
      </c>
      <c r="P1334" s="3" t="s">
        <v>45</v>
      </c>
      <c r="Q1334" s="4">
        <v>4</v>
      </c>
      <c r="R1334" s="4" t="str">
        <f>IF(Table1[[#This Row],[Customer Ratings]]&gt;=4, "Good",IF(Table1[[#This Row],[Customer Ratings]]=3, "Average","Poor"))</f>
        <v>Good</v>
      </c>
      <c r="S1334" s="3" t="s">
        <v>25</v>
      </c>
    </row>
    <row r="1335" spans="1:19" x14ac:dyDescent="0.25">
      <c r="A1335" s="3">
        <v>1334</v>
      </c>
      <c r="B1335" s="5">
        <f>DATE(Table1[[#This Row],[Year]],Table1[[#This Row],[Month]],Table1[[#This Row],[Day]])</f>
        <v>44858</v>
      </c>
      <c r="C1335" s="3">
        <v>24</v>
      </c>
      <c r="D1335" s="3">
        <v>10</v>
      </c>
      <c r="E1335" s="3">
        <v>2022</v>
      </c>
      <c r="F1335" s="3" t="str">
        <f>"Qtr"&amp; " " &amp;CHOOSE(MONTH(Table1[[#This Row],[Date]]),1,1,1,2,2,2,3,3,3,4,4,4)</f>
        <v>Qtr 4</v>
      </c>
      <c r="G1335" s="3" t="str">
        <f>TEXT(Table1[[#This Row],[Date]],"mmmm")</f>
        <v>October</v>
      </c>
      <c r="H1335" s="3" t="s">
        <v>1081</v>
      </c>
      <c r="I1335" s="3" t="s">
        <v>33</v>
      </c>
      <c r="J1335" s="3">
        <v>2</v>
      </c>
      <c r="K1335" s="3">
        <v>31706.2</v>
      </c>
      <c r="L1335" s="3">
        <f>Table1[[#This Row],[Price Per Unit]]*Table1[[#This Row],[Units Sold]]</f>
        <v>63412.4</v>
      </c>
      <c r="M1335" s="3" t="s">
        <v>550</v>
      </c>
      <c r="N1335" s="3">
        <v>33</v>
      </c>
      <c r="O1335" s="3" t="s">
        <v>20</v>
      </c>
      <c r="P1335" s="3" t="s">
        <v>45</v>
      </c>
      <c r="Q1335" s="4">
        <v>3</v>
      </c>
      <c r="R1335" s="4" t="str">
        <f>IF(Table1[[#This Row],[Customer Ratings]]&gt;=4, "Good",IF(Table1[[#This Row],[Customer Ratings]]=3, "Average","Poor"))</f>
        <v>Average</v>
      </c>
      <c r="S1335" s="3" t="s">
        <v>46</v>
      </c>
    </row>
    <row r="1336" spans="1:19" x14ac:dyDescent="0.25">
      <c r="A1336" s="3">
        <v>1335</v>
      </c>
      <c r="B1336" s="5">
        <f>DATE(Table1[[#This Row],[Year]],Table1[[#This Row],[Month]],Table1[[#This Row],[Day]])</f>
        <v>44858</v>
      </c>
      <c r="C1336" s="3">
        <v>24</v>
      </c>
      <c r="D1336" s="3">
        <v>10</v>
      </c>
      <c r="E1336" s="3">
        <v>2022</v>
      </c>
      <c r="F1336" s="3" t="str">
        <f>"Qtr"&amp; " " &amp;CHOOSE(MONTH(Table1[[#This Row],[Date]]),1,1,1,2,2,2,3,3,3,4,4,4)</f>
        <v>Qtr 4</v>
      </c>
      <c r="G1336" s="3" t="str">
        <f>TEXT(Table1[[#This Row],[Date]],"mmmm")</f>
        <v>October</v>
      </c>
      <c r="H1336" s="3" t="s">
        <v>1081</v>
      </c>
      <c r="I1336" s="3" t="s">
        <v>28</v>
      </c>
      <c r="J1336" s="3">
        <v>1</v>
      </c>
      <c r="K1336" s="3">
        <v>10620.74</v>
      </c>
      <c r="L1336" s="3">
        <f>Table1[[#This Row],[Price Per Unit]]*Table1[[#This Row],[Units Sold]]</f>
        <v>10620.74</v>
      </c>
      <c r="M1336" s="3" t="s">
        <v>802</v>
      </c>
      <c r="N1336" s="3">
        <v>48</v>
      </c>
      <c r="O1336" s="3" t="s">
        <v>24</v>
      </c>
      <c r="P1336" s="3" t="s">
        <v>45</v>
      </c>
      <c r="Q1336" s="4">
        <v>1</v>
      </c>
      <c r="R1336" s="4" t="str">
        <f>IF(Table1[[#This Row],[Customer Ratings]]&gt;=4, "Good",IF(Table1[[#This Row],[Customer Ratings]]=3, "Average","Poor"))</f>
        <v>Poor</v>
      </c>
      <c r="S1336" s="3" t="s">
        <v>87</v>
      </c>
    </row>
    <row r="1337" spans="1:19" x14ac:dyDescent="0.25">
      <c r="A1337" s="3">
        <v>1336</v>
      </c>
      <c r="B1337" s="5">
        <f>DATE(Table1[[#This Row],[Year]],Table1[[#This Row],[Month]],Table1[[#This Row],[Day]])</f>
        <v>44859</v>
      </c>
      <c r="C1337" s="3">
        <v>25</v>
      </c>
      <c r="D1337" s="3">
        <v>10</v>
      </c>
      <c r="E1337" s="3">
        <v>2022</v>
      </c>
      <c r="F1337" s="3" t="str">
        <f>"Qtr"&amp; " " &amp;CHOOSE(MONTH(Table1[[#This Row],[Date]]),1,1,1,2,2,2,3,3,3,4,4,4)</f>
        <v>Qtr 4</v>
      </c>
      <c r="G1337" s="3" t="str">
        <f>TEXT(Table1[[#This Row],[Date]],"mmmm")</f>
        <v>October</v>
      </c>
      <c r="H1337" s="3" t="s">
        <v>1082</v>
      </c>
      <c r="I1337" s="3" t="s">
        <v>39</v>
      </c>
      <c r="J1337" s="3">
        <v>4</v>
      </c>
      <c r="K1337" s="3">
        <v>47570.44</v>
      </c>
      <c r="L1337" s="3">
        <f>Table1[[#This Row],[Price Per Unit]]*Table1[[#This Row],[Units Sold]]</f>
        <v>190281.76</v>
      </c>
      <c r="M1337" s="3" t="s">
        <v>43</v>
      </c>
      <c r="N1337" s="3">
        <v>45</v>
      </c>
      <c r="O1337" s="3" t="s">
        <v>58</v>
      </c>
      <c r="P1337" s="3" t="s">
        <v>45</v>
      </c>
      <c r="Q1337" s="4">
        <v>1</v>
      </c>
      <c r="R1337" s="4" t="str">
        <f>IF(Table1[[#This Row],[Customer Ratings]]&gt;=4, "Good",IF(Table1[[#This Row],[Customer Ratings]]=3, "Average","Poor"))</f>
        <v>Poor</v>
      </c>
      <c r="S1337" s="3" t="s">
        <v>76</v>
      </c>
    </row>
    <row r="1338" spans="1:19" x14ac:dyDescent="0.25">
      <c r="A1338" s="3">
        <v>1337</v>
      </c>
      <c r="B1338" s="5">
        <f>DATE(Table1[[#This Row],[Year]],Table1[[#This Row],[Month]],Table1[[#This Row],[Day]])</f>
        <v>44859</v>
      </c>
      <c r="C1338" s="3">
        <v>25</v>
      </c>
      <c r="D1338" s="3">
        <v>10</v>
      </c>
      <c r="E1338" s="3">
        <v>2022</v>
      </c>
      <c r="F1338" s="3" t="str">
        <f>"Qtr"&amp; " " &amp;CHOOSE(MONTH(Table1[[#This Row],[Date]]),1,1,1,2,2,2,3,3,3,4,4,4)</f>
        <v>Qtr 4</v>
      </c>
      <c r="G1338" s="3" t="str">
        <f>TEXT(Table1[[#This Row],[Date]],"mmmm")</f>
        <v>October</v>
      </c>
      <c r="H1338" s="3" t="s">
        <v>1082</v>
      </c>
      <c r="I1338" s="3" t="s">
        <v>33</v>
      </c>
      <c r="J1338" s="3">
        <v>5</v>
      </c>
      <c r="K1338" s="3">
        <v>52234.81</v>
      </c>
      <c r="L1338" s="3">
        <f>Table1[[#This Row],[Price Per Unit]]*Table1[[#This Row],[Units Sold]]</f>
        <v>261174.05</v>
      </c>
      <c r="M1338" s="3" t="s">
        <v>19</v>
      </c>
      <c r="N1338" s="3">
        <v>21</v>
      </c>
      <c r="O1338" s="3" t="s">
        <v>20</v>
      </c>
      <c r="P1338" s="3" t="s">
        <v>21</v>
      </c>
      <c r="Q1338" s="4">
        <v>3</v>
      </c>
      <c r="R1338" s="4" t="str">
        <f>IF(Table1[[#This Row],[Customer Ratings]]&gt;=4, "Good",IF(Table1[[#This Row],[Customer Ratings]]=3, "Average","Poor"))</f>
        <v>Average</v>
      </c>
      <c r="S1338" s="3" t="s">
        <v>46</v>
      </c>
    </row>
    <row r="1339" spans="1:19" x14ac:dyDescent="0.25">
      <c r="A1339" s="3">
        <v>1338</v>
      </c>
      <c r="B1339" s="5">
        <f>DATE(Table1[[#This Row],[Year]],Table1[[#This Row],[Month]],Table1[[#This Row],[Day]])</f>
        <v>44859</v>
      </c>
      <c r="C1339" s="3">
        <v>25</v>
      </c>
      <c r="D1339" s="3">
        <v>10</v>
      </c>
      <c r="E1339" s="3">
        <v>2022</v>
      </c>
      <c r="F1339" s="3" t="str">
        <f>"Qtr"&amp; " " &amp;CHOOSE(MONTH(Table1[[#This Row],[Date]]),1,1,1,2,2,2,3,3,3,4,4,4)</f>
        <v>Qtr 4</v>
      </c>
      <c r="G1339" s="3" t="str">
        <f>TEXT(Table1[[#This Row],[Date]],"mmmm")</f>
        <v>October</v>
      </c>
      <c r="H1339" s="3" t="s">
        <v>1082</v>
      </c>
      <c r="I1339" s="3" t="s">
        <v>28</v>
      </c>
      <c r="J1339" s="3">
        <v>6</v>
      </c>
      <c r="K1339" s="3">
        <v>49048.160000000003</v>
      </c>
      <c r="L1339" s="3">
        <f>Table1[[#This Row],[Price Per Unit]]*Table1[[#This Row],[Units Sold]]</f>
        <v>294288.96000000002</v>
      </c>
      <c r="M1339" s="3" t="s">
        <v>780</v>
      </c>
      <c r="N1339" s="3">
        <v>27</v>
      </c>
      <c r="O1339" s="3" t="s">
        <v>125</v>
      </c>
      <c r="P1339" s="3" t="s">
        <v>31</v>
      </c>
      <c r="Q1339" s="4">
        <v>5</v>
      </c>
      <c r="R1339" s="4" t="str">
        <f>IF(Table1[[#This Row],[Customer Ratings]]&gt;=4, "Good",IF(Table1[[#This Row],[Customer Ratings]]=3, "Average","Poor"))</f>
        <v>Good</v>
      </c>
      <c r="S1339" s="3" t="s">
        <v>38</v>
      </c>
    </row>
    <row r="1340" spans="1:19" x14ac:dyDescent="0.25">
      <c r="A1340" s="3">
        <v>1339</v>
      </c>
      <c r="B1340" s="5">
        <f>DATE(Table1[[#This Row],[Year]],Table1[[#This Row],[Month]],Table1[[#This Row],[Day]])</f>
        <v>44859</v>
      </c>
      <c r="C1340" s="3">
        <v>25</v>
      </c>
      <c r="D1340" s="3">
        <v>10</v>
      </c>
      <c r="E1340" s="3">
        <v>2022</v>
      </c>
      <c r="F1340" s="3" t="str">
        <f>"Qtr"&amp; " " &amp;CHOOSE(MONTH(Table1[[#This Row],[Date]]),1,1,1,2,2,2,3,3,3,4,4,4)</f>
        <v>Qtr 4</v>
      </c>
      <c r="G1340" s="3" t="str">
        <f>TEXT(Table1[[#This Row],[Date]],"mmmm")</f>
        <v>October</v>
      </c>
      <c r="H1340" s="3" t="s">
        <v>1082</v>
      </c>
      <c r="I1340" s="3" t="s">
        <v>13</v>
      </c>
      <c r="J1340" s="3">
        <v>5</v>
      </c>
      <c r="K1340" s="3">
        <v>68071.740000000005</v>
      </c>
      <c r="L1340" s="3">
        <f>Table1[[#This Row],[Price Per Unit]]*Table1[[#This Row],[Units Sold]]</f>
        <v>340358.7</v>
      </c>
      <c r="M1340" s="3" t="s">
        <v>579</v>
      </c>
      <c r="N1340" s="3">
        <v>35</v>
      </c>
      <c r="O1340" s="3" t="s">
        <v>20</v>
      </c>
      <c r="P1340" s="3" t="s">
        <v>16</v>
      </c>
      <c r="Q1340" s="4">
        <v>1</v>
      </c>
      <c r="R1340" s="4" t="str">
        <f>IF(Table1[[#This Row],[Customer Ratings]]&gt;=4, "Good",IF(Table1[[#This Row],[Customer Ratings]]=3, "Average","Poor"))</f>
        <v>Poor</v>
      </c>
      <c r="S1340" s="3" t="s">
        <v>17</v>
      </c>
    </row>
    <row r="1341" spans="1:19" x14ac:dyDescent="0.25">
      <c r="A1341" s="3">
        <v>1340</v>
      </c>
      <c r="B1341" s="5">
        <f>DATE(Table1[[#This Row],[Year]],Table1[[#This Row],[Month]],Table1[[#This Row],[Day]])</f>
        <v>44860</v>
      </c>
      <c r="C1341" s="3">
        <v>26</v>
      </c>
      <c r="D1341" s="3">
        <v>10</v>
      </c>
      <c r="E1341" s="3">
        <v>2022</v>
      </c>
      <c r="F1341" s="3" t="str">
        <f>"Qtr"&amp; " " &amp;CHOOSE(MONTH(Table1[[#This Row],[Date]]),1,1,1,2,2,2,3,3,3,4,4,4)</f>
        <v>Qtr 4</v>
      </c>
      <c r="G1341" s="3" t="str">
        <f>TEXT(Table1[[#This Row],[Date]],"mmmm")</f>
        <v>October</v>
      </c>
      <c r="H1341" s="3" t="s">
        <v>1083</v>
      </c>
      <c r="I1341" s="3" t="s">
        <v>28</v>
      </c>
      <c r="J1341" s="3">
        <v>1</v>
      </c>
      <c r="K1341" s="3">
        <v>61778.26</v>
      </c>
      <c r="L1341" s="3">
        <f>Table1[[#This Row],[Price Per Unit]]*Table1[[#This Row],[Units Sold]]</f>
        <v>61778.26</v>
      </c>
      <c r="M1341" s="3" t="s">
        <v>809</v>
      </c>
      <c r="N1341" s="3">
        <v>49</v>
      </c>
      <c r="O1341" s="3" t="s">
        <v>20</v>
      </c>
      <c r="P1341" s="3" t="s">
        <v>31</v>
      </c>
      <c r="Q1341" s="4">
        <v>5</v>
      </c>
      <c r="R1341" s="4" t="str">
        <f>IF(Table1[[#This Row],[Customer Ratings]]&gt;=4, "Good",IF(Table1[[#This Row],[Customer Ratings]]=3, "Average","Poor"))</f>
        <v>Good</v>
      </c>
      <c r="S1341" s="3" t="s">
        <v>32</v>
      </c>
    </row>
    <row r="1342" spans="1:19" x14ac:dyDescent="0.25">
      <c r="A1342" s="3">
        <v>1341</v>
      </c>
      <c r="B1342" s="5">
        <f>DATE(Table1[[#This Row],[Year]],Table1[[#This Row],[Month]],Table1[[#This Row],[Day]])</f>
        <v>44860</v>
      </c>
      <c r="C1342" s="3">
        <v>26</v>
      </c>
      <c r="D1342" s="3">
        <v>10</v>
      </c>
      <c r="E1342" s="3">
        <v>2022</v>
      </c>
      <c r="F1342" s="3" t="str">
        <f>"Qtr"&amp; " " &amp;CHOOSE(MONTH(Table1[[#This Row],[Date]]),1,1,1,2,2,2,3,3,3,4,4,4)</f>
        <v>Qtr 4</v>
      </c>
      <c r="G1342" s="3" t="str">
        <f>TEXT(Table1[[#This Row],[Date]],"mmmm")</f>
        <v>October</v>
      </c>
      <c r="H1342" s="3" t="s">
        <v>1083</v>
      </c>
      <c r="I1342" s="3" t="s">
        <v>39</v>
      </c>
      <c r="J1342" s="3">
        <v>3</v>
      </c>
      <c r="K1342" s="3">
        <v>36929.9</v>
      </c>
      <c r="L1342" s="3">
        <f>Table1[[#This Row],[Price Per Unit]]*Table1[[#This Row],[Units Sold]]</f>
        <v>110789.70000000001</v>
      </c>
      <c r="M1342" s="3" t="s">
        <v>201</v>
      </c>
      <c r="N1342" s="3">
        <v>47</v>
      </c>
      <c r="O1342" s="3" t="s">
        <v>20</v>
      </c>
      <c r="P1342" s="3" t="s">
        <v>16</v>
      </c>
      <c r="Q1342" s="4">
        <v>1</v>
      </c>
      <c r="R1342" s="4" t="str">
        <f>IF(Table1[[#This Row],[Customer Ratings]]&gt;=4, "Good",IF(Table1[[#This Row],[Customer Ratings]]=3, "Average","Poor"))</f>
        <v>Poor</v>
      </c>
      <c r="S1342" s="3" t="s">
        <v>90</v>
      </c>
    </row>
    <row r="1343" spans="1:19" x14ac:dyDescent="0.25">
      <c r="A1343" s="3">
        <v>1342</v>
      </c>
      <c r="B1343" s="5">
        <f>DATE(Table1[[#This Row],[Year]],Table1[[#This Row],[Month]],Table1[[#This Row],[Day]])</f>
        <v>44860</v>
      </c>
      <c r="C1343" s="3">
        <v>26</v>
      </c>
      <c r="D1343" s="3">
        <v>10</v>
      </c>
      <c r="E1343" s="3">
        <v>2022</v>
      </c>
      <c r="F1343" s="3" t="str">
        <f>"Qtr"&amp; " " &amp;CHOOSE(MONTH(Table1[[#This Row],[Date]]),1,1,1,2,2,2,3,3,3,4,4,4)</f>
        <v>Qtr 4</v>
      </c>
      <c r="G1343" s="3" t="str">
        <f>TEXT(Table1[[#This Row],[Date]],"mmmm")</f>
        <v>October</v>
      </c>
      <c r="H1343" s="3" t="s">
        <v>1083</v>
      </c>
      <c r="I1343" s="3" t="s">
        <v>28</v>
      </c>
      <c r="J1343" s="3">
        <v>1</v>
      </c>
      <c r="K1343" s="3">
        <v>13771.45</v>
      </c>
      <c r="L1343" s="3">
        <f>Table1[[#This Row],[Price Per Unit]]*Table1[[#This Row],[Units Sold]]</f>
        <v>13771.45</v>
      </c>
      <c r="M1343" s="3" t="s">
        <v>442</v>
      </c>
      <c r="N1343" s="3">
        <v>53</v>
      </c>
      <c r="O1343" s="3" t="s">
        <v>105</v>
      </c>
      <c r="P1343" s="3" t="s">
        <v>31</v>
      </c>
      <c r="Q1343" s="4">
        <v>3</v>
      </c>
      <c r="R1343" s="4" t="str">
        <f>IF(Table1[[#This Row],[Customer Ratings]]&gt;=4, "Good",IF(Table1[[#This Row],[Customer Ratings]]=3, "Average","Poor"))</f>
        <v>Average</v>
      </c>
      <c r="S1343" s="3" t="s">
        <v>87</v>
      </c>
    </row>
    <row r="1344" spans="1:19" x14ac:dyDescent="0.25">
      <c r="A1344" s="3">
        <v>1343</v>
      </c>
      <c r="B1344" s="5">
        <f>DATE(Table1[[#This Row],[Year]],Table1[[#This Row],[Month]],Table1[[#This Row],[Day]])</f>
        <v>44860</v>
      </c>
      <c r="C1344" s="3">
        <v>26</v>
      </c>
      <c r="D1344" s="3">
        <v>10</v>
      </c>
      <c r="E1344" s="3">
        <v>2022</v>
      </c>
      <c r="F1344" s="3" t="str">
        <f>"Qtr"&amp; " " &amp;CHOOSE(MONTH(Table1[[#This Row],[Date]]),1,1,1,2,2,2,3,3,3,4,4,4)</f>
        <v>Qtr 4</v>
      </c>
      <c r="G1344" s="3" t="str">
        <f>TEXT(Table1[[#This Row],[Date]],"mmmm")</f>
        <v>October</v>
      </c>
      <c r="H1344" s="3" t="s">
        <v>1083</v>
      </c>
      <c r="I1344" s="3" t="s">
        <v>18</v>
      </c>
      <c r="J1344" s="3">
        <v>5</v>
      </c>
      <c r="K1344" s="3">
        <v>38563.53</v>
      </c>
      <c r="L1344" s="3">
        <f>Table1[[#This Row],[Price Per Unit]]*Table1[[#This Row],[Units Sold]]</f>
        <v>192817.65</v>
      </c>
      <c r="M1344" s="3" t="s">
        <v>84</v>
      </c>
      <c r="N1344" s="3">
        <v>26</v>
      </c>
      <c r="O1344" s="3" t="s">
        <v>20</v>
      </c>
      <c r="P1344" s="3" t="s">
        <v>16</v>
      </c>
      <c r="Q1344" s="4">
        <v>5</v>
      </c>
      <c r="R1344" s="4" t="str">
        <f>IF(Table1[[#This Row],[Customer Ratings]]&gt;=4, "Good",IF(Table1[[#This Row],[Customer Ratings]]=3, "Average","Poor"))</f>
        <v>Good</v>
      </c>
      <c r="S1344" s="3" t="s">
        <v>22</v>
      </c>
    </row>
    <row r="1345" spans="1:19" x14ac:dyDescent="0.25">
      <c r="A1345" s="3">
        <v>1344</v>
      </c>
      <c r="B1345" s="5">
        <f>DATE(Table1[[#This Row],[Year]],Table1[[#This Row],[Month]],Table1[[#This Row],[Day]])</f>
        <v>44861</v>
      </c>
      <c r="C1345" s="3">
        <v>27</v>
      </c>
      <c r="D1345" s="3">
        <v>10</v>
      </c>
      <c r="E1345" s="3">
        <v>2022</v>
      </c>
      <c r="F1345" s="3" t="str">
        <f>"Qtr"&amp; " " &amp;CHOOSE(MONTH(Table1[[#This Row],[Date]]),1,1,1,2,2,2,3,3,3,4,4,4)</f>
        <v>Qtr 4</v>
      </c>
      <c r="G1345" s="3" t="str">
        <f>TEXT(Table1[[#This Row],[Date]],"mmmm")</f>
        <v>October</v>
      </c>
      <c r="H1345" s="3" t="s">
        <v>1084</v>
      </c>
      <c r="I1345" s="3" t="s">
        <v>39</v>
      </c>
      <c r="J1345" s="3">
        <v>5</v>
      </c>
      <c r="K1345" s="3">
        <v>51354.64</v>
      </c>
      <c r="L1345" s="3">
        <f>Table1[[#This Row],[Price Per Unit]]*Table1[[#This Row],[Units Sold]]</f>
        <v>256773.2</v>
      </c>
      <c r="M1345" s="3" t="s">
        <v>810</v>
      </c>
      <c r="N1345" s="3">
        <v>53</v>
      </c>
      <c r="O1345" s="3" t="s">
        <v>35</v>
      </c>
      <c r="P1345" s="3" t="s">
        <v>45</v>
      </c>
      <c r="Q1345" s="4">
        <v>1</v>
      </c>
      <c r="R1345" s="4" t="str">
        <f>IF(Table1[[#This Row],[Customer Ratings]]&gt;=4, "Good",IF(Table1[[#This Row],[Customer Ratings]]=3, "Average","Poor"))</f>
        <v>Poor</v>
      </c>
      <c r="S1345" s="3" t="s">
        <v>76</v>
      </c>
    </row>
    <row r="1346" spans="1:19" x14ac:dyDescent="0.25">
      <c r="A1346" s="3">
        <v>1345</v>
      </c>
      <c r="B1346" s="5">
        <f>DATE(Table1[[#This Row],[Year]],Table1[[#This Row],[Month]],Table1[[#This Row],[Day]])</f>
        <v>44861</v>
      </c>
      <c r="C1346" s="3">
        <v>27</v>
      </c>
      <c r="D1346" s="3">
        <v>10</v>
      </c>
      <c r="E1346" s="3">
        <v>2022</v>
      </c>
      <c r="F1346" s="3" t="str">
        <f>"Qtr"&amp; " " &amp;CHOOSE(MONTH(Table1[[#This Row],[Date]]),1,1,1,2,2,2,3,3,3,4,4,4)</f>
        <v>Qtr 4</v>
      </c>
      <c r="G1346" s="3" t="str">
        <f>TEXT(Table1[[#This Row],[Date]],"mmmm")</f>
        <v>October</v>
      </c>
      <c r="H1346" s="3" t="s">
        <v>1084</v>
      </c>
      <c r="I1346" s="3" t="s">
        <v>13</v>
      </c>
      <c r="J1346" s="3">
        <v>6</v>
      </c>
      <c r="K1346" s="3">
        <v>46462.59</v>
      </c>
      <c r="L1346" s="3">
        <f>Table1[[#This Row],[Price Per Unit]]*Table1[[#This Row],[Units Sold]]</f>
        <v>278775.53999999998</v>
      </c>
      <c r="M1346" s="3" t="s">
        <v>713</v>
      </c>
      <c r="N1346" s="3">
        <v>46</v>
      </c>
      <c r="O1346" s="3" t="s">
        <v>98</v>
      </c>
      <c r="P1346" s="3" t="s">
        <v>31</v>
      </c>
      <c r="Q1346" s="4">
        <v>3</v>
      </c>
      <c r="R1346" s="4" t="str">
        <f>IF(Table1[[#This Row],[Customer Ratings]]&gt;=4, "Good",IF(Table1[[#This Row],[Customer Ratings]]=3, "Average","Poor"))</f>
        <v>Average</v>
      </c>
      <c r="S1346" s="3" t="s">
        <v>72</v>
      </c>
    </row>
    <row r="1347" spans="1:19" x14ac:dyDescent="0.25">
      <c r="A1347" s="3">
        <v>1346</v>
      </c>
      <c r="B1347" s="5">
        <f>DATE(Table1[[#This Row],[Year]],Table1[[#This Row],[Month]],Table1[[#This Row],[Day]])</f>
        <v>44861</v>
      </c>
      <c r="C1347" s="3">
        <v>27</v>
      </c>
      <c r="D1347" s="3">
        <v>10</v>
      </c>
      <c r="E1347" s="3">
        <v>2022</v>
      </c>
      <c r="F1347" s="3" t="str">
        <f>"Qtr"&amp; " " &amp;CHOOSE(MONTH(Table1[[#This Row],[Date]]),1,1,1,2,2,2,3,3,3,4,4,4)</f>
        <v>Qtr 4</v>
      </c>
      <c r="G1347" s="3" t="str">
        <f>TEXT(Table1[[#This Row],[Date]],"mmmm")</f>
        <v>October</v>
      </c>
      <c r="H1347" s="3" t="s">
        <v>1084</v>
      </c>
      <c r="I1347" s="3" t="s">
        <v>18</v>
      </c>
      <c r="J1347" s="3">
        <v>8</v>
      </c>
      <c r="K1347" s="3">
        <v>42288.22</v>
      </c>
      <c r="L1347" s="3">
        <f>Table1[[#This Row],[Price Per Unit]]*Table1[[#This Row],[Units Sold]]</f>
        <v>338305.76</v>
      </c>
      <c r="M1347" s="3" t="s">
        <v>754</v>
      </c>
      <c r="N1347" s="3">
        <v>33</v>
      </c>
      <c r="O1347" s="3" t="s">
        <v>105</v>
      </c>
      <c r="P1347" s="3" t="s">
        <v>31</v>
      </c>
      <c r="Q1347" s="4">
        <v>5</v>
      </c>
      <c r="R1347" s="4" t="str">
        <f>IF(Table1[[#This Row],[Customer Ratings]]&gt;=4, "Good",IF(Table1[[#This Row],[Customer Ratings]]=3, "Average","Poor"))</f>
        <v>Good</v>
      </c>
      <c r="S1347" s="3" t="s">
        <v>55</v>
      </c>
    </row>
    <row r="1348" spans="1:19" x14ac:dyDescent="0.25">
      <c r="A1348" s="3">
        <v>1347</v>
      </c>
      <c r="B1348" s="5">
        <f>DATE(Table1[[#This Row],[Year]],Table1[[#This Row],[Month]],Table1[[#This Row],[Day]])</f>
        <v>44862</v>
      </c>
      <c r="C1348" s="3">
        <v>28</v>
      </c>
      <c r="D1348" s="3">
        <v>10</v>
      </c>
      <c r="E1348" s="3">
        <v>2022</v>
      </c>
      <c r="F1348" s="3" t="str">
        <f>"Qtr"&amp; " " &amp;CHOOSE(MONTH(Table1[[#This Row],[Date]]),1,1,1,2,2,2,3,3,3,4,4,4)</f>
        <v>Qtr 4</v>
      </c>
      <c r="G1348" s="3" t="str">
        <f>TEXT(Table1[[#This Row],[Date]],"mmmm")</f>
        <v>October</v>
      </c>
      <c r="H1348" s="3" t="s">
        <v>1085</v>
      </c>
      <c r="I1348" s="3" t="s">
        <v>28</v>
      </c>
      <c r="J1348" s="3">
        <v>1</v>
      </c>
      <c r="K1348" s="3">
        <v>38129.14</v>
      </c>
      <c r="L1348" s="3">
        <f>Table1[[#This Row],[Price Per Unit]]*Table1[[#This Row],[Units Sold]]</f>
        <v>38129.14</v>
      </c>
      <c r="M1348" s="3" t="s">
        <v>118</v>
      </c>
      <c r="N1348" s="3">
        <v>45</v>
      </c>
      <c r="O1348" s="3" t="s">
        <v>24</v>
      </c>
      <c r="P1348" s="3" t="s">
        <v>16</v>
      </c>
      <c r="Q1348" s="4">
        <v>4</v>
      </c>
      <c r="R1348" s="4" t="str">
        <f>IF(Table1[[#This Row],[Customer Ratings]]&gt;=4, "Good",IF(Table1[[#This Row],[Customer Ratings]]=3, "Average","Poor"))</f>
        <v>Good</v>
      </c>
      <c r="S1348" s="3" t="s">
        <v>38</v>
      </c>
    </row>
    <row r="1349" spans="1:19" x14ac:dyDescent="0.25">
      <c r="A1349" s="3">
        <v>1348</v>
      </c>
      <c r="B1349" s="5">
        <f>DATE(Table1[[#This Row],[Year]],Table1[[#This Row],[Month]],Table1[[#This Row],[Day]])</f>
        <v>44862</v>
      </c>
      <c r="C1349" s="3">
        <v>28</v>
      </c>
      <c r="D1349" s="3">
        <v>10</v>
      </c>
      <c r="E1349" s="3">
        <v>2022</v>
      </c>
      <c r="F1349" s="3" t="str">
        <f>"Qtr"&amp; " " &amp;CHOOSE(MONTH(Table1[[#This Row],[Date]]),1,1,1,2,2,2,3,3,3,4,4,4)</f>
        <v>Qtr 4</v>
      </c>
      <c r="G1349" s="3" t="str">
        <f>TEXT(Table1[[#This Row],[Date]],"mmmm")</f>
        <v>October</v>
      </c>
      <c r="H1349" s="3" t="s">
        <v>1085</v>
      </c>
      <c r="I1349" s="3" t="s">
        <v>39</v>
      </c>
      <c r="J1349" s="3">
        <v>4</v>
      </c>
      <c r="K1349" s="3">
        <v>27625.71</v>
      </c>
      <c r="L1349" s="3">
        <f>Table1[[#This Row],[Price Per Unit]]*Table1[[#This Row],[Units Sold]]</f>
        <v>110502.84</v>
      </c>
      <c r="M1349" s="3" t="s">
        <v>811</v>
      </c>
      <c r="N1349" s="3">
        <v>38</v>
      </c>
      <c r="O1349" s="3" t="s">
        <v>20</v>
      </c>
      <c r="P1349" s="3" t="s">
        <v>16</v>
      </c>
      <c r="Q1349" s="4">
        <v>5</v>
      </c>
      <c r="R1349" s="4" t="str">
        <f>IF(Table1[[#This Row],[Customer Ratings]]&gt;=4, "Good",IF(Table1[[#This Row],[Customer Ratings]]=3, "Average","Poor"))</f>
        <v>Good</v>
      </c>
      <c r="S1349" s="3" t="s">
        <v>76</v>
      </c>
    </row>
    <row r="1350" spans="1:19" x14ac:dyDescent="0.25">
      <c r="A1350" s="3">
        <v>1349</v>
      </c>
      <c r="B1350" s="5">
        <f>DATE(Table1[[#This Row],[Year]],Table1[[#This Row],[Month]],Table1[[#This Row],[Day]])</f>
        <v>44862</v>
      </c>
      <c r="C1350" s="3">
        <v>28</v>
      </c>
      <c r="D1350" s="3">
        <v>10</v>
      </c>
      <c r="E1350" s="3">
        <v>2022</v>
      </c>
      <c r="F1350" s="3" t="str">
        <f>"Qtr"&amp; " " &amp;CHOOSE(MONTH(Table1[[#This Row],[Date]]),1,1,1,2,2,2,3,3,3,4,4,4)</f>
        <v>Qtr 4</v>
      </c>
      <c r="G1350" s="3" t="str">
        <f>TEXT(Table1[[#This Row],[Date]],"mmmm")</f>
        <v>October</v>
      </c>
      <c r="H1350" s="3" t="s">
        <v>1085</v>
      </c>
      <c r="I1350" s="3" t="s">
        <v>13</v>
      </c>
      <c r="J1350" s="3">
        <v>1</v>
      </c>
      <c r="K1350" s="3">
        <v>26640.81</v>
      </c>
      <c r="L1350" s="3">
        <f>Table1[[#This Row],[Price Per Unit]]*Table1[[#This Row],[Units Sold]]</f>
        <v>26640.81</v>
      </c>
      <c r="M1350" s="3" t="s">
        <v>236</v>
      </c>
      <c r="N1350" s="3">
        <v>19</v>
      </c>
      <c r="O1350" s="3" t="s">
        <v>24</v>
      </c>
      <c r="P1350" s="3" t="s">
        <v>21</v>
      </c>
      <c r="Q1350" s="4">
        <v>5</v>
      </c>
      <c r="R1350" s="4" t="str">
        <f>IF(Table1[[#This Row],[Customer Ratings]]&gt;=4, "Good",IF(Table1[[#This Row],[Customer Ratings]]=3, "Average","Poor"))</f>
        <v>Good</v>
      </c>
      <c r="S1350" s="3" t="s">
        <v>17</v>
      </c>
    </row>
    <row r="1351" spans="1:19" x14ac:dyDescent="0.25">
      <c r="A1351" s="3">
        <v>1350</v>
      </c>
      <c r="B1351" s="5">
        <f>DATE(Table1[[#This Row],[Year]],Table1[[#This Row],[Month]],Table1[[#This Row],[Day]])</f>
        <v>44863</v>
      </c>
      <c r="C1351" s="3">
        <v>29</v>
      </c>
      <c r="D1351" s="3">
        <v>10</v>
      </c>
      <c r="E1351" s="3">
        <v>2022</v>
      </c>
      <c r="F1351" s="3" t="str">
        <f>"Qtr"&amp; " " &amp;CHOOSE(MONTH(Table1[[#This Row],[Date]]),1,1,1,2,2,2,3,3,3,4,4,4)</f>
        <v>Qtr 4</v>
      </c>
      <c r="G1351" s="3" t="str">
        <f>TEXT(Table1[[#This Row],[Date]],"mmmm")</f>
        <v>October</v>
      </c>
      <c r="H1351" s="3" t="s">
        <v>1079</v>
      </c>
      <c r="I1351" s="3" t="s">
        <v>18</v>
      </c>
      <c r="J1351" s="3">
        <v>9</v>
      </c>
      <c r="K1351" s="3">
        <v>40013.89</v>
      </c>
      <c r="L1351" s="3">
        <f>Table1[[#This Row],[Price Per Unit]]*Table1[[#This Row],[Units Sold]]</f>
        <v>360125.01</v>
      </c>
      <c r="M1351" s="3" t="s">
        <v>812</v>
      </c>
      <c r="N1351" s="3">
        <v>52</v>
      </c>
      <c r="O1351" s="3" t="s">
        <v>52</v>
      </c>
      <c r="P1351" s="3" t="s">
        <v>45</v>
      </c>
      <c r="Q1351" s="4">
        <v>5</v>
      </c>
      <c r="R1351" s="4" t="str">
        <f>IF(Table1[[#This Row],[Customer Ratings]]&gt;=4, "Good",IF(Table1[[#This Row],[Customer Ratings]]=3, "Average","Poor"))</f>
        <v>Good</v>
      </c>
      <c r="S1351" s="3" t="s">
        <v>22</v>
      </c>
    </row>
    <row r="1352" spans="1:19" x14ac:dyDescent="0.25">
      <c r="A1352" s="3">
        <v>1351</v>
      </c>
      <c r="B1352" s="5">
        <f>DATE(Table1[[#This Row],[Year]],Table1[[#This Row],[Month]],Table1[[#This Row],[Day]])</f>
        <v>44863</v>
      </c>
      <c r="C1352" s="3">
        <v>29</v>
      </c>
      <c r="D1352" s="3">
        <v>10</v>
      </c>
      <c r="E1352" s="3">
        <v>2022</v>
      </c>
      <c r="F1352" s="3" t="str">
        <f>"Qtr"&amp; " " &amp;CHOOSE(MONTH(Table1[[#This Row],[Date]]),1,1,1,2,2,2,3,3,3,4,4,4)</f>
        <v>Qtr 4</v>
      </c>
      <c r="G1352" s="3" t="str">
        <f>TEXT(Table1[[#This Row],[Date]],"mmmm")</f>
        <v>October</v>
      </c>
      <c r="H1352" s="3" t="s">
        <v>1079</v>
      </c>
      <c r="I1352" s="3" t="s">
        <v>13</v>
      </c>
      <c r="J1352" s="3">
        <v>7</v>
      </c>
      <c r="K1352" s="3">
        <v>19636.189999999999</v>
      </c>
      <c r="L1352" s="3">
        <f>Table1[[#This Row],[Price Per Unit]]*Table1[[#This Row],[Units Sold]]</f>
        <v>137453.32999999999</v>
      </c>
      <c r="M1352" s="3" t="s">
        <v>813</v>
      </c>
      <c r="N1352" s="3">
        <v>45</v>
      </c>
      <c r="O1352" s="3" t="s">
        <v>35</v>
      </c>
      <c r="P1352" s="3" t="s">
        <v>45</v>
      </c>
      <c r="Q1352" s="4">
        <v>1</v>
      </c>
      <c r="R1352" s="4" t="str">
        <f>IF(Table1[[#This Row],[Customer Ratings]]&gt;=4, "Good",IF(Table1[[#This Row],[Customer Ratings]]=3, "Average","Poor"))</f>
        <v>Poor</v>
      </c>
      <c r="S1352" s="3" t="s">
        <v>72</v>
      </c>
    </row>
    <row r="1353" spans="1:19" x14ac:dyDescent="0.25">
      <c r="A1353" s="3">
        <v>1352</v>
      </c>
      <c r="B1353" s="5">
        <f>DATE(Table1[[#This Row],[Year]],Table1[[#This Row],[Month]],Table1[[#This Row],[Day]])</f>
        <v>44863</v>
      </c>
      <c r="C1353" s="3">
        <v>29</v>
      </c>
      <c r="D1353" s="3">
        <v>10</v>
      </c>
      <c r="E1353" s="3">
        <v>2022</v>
      </c>
      <c r="F1353" s="3" t="str">
        <f>"Qtr"&amp; " " &amp;CHOOSE(MONTH(Table1[[#This Row],[Date]]),1,1,1,2,2,2,3,3,3,4,4,4)</f>
        <v>Qtr 4</v>
      </c>
      <c r="G1353" s="3" t="str">
        <f>TEXT(Table1[[#This Row],[Date]],"mmmm")</f>
        <v>October</v>
      </c>
      <c r="H1353" s="3" t="s">
        <v>1079</v>
      </c>
      <c r="I1353" s="3" t="s">
        <v>28</v>
      </c>
      <c r="J1353" s="3">
        <v>7</v>
      </c>
      <c r="K1353" s="3">
        <v>30441.13</v>
      </c>
      <c r="L1353" s="3">
        <f>Table1[[#This Row],[Price Per Unit]]*Table1[[#This Row],[Units Sold]]</f>
        <v>213087.91</v>
      </c>
      <c r="M1353" s="3" t="s">
        <v>509</v>
      </c>
      <c r="N1353" s="3">
        <v>53</v>
      </c>
      <c r="O1353" s="3" t="s">
        <v>24</v>
      </c>
      <c r="P1353" s="3" t="s">
        <v>21</v>
      </c>
      <c r="Q1353" s="4">
        <v>4</v>
      </c>
      <c r="R1353" s="4" t="str">
        <f>IF(Table1[[#This Row],[Customer Ratings]]&gt;=4, "Good",IF(Table1[[#This Row],[Customer Ratings]]=3, "Average","Poor"))</f>
        <v>Good</v>
      </c>
      <c r="S1353" s="3" t="s">
        <v>32</v>
      </c>
    </row>
    <row r="1354" spans="1:19" x14ac:dyDescent="0.25">
      <c r="A1354" s="3">
        <v>1353</v>
      </c>
      <c r="B1354" s="5">
        <f>DATE(Table1[[#This Row],[Year]],Table1[[#This Row],[Month]],Table1[[#This Row],[Day]])</f>
        <v>44863</v>
      </c>
      <c r="C1354" s="3">
        <v>29</v>
      </c>
      <c r="D1354" s="3">
        <v>10</v>
      </c>
      <c r="E1354" s="3">
        <v>2022</v>
      </c>
      <c r="F1354" s="3" t="str">
        <f>"Qtr"&amp; " " &amp;CHOOSE(MONTH(Table1[[#This Row],[Date]]),1,1,1,2,2,2,3,3,3,4,4,4)</f>
        <v>Qtr 4</v>
      </c>
      <c r="G1354" s="3" t="str">
        <f>TEXT(Table1[[#This Row],[Date]],"mmmm")</f>
        <v>October</v>
      </c>
      <c r="H1354" s="3" t="s">
        <v>1079</v>
      </c>
      <c r="I1354" s="3" t="s">
        <v>13</v>
      </c>
      <c r="J1354" s="3">
        <v>5</v>
      </c>
      <c r="K1354" s="3">
        <v>29438.76</v>
      </c>
      <c r="L1354" s="3">
        <f>Table1[[#This Row],[Price Per Unit]]*Table1[[#This Row],[Units Sold]]</f>
        <v>147193.79999999999</v>
      </c>
      <c r="M1354" s="3" t="s">
        <v>465</v>
      </c>
      <c r="N1354" s="3">
        <v>48</v>
      </c>
      <c r="O1354" s="3" t="s">
        <v>81</v>
      </c>
      <c r="P1354" s="3" t="s">
        <v>16</v>
      </c>
      <c r="Q1354" s="4">
        <v>3</v>
      </c>
      <c r="R1354" s="4" t="str">
        <f>IF(Table1[[#This Row],[Customer Ratings]]&gt;=4, "Good",IF(Table1[[#This Row],[Customer Ratings]]=3, "Average","Poor"))</f>
        <v>Average</v>
      </c>
      <c r="S1354" s="3" t="s">
        <v>17</v>
      </c>
    </row>
    <row r="1355" spans="1:19" x14ac:dyDescent="0.25">
      <c r="A1355" s="3">
        <v>1354</v>
      </c>
      <c r="B1355" s="5">
        <f>DATE(Table1[[#This Row],[Year]],Table1[[#This Row],[Month]],Table1[[#This Row],[Day]])</f>
        <v>44864</v>
      </c>
      <c r="C1355" s="3">
        <v>30</v>
      </c>
      <c r="D1355" s="3">
        <v>10</v>
      </c>
      <c r="E1355" s="3">
        <v>2022</v>
      </c>
      <c r="F1355" s="3" t="str">
        <f>"Qtr"&amp; " " &amp;CHOOSE(MONTH(Table1[[#This Row],[Date]]),1,1,1,2,2,2,3,3,3,4,4,4)</f>
        <v>Qtr 4</v>
      </c>
      <c r="G1355" s="3" t="str">
        <f>TEXT(Table1[[#This Row],[Date]],"mmmm")</f>
        <v>October</v>
      </c>
      <c r="H1355" s="3" t="s">
        <v>1080</v>
      </c>
      <c r="I1355" s="3" t="s">
        <v>33</v>
      </c>
      <c r="J1355" s="3">
        <v>7</v>
      </c>
      <c r="K1355" s="3">
        <v>45227.97</v>
      </c>
      <c r="L1355" s="3">
        <f>Table1[[#This Row],[Price Per Unit]]*Table1[[#This Row],[Units Sold]]</f>
        <v>316595.79000000004</v>
      </c>
      <c r="M1355" s="3" t="s">
        <v>229</v>
      </c>
      <c r="N1355" s="3">
        <v>50</v>
      </c>
      <c r="O1355" s="3" t="s">
        <v>24</v>
      </c>
      <c r="P1355" s="3" t="s">
        <v>45</v>
      </c>
      <c r="Q1355" s="4">
        <v>4</v>
      </c>
      <c r="R1355" s="4" t="str">
        <f>IF(Table1[[#This Row],[Customer Ratings]]&gt;=4, "Good",IF(Table1[[#This Row],[Customer Ratings]]=3, "Average","Poor"))</f>
        <v>Good</v>
      </c>
      <c r="S1355" s="3" t="s">
        <v>36</v>
      </c>
    </row>
    <row r="1356" spans="1:19" x14ac:dyDescent="0.25">
      <c r="A1356" s="3">
        <v>1355</v>
      </c>
      <c r="B1356" s="5">
        <f>DATE(Table1[[#This Row],[Year]],Table1[[#This Row],[Month]],Table1[[#This Row],[Day]])</f>
        <v>44864</v>
      </c>
      <c r="C1356" s="3">
        <v>30</v>
      </c>
      <c r="D1356" s="3">
        <v>10</v>
      </c>
      <c r="E1356" s="3">
        <v>2022</v>
      </c>
      <c r="F1356" s="3" t="str">
        <f>"Qtr"&amp; " " &amp;CHOOSE(MONTH(Table1[[#This Row],[Date]]),1,1,1,2,2,2,3,3,3,4,4,4)</f>
        <v>Qtr 4</v>
      </c>
      <c r="G1356" s="3" t="str">
        <f>TEXT(Table1[[#This Row],[Date]],"mmmm")</f>
        <v>October</v>
      </c>
      <c r="H1356" s="3" t="s">
        <v>1080</v>
      </c>
      <c r="I1356" s="3" t="s">
        <v>18</v>
      </c>
      <c r="J1356" s="3">
        <v>2</v>
      </c>
      <c r="K1356" s="3">
        <v>14000.94</v>
      </c>
      <c r="L1356" s="3">
        <f>Table1[[#This Row],[Price Per Unit]]*Table1[[#This Row],[Units Sold]]</f>
        <v>28001.88</v>
      </c>
      <c r="M1356" s="3" t="s">
        <v>64</v>
      </c>
      <c r="N1356" s="3">
        <v>40</v>
      </c>
      <c r="O1356" s="3" t="s">
        <v>125</v>
      </c>
      <c r="P1356" s="3" t="s">
        <v>16</v>
      </c>
      <c r="Q1356" s="4">
        <v>1</v>
      </c>
      <c r="R1356" s="4" t="str">
        <f>IF(Table1[[#This Row],[Customer Ratings]]&gt;=4, "Good",IF(Table1[[#This Row],[Customer Ratings]]=3, "Average","Poor"))</f>
        <v>Poor</v>
      </c>
      <c r="S1356" s="3" t="s">
        <v>55</v>
      </c>
    </row>
    <row r="1357" spans="1:19" x14ac:dyDescent="0.25">
      <c r="A1357" s="3">
        <v>1356</v>
      </c>
      <c r="B1357" s="5">
        <f>DATE(Table1[[#This Row],[Year]],Table1[[#This Row],[Month]],Table1[[#This Row],[Day]])</f>
        <v>44864</v>
      </c>
      <c r="C1357" s="3">
        <v>30</v>
      </c>
      <c r="D1357" s="3">
        <v>10</v>
      </c>
      <c r="E1357" s="3">
        <v>2022</v>
      </c>
      <c r="F1357" s="3" t="str">
        <f>"Qtr"&amp; " " &amp;CHOOSE(MONTH(Table1[[#This Row],[Date]]),1,1,1,2,2,2,3,3,3,4,4,4)</f>
        <v>Qtr 4</v>
      </c>
      <c r="G1357" s="3" t="str">
        <f>TEXT(Table1[[#This Row],[Date]],"mmmm")</f>
        <v>October</v>
      </c>
      <c r="H1357" s="3" t="s">
        <v>1080</v>
      </c>
      <c r="I1357" s="3" t="s">
        <v>13</v>
      </c>
      <c r="J1357" s="3">
        <v>4</v>
      </c>
      <c r="K1357" s="3">
        <v>59780.12</v>
      </c>
      <c r="L1357" s="3">
        <f>Table1[[#This Row],[Price Per Unit]]*Table1[[#This Row],[Units Sold]]</f>
        <v>239120.48</v>
      </c>
      <c r="M1357" s="3" t="s">
        <v>559</v>
      </c>
      <c r="N1357" s="3">
        <v>58</v>
      </c>
      <c r="O1357" s="3" t="s">
        <v>20</v>
      </c>
      <c r="P1357" s="3" t="s">
        <v>45</v>
      </c>
      <c r="Q1357" s="4">
        <v>5</v>
      </c>
      <c r="R1357" s="4" t="str">
        <f>IF(Table1[[#This Row],[Customer Ratings]]&gt;=4, "Good",IF(Table1[[#This Row],[Customer Ratings]]=3, "Average","Poor"))</f>
        <v>Good</v>
      </c>
      <c r="S1357" s="3" t="s">
        <v>27</v>
      </c>
    </row>
    <row r="1358" spans="1:19" x14ac:dyDescent="0.25">
      <c r="A1358" s="3">
        <v>1357</v>
      </c>
      <c r="B1358" s="5">
        <f>DATE(Table1[[#This Row],[Year]],Table1[[#This Row],[Month]],Table1[[#This Row],[Day]])</f>
        <v>44865</v>
      </c>
      <c r="C1358" s="3">
        <v>31</v>
      </c>
      <c r="D1358" s="3">
        <v>10</v>
      </c>
      <c r="E1358" s="3">
        <v>2022</v>
      </c>
      <c r="F1358" s="3" t="str">
        <f>"Qtr"&amp; " " &amp;CHOOSE(MONTH(Table1[[#This Row],[Date]]),1,1,1,2,2,2,3,3,3,4,4,4)</f>
        <v>Qtr 4</v>
      </c>
      <c r="G1358" s="3" t="str">
        <f>TEXT(Table1[[#This Row],[Date]],"mmmm")</f>
        <v>October</v>
      </c>
      <c r="H1358" s="3" t="s">
        <v>1081</v>
      </c>
      <c r="I1358" s="3" t="s">
        <v>28</v>
      </c>
      <c r="J1358" s="3">
        <v>7</v>
      </c>
      <c r="K1358" s="3">
        <v>43742.7</v>
      </c>
      <c r="L1358" s="3">
        <f>Table1[[#This Row],[Price Per Unit]]*Table1[[#This Row],[Units Sold]]</f>
        <v>306198.89999999997</v>
      </c>
      <c r="M1358" s="3" t="s">
        <v>734</v>
      </c>
      <c r="N1358" s="3">
        <v>34</v>
      </c>
      <c r="O1358" s="3" t="s">
        <v>81</v>
      </c>
      <c r="P1358" s="3" t="s">
        <v>31</v>
      </c>
      <c r="Q1358" s="4">
        <v>1</v>
      </c>
      <c r="R1358" s="4" t="str">
        <f>IF(Table1[[#This Row],[Customer Ratings]]&gt;=4, "Good",IF(Table1[[#This Row],[Customer Ratings]]=3, "Average","Poor"))</f>
        <v>Poor</v>
      </c>
      <c r="S1358" s="3" t="s">
        <v>87</v>
      </c>
    </row>
    <row r="1359" spans="1:19" x14ac:dyDescent="0.25">
      <c r="A1359" s="3">
        <v>1358</v>
      </c>
      <c r="B1359" s="5">
        <f>DATE(Table1[[#This Row],[Year]],Table1[[#This Row],[Month]],Table1[[#This Row],[Day]])</f>
        <v>44865</v>
      </c>
      <c r="C1359" s="3">
        <v>31</v>
      </c>
      <c r="D1359" s="3">
        <v>10</v>
      </c>
      <c r="E1359" s="3">
        <v>2022</v>
      </c>
      <c r="F1359" s="3" t="str">
        <f>"Qtr"&amp; " " &amp;CHOOSE(MONTH(Table1[[#This Row],[Date]]),1,1,1,2,2,2,3,3,3,4,4,4)</f>
        <v>Qtr 4</v>
      </c>
      <c r="G1359" s="3" t="str">
        <f>TEXT(Table1[[#This Row],[Date]],"mmmm")</f>
        <v>October</v>
      </c>
      <c r="H1359" s="3" t="s">
        <v>1081</v>
      </c>
      <c r="I1359" s="3" t="s">
        <v>28</v>
      </c>
      <c r="J1359" s="3">
        <v>3</v>
      </c>
      <c r="K1359" s="3">
        <v>50249.599999999999</v>
      </c>
      <c r="L1359" s="3">
        <f>Table1[[#This Row],[Price Per Unit]]*Table1[[#This Row],[Units Sold]]</f>
        <v>150748.79999999999</v>
      </c>
      <c r="M1359" s="3" t="s">
        <v>814</v>
      </c>
      <c r="N1359" s="3">
        <v>18</v>
      </c>
      <c r="O1359" s="3" t="s">
        <v>52</v>
      </c>
      <c r="P1359" s="3" t="s">
        <v>31</v>
      </c>
      <c r="Q1359" s="4">
        <v>3</v>
      </c>
      <c r="R1359" s="4" t="str">
        <f>IF(Table1[[#This Row],[Customer Ratings]]&gt;=4, "Good",IF(Table1[[#This Row],[Customer Ratings]]=3, "Average","Poor"))</f>
        <v>Average</v>
      </c>
      <c r="S1359" s="3" t="s">
        <v>87</v>
      </c>
    </row>
    <row r="1360" spans="1:19" x14ac:dyDescent="0.25">
      <c r="A1360" s="3">
        <v>1359</v>
      </c>
      <c r="B1360" s="5">
        <f>DATE(Table1[[#This Row],[Year]],Table1[[#This Row],[Month]],Table1[[#This Row],[Day]])</f>
        <v>44865</v>
      </c>
      <c r="C1360" s="3">
        <v>31</v>
      </c>
      <c r="D1360" s="3">
        <v>10</v>
      </c>
      <c r="E1360" s="3">
        <v>2022</v>
      </c>
      <c r="F1360" s="3" t="str">
        <f>"Qtr"&amp; " " &amp;CHOOSE(MONTH(Table1[[#This Row],[Date]]),1,1,1,2,2,2,3,3,3,4,4,4)</f>
        <v>Qtr 4</v>
      </c>
      <c r="G1360" s="3" t="str">
        <f>TEXT(Table1[[#This Row],[Date]],"mmmm")</f>
        <v>October</v>
      </c>
      <c r="H1360" s="3" t="s">
        <v>1081</v>
      </c>
      <c r="I1360" s="3" t="s">
        <v>13</v>
      </c>
      <c r="J1360" s="3">
        <v>2</v>
      </c>
      <c r="K1360" s="3">
        <v>52185.63</v>
      </c>
      <c r="L1360" s="3">
        <f>Table1[[#This Row],[Price Per Unit]]*Table1[[#This Row],[Units Sold]]</f>
        <v>104371.26</v>
      </c>
      <c r="M1360" s="3" t="s">
        <v>636</v>
      </c>
      <c r="N1360" s="3">
        <v>59</v>
      </c>
      <c r="O1360" s="3" t="s">
        <v>24</v>
      </c>
      <c r="P1360" s="3" t="s">
        <v>45</v>
      </c>
      <c r="Q1360" s="4">
        <v>4</v>
      </c>
      <c r="R1360" s="4" t="str">
        <f>IF(Table1[[#This Row],[Customer Ratings]]&gt;=4, "Good",IF(Table1[[#This Row],[Customer Ratings]]=3, "Average","Poor"))</f>
        <v>Good</v>
      </c>
      <c r="S1360" s="3" t="s">
        <v>27</v>
      </c>
    </row>
    <row r="1361" spans="1:19" x14ac:dyDescent="0.25">
      <c r="A1361" s="3">
        <v>1360</v>
      </c>
      <c r="B1361" s="5">
        <f>DATE(Table1[[#This Row],[Year]],Table1[[#This Row],[Month]],Table1[[#This Row],[Day]])</f>
        <v>44866</v>
      </c>
      <c r="C1361" s="3">
        <v>1</v>
      </c>
      <c r="D1361" s="3">
        <v>11</v>
      </c>
      <c r="E1361" s="3">
        <v>2022</v>
      </c>
      <c r="F1361" s="3" t="str">
        <f>"Qtr"&amp; " " &amp;CHOOSE(MONTH(Table1[[#This Row],[Date]]),1,1,1,2,2,2,3,3,3,4,4,4)</f>
        <v>Qtr 4</v>
      </c>
      <c r="G1361" s="3" t="str">
        <f>TEXT(Table1[[#This Row],[Date]],"mmmm")</f>
        <v>November</v>
      </c>
      <c r="H1361" s="3" t="s">
        <v>1082</v>
      </c>
      <c r="I1361" s="3" t="s">
        <v>28</v>
      </c>
      <c r="J1361" s="3">
        <v>2</v>
      </c>
      <c r="K1361" s="3">
        <v>27489.05</v>
      </c>
      <c r="L1361" s="3">
        <f>Table1[[#This Row],[Price Per Unit]]*Table1[[#This Row],[Units Sold]]</f>
        <v>54978.1</v>
      </c>
      <c r="M1361" s="3" t="s">
        <v>815</v>
      </c>
      <c r="N1361" s="3">
        <v>40</v>
      </c>
      <c r="O1361" s="3" t="s">
        <v>24</v>
      </c>
      <c r="P1361" s="3" t="s">
        <v>45</v>
      </c>
      <c r="Q1361" s="4">
        <v>5</v>
      </c>
      <c r="R1361" s="4" t="str">
        <f>IF(Table1[[#This Row],[Customer Ratings]]&gt;=4, "Good",IF(Table1[[#This Row],[Customer Ratings]]=3, "Average","Poor"))</f>
        <v>Good</v>
      </c>
      <c r="S1361" s="3" t="s">
        <v>87</v>
      </c>
    </row>
    <row r="1362" spans="1:19" x14ac:dyDescent="0.25">
      <c r="A1362" s="3">
        <v>1361</v>
      </c>
      <c r="B1362" s="5">
        <f>DATE(Table1[[#This Row],[Year]],Table1[[#This Row],[Month]],Table1[[#This Row],[Day]])</f>
        <v>44866</v>
      </c>
      <c r="C1362" s="3">
        <v>1</v>
      </c>
      <c r="D1362" s="3">
        <v>11</v>
      </c>
      <c r="E1362" s="3">
        <v>2022</v>
      </c>
      <c r="F1362" s="3" t="str">
        <f>"Qtr"&amp; " " &amp;CHOOSE(MONTH(Table1[[#This Row],[Date]]),1,1,1,2,2,2,3,3,3,4,4,4)</f>
        <v>Qtr 4</v>
      </c>
      <c r="G1362" s="3" t="str">
        <f>TEXT(Table1[[#This Row],[Date]],"mmmm")</f>
        <v>November</v>
      </c>
      <c r="H1362" s="3" t="s">
        <v>1082</v>
      </c>
      <c r="I1362" s="3" t="s">
        <v>39</v>
      </c>
      <c r="J1362" s="3">
        <v>1</v>
      </c>
      <c r="K1362" s="3">
        <v>38222.29</v>
      </c>
      <c r="L1362" s="3">
        <f>Table1[[#This Row],[Price Per Unit]]*Table1[[#This Row],[Units Sold]]</f>
        <v>38222.29</v>
      </c>
      <c r="M1362" s="3" t="s">
        <v>816</v>
      </c>
      <c r="N1362" s="3">
        <v>44</v>
      </c>
      <c r="O1362" s="3" t="s">
        <v>24</v>
      </c>
      <c r="P1362" s="3" t="s">
        <v>45</v>
      </c>
      <c r="Q1362" s="4">
        <v>1</v>
      </c>
      <c r="R1362" s="4" t="str">
        <f>IF(Table1[[#This Row],[Customer Ratings]]&gt;=4, "Good",IF(Table1[[#This Row],[Customer Ratings]]=3, "Average","Poor"))</f>
        <v>Poor</v>
      </c>
      <c r="S1362" s="3" t="s">
        <v>42</v>
      </c>
    </row>
    <row r="1363" spans="1:19" x14ac:dyDescent="0.25">
      <c r="A1363" s="3">
        <v>1362</v>
      </c>
      <c r="B1363" s="5">
        <f>DATE(Table1[[#This Row],[Year]],Table1[[#This Row],[Month]],Table1[[#This Row],[Day]])</f>
        <v>44866</v>
      </c>
      <c r="C1363" s="3">
        <v>1</v>
      </c>
      <c r="D1363" s="3">
        <v>11</v>
      </c>
      <c r="E1363" s="3">
        <v>2022</v>
      </c>
      <c r="F1363" s="3" t="str">
        <f>"Qtr"&amp; " " &amp;CHOOSE(MONTH(Table1[[#This Row],[Date]]),1,1,1,2,2,2,3,3,3,4,4,4)</f>
        <v>Qtr 4</v>
      </c>
      <c r="G1363" s="3" t="str">
        <f>TEXT(Table1[[#This Row],[Date]],"mmmm")</f>
        <v>November</v>
      </c>
      <c r="H1363" s="3" t="s">
        <v>1082</v>
      </c>
      <c r="I1363" s="3" t="s">
        <v>39</v>
      </c>
      <c r="J1363" s="3">
        <v>5</v>
      </c>
      <c r="K1363" s="3">
        <v>67374.759999999995</v>
      </c>
      <c r="L1363" s="3">
        <f>Table1[[#This Row],[Price Per Unit]]*Table1[[#This Row],[Units Sold]]</f>
        <v>336873.8</v>
      </c>
      <c r="M1363" s="3" t="s">
        <v>608</v>
      </c>
      <c r="N1363" s="3">
        <v>42</v>
      </c>
      <c r="O1363" s="3" t="s">
        <v>24</v>
      </c>
      <c r="P1363" s="3" t="s">
        <v>21</v>
      </c>
      <c r="Q1363" s="4">
        <v>5</v>
      </c>
      <c r="R1363" s="4" t="str">
        <f>IF(Table1[[#This Row],[Customer Ratings]]&gt;=4, "Good",IF(Table1[[#This Row],[Customer Ratings]]=3, "Average","Poor"))</f>
        <v>Good</v>
      </c>
      <c r="S1363" s="3" t="s">
        <v>76</v>
      </c>
    </row>
    <row r="1364" spans="1:19" x14ac:dyDescent="0.25">
      <c r="A1364" s="3">
        <v>1363</v>
      </c>
      <c r="B1364" s="5">
        <f>DATE(Table1[[#This Row],[Year]],Table1[[#This Row],[Month]],Table1[[#This Row],[Day]])</f>
        <v>44867</v>
      </c>
      <c r="C1364" s="3">
        <v>2</v>
      </c>
      <c r="D1364" s="3">
        <v>11</v>
      </c>
      <c r="E1364" s="3">
        <v>2022</v>
      </c>
      <c r="F1364" s="3" t="str">
        <f>"Qtr"&amp; " " &amp;CHOOSE(MONTH(Table1[[#This Row],[Date]]),1,1,1,2,2,2,3,3,3,4,4,4)</f>
        <v>Qtr 4</v>
      </c>
      <c r="G1364" s="3" t="str">
        <f>TEXT(Table1[[#This Row],[Date]],"mmmm")</f>
        <v>November</v>
      </c>
      <c r="H1364" s="3" t="s">
        <v>1083</v>
      </c>
      <c r="I1364" s="3" t="s">
        <v>39</v>
      </c>
      <c r="J1364" s="3">
        <v>6</v>
      </c>
      <c r="K1364" s="3">
        <v>56002.31</v>
      </c>
      <c r="L1364" s="3">
        <f>Table1[[#This Row],[Price Per Unit]]*Table1[[#This Row],[Units Sold]]</f>
        <v>336013.86</v>
      </c>
      <c r="M1364" s="3" t="s">
        <v>817</v>
      </c>
      <c r="N1364" s="3">
        <v>49</v>
      </c>
      <c r="O1364" s="3" t="s">
        <v>65</v>
      </c>
      <c r="P1364" s="3" t="s">
        <v>45</v>
      </c>
      <c r="Q1364" s="4">
        <v>5</v>
      </c>
      <c r="R1364" s="4" t="str">
        <f>IF(Table1[[#This Row],[Customer Ratings]]&gt;=4, "Good",IF(Table1[[#This Row],[Customer Ratings]]=3, "Average","Poor"))</f>
        <v>Good</v>
      </c>
      <c r="S1364" s="3" t="s">
        <v>90</v>
      </c>
    </row>
    <row r="1365" spans="1:19" x14ac:dyDescent="0.25">
      <c r="A1365" s="3">
        <v>1364</v>
      </c>
      <c r="B1365" s="5">
        <f>DATE(Table1[[#This Row],[Year]],Table1[[#This Row],[Month]],Table1[[#This Row],[Day]])</f>
        <v>44867</v>
      </c>
      <c r="C1365" s="3">
        <v>2</v>
      </c>
      <c r="D1365" s="3">
        <v>11</v>
      </c>
      <c r="E1365" s="3">
        <v>2022</v>
      </c>
      <c r="F1365" s="3" t="str">
        <f>"Qtr"&amp; " " &amp;CHOOSE(MONTH(Table1[[#This Row],[Date]]),1,1,1,2,2,2,3,3,3,4,4,4)</f>
        <v>Qtr 4</v>
      </c>
      <c r="G1365" s="3" t="str">
        <f>TEXT(Table1[[#This Row],[Date]],"mmmm")</f>
        <v>November</v>
      </c>
      <c r="H1365" s="3" t="s">
        <v>1083</v>
      </c>
      <c r="I1365" s="3" t="s">
        <v>33</v>
      </c>
      <c r="J1365" s="3">
        <v>6</v>
      </c>
      <c r="K1365" s="3">
        <v>68173.41</v>
      </c>
      <c r="L1365" s="3">
        <f>Table1[[#This Row],[Price Per Unit]]*Table1[[#This Row],[Units Sold]]</f>
        <v>409040.46</v>
      </c>
      <c r="M1365" s="3" t="s">
        <v>818</v>
      </c>
      <c r="N1365" s="3">
        <v>36</v>
      </c>
      <c r="O1365" s="3" t="s">
        <v>105</v>
      </c>
      <c r="P1365" s="3" t="s">
        <v>21</v>
      </c>
      <c r="Q1365" s="4">
        <v>4</v>
      </c>
      <c r="R1365" s="4" t="str">
        <f>IF(Table1[[#This Row],[Customer Ratings]]&gt;=4, "Good",IF(Table1[[#This Row],[Customer Ratings]]=3, "Average","Poor"))</f>
        <v>Good</v>
      </c>
      <c r="S1365" s="3" t="s">
        <v>36</v>
      </c>
    </row>
    <row r="1366" spans="1:19" x14ac:dyDescent="0.25">
      <c r="A1366" s="3">
        <v>1365</v>
      </c>
      <c r="B1366" s="5">
        <f>DATE(Table1[[#This Row],[Year]],Table1[[#This Row],[Month]],Table1[[#This Row],[Day]])</f>
        <v>44867</v>
      </c>
      <c r="C1366" s="3">
        <v>2</v>
      </c>
      <c r="D1366" s="3">
        <v>11</v>
      </c>
      <c r="E1366" s="3">
        <v>2022</v>
      </c>
      <c r="F1366" s="3" t="str">
        <f>"Qtr"&amp; " " &amp;CHOOSE(MONTH(Table1[[#This Row],[Date]]),1,1,1,2,2,2,3,3,3,4,4,4)</f>
        <v>Qtr 4</v>
      </c>
      <c r="G1366" s="3" t="str">
        <f>TEXT(Table1[[#This Row],[Date]],"mmmm")</f>
        <v>November</v>
      </c>
      <c r="H1366" s="3" t="s">
        <v>1083</v>
      </c>
      <c r="I1366" s="3" t="s">
        <v>13</v>
      </c>
      <c r="J1366" s="3">
        <v>9</v>
      </c>
      <c r="K1366" s="3">
        <v>54775.26</v>
      </c>
      <c r="L1366" s="3">
        <f>Table1[[#This Row],[Price Per Unit]]*Table1[[#This Row],[Units Sold]]</f>
        <v>492977.34</v>
      </c>
      <c r="M1366" s="3" t="s">
        <v>667</v>
      </c>
      <c r="N1366" s="3">
        <v>41</v>
      </c>
      <c r="O1366" s="3" t="s">
        <v>120</v>
      </c>
      <c r="P1366" s="3" t="s">
        <v>21</v>
      </c>
      <c r="Q1366" s="4">
        <v>5</v>
      </c>
      <c r="R1366" s="4" t="str">
        <f>IF(Table1[[#This Row],[Customer Ratings]]&gt;=4, "Good",IF(Table1[[#This Row],[Customer Ratings]]=3, "Average","Poor"))</f>
        <v>Good</v>
      </c>
      <c r="S1366" s="3" t="s">
        <v>72</v>
      </c>
    </row>
    <row r="1367" spans="1:19" x14ac:dyDescent="0.25">
      <c r="A1367" s="3">
        <v>1366</v>
      </c>
      <c r="B1367" s="5">
        <f>DATE(Table1[[#This Row],[Year]],Table1[[#This Row],[Month]],Table1[[#This Row],[Day]])</f>
        <v>44868</v>
      </c>
      <c r="C1367" s="3">
        <v>3</v>
      </c>
      <c r="D1367" s="3">
        <v>11</v>
      </c>
      <c r="E1367" s="3">
        <v>2022</v>
      </c>
      <c r="F1367" s="3" t="str">
        <f>"Qtr"&amp; " " &amp;CHOOSE(MONTH(Table1[[#This Row],[Date]]),1,1,1,2,2,2,3,3,3,4,4,4)</f>
        <v>Qtr 4</v>
      </c>
      <c r="G1367" s="3" t="str">
        <f>TEXT(Table1[[#This Row],[Date]],"mmmm")</f>
        <v>November</v>
      </c>
      <c r="H1367" s="3" t="s">
        <v>1084</v>
      </c>
      <c r="I1367" s="3" t="s">
        <v>33</v>
      </c>
      <c r="J1367" s="3">
        <v>4</v>
      </c>
      <c r="K1367" s="3">
        <v>20536.009999999998</v>
      </c>
      <c r="L1367" s="3">
        <f>Table1[[#This Row],[Price Per Unit]]*Table1[[#This Row],[Units Sold]]</f>
        <v>82144.039999999994</v>
      </c>
      <c r="M1367" s="3" t="s">
        <v>626</v>
      </c>
      <c r="N1367" s="3">
        <v>20</v>
      </c>
      <c r="O1367" s="3" t="s">
        <v>24</v>
      </c>
      <c r="P1367" s="3" t="s">
        <v>31</v>
      </c>
      <c r="Q1367" s="4">
        <v>3</v>
      </c>
      <c r="R1367" s="4" t="str">
        <f>IF(Table1[[#This Row],[Customer Ratings]]&gt;=4, "Good",IF(Table1[[#This Row],[Customer Ratings]]=3, "Average","Poor"))</f>
        <v>Average</v>
      </c>
      <c r="S1367" s="3" t="s">
        <v>46</v>
      </c>
    </row>
    <row r="1368" spans="1:19" x14ac:dyDescent="0.25">
      <c r="A1368" s="3">
        <v>1367</v>
      </c>
      <c r="B1368" s="5">
        <f>DATE(Table1[[#This Row],[Year]],Table1[[#This Row],[Month]],Table1[[#This Row],[Day]])</f>
        <v>44868</v>
      </c>
      <c r="C1368" s="3">
        <v>3</v>
      </c>
      <c r="D1368" s="3">
        <v>11</v>
      </c>
      <c r="E1368" s="3">
        <v>2022</v>
      </c>
      <c r="F1368" s="3" t="str">
        <f>"Qtr"&amp; " " &amp;CHOOSE(MONTH(Table1[[#This Row],[Date]]),1,1,1,2,2,2,3,3,3,4,4,4)</f>
        <v>Qtr 4</v>
      </c>
      <c r="G1368" s="3" t="str">
        <f>TEXT(Table1[[#This Row],[Date]],"mmmm")</f>
        <v>November</v>
      </c>
      <c r="H1368" s="3" t="s">
        <v>1084</v>
      </c>
      <c r="I1368" s="3" t="s">
        <v>28</v>
      </c>
      <c r="J1368" s="3">
        <v>1</v>
      </c>
      <c r="K1368" s="3">
        <v>13872.15</v>
      </c>
      <c r="L1368" s="3">
        <f>Table1[[#This Row],[Price Per Unit]]*Table1[[#This Row],[Units Sold]]</f>
        <v>13872.15</v>
      </c>
      <c r="M1368" s="3" t="s">
        <v>819</v>
      </c>
      <c r="N1368" s="3">
        <v>29</v>
      </c>
      <c r="O1368" s="3" t="s">
        <v>78</v>
      </c>
      <c r="P1368" s="3" t="s">
        <v>45</v>
      </c>
      <c r="Q1368" s="4">
        <v>5</v>
      </c>
      <c r="R1368" s="4" t="str">
        <f>IF(Table1[[#This Row],[Customer Ratings]]&gt;=4, "Good",IF(Table1[[#This Row],[Customer Ratings]]=3, "Average","Poor"))</f>
        <v>Good</v>
      </c>
      <c r="S1368" s="3" t="s">
        <v>87</v>
      </c>
    </row>
    <row r="1369" spans="1:19" x14ac:dyDescent="0.25">
      <c r="A1369" s="3">
        <v>1368</v>
      </c>
      <c r="B1369" s="5">
        <f>DATE(Table1[[#This Row],[Year]],Table1[[#This Row],[Month]],Table1[[#This Row],[Day]])</f>
        <v>44868</v>
      </c>
      <c r="C1369" s="3">
        <v>3</v>
      </c>
      <c r="D1369" s="3">
        <v>11</v>
      </c>
      <c r="E1369" s="3">
        <v>2022</v>
      </c>
      <c r="F1369" s="3" t="str">
        <f>"Qtr"&amp; " " &amp;CHOOSE(MONTH(Table1[[#This Row],[Date]]),1,1,1,2,2,2,3,3,3,4,4,4)</f>
        <v>Qtr 4</v>
      </c>
      <c r="G1369" s="3" t="str">
        <f>TEXT(Table1[[#This Row],[Date]],"mmmm")</f>
        <v>November</v>
      </c>
      <c r="H1369" s="3" t="s">
        <v>1084</v>
      </c>
      <c r="I1369" s="3" t="s">
        <v>33</v>
      </c>
      <c r="J1369" s="3">
        <v>6</v>
      </c>
      <c r="K1369" s="3">
        <v>44659.69</v>
      </c>
      <c r="L1369" s="3">
        <f>Table1[[#This Row],[Price Per Unit]]*Table1[[#This Row],[Units Sold]]</f>
        <v>267958.14</v>
      </c>
      <c r="M1369" s="3" t="s">
        <v>344</v>
      </c>
      <c r="N1369" s="3">
        <v>52</v>
      </c>
      <c r="O1369" s="3" t="s">
        <v>41</v>
      </c>
      <c r="P1369" s="3" t="s">
        <v>31</v>
      </c>
      <c r="Q1369" s="4">
        <v>4</v>
      </c>
      <c r="R1369" s="4" t="str">
        <f>IF(Table1[[#This Row],[Customer Ratings]]&gt;=4, "Good",IF(Table1[[#This Row],[Customer Ratings]]=3, "Average","Poor"))</f>
        <v>Good</v>
      </c>
      <c r="S1369" s="3" t="s">
        <v>46</v>
      </c>
    </row>
    <row r="1370" spans="1:19" x14ac:dyDescent="0.25">
      <c r="A1370" s="3">
        <v>1369</v>
      </c>
      <c r="B1370" s="5">
        <f>DATE(Table1[[#This Row],[Year]],Table1[[#This Row],[Month]],Table1[[#This Row],[Day]])</f>
        <v>44869</v>
      </c>
      <c r="C1370" s="3">
        <v>4</v>
      </c>
      <c r="D1370" s="3">
        <v>11</v>
      </c>
      <c r="E1370" s="3">
        <v>2022</v>
      </c>
      <c r="F1370" s="3" t="str">
        <f>"Qtr"&amp; " " &amp;CHOOSE(MONTH(Table1[[#This Row],[Date]]),1,1,1,2,2,2,3,3,3,4,4,4)</f>
        <v>Qtr 4</v>
      </c>
      <c r="G1370" s="3" t="str">
        <f>TEXT(Table1[[#This Row],[Date]],"mmmm")</f>
        <v>November</v>
      </c>
      <c r="H1370" s="3" t="s">
        <v>1085</v>
      </c>
      <c r="I1370" s="3" t="s">
        <v>28</v>
      </c>
      <c r="J1370" s="3">
        <v>5</v>
      </c>
      <c r="K1370" s="3">
        <v>31468.799999999999</v>
      </c>
      <c r="L1370" s="3">
        <f>Table1[[#This Row],[Price Per Unit]]*Table1[[#This Row],[Units Sold]]</f>
        <v>157344</v>
      </c>
      <c r="M1370" s="3" t="s">
        <v>502</v>
      </c>
      <c r="N1370" s="3">
        <v>32</v>
      </c>
      <c r="O1370" s="3" t="s">
        <v>35</v>
      </c>
      <c r="P1370" s="3" t="s">
        <v>31</v>
      </c>
      <c r="Q1370" s="4">
        <v>5</v>
      </c>
      <c r="R1370" s="4" t="str">
        <f>IF(Table1[[#This Row],[Customer Ratings]]&gt;=4, "Good",IF(Table1[[#This Row],[Customer Ratings]]=3, "Average","Poor"))</f>
        <v>Good</v>
      </c>
      <c r="S1370" s="3" t="s">
        <v>87</v>
      </c>
    </row>
    <row r="1371" spans="1:19" x14ac:dyDescent="0.25">
      <c r="A1371" s="3">
        <v>1370</v>
      </c>
      <c r="B1371" s="5">
        <f>DATE(Table1[[#This Row],[Year]],Table1[[#This Row],[Month]],Table1[[#This Row],[Day]])</f>
        <v>44869</v>
      </c>
      <c r="C1371" s="3">
        <v>4</v>
      </c>
      <c r="D1371" s="3">
        <v>11</v>
      </c>
      <c r="E1371" s="3">
        <v>2022</v>
      </c>
      <c r="F1371" s="3" t="str">
        <f>"Qtr"&amp; " " &amp;CHOOSE(MONTH(Table1[[#This Row],[Date]]),1,1,1,2,2,2,3,3,3,4,4,4)</f>
        <v>Qtr 4</v>
      </c>
      <c r="G1371" s="3" t="str">
        <f>TEXT(Table1[[#This Row],[Date]],"mmmm")</f>
        <v>November</v>
      </c>
      <c r="H1371" s="3" t="s">
        <v>1085</v>
      </c>
      <c r="I1371" s="3" t="s">
        <v>28</v>
      </c>
      <c r="J1371" s="3">
        <v>6</v>
      </c>
      <c r="K1371" s="3">
        <v>26527.47</v>
      </c>
      <c r="L1371" s="3">
        <f>Table1[[#This Row],[Price Per Unit]]*Table1[[#This Row],[Units Sold]]</f>
        <v>159164.82</v>
      </c>
      <c r="M1371" s="3" t="s">
        <v>151</v>
      </c>
      <c r="N1371" s="3">
        <v>34</v>
      </c>
      <c r="O1371" s="3" t="s">
        <v>35</v>
      </c>
      <c r="P1371" s="3" t="s">
        <v>21</v>
      </c>
      <c r="Q1371" s="4">
        <v>4</v>
      </c>
      <c r="R1371" s="4" t="str">
        <f>IF(Table1[[#This Row],[Customer Ratings]]&gt;=4, "Good",IF(Table1[[#This Row],[Customer Ratings]]=3, "Average","Poor"))</f>
        <v>Good</v>
      </c>
      <c r="S1371" s="3" t="s">
        <v>32</v>
      </c>
    </row>
    <row r="1372" spans="1:19" x14ac:dyDescent="0.25">
      <c r="A1372" s="3">
        <v>1371</v>
      </c>
      <c r="B1372" s="5">
        <f>DATE(Table1[[#This Row],[Year]],Table1[[#This Row],[Month]],Table1[[#This Row],[Day]])</f>
        <v>44869</v>
      </c>
      <c r="C1372" s="3">
        <v>4</v>
      </c>
      <c r="D1372" s="3">
        <v>11</v>
      </c>
      <c r="E1372" s="3">
        <v>2022</v>
      </c>
      <c r="F1372" s="3" t="str">
        <f>"Qtr"&amp; " " &amp;CHOOSE(MONTH(Table1[[#This Row],[Date]]),1,1,1,2,2,2,3,3,3,4,4,4)</f>
        <v>Qtr 4</v>
      </c>
      <c r="G1372" s="3" t="str">
        <f>TEXT(Table1[[#This Row],[Date]],"mmmm")</f>
        <v>November</v>
      </c>
      <c r="H1372" s="3" t="s">
        <v>1085</v>
      </c>
      <c r="I1372" s="3" t="s">
        <v>18</v>
      </c>
      <c r="J1372" s="3">
        <v>3</v>
      </c>
      <c r="K1372" s="3">
        <v>58432.66</v>
      </c>
      <c r="L1372" s="3">
        <f>Table1[[#This Row],[Price Per Unit]]*Table1[[#This Row],[Units Sold]]</f>
        <v>175297.98</v>
      </c>
      <c r="M1372" s="3" t="s">
        <v>365</v>
      </c>
      <c r="N1372" s="3">
        <v>49</v>
      </c>
      <c r="O1372" s="3" t="s">
        <v>20</v>
      </c>
      <c r="P1372" s="3" t="s">
        <v>16</v>
      </c>
      <c r="Q1372" s="4">
        <v>5</v>
      </c>
      <c r="R1372" s="4" t="str">
        <f>IF(Table1[[#This Row],[Customer Ratings]]&gt;=4, "Good",IF(Table1[[#This Row],[Customer Ratings]]=3, "Average","Poor"))</f>
        <v>Good</v>
      </c>
      <c r="S1372" s="3" t="s">
        <v>25</v>
      </c>
    </row>
    <row r="1373" spans="1:19" x14ac:dyDescent="0.25">
      <c r="A1373" s="3">
        <v>1372</v>
      </c>
      <c r="B1373" s="5">
        <f>DATE(Table1[[#This Row],[Year]],Table1[[#This Row],[Month]],Table1[[#This Row],[Day]])</f>
        <v>44870</v>
      </c>
      <c r="C1373" s="3">
        <v>5</v>
      </c>
      <c r="D1373" s="3">
        <v>11</v>
      </c>
      <c r="E1373" s="3">
        <v>2022</v>
      </c>
      <c r="F1373" s="3" t="str">
        <f>"Qtr"&amp; " " &amp;CHOOSE(MONTH(Table1[[#This Row],[Date]]),1,1,1,2,2,2,3,3,3,4,4,4)</f>
        <v>Qtr 4</v>
      </c>
      <c r="G1373" s="3" t="str">
        <f>TEXT(Table1[[#This Row],[Date]],"mmmm")</f>
        <v>November</v>
      </c>
      <c r="H1373" s="3" t="s">
        <v>1079</v>
      </c>
      <c r="I1373" s="3" t="s">
        <v>39</v>
      </c>
      <c r="J1373" s="3">
        <v>2</v>
      </c>
      <c r="K1373" s="3">
        <v>32019.599999999999</v>
      </c>
      <c r="L1373" s="3">
        <f>Table1[[#This Row],[Price Per Unit]]*Table1[[#This Row],[Units Sold]]</f>
        <v>64039.199999999997</v>
      </c>
      <c r="M1373" s="3" t="s">
        <v>820</v>
      </c>
      <c r="N1373" s="3">
        <v>24</v>
      </c>
      <c r="O1373" s="3" t="s">
        <v>54</v>
      </c>
      <c r="P1373" s="3" t="s">
        <v>21</v>
      </c>
      <c r="Q1373" s="4">
        <v>1</v>
      </c>
      <c r="R1373" s="4" t="str">
        <f>IF(Table1[[#This Row],[Customer Ratings]]&gt;=4, "Good",IF(Table1[[#This Row],[Customer Ratings]]=3, "Average","Poor"))</f>
        <v>Poor</v>
      </c>
      <c r="S1373" s="3" t="s">
        <v>76</v>
      </c>
    </row>
    <row r="1374" spans="1:19" x14ac:dyDescent="0.25">
      <c r="A1374" s="3">
        <v>1373</v>
      </c>
      <c r="B1374" s="5">
        <f>DATE(Table1[[#This Row],[Year]],Table1[[#This Row],[Month]],Table1[[#This Row],[Day]])</f>
        <v>44870</v>
      </c>
      <c r="C1374" s="3">
        <v>5</v>
      </c>
      <c r="D1374" s="3">
        <v>11</v>
      </c>
      <c r="E1374" s="3">
        <v>2022</v>
      </c>
      <c r="F1374" s="3" t="str">
        <f>"Qtr"&amp; " " &amp;CHOOSE(MONTH(Table1[[#This Row],[Date]]),1,1,1,2,2,2,3,3,3,4,4,4)</f>
        <v>Qtr 4</v>
      </c>
      <c r="G1374" s="3" t="str">
        <f>TEXT(Table1[[#This Row],[Date]],"mmmm")</f>
        <v>November</v>
      </c>
      <c r="H1374" s="3" t="s">
        <v>1079</v>
      </c>
      <c r="I1374" s="3" t="s">
        <v>28</v>
      </c>
      <c r="J1374" s="3">
        <v>6</v>
      </c>
      <c r="K1374" s="3">
        <v>29020.06</v>
      </c>
      <c r="L1374" s="3">
        <f>Table1[[#This Row],[Price Per Unit]]*Table1[[#This Row],[Units Sold]]</f>
        <v>174120.36000000002</v>
      </c>
      <c r="M1374" s="3" t="s">
        <v>317</v>
      </c>
      <c r="N1374" s="3">
        <v>36</v>
      </c>
      <c r="O1374" s="3" t="s">
        <v>15</v>
      </c>
      <c r="P1374" s="3" t="s">
        <v>31</v>
      </c>
      <c r="Q1374" s="4">
        <v>5</v>
      </c>
      <c r="R1374" s="4" t="str">
        <f>IF(Table1[[#This Row],[Customer Ratings]]&gt;=4, "Good",IF(Table1[[#This Row],[Customer Ratings]]=3, "Average","Poor"))</f>
        <v>Good</v>
      </c>
      <c r="S1374" s="3" t="s">
        <v>32</v>
      </c>
    </row>
    <row r="1375" spans="1:19" x14ac:dyDescent="0.25">
      <c r="A1375" s="3">
        <v>1374</v>
      </c>
      <c r="B1375" s="5">
        <f>DATE(Table1[[#This Row],[Year]],Table1[[#This Row],[Month]],Table1[[#This Row],[Day]])</f>
        <v>44870</v>
      </c>
      <c r="C1375" s="3">
        <v>5</v>
      </c>
      <c r="D1375" s="3">
        <v>11</v>
      </c>
      <c r="E1375" s="3">
        <v>2022</v>
      </c>
      <c r="F1375" s="3" t="str">
        <f>"Qtr"&amp; " " &amp;CHOOSE(MONTH(Table1[[#This Row],[Date]]),1,1,1,2,2,2,3,3,3,4,4,4)</f>
        <v>Qtr 4</v>
      </c>
      <c r="G1375" s="3" t="str">
        <f>TEXT(Table1[[#This Row],[Date]],"mmmm")</f>
        <v>November</v>
      </c>
      <c r="H1375" s="3" t="s">
        <v>1079</v>
      </c>
      <c r="I1375" s="3" t="s">
        <v>18</v>
      </c>
      <c r="J1375" s="3">
        <v>1</v>
      </c>
      <c r="K1375" s="3">
        <v>60999.26</v>
      </c>
      <c r="L1375" s="3">
        <f>Table1[[#This Row],[Price Per Unit]]*Table1[[#This Row],[Units Sold]]</f>
        <v>60999.26</v>
      </c>
      <c r="M1375" s="3" t="s">
        <v>40</v>
      </c>
      <c r="N1375" s="3">
        <v>24</v>
      </c>
      <c r="O1375" s="3" t="s">
        <v>20</v>
      </c>
      <c r="P1375" s="3" t="s">
        <v>21</v>
      </c>
      <c r="Q1375" s="4">
        <v>4</v>
      </c>
      <c r="R1375" s="4" t="str">
        <f>IF(Table1[[#This Row],[Customer Ratings]]&gt;=4, "Good",IF(Table1[[#This Row],[Customer Ratings]]=3, "Average","Poor"))</f>
        <v>Good</v>
      </c>
      <c r="S1375" s="3" t="s">
        <v>25</v>
      </c>
    </row>
    <row r="1376" spans="1:19" x14ac:dyDescent="0.25">
      <c r="A1376" s="3">
        <v>1375</v>
      </c>
      <c r="B1376" s="5">
        <f>DATE(Table1[[#This Row],[Year]],Table1[[#This Row],[Month]],Table1[[#This Row],[Day]])</f>
        <v>44870</v>
      </c>
      <c r="C1376" s="3">
        <v>5</v>
      </c>
      <c r="D1376" s="3">
        <v>11</v>
      </c>
      <c r="E1376" s="3">
        <v>2022</v>
      </c>
      <c r="F1376" s="3" t="str">
        <f>"Qtr"&amp; " " &amp;CHOOSE(MONTH(Table1[[#This Row],[Date]]),1,1,1,2,2,2,3,3,3,4,4,4)</f>
        <v>Qtr 4</v>
      </c>
      <c r="G1376" s="3" t="str">
        <f>TEXT(Table1[[#This Row],[Date]],"mmmm")</f>
        <v>November</v>
      </c>
      <c r="H1376" s="3" t="s">
        <v>1079</v>
      </c>
      <c r="I1376" s="3" t="s">
        <v>39</v>
      </c>
      <c r="J1376" s="3">
        <v>7</v>
      </c>
      <c r="K1376" s="3">
        <v>60777.24</v>
      </c>
      <c r="L1376" s="3">
        <f>Table1[[#This Row],[Price Per Unit]]*Table1[[#This Row],[Units Sold]]</f>
        <v>425440.68</v>
      </c>
      <c r="M1376" s="3" t="s">
        <v>821</v>
      </c>
      <c r="N1376" s="3">
        <v>22</v>
      </c>
      <c r="O1376" s="3" t="s">
        <v>52</v>
      </c>
      <c r="P1376" s="3" t="s">
        <v>21</v>
      </c>
      <c r="Q1376" s="4">
        <v>4</v>
      </c>
      <c r="R1376" s="4" t="str">
        <f>IF(Table1[[#This Row],[Customer Ratings]]&gt;=4, "Good",IF(Table1[[#This Row],[Customer Ratings]]=3, "Average","Poor"))</f>
        <v>Good</v>
      </c>
      <c r="S1376" s="3" t="s">
        <v>42</v>
      </c>
    </row>
    <row r="1377" spans="1:19" x14ac:dyDescent="0.25">
      <c r="A1377" s="3">
        <v>1376</v>
      </c>
      <c r="B1377" s="5">
        <f>DATE(Table1[[#This Row],[Year]],Table1[[#This Row],[Month]],Table1[[#This Row],[Day]])</f>
        <v>44871</v>
      </c>
      <c r="C1377" s="3">
        <v>6</v>
      </c>
      <c r="D1377" s="3">
        <v>11</v>
      </c>
      <c r="E1377" s="3">
        <v>2022</v>
      </c>
      <c r="F1377" s="3" t="str">
        <f>"Qtr"&amp; " " &amp;CHOOSE(MONTH(Table1[[#This Row],[Date]]),1,1,1,2,2,2,3,3,3,4,4,4)</f>
        <v>Qtr 4</v>
      </c>
      <c r="G1377" s="3" t="str">
        <f>TEXT(Table1[[#This Row],[Date]],"mmmm")</f>
        <v>November</v>
      </c>
      <c r="H1377" s="3" t="s">
        <v>1080</v>
      </c>
      <c r="I1377" s="3" t="s">
        <v>28</v>
      </c>
      <c r="J1377" s="3">
        <v>7</v>
      </c>
      <c r="K1377" s="3">
        <v>31382</v>
      </c>
      <c r="L1377" s="3">
        <f>Table1[[#This Row],[Price Per Unit]]*Table1[[#This Row],[Units Sold]]</f>
        <v>219674</v>
      </c>
      <c r="M1377" s="3" t="s">
        <v>300</v>
      </c>
      <c r="N1377" s="3">
        <v>57</v>
      </c>
      <c r="O1377" s="3" t="s">
        <v>20</v>
      </c>
      <c r="P1377" s="3" t="s">
        <v>21</v>
      </c>
      <c r="Q1377" s="4">
        <v>5</v>
      </c>
      <c r="R1377" s="4" t="str">
        <f>IF(Table1[[#This Row],[Customer Ratings]]&gt;=4, "Good",IF(Table1[[#This Row],[Customer Ratings]]=3, "Average","Poor"))</f>
        <v>Good</v>
      </c>
      <c r="S1377" s="3" t="s">
        <v>87</v>
      </c>
    </row>
    <row r="1378" spans="1:19" x14ac:dyDescent="0.25">
      <c r="A1378" s="3">
        <v>1377</v>
      </c>
      <c r="B1378" s="5">
        <f>DATE(Table1[[#This Row],[Year]],Table1[[#This Row],[Month]],Table1[[#This Row],[Day]])</f>
        <v>44871</v>
      </c>
      <c r="C1378" s="3">
        <v>6</v>
      </c>
      <c r="D1378" s="3">
        <v>11</v>
      </c>
      <c r="E1378" s="3">
        <v>2022</v>
      </c>
      <c r="F1378" s="3" t="str">
        <f>"Qtr"&amp; " " &amp;CHOOSE(MONTH(Table1[[#This Row],[Date]]),1,1,1,2,2,2,3,3,3,4,4,4)</f>
        <v>Qtr 4</v>
      </c>
      <c r="G1378" s="3" t="str">
        <f>TEXT(Table1[[#This Row],[Date]],"mmmm")</f>
        <v>November</v>
      </c>
      <c r="H1378" s="3" t="s">
        <v>1080</v>
      </c>
      <c r="I1378" s="3" t="s">
        <v>28</v>
      </c>
      <c r="J1378" s="3">
        <v>7</v>
      </c>
      <c r="K1378" s="3">
        <v>59949.919999999998</v>
      </c>
      <c r="L1378" s="3">
        <f>Table1[[#This Row],[Price Per Unit]]*Table1[[#This Row],[Units Sold]]</f>
        <v>419649.44</v>
      </c>
      <c r="M1378" s="3" t="s">
        <v>692</v>
      </c>
      <c r="N1378" s="3">
        <v>38</v>
      </c>
      <c r="O1378" s="3" t="s">
        <v>58</v>
      </c>
      <c r="P1378" s="3" t="s">
        <v>45</v>
      </c>
      <c r="Q1378" s="4">
        <v>3</v>
      </c>
      <c r="R1378" s="4" t="str">
        <f>IF(Table1[[#This Row],[Customer Ratings]]&gt;=4, "Good",IF(Table1[[#This Row],[Customer Ratings]]=3, "Average","Poor"))</f>
        <v>Average</v>
      </c>
      <c r="S1378" s="3" t="s">
        <v>38</v>
      </c>
    </row>
    <row r="1379" spans="1:19" x14ac:dyDescent="0.25">
      <c r="A1379" s="3">
        <v>1378</v>
      </c>
      <c r="B1379" s="5">
        <f>DATE(Table1[[#This Row],[Year]],Table1[[#This Row],[Month]],Table1[[#This Row],[Day]])</f>
        <v>44871</v>
      </c>
      <c r="C1379" s="3">
        <v>6</v>
      </c>
      <c r="D1379" s="3">
        <v>11</v>
      </c>
      <c r="E1379" s="3">
        <v>2022</v>
      </c>
      <c r="F1379" s="3" t="str">
        <f>"Qtr"&amp; " " &amp;CHOOSE(MONTH(Table1[[#This Row],[Date]]),1,1,1,2,2,2,3,3,3,4,4,4)</f>
        <v>Qtr 4</v>
      </c>
      <c r="G1379" s="3" t="str">
        <f>TEXT(Table1[[#This Row],[Date]],"mmmm")</f>
        <v>November</v>
      </c>
      <c r="H1379" s="3" t="s">
        <v>1080</v>
      </c>
      <c r="I1379" s="3" t="s">
        <v>33</v>
      </c>
      <c r="J1379" s="3">
        <v>1</v>
      </c>
      <c r="K1379" s="3">
        <v>61046.71</v>
      </c>
      <c r="L1379" s="3">
        <f>Table1[[#This Row],[Price Per Unit]]*Table1[[#This Row],[Units Sold]]</f>
        <v>61046.71</v>
      </c>
      <c r="M1379" s="3" t="s">
        <v>303</v>
      </c>
      <c r="N1379" s="3">
        <v>24</v>
      </c>
      <c r="O1379" s="3" t="s">
        <v>24</v>
      </c>
      <c r="P1379" s="3" t="s">
        <v>21</v>
      </c>
      <c r="Q1379" s="4">
        <v>4</v>
      </c>
      <c r="R1379" s="4" t="str">
        <f>IF(Table1[[#This Row],[Customer Ratings]]&gt;=4, "Good",IF(Table1[[#This Row],[Customer Ratings]]=3, "Average","Poor"))</f>
        <v>Good</v>
      </c>
      <c r="S1379" s="3" t="s">
        <v>46</v>
      </c>
    </row>
    <row r="1380" spans="1:19" x14ac:dyDescent="0.25">
      <c r="A1380" s="3">
        <v>1379</v>
      </c>
      <c r="B1380" s="5">
        <f>DATE(Table1[[#This Row],[Year]],Table1[[#This Row],[Month]],Table1[[#This Row],[Day]])</f>
        <v>44871</v>
      </c>
      <c r="C1380" s="3">
        <v>6</v>
      </c>
      <c r="D1380" s="3">
        <v>11</v>
      </c>
      <c r="E1380" s="3">
        <v>2022</v>
      </c>
      <c r="F1380" s="3" t="str">
        <f>"Qtr"&amp; " " &amp;CHOOSE(MONTH(Table1[[#This Row],[Date]]),1,1,1,2,2,2,3,3,3,4,4,4)</f>
        <v>Qtr 4</v>
      </c>
      <c r="G1380" s="3" t="str">
        <f>TEXT(Table1[[#This Row],[Date]],"mmmm")</f>
        <v>November</v>
      </c>
      <c r="H1380" s="3" t="s">
        <v>1080</v>
      </c>
      <c r="I1380" s="3" t="s">
        <v>33</v>
      </c>
      <c r="J1380" s="3">
        <v>4</v>
      </c>
      <c r="K1380" s="3">
        <v>35435.83</v>
      </c>
      <c r="L1380" s="3">
        <f>Table1[[#This Row],[Price Per Unit]]*Table1[[#This Row],[Units Sold]]</f>
        <v>141743.32</v>
      </c>
      <c r="M1380" s="3" t="s">
        <v>29</v>
      </c>
      <c r="N1380" s="3">
        <v>54</v>
      </c>
      <c r="O1380" s="3" t="s">
        <v>102</v>
      </c>
      <c r="P1380" s="3" t="s">
        <v>31</v>
      </c>
      <c r="Q1380" s="4">
        <v>1</v>
      </c>
      <c r="R1380" s="4" t="str">
        <f>IF(Table1[[#This Row],[Customer Ratings]]&gt;=4, "Good",IF(Table1[[#This Row],[Customer Ratings]]=3, "Average","Poor"))</f>
        <v>Poor</v>
      </c>
      <c r="S1380" s="3" t="s">
        <v>83</v>
      </c>
    </row>
    <row r="1381" spans="1:19" x14ac:dyDescent="0.25">
      <c r="A1381" s="3">
        <v>1380</v>
      </c>
      <c r="B1381" s="5">
        <f>DATE(Table1[[#This Row],[Year]],Table1[[#This Row],[Month]],Table1[[#This Row],[Day]])</f>
        <v>44872</v>
      </c>
      <c r="C1381" s="3">
        <v>7</v>
      </c>
      <c r="D1381" s="3">
        <v>11</v>
      </c>
      <c r="E1381" s="3">
        <v>2022</v>
      </c>
      <c r="F1381" s="3" t="str">
        <f>"Qtr"&amp; " " &amp;CHOOSE(MONTH(Table1[[#This Row],[Date]]),1,1,1,2,2,2,3,3,3,4,4,4)</f>
        <v>Qtr 4</v>
      </c>
      <c r="G1381" s="3" t="str">
        <f>TEXT(Table1[[#This Row],[Date]],"mmmm")</f>
        <v>November</v>
      </c>
      <c r="H1381" s="3" t="s">
        <v>1081</v>
      </c>
      <c r="I1381" s="3" t="s">
        <v>39</v>
      </c>
      <c r="J1381" s="3">
        <v>7</v>
      </c>
      <c r="K1381" s="3">
        <v>13988.39</v>
      </c>
      <c r="L1381" s="3">
        <f>Table1[[#This Row],[Price Per Unit]]*Table1[[#This Row],[Units Sold]]</f>
        <v>97918.73</v>
      </c>
      <c r="M1381" s="3" t="s">
        <v>313</v>
      </c>
      <c r="N1381" s="3">
        <v>40</v>
      </c>
      <c r="O1381" s="3" t="s">
        <v>30</v>
      </c>
      <c r="P1381" s="3" t="s">
        <v>21</v>
      </c>
      <c r="Q1381" s="4">
        <v>5</v>
      </c>
      <c r="R1381" s="4" t="str">
        <f>IF(Table1[[#This Row],[Customer Ratings]]&gt;=4, "Good",IF(Table1[[#This Row],[Customer Ratings]]=3, "Average","Poor"))</f>
        <v>Good</v>
      </c>
      <c r="S1381" s="3" t="s">
        <v>90</v>
      </c>
    </row>
    <row r="1382" spans="1:19" x14ac:dyDescent="0.25">
      <c r="A1382" s="3">
        <v>1381</v>
      </c>
      <c r="B1382" s="5">
        <f>DATE(Table1[[#This Row],[Year]],Table1[[#This Row],[Month]],Table1[[#This Row],[Day]])</f>
        <v>44872</v>
      </c>
      <c r="C1382" s="3">
        <v>7</v>
      </c>
      <c r="D1382" s="3">
        <v>11</v>
      </c>
      <c r="E1382" s="3">
        <v>2022</v>
      </c>
      <c r="F1382" s="3" t="str">
        <f>"Qtr"&amp; " " &amp;CHOOSE(MONTH(Table1[[#This Row],[Date]]),1,1,1,2,2,2,3,3,3,4,4,4)</f>
        <v>Qtr 4</v>
      </c>
      <c r="G1382" s="3" t="str">
        <f>TEXT(Table1[[#This Row],[Date]],"mmmm")</f>
        <v>November</v>
      </c>
      <c r="H1382" s="3" t="s">
        <v>1081</v>
      </c>
      <c r="I1382" s="3" t="s">
        <v>28</v>
      </c>
      <c r="J1382" s="3">
        <v>9</v>
      </c>
      <c r="K1382" s="3">
        <v>10095.08</v>
      </c>
      <c r="L1382" s="3">
        <f>Table1[[#This Row],[Price Per Unit]]*Table1[[#This Row],[Units Sold]]</f>
        <v>90855.72</v>
      </c>
      <c r="M1382" s="3" t="s">
        <v>822</v>
      </c>
      <c r="N1382" s="3">
        <v>28</v>
      </c>
      <c r="O1382" s="3" t="s">
        <v>35</v>
      </c>
      <c r="P1382" s="3" t="s">
        <v>45</v>
      </c>
      <c r="Q1382" s="4">
        <v>1</v>
      </c>
      <c r="R1382" s="4" t="str">
        <f>IF(Table1[[#This Row],[Customer Ratings]]&gt;=4, "Good",IF(Table1[[#This Row],[Customer Ratings]]=3, "Average","Poor"))</f>
        <v>Poor</v>
      </c>
      <c r="S1382" s="3" t="s">
        <v>87</v>
      </c>
    </row>
    <row r="1383" spans="1:19" x14ac:dyDescent="0.25">
      <c r="A1383" s="3">
        <v>1382</v>
      </c>
      <c r="B1383" s="5">
        <f>DATE(Table1[[#This Row],[Year]],Table1[[#This Row],[Month]],Table1[[#This Row],[Day]])</f>
        <v>44872</v>
      </c>
      <c r="C1383" s="3">
        <v>7</v>
      </c>
      <c r="D1383" s="3">
        <v>11</v>
      </c>
      <c r="E1383" s="3">
        <v>2022</v>
      </c>
      <c r="F1383" s="3" t="str">
        <f>"Qtr"&amp; " " &amp;CHOOSE(MONTH(Table1[[#This Row],[Date]]),1,1,1,2,2,2,3,3,3,4,4,4)</f>
        <v>Qtr 4</v>
      </c>
      <c r="G1383" s="3" t="str">
        <f>TEXT(Table1[[#This Row],[Date]],"mmmm")</f>
        <v>November</v>
      </c>
      <c r="H1383" s="3" t="s">
        <v>1081</v>
      </c>
      <c r="I1383" s="3" t="s">
        <v>13</v>
      </c>
      <c r="J1383" s="3">
        <v>5</v>
      </c>
      <c r="K1383" s="3">
        <v>41397.550000000003</v>
      </c>
      <c r="L1383" s="3">
        <f>Table1[[#This Row],[Price Per Unit]]*Table1[[#This Row],[Units Sold]]</f>
        <v>206987.75</v>
      </c>
      <c r="M1383" s="3" t="s">
        <v>431</v>
      </c>
      <c r="N1383" s="3">
        <v>27</v>
      </c>
      <c r="O1383" s="3" t="s">
        <v>24</v>
      </c>
      <c r="P1383" s="3" t="s">
        <v>31</v>
      </c>
      <c r="Q1383" s="4">
        <v>4</v>
      </c>
      <c r="R1383" s="4" t="str">
        <f>IF(Table1[[#This Row],[Customer Ratings]]&gt;=4, "Good",IF(Table1[[#This Row],[Customer Ratings]]=3, "Average","Poor"))</f>
        <v>Good</v>
      </c>
      <c r="S1383" s="3" t="s">
        <v>17</v>
      </c>
    </row>
    <row r="1384" spans="1:19" x14ac:dyDescent="0.25">
      <c r="A1384" s="3">
        <v>1383</v>
      </c>
      <c r="B1384" s="5">
        <f>DATE(Table1[[#This Row],[Year]],Table1[[#This Row],[Month]],Table1[[#This Row],[Day]])</f>
        <v>44873</v>
      </c>
      <c r="C1384" s="3">
        <v>8</v>
      </c>
      <c r="D1384" s="3">
        <v>11</v>
      </c>
      <c r="E1384" s="3">
        <v>2022</v>
      </c>
      <c r="F1384" s="3" t="str">
        <f>"Qtr"&amp; " " &amp;CHOOSE(MONTH(Table1[[#This Row],[Date]]),1,1,1,2,2,2,3,3,3,4,4,4)</f>
        <v>Qtr 4</v>
      </c>
      <c r="G1384" s="3" t="str">
        <f>TEXT(Table1[[#This Row],[Date]],"mmmm")</f>
        <v>November</v>
      </c>
      <c r="H1384" s="3" t="s">
        <v>1082</v>
      </c>
      <c r="I1384" s="3" t="s">
        <v>33</v>
      </c>
      <c r="J1384" s="3">
        <v>2</v>
      </c>
      <c r="K1384" s="3">
        <v>30644.53</v>
      </c>
      <c r="L1384" s="3">
        <f>Table1[[#This Row],[Price Per Unit]]*Table1[[#This Row],[Units Sold]]</f>
        <v>61289.06</v>
      </c>
      <c r="M1384" s="3" t="s">
        <v>792</v>
      </c>
      <c r="N1384" s="3">
        <v>38</v>
      </c>
      <c r="O1384" s="3" t="s">
        <v>105</v>
      </c>
      <c r="P1384" s="3" t="s">
        <v>21</v>
      </c>
      <c r="Q1384" s="4">
        <v>3</v>
      </c>
      <c r="R1384" s="4" t="str">
        <f>IF(Table1[[#This Row],[Customer Ratings]]&gt;=4, "Good",IF(Table1[[#This Row],[Customer Ratings]]=3, "Average","Poor"))</f>
        <v>Average</v>
      </c>
      <c r="S1384" s="3" t="s">
        <v>46</v>
      </c>
    </row>
    <row r="1385" spans="1:19" x14ac:dyDescent="0.25">
      <c r="A1385" s="3">
        <v>1384</v>
      </c>
      <c r="B1385" s="5">
        <f>DATE(Table1[[#This Row],[Year]],Table1[[#This Row],[Month]],Table1[[#This Row],[Day]])</f>
        <v>44873</v>
      </c>
      <c r="C1385" s="3">
        <v>8</v>
      </c>
      <c r="D1385" s="3">
        <v>11</v>
      </c>
      <c r="E1385" s="3">
        <v>2022</v>
      </c>
      <c r="F1385" s="3" t="str">
        <f>"Qtr"&amp; " " &amp;CHOOSE(MONTH(Table1[[#This Row],[Date]]),1,1,1,2,2,2,3,3,3,4,4,4)</f>
        <v>Qtr 4</v>
      </c>
      <c r="G1385" s="3" t="str">
        <f>TEXT(Table1[[#This Row],[Date]],"mmmm")</f>
        <v>November</v>
      </c>
      <c r="H1385" s="3" t="s">
        <v>1082</v>
      </c>
      <c r="I1385" s="3" t="s">
        <v>39</v>
      </c>
      <c r="J1385" s="3">
        <v>7</v>
      </c>
      <c r="K1385" s="3">
        <v>69827.91</v>
      </c>
      <c r="L1385" s="3">
        <f>Table1[[#This Row],[Price Per Unit]]*Table1[[#This Row],[Units Sold]]</f>
        <v>488795.37</v>
      </c>
      <c r="M1385" s="3" t="s">
        <v>247</v>
      </c>
      <c r="N1385" s="3">
        <v>58</v>
      </c>
      <c r="O1385" s="3" t="s">
        <v>48</v>
      </c>
      <c r="P1385" s="3" t="s">
        <v>31</v>
      </c>
      <c r="Q1385" s="4">
        <v>4</v>
      </c>
      <c r="R1385" s="4" t="str">
        <f>IF(Table1[[#This Row],[Customer Ratings]]&gt;=4, "Good",IF(Table1[[#This Row],[Customer Ratings]]=3, "Average","Poor"))</f>
        <v>Good</v>
      </c>
      <c r="S1385" s="3" t="s">
        <v>76</v>
      </c>
    </row>
    <row r="1386" spans="1:19" x14ac:dyDescent="0.25">
      <c r="A1386" s="3">
        <v>1385</v>
      </c>
      <c r="B1386" s="5">
        <f>DATE(Table1[[#This Row],[Year]],Table1[[#This Row],[Month]],Table1[[#This Row],[Day]])</f>
        <v>44873</v>
      </c>
      <c r="C1386" s="3">
        <v>8</v>
      </c>
      <c r="D1386" s="3">
        <v>11</v>
      </c>
      <c r="E1386" s="3">
        <v>2022</v>
      </c>
      <c r="F1386" s="3" t="str">
        <f>"Qtr"&amp; " " &amp;CHOOSE(MONTH(Table1[[#This Row],[Date]]),1,1,1,2,2,2,3,3,3,4,4,4)</f>
        <v>Qtr 4</v>
      </c>
      <c r="G1386" s="3" t="str">
        <f>TEXT(Table1[[#This Row],[Date]],"mmmm")</f>
        <v>November</v>
      </c>
      <c r="H1386" s="3" t="s">
        <v>1082</v>
      </c>
      <c r="I1386" s="3" t="s">
        <v>28</v>
      </c>
      <c r="J1386" s="3">
        <v>1</v>
      </c>
      <c r="K1386" s="3">
        <v>56344.66</v>
      </c>
      <c r="L1386" s="3">
        <f>Table1[[#This Row],[Price Per Unit]]*Table1[[#This Row],[Units Sold]]</f>
        <v>56344.66</v>
      </c>
      <c r="M1386" s="3" t="s">
        <v>222</v>
      </c>
      <c r="N1386" s="3">
        <v>50</v>
      </c>
      <c r="O1386" s="3" t="s">
        <v>137</v>
      </c>
      <c r="P1386" s="3" t="s">
        <v>45</v>
      </c>
      <c r="Q1386" s="4">
        <v>3</v>
      </c>
      <c r="R1386" s="4" t="str">
        <f>IF(Table1[[#This Row],[Customer Ratings]]&gt;=4, "Good",IF(Table1[[#This Row],[Customer Ratings]]=3, "Average","Poor"))</f>
        <v>Average</v>
      </c>
      <c r="S1386" s="3" t="s">
        <v>32</v>
      </c>
    </row>
    <row r="1387" spans="1:19" x14ac:dyDescent="0.25">
      <c r="A1387" s="3">
        <v>1386</v>
      </c>
      <c r="B1387" s="5">
        <f>DATE(Table1[[#This Row],[Year]],Table1[[#This Row],[Month]],Table1[[#This Row],[Day]])</f>
        <v>44873</v>
      </c>
      <c r="C1387" s="3">
        <v>8</v>
      </c>
      <c r="D1387" s="3">
        <v>11</v>
      </c>
      <c r="E1387" s="3">
        <v>2022</v>
      </c>
      <c r="F1387" s="3" t="str">
        <f>"Qtr"&amp; " " &amp;CHOOSE(MONTH(Table1[[#This Row],[Date]]),1,1,1,2,2,2,3,3,3,4,4,4)</f>
        <v>Qtr 4</v>
      </c>
      <c r="G1387" s="3" t="str">
        <f>TEXT(Table1[[#This Row],[Date]],"mmmm")</f>
        <v>November</v>
      </c>
      <c r="H1387" s="3" t="s">
        <v>1082</v>
      </c>
      <c r="I1387" s="3" t="s">
        <v>28</v>
      </c>
      <c r="J1387" s="3">
        <v>7</v>
      </c>
      <c r="K1387" s="3">
        <v>55676.53</v>
      </c>
      <c r="L1387" s="3">
        <f>Table1[[#This Row],[Price Per Unit]]*Table1[[#This Row],[Units Sold]]</f>
        <v>389735.70999999996</v>
      </c>
      <c r="M1387" s="3" t="s">
        <v>299</v>
      </c>
      <c r="N1387" s="3">
        <v>37</v>
      </c>
      <c r="O1387" s="3" t="s">
        <v>120</v>
      </c>
      <c r="P1387" s="3" t="s">
        <v>16</v>
      </c>
      <c r="Q1387" s="4">
        <v>5</v>
      </c>
      <c r="R1387" s="4" t="str">
        <f>IF(Table1[[#This Row],[Customer Ratings]]&gt;=4, "Good",IF(Table1[[#This Row],[Customer Ratings]]=3, "Average","Poor"))</f>
        <v>Good</v>
      </c>
      <c r="S1387" s="3" t="s">
        <v>32</v>
      </c>
    </row>
    <row r="1388" spans="1:19" x14ac:dyDescent="0.25">
      <c r="A1388" s="3">
        <v>1387</v>
      </c>
      <c r="B1388" s="5">
        <f>DATE(Table1[[#This Row],[Year]],Table1[[#This Row],[Month]],Table1[[#This Row],[Day]])</f>
        <v>44874</v>
      </c>
      <c r="C1388" s="3">
        <v>9</v>
      </c>
      <c r="D1388" s="3">
        <v>11</v>
      </c>
      <c r="E1388" s="3">
        <v>2022</v>
      </c>
      <c r="F1388" s="3" t="str">
        <f>"Qtr"&amp; " " &amp;CHOOSE(MONTH(Table1[[#This Row],[Date]]),1,1,1,2,2,2,3,3,3,4,4,4)</f>
        <v>Qtr 4</v>
      </c>
      <c r="G1388" s="3" t="str">
        <f>TEXT(Table1[[#This Row],[Date]],"mmmm")</f>
        <v>November</v>
      </c>
      <c r="H1388" s="3" t="s">
        <v>1083</v>
      </c>
      <c r="I1388" s="3" t="s">
        <v>13</v>
      </c>
      <c r="J1388" s="3">
        <v>6</v>
      </c>
      <c r="K1388" s="3">
        <v>67314.570000000007</v>
      </c>
      <c r="L1388" s="3">
        <f>Table1[[#This Row],[Price Per Unit]]*Table1[[#This Row],[Units Sold]]</f>
        <v>403887.42000000004</v>
      </c>
      <c r="M1388" s="3" t="s">
        <v>823</v>
      </c>
      <c r="N1388" s="3">
        <v>50</v>
      </c>
      <c r="O1388" s="3" t="s">
        <v>81</v>
      </c>
      <c r="P1388" s="3" t="s">
        <v>45</v>
      </c>
      <c r="Q1388" s="4">
        <v>5</v>
      </c>
      <c r="R1388" s="4" t="str">
        <f>IF(Table1[[#This Row],[Customer Ratings]]&gt;=4, "Good",IF(Table1[[#This Row],[Customer Ratings]]=3, "Average","Poor"))</f>
        <v>Good</v>
      </c>
      <c r="S1388" s="3" t="s">
        <v>17</v>
      </c>
    </row>
    <row r="1389" spans="1:19" x14ac:dyDescent="0.25">
      <c r="A1389" s="3">
        <v>1388</v>
      </c>
      <c r="B1389" s="5">
        <f>DATE(Table1[[#This Row],[Year]],Table1[[#This Row],[Month]],Table1[[#This Row],[Day]])</f>
        <v>44874</v>
      </c>
      <c r="C1389" s="3">
        <v>9</v>
      </c>
      <c r="D1389" s="3">
        <v>11</v>
      </c>
      <c r="E1389" s="3">
        <v>2022</v>
      </c>
      <c r="F1389" s="3" t="str">
        <f>"Qtr"&amp; " " &amp;CHOOSE(MONTH(Table1[[#This Row],[Date]]),1,1,1,2,2,2,3,3,3,4,4,4)</f>
        <v>Qtr 4</v>
      </c>
      <c r="G1389" s="3" t="str">
        <f>TEXT(Table1[[#This Row],[Date]],"mmmm")</f>
        <v>November</v>
      </c>
      <c r="H1389" s="3" t="s">
        <v>1083</v>
      </c>
      <c r="I1389" s="3" t="s">
        <v>39</v>
      </c>
      <c r="J1389" s="3">
        <v>7</v>
      </c>
      <c r="K1389" s="3">
        <v>63263.46</v>
      </c>
      <c r="L1389" s="3">
        <f>Table1[[#This Row],[Price Per Unit]]*Table1[[#This Row],[Units Sold]]</f>
        <v>442844.22</v>
      </c>
      <c r="M1389" s="3" t="s">
        <v>503</v>
      </c>
      <c r="N1389" s="3">
        <v>57</v>
      </c>
      <c r="O1389" s="3" t="s">
        <v>20</v>
      </c>
      <c r="P1389" s="3" t="s">
        <v>45</v>
      </c>
      <c r="Q1389" s="4">
        <v>1</v>
      </c>
      <c r="R1389" s="4" t="str">
        <f>IF(Table1[[#This Row],[Customer Ratings]]&gt;=4, "Good",IF(Table1[[#This Row],[Customer Ratings]]=3, "Average","Poor"))</f>
        <v>Poor</v>
      </c>
      <c r="S1389" s="3" t="s">
        <v>76</v>
      </c>
    </row>
    <row r="1390" spans="1:19" x14ac:dyDescent="0.25">
      <c r="A1390" s="3">
        <v>1389</v>
      </c>
      <c r="B1390" s="5">
        <f>DATE(Table1[[#This Row],[Year]],Table1[[#This Row],[Month]],Table1[[#This Row],[Day]])</f>
        <v>44874</v>
      </c>
      <c r="C1390" s="3">
        <v>9</v>
      </c>
      <c r="D1390" s="3">
        <v>11</v>
      </c>
      <c r="E1390" s="3">
        <v>2022</v>
      </c>
      <c r="F1390" s="3" t="str">
        <f>"Qtr"&amp; " " &amp;CHOOSE(MONTH(Table1[[#This Row],[Date]]),1,1,1,2,2,2,3,3,3,4,4,4)</f>
        <v>Qtr 4</v>
      </c>
      <c r="G1390" s="3" t="str">
        <f>TEXT(Table1[[#This Row],[Date]],"mmmm")</f>
        <v>November</v>
      </c>
      <c r="H1390" s="3" t="s">
        <v>1083</v>
      </c>
      <c r="I1390" s="3" t="s">
        <v>28</v>
      </c>
      <c r="J1390" s="3">
        <v>3</v>
      </c>
      <c r="K1390" s="3">
        <v>29091.25</v>
      </c>
      <c r="L1390" s="3">
        <f>Table1[[#This Row],[Price Per Unit]]*Table1[[#This Row],[Units Sold]]</f>
        <v>87273.75</v>
      </c>
      <c r="M1390" s="3" t="s">
        <v>248</v>
      </c>
      <c r="N1390" s="3">
        <v>52</v>
      </c>
      <c r="O1390" s="3" t="s">
        <v>54</v>
      </c>
      <c r="P1390" s="3" t="s">
        <v>31</v>
      </c>
      <c r="Q1390" s="4">
        <v>3</v>
      </c>
      <c r="R1390" s="4" t="str">
        <f>IF(Table1[[#This Row],[Customer Ratings]]&gt;=4, "Good",IF(Table1[[#This Row],[Customer Ratings]]=3, "Average","Poor"))</f>
        <v>Average</v>
      </c>
      <c r="S1390" s="3" t="s">
        <v>32</v>
      </c>
    </row>
    <row r="1391" spans="1:19" x14ac:dyDescent="0.25">
      <c r="A1391" s="3">
        <v>1390</v>
      </c>
      <c r="B1391" s="5">
        <f>DATE(Table1[[#This Row],[Year]],Table1[[#This Row],[Month]],Table1[[#This Row],[Day]])</f>
        <v>44874</v>
      </c>
      <c r="C1391" s="3">
        <v>9</v>
      </c>
      <c r="D1391" s="3">
        <v>11</v>
      </c>
      <c r="E1391" s="3">
        <v>2022</v>
      </c>
      <c r="F1391" s="3" t="str">
        <f>"Qtr"&amp; " " &amp;CHOOSE(MONTH(Table1[[#This Row],[Date]]),1,1,1,2,2,2,3,3,3,4,4,4)</f>
        <v>Qtr 4</v>
      </c>
      <c r="G1391" s="3" t="str">
        <f>TEXT(Table1[[#This Row],[Date]],"mmmm")</f>
        <v>November</v>
      </c>
      <c r="H1391" s="3" t="s">
        <v>1083</v>
      </c>
      <c r="I1391" s="3" t="s">
        <v>33</v>
      </c>
      <c r="J1391" s="3">
        <v>3</v>
      </c>
      <c r="K1391" s="3">
        <v>19959.23</v>
      </c>
      <c r="L1391" s="3">
        <f>Table1[[#This Row],[Price Per Unit]]*Table1[[#This Row],[Units Sold]]</f>
        <v>59877.69</v>
      </c>
      <c r="M1391" s="3" t="s">
        <v>824</v>
      </c>
      <c r="N1391" s="3">
        <v>51</v>
      </c>
      <c r="O1391" s="3" t="s">
        <v>20</v>
      </c>
      <c r="P1391" s="3" t="s">
        <v>31</v>
      </c>
      <c r="Q1391" s="4">
        <v>1</v>
      </c>
      <c r="R1391" s="4" t="str">
        <f>IF(Table1[[#This Row],[Customer Ratings]]&gt;=4, "Good",IF(Table1[[#This Row],[Customer Ratings]]=3, "Average","Poor"))</f>
        <v>Poor</v>
      </c>
      <c r="S1391" s="3" t="s">
        <v>36</v>
      </c>
    </row>
    <row r="1392" spans="1:19" x14ac:dyDescent="0.25">
      <c r="A1392" s="3">
        <v>1391</v>
      </c>
      <c r="B1392" s="5">
        <f>DATE(Table1[[#This Row],[Year]],Table1[[#This Row],[Month]],Table1[[#This Row],[Day]])</f>
        <v>44875</v>
      </c>
      <c r="C1392" s="3">
        <v>10</v>
      </c>
      <c r="D1392" s="3">
        <v>11</v>
      </c>
      <c r="E1392" s="3">
        <v>2022</v>
      </c>
      <c r="F1392" s="3" t="str">
        <f>"Qtr"&amp; " " &amp;CHOOSE(MONTH(Table1[[#This Row],[Date]]),1,1,1,2,2,2,3,3,3,4,4,4)</f>
        <v>Qtr 4</v>
      </c>
      <c r="G1392" s="3" t="str">
        <f>TEXT(Table1[[#This Row],[Date]],"mmmm")</f>
        <v>November</v>
      </c>
      <c r="H1392" s="3" t="s">
        <v>1084</v>
      </c>
      <c r="I1392" s="3" t="s">
        <v>13</v>
      </c>
      <c r="J1392" s="3">
        <v>7</v>
      </c>
      <c r="K1392" s="3">
        <v>54753.54</v>
      </c>
      <c r="L1392" s="3">
        <f>Table1[[#This Row],[Price Per Unit]]*Table1[[#This Row],[Units Sold]]</f>
        <v>383274.78</v>
      </c>
      <c r="M1392" s="3" t="s">
        <v>535</v>
      </c>
      <c r="N1392" s="3">
        <v>53</v>
      </c>
      <c r="O1392" s="3" t="s">
        <v>20</v>
      </c>
      <c r="P1392" s="3" t="s">
        <v>16</v>
      </c>
      <c r="Q1392" s="4">
        <v>5</v>
      </c>
      <c r="R1392" s="4" t="str">
        <f>IF(Table1[[#This Row],[Customer Ratings]]&gt;=4, "Good",IF(Table1[[#This Row],[Customer Ratings]]=3, "Average","Poor"))</f>
        <v>Good</v>
      </c>
      <c r="S1392" s="3" t="s">
        <v>17</v>
      </c>
    </row>
    <row r="1393" spans="1:19" x14ac:dyDescent="0.25">
      <c r="A1393" s="3">
        <v>1392</v>
      </c>
      <c r="B1393" s="5">
        <f>DATE(Table1[[#This Row],[Year]],Table1[[#This Row],[Month]],Table1[[#This Row],[Day]])</f>
        <v>44875</v>
      </c>
      <c r="C1393" s="3">
        <v>10</v>
      </c>
      <c r="D1393" s="3">
        <v>11</v>
      </c>
      <c r="E1393" s="3">
        <v>2022</v>
      </c>
      <c r="F1393" s="3" t="str">
        <f>"Qtr"&amp; " " &amp;CHOOSE(MONTH(Table1[[#This Row],[Date]]),1,1,1,2,2,2,3,3,3,4,4,4)</f>
        <v>Qtr 4</v>
      </c>
      <c r="G1393" s="3" t="str">
        <f>TEXT(Table1[[#This Row],[Date]],"mmmm")</f>
        <v>November</v>
      </c>
      <c r="H1393" s="3" t="s">
        <v>1084</v>
      </c>
      <c r="I1393" s="3" t="s">
        <v>39</v>
      </c>
      <c r="J1393" s="3">
        <v>2</v>
      </c>
      <c r="K1393" s="3">
        <v>32696.43</v>
      </c>
      <c r="L1393" s="3">
        <f>Table1[[#This Row],[Price Per Unit]]*Table1[[#This Row],[Units Sold]]</f>
        <v>65392.86</v>
      </c>
      <c r="M1393" s="3" t="s">
        <v>824</v>
      </c>
      <c r="N1393" s="3">
        <v>44</v>
      </c>
      <c r="O1393" s="3" t="s">
        <v>20</v>
      </c>
      <c r="P1393" s="3" t="s">
        <v>16</v>
      </c>
      <c r="Q1393" s="4">
        <v>4</v>
      </c>
      <c r="R1393" s="4" t="str">
        <f>IF(Table1[[#This Row],[Customer Ratings]]&gt;=4, "Good",IF(Table1[[#This Row],[Customer Ratings]]=3, "Average","Poor"))</f>
        <v>Good</v>
      </c>
      <c r="S1393" s="3" t="s">
        <v>90</v>
      </c>
    </row>
    <row r="1394" spans="1:19" x14ac:dyDescent="0.25">
      <c r="A1394" s="3">
        <v>1393</v>
      </c>
      <c r="B1394" s="5">
        <f>DATE(Table1[[#This Row],[Year]],Table1[[#This Row],[Month]],Table1[[#This Row],[Day]])</f>
        <v>44875</v>
      </c>
      <c r="C1394" s="3">
        <v>10</v>
      </c>
      <c r="D1394" s="3">
        <v>11</v>
      </c>
      <c r="E1394" s="3">
        <v>2022</v>
      </c>
      <c r="F1394" s="3" t="str">
        <f>"Qtr"&amp; " " &amp;CHOOSE(MONTH(Table1[[#This Row],[Date]]),1,1,1,2,2,2,3,3,3,4,4,4)</f>
        <v>Qtr 4</v>
      </c>
      <c r="G1394" s="3" t="str">
        <f>TEXT(Table1[[#This Row],[Date]],"mmmm")</f>
        <v>November</v>
      </c>
      <c r="H1394" s="3" t="s">
        <v>1084</v>
      </c>
      <c r="I1394" s="3" t="s">
        <v>13</v>
      </c>
      <c r="J1394" s="3">
        <v>1</v>
      </c>
      <c r="K1394" s="3">
        <v>38390.36</v>
      </c>
      <c r="L1394" s="3">
        <f>Table1[[#This Row],[Price Per Unit]]*Table1[[#This Row],[Units Sold]]</f>
        <v>38390.36</v>
      </c>
      <c r="M1394" s="3" t="s">
        <v>754</v>
      </c>
      <c r="N1394" s="3">
        <v>36</v>
      </c>
      <c r="O1394" s="3" t="s">
        <v>24</v>
      </c>
      <c r="P1394" s="3" t="s">
        <v>16</v>
      </c>
      <c r="Q1394" s="4">
        <v>3</v>
      </c>
      <c r="R1394" s="4" t="str">
        <f>IF(Table1[[#This Row],[Customer Ratings]]&gt;=4, "Good",IF(Table1[[#This Row],[Customer Ratings]]=3, "Average","Poor"))</f>
        <v>Average</v>
      </c>
      <c r="S1394" s="3" t="s">
        <v>27</v>
      </c>
    </row>
    <row r="1395" spans="1:19" x14ac:dyDescent="0.25">
      <c r="A1395" s="3">
        <v>1394</v>
      </c>
      <c r="B1395" s="5">
        <f>DATE(Table1[[#This Row],[Year]],Table1[[#This Row],[Month]],Table1[[#This Row],[Day]])</f>
        <v>44875</v>
      </c>
      <c r="C1395" s="3">
        <v>10</v>
      </c>
      <c r="D1395" s="3">
        <v>11</v>
      </c>
      <c r="E1395" s="3">
        <v>2022</v>
      </c>
      <c r="F1395" s="3" t="str">
        <f>"Qtr"&amp; " " &amp;CHOOSE(MONTH(Table1[[#This Row],[Date]]),1,1,1,2,2,2,3,3,3,4,4,4)</f>
        <v>Qtr 4</v>
      </c>
      <c r="G1395" s="3" t="str">
        <f>TEXT(Table1[[#This Row],[Date]],"mmmm")</f>
        <v>November</v>
      </c>
      <c r="H1395" s="3" t="s">
        <v>1084</v>
      </c>
      <c r="I1395" s="3" t="s">
        <v>33</v>
      </c>
      <c r="J1395" s="3">
        <v>9</v>
      </c>
      <c r="K1395" s="3">
        <v>47823.86</v>
      </c>
      <c r="L1395" s="3">
        <f>Table1[[#This Row],[Price Per Unit]]*Table1[[#This Row],[Units Sold]]</f>
        <v>430414.74</v>
      </c>
      <c r="M1395" s="3" t="s">
        <v>355</v>
      </c>
      <c r="N1395" s="3">
        <v>22</v>
      </c>
      <c r="O1395" s="3" t="s">
        <v>20</v>
      </c>
      <c r="P1395" s="3" t="s">
        <v>45</v>
      </c>
      <c r="Q1395" s="4">
        <v>5</v>
      </c>
      <c r="R1395" s="4" t="str">
        <f>IF(Table1[[#This Row],[Customer Ratings]]&gt;=4, "Good",IF(Table1[[#This Row],[Customer Ratings]]=3, "Average","Poor"))</f>
        <v>Good</v>
      </c>
      <c r="S1395" s="3" t="s">
        <v>83</v>
      </c>
    </row>
    <row r="1396" spans="1:19" x14ac:dyDescent="0.25">
      <c r="A1396" s="3">
        <v>1395</v>
      </c>
      <c r="B1396" s="5">
        <f>DATE(Table1[[#This Row],[Year]],Table1[[#This Row],[Month]],Table1[[#This Row],[Day]])</f>
        <v>44876</v>
      </c>
      <c r="C1396" s="3">
        <v>11</v>
      </c>
      <c r="D1396" s="3">
        <v>11</v>
      </c>
      <c r="E1396" s="3">
        <v>2022</v>
      </c>
      <c r="F1396" s="3" t="str">
        <f>"Qtr"&amp; " " &amp;CHOOSE(MONTH(Table1[[#This Row],[Date]]),1,1,1,2,2,2,3,3,3,4,4,4)</f>
        <v>Qtr 4</v>
      </c>
      <c r="G1396" s="3" t="str">
        <f>TEXT(Table1[[#This Row],[Date]],"mmmm")</f>
        <v>November</v>
      </c>
      <c r="H1396" s="3" t="s">
        <v>1085</v>
      </c>
      <c r="I1396" s="3" t="s">
        <v>39</v>
      </c>
      <c r="J1396" s="3">
        <v>9</v>
      </c>
      <c r="K1396" s="3">
        <v>64472.36</v>
      </c>
      <c r="L1396" s="3">
        <f>Table1[[#This Row],[Price Per Unit]]*Table1[[#This Row],[Units Sold]]</f>
        <v>580251.24</v>
      </c>
      <c r="M1396" s="3" t="s">
        <v>825</v>
      </c>
      <c r="N1396" s="3">
        <v>46</v>
      </c>
      <c r="O1396" s="3" t="s">
        <v>20</v>
      </c>
      <c r="P1396" s="3" t="s">
        <v>45</v>
      </c>
      <c r="Q1396" s="4">
        <v>3</v>
      </c>
      <c r="R1396" s="4" t="str">
        <f>IF(Table1[[#This Row],[Customer Ratings]]&gt;=4, "Good",IF(Table1[[#This Row],[Customer Ratings]]=3, "Average","Poor"))</f>
        <v>Average</v>
      </c>
      <c r="S1396" s="3" t="s">
        <v>90</v>
      </c>
    </row>
    <row r="1397" spans="1:19" x14ac:dyDescent="0.25">
      <c r="A1397" s="3">
        <v>1396</v>
      </c>
      <c r="B1397" s="5">
        <f>DATE(Table1[[#This Row],[Year]],Table1[[#This Row],[Month]],Table1[[#This Row],[Day]])</f>
        <v>44876</v>
      </c>
      <c r="C1397" s="3">
        <v>11</v>
      </c>
      <c r="D1397" s="3">
        <v>11</v>
      </c>
      <c r="E1397" s="3">
        <v>2022</v>
      </c>
      <c r="F1397" s="3" t="str">
        <f>"Qtr"&amp; " " &amp;CHOOSE(MONTH(Table1[[#This Row],[Date]]),1,1,1,2,2,2,3,3,3,4,4,4)</f>
        <v>Qtr 4</v>
      </c>
      <c r="G1397" s="3" t="str">
        <f>TEXT(Table1[[#This Row],[Date]],"mmmm")</f>
        <v>November</v>
      </c>
      <c r="H1397" s="3" t="s">
        <v>1085</v>
      </c>
      <c r="I1397" s="3" t="s">
        <v>13</v>
      </c>
      <c r="J1397" s="3">
        <v>7</v>
      </c>
      <c r="K1397" s="3">
        <v>35145.269999999997</v>
      </c>
      <c r="L1397" s="3">
        <f>Table1[[#This Row],[Price Per Unit]]*Table1[[#This Row],[Units Sold]]</f>
        <v>246016.88999999998</v>
      </c>
      <c r="M1397" s="3" t="s">
        <v>385</v>
      </c>
      <c r="N1397" s="3">
        <v>27</v>
      </c>
      <c r="O1397" s="3" t="s">
        <v>125</v>
      </c>
      <c r="P1397" s="3" t="s">
        <v>16</v>
      </c>
      <c r="Q1397" s="4">
        <v>4</v>
      </c>
      <c r="R1397" s="4" t="str">
        <f>IF(Table1[[#This Row],[Customer Ratings]]&gt;=4, "Good",IF(Table1[[#This Row],[Customer Ratings]]=3, "Average","Poor"))</f>
        <v>Good</v>
      </c>
      <c r="S1397" s="3" t="s">
        <v>72</v>
      </c>
    </row>
    <row r="1398" spans="1:19" x14ac:dyDescent="0.25">
      <c r="A1398" s="3">
        <v>1397</v>
      </c>
      <c r="B1398" s="5">
        <f>DATE(Table1[[#This Row],[Year]],Table1[[#This Row],[Month]],Table1[[#This Row],[Day]])</f>
        <v>44876</v>
      </c>
      <c r="C1398" s="3">
        <v>11</v>
      </c>
      <c r="D1398" s="3">
        <v>11</v>
      </c>
      <c r="E1398" s="3">
        <v>2022</v>
      </c>
      <c r="F1398" s="3" t="str">
        <f>"Qtr"&amp; " " &amp;CHOOSE(MONTH(Table1[[#This Row],[Date]]),1,1,1,2,2,2,3,3,3,4,4,4)</f>
        <v>Qtr 4</v>
      </c>
      <c r="G1398" s="3" t="str">
        <f>TEXT(Table1[[#This Row],[Date]],"mmmm")</f>
        <v>November</v>
      </c>
      <c r="H1398" s="3" t="s">
        <v>1085</v>
      </c>
      <c r="I1398" s="3" t="s">
        <v>18</v>
      </c>
      <c r="J1398" s="3">
        <v>7</v>
      </c>
      <c r="K1398" s="3">
        <v>56999.01</v>
      </c>
      <c r="L1398" s="3">
        <f>Table1[[#This Row],[Price Per Unit]]*Table1[[#This Row],[Units Sold]]</f>
        <v>398993.07</v>
      </c>
      <c r="M1398" s="3" t="s">
        <v>826</v>
      </c>
      <c r="N1398" s="3">
        <v>57</v>
      </c>
      <c r="O1398" s="3" t="s">
        <v>48</v>
      </c>
      <c r="P1398" s="3" t="s">
        <v>16</v>
      </c>
      <c r="Q1398" s="4">
        <v>4</v>
      </c>
      <c r="R1398" s="4" t="str">
        <f>IF(Table1[[#This Row],[Customer Ratings]]&gt;=4, "Good",IF(Table1[[#This Row],[Customer Ratings]]=3, "Average","Poor"))</f>
        <v>Good</v>
      </c>
      <c r="S1398" s="3" t="s">
        <v>55</v>
      </c>
    </row>
    <row r="1399" spans="1:19" x14ac:dyDescent="0.25">
      <c r="A1399" s="3">
        <v>1398</v>
      </c>
      <c r="B1399" s="5">
        <f>DATE(Table1[[#This Row],[Year]],Table1[[#This Row],[Month]],Table1[[#This Row],[Day]])</f>
        <v>44876</v>
      </c>
      <c r="C1399" s="3">
        <v>11</v>
      </c>
      <c r="D1399" s="3">
        <v>11</v>
      </c>
      <c r="E1399" s="3">
        <v>2022</v>
      </c>
      <c r="F1399" s="3" t="str">
        <f>"Qtr"&amp; " " &amp;CHOOSE(MONTH(Table1[[#This Row],[Date]]),1,1,1,2,2,2,3,3,3,4,4,4)</f>
        <v>Qtr 4</v>
      </c>
      <c r="G1399" s="3" t="str">
        <f>TEXT(Table1[[#This Row],[Date]],"mmmm")</f>
        <v>November</v>
      </c>
      <c r="H1399" s="3" t="s">
        <v>1085</v>
      </c>
      <c r="I1399" s="3" t="s">
        <v>33</v>
      </c>
      <c r="J1399" s="3">
        <v>3</v>
      </c>
      <c r="K1399" s="3">
        <v>26100.39</v>
      </c>
      <c r="L1399" s="3">
        <f>Table1[[#This Row],[Price Per Unit]]*Table1[[#This Row],[Units Sold]]</f>
        <v>78301.17</v>
      </c>
      <c r="M1399" s="3" t="s">
        <v>587</v>
      </c>
      <c r="N1399" s="3">
        <v>30</v>
      </c>
      <c r="O1399" s="3" t="s">
        <v>20</v>
      </c>
      <c r="P1399" s="3" t="s">
        <v>16</v>
      </c>
      <c r="Q1399" s="4">
        <v>5</v>
      </c>
      <c r="R1399" s="4" t="str">
        <f>IF(Table1[[#This Row],[Customer Ratings]]&gt;=4, "Good",IF(Table1[[#This Row],[Customer Ratings]]=3, "Average","Poor"))</f>
        <v>Good</v>
      </c>
      <c r="S1399" s="3" t="s">
        <v>46</v>
      </c>
    </row>
    <row r="1400" spans="1:19" x14ac:dyDescent="0.25">
      <c r="A1400" s="3">
        <v>1399</v>
      </c>
      <c r="B1400" s="5">
        <f>DATE(Table1[[#This Row],[Year]],Table1[[#This Row],[Month]],Table1[[#This Row],[Day]])</f>
        <v>44877</v>
      </c>
      <c r="C1400" s="3">
        <v>12</v>
      </c>
      <c r="D1400" s="3">
        <v>11</v>
      </c>
      <c r="E1400" s="3">
        <v>2022</v>
      </c>
      <c r="F1400" s="3" t="str">
        <f>"Qtr"&amp; " " &amp;CHOOSE(MONTH(Table1[[#This Row],[Date]]),1,1,1,2,2,2,3,3,3,4,4,4)</f>
        <v>Qtr 4</v>
      </c>
      <c r="G1400" s="3" t="str">
        <f>TEXT(Table1[[#This Row],[Date]],"mmmm")</f>
        <v>November</v>
      </c>
      <c r="H1400" s="3" t="s">
        <v>1079</v>
      </c>
      <c r="I1400" s="3" t="s">
        <v>33</v>
      </c>
      <c r="J1400" s="3">
        <v>2</v>
      </c>
      <c r="K1400" s="3">
        <v>51878.31</v>
      </c>
      <c r="L1400" s="3">
        <f>Table1[[#This Row],[Price Per Unit]]*Table1[[#This Row],[Units Sold]]</f>
        <v>103756.62</v>
      </c>
      <c r="M1400" s="3" t="s">
        <v>344</v>
      </c>
      <c r="N1400" s="3">
        <v>46</v>
      </c>
      <c r="O1400" s="3" t="s">
        <v>78</v>
      </c>
      <c r="P1400" s="3" t="s">
        <v>21</v>
      </c>
      <c r="Q1400" s="4">
        <v>5</v>
      </c>
      <c r="R1400" s="4" t="str">
        <f>IF(Table1[[#This Row],[Customer Ratings]]&gt;=4, "Good",IF(Table1[[#This Row],[Customer Ratings]]=3, "Average","Poor"))</f>
        <v>Good</v>
      </c>
      <c r="S1400" s="3" t="s">
        <v>46</v>
      </c>
    </row>
    <row r="1401" spans="1:19" x14ac:dyDescent="0.25">
      <c r="A1401" s="3">
        <v>1400</v>
      </c>
      <c r="B1401" s="5">
        <f>DATE(Table1[[#This Row],[Year]],Table1[[#This Row],[Month]],Table1[[#This Row],[Day]])</f>
        <v>44877</v>
      </c>
      <c r="C1401" s="3">
        <v>12</v>
      </c>
      <c r="D1401" s="3">
        <v>11</v>
      </c>
      <c r="E1401" s="3">
        <v>2022</v>
      </c>
      <c r="F1401" s="3" t="str">
        <f>"Qtr"&amp; " " &amp;CHOOSE(MONTH(Table1[[#This Row],[Date]]),1,1,1,2,2,2,3,3,3,4,4,4)</f>
        <v>Qtr 4</v>
      </c>
      <c r="G1401" s="3" t="str">
        <f>TEXT(Table1[[#This Row],[Date]],"mmmm")</f>
        <v>November</v>
      </c>
      <c r="H1401" s="3" t="s">
        <v>1079</v>
      </c>
      <c r="I1401" s="3" t="s">
        <v>33</v>
      </c>
      <c r="J1401" s="3">
        <v>7</v>
      </c>
      <c r="K1401" s="3">
        <v>10094.77</v>
      </c>
      <c r="L1401" s="3">
        <f>Table1[[#This Row],[Price Per Unit]]*Table1[[#This Row],[Units Sold]]</f>
        <v>70663.39</v>
      </c>
      <c r="M1401" s="3" t="s">
        <v>805</v>
      </c>
      <c r="N1401" s="3">
        <v>22</v>
      </c>
      <c r="O1401" s="3" t="s">
        <v>15</v>
      </c>
      <c r="P1401" s="3" t="s">
        <v>21</v>
      </c>
      <c r="Q1401" s="4">
        <v>5</v>
      </c>
      <c r="R1401" s="4" t="str">
        <f>IF(Table1[[#This Row],[Customer Ratings]]&gt;=4, "Good",IF(Table1[[#This Row],[Customer Ratings]]=3, "Average","Poor"))</f>
        <v>Good</v>
      </c>
      <c r="S1401" s="3" t="s">
        <v>36</v>
      </c>
    </row>
    <row r="1402" spans="1:19" x14ac:dyDescent="0.25">
      <c r="A1402" s="3">
        <v>1401</v>
      </c>
      <c r="B1402" s="5">
        <f>DATE(Table1[[#This Row],[Year]],Table1[[#This Row],[Month]],Table1[[#This Row],[Day]])</f>
        <v>44877</v>
      </c>
      <c r="C1402" s="3">
        <v>12</v>
      </c>
      <c r="D1402" s="3">
        <v>11</v>
      </c>
      <c r="E1402" s="3">
        <v>2022</v>
      </c>
      <c r="F1402" s="3" t="str">
        <f>"Qtr"&amp; " " &amp;CHOOSE(MONTH(Table1[[#This Row],[Date]]),1,1,1,2,2,2,3,3,3,4,4,4)</f>
        <v>Qtr 4</v>
      </c>
      <c r="G1402" s="3" t="str">
        <f>TEXT(Table1[[#This Row],[Date]],"mmmm")</f>
        <v>November</v>
      </c>
      <c r="H1402" s="3" t="s">
        <v>1079</v>
      </c>
      <c r="I1402" s="3" t="s">
        <v>18</v>
      </c>
      <c r="J1402" s="3">
        <v>9</v>
      </c>
      <c r="K1402" s="3">
        <v>62290.43</v>
      </c>
      <c r="L1402" s="3">
        <f>Table1[[#This Row],[Price Per Unit]]*Table1[[#This Row],[Units Sold]]</f>
        <v>560613.87</v>
      </c>
      <c r="M1402" s="3" t="s">
        <v>710</v>
      </c>
      <c r="N1402" s="3">
        <v>29</v>
      </c>
      <c r="O1402" s="3" t="s">
        <v>54</v>
      </c>
      <c r="P1402" s="3" t="s">
        <v>16</v>
      </c>
      <c r="Q1402" s="4">
        <v>1</v>
      </c>
      <c r="R1402" s="4" t="str">
        <f>IF(Table1[[#This Row],[Customer Ratings]]&gt;=4, "Good",IF(Table1[[#This Row],[Customer Ratings]]=3, "Average","Poor"))</f>
        <v>Poor</v>
      </c>
      <c r="S1402" s="3" t="s">
        <v>25</v>
      </c>
    </row>
    <row r="1403" spans="1:19" x14ac:dyDescent="0.25">
      <c r="A1403" s="3">
        <v>1402</v>
      </c>
      <c r="B1403" s="5">
        <f>DATE(Table1[[#This Row],[Year]],Table1[[#This Row],[Month]],Table1[[#This Row],[Day]])</f>
        <v>44878</v>
      </c>
      <c r="C1403" s="3">
        <v>13</v>
      </c>
      <c r="D1403" s="3">
        <v>11</v>
      </c>
      <c r="E1403" s="3">
        <v>2022</v>
      </c>
      <c r="F1403" s="3" t="str">
        <f>"Qtr"&amp; " " &amp;CHOOSE(MONTH(Table1[[#This Row],[Date]]),1,1,1,2,2,2,3,3,3,4,4,4)</f>
        <v>Qtr 4</v>
      </c>
      <c r="G1403" s="3" t="str">
        <f>TEXT(Table1[[#This Row],[Date]],"mmmm")</f>
        <v>November</v>
      </c>
      <c r="H1403" s="3" t="s">
        <v>1080</v>
      </c>
      <c r="I1403" s="3" t="s">
        <v>18</v>
      </c>
      <c r="J1403" s="3">
        <v>1</v>
      </c>
      <c r="K1403" s="3">
        <v>11822.77</v>
      </c>
      <c r="L1403" s="3">
        <f>Table1[[#This Row],[Price Per Unit]]*Table1[[#This Row],[Units Sold]]</f>
        <v>11822.77</v>
      </c>
      <c r="M1403" s="3" t="s">
        <v>37</v>
      </c>
      <c r="N1403" s="3">
        <v>30</v>
      </c>
      <c r="O1403" s="3" t="s">
        <v>125</v>
      </c>
      <c r="P1403" s="3" t="s">
        <v>45</v>
      </c>
      <c r="Q1403" s="4">
        <v>3</v>
      </c>
      <c r="R1403" s="4" t="str">
        <f>IF(Table1[[#This Row],[Customer Ratings]]&gt;=4, "Good",IF(Table1[[#This Row],[Customer Ratings]]=3, "Average","Poor"))</f>
        <v>Average</v>
      </c>
      <c r="S1403" s="3" t="s">
        <v>25</v>
      </c>
    </row>
    <row r="1404" spans="1:19" x14ac:dyDescent="0.25">
      <c r="A1404" s="3">
        <v>1403</v>
      </c>
      <c r="B1404" s="5">
        <f>DATE(Table1[[#This Row],[Year]],Table1[[#This Row],[Month]],Table1[[#This Row],[Day]])</f>
        <v>44878</v>
      </c>
      <c r="C1404" s="3">
        <v>13</v>
      </c>
      <c r="D1404" s="3">
        <v>11</v>
      </c>
      <c r="E1404" s="3">
        <v>2022</v>
      </c>
      <c r="F1404" s="3" t="str">
        <f>"Qtr"&amp; " " &amp;CHOOSE(MONTH(Table1[[#This Row],[Date]]),1,1,1,2,2,2,3,3,3,4,4,4)</f>
        <v>Qtr 4</v>
      </c>
      <c r="G1404" s="3" t="str">
        <f>TEXT(Table1[[#This Row],[Date]],"mmmm")</f>
        <v>November</v>
      </c>
      <c r="H1404" s="3" t="s">
        <v>1080</v>
      </c>
      <c r="I1404" s="3" t="s">
        <v>28</v>
      </c>
      <c r="J1404" s="3">
        <v>4</v>
      </c>
      <c r="K1404" s="3">
        <v>52765.23</v>
      </c>
      <c r="L1404" s="3">
        <f>Table1[[#This Row],[Price Per Unit]]*Table1[[#This Row],[Units Sold]]</f>
        <v>211060.92</v>
      </c>
      <c r="M1404" s="3" t="s">
        <v>145</v>
      </c>
      <c r="N1404" s="3">
        <v>39</v>
      </c>
      <c r="O1404" s="3" t="s">
        <v>120</v>
      </c>
      <c r="P1404" s="3" t="s">
        <v>31</v>
      </c>
      <c r="Q1404" s="4">
        <v>5</v>
      </c>
      <c r="R1404" s="4" t="str">
        <f>IF(Table1[[#This Row],[Customer Ratings]]&gt;=4, "Good",IF(Table1[[#This Row],[Customer Ratings]]=3, "Average","Poor"))</f>
        <v>Good</v>
      </c>
      <c r="S1404" s="3" t="s">
        <v>32</v>
      </c>
    </row>
    <row r="1405" spans="1:19" x14ac:dyDescent="0.25">
      <c r="A1405" s="3">
        <v>1404</v>
      </c>
      <c r="B1405" s="5">
        <f>DATE(Table1[[#This Row],[Year]],Table1[[#This Row],[Month]],Table1[[#This Row],[Day]])</f>
        <v>44878</v>
      </c>
      <c r="C1405" s="3">
        <v>13</v>
      </c>
      <c r="D1405" s="3">
        <v>11</v>
      </c>
      <c r="E1405" s="3">
        <v>2022</v>
      </c>
      <c r="F1405" s="3" t="str">
        <f>"Qtr"&amp; " " &amp;CHOOSE(MONTH(Table1[[#This Row],[Date]]),1,1,1,2,2,2,3,3,3,4,4,4)</f>
        <v>Qtr 4</v>
      </c>
      <c r="G1405" s="3" t="str">
        <f>TEXT(Table1[[#This Row],[Date]],"mmmm")</f>
        <v>November</v>
      </c>
      <c r="H1405" s="3" t="s">
        <v>1080</v>
      </c>
      <c r="I1405" s="3" t="s">
        <v>13</v>
      </c>
      <c r="J1405" s="3">
        <v>6</v>
      </c>
      <c r="K1405" s="3">
        <v>12775.49</v>
      </c>
      <c r="L1405" s="3">
        <f>Table1[[#This Row],[Price Per Unit]]*Table1[[#This Row],[Units Sold]]</f>
        <v>76652.94</v>
      </c>
      <c r="M1405" s="3" t="s">
        <v>827</v>
      </c>
      <c r="N1405" s="3">
        <v>57</v>
      </c>
      <c r="O1405" s="3" t="s">
        <v>102</v>
      </c>
      <c r="P1405" s="3" t="s">
        <v>45</v>
      </c>
      <c r="Q1405" s="4">
        <v>1</v>
      </c>
      <c r="R1405" s="4" t="str">
        <f>IF(Table1[[#This Row],[Customer Ratings]]&gt;=4, "Good",IF(Table1[[#This Row],[Customer Ratings]]=3, "Average","Poor"))</f>
        <v>Poor</v>
      </c>
      <c r="S1405" s="3" t="s">
        <v>17</v>
      </c>
    </row>
    <row r="1406" spans="1:19" x14ac:dyDescent="0.25">
      <c r="A1406" s="3">
        <v>1405</v>
      </c>
      <c r="B1406" s="5">
        <f>DATE(Table1[[#This Row],[Year]],Table1[[#This Row],[Month]],Table1[[#This Row],[Day]])</f>
        <v>44878</v>
      </c>
      <c r="C1406" s="3">
        <v>13</v>
      </c>
      <c r="D1406" s="3">
        <v>11</v>
      </c>
      <c r="E1406" s="3">
        <v>2022</v>
      </c>
      <c r="F1406" s="3" t="str">
        <f>"Qtr"&amp; " " &amp;CHOOSE(MONTH(Table1[[#This Row],[Date]]),1,1,1,2,2,2,3,3,3,4,4,4)</f>
        <v>Qtr 4</v>
      </c>
      <c r="G1406" s="3" t="str">
        <f>TEXT(Table1[[#This Row],[Date]],"mmmm")</f>
        <v>November</v>
      </c>
      <c r="H1406" s="3" t="s">
        <v>1080</v>
      </c>
      <c r="I1406" s="3" t="s">
        <v>28</v>
      </c>
      <c r="J1406" s="3">
        <v>7</v>
      </c>
      <c r="K1406" s="3">
        <v>25974.74</v>
      </c>
      <c r="L1406" s="3">
        <f>Table1[[#This Row],[Price Per Unit]]*Table1[[#This Row],[Units Sold]]</f>
        <v>181823.18000000002</v>
      </c>
      <c r="M1406" s="3" t="s">
        <v>828</v>
      </c>
      <c r="N1406" s="3">
        <v>32</v>
      </c>
      <c r="O1406" s="3" t="s">
        <v>78</v>
      </c>
      <c r="P1406" s="3" t="s">
        <v>31</v>
      </c>
      <c r="Q1406" s="4">
        <v>5</v>
      </c>
      <c r="R1406" s="4" t="str">
        <f>IF(Table1[[#This Row],[Customer Ratings]]&gt;=4, "Good",IF(Table1[[#This Row],[Customer Ratings]]=3, "Average","Poor"))</f>
        <v>Good</v>
      </c>
      <c r="S1406" s="3" t="s">
        <v>38</v>
      </c>
    </row>
    <row r="1407" spans="1:19" x14ac:dyDescent="0.25">
      <c r="A1407" s="3">
        <v>1406</v>
      </c>
      <c r="B1407" s="5">
        <f>DATE(Table1[[#This Row],[Year]],Table1[[#This Row],[Month]],Table1[[#This Row],[Day]])</f>
        <v>44879</v>
      </c>
      <c r="C1407" s="3">
        <v>14</v>
      </c>
      <c r="D1407" s="3">
        <v>11</v>
      </c>
      <c r="E1407" s="3">
        <v>2022</v>
      </c>
      <c r="F1407" s="3" t="str">
        <f>"Qtr"&amp; " " &amp;CHOOSE(MONTH(Table1[[#This Row],[Date]]),1,1,1,2,2,2,3,3,3,4,4,4)</f>
        <v>Qtr 4</v>
      </c>
      <c r="G1407" s="3" t="str">
        <f>TEXT(Table1[[#This Row],[Date]],"mmmm")</f>
        <v>November</v>
      </c>
      <c r="H1407" s="3" t="s">
        <v>1081</v>
      </c>
      <c r="I1407" s="3" t="s">
        <v>13</v>
      </c>
      <c r="J1407" s="3">
        <v>7</v>
      </c>
      <c r="K1407" s="3">
        <v>39832.14</v>
      </c>
      <c r="L1407" s="3">
        <f>Table1[[#This Row],[Price Per Unit]]*Table1[[#This Row],[Units Sold]]</f>
        <v>278824.98</v>
      </c>
      <c r="M1407" s="3" t="s">
        <v>825</v>
      </c>
      <c r="N1407" s="3">
        <v>30</v>
      </c>
      <c r="O1407" s="3" t="s">
        <v>20</v>
      </c>
      <c r="P1407" s="3" t="s">
        <v>16</v>
      </c>
      <c r="Q1407" s="4">
        <v>5</v>
      </c>
      <c r="R1407" s="4" t="str">
        <f>IF(Table1[[#This Row],[Customer Ratings]]&gt;=4, "Good",IF(Table1[[#This Row],[Customer Ratings]]=3, "Average","Poor"))</f>
        <v>Good</v>
      </c>
      <c r="S1407" s="3" t="s">
        <v>27</v>
      </c>
    </row>
    <row r="1408" spans="1:19" x14ac:dyDescent="0.25">
      <c r="A1408" s="3">
        <v>1407</v>
      </c>
      <c r="B1408" s="5">
        <f>DATE(Table1[[#This Row],[Year]],Table1[[#This Row],[Month]],Table1[[#This Row],[Day]])</f>
        <v>44879</v>
      </c>
      <c r="C1408" s="3">
        <v>14</v>
      </c>
      <c r="D1408" s="3">
        <v>11</v>
      </c>
      <c r="E1408" s="3">
        <v>2022</v>
      </c>
      <c r="F1408" s="3" t="str">
        <f>"Qtr"&amp; " " &amp;CHOOSE(MONTH(Table1[[#This Row],[Date]]),1,1,1,2,2,2,3,3,3,4,4,4)</f>
        <v>Qtr 4</v>
      </c>
      <c r="G1408" s="3" t="str">
        <f>TEXT(Table1[[#This Row],[Date]],"mmmm")</f>
        <v>November</v>
      </c>
      <c r="H1408" s="3" t="s">
        <v>1081</v>
      </c>
      <c r="I1408" s="3" t="s">
        <v>18</v>
      </c>
      <c r="J1408" s="3">
        <v>2</v>
      </c>
      <c r="K1408" s="3">
        <v>35196.32</v>
      </c>
      <c r="L1408" s="3">
        <f>Table1[[#This Row],[Price Per Unit]]*Table1[[#This Row],[Units Sold]]</f>
        <v>70392.639999999999</v>
      </c>
      <c r="M1408" s="3" t="s">
        <v>829</v>
      </c>
      <c r="N1408" s="3">
        <v>18</v>
      </c>
      <c r="O1408" s="3" t="s">
        <v>65</v>
      </c>
      <c r="P1408" s="3" t="s">
        <v>21</v>
      </c>
      <c r="Q1408" s="4">
        <v>5</v>
      </c>
      <c r="R1408" s="4" t="str">
        <f>IF(Table1[[#This Row],[Customer Ratings]]&gt;=4, "Good",IF(Table1[[#This Row],[Customer Ratings]]=3, "Average","Poor"))</f>
        <v>Good</v>
      </c>
      <c r="S1408" s="3" t="s">
        <v>22</v>
      </c>
    </row>
    <row r="1409" spans="1:19" x14ac:dyDescent="0.25">
      <c r="A1409" s="3">
        <v>1408</v>
      </c>
      <c r="B1409" s="5">
        <f>DATE(Table1[[#This Row],[Year]],Table1[[#This Row],[Month]],Table1[[#This Row],[Day]])</f>
        <v>44879</v>
      </c>
      <c r="C1409" s="3">
        <v>14</v>
      </c>
      <c r="D1409" s="3">
        <v>11</v>
      </c>
      <c r="E1409" s="3">
        <v>2022</v>
      </c>
      <c r="F1409" s="3" t="str">
        <f>"Qtr"&amp; " " &amp;CHOOSE(MONTH(Table1[[#This Row],[Date]]),1,1,1,2,2,2,3,3,3,4,4,4)</f>
        <v>Qtr 4</v>
      </c>
      <c r="G1409" s="3" t="str">
        <f>TEXT(Table1[[#This Row],[Date]],"mmmm")</f>
        <v>November</v>
      </c>
      <c r="H1409" s="3" t="s">
        <v>1081</v>
      </c>
      <c r="I1409" s="3" t="s">
        <v>18</v>
      </c>
      <c r="J1409" s="3">
        <v>4</v>
      </c>
      <c r="K1409" s="3">
        <v>21510.17</v>
      </c>
      <c r="L1409" s="3">
        <f>Table1[[#This Row],[Price Per Unit]]*Table1[[#This Row],[Units Sold]]</f>
        <v>86040.68</v>
      </c>
      <c r="M1409" s="3" t="s">
        <v>303</v>
      </c>
      <c r="N1409" s="3">
        <v>55</v>
      </c>
      <c r="O1409" s="3" t="s">
        <v>120</v>
      </c>
      <c r="P1409" s="3" t="s">
        <v>21</v>
      </c>
      <c r="Q1409" s="4">
        <v>4</v>
      </c>
      <c r="R1409" s="4" t="str">
        <f>IF(Table1[[#This Row],[Customer Ratings]]&gt;=4, "Good",IF(Table1[[#This Row],[Customer Ratings]]=3, "Average","Poor"))</f>
        <v>Good</v>
      </c>
      <c r="S1409" s="3" t="s">
        <v>55</v>
      </c>
    </row>
    <row r="1410" spans="1:19" x14ac:dyDescent="0.25">
      <c r="A1410" s="3">
        <v>1409</v>
      </c>
      <c r="B1410" s="5">
        <f>DATE(Table1[[#This Row],[Year]],Table1[[#This Row],[Month]],Table1[[#This Row],[Day]])</f>
        <v>44879</v>
      </c>
      <c r="C1410" s="3">
        <v>14</v>
      </c>
      <c r="D1410" s="3">
        <v>11</v>
      </c>
      <c r="E1410" s="3">
        <v>2022</v>
      </c>
      <c r="F1410" s="3" t="str">
        <f>"Qtr"&amp; " " &amp;CHOOSE(MONTH(Table1[[#This Row],[Date]]),1,1,1,2,2,2,3,3,3,4,4,4)</f>
        <v>Qtr 4</v>
      </c>
      <c r="G1410" s="3" t="str">
        <f>TEXT(Table1[[#This Row],[Date]],"mmmm")</f>
        <v>November</v>
      </c>
      <c r="H1410" s="3" t="s">
        <v>1081</v>
      </c>
      <c r="I1410" s="3" t="s">
        <v>28</v>
      </c>
      <c r="J1410" s="3">
        <v>5</v>
      </c>
      <c r="K1410" s="3">
        <v>30028.89</v>
      </c>
      <c r="L1410" s="3">
        <f>Table1[[#This Row],[Price Per Unit]]*Table1[[#This Row],[Units Sold]]</f>
        <v>150144.45000000001</v>
      </c>
      <c r="M1410" s="3" t="s">
        <v>547</v>
      </c>
      <c r="N1410" s="3">
        <v>18</v>
      </c>
      <c r="O1410" s="3" t="s">
        <v>20</v>
      </c>
      <c r="P1410" s="3" t="s">
        <v>31</v>
      </c>
      <c r="Q1410" s="4">
        <v>3</v>
      </c>
      <c r="R1410" s="4" t="str">
        <f>IF(Table1[[#This Row],[Customer Ratings]]&gt;=4, "Good",IF(Table1[[#This Row],[Customer Ratings]]=3, "Average","Poor"))</f>
        <v>Average</v>
      </c>
      <c r="S1410" s="3" t="s">
        <v>32</v>
      </c>
    </row>
    <row r="1411" spans="1:19" x14ac:dyDescent="0.25">
      <c r="A1411" s="3">
        <v>1410</v>
      </c>
      <c r="B1411" s="5">
        <f>DATE(Table1[[#This Row],[Year]],Table1[[#This Row],[Month]],Table1[[#This Row],[Day]])</f>
        <v>44880</v>
      </c>
      <c r="C1411" s="3">
        <v>15</v>
      </c>
      <c r="D1411" s="3">
        <v>11</v>
      </c>
      <c r="E1411" s="3">
        <v>2022</v>
      </c>
      <c r="F1411" s="3" t="str">
        <f>"Qtr"&amp; " " &amp;CHOOSE(MONTH(Table1[[#This Row],[Date]]),1,1,1,2,2,2,3,3,3,4,4,4)</f>
        <v>Qtr 4</v>
      </c>
      <c r="G1411" s="3" t="str">
        <f>TEXT(Table1[[#This Row],[Date]],"mmmm")</f>
        <v>November</v>
      </c>
      <c r="H1411" s="3" t="s">
        <v>1082</v>
      </c>
      <c r="I1411" s="3" t="s">
        <v>39</v>
      </c>
      <c r="J1411" s="3">
        <v>1</v>
      </c>
      <c r="K1411" s="3">
        <v>53662.38</v>
      </c>
      <c r="L1411" s="3">
        <f>Table1[[#This Row],[Price Per Unit]]*Table1[[#This Row],[Units Sold]]</f>
        <v>53662.38</v>
      </c>
      <c r="M1411" s="3" t="s">
        <v>826</v>
      </c>
      <c r="N1411" s="3">
        <v>28</v>
      </c>
      <c r="O1411" s="3" t="s">
        <v>81</v>
      </c>
      <c r="P1411" s="3" t="s">
        <v>16</v>
      </c>
      <c r="Q1411" s="4">
        <v>3</v>
      </c>
      <c r="R1411" s="4" t="str">
        <f>IF(Table1[[#This Row],[Customer Ratings]]&gt;=4, "Good",IF(Table1[[#This Row],[Customer Ratings]]=3, "Average","Poor"))</f>
        <v>Average</v>
      </c>
      <c r="S1411" s="3" t="s">
        <v>42</v>
      </c>
    </row>
    <row r="1412" spans="1:19" x14ac:dyDescent="0.25">
      <c r="A1412" s="3">
        <v>1411</v>
      </c>
      <c r="B1412" s="5">
        <f>DATE(Table1[[#This Row],[Year]],Table1[[#This Row],[Month]],Table1[[#This Row],[Day]])</f>
        <v>44880</v>
      </c>
      <c r="C1412" s="3">
        <v>15</v>
      </c>
      <c r="D1412" s="3">
        <v>11</v>
      </c>
      <c r="E1412" s="3">
        <v>2022</v>
      </c>
      <c r="F1412" s="3" t="str">
        <f>"Qtr"&amp; " " &amp;CHOOSE(MONTH(Table1[[#This Row],[Date]]),1,1,1,2,2,2,3,3,3,4,4,4)</f>
        <v>Qtr 4</v>
      </c>
      <c r="G1412" s="3" t="str">
        <f>TEXT(Table1[[#This Row],[Date]],"mmmm")</f>
        <v>November</v>
      </c>
      <c r="H1412" s="3" t="s">
        <v>1082</v>
      </c>
      <c r="I1412" s="3" t="s">
        <v>28</v>
      </c>
      <c r="J1412" s="3">
        <v>1</v>
      </c>
      <c r="K1412" s="3">
        <v>50155.43</v>
      </c>
      <c r="L1412" s="3">
        <f>Table1[[#This Row],[Price Per Unit]]*Table1[[#This Row],[Units Sold]]</f>
        <v>50155.43</v>
      </c>
      <c r="M1412" s="3" t="s">
        <v>830</v>
      </c>
      <c r="N1412" s="3">
        <v>57</v>
      </c>
      <c r="O1412" s="3" t="s">
        <v>78</v>
      </c>
      <c r="P1412" s="3" t="s">
        <v>21</v>
      </c>
      <c r="Q1412" s="4">
        <v>3</v>
      </c>
      <c r="R1412" s="4" t="str">
        <f>IF(Table1[[#This Row],[Customer Ratings]]&gt;=4, "Good",IF(Table1[[#This Row],[Customer Ratings]]=3, "Average","Poor"))</f>
        <v>Average</v>
      </c>
      <c r="S1412" s="3" t="s">
        <v>87</v>
      </c>
    </row>
    <row r="1413" spans="1:19" x14ac:dyDescent="0.25">
      <c r="A1413" s="3">
        <v>1412</v>
      </c>
      <c r="B1413" s="5">
        <f>DATE(Table1[[#This Row],[Year]],Table1[[#This Row],[Month]],Table1[[#This Row],[Day]])</f>
        <v>44880</v>
      </c>
      <c r="C1413" s="3">
        <v>15</v>
      </c>
      <c r="D1413" s="3">
        <v>11</v>
      </c>
      <c r="E1413" s="3">
        <v>2022</v>
      </c>
      <c r="F1413" s="3" t="str">
        <f>"Qtr"&amp; " " &amp;CHOOSE(MONTH(Table1[[#This Row],[Date]]),1,1,1,2,2,2,3,3,3,4,4,4)</f>
        <v>Qtr 4</v>
      </c>
      <c r="G1413" s="3" t="str">
        <f>TEXT(Table1[[#This Row],[Date]],"mmmm")</f>
        <v>November</v>
      </c>
      <c r="H1413" s="3" t="s">
        <v>1082</v>
      </c>
      <c r="I1413" s="3" t="s">
        <v>13</v>
      </c>
      <c r="J1413" s="3">
        <v>3</v>
      </c>
      <c r="K1413" s="3">
        <v>14308.88</v>
      </c>
      <c r="L1413" s="3">
        <f>Table1[[#This Row],[Price Per Unit]]*Table1[[#This Row],[Units Sold]]</f>
        <v>42926.64</v>
      </c>
      <c r="M1413" s="3" t="s">
        <v>831</v>
      </c>
      <c r="N1413" s="3">
        <v>39</v>
      </c>
      <c r="O1413" s="3" t="s">
        <v>24</v>
      </c>
      <c r="P1413" s="3" t="s">
        <v>16</v>
      </c>
      <c r="Q1413" s="4">
        <v>5</v>
      </c>
      <c r="R1413" s="4" t="str">
        <f>IF(Table1[[#This Row],[Customer Ratings]]&gt;=4, "Good",IF(Table1[[#This Row],[Customer Ratings]]=3, "Average","Poor"))</f>
        <v>Good</v>
      </c>
      <c r="S1413" s="3" t="s">
        <v>17</v>
      </c>
    </row>
    <row r="1414" spans="1:19" x14ac:dyDescent="0.25">
      <c r="A1414" s="3">
        <v>1413</v>
      </c>
      <c r="B1414" s="5">
        <f>DATE(Table1[[#This Row],[Year]],Table1[[#This Row],[Month]],Table1[[#This Row],[Day]])</f>
        <v>44881</v>
      </c>
      <c r="C1414" s="3">
        <v>16</v>
      </c>
      <c r="D1414" s="3">
        <v>11</v>
      </c>
      <c r="E1414" s="3">
        <v>2022</v>
      </c>
      <c r="F1414" s="3" t="str">
        <f>"Qtr"&amp; " " &amp;CHOOSE(MONTH(Table1[[#This Row],[Date]]),1,1,1,2,2,2,3,3,3,4,4,4)</f>
        <v>Qtr 4</v>
      </c>
      <c r="G1414" s="3" t="str">
        <f>TEXT(Table1[[#This Row],[Date]],"mmmm")</f>
        <v>November</v>
      </c>
      <c r="H1414" s="3" t="s">
        <v>1083</v>
      </c>
      <c r="I1414" s="3" t="s">
        <v>28</v>
      </c>
      <c r="J1414" s="3">
        <v>3</v>
      </c>
      <c r="K1414" s="3">
        <v>54838.95</v>
      </c>
      <c r="L1414" s="3">
        <f>Table1[[#This Row],[Price Per Unit]]*Table1[[#This Row],[Units Sold]]</f>
        <v>164516.84999999998</v>
      </c>
      <c r="M1414" s="3" t="s">
        <v>229</v>
      </c>
      <c r="N1414" s="3">
        <v>52</v>
      </c>
      <c r="O1414" s="3" t="s">
        <v>20</v>
      </c>
      <c r="P1414" s="3" t="s">
        <v>16</v>
      </c>
      <c r="Q1414" s="4">
        <v>5</v>
      </c>
      <c r="R1414" s="4" t="str">
        <f>IF(Table1[[#This Row],[Customer Ratings]]&gt;=4, "Good",IF(Table1[[#This Row],[Customer Ratings]]=3, "Average","Poor"))</f>
        <v>Good</v>
      </c>
      <c r="S1414" s="3" t="s">
        <v>38</v>
      </c>
    </row>
    <row r="1415" spans="1:19" x14ac:dyDescent="0.25">
      <c r="A1415" s="3">
        <v>1414</v>
      </c>
      <c r="B1415" s="5">
        <f>DATE(Table1[[#This Row],[Year]],Table1[[#This Row],[Month]],Table1[[#This Row],[Day]])</f>
        <v>44881</v>
      </c>
      <c r="C1415" s="3">
        <v>16</v>
      </c>
      <c r="D1415" s="3">
        <v>11</v>
      </c>
      <c r="E1415" s="3">
        <v>2022</v>
      </c>
      <c r="F1415" s="3" t="str">
        <f>"Qtr"&amp; " " &amp;CHOOSE(MONTH(Table1[[#This Row],[Date]]),1,1,1,2,2,2,3,3,3,4,4,4)</f>
        <v>Qtr 4</v>
      </c>
      <c r="G1415" s="3" t="str">
        <f>TEXT(Table1[[#This Row],[Date]],"mmmm")</f>
        <v>November</v>
      </c>
      <c r="H1415" s="3" t="s">
        <v>1083</v>
      </c>
      <c r="I1415" s="3" t="s">
        <v>33</v>
      </c>
      <c r="J1415" s="3">
        <v>8</v>
      </c>
      <c r="K1415" s="3">
        <v>13182.75</v>
      </c>
      <c r="L1415" s="3">
        <f>Table1[[#This Row],[Price Per Unit]]*Table1[[#This Row],[Units Sold]]</f>
        <v>105462</v>
      </c>
      <c r="M1415" s="3" t="s">
        <v>661</v>
      </c>
      <c r="N1415" s="3">
        <v>23</v>
      </c>
      <c r="O1415" s="3" t="s">
        <v>20</v>
      </c>
      <c r="P1415" s="3" t="s">
        <v>31</v>
      </c>
      <c r="Q1415" s="4">
        <v>3</v>
      </c>
      <c r="R1415" s="4" t="str">
        <f>IF(Table1[[#This Row],[Customer Ratings]]&gt;=4, "Good",IF(Table1[[#This Row],[Customer Ratings]]=3, "Average","Poor"))</f>
        <v>Average</v>
      </c>
      <c r="S1415" s="3" t="s">
        <v>36</v>
      </c>
    </row>
    <row r="1416" spans="1:19" x14ac:dyDescent="0.25">
      <c r="A1416" s="3">
        <v>1415</v>
      </c>
      <c r="B1416" s="5">
        <f>DATE(Table1[[#This Row],[Year]],Table1[[#This Row],[Month]],Table1[[#This Row],[Day]])</f>
        <v>44881</v>
      </c>
      <c r="C1416" s="3">
        <v>16</v>
      </c>
      <c r="D1416" s="3">
        <v>11</v>
      </c>
      <c r="E1416" s="3">
        <v>2022</v>
      </c>
      <c r="F1416" s="3" t="str">
        <f>"Qtr"&amp; " " &amp;CHOOSE(MONTH(Table1[[#This Row],[Date]]),1,1,1,2,2,2,3,3,3,4,4,4)</f>
        <v>Qtr 4</v>
      </c>
      <c r="G1416" s="3" t="str">
        <f>TEXT(Table1[[#This Row],[Date]],"mmmm")</f>
        <v>November</v>
      </c>
      <c r="H1416" s="3" t="s">
        <v>1083</v>
      </c>
      <c r="I1416" s="3" t="s">
        <v>13</v>
      </c>
      <c r="J1416" s="3">
        <v>9</v>
      </c>
      <c r="K1416" s="3">
        <v>42575.58</v>
      </c>
      <c r="L1416" s="3">
        <f>Table1[[#This Row],[Price Per Unit]]*Table1[[#This Row],[Units Sold]]</f>
        <v>383180.22000000003</v>
      </c>
      <c r="M1416" s="3" t="s">
        <v>343</v>
      </c>
      <c r="N1416" s="3">
        <v>45</v>
      </c>
      <c r="O1416" s="3" t="s">
        <v>20</v>
      </c>
      <c r="P1416" s="3" t="s">
        <v>16</v>
      </c>
      <c r="Q1416" s="4">
        <v>4</v>
      </c>
      <c r="R1416" s="4" t="str">
        <f>IF(Table1[[#This Row],[Customer Ratings]]&gt;=4, "Good",IF(Table1[[#This Row],[Customer Ratings]]=3, "Average","Poor"))</f>
        <v>Good</v>
      </c>
      <c r="S1416" s="3" t="s">
        <v>72</v>
      </c>
    </row>
    <row r="1417" spans="1:19" x14ac:dyDescent="0.25">
      <c r="A1417" s="3">
        <v>1416</v>
      </c>
      <c r="B1417" s="5">
        <f>DATE(Table1[[#This Row],[Year]],Table1[[#This Row],[Month]],Table1[[#This Row],[Day]])</f>
        <v>44882</v>
      </c>
      <c r="C1417" s="3">
        <v>17</v>
      </c>
      <c r="D1417" s="3">
        <v>11</v>
      </c>
      <c r="E1417" s="3">
        <v>2022</v>
      </c>
      <c r="F1417" s="3" t="str">
        <f>"Qtr"&amp; " " &amp;CHOOSE(MONTH(Table1[[#This Row],[Date]]),1,1,1,2,2,2,3,3,3,4,4,4)</f>
        <v>Qtr 4</v>
      </c>
      <c r="G1417" s="3" t="str">
        <f>TEXT(Table1[[#This Row],[Date]],"mmmm")</f>
        <v>November</v>
      </c>
      <c r="H1417" s="3" t="s">
        <v>1084</v>
      </c>
      <c r="I1417" s="3" t="s">
        <v>13</v>
      </c>
      <c r="J1417" s="3">
        <v>1</v>
      </c>
      <c r="K1417" s="3">
        <v>25603.759999999998</v>
      </c>
      <c r="L1417" s="3">
        <f>Table1[[#This Row],[Price Per Unit]]*Table1[[#This Row],[Units Sold]]</f>
        <v>25603.759999999998</v>
      </c>
      <c r="M1417" s="3" t="s">
        <v>274</v>
      </c>
      <c r="N1417" s="3">
        <v>48</v>
      </c>
      <c r="O1417" s="3" t="s">
        <v>137</v>
      </c>
      <c r="P1417" s="3" t="s">
        <v>16</v>
      </c>
      <c r="Q1417" s="4">
        <v>1</v>
      </c>
      <c r="R1417" s="4" t="str">
        <f>IF(Table1[[#This Row],[Customer Ratings]]&gt;=4, "Good",IF(Table1[[#This Row],[Customer Ratings]]=3, "Average","Poor"))</f>
        <v>Poor</v>
      </c>
      <c r="S1417" s="3" t="s">
        <v>17</v>
      </c>
    </row>
    <row r="1418" spans="1:19" x14ac:dyDescent="0.25">
      <c r="A1418" s="3">
        <v>1417</v>
      </c>
      <c r="B1418" s="5">
        <f>DATE(Table1[[#This Row],[Year]],Table1[[#This Row],[Month]],Table1[[#This Row],[Day]])</f>
        <v>44882</v>
      </c>
      <c r="C1418" s="3">
        <v>17</v>
      </c>
      <c r="D1418" s="3">
        <v>11</v>
      </c>
      <c r="E1418" s="3">
        <v>2022</v>
      </c>
      <c r="F1418" s="3" t="str">
        <f>"Qtr"&amp; " " &amp;CHOOSE(MONTH(Table1[[#This Row],[Date]]),1,1,1,2,2,2,3,3,3,4,4,4)</f>
        <v>Qtr 4</v>
      </c>
      <c r="G1418" s="3" t="str">
        <f>TEXT(Table1[[#This Row],[Date]],"mmmm")</f>
        <v>November</v>
      </c>
      <c r="H1418" s="3" t="s">
        <v>1084</v>
      </c>
      <c r="I1418" s="3" t="s">
        <v>39</v>
      </c>
      <c r="J1418" s="3">
        <v>2</v>
      </c>
      <c r="K1418" s="3">
        <v>45261.41</v>
      </c>
      <c r="L1418" s="3">
        <f>Table1[[#This Row],[Price Per Unit]]*Table1[[#This Row],[Units Sold]]</f>
        <v>90522.82</v>
      </c>
      <c r="M1418" s="3" t="s">
        <v>169</v>
      </c>
      <c r="N1418" s="3">
        <v>25</v>
      </c>
      <c r="O1418" s="3" t="s">
        <v>20</v>
      </c>
      <c r="P1418" s="3" t="s">
        <v>31</v>
      </c>
      <c r="Q1418" s="4">
        <v>5</v>
      </c>
      <c r="R1418" s="4" t="str">
        <f>IF(Table1[[#This Row],[Customer Ratings]]&gt;=4, "Good",IF(Table1[[#This Row],[Customer Ratings]]=3, "Average","Poor"))</f>
        <v>Good</v>
      </c>
      <c r="S1418" s="3" t="s">
        <v>90</v>
      </c>
    </row>
    <row r="1419" spans="1:19" x14ac:dyDescent="0.25">
      <c r="A1419" s="3">
        <v>1418</v>
      </c>
      <c r="B1419" s="5">
        <f>DATE(Table1[[#This Row],[Year]],Table1[[#This Row],[Month]],Table1[[#This Row],[Day]])</f>
        <v>44882</v>
      </c>
      <c r="C1419" s="3">
        <v>17</v>
      </c>
      <c r="D1419" s="3">
        <v>11</v>
      </c>
      <c r="E1419" s="3">
        <v>2022</v>
      </c>
      <c r="F1419" s="3" t="str">
        <f>"Qtr"&amp; " " &amp;CHOOSE(MONTH(Table1[[#This Row],[Date]]),1,1,1,2,2,2,3,3,3,4,4,4)</f>
        <v>Qtr 4</v>
      </c>
      <c r="G1419" s="3" t="str">
        <f>TEXT(Table1[[#This Row],[Date]],"mmmm")</f>
        <v>November</v>
      </c>
      <c r="H1419" s="3" t="s">
        <v>1084</v>
      </c>
      <c r="I1419" s="3" t="s">
        <v>18</v>
      </c>
      <c r="J1419" s="3">
        <v>2</v>
      </c>
      <c r="K1419" s="3">
        <v>25679.7</v>
      </c>
      <c r="L1419" s="3">
        <f>Table1[[#This Row],[Price Per Unit]]*Table1[[#This Row],[Units Sold]]</f>
        <v>51359.4</v>
      </c>
      <c r="M1419" s="3" t="s">
        <v>560</v>
      </c>
      <c r="N1419" s="3">
        <v>22</v>
      </c>
      <c r="O1419" s="3" t="s">
        <v>30</v>
      </c>
      <c r="P1419" s="3" t="s">
        <v>21</v>
      </c>
      <c r="Q1419" s="4">
        <v>3</v>
      </c>
      <c r="R1419" s="4" t="str">
        <f>IF(Table1[[#This Row],[Customer Ratings]]&gt;=4, "Good",IF(Table1[[#This Row],[Customer Ratings]]=3, "Average","Poor"))</f>
        <v>Average</v>
      </c>
      <c r="S1419" s="3" t="s">
        <v>55</v>
      </c>
    </row>
    <row r="1420" spans="1:19" x14ac:dyDescent="0.25">
      <c r="A1420" s="3">
        <v>1419</v>
      </c>
      <c r="B1420" s="5">
        <f>DATE(Table1[[#This Row],[Year]],Table1[[#This Row],[Month]],Table1[[#This Row],[Day]])</f>
        <v>44882</v>
      </c>
      <c r="C1420" s="3">
        <v>17</v>
      </c>
      <c r="D1420" s="3">
        <v>11</v>
      </c>
      <c r="E1420" s="3">
        <v>2022</v>
      </c>
      <c r="F1420" s="3" t="str">
        <f>"Qtr"&amp; " " &amp;CHOOSE(MONTH(Table1[[#This Row],[Date]]),1,1,1,2,2,2,3,3,3,4,4,4)</f>
        <v>Qtr 4</v>
      </c>
      <c r="G1420" s="3" t="str">
        <f>TEXT(Table1[[#This Row],[Date]],"mmmm")</f>
        <v>November</v>
      </c>
      <c r="H1420" s="3" t="s">
        <v>1084</v>
      </c>
      <c r="I1420" s="3" t="s">
        <v>13</v>
      </c>
      <c r="J1420" s="3">
        <v>4</v>
      </c>
      <c r="K1420" s="3">
        <v>69097.48</v>
      </c>
      <c r="L1420" s="3">
        <f>Table1[[#This Row],[Price Per Unit]]*Table1[[#This Row],[Units Sold]]</f>
        <v>276389.92</v>
      </c>
      <c r="M1420" s="3" t="s">
        <v>542</v>
      </c>
      <c r="N1420" s="3">
        <v>59</v>
      </c>
      <c r="O1420" s="3" t="s">
        <v>35</v>
      </c>
      <c r="P1420" s="3" t="s">
        <v>45</v>
      </c>
      <c r="Q1420" s="4">
        <v>5</v>
      </c>
      <c r="R1420" s="4" t="str">
        <f>IF(Table1[[#This Row],[Customer Ratings]]&gt;=4, "Good",IF(Table1[[#This Row],[Customer Ratings]]=3, "Average","Poor"))</f>
        <v>Good</v>
      </c>
      <c r="S1420" s="3" t="s">
        <v>27</v>
      </c>
    </row>
    <row r="1421" spans="1:19" x14ac:dyDescent="0.25">
      <c r="A1421" s="3">
        <v>1420</v>
      </c>
      <c r="B1421" s="5">
        <f>DATE(Table1[[#This Row],[Year]],Table1[[#This Row],[Month]],Table1[[#This Row],[Day]])</f>
        <v>44883</v>
      </c>
      <c r="C1421" s="3">
        <v>18</v>
      </c>
      <c r="D1421" s="3">
        <v>11</v>
      </c>
      <c r="E1421" s="3">
        <v>2022</v>
      </c>
      <c r="F1421" s="3" t="str">
        <f>"Qtr"&amp; " " &amp;CHOOSE(MONTH(Table1[[#This Row],[Date]]),1,1,1,2,2,2,3,3,3,4,4,4)</f>
        <v>Qtr 4</v>
      </c>
      <c r="G1421" s="3" t="str">
        <f>TEXT(Table1[[#This Row],[Date]],"mmmm")</f>
        <v>November</v>
      </c>
      <c r="H1421" s="3" t="s">
        <v>1085</v>
      </c>
      <c r="I1421" s="3" t="s">
        <v>18</v>
      </c>
      <c r="J1421" s="3">
        <v>2</v>
      </c>
      <c r="K1421" s="3">
        <v>28583.69</v>
      </c>
      <c r="L1421" s="3">
        <f>Table1[[#This Row],[Price Per Unit]]*Table1[[#This Row],[Units Sold]]</f>
        <v>57167.38</v>
      </c>
      <c r="M1421" s="3" t="s">
        <v>832</v>
      </c>
      <c r="N1421" s="3">
        <v>34</v>
      </c>
      <c r="O1421" s="3" t="s">
        <v>35</v>
      </c>
      <c r="P1421" s="3" t="s">
        <v>16</v>
      </c>
      <c r="Q1421" s="4">
        <v>5</v>
      </c>
      <c r="R1421" s="4" t="str">
        <f>IF(Table1[[#This Row],[Customer Ratings]]&gt;=4, "Good",IF(Table1[[#This Row],[Customer Ratings]]=3, "Average","Poor"))</f>
        <v>Good</v>
      </c>
      <c r="S1421" s="3" t="s">
        <v>55</v>
      </c>
    </row>
    <row r="1422" spans="1:19" x14ac:dyDescent="0.25">
      <c r="A1422" s="3">
        <v>1421</v>
      </c>
      <c r="B1422" s="5">
        <f>DATE(Table1[[#This Row],[Year]],Table1[[#This Row],[Month]],Table1[[#This Row],[Day]])</f>
        <v>44883</v>
      </c>
      <c r="C1422" s="3">
        <v>18</v>
      </c>
      <c r="D1422" s="3">
        <v>11</v>
      </c>
      <c r="E1422" s="3">
        <v>2022</v>
      </c>
      <c r="F1422" s="3" t="str">
        <f>"Qtr"&amp; " " &amp;CHOOSE(MONTH(Table1[[#This Row],[Date]]),1,1,1,2,2,2,3,3,3,4,4,4)</f>
        <v>Qtr 4</v>
      </c>
      <c r="G1422" s="3" t="str">
        <f>TEXT(Table1[[#This Row],[Date]],"mmmm")</f>
        <v>November</v>
      </c>
      <c r="H1422" s="3" t="s">
        <v>1085</v>
      </c>
      <c r="I1422" s="3" t="s">
        <v>28</v>
      </c>
      <c r="J1422" s="3">
        <v>7</v>
      </c>
      <c r="K1422" s="3">
        <v>24517.64</v>
      </c>
      <c r="L1422" s="3">
        <f>Table1[[#This Row],[Price Per Unit]]*Table1[[#This Row],[Units Sold]]</f>
        <v>171623.47999999998</v>
      </c>
      <c r="M1422" s="3" t="s">
        <v>833</v>
      </c>
      <c r="N1422" s="3">
        <v>55</v>
      </c>
      <c r="O1422" s="3" t="s">
        <v>24</v>
      </c>
      <c r="P1422" s="3" t="s">
        <v>31</v>
      </c>
      <c r="Q1422" s="4">
        <v>1</v>
      </c>
      <c r="R1422" s="4" t="str">
        <f>IF(Table1[[#This Row],[Customer Ratings]]&gt;=4, "Good",IF(Table1[[#This Row],[Customer Ratings]]=3, "Average","Poor"))</f>
        <v>Poor</v>
      </c>
      <c r="S1422" s="3" t="s">
        <v>87</v>
      </c>
    </row>
    <row r="1423" spans="1:19" x14ac:dyDescent="0.25">
      <c r="A1423" s="3">
        <v>1422</v>
      </c>
      <c r="B1423" s="5">
        <f>DATE(Table1[[#This Row],[Year]],Table1[[#This Row],[Month]],Table1[[#This Row],[Day]])</f>
        <v>44883</v>
      </c>
      <c r="C1423" s="3">
        <v>18</v>
      </c>
      <c r="D1423" s="3">
        <v>11</v>
      </c>
      <c r="E1423" s="3">
        <v>2022</v>
      </c>
      <c r="F1423" s="3" t="str">
        <f>"Qtr"&amp; " " &amp;CHOOSE(MONTH(Table1[[#This Row],[Date]]),1,1,1,2,2,2,3,3,3,4,4,4)</f>
        <v>Qtr 4</v>
      </c>
      <c r="G1423" s="3" t="str">
        <f>TEXT(Table1[[#This Row],[Date]],"mmmm")</f>
        <v>November</v>
      </c>
      <c r="H1423" s="3" t="s">
        <v>1085</v>
      </c>
      <c r="I1423" s="3" t="s">
        <v>33</v>
      </c>
      <c r="J1423" s="3">
        <v>9</v>
      </c>
      <c r="K1423" s="3">
        <v>26707.919999999998</v>
      </c>
      <c r="L1423" s="3">
        <f>Table1[[#This Row],[Price Per Unit]]*Table1[[#This Row],[Units Sold]]</f>
        <v>240371.27999999997</v>
      </c>
      <c r="M1423" s="3" t="s">
        <v>834</v>
      </c>
      <c r="N1423" s="3">
        <v>26</v>
      </c>
      <c r="O1423" s="3" t="s">
        <v>24</v>
      </c>
      <c r="P1423" s="3" t="s">
        <v>21</v>
      </c>
      <c r="Q1423" s="4">
        <v>5</v>
      </c>
      <c r="R1423" s="4" t="str">
        <f>IF(Table1[[#This Row],[Customer Ratings]]&gt;=4, "Good",IF(Table1[[#This Row],[Customer Ratings]]=3, "Average","Poor"))</f>
        <v>Good</v>
      </c>
      <c r="S1423" s="3" t="s">
        <v>36</v>
      </c>
    </row>
    <row r="1424" spans="1:19" x14ac:dyDescent="0.25">
      <c r="A1424" s="3">
        <v>1423</v>
      </c>
      <c r="B1424" s="5">
        <f>DATE(Table1[[#This Row],[Year]],Table1[[#This Row],[Month]],Table1[[#This Row],[Day]])</f>
        <v>44883</v>
      </c>
      <c r="C1424" s="3">
        <v>18</v>
      </c>
      <c r="D1424" s="3">
        <v>11</v>
      </c>
      <c r="E1424" s="3">
        <v>2022</v>
      </c>
      <c r="F1424" s="3" t="str">
        <f>"Qtr"&amp; " " &amp;CHOOSE(MONTH(Table1[[#This Row],[Date]]),1,1,1,2,2,2,3,3,3,4,4,4)</f>
        <v>Qtr 4</v>
      </c>
      <c r="G1424" s="3" t="str">
        <f>TEXT(Table1[[#This Row],[Date]],"mmmm")</f>
        <v>November</v>
      </c>
      <c r="H1424" s="3" t="s">
        <v>1085</v>
      </c>
      <c r="I1424" s="3" t="s">
        <v>39</v>
      </c>
      <c r="J1424" s="3">
        <v>7</v>
      </c>
      <c r="K1424" s="3">
        <v>63788.37</v>
      </c>
      <c r="L1424" s="3">
        <f>Table1[[#This Row],[Price Per Unit]]*Table1[[#This Row],[Units Sold]]</f>
        <v>446518.59</v>
      </c>
      <c r="M1424" s="3" t="s">
        <v>278</v>
      </c>
      <c r="N1424" s="3">
        <v>27</v>
      </c>
      <c r="O1424" s="3" t="s">
        <v>35</v>
      </c>
      <c r="P1424" s="3" t="s">
        <v>16</v>
      </c>
      <c r="Q1424" s="4">
        <v>1</v>
      </c>
      <c r="R1424" s="4" t="str">
        <f>IF(Table1[[#This Row],[Customer Ratings]]&gt;=4, "Good",IF(Table1[[#This Row],[Customer Ratings]]=3, "Average","Poor"))</f>
        <v>Poor</v>
      </c>
      <c r="S1424" s="3" t="s">
        <v>90</v>
      </c>
    </row>
    <row r="1425" spans="1:19" x14ac:dyDescent="0.25">
      <c r="A1425" s="3">
        <v>1424</v>
      </c>
      <c r="B1425" s="5">
        <f>DATE(Table1[[#This Row],[Year]],Table1[[#This Row],[Month]],Table1[[#This Row],[Day]])</f>
        <v>44884</v>
      </c>
      <c r="C1425" s="3">
        <v>19</v>
      </c>
      <c r="D1425" s="3">
        <v>11</v>
      </c>
      <c r="E1425" s="3">
        <v>2022</v>
      </c>
      <c r="F1425" s="3" t="str">
        <f>"Qtr"&amp; " " &amp;CHOOSE(MONTH(Table1[[#This Row],[Date]]),1,1,1,2,2,2,3,3,3,4,4,4)</f>
        <v>Qtr 4</v>
      </c>
      <c r="G1425" s="3" t="str">
        <f>TEXT(Table1[[#This Row],[Date]],"mmmm")</f>
        <v>November</v>
      </c>
      <c r="H1425" s="3" t="s">
        <v>1079</v>
      </c>
      <c r="I1425" s="3" t="s">
        <v>18</v>
      </c>
      <c r="J1425" s="3">
        <v>6</v>
      </c>
      <c r="K1425" s="3">
        <v>48173.13</v>
      </c>
      <c r="L1425" s="3">
        <f>Table1[[#This Row],[Price Per Unit]]*Table1[[#This Row],[Units Sold]]</f>
        <v>289038.77999999997</v>
      </c>
      <c r="M1425" s="3" t="s">
        <v>666</v>
      </c>
      <c r="N1425" s="3">
        <v>37</v>
      </c>
      <c r="O1425" s="3" t="s">
        <v>24</v>
      </c>
      <c r="P1425" s="3" t="s">
        <v>45</v>
      </c>
      <c r="Q1425" s="4">
        <v>1</v>
      </c>
      <c r="R1425" s="4" t="str">
        <f>IF(Table1[[#This Row],[Customer Ratings]]&gt;=4, "Good",IF(Table1[[#This Row],[Customer Ratings]]=3, "Average","Poor"))</f>
        <v>Poor</v>
      </c>
      <c r="S1425" s="3" t="s">
        <v>25</v>
      </c>
    </row>
    <row r="1426" spans="1:19" x14ac:dyDescent="0.25">
      <c r="A1426" s="3">
        <v>1425</v>
      </c>
      <c r="B1426" s="5">
        <f>DATE(Table1[[#This Row],[Year]],Table1[[#This Row],[Month]],Table1[[#This Row],[Day]])</f>
        <v>44884</v>
      </c>
      <c r="C1426" s="3">
        <v>19</v>
      </c>
      <c r="D1426" s="3">
        <v>11</v>
      </c>
      <c r="E1426" s="3">
        <v>2022</v>
      </c>
      <c r="F1426" s="3" t="str">
        <f>"Qtr"&amp; " " &amp;CHOOSE(MONTH(Table1[[#This Row],[Date]]),1,1,1,2,2,2,3,3,3,4,4,4)</f>
        <v>Qtr 4</v>
      </c>
      <c r="G1426" s="3" t="str">
        <f>TEXT(Table1[[#This Row],[Date]],"mmmm")</f>
        <v>November</v>
      </c>
      <c r="H1426" s="3" t="s">
        <v>1079</v>
      </c>
      <c r="I1426" s="3" t="s">
        <v>13</v>
      </c>
      <c r="J1426" s="3">
        <v>1</v>
      </c>
      <c r="K1426" s="3">
        <v>53841.05</v>
      </c>
      <c r="L1426" s="3">
        <f>Table1[[#This Row],[Price Per Unit]]*Table1[[#This Row],[Units Sold]]</f>
        <v>53841.05</v>
      </c>
      <c r="M1426" s="3" t="s">
        <v>762</v>
      </c>
      <c r="N1426" s="3">
        <v>31</v>
      </c>
      <c r="O1426" s="3" t="s">
        <v>125</v>
      </c>
      <c r="P1426" s="3" t="s">
        <v>21</v>
      </c>
      <c r="Q1426" s="4">
        <v>5</v>
      </c>
      <c r="R1426" s="4" t="str">
        <f>IF(Table1[[#This Row],[Customer Ratings]]&gt;=4, "Good",IF(Table1[[#This Row],[Customer Ratings]]=3, "Average","Poor"))</f>
        <v>Good</v>
      </c>
      <c r="S1426" s="3" t="s">
        <v>17</v>
      </c>
    </row>
    <row r="1427" spans="1:19" x14ac:dyDescent="0.25">
      <c r="A1427" s="3">
        <v>1426</v>
      </c>
      <c r="B1427" s="5">
        <f>DATE(Table1[[#This Row],[Year]],Table1[[#This Row],[Month]],Table1[[#This Row],[Day]])</f>
        <v>44884</v>
      </c>
      <c r="C1427" s="3">
        <v>19</v>
      </c>
      <c r="D1427" s="3">
        <v>11</v>
      </c>
      <c r="E1427" s="3">
        <v>2022</v>
      </c>
      <c r="F1427" s="3" t="str">
        <f>"Qtr"&amp; " " &amp;CHOOSE(MONTH(Table1[[#This Row],[Date]]),1,1,1,2,2,2,3,3,3,4,4,4)</f>
        <v>Qtr 4</v>
      </c>
      <c r="G1427" s="3" t="str">
        <f>TEXT(Table1[[#This Row],[Date]],"mmmm")</f>
        <v>November</v>
      </c>
      <c r="H1427" s="3" t="s">
        <v>1079</v>
      </c>
      <c r="I1427" s="3" t="s">
        <v>18</v>
      </c>
      <c r="J1427" s="3">
        <v>9</v>
      </c>
      <c r="K1427" s="3">
        <v>65080.63</v>
      </c>
      <c r="L1427" s="3">
        <f>Table1[[#This Row],[Price Per Unit]]*Table1[[#This Row],[Units Sold]]</f>
        <v>585725.66999999993</v>
      </c>
      <c r="M1427" s="3" t="s">
        <v>70</v>
      </c>
      <c r="N1427" s="3">
        <v>31</v>
      </c>
      <c r="O1427" s="3" t="s">
        <v>58</v>
      </c>
      <c r="P1427" s="3" t="s">
        <v>31</v>
      </c>
      <c r="Q1427" s="4">
        <v>1</v>
      </c>
      <c r="R1427" s="4" t="str">
        <f>IF(Table1[[#This Row],[Customer Ratings]]&gt;=4, "Good",IF(Table1[[#This Row],[Customer Ratings]]=3, "Average","Poor"))</f>
        <v>Poor</v>
      </c>
      <c r="S1427" s="3" t="s">
        <v>55</v>
      </c>
    </row>
    <row r="1428" spans="1:19" x14ac:dyDescent="0.25">
      <c r="A1428" s="3">
        <v>1427</v>
      </c>
      <c r="B1428" s="5">
        <f>DATE(Table1[[#This Row],[Year]],Table1[[#This Row],[Month]],Table1[[#This Row],[Day]])</f>
        <v>44884</v>
      </c>
      <c r="C1428" s="3">
        <v>19</v>
      </c>
      <c r="D1428" s="3">
        <v>11</v>
      </c>
      <c r="E1428" s="3">
        <v>2022</v>
      </c>
      <c r="F1428" s="3" t="str">
        <f>"Qtr"&amp; " " &amp;CHOOSE(MONTH(Table1[[#This Row],[Date]]),1,1,1,2,2,2,3,3,3,4,4,4)</f>
        <v>Qtr 4</v>
      </c>
      <c r="G1428" s="3" t="str">
        <f>TEXT(Table1[[#This Row],[Date]],"mmmm")</f>
        <v>November</v>
      </c>
      <c r="H1428" s="3" t="s">
        <v>1079</v>
      </c>
      <c r="I1428" s="3" t="s">
        <v>13</v>
      </c>
      <c r="J1428" s="3">
        <v>5</v>
      </c>
      <c r="K1428" s="3">
        <v>64712.35</v>
      </c>
      <c r="L1428" s="3">
        <f>Table1[[#This Row],[Price Per Unit]]*Table1[[#This Row],[Units Sold]]</f>
        <v>323561.75</v>
      </c>
      <c r="M1428" s="3" t="s">
        <v>649</v>
      </c>
      <c r="N1428" s="3">
        <v>43</v>
      </c>
      <c r="O1428" s="3" t="s">
        <v>20</v>
      </c>
      <c r="P1428" s="3" t="s">
        <v>16</v>
      </c>
      <c r="Q1428" s="4">
        <v>5</v>
      </c>
      <c r="R1428" s="4" t="str">
        <f>IF(Table1[[#This Row],[Customer Ratings]]&gt;=4, "Good",IF(Table1[[#This Row],[Customer Ratings]]=3, "Average","Poor"))</f>
        <v>Good</v>
      </c>
      <c r="S1428" s="3" t="s">
        <v>27</v>
      </c>
    </row>
    <row r="1429" spans="1:19" x14ac:dyDescent="0.25">
      <c r="A1429" s="3">
        <v>1428</v>
      </c>
      <c r="B1429" s="5">
        <f>DATE(Table1[[#This Row],[Year]],Table1[[#This Row],[Month]],Table1[[#This Row],[Day]])</f>
        <v>44885</v>
      </c>
      <c r="C1429" s="3">
        <v>20</v>
      </c>
      <c r="D1429" s="3">
        <v>11</v>
      </c>
      <c r="E1429" s="3">
        <v>2022</v>
      </c>
      <c r="F1429" s="3" t="str">
        <f>"Qtr"&amp; " " &amp;CHOOSE(MONTH(Table1[[#This Row],[Date]]),1,1,1,2,2,2,3,3,3,4,4,4)</f>
        <v>Qtr 4</v>
      </c>
      <c r="G1429" s="3" t="str">
        <f>TEXT(Table1[[#This Row],[Date]],"mmmm")</f>
        <v>November</v>
      </c>
      <c r="H1429" s="3" t="s">
        <v>1080</v>
      </c>
      <c r="I1429" s="3" t="s">
        <v>18</v>
      </c>
      <c r="J1429" s="3">
        <v>5</v>
      </c>
      <c r="K1429" s="3">
        <v>54336.75</v>
      </c>
      <c r="L1429" s="3">
        <f>Table1[[#This Row],[Price Per Unit]]*Table1[[#This Row],[Units Sold]]</f>
        <v>271683.75</v>
      </c>
      <c r="M1429" s="3" t="s">
        <v>678</v>
      </c>
      <c r="N1429" s="3">
        <v>46</v>
      </c>
      <c r="O1429" s="3" t="s">
        <v>20</v>
      </c>
      <c r="P1429" s="3" t="s">
        <v>31</v>
      </c>
      <c r="Q1429" s="4">
        <v>5</v>
      </c>
      <c r="R1429" s="4" t="str">
        <f>IF(Table1[[#This Row],[Customer Ratings]]&gt;=4, "Good",IF(Table1[[#This Row],[Customer Ratings]]=3, "Average","Poor"))</f>
        <v>Good</v>
      </c>
      <c r="S1429" s="3" t="s">
        <v>25</v>
      </c>
    </row>
    <row r="1430" spans="1:19" x14ac:dyDescent="0.25">
      <c r="A1430" s="3">
        <v>1429</v>
      </c>
      <c r="B1430" s="5">
        <f>DATE(Table1[[#This Row],[Year]],Table1[[#This Row],[Month]],Table1[[#This Row],[Day]])</f>
        <v>44885</v>
      </c>
      <c r="C1430" s="3">
        <v>20</v>
      </c>
      <c r="D1430" s="3">
        <v>11</v>
      </c>
      <c r="E1430" s="3">
        <v>2022</v>
      </c>
      <c r="F1430" s="3" t="str">
        <f>"Qtr"&amp; " " &amp;CHOOSE(MONTH(Table1[[#This Row],[Date]]),1,1,1,2,2,2,3,3,3,4,4,4)</f>
        <v>Qtr 4</v>
      </c>
      <c r="G1430" s="3" t="str">
        <f>TEXT(Table1[[#This Row],[Date]],"mmmm")</f>
        <v>November</v>
      </c>
      <c r="H1430" s="3" t="s">
        <v>1080</v>
      </c>
      <c r="I1430" s="3" t="s">
        <v>13</v>
      </c>
      <c r="J1430" s="3">
        <v>6</v>
      </c>
      <c r="K1430" s="3">
        <v>21869.47</v>
      </c>
      <c r="L1430" s="3">
        <f>Table1[[#This Row],[Price Per Unit]]*Table1[[#This Row],[Units Sold]]</f>
        <v>131216.82</v>
      </c>
      <c r="M1430" s="3" t="s">
        <v>835</v>
      </c>
      <c r="N1430" s="3">
        <v>44</v>
      </c>
      <c r="O1430" s="3" t="s">
        <v>20</v>
      </c>
      <c r="P1430" s="3" t="s">
        <v>45</v>
      </c>
      <c r="Q1430" s="4">
        <v>4</v>
      </c>
      <c r="R1430" s="4" t="str">
        <f>IF(Table1[[#This Row],[Customer Ratings]]&gt;=4, "Good",IF(Table1[[#This Row],[Customer Ratings]]=3, "Average","Poor"))</f>
        <v>Good</v>
      </c>
      <c r="S1430" s="3" t="s">
        <v>27</v>
      </c>
    </row>
    <row r="1431" spans="1:19" x14ac:dyDescent="0.25">
      <c r="A1431" s="3">
        <v>1430</v>
      </c>
      <c r="B1431" s="5">
        <f>DATE(Table1[[#This Row],[Year]],Table1[[#This Row],[Month]],Table1[[#This Row],[Day]])</f>
        <v>44885</v>
      </c>
      <c r="C1431" s="3">
        <v>20</v>
      </c>
      <c r="D1431" s="3">
        <v>11</v>
      </c>
      <c r="E1431" s="3">
        <v>2022</v>
      </c>
      <c r="F1431" s="3" t="str">
        <f>"Qtr"&amp; " " &amp;CHOOSE(MONTH(Table1[[#This Row],[Date]]),1,1,1,2,2,2,3,3,3,4,4,4)</f>
        <v>Qtr 4</v>
      </c>
      <c r="G1431" s="3" t="str">
        <f>TEXT(Table1[[#This Row],[Date]],"mmmm")</f>
        <v>November</v>
      </c>
      <c r="H1431" s="3" t="s">
        <v>1080</v>
      </c>
      <c r="I1431" s="3" t="s">
        <v>28</v>
      </c>
      <c r="J1431" s="3">
        <v>9</v>
      </c>
      <c r="K1431" s="3">
        <v>60602.400000000001</v>
      </c>
      <c r="L1431" s="3">
        <f>Table1[[#This Row],[Price Per Unit]]*Table1[[#This Row],[Units Sold]]</f>
        <v>545421.6</v>
      </c>
      <c r="M1431" s="3" t="s">
        <v>141</v>
      </c>
      <c r="N1431" s="3">
        <v>42</v>
      </c>
      <c r="O1431" s="3" t="s">
        <v>20</v>
      </c>
      <c r="P1431" s="3" t="s">
        <v>45</v>
      </c>
      <c r="Q1431" s="4">
        <v>5</v>
      </c>
      <c r="R1431" s="4" t="str">
        <f>IF(Table1[[#This Row],[Customer Ratings]]&gt;=4, "Good",IF(Table1[[#This Row],[Customer Ratings]]=3, "Average","Poor"))</f>
        <v>Good</v>
      </c>
      <c r="S1431" s="3" t="s">
        <v>32</v>
      </c>
    </row>
    <row r="1432" spans="1:19" x14ac:dyDescent="0.25">
      <c r="A1432" s="3">
        <v>1431</v>
      </c>
      <c r="B1432" s="5">
        <f>DATE(Table1[[#This Row],[Year]],Table1[[#This Row],[Month]],Table1[[#This Row],[Day]])</f>
        <v>44885</v>
      </c>
      <c r="C1432" s="3">
        <v>20</v>
      </c>
      <c r="D1432" s="3">
        <v>11</v>
      </c>
      <c r="E1432" s="3">
        <v>2022</v>
      </c>
      <c r="F1432" s="3" t="str">
        <f>"Qtr"&amp; " " &amp;CHOOSE(MONTH(Table1[[#This Row],[Date]]),1,1,1,2,2,2,3,3,3,4,4,4)</f>
        <v>Qtr 4</v>
      </c>
      <c r="G1432" s="3" t="str">
        <f>TEXT(Table1[[#This Row],[Date]],"mmmm")</f>
        <v>November</v>
      </c>
      <c r="H1432" s="3" t="s">
        <v>1080</v>
      </c>
      <c r="I1432" s="3" t="s">
        <v>13</v>
      </c>
      <c r="J1432" s="3">
        <v>8</v>
      </c>
      <c r="K1432" s="3">
        <v>22226.560000000001</v>
      </c>
      <c r="L1432" s="3">
        <f>Table1[[#This Row],[Price Per Unit]]*Table1[[#This Row],[Units Sold]]</f>
        <v>177812.48000000001</v>
      </c>
      <c r="M1432" s="3" t="s">
        <v>136</v>
      </c>
      <c r="N1432" s="3">
        <v>33</v>
      </c>
      <c r="O1432" s="3" t="s">
        <v>54</v>
      </c>
      <c r="P1432" s="3" t="s">
        <v>31</v>
      </c>
      <c r="Q1432" s="4">
        <v>1</v>
      </c>
      <c r="R1432" s="4" t="str">
        <f>IF(Table1[[#This Row],[Customer Ratings]]&gt;=4, "Good",IF(Table1[[#This Row],[Customer Ratings]]=3, "Average","Poor"))</f>
        <v>Poor</v>
      </c>
      <c r="S1432" s="3" t="s">
        <v>17</v>
      </c>
    </row>
    <row r="1433" spans="1:19" x14ac:dyDescent="0.25">
      <c r="A1433" s="3">
        <v>1432</v>
      </c>
      <c r="B1433" s="5">
        <f>DATE(Table1[[#This Row],[Year]],Table1[[#This Row],[Month]],Table1[[#This Row],[Day]])</f>
        <v>44886</v>
      </c>
      <c r="C1433" s="3">
        <v>21</v>
      </c>
      <c r="D1433" s="3">
        <v>11</v>
      </c>
      <c r="E1433" s="3">
        <v>2022</v>
      </c>
      <c r="F1433" s="3" t="str">
        <f>"Qtr"&amp; " " &amp;CHOOSE(MONTH(Table1[[#This Row],[Date]]),1,1,1,2,2,2,3,3,3,4,4,4)</f>
        <v>Qtr 4</v>
      </c>
      <c r="G1433" s="3" t="str">
        <f>TEXT(Table1[[#This Row],[Date]],"mmmm")</f>
        <v>November</v>
      </c>
      <c r="H1433" s="3" t="s">
        <v>1081</v>
      </c>
      <c r="I1433" s="3" t="s">
        <v>13</v>
      </c>
      <c r="J1433" s="3">
        <v>8</v>
      </c>
      <c r="K1433" s="3">
        <v>54573.93</v>
      </c>
      <c r="L1433" s="3">
        <f>Table1[[#This Row],[Price Per Unit]]*Table1[[#This Row],[Units Sold]]</f>
        <v>436591.44</v>
      </c>
      <c r="M1433" s="3" t="s">
        <v>498</v>
      </c>
      <c r="N1433" s="3">
        <v>53</v>
      </c>
      <c r="O1433" s="3" t="s">
        <v>24</v>
      </c>
      <c r="P1433" s="3" t="s">
        <v>16</v>
      </c>
      <c r="Q1433" s="4">
        <v>5</v>
      </c>
      <c r="R1433" s="4" t="str">
        <f>IF(Table1[[#This Row],[Customer Ratings]]&gt;=4, "Good",IF(Table1[[#This Row],[Customer Ratings]]=3, "Average","Poor"))</f>
        <v>Good</v>
      </c>
      <c r="S1433" s="3" t="s">
        <v>27</v>
      </c>
    </row>
    <row r="1434" spans="1:19" x14ac:dyDescent="0.25">
      <c r="A1434" s="3">
        <v>1433</v>
      </c>
      <c r="B1434" s="5">
        <f>DATE(Table1[[#This Row],[Year]],Table1[[#This Row],[Month]],Table1[[#This Row],[Day]])</f>
        <v>44886</v>
      </c>
      <c r="C1434" s="3">
        <v>21</v>
      </c>
      <c r="D1434" s="3">
        <v>11</v>
      </c>
      <c r="E1434" s="3">
        <v>2022</v>
      </c>
      <c r="F1434" s="3" t="str">
        <f>"Qtr"&amp; " " &amp;CHOOSE(MONTH(Table1[[#This Row],[Date]]),1,1,1,2,2,2,3,3,3,4,4,4)</f>
        <v>Qtr 4</v>
      </c>
      <c r="G1434" s="3" t="str">
        <f>TEXT(Table1[[#This Row],[Date]],"mmmm")</f>
        <v>November</v>
      </c>
      <c r="H1434" s="3" t="s">
        <v>1081</v>
      </c>
      <c r="I1434" s="3" t="s">
        <v>33</v>
      </c>
      <c r="J1434" s="3">
        <v>8</v>
      </c>
      <c r="K1434" s="3">
        <v>51136.18</v>
      </c>
      <c r="L1434" s="3">
        <f>Table1[[#This Row],[Price Per Unit]]*Table1[[#This Row],[Units Sold]]</f>
        <v>409089.44</v>
      </c>
      <c r="M1434" s="3" t="s">
        <v>417</v>
      </c>
      <c r="N1434" s="3">
        <v>51</v>
      </c>
      <c r="O1434" s="3" t="s">
        <v>137</v>
      </c>
      <c r="P1434" s="3" t="s">
        <v>31</v>
      </c>
      <c r="Q1434" s="4">
        <v>1</v>
      </c>
      <c r="R1434" s="4" t="str">
        <f>IF(Table1[[#This Row],[Customer Ratings]]&gt;=4, "Good",IF(Table1[[#This Row],[Customer Ratings]]=3, "Average","Poor"))</f>
        <v>Poor</v>
      </c>
      <c r="S1434" s="3" t="s">
        <v>36</v>
      </c>
    </row>
    <row r="1435" spans="1:19" x14ac:dyDescent="0.25">
      <c r="A1435" s="3">
        <v>1434</v>
      </c>
      <c r="B1435" s="5">
        <f>DATE(Table1[[#This Row],[Year]],Table1[[#This Row],[Month]],Table1[[#This Row],[Day]])</f>
        <v>44886</v>
      </c>
      <c r="C1435" s="3">
        <v>21</v>
      </c>
      <c r="D1435" s="3">
        <v>11</v>
      </c>
      <c r="E1435" s="3">
        <v>2022</v>
      </c>
      <c r="F1435" s="3" t="str">
        <f>"Qtr"&amp; " " &amp;CHOOSE(MONTH(Table1[[#This Row],[Date]]),1,1,1,2,2,2,3,3,3,4,4,4)</f>
        <v>Qtr 4</v>
      </c>
      <c r="G1435" s="3" t="str">
        <f>TEXT(Table1[[#This Row],[Date]],"mmmm")</f>
        <v>November</v>
      </c>
      <c r="H1435" s="3" t="s">
        <v>1081</v>
      </c>
      <c r="I1435" s="3" t="s">
        <v>13</v>
      </c>
      <c r="J1435" s="3">
        <v>1</v>
      </c>
      <c r="K1435" s="3">
        <v>55533.33</v>
      </c>
      <c r="L1435" s="3">
        <f>Table1[[#This Row],[Price Per Unit]]*Table1[[#This Row],[Units Sold]]</f>
        <v>55533.33</v>
      </c>
      <c r="M1435" s="3" t="s">
        <v>174</v>
      </c>
      <c r="N1435" s="3">
        <v>33</v>
      </c>
      <c r="O1435" s="3" t="s">
        <v>20</v>
      </c>
      <c r="P1435" s="3" t="s">
        <v>21</v>
      </c>
      <c r="Q1435" s="4">
        <v>5</v>
      </c>
      <c r="R1435" s="4" t="str">
        <f>IF(Table1[[#This Row],[Customer Ratings]]&gt;=4, "Good",IF(Table1[[#This Row],[Customer Ratings]]=3, "Average","Poor"))</f>
        <v>Good</v>
      </c>
      <c r="S1435" s="3" t="s">
        <v>27</v>
      </c>
    </row>
    <row r="1436" spans="1:19" x14ac:dyDescent="0.25">
      <c r="A1436" s="3">
        <v>1435</v>
      </c>
      <c r="B1436" s="5">
        <f>DATE(Table1[[#This Row],[Year]],Table1[[#This Row],[Month]],Table1[[#This Row],[Day]])</f>
        <v>44886</v>
      </c>
      <c r="C1436" s="3">
        <v>21</v>
      </c>
      <c r="D1436" s="3">
        <v>11</v>
      </c>
      <c r="E1436" s="3">
        <v>2022</v>
      </c>
      <c r="F1436" s="3" t="str">
        <f>"Qtr"&amp; " " &amp;CHOOSE(MONTH(Table1[[#This Row],[Date]]),1,1,1,2,2,2,3,3,3,4,4,4)</f>
        <v>Qtr 4</v>
      </c>
      <c r="G1436" s="3" t="str">
        <f>TEXT(Table1[[#This Row],[Date]],"mmmm")</f>
        <v>November</v>
      </c>
      <c r="H1436" s="3" t="s">
        <v>1081</v>
      </c>
      <c r="I1436" s="3" t="s">
        <v>33</v>
      </c>
      <c r="J1436" s="3">
        <v>1</v>
      </c>
      <c r="K1436" s="3">
        <v>41961.14</v>
      </c>
      <c r="L1436" s="3">
        <f>Table1[[#This Row],[Price Per Unit]]*Table1[[#This Row],[Units Sold]]</f>
        <v>41961.14</v>
      </c>
      <c r="M1436" s="3" t="s">
        <v>373</v>
      </c>
      <c r="N1436" s="3">
        <v>50</v>
      </c>
      <c r="O1436" s="3" t="s">
        <v>65</v>
      </c>
      <c r="P1436" s="3" t="s">
        <v>31</v>
      </c>
      <c r="Q1436" s="4">
        <v>5</v>
      </c>
      <c r="R1436" s="4" t="str">
        <f>IF(Table1[[#This Row],[Customer Ratings]]&gt;=4, "Good",IF(Table1[[#This Row],[Customer Ratings]]=3, "Average","Poor"))</f>
        <v>Good</v>
      </c>
      <c r="S1436" s="3" t="s">
        <v>83</v>
      </c>
    </row>
    <row r="1437" spans="1:19" x14ac:dyDescent="0.25">
      <c r="A1437" s="3">
        <v>1436</v>
      </c>
      <c r="B1437" s="5">
        <f>DATE(Table1[[#This Row],[Year]],Table1[[#This Row],[Month]],Table1[[#This Row],[Day]])</f>
        <v>44887</v>
      </c>
      <c r="C1437" s="3">
        <v>22</v>
      </c>
      <c r="D1437" s="3">
        <v>11</v>
      </c>
      <c r="E1437" s="3">
        <v>2022</v>
      </c>
      <c r="F1437" s="3" t="str">
        <f>"Qtr"&amp; " " &amp;CHOOSE(MONTH(Table1[[#This Row],[Date]]),1,1,1,2,2,2,3,3,3,4,4,4)</f>
        <v>Qtr 4</v>
      </c>
      <c r="G1437" s="3" t="str">
        <f>TEXT(Table1[[#This Row],[Date]],"mmmm")</f>
        <v>November</v>
      </c>
      <c r="H1437" s="3" t="s">
        <v>1082</v>
      </c>
      <c r="I1437" s="3" t="s">
        <v>39</v>
      </c>
      <c r="J1437" s="3">
        <v>8</v>
      </c>
      <c r="K1437" s="3">
        <v>48323.57</v>
      </c>
      <c r="L1437" s="3">
        <f>Table1[[#This Row],[Price Per Unit]]*Table1[[#This Row],[Units Sold]]</f>
        <v>386588.56</v>
      </c>
      <c r="M1437" s="3" t="s">
        <v>341</v>
      </c>
      <c r="N1437" s="3">
        <v>20</v>
      </c>
      <c r="O1437" s="3" t="s">
        <v>52</v>
      </c>
      <c r="P1437" s="3" t="s">
        <v>45</v>
      </c>
      <c r="Q1437" s="4">
        <v>5</v>
      </c>
      <c r="R1437" s="4" t="str">
        <f>IF(Table1[[#This Row],[Customer Ratings]]&gt;=4, "Good",IF(Table1[[#This Row],[Customer Ratings]]=3, "Average","Poor"))</f>
        <v>Good</v>
      </c>
      <c r="S1437" s="3" t="s">
        <v>90</v>
      </c>
    </row>
    <row r="1438" spans="1:19" x14ac:dyDescent="0.25">
      <c r="A1438" s="3">
        <v>1437</v>
      </c>
      <c r="B1438" s="5">
        <f>DATE(Table1[[#This Row],[Year]],Table1[[#This Row],[Month]],Table1[[#This Row],[Day]])</f>
        <v>44887</v>
      </c>
      <c r="C1438" s="3">
        <v>22</v>
      </c>
      <c r="D1438" s="3">
        <v>11</v>
      </c>
      <c r="E1438" s="3">
        <v>2022</v>
      </c>
      <c r="F1438" s="3" t="str">
        <f>"Qtr"&amp; " " &amp;CHOOSE(MONTH(Table1[[#This Row],[Date]]),1,1,1,2,2,2,3,3,3,4,4,4)</f>
        <v>Qtr 4</v>
      </c>
      <c r="G1438" s="3" t="str">
        <f>TEXT(Table1[[#This Row],[Date]],"mmmm")</f>
        <v>November</v>
      </c>
      <c r="H1438" s="3" t="s">
        <v>1082</v>
      </c>
      <c r="I1438" s="3" t="s">
        <v>33</v>
      </c>
      <c r="J1438" s="3">
        <v>5</v>
      </c>
      <c r="K1438" s="3">
        <v>67199.199999999997</v>
      </c>
      <c r="L1438" s="3">
        <f>Table1[[#This Row],[Price Per Unit]]*Table1[[#This Row],[Units Sold]]</f>
        <v>335996</v>
      </c>
      <c r="M1438" s="3" t="s">
        <v>757</v>
      </c>
      <c r="N1438" s="3">
        <v>40</v>
      </c>
      <c r="O1438" s="3" t="s">
        <v>20</v>
      </c>
      <c r="P1438" s="3" t="s">
        <v>16</v>
      </c>
      <c r="Q1438" s="4">
        <v>5</v>
      </c>
      <c r="R1438" s="4" t="str">
        <f>IF(Table1[[#This Row],[Customer Ratings]]&gt;=4, "Good",IF(Table1[[#This Row],[Customer Ratings]]=3, "Average","Poor"))</f>
        <v>Good</v>
      </c>
      <c r="S1438" s="3" t="s">
        <v>36</v>
      </c>
    </row>
    <row r="1439" spans="1:19" x14ac:dyDescent="0.25">
      <c r="A1439" s="3">
        <v>1438</v>
      </c>
      <c r="B1439" s="5">
        <f>DATE(Table1[[#This Row],[Year]],Table1[[#This Row],[Month]],Table1[[#This Row],[Day]])</f>
        <v>44887</v>
      </c>
      <c r="C1439" s="3">
        <v>22</v>
      </c>
      <c r="D1439" s="3">
        <v>11</v>
      </c>
      <c r="E1439" s="3">
        <v>2022</v>
      </c>
      <c r="F1439" s="3" t="str">
        <f>"Qtr"&amp; " " &amp;CHOOSE(MONTH(Table1[[#This Row],[Date]]),1,1,1,2,2,2,3,3,3,4,4,4)</f>
        <v>Qtr 4</v>
      </c>
      <c r="G1439" s="3" t="str">
        <f>TEXT(Table1[[#This Row],[Date]],"mmmm")</f>
        <v>November</v>
      </c>
      <c r="H1439" s="3" t="s">
        <v>1082</v>
      </c>
      <c r="I1439" s="3" t="s">
        <v>28</v>
      </c>
      <c r="J1439" s="3">
        <v>9</v>
      </c>
      <c r="K1439" s="3">
        <v>16065.32</v>
      </c>
      <c r="L1439" s="3">
        <f>Table1[[#This Row],[Price Per Unit]]*Table1[[#This Row],[Units Sold]]</f>
        <v>144587.88</v>
      </c>
      <c r="M1439" s="3" t="s">
        <v>435</v>
      </c>
      <c r="N1439" s="3">
        <v>28</v>
      </c>
      <c r="O1439" s="3" t="s">
        <v>24</v>
      </c>
      <c r="P1439" s="3" t="s">
        <v>16</v>
      </c>
      <c r="Q1439" s="4">
        <v>1</v>
      </c>
      <c r="R1439" s="4" t="str">
        <f>IF(Table1[[#This Row],[Customer Ratings]]&gt;=4, "Good",IF(Table1[[#This Row],[Customer Ratings]]=3, "Average","Poor"))</f>
        <v>Poor</v>
      </c>
      <c r="S1439" s="3" t="s">
        <v>32</v>
      </c>
    </row>
    <row r="1440" spans="1:19" x14ac:dyDescent="0.25">
      <c r="A1440" s="3">
        <v>1439</v>
      </c>
      <c r="B1440" s="5">
        <f>DATE(Table1[[#This Row],[Year]],Table1[[#This Row],[Month]],Table1[[#This Row],[Day]])</f>
        <v>44887</v>
      </c>
      <c r="C1440" s="3">
        <v>22</v>
      </c>
      <c r="D1440" s="3">
        <v>11</v>
      </c>
      <c r="E1440" s="3">
        <v>2022</v>
      </c>
      <c r="F1440" s="3" t="str">
        <f>"Qtr"&amp; " " &amp;CHOOSE(MONTH(Table1[[#This Row],[Date]]),1,1,1,2,2,2,3,3,3,4,4,4)</f>
        <v>Qtr 4</v>
      </c>
      <c r="G1440" s="3" t="str">
        <f>TEXT(Table1[[#This Row],[Date]],"mmmm")</f>
        <v>November</v>
      </c>
      <c r="H1440" s="3" t="s">
        <v>1082</v>
      </c>
      <c r="I1440" s="3" t="s">
        <v>33</v>
      </c>
      <c r="J1440" s="3">
        <v>2</v>
      </c>
      <c r="K1440" s="3">
        <v>28530.84</v>
      </c>
      <c r="L1440" s="3">
        <f>Table1[[#This Row],[Price Per Unit]]*Table1[[#This Row],[Units Sold]]</f>
        <v>57061.68</v>
      </c>
      <c r="M1440" s="3" t="s">
        <v>768</v>
      </c>
      <c r="N1440" s="3">
        <v>35</v>
      </c>
      <c r="O1440" s="3" t="s">
        <v>41</v>
      </c>
      <c r="P1440" s="3" t="s">
        <v>45</v>
      </c>
      <c r="Q1440" s="4">
        <v>5</v>
      </c>
      <c r="R1440" s="4" t="str">
        <f>IF(Table1[[#This Row],[Customer Ratings]]&gt;=4, "Good",IF(Table1[[#This Row],[Customer Ratings]]=3, "Average","Poor"))</f>
        <v>Good</v>
      </c>
      <c r="S1440" s="3" t="s">
        <v>36</v>
      </c>
    </row>
    <row r="1441" spans="1:19" x14ac:dyDescent="0.25">
      <c r="A1441" s="3">
        <v>1440</v>
      </c>
      <c r="B1441" s="5">
        <f>DATE(Table1[[#This Row],[Year]],Table1[[#This Row],[Month]],Table1[[#This Row],[Day]])</f>
        <v>44888</v>
      </c>
      <c r="C1441" s="3">
        <v>23</v>
      </c>
      <c r="D1441" s="3">
        <v>11</v>
      </c>
      <c r="E1441" s="3">
        <v>2022</v>
      </c>
      <c r="F1441" s="3" t="str">
        <f>"Qtr"&amp; " " &amp;CHOOSE(MONTH(Table1[[#This Row],[Date]]),1,1,1,2,2,2,3,3,3,4,4,4)</f>
        <v>Qtr 4</v>
      </c>
      <c r="G1441" s="3" t="str">
        <f>TEXT(Table1[[#This Row],[Date]],"mmmm")</f>
        <v>November</v>
      </c>
      <c r="H1441" s="3" t="s">
        <v>1083</v>
      </c>
      <c r="I1441" s="3" t="s">
        <v>39</v>
      </c>
      <c r="J1441" s="3">
        <v>9</v>
      </c>
      <c r="K1441" s="3">
        <v>46681.42</v>
      </c>
      <c r="L1441" s="3">
        <f>Table1[[#This Row],[Price Per Unit]]*Table1[[#This Row],[Units Sold]]</f>
        <v>420132.77999999997</v>
      </c>
      <c r="M1441" s="3" t="s">
        <v>277</v>
      </c>
      <c r="N1441" s="3">
        <v>58</v>
      </c>
      <c r="O1441" s="3" t="s">
        <v>120</v>
      </c>
      <c r="P1441" s="3" t="s">
        <v>45</v>
      </c>
      <c r="Q1441" s="4">
        <v>5</v>
      </c>
      <c r="R1441" s="4" t="str">
        <f>IF(Table1[[#This Row],[Customer Ratings]]&gt;=4, "Good",IF(Table1[[#This Row],[Customer Ratings]]=3, "Average","Poor"))</f>
        <v>Good</v>
      </c>
      <c r="S1441" s="3" t="s">
        <v>76</v>
      </c>
    </row>
    <row r="1442" spans="1:19" x14ac:dyDescent="0.25">
      <c r="A1442" s="3">
        <v>1441</v>
      </c>
      <c r="B1442" s="5">
        <f>DATE(Table1[[#This Row],[Year]],Table1[[#This Row],[Month]],Table1[[#This Row],[Day]])</f>
        <v>44888</v>
      </c>
      <c r="C1442" s="3">
        <v>23</v>
      </c>
      <c r="D1442" s="3">
        <v>11</v>
      </c>
      <c r="E1442" s="3">
        <v>2022</v>
      </c>
      <c r="F1442" s="3" t="str">
        <f>"Qtr"&amp; " " &amp;CHOOSE(MONTH(Table1[[#This Row],[Date]]),1,1,1,2,2,2,3,3,3,4,4,4)</f>
        <v>Qtr 4</v>
      </c>
      <c r="G1442" s="3" t="str">
        <f>TEXT(Table1[[#This Row],[Date]],"mmmm")</f>
        <v>November</v>
      </c>
      <c r="H1442" s="3" t="s">
        <v>1083</v>
      </c>
      <c r="I1442" s="3" t="s">
        <v>28</v>
      </c>
      <c r="J1442" s="3">
        <v>8</v>
      </c>
      <c r="K1442" s="3">
        <v>67843.25</v>
      </c>
      <c r="L1442" s="3">
        <f>Table1[[#This Row],[Price Per Unit]]*Table1[[#This Row],[Units Sold]]</f>
        <v>542746</v>
      </c>
      <c r="M1442" s="3" t="s">
        <v>836</v>
      </c>
      <c r="N1442" s="3">
        <v>46</v>
      </c>
      <c r="O1442" s="3" t="s">
        <v>24</v>
      </c>
      <c r="P1442" s="3" t="s">
        <v>21</v>
      </c>
      <c r="Q1442" s="4">
        <v>5</v>
      </c>
      <c r="R1442" s="4" t="str">
        <f>IF(Table1[[#This Row],[Customer Ratings]]&gt;=4, "Good",IF(Table1[[#This Row],[Customer Ratings]]=3, "Average","Poor"))</f>
        <v>Good</v>
      </c>
      <c r="S1442" s="3" t="s">
        <v>32</v>
      </c>
    </row>
    <row r="1443" spans="1:19" x14ac:dyDescent="0.25">
      <c r="A1443" s="3">
        <v>1442</v>
      </c>
      <c r="B1443" s="5">
        <f>DATE(Table1[[#This Row],[Year]],Table1[[#This Row],[Month]],Table1[[#This Row],[Day]])</f>
        <v>44888</v>
      </c>
      <c r="C1443" s="3">
        <v>23</v>
      </c>
      <c r="D1443" s="3">
        <v>11</v>
      </c>
      <c r="E1443" s="3">
        <v>2022</v>
      </c>
      <c r="F1443" s="3" t="str">
        <f>"Qtr"&amp; " " &amp;CHOOSE(MONTH(Table1[[#This Row],[Date]]),1,1,1,2,2,2,3,3,3,4,4,4)</f>
        <v>Qtr 4</v>
      </c>
      <c r="G1443" s="3" t="str">
        <f>TEXT(Table1[[#This Row],[Date]],"mmmm")</f>
        <v>November</v>
      </c>
      <c r="H1443" s="3" t="s">
        <v>1083</v>
      </c>
      <c r="I1443" s="3" t="s">
        <v>18</v>
      </c>
      <c r="J1443" s="3">
        <v>9</v>
      </c>
      <c r="K1443" s="3">
        <v>15734.47</v>
      </c>
      <c r="L1443" s="3">
        <f>Table1[[#This Row],[Price Per Unit]]*Table1[[#This Row],[Units Sold]]</f>
        <v>141610.22999999998</v>
      </c>
      <c r="M1443" s="3" t="s">
        <v>604</v>
      </c>
      <c r="N1443" s="3">
        <v>22</v>
      </c>
      <c r="O1443" s="3" t="s">
        <v>54</v>
      </c>
      <c r="P1443" s="3" t="s">
        <v>45</v>
      </c>
      <c r="Q1443" s="4">
        <v>5</v>
      </c>
      <c r="R1443" s="4" t="str">
        <f>IF(Table1[[#This Row],[Customer Ratings]]&gt;=4, "Good",IF(Table1[[#This Row],[Customer Ratings]]=3, "Average","Poor"))</f>
        <v>Good</v>
      </c>
      <c r="S1443" s="3" t="s">
        <v>22</v>
      </c>
    </row>
    <row r="1444" spans="1:19" x14ac:dyDescent="0.25">
      <c r="A1444" s="3">
        <v>1443</v>
      </c>
      <c r="B1444" s="5">
        <f>DATE(Table1[[#This Row],[Year]],Table1[[#This Row],[Month]],Table1[[#This Row],[Day]])</f>
        <v>44889</v>
      </c>
      <c r="C1444" s="3">
        <v>24</v>
      </c>
      <c r="D1444" s="3">
        <v>11</v>
      </c>
      <c r="E1444" s="3">
        <v>2022</v>
      </c>
      <c r="F1444" s="3" t="str">
        <f>"Qtr"&amp; " " &amp;CHOOSE(MONTH(Table1[[#This Row],[Date]]),1,1,1,2,2,2,3,3,3,4,4,4)</f>
        <v>Qtr 4</v>
      </c>
      <c r="G1444" s="3" t="str">
        <f>TEXT(Table1[[#This Row],[Date]],"mmmm")</f>
        <v>November</v>
      </c>
      <c r="H1444" s="3" t="s">
        <v>1084</v>
      </c>
      <c r="I1444" s="3" t="s">
        <v>18</v>
      </c>
      <c r="J1444" s="3">
        <v>4</v>
      </c>
      <c r="K1444" s="3">
        <v>11352.95</v>
      </c>
      <c r="L1444" s="3">
        <f>Table1[[#This Row],[Price Per Unit]]*Table1[[#This Row],[Units Sold]]</f>
        <v>45411.8</v>
      </c>
      <c r="M1444" s="3" t="s">
        <v>627</v>
      </c>
      <c r="N1444" s="3">
        <v>41</v>
      </c>
      <c r="O1444" s="3" t="s">
        <v>20</v>
      </c>
      <c r="P1444" s="3" t="s">
        <v>45</v>
      </c>
      <c r="Q1444" s="4">
        <v>4</v>
      </c>
      <c r="R1444" s="4" t="str">
        <f>IF(Table1[[#This Row],[Customer Ratings]]&gt;=4, "Good",IF(Table1[[#This Row],[Customer Ratings]]=3, "Average","Poor"))</f>
        <v>Good</v>
      </c>
      <c r="S1444" s="3" t="s">
        <v>22</v>
      </c>
    </row>
    <row r="1445" spans="1:19" x14ac:dyDescent="0.25">
      <c r="A1445" s="3">
        <v>1444</v>
      </c>
      <c r="B1445" s="5">
        <f>DATE(Table1[[#This Row],[Year]],Table1[[#This Row],[Month]],Table1[[#This Row],[Day]])</f>
        <v>44889</v>
      </c>
      <c r="C1445" s="3">
        <v>24</v>
      </c>
      <c r="D1445" s="3">
        <v>11</v>
      </c>
      <c r="E1445" s="3">
        <v>2022</v>
      </c>
      <c r="F1445" s="3" t="str">
        <f>"Qtr"&amp; " " &amp;CHOOSE(MONTH(Table1[[#This Row],[Date]]),1,1,1,2,2,2,3,3,3,4,4,4)</f>
        <v>Qtr 4</v>
      </c>
      <c r="G1445" s="3" t="str">
        <f>TEXT(Table1[[#This Row],[Date]],"mmmm")</f>
        <v>November</v>
      </c>
      <c r="H1445" s="3" t="s">
        <v>1084</v>
      </c>
      <c r="I1445" s="3" t="s">
        <v>33</v>
      </c>
      <c r="J1445" s="3">
        <v>1</v>
      </c>
      <c r="K1445" s="3">
        <v>13344.98</v>
      </c>
      <c r="L1445" s="3">
        <f>Table1[[#This Row],[Price Per Unit]]*Table1[[#This Row],[Units Sold]]</f>
        <v>13344.98</v>
      </c>
      <c r="M1445" s="3" t="s">
        <v>760</v>
      </c>
      <c r="N1445" s="3">
        <v>46</v>
      </c>
      <c r="O1445" s="3" t="s">
        <v>20</v>
      </c>
      <c r="P1445" s="3" t="s">
        <v>45</v>
      </c>
      <c r="Q1445" s="4">
        <v>1</v>
      </c>
      <c r="R1445" s="4" t="str">
        <f>IF(Table1[[#This Row],[Customer Ratings]]&gt;=4, "Good",IF(Table1[[#This Row],[Customer Ratings]]=3, "Average","Poor"))</f>
        <v>Poor</v>
      </c>
      <c r="S1445" s="3" t="s">
        <v>83</v>
      </c>
    </row>
    <row r="1446" spans="1:19" x14ac:dyDescent="0.25">
      <c r="A1446" s="3">
        <v>1445</v>
      </c>
      <c r="B1446" s="5">
        <f>DATE(Table1[[#This Row],[Year]],Table1[[#This Row],[Month]],Table1[[#This Row],[Day]])</f>
        <v>44889</v>
      </c>
      <c r="C1446" s="3">
        <v>24</v>
      </c>
      <c r="D1446" s="3">
        <v>11</v>
      </c>
      <c r="E1446" s="3">
        <v>2022</v>
      </c>
      <c r="F1446" s="3" t="str">
        <f>"Qtr"&amp; " " &amp;CHOOSE(MONTH(Table1[[#This Row],[Date]]),1,1,1,2,2,2,3,3,3,4,4,4)</f>
        <v>Qtr 4</v>
      </c>
      <c r="G1446" s="3" t="str">
        <f>TEXT(Table1[[#This Row],[Date]],"mmmm")</f>
        <v>November</v>
      </c>
      <c r="H1446" s="3" t="s">
        <v>1084</v>
      </c>
      <c r="I1446" s="3" t="s">
        <v>33</v>
      </c>
      <c r="J1446" s="3">
        <v>1</v>
      </c>
      <c r="K1446" s="3">
        <v>13144.34</v>
      </c>
      <c r="L1446" s="3">
        <f>Table1[[#This Row],[Price Per Unit]]*Table1[[#This Row],[Units Sold]]</f>
        <v>13144.34</v>
      </c>
      <c r="M1446" s="3" t="s">
        <v>190</v>
      </c>
      <c r="N1446" s="3">
        <v>46</v>
      </c>
      <c r="O1446" s="3" t="s">
        <v>125</v>
      </c>
      <c r="P1446" s="3" t="s">
        <v>16</v>
      </c>
      <c r="Q1446" s="4">
        <v>1</v>
      </c>
      <c r="R1446" s="4" t="str">
        <f>IF(Table1[[#This Row],[Customer Ratings]]&gt;=4, "Good",IF(Table1[[#This Row],[Customer Ratings]]=3, "Average","Poor"))</f>
        <v>Poor</v>
      </c>
      <c r="S1446" s="3" t="s">
        <v>83</v>
      </c>
    </row>
    <row r="1447" spans="1:19" x14ac:dyDescent="0.25">
      <c r="A1447" s="3">
        <v>1446</v>
      </c>
      <c r="B1447" s="5">
        <f>DATE(Table1[[#This Row],[Year]],Table1[[#This Row],[Month]],Table1[[#This Row],[Day]])</f>
        <v>44889</v>
      </c>
      <c r="C1447" s="3">
        <v>24</v>
      </c>
      <c r="D1447" s="3">
        <v>11</v>
      </c>
      <c r="E1447" s="3">
        <v>2022</v>
      </c>
      <c r="F1447" s="3" t="str">
        <f>"Qtr"&amp; " " &amp;CHOOSE(MONTH(Table1[[#This Row],[Date]]),1,1,1,2,2,2,3,3,3,4,4,4)</f>
        <v>Qtr 4</v>
      </c>
      <c r="G1447" s="3" t="str">
        <f>TEXT(Table1[[#This Row],[Date]],"mmmm")</f>
        <v>November</v>
      </c>
      <c r="H1447" s="3" t="s">
        <v>1084</v>
      </c>
      <c r="I1447" s="3" t="s">
        <v>39</v>
      </c>
      <c r="J1447" s="3">
        <v>5</v>
      </c>
      <c r="K1447" s="3">
        <v>64468.95</v>
      </c>
      <c r="L1447" s="3">
        <f>Table1[[#This Row],[Price Per Unit]]*Table1[[#This Row],[Units Sold]]</f>
        <v>322344.75</v>
      </c>
      <c r="M1447" s="3" t="s">
        <v>499</v>
      </c>
      <c r="N1447" s="3">
        <v>43</v>
      </c>
      <c r="O1447" s="3" t="s">
        <v>98</v>
      </c>
      <c r="P1447" s="3" t="s">
        <v>45</v>
      </c>
      <c r="Q1447" s="4">
        <v>5</v>
      </c>
      <c r="R1447" s="4" t="str">
        <f>IF(Table1[[#This Row],[Customer Ratings]]&gt;=4, "Good",IF(Table1[[#This Row],[Customer Ratings]]=3, "Average","Poor"))</f>
        <v>Good</v>
      </c>
      <c r="S1447" s="3" t="s">
        <v>76</v>
      </c>
    </row>
    <row r="1448" spans="1:19" x14ac:dyDescent="0.25">
      <c r="A1448" s="3">
        <v>1447</v>
      </c>
      <c r="B1448" s="5">
        <f>DATE(Table1[[#This Row],[Year]],Table1[[#This Row],[Month]],Table1[[#This Row],[Day]])</f>
        <v>44890</v>
      </c>
      <c r="C1448" s="3">
        <v>25</v>
      </c>
      <c r="D1448" s="3">
        <v>11</v>
      </c>
      <c r="E1448" s="3">
        <v>2022</v>
      </c>
      <c r="F1448" s="3" t="str">
        <f>"Qtr"&amp; " " &amp;CHOOSE(MONTH(Table1[[#This Row],[Date]]),1,1,1,2,2,2,3,3,3,4,4,4)</f>
        <v>Qtr 4</v>
      </c>
      <c r="G1448" s="3" t="str">
        <f>TEXT(Table1[[#This Row],[Date]],"mmmm")</f>
        <v>November</v>
      </c>
      <c r="H1448" s="3" t="s">
        <v>1085</v>
      </c>
      <c r="I1448" s="3" t="s">
        <v>39</v>
      </c>
      <c r="J1448" s="3">
        <v>2</v>
      </c>
      <c r="K1448" s="3">
        <v>53275.47</v>
      </c>
      <c r="L1448" s="3">
        <f>Table1[[#This Row],[Price Per Unit]]*Table1[[#This Row],[Units Sold]]</f>
        <v>106550.94</v>
      </c>
      <c r="M1448" s="3" t="s">
        <v>647</v>
      </c>
      <c r="N1448" s="3">
        <v>57</v>
      </c>
      <c r="O1448" s="3" t="s">
        <v>20</v>
      </c>
      <c r="P1448" s="3" t="s">
        <v>31</v>
      </c>
      <c r="Q1448" s="4">
        <v>1</v>
      </c>
      <c r="R1448" s="4" t="str">
        <f>IF(Table1[[#This Row],[Customer Ratings]]&gt;=4, "Good",IF(Table1[[#This Row],[Customer Ratings]]=3, "Average","Poor"))</f>
        <v>Poor</v>
      </c>
      <c r="S1448" s="3" t="s">
        <v>90</v>
      </c>
    </row>
    <row r="1449" spans="1:19" x14ac:dyDescent="0.25">
      <c r="A1449" s="3">
        <v>1448</v>
      </c>
      <c r="B1449" s="5">
        <f>DATE(Table1[[#This Row],[Year]],Table1[[#This Row],[Month]],Table1[[#This Row],[Day]])</f>
        <v>44890</v>
      </c>
      <c r="C1449" s="3">
        <v>25</v>
      </c>
      <c r="D1449" s="3">
        <v>11</v>
      </c>
      <c r="E1449" s="3">
        <v>2022</v>
      </c>
      <c r="F1449" s="3" t="str">
        <f>"Qtr"&amp; " " &amp;CHOOSE(MONTH(Table1[[#This Row],[Date]]),1,1,1,2,2,2,3,3,3,4,4,4)</f>
        <v>Qtr 4</v>
      </c>
      <c r="G1449" s="3" t="str">
        <f>TEXT(Table1[[#This Row],[Date]],"mmmm")</f>
        <v>November</v>
      </c>
      <c r="H1449" s="3" t="s">
        <v>1085</v>
      </c>
      <c r="I1449" s="3" t="s">
        <v>13</v>
      </c>
      <c r="J1449" s="3">
        <v>8</v>
      </c>
      <c r="K1449" s="3">
        <v>50626.38</v>
      </c>
      <c r="L1449" s="3">
        <f>Table1[[#This Row],[Price Per Unit]]*Table1[[#This Row],[Units Sold]]</f>
        <v>405011.04</v>
      </c>
      <c r="M1449" s="3" t="s">
        <v>88</v>
      </c>
      <c r="N1449" s="3">
        <v>20</v>
      </c>
      <c r="O1449" s="3" t="s">
        <v>20</v>
      </c>
      <c r="P1449" s="3" t="s">
        <v>31</v>
      </c>
      <c r="Q1449" s="4">
        <v>5</v>
      </c>
      <c r="R1449" s="4" t="str">
        <f>IF(Table1[[#This Row],[Customer Ratings]]&gt;=4, "Good",IF(Table1[[#This Row],[Customer Ratings]]=3, "Average","Poor"))</f>
        <v>Good</v>
      </c>
      <c r="S1449" s="3" t="s">
        <v>27</v>
      </c>
    </row>
    <row r="1450" spans="1:19" x14ac:dyDescent="0.25">
      <c r="A1450" s="3">
        <v>1449</v>
      </c>
      <c r="B1450" s="5">
        <f>DATE(Table1[[#This Row],[Year]],Table1[[#This Row],[Month]],Table1[[#This Row],[Day]])</f>
        <v>44890</v>
      </c>
      <c r="C1450" s="3">
        <v>25</v>
      </c>
      <c r="D1450" s="3">
        <v>11</v>
      </c>
      <c r="E1450" s="3">
        <v>2022</v>
      </c>
      <c r="F1450" s="3" t="str">
        <f>"Qtr"&amp; " " &amp;CHOOSE(MONTH(Table1[[#This Row],[Date]]),1,1,1,2,2,2,3,3,3,4,4,4)</f>
        <v>Qtr 4</v>
      </c>
      <c r="G1450" s="3" t="str">
        <f>TEXT(Table1[[#This Row],[Date]],"mmmm")</f>
        <v>November</v>
      </c>
      <c r="H1450" s="3" t="s">
        <v>1085</v>
      </c>
      <c r="I1450" s="3" t="s">
        <v>39</v>
      </c>
      <c r="J1450" s="3">
        <v>5</v>
      </c>
      <c r="K1450" s="3">
        <v>41354.370000000003</v>
      </c>
      <c r="L1450" s="3">
        <f>Table1[[#This Row],[Price Per Unit]]*Table1[[#This Row],[Units Sold]]</f>
        <v>206771.85</v>
      </c>
      <c r="M1450" s="3" t="s">
        <v>837</v>
      </c>
      <c r="N1450" s="3">
        <v>19</v>
      </c>
      <c r="O1450" s="3" t="s">
        <v>20</v>
      </c>
      <c r="P1450" s="3" t="s">
        <v>16</v>
      </c>
      <c r="Q1450" s="4">
        <v>3</v>
      </c>
      <c r="R1450" s="4" t="str">
        <f>IF(Table1[[#This Row],[Customer Ratings]]&gt;=4, "Good",IF(Table1[[#This Row],[Customer Ratings]]=3, "Average","Poor"))</f>
        <v>Average</v>
      </c>
      <c r="S1450" s="3" t="s">
        <v>90</v>
      </c>
    </row>
    <row r="1451" spans="1:19" x14ac:dyDescent="0.25">
      <c r="A1451" s="3">
        <v>1450</v>
      </c>
      <c r="B1451" s="5">
        <f>DATE(Table1[[#This Row],[Year]],Table1[[#This Row],[Month]],Table1[[#This Row],[Day]])</f>
        <v>44890</v>
      </c>
      <c r="C1451" s="3">
        <v>25</v>
      </c>
      <c r="D1451" s="3">
        <v>11</v>
      </c>
      <c r="E1451" s="3">
        <v>2022</v>
      </c>
      <c r="F1451" s="3" t="str">
        <f>"Qtr"&amp; " " &amp;CHOOSE(MONTH(Table1[[#This Row],[Date]]),1,1,1,2,2,2,3,3,3,4,4,4)</f>
        <v>Qtr 4</v>
      </c>
      <c r="G1451" s="3" t="str">
        <f>TEXT(Table1[[#This Row],[Date]],"mmmm")</f>
        <v>November</v>
      </c>
      <c r="H1451" s="3" t="s">
        <v>1085</v>
      </c>
      <c r="I1451" s="3" t="s">
        <v>13</v>
      </c>
      <c r="J1451" s="3">
        <v>5</v>
      </c>
      <c r="K1451" s="3">
        <v>56917.16</v>
      </c>
      <c r="L1451" s="3">
        <f>Table1[[#This Row],[Price Per Unit]]*Table1[[#This Row],[Units Sold]]</f>
        <v>284585.80000000005</v>
      </c>
      <c r="M1451" s="3" t="s">
        <v>838</v>
      </c>
      <c r="N1451" s="3">
        <v>42</v>
      </c>
      <c r="O1451" s="3" t="s">
        <v>125</v>
      </c>
      <c r="P1451" s="3" t="s">
        <v>21</v>
      </c>
      <c r="Q1451" s="4">
        <v>1</v>
      </c>
      <c r="R1451" s="4" t="str">
        <f>IF(Table1[[#This Row],[Customer Ratings]]&gt;=4, "Good",IF(Table1[[#This Row],[Customer Ratings]]=3, "Average","Poor"))</f>
        <v>Poor</v>
      </c>
      <c r="S1451" s="3" t="s">
        <v>17</v>
      </c>
    </row>
    <row r="1452" spans="1:19" x14ac:dyDescent="0.25">
      <c r="A1452" s="3">
        <v>1451</v>
      </c>
      <c r="B1452" s="5">
        <f>DATE(Table1[[#This Row],[Year]],Table1[[#This Row],[Month]],Table1[[#This Row],[Day]])</f>
        <v>44891</v>
      </c>
      <c r="C1452" s="3">
        <v>26</v>
      </c>
      <c r="D1452" s="3">
        <v>11</v>
      </c>
      <c r="E1452" s="3">
        <v>2022</v>
      </c>
      <c r="F1452" s="3" t="str">
        <f>"Qtr"&amp; " " &amp;CHOOSE(MONTH(Table1[[#This Row],[Date]]),1,1,1,2,2,2,3,3,3,4,4,4)</f>
        <v>Qtr 4</v>
      </c>
      <c r="G1452" s="3" t="str">
        <f>TEXT(Table1[[#This Row],[Date]],"mmmm")</f>
        <v>November</v>
      </c>
      <c r="H1452" s="3" t="s">
        <v>1079</v>
      </c>
      <c r="I1452" s="3" t="s">
        <v>28</v>
      </c>
      <c r="J1452" s="3">
        <v>2</v>
      </c>
      <c r="K1452" s="3">
        <v>19338.88</v>
      </c>
      <c r="L1452" s="3">
        <f>Table1[[#This Row],[Price Per Unit]]*Table1[[#This Row],[Units Sold]]</f>
        <v>38677.760000000002</v>
      </c>
      <c r="M1452" s="3" t="s">
        <v>343</v>
      </c>
      <c r="N1452" s="3">
        <v>36</v>
      </c>
      <c r="O1452" s="3" t="s">
        <v>41</v>
      </c>
      <c r="P1452" s="3" t="s">
        <v>21</v>
      </c>
      <c r="Q1452" s="4">
        <v>3</v>
      </c>
      <c r="R1452" s="4" t="str">
        <f>IF(Table1[[#This Row],[Customer Ratings]]&gt;=4, "Good",IF(Table1[[#This Row],[Customer Ratings]]=3, "Average","Poor"))</f>
        <v>Average</v>
      </c>
      <c r="S1452" s="3" t="s">
        <v>32</v>
      </c>
    </row>
    <row r="1453" spans="1:19" x14ac:dyDescent="0.25">
      <c r="A1453" s="3">
        <v>1452</v>
      </c>
      <c r="B1453" s="5">
        <f>DATE(Table1[[#This Row],[Year]],Table1[[#This Row],[Month]],Table1[[#This Row],[Day]])</f>
        <v>44891</v>
      </c>
      <c r="C1453" s="3">
        <v>26</v>
      </c>
      <c r="D1453" s="3">
        <v>11</v>
      </c>
      <c r="E1453" s="3">
        <v>2022</v>
      </c>
      <c r="F1453" s="3" t="str">
        <f>"Qtr"&amp; " " &amp;CHOOSE(MONTH(Table1[[#This Row],[Date]]),1,1,1,2,2,2,3,3,3,4,4,4)</f>
        <v>Qtr 4</v>
      </c>
      <c r="G1453" s="3" t="str">
        <f>TEXT(Table1[[#This Row],[Date]],"mmmm")</f>
        <v>November</v>
      </c>
      <c r="H1453" s="3" t="s">
        <v>1079</v>
      </c>
      <c r="I1453" s="3" t="s">
        <v>33</v>
      </c>
      <c r="J1453" s="3">
        <v>7</v>
      </c>
      <c r="K1453" s="3">
        <v>33516.47</v>
      </c>
      <c r="L1453" s="3">
        <f>Table1[[#This Row],[Price Per Unit]]*Table1[[#This Row],[Units Sold]]</f>
        <v>234615.29</v>
      </c>
      <c r="M1453" s="3" t="s">
        <v>839</v>
      </c>
      <c r="N1453" s="3">
        <v>57</v>
      </c>
      <c r="O1453" s="3" t="s">
        <v>24</v>
      </c>
      <c r="P1453" s="3" t="s">
        <v>16</v>
      </c>
      <c r="Q1453" s="4">
        <v>4</v>
      </c>
      <c r="R1453" s="4" t="str">
        <f>IF(Table1[[#This Row],[Customer Ratings]]&gt;=4, "Good",IF(Table1[[#This Row],[Customer Ratings]]=3, "Average","Poor"))</f>
        <v>Good</v>
      </c>
      <c r="S1453" s="3" t="s">
        <v>83</v>
      </c>
    </row>
    <row r="1454" spans="1:19" x14ac:dyDescent="0.25">
      <c r="A1454" s="3">
        <v>1453</v>
      </c>
      <c r="B1454" s="5">
        <f>DATE(Table1[[#This Row],[Year]],Table1[[#This Row],[Month]],Table1[[#This Row],[Day]])</f>
        <v>44891</v>
      </c>
      <c r="C1454" s="3">
        <v>26</v>
      </c>
      <c r="D1454" s="3">
        <v>11</v>
      </c>
      <c r="E1454" s="3">
        <v>2022</v>
      </c>
      <c r="F1454" s="3" t="str">
        <f>"Qtr"&amp; " " &amp;CHOOSE(MONTH(Table1[[#This Row],[Date]]),1,1,1,2,2,2,3,3,3,4,4,4)</f>
        <v>Qtr 4</v>
      </c>
      <c r="G1454" s="3" t="str">
        <f>TEXT(Table1[[#This Row],[Date]],"mmmm")</f>
        <v>November</v>
      </c>
      <c r="H1454" s="3" t="s">
        <v>1079</v>
      </c>
      <c r="I1454" s="3" t="s">
        <v>28</v>
      </c>
      <c r="J1454" s="3">
        <v>8</v>
      </c>
      <c r="K1454" s="3">
        <v>39400.26</v>
      </c>
      <c r="L1454" s="3">
        <f>Table1[[#This Row],[Price Per Unit]]*Table1[[#This Row],[Units Sold]]</f>
        <v>315202.08</v>
      </c>
      <c r="M1454" s="3" t="s">
        <v>737</v>
      </c>
      <c r="N1454" s="3">
        <v>19</v>
      </c>
      <c r="O1454" s="3" t="s">
        <v>20</v>
      </c>
      <c r="P1454" s="3" t="s">
        <v>31</v>
      </c>
      <c r="Q1454" s="4">
        <v>5</v>
      </c>
      <c r="R1454" s="4" t="str">
        <f>IF(Table1[[#This Row],[Customer Ratings]]&gt;=4, "Good",IF(Table1[[#This Row],[Customer Ratings]]=3, "Average","Poor"))</f>
        <v>Good</v>
      </c>
      <c r="S1454" s="3" t="s">
        <v>87</v>
      </c>
    </row>
    <row r="1455" spans="1:19" x14ac:dyDescent="0.25">
      <c r="A1455" s="3">
        <v>1454</v>
      </c>
      <c r="B1455" s="5">
        <f>DATE(Table1[[#This Row],[Year]],Table1[[#This Row],[Month]],Table1[[#This Row],[Day]])</f>
        <v>44892</v>
      </c>
      <c r="C1455" s="3">
        <v>27</v>
      </c>
      <c r="D1455" s="3">
        <v>11</v>
      </c>
      <c r="E1455" s="3">
        <v>2022</v>
      </c>
      <c r="F1455" s="3" t="str">
        <f>"Qtr"&amp; " " &amp;CHOOSE(MONTH(Table1[[#This Row],[Date]]),1,1,1,2,2,2,3,3,3,4,4,4)</f>
        <v>Qtr 4</v>
      </c>
      <c r="G1455" s="3" t="str">
        <f>TEXT(Table1[[#This Row],[Date]],"mmmm")</f>
        <v>November</v>
      </c>
      <c r="H1455" s="3" t="s">
        <v>1080</v>
      </c>
      <c r="I1455" s="3" t="s">
        <v>39</v>
      </c>
      <c r="J1455" s="3">
        <v>1</v>
      </c>
      <c r="K1455" s="3">
        <v>16624.57</v>
      </c>
      <c r="L1455" s="3">
        <f>Table1[[#This Row],[Price Per Unit]]*Table1[[#This Row],[Units Sold]]</f>
        <v>16624.57</v>
      </c>
      <c r="M1455" s="3" t="s">
        <v>675</v>
      </c>
      <c r="N1455" s="3">
        <v>36</v>
      </c>
      <c r="O1455" s="3" t="s">
        <v>105</v>
      </c>
      <c r="P1455" s="3" t="s">
        <v>16</v>
      </c>
      <c r="Q1455" s="4">
        <v>5</v>
      </c>
      <c r="R1455" s="4" t="str">
        <f>IF(Table1[[#This Row],[Customer Ratings]]&gt;=4, "Good",IF(Table1[[#This Row],[Customer Ratings]]=3, "Average","Poor"))</f>
        <v>Good</v>
      </c>
      <c r="S1455" s="3" t="s">
        <v>90</v>
      </c>
    </row>
    <row r="1456" spans="1:19" x14ac:dyDescent="0.25">
      <c r="A1456" s="3">
        <v>1455</v>
      </c>
      <c r="B1456" s="5">
        <f>DATE(Table1[[#This Row],[Year]],Table1[[#This Row],[Month]],Table1[[#This Row],[Day]])</f>
        <v>44892</v>
      </c>
      <c r="C1456" s="3">
        <v>27</v>
      </c>
      <c r="D1456" s="3">
        <v>11</v>
      </c>
      <c r="E1456" s="3">
        <v>2022</v>
      </c>
      <c r="F1456" s="3" t="str">
        <f>"Qtr"&amp; " " &amp;CHOOSE(MONTH(Table1[[#This Row],[Date]]),1,1,1,2,2,2,3,3,3,4,4,4)</f>
        <v>Qtr 4</v>
      </c>
      <c r="G1456" s="3" t="str">
        <f>TEXT(Table1[[#This Row],[Date]],"mmmm")</f>
        <v>November</v>
      </c>
      <c r="H1456" s="3" t="s">
        <v>1080</v>
      </c>
      <c r="I1456" s="3" t="s">
        <v>28</v>
      </c>
      <c r="J1456" s="3">
        <v>2</v>
      </c>
      <c r="K1456" s="3">
        <v>35170.82</v>
      </c>
      <c r="L1456" s="3">
        <f>Table1[[#This Row],[Price Per Unit]]*Table1[[#This Row],[Units Sold]]</f>
        <v>70341.64</v>
      </c>
      <c r="M1456" s="3" t="s">
        <v>345</v>
      </c>
      <c r="N1456" s="3">
        <v>18</v>
      </c>
      <c r="O1456" s="3" t="s">
        <v>48</v>
      </c>
      <c r="P1456" s="3" t="s">
        <v>45</v>
      </c>
      <c r="Q1456" s="4">
        <v>5</v>
      </c>
      <c r="R1456" s="4" t="str">
        <f>IF(Table1[[#This Row],[Customer Ratings]]&gt;=4, "Good",IF(Table1[[#This Row],[Customer Ratings]]=3, "Average","Poor"))</f>
        <v>Good</v>
      </c>
      <c r="S1456" s="3" t="s">
        <v>32</v>
      </c>
    </row>
    <row r="1457" spans="1:19" x14ac:dyDescent="0.25">
      <c r="A1457" s="3">
        <v>1456</v>
      </c>
      <c r="B1457" s="5">
        <f>DATE(Table1[[#This Row],[Year]],Table1[[#This Row],[Month]],Table1[[#This Row],[Day]])</f>
        <v>44892</v>
      </c>
      <c r="C1457" s="3">
        <v>27</v>
      </c>
      <c r="D1457" s="3">
        <v>11</v>
      </c>
      <c r="E1457" s="3">
        <v>2022</v>
      </c>
      <c r="F1457" s="3" t="str">
        <f>"Qtr"&amp; " " &amp;CHOOSE(MONTH(Table1[[#This Row],[Date]]),1,1,1,2,2,2,3,3,3,4,4,4)</f>
        <v>Qtr 4</v>
      </c>
      <c r="G1457" s="3" t="str">
        <f>TEXT(Table1[[#This Row],[Date]],"mmmm")</f>
        <v>November</v>
      </c>
      <c r="H1457" s="3" t="s">
        <v>1080</v>
      </c>
      <c r="I1457" s="3" t="s">
        <v>28</v>
      </c>
      <c r="J1457" s="3">
        <v>4</v>
      </c>
      <c r="K1457" s="3">
        <v>28990.11</v>
      </c>
      <c r="L1457" s="3">
        <f>Table1[[#This Row],[Price Per Unit]]*Table1[[#This Row],[Units Sold]]</f>
        <v>115960.44</v>
      </c>
      <c r="M1457" s="3" t="s">
        <v>376</v>
      </c>
      <c r="N1457" s="3">
        <v>44</v>
      </c>
      <c r="O1457" s="3" t="s">
        <v>58</v>
      </c>
      <c r="P1457" s="3" t="s">
        <v>16</v>
      </c>
      <c r="Q1457" s="4">
        <v>4</v>
      </c>
      <c r="R1457" s="4" t="str">
        <f>IF(Table1[[#This Row],[Customer Ratings]]&gt;=4, "Good",IF(Table1[[#This Row],[Customer Ratings]]=3, "Average","Poor"))</f>
        <v>Good</v>
      </c>
      <c r="S1457" s="3" t="s">
        <v>38</v>
      </c>
    </row>
    <row r="1458" spans="1:19" x14ac:dyDescent="0.25">
      <c r="A1458" s="3">
        <v>1457</v>
      </c>
      <c r="B1458" s="5">
        <f>DATE(Table1[[#This Row],[Year]],Table1[[#This Row],[Month]],Table1[[#This Row],[Day]])</f>
        <v>44893</v>
      </c>
      <c r="C1458" s="3">
        <v>28</v>
      </c>
      <c r="D1458" s="3">
        <v>11</v>
      </c>
      <c r="E1458" s="3">
        <v>2022</v>
      </c>
      <c r="F1458" s="3" t="str">
        <f>"Qtr"&amp; " " &amp;CHOOSE(MONTH(Table1[[#This Row],[Date]]),1,1,1,2,2,2,3,3,3,4,4,4)</f>
        <v>Qtr 4</v>
      </c>
      <c r="G1458" s="3" t="str">
        <f>TEXT(Table1[[#This Row],[Date]],"mmmm")</f>
        <v>November</v>
      </c>
      <c r="H1458" s="3" t="s">
        <v>1081</v>
      </c>
      <c r="I1458" s="3" t="s">
        <v>28</v>
      </c>
      <c r="J1458" s="3">
        <v>5</v>
      </c>
      <c r="K1458" s="3">
        <v>12134.93</v>
      </c>
      <c r="L1458" s="3">
        <f>Table1[[#This Row],[Price Per Unit]]*Table1[[#This Row],[Units Sold]]</f>
        <v>60674.65</v>
      </c>
      <c r="M1458" s="3" t="s">
        <v>582</v>
      </c>
      <c r="N1458" s="3">
        <v>52</v>
      </c>
      <c r="O1458" s="3" t="s">
        <v>48</v>
      </c>
      <c r="P1458" s="3" t="s">
        <v>21</v>
      </c>
      <c r="Q1458" s="4">
        <v>5</v>
      </c>
      <c r="R1458" s="4" t="str">
        <f>IF(Table1[[#This Row],[Customer Ratings]]&gt;=4, "Good",IF(Table1[[#This Row],[Customer Ratings]]=3, "Average","Poor"))</f>
        <v>Good</v>
      </c>
      <c r="S1458" s="3" t="s">
        <v>87</v>
      </c>
    </row>
    <row r="1459" spans="1:19" x14ac:dyDescent="0.25">
      <c r="A1459" s="3">
        <v>1458</v>
      </c>
      <c r="B1459" s="5">
        <f>DATE(Table1[[#This Row],[Year]],Table1[[#This Row],[Month]],Table1[[#This Row],[Day]])</f>
        <v>44893</v>
      </c>
      <c r="C1459" s="3">
        <v>28</v>
      </c>
      <c r="D1459" s="3">
        <v>11</v>
      </c>
      <c r="E1459" s="3">
        <v>2022</v>
      </c>
      <c r="F1459" s="3" t="str">
        <f>"Qtr"&amp; " " &amp;CHOOSE(MONTH(Table1[[#This Row],[Date]]),1,1,1,2,2,2,3,3,3,4,4,4)</f>
        <v>Qtr 4</v>
      </c>
      <c r="G1459" s="3" t="str">
        <f>TEXT(Table1[[#This Row],[Date]],"mmmm")</f>
        <v>November</v>
      </c>
      <c r="H1459" s="3" t="s">
        <v>1081</v>
      </c>
      <c r="I1459" s="3" t="s">
        <v>39</v>
      </c>
      <c r="J1459" s="3">
        <v>2</v>
      </c>
      <c r="K1459" s="3">
        <v>18204.12</v>
      </c>
      <c r="L1459" s="3">
        <f>Table1[[#This Row],[Price Per Unit]]*Table1[[#This Row],[Units Sold]]</f>
        <v>36408.239999999998</v>
      </c>
      <c r="M1459" s="3" t="s">
        <v>840</v>
      </c>
      <c r="N1459" s="3">
        <v>58</v>
      </c>
      <c r="O1459" s="3" t="s">
        <v>125</v>
      </c>
      <c r="P1459" s="3" t="s">
        <v>31</v>
      </c>
      <c r="Q1459" s="4">
        <v>3</v>
      </c>
      <c r="R1459" s="4" t="str">
        <f>IF(Table1[[#This Row],[Customer Ratings]]&gt;=4, "Good",IF(Table1[[#This Row],[Customer Ratings]]=3, "Average","Poor"))</f>
        <v>Average</v>
      </c>
      <c r="S1459" s="3" t="s">
        <v>76</v>
      </c>
    </row>
    <row r="1460" spans="1:19" x14ac:dyDescent="0.25">
      <c r="A1460" s="3">
        <v>1459</v>
      </c>
      <c r="B1460" s="5">
        <f>DATE(Table1[[#This Row],[Year]],Table1[[#This Row],[Month]],Table1[[#This Row],[Day]])</f>
        <v>44893</v>
      </c>
      <c r="C1460" s="3">
        <v>28</v>
      </c>
      <c r="D1460" s="3">
        <v>11</v>
      </c>
      <c r="E1460" s="3">
        <v>2022</v>
      </c>
      <c r="F1460" s="3" t="str">
        <f>"Qtr"&amp; " " &amp;CHOOSE(MONTH(Table1[[#This Row],[Date]]),1,1,1,2,2,2,3,3,3,4,4,4)</f>
        <v>Qtr 4</v>
      </c>
      <c r="G1460" s="3" t="str">
        <f>TEXT(Table1[[#This Row],[Date]],"mmmm")</f>
        <v>November</v>
      </c>
      <c r="H1460" s="3" t="s">
        <v>1081</v>
      </c>
      <c r="I1460" s="3" t="s">
        <v>28</v>
      </c>
      <c r="J1460" s="3">
        <v>1</v>
      </c>
      <c r="K1460" s="3">
        <v>55842.21</v>
      </c>
      <c r="L1460" s="3">
        <f>Table1[[#This Row],[Price Per Unit]]*Table1[[#This Row],[Units Sold]]</f>
        <v>55842.21</v>
      </c>
      <c r="M1460" s="3" t="s">
        <v>115</v>
      </c>
      <c r="N1460" s="3">
        <v>22</v>
      </c>
      <c r="O1460" s="3" t="s">
        <v>125</v>
      </c>
      <c r="P1460" s="3" t="s">
        <v>21</v>
      </c>
      <c r="Q1460" s="4">
        <v>1</v>
      </c>
      <c r="R1460" s="4" t="str">
        <f>IF(Table1[[#This Row],[Customer Ratings]]&gt;=4, "Good",IF(Table1[[#This Row],[Customer Ratings]]=3, "Average","Poor"))</f>
        <v>Poor</v>
      </c>
      <c r="S1460" s="3" t="s">
        <v>32</v>
      </c>
    </row>
    <row r="1461" spans="1:19" x14ac:dyDescent="0.25">
      <c r="A1461" s="3">
        <v>1460</v>
      </c>
      <c r="B1461" s="5">
        <f>DATE(Table1[[#This Row],[Year]],Table1[[#This Row],[Month]],Table1[[#This Row],[Day]])</f>
        <v>44894</v>
      </c>
      <c r="C1461" s="3">
        <v>29</v>
      </c>
      <c r="D1461" s="3">
        <v>11</v>
      </c>
      <c r="E1461" s="3">
        <v>2022</v>
      </c>
      <c r="F1461" s="3" t="str">
        <f>"Qtr"&amp; " " &amp;CHOOSE(MONTH(Table1[[#This Row],[Date]]),1,1,1,2,2,2,3,3,3,4,4,4)</f>
        <v>Qtr 4</v>
      </c>
      <c r="G1461" s="3" t="str">
        <f>TEXT(Table1[[#This Row],[Date]],"mmmm")</f>
        <v>November</v>
      </c>
      <c r="H1461" s="3" t="s">
        <v>1082</v>
      </c>
      <c r="I1461" s="3" t="s">
        <v>13</v>
      </c>
      <c r="J1461" s="3">
        <v>9</v>
      </c>
      <c r="K1461" s="3">
        <v>11082.27</v>
      </c>
      <c r="L1461" s="3">
        <f>Table1[[#This Row],[Price Per Unit]]*Table1[[#This Row],[Units Sold]]</f>
        <v>99740.430000000008</v>
      </c>
      <c r="M1461" s="3" t="s">
        <v>447</v>
      </c>
      <c r="N1461" s="3">
        <v>55</v>
      </c>
      <c r="O1461" s="3" t="s">
        <v>30</v>
      </c>
      <c r="P1461" s="3" t="s">
        <v>21</v>
      </c>
      <c r="Q1461" s="4">
        <v>5</v>
      </c>
      <c r="R1461" s="4" t="str">
        <f>IF(Table1[[#This Row],[Customer Ratings]]&gt;=4, "Good",IF(Table1[[#This Row],[Customer Ratings]]=3, "Average","Poor"))</f>
        <v>Good</v>
      </c>
      <c r="S1461" s="3" t="s">
        <v>27</v>
      </c>
    </row>
    <row r="1462" spans="1:19" x14ac:dyDescent="0.25">
      <c r="A1462" s="3">
        <v>1461</v>
      </c>
      <c r="B1462" s="5">
        <f>DATE(Table1[[#This Row],[Year]],Table1[[#This Row],[Month]],Table1[[#This Row],[Day]])</f>
        <v>44894</v>
      </c>
      <c r="C1462" s="3">
        <v>29</v>
      </c>
      <c r="D1462" s="3">
        <v>11</v>
      </c>
      <c r="E1462" s="3">
        <v>2022</v>
      </c>
      <c r="F1462" s="3" t="str">
        <f>"Qtr"&amp; " " &amp;CHOOSE(MONTH(Table1[[#This Row],[Date]]),1,1,1,2,2,2,3,3,3,4,4,4)</f>
        <v>Qtr 4</v>
      </c>
      <c r="G1462" s="3" t="str">
        <f>TEXT(Table1[[#This Row],[Date]],"mmmm")</f>
        <v>November</v>
      </c>
      <c r="H1462" s="3" t="s">
        <v>1082</v>
      </c>
      <c r="I1462" s="3" t="s">
        <v>39</v>
      </c>
      <c r="J1462" s="3">
        <v>1</v>
      </c>
      <c r="K1462" s="3">
        <v>66055.199999999997</v>
      </c>
      <c r="L1462" s="3">
        <f>Table1[[#This Row],[Price Per Unit]]*Table1[[#This Row],[Units Sold]]</f>
        <v>66055.199999999997</v>
      </c>
      <c r="M1462" s="3" t="s">
        <v>296</v>
      </c>
      <c r="N1462" s="3">
        <v>21</v>
      </c>
      <c r="O1462" s="3" t="s">
        <v>125</v>
      </c>
      <c r="P1462" s="3" t="s">
        <v>31</v>
      </c>
      <c r="Q1462" s="4">
        <v>5</v>
      </c>
      <c r="R1462" s="4" t="str">
        <f>IF(Table1[[#This Row],[Customer Ratings]]&gt;=4, "Good",IF(Table1[[#This Row],[Customer Ratings]]=3, "Average","Poor"))</f>
        <v>Good</v>
      </c>
      <c r="S1462" s="3" t="s">
        <v>76</v>
      </c>
    </row>
    <row r="1463" spans="1:19" x14ac:dyDescent="0.25">
      <c r="A1463" s="3">
        <v>1462</v>
      </c>
      <c r="B1463" s="5">
        <f>DATE(Table1[[#This Row],[Year]],Table1[[#This Row],[Month]],Table1[[#This Row],[Day]])</f>
        <v>44894</v>
      </c>
      <c r="C1463" s="3">
        <v>29</v>
      </c>
      <c r="D1463" s="3">
        <v>11</v>
      </c>
      <c r="E1463" s="3">
        <v>2022</v>
      </c>
      <c r="F1463" s="3" t="str">
        <f>"Qtr"&amp; " " &amp;CHOOSE(MONTH(Table1[[#This Row],[Date]]),1,1,1,2,2,2,3,3,3,4,4,4)</f>
        <v>Qtr 4</v>
      </c>
      <c r="G1463" s="3" t="str">
        <f>TEXT(Table1[[#This Row],[Date]],"mmmm")</f>
        <v>November</v>
      </c>
      <c r="H1463" s="3" t="s">
        <v>1082</v>
      </c>
      <c r="I1463" s="3" t="s">
        <v>28</v>
      </c>
      <c r="J1463" s="3">
        <v>4</v>
      </c>
      <c r="K1463" s="3">
        <v>15185.48</v>
      </c>
      <c r="L1463" s="3">
        <f>Table1[[#This Row],[Price Per Unit]]*Table1[[#This Row],[Units Sold]]</f>
        <v>60741.919999999998</v>
      </c>
      <c r="M1463" s="3" t="s">
        <v>406</v>
      </c>
      <c r="N1463" s="3">
        <v>34</v>
      </c>
      <c r="O1463" s="3" t="s">
        <v>30</v>
      </c>
      <c r="P1463" s="3" t="s">
        <v>45</v>
      </c>
      <c r="Q1463" s="4">
        <v>5</v>
      </c>
      <c r="R1463" s="4" t="str">
        <f>IF(Table1[[#This Row],[Customer Ratings]]&gt;=4, "Good",IF(Table1[[#This Row],[Customer Ratings]]=3, "Average","Poor"))</f>
        <v>Good</v>
      </c>
      <c r="S1463" s="3" t="s">
        <v>87</v>
      </c>
    </row>
    <row r="1464" spans="1:19" x14ac:dyDescent="0.25">
      <c r="A1464" s="3">
        <v>1463</v>
      </c>
      <c r="B1464" s="5">
        <f>DATE(Table1[[#This Row],[Year]],Table1[[#This Row],[Month]],Table1[[#This Row],[Day]])</f>
        <v>44895</v>
      </c>
      <c r="C1464" s="3">
        <v>30</v>
      </c>
      <c r="D1464" s="3">
        <v>11</v>
      </c>
      <c r="E1464" s="3">
        <v>2022</v>
      </c>
      <c r="F1464" s="3" t="str">
        <f>"Qtr"&amp; " " &amp;CHOOSE(MONTH(Table1[[#This Row],[Date]]),1,1,1,2,2,2,3,3,3,4,4,4)</f>
        <v>Qtr 4</v>
      </c>
      <c r="G1464" s="3" t="str">
        <f>TEXT(Table1[[#This Row],[Date]],"mmmm")</f>
        <v>November</v>
      </c>
      <c r="H1464" s="3" t="s">
        <v>1083</v>
      </c>
      <c r="I1464" s="3" t="s">
        <v>39</v>
      </c>
      <c r="J1464" s="3">
        <v>2</v>
      </c>
      <c r="K1464" s="3">
        <v>57954.29</v>
      </c>
      <c r="L1464" s="3">
        <f>Table1[[#This Row],[Price Per Unit]]*Table1[[#This Row],[Units Sold]]</f>
        <v>115908.58</v>
      </c>
      <c r="M1464" s="3" t="s">
        <v>407</v>
      </c>
      <c r="N1464" s="3">
        <v>38</v>
      </c>
      <c r="O1464" s="3" t="s">
        <v>15</v>
      </c>
      <c r="P1464" s="3" t="s">
        <v>31</v>
      </c>
      <c r="Q1464" s="4">
        <v>5</v>
      </c>
      <c r="R1464" s="4" t="str">
        <f>IF(Table1[[#This Row],[Customer Ratings]]&gt;=4, "Good",IF(Table1[[#This Row],[Customer Ratings]]=3, "Average","Poor"))</f>
        <v>Good</v>
      </c>
      <c r="S1464" s="3" t="s">
        <v>76</v>
      </c>
    </row>
    <row r="1465" spans="1:19" x14ac:dyDescent="0.25">
      <c r="A1465" s="3">
        <v>1464</v>
      </c>
      <c r="B1465" s="5">
        <f>DATE(Table1[[#This Row],[Year]],Table1[[#This Row],[Month]],Table1[[#This Row],[Day]])</f>
        <v>44895</v>
      </c>
      <c r="C1465" s="3">
        <v>30</v>
      </c>
      <c r="D1465" s="3">
        <v>11</v>
      </c>
      <c r="E1465" s="3">
        <v>2022</v>
      </c>
      <c r="F1465" s="3" t="str">
        <f>"Qtr"&amp; " " &amp;CHOOSE(MONTH(Table1[[#This Row],[Date]]),1,1,1,2,2,2,3,3,3,4,4,4)</f>
        <v>Qtr 4</v>
      </c>
      <c r="G1465" s="3" t="str">
        <f>TEXT(Table1[[#This Row],[Date]],"mmmm")</f>
        <v>November</v>
      </c>
      <c r="H1465" s="3" t="s">
        <v>1083</v>
      </c>
      <c r="I1465" s="3" t="s">
        <v>18</v>
      </c>
      <c r="J1465" s="3">
        <v>4</v>
      </c>
      <c r="K1465" s="3">
        <v>63916.99</v>
      </c>
      <c r="L1465" s="3">
        <f>Table1[[#This Row],[Price Per Unit]]*Table1[[#This Row],[Units Sold]]</f>
        <v>255667.96</v>
      </c>
      <c r="M1465" s="3" t="s">
        <v>646</v>
      </c>
      <c r="N1465" s="3">
        <v>48</v>
      </c>
      <c r="O1465" s="3" t="s">
        <v>35</v>
      </c>
      <c r="P1465" s="3" t="s">
        <v>31</v>
      </c>
      <c r="Q1465" s="4">
        <v>3</v>
      </c>
      <c r="R1465" s="4" t="str">
        <f>IF(Table1[[#This Row],[Customer Ratings]]&gt;=4, "Good",IF(Table1[[#This Row],[Customer Ratings]]=3, "Average","Poor"))</f>
        <v>Average</v>
      </c>
      <c r="S1465" s="3" t="s">
        <v>22</v>
      </c>
    </row>
    <row r="1466" spans="1:19" x14ac:dyDescent="0.25">
      <c r="A1466" s="3">
        <v>1465</v>
      </c>
      <c r="B1466" s="5">
        <f>DATE(Table1[[#This Row],[Year]],Table1[[#This Row],[Month]],Table1[[#This Row],[Day]])</f>
        <v>44895</v>
      </c>
      <c r="C1466" s="3">
        <v>30</v>
      </c>
      <c r="D1466" s="3">
        <v>11</v>
      </c>
      <c r="E1466" s="3">
        <v>2022</v>
      </c>
      <c r="F1466" s="3" t="str">
        <f>"Qtr"&amp; " " &amp;CHOOSE(MONTH(Table1[[#This Row],[Date]]),1,1,1,2,2,2,3,3,3,4,4,4)</f>
        <v>Qtr 4</v>
      </c>
      <c r="G1466" s="3" t="str">
        <f>TEXT(Table1[[#This Row],[Date]],"mmmm")</f>
        <v>November</v>
      </c>
      <c r="H1466" s="3" t="s">
        <v>1083</v>
      </c>
      <c r="I1466" s="3" t="s">
        <v>13</v>
      </c>
      <c r="J1466" s="3">
        <v>8</v>
      </c>
      <c r="K1466" s="3">
        <v>66468.14</v>
      </c>
      <c r="L1466" s="3">
        <f>Table1[[#This Row],[Price Per Unit]]*Table1[[#This Row],[Units Sold]]</f>
        <v>531745.12</v>
      </c>
      <c r="M1466" s="3" t="s">
        <v>278</v>
      </c>
      <c r="N1466" s="3">
        <v>39</v>
      </c>
      <c r="O1466" s="3" t="s">
        <v>20</v>
      </c>
      <c r="P1466" s="3" t="s">
        <v>16</v>
      </c>
      <c r="Q1466" s="4">
        <v>5</v>
      </c>
      <c r="R1466" s="4" t="str">
        <f>IF(Table1[[#This Row],[Customer Ratings]]&gt;=4, "Good",IF(Table1[[#This Row],[Customer Ratings]]=3, "Average","Poor"))</f>
        <v>Good</v>
      </c>
      <c r="S1466" s="3" t="s">
        <v>72</v>
      </c>
    </row>
    <row r="1467" spans="1:19" x14ac:dyDescent="0.25">
      <c r="A1467" s="3">
        <v>1466</v>
      </c>
      <c r="B1467" s="5">
        <f>DATE(Table1[[#This Row],[Year]],Table1[[#This Row],[Month]],Table1[[#This Row],[Day]])</f>
        <v>44895</v>
      </c>
      <c r="C1467" s="3">
        <v>30</v>
      </c>
      <c r="D1467" s="3">
        <v>11</v>
      </c>
      <c r="E1467" s="3">
        <v>2022</v>
      </c>
      <c r="F1467" s="3" t="str">
        <f>"Qtr"&amp; " " &amp;CHOOSE(MONTH(Table1[[#This Row],[Date]]),1,1,1,2,2,2,3,3,3,4,4,4)</f>
        <v>Qtr 4</v>
      </c>
      <c r="G1467" s="3" t="str">
        <f>TEXT(Table1[[#This Row],[Date]],"mmmm")</f>
        <v>November</v>
      </c>
      <c r="H1467" s="3" t="s">
        <v>1083</v>
      </c>
      <c r="I1467" s="3" t="s">
        <v>28</v>
      </c>
      <c r="J1467" s="3">
        <v>8</v>
      </c>
      <c r="K1467" s="3">
        <v>62048.62</v>
      </c>
      <c r="L1467" s="3">
        <f>Table1[[#This Row],[Price Per Unit]]*Table1[[#This Row],[Units Sold]]</f>
        <v>496388.96</v>
      </c>
      <c r="M1467" s="3" t="s">
        <v>338</v>
      </c>
      <c r="N1467" s="3">
        <v>28</v>
      </c>
      <c r="O1467" s="3" t="s">
        <v>137</v>
      </c>
      <c r="P1467" s="3" t="s">
        <v>31</v>
      </c>
      <c r="Q1467" s="4">
        <v>4</v>
      </c>
      <c r="R1467" s="4" t="str">
        <f>IF(Table1[[#This Row],[Customer Ratings]]&gt;=4, "Good",IF(Table1[[#This Row],[Customer Ratings]]=3, "Average","Poor"))</f>
        <v>Good</v>
      </c>
      <c r="S1467" s="3" t="s">
        <v>38</v>
      </c>
    </row>
    <row r="1468" spans="1:19" x14ac:dyDescent="0.25">
      <c r="A1468" s="3">
        <v>1467</v>
      </c>
      <c r="B1468" s="5">
        <f>DATE(Table1[[#This Row],[Year]],Table1[[#This Row],[Month]],Table1[[#This Row],[Day]])</f>
        <v>44896</v>
      </c>
      <c r="C1468" s="3">
        <v>1</v>
      </c>
      <c r="D1468" s="3">
        <v>12</v>
      </c>
      <c r="E1468" s="3">
        <v>2022</v>
      </c>
      <c r="F1468" s="3" t="str">
        <f>"Qtr"&amp; " " &amp;CHOOSE(MONTH(Table1[[#This Row],[Date]]),1,1,1,2,2,2,3,3,3,4,4,4)</f>
        <v>Qtr 4</v>
      </c>
      <c r="G1468" s="3" t="str">
        <f>TEXT(Table1[[#This Row],[Date]],"mmmm")</f>
        <v>December</v>
      </c>
      <c r="H1468" s="3" t="s">
        <v>1084</v>
      </c>
      <c r="I1468" s="3" t="s">
        <v>18</v>
      </c>
      <c r="J1468" s="3">
        <v>9</v>
      </c>
      <c r="K1468" s="3">
        <v>27253</v>
      </c>
      <c r="L1468" s="3">
        <f>Table1[[#This Row],[Price Per Unit]]*Table1[[#This Row],[Units Sold]]</f>
        <v>245277</v>
      </c>
      <c r="M1468" s="3" t="s">
        <v>524</v>
      </c>
      <c r="N1468" s="3">
        <v>51</v>
      </c>
      <c r="O1468" s="3" t="s">
        <v>20</v>
      </c>
      <c r="P1468" s="3" t="s">
        <v>16</v>
      </c>
      <c r="Q1468" s="4">
        <v>5</v>
      </c>
      <c r="R1468" s="4" t="str">
        <f>IF(Table1[[#This Row],[Customer Ratings]]&gt;=4, "Good",IF(Table1[[#This Row],[Customer Ratings]]=3, "Average","Poor"))</f>
        <v>Good</v>
      </c>
      <c r="S1468" s="3" t="s">
        <v>55</v>
      </c>
    </row>
    <row r="1469" spans="1:19" x14ac:dyDescent="0.25">
      <c r="A1469" s="3">
        <v>1468</v>
      </c>
      <c r="B1469" s="5">
        <f>DATE(Table1[[#This Row],[Year]],Table1[[#This Row],[Month]],Table1[[#This Row],[Day]])</f>
        <v>44896</v>
      </c>
      <c r="C1469" s="3">
        <v>1</v>
      </c>
      <c r="D1469" s="3">
        <v>12</v>
      </c>
      <c r="E1469" s="3">
        <v>2022</v>
      </c>
      <c r="F1469" s="3" t="str">
        <f>"Qtr"&amp; " " &amp;CHOOSE(MONTH(Table1[[#This Row],[Date]]),1,1,1,2,2,2,3,3,3,4,4,4)</f>
        <v>Qtr 4</v>
      </c>
      <c r="G1469" s="3" t="str">
        <f>TEXT(Table1[[#This Row],[Date]],"mmmm")</f>
        <v>December</v>
      </c>
      <c r="H1469" s="3" t="s">
        <v>1084</v>
      </c>
      <c r="I1469" s="3" t="s">
        <v>18</v>
      </c>
      <c r="J1469" s="3">
        <v>5</v>
      </c>
      <c r="K1469" s="3">
        <v>29985.23</v>
      </c>
      <c r="L1469" s="3">
        <f>Table1[[#This Row],[Price Per Unit]]*Table1[[#This Row],[Units Sold]]</f>
        <v>149926.15</v>
      </c>
      <c r="M1469" s="3" t="s">
        <v>173</v>
      </c>
      <c r="N1469" s="3">
        <v>32</v>
      </c>
      <c r="O1469" s="3" t="s">
        <v>24</v>
      </c>
      <c r="P1469" s="3" t="s">
        <v>21</v>
      </c>
      <c r="Q1469" s="4">
        <v>3</v>
      </c>
      <c r="R1469" s="4" t="str">
        <f>IF(Table1[[#This Row],[Customer Ratings]]&gt;=4, "Good",IF(Table1[[#This Row],[Customer Ratings]]=3, "Average","Poor"))</f>
        <v>Average</v>
      </c>
      <c r="S1469" s="3" t="s">
        <v>55</v>
      </c>
    </row>
    <row r="1470" spans="1:19" x14ac:dyDescent="0.25">
      <c r="A1470" s="3">
        <v>1469</v>
      </c>
      <c r="B1470" s="5">
        <f>DATE(Table1[[#This Row],[Year]],Table1[[#This Row],[Month]],Table1[[#This Row],[Day]])</f>
        <v>44896</v>
      </c>
      <c r="C1470" s="3">
        <v>1</v>
      </c>
      <c r="D1470" s="3">
        <v>12</v>
      </c>
      <c r="E1470" s="3">
        <v>2022</v>
      </c>
      <c r="F1470" s="3" t="str">
        <f>"Qtr"&amp; " " &amp;CHOOSE(MONTH(Table1[[#This Row],[Date]]),1,1,1,2,2,2,3,3,3,4,4,4)</f>
        <v>Qtr 4</v>
      </c>
      <c r="G1470" s="3" t="str">
        <f>TEXT(Table1[[#This Row],[Date]],"mmmm")</f>
        <v>December</v>
      </c>
      <c r="H1470" s="3" t="s">
        <v>1084</v>
      </c>
      <c r="I1470" s="3" t="s">
        <v>39</v>
      </c>
      <c r="J1470" s="3">
        <v>7</v>
      </c>
      <c r="K1470" s="3">
        <v>35592.74</v>
      </c>
      <c r="L1470" s="3">
        <f>Table1[[#This Row],[Price Per Unit]]*Table1[[#This Row],[Units Sold]]</f>
        <v>249149.18</v>
      </c>
      <c r="M1470" s="3" t="s">
        <v>19</v>
      </c>
      <c r="N1470" s="3">
        <v>27</v>
      </c>
      <c r="O1470" s="3" t="s">
        <v>58</v>
      </c>
      <c r="P1470" s="3" t="s">
        <v>31</v>
      </c>
      <c r="Q1470" s="4">
        <v>1</v>
      </c>
      <c r="R1470" s="4" t="str">
        <f>IF(Table1[[#This Row],[Customer Ratings]]&gt;=4, "Good",IF(Table1[[#This Row],[Customer Ratings]]=3, "Average","Poor"))</f>
        <v>Poor</v>
      </c>
      <c r="S1470" s="3" t="s">
        <v>76</v>
      </c>
    </row>
    <row r="1471" spans="1:19" x14ac:dyDescent="0.25">
      <c r="A1471" s="3">
        <v>1470</v>
      </c>
      <c r="B1471" s="5">
        <f>DATE(Table1[[#This Row],[Year]],Table1[[#This Row],[Month]],Table1[[#This Row],[Day]])</f>
        <v>44896</v>
      </c>
      <c r="C1471" s="3">
        <v>1</v>
      </c>
      <c r="D1471" s="3">
        <v>12</v>
      </c>
      <c r="E1471" s="3">
        <v>2022</v>
      </c>
      <c r="F1471" s="3" t="str">
        <f>"Qtr"&amp; " " &amp;CHOOSE(MONTH(Table1[[#This Row],[Date]]),1,1,1,2,2,2,3,3,3,4,4,4)</f>
        <v>Qtr 4</v>
      </c>
      <c r="G1471" s="3" t="str">
        <f>TEXT(Table1[[#This Row],[Date]],"mmmm")</f>
        <v>December</v>
      </c>
      <c r="H1471" s="3" t="s">
        <v>1084</v>
      </c>
      <c r="I1471" s="3" t="s">
        <v>18</v>
      </c>
      <c r="J1471" s="3">
        <v>3</v>
      </c>
      <c r="K1471" s="3">
        <v>18357.8</v>
      </c>
      <c r="L1471" s="3">
        <f>Table1[[#This Row],[Price Per Unit]]*Table1[[#This Row],[Units Sold]]</f>
        <v>55073.399999999994</v>
      </c>
      <c r="M1471" s="3" t="s">
        <v>841</v>
      </c>
      <c r="N1471" s="3">
        <v>55</v>
      </c>
      <c r="O1471" s="3" t="s">
        <v>20</v>
      </c>
      <c r="P1471" s="3" t="s">
        <v>45</v>
      </c>
      <c r="Q1471" s="4">
        <v>5</v>
      </c>
      <c r="R1471" s="4" t="str">
        <f>IF(Table1[[#This Row],[Customer Ratings]]&gt;=4, "Good",IF(Table1[[#This Row],[Customer Ratings]]=3, "Average","Poor"))</f>
        <v>Good</v>
      </c>
      <c r="S1471" s="3" t="s">
        <v>22</v>
      </c>
    </row>
    <row r="1472" spans="1:19" x14ac:dyDescent="0.25">
      <c r="A1472" s="3">
        <v>1471</v>
      </c>
      <c r="B1472" s="5">
        <f>DATE(Table1[[#This Row],[Year]],Table1[[#This Row],[Month]],Table1[[#This Row],[Day]])</f>
        <v>44897</v>
      </c>
      <c r="C1472" s="3">
        <v>2</v>
      </c>
      <c r="D1472" s="3">
        <v>12</v>
      </c>
      <c r="E1472" s="3">
        <v>2022</v>
      </c>
      <c r="F1472" s="3" t="str">
        <f>"Qtr"&amp; " " &amp;CHOOSE(MONTH(Table1[[#This Row],[Date]]),1,1,1,2,2,2,3,3,3,4,4,4)</f>
        <v>Qtr 4</v>
      </c>
      <c r="G1472" s="3" t="str">
        <f>TEXT(Table1[[#This Row],[Date]],"mmmm")</f>
        <v>December</v>
      </c>
      <c r="H1472" s="3" t="s">
        <v>1085</v>
      </c>
      <c r="I1472" s="3" t="s">
        <v>13</v>
      </c>
      <c r="J1472" s="3">
        <v>4</v>
      </c>
      <c r="K1472" s="3">
        <v>11336.35</v>
      </c>
      <c r="L1472" s="3">
        <f>Table1[[#This Row],[Price Per Unit]]*Table1[[#This Row],[Units Sold]]</f>
        <v>45345.4</v>
      </c>
      <c r="M1472" s="3" t="s">
        <v>239</v>
      </c>
      <c r="N1472" s="3">
        <v>49</v>
      </c>
      <c r="O1472" s="3" t="s">
        <v>41</v>
      </c>
      <c r="P1472" s="3" t="s">
        <v>16</v>
      </c>
      <c r="Q1472" s="4">
        <v>5</v>
      </c>
      <c r="R1472" s="4" t="str">
        <f>IF(Table1[[#This Row],[Customer Ratings]]&gt;=4, "Good",IF(Table1[[#This Row],[Customer Ratings]]=3, "Average","Poor"))</f>
        <v>Good</v>
      </c>
      <c r="S1472" s="3" t="s">
        <v>72</v>
      </c>
    </row>
    <row r="1473" spans="1:19" x14ac:dyDescent="0.25">
      <c r="A1473" s="3">
        <v>1472</v>
      </c>
      <c r="B1473" s="5">
        <f>DATE(Table1[[#This Row],[Year]],Table1[[#This Row],[Month]],Table1[[#This Row],[Day]])</f>
        <v>44897</v>
      </c>
      <c r="C1473" s="3">
        <v>2</v>
      </c>
      <c r="D1473" s="3">
        <v>12</v>
      </c>
      <c r="E1473" s="3">
        <v>2022</v>
      </c>
      <c r="F1473" s="3" t="str">
        <f>"Qtr"&amp; " " &amp;CHOOSE(MONTH(Table1[[#This Row],[Date]]),1,1,1,2,2,2,3,3,3,4,4,4)</f>
        <v>Qtr 4</v>
      </c>
      <c r="G1473" s="3" t="str">
        <f>TEXT(Table1[[#This Row],[Date]],"mmmm")</f>
        <v>December</v>
      </c>
      <c r="H1473" s="3" t="s">
        <v>1085</v>
      </c>
      <c r="I1473" s="3" t="s">
        <v>13</v>
      </c>
      <c r="J1473" s="3">
        <v>9</v>
      </c>
      <c r="K1473" s="3">
        <v>62147.3</v>
      </c>
      <c r="L1473" s="3">
        <f>Table1[[#This Row],[Price Per Unit]]*Table1[[#This Row],[Units Sold]]</f>
        <v>559325.70000000007</v>
      </c>
      <c r="M1473" s="3" t="s">
        <v>796</v>
      </c>
      <c r="N1473" s="3">
        <v>48</v>
      </c>
      <c r="O1473" s="3" t="s">
        <v>102</v>
      </c>
      <c r="P1473" s="3" t="s">
        <v>16</v>
      </c>
      <c r="Q1473" s="4">
        <v>3</v>
      </c>
      <c r="R1473" s="4" t="str">
        <f>IF(Table1[[#This Row],[Customer Ratings]]&gt;=4, "Good",IF(Table1[[#This Row],[Customer Ratings]]=3, "Average","Poor"))</f>
        <v>Average</v>
      </c>
      <c r="S1473" s="3" t="s">
        <v>27</v>
      </c>
    </row>
    <row r="1474" spans="1:19" x14ac:dyDescent="0.25">
      <c r="A1474" s="3">
        <v>1473</v>
      </c>
      <c r="B1474" s="5">
        <f>DATE(Table1[[#This Row],[Year]],Table1[[#This Row],[Month]],Table1[[#This Row],[Day]])</f>
        <v>44897</v>
      </c>
      <c r="C1474" s="3">
        <v>2</v>
      </c>
      <c r="D1474" s="3">
        <v>12</v>
      </c>
      <c r="E1474" s="3">
        <v>2022</v>
      </c>
      <c r="F1474" s="3" t="str">
        <f>"Qtr"&amp; " " &amp;CHOOSE(MONTH(Table1[[#This Row],[Date]]),1,1,1,2,2,2,3,3,3,4,4,4)</f>
        <v>Qtr 4</v>
      </c>
      <c r="G1474" s="3" t="str">
        <f>TEXT(Table1[[#This Row],[Date]],"mmmm")</f>
        <v>December</v>
      </c>
      <c r="H1474" s="3" t="s">
        <v>1085</v>
      </c>
      <c r="I1474" s="3" t="s">
        <v>33</v>
      </c>
      <c r="J1474" s="3">
        <v>1</v>
      </c>
      <c r="K1474" s="3">
        <v>43247.72</v>
      </c>
      <c r="L1474" s="3">
        <f>Table1[[#This Row],[Price Per Unit]]*Table1[[#This Row],[Units Sold]]</f>
        <v>43247.72</v>
      </c>
      <c r="M1474" s="3" t="s">
        <v>706</v>
      </c>
      <c r="N1474" s="3">
        <v>54</v>
      </c>
      <c r="O1474" s="3" t="s">
        <v>20</v>
      </c>
      <c r="P1474" s="3" t="s">
        <v>45</v>
      </c>
      <c r="Q1474" s="4">
        <v>5</v>
      </c>
      <c r="R1474" s="4" t="str">
        <f>IF(Table1[[#This Row],[Customer Ratings]]&gt;=4, "Good",IF(Table1[[#This Row],[Customer Ratings]]=3, "Average","Poor"))</f>
        <v>Good</v>
      </c>
      <c r="S1474" s="3" t="s">
        <v>36</v>
      </c>
    </row>
    <row r="1475" spans="1:19" x14ac:dyDescent="0.25">
      <c r="A1475" s="3">
        <v>1474</v>
      </c>
      <c r="B1475" s="5">
        <f>DATE(Table1[[#This Row],[Year]],Table1[[#This Row],[Month]],Table1[[#This Row],[Day]])</f>
        <v>44897</v>
      </c>
      <c r="C1475" s="3">
        <v>2</v>
      </c>
      <c r="D1475" s="3">
        <v>12</v>
      </c>
      <c r="E1475" s="3">
        <v>2022</v>
      </c>
      <c r="F1475" s="3" t="str">
        <f>"Qtr"&amp; " " &amp;CHOOSE(MONTH(Table1[[#This Row],[Date]]),1,1,1,2,2,2,3,3,3,4,4,4)</f>
        <v>Qtr 4</v>
      </c>
      <c r="G1475" s="3" t="str">
        <f>TEXT(Table1[[#This Row],[Date]],"mmmm")</f>
        <v>December</v>
      </c>
      <c r="H1475" s="3" t="s">
        <v>1085</v>
      </c>
      <c r="I1475" s="3" t="s">
        <v>13</v>
      </c>
      <c r="J1475" s="3">
        <v>2</v>
      </c>
      <c r="K1475" s="3">
        <v>46523.38</v>
      </c>
      <c r="L1475" s="3">
        <f>Table1[[#This Row],[Price Per Unit]]*Table1[[#This Row],[Units Sold]]</f>
        <v>93046.76</v>
      </c>
      <c r="M1475" s="3" t="s">
        <v>334</v>
      </c>
      <c r="N1475" s="3">
        <v>45</v>
      </c>
      <c r="O1475" s="3" t="s">
        <v>78</v>
      </c>
      <c r="P1475" s="3" t="s">
        <v>16</v>
      </c>
      <c r="Q1475" s="4">
        <v>1</v>
      </c>
      <c r="R1475" s="4" t="str">
        <f>IF(Table1[[#This Row],[Customer Ratings]]&gt;=4, "Good",IF(Table1[[#This Row],[Customer Ratings]]=3, "Average","Poor"))</f>
        <v>Poor</v>
      </c>
      <c r="S1475" s="3" t="s">
        <v>27</v>
      </c>
    </row>
    <row r="1476" spans="1:19" x14ac:dyDescent="0.25">
      <c r="A1476" s="3">
        <v>1475</v>
      </c>
      <c r="B1476" s="5">
        <f>DATE(Table1[[#This Row],[Year]],Table1[[#This Row],[Month]],Table1[[#This Row],[Day]])</f>
        <v>44898</v>
      </c>
      <c r="C1476" s="3">
        <v>3</v>
      </c>
      <c r="D1476" s="3">
        <v>12</v>
      </c>
      <c r="E1476" s="3">
        <v>2022</v>
      </c>
      <c r="F1476" s="3" t="str">
        <f>"Qtr"&amp; " " &amp;CHOOSE(MONTH(Table1[[#This Row],[Date]]),1,1,1,2,2,2,3,3,3,4,4,4)</f>
        <v>Qtr 4</v>
      </c>
      <c r="G1476" s="3" t="str">
        <f>TEXT(Table1[[#This Row],[Date]],"mmmm")</f>
        <v>December</v>
      </c>
      <c r="H1476" s="3" t="s">
        <v>1079</v>
      </c>
      <c r="I1476" s="3" t="s">
        <v>18</v>
      </c>
      <c r="J1476" s="3">
        <v>5</v>
      </c>
      <c r="K1476" s="3">
        <v>65619.31</v>
      </c>
      <c r="L1476" s="3">
        <f>Table1[[#This Row],[Price Per Unit]]*Table1[[#This Row],[Units Sold]]</f>
        <v>328096.55</v>
      </c>
      <c r="M1476" s="3" t="s">
        <v>771</v>
      </c>
      <c r="N1476" s="3">
        <v>48</v>
      </c>
      <c r="O1476" s="3" t="s">
        <v>20</v>
      </c>
      <c r="P1476" s="3" t="s">
        <v>16</v>
      </c>
      <c r="Q1476" s="4">
        <v>1</v>
      </c>
      <c r="R1476" s="4" t="str">
        <f>IF(Table1[[#This Row],[Customer Ratings]]&gt;=4, "Good",IF(Table1[[#This Row],[Customer Ratings]]=3, "Average","Poor"))</f>
        <v>Poor</v>
      </c>
      <c r="S1476" s="3" t="s">
        <v>22</v>
      </c>
    </row>
    <row r="1477" spans="1:19" x14ac:dyDescent="0.25">
      <c r="A1477" s="3">
        <v>1476</v>
      </c>
      <c r="B1477" s="5">
        <f>DATE(Table1[[#This Row],[Year]],Table1[[#This Row],[Month]],Table1[[#This Row],[Day]])</f>
        <v>44898</v>
      </c>
      <c r="C1477" s="3">
        <v>3</v>
      </c>
      <c r="D1477" s="3">
        <v>12</v>
      </c>
      <c r="E1477" s="3">
        <v>2022</v>
      </c>
      <c r="F1477" s="3" t="str">
        <f>"Qtr"&amp; " " &amp;CHOOSE(MONTH(Table1[[#This Row],[Date]]),1,1,1,2,2,2,3,3,3,4,4,4)</f>
        <v>Qtr 4</v>
      </c>
      <c r="G1477" s="3" t="str">
        <f>TEXT(Table1[[#This Row],[Date]],"mmmm")</f>
        <v>December</v>
      </c>
      <c r="H1477" s="3" t="s">
        <v>1079</v>
      </c>
      <c r="I1477" s="3" t="s">
        <v>13</v>
      </c>
      <c r="J1477" s="3">
        <v>3</v>
      </c>
      <c r="K1477" s="3">
        <v>49907.21</v>
      </c>
      <c r="L1477" s="3">
        <f>Table1[[#This Row],[Price Per Unit]]*Table1[[#This Row],[Units Sold]]</f>
        <v>149721.63</v>
      </c>
      <c r="M1477" s="3" t="s">
        <v>842</v>
      </c>
      <c r="N1477" s="3">
        <v>23</v>
      </c>
      <c r="O1477" s="3" t="s">
        <v>48</v>
      </c>
      <c r="P1477" s="3" t="s">
        <v>45</v>
      </c>
      <c r="Q1477" s="4">
        <v>5</v>
      </c>
      <c r="R1477" s="4" t="str">
        <f>IF(Table1[[#This Row],[Customer Ratings]]&gt;=4, "Good",IF(Table1[[#This Row],[Customer Ratings]]=3, "Average","Poor"))</f>
        <v>Good</v>
      </c>
      <c r="S1477" s="3" t="s">
        <v>17</v>
      </c>
    </row>
    <row r="1478" spans="1:19" x14ac:dyDescent="0.25">
      <c r="A1478" s="3">
        <v>1477</v>
      </c>
      <c r="B1478" s="5">
        <f>DATE(Table1[[#This Row],[Year]],Table1[[#This Row],[Month]],Table1[[#This Row],[Day]])</f>
        <v>44898</v>
      </c>
      <c r="C1478" s="3">
        <v>3</v>
      </c>
      <c r="D1478" s="3">
        <v>12</v>
      </c>
      <c r="E1478" s="3">
        <v>2022</v>
      </c>
      <c r="F1478" s="3" t="str">
        <f>"Qtr"&amp; " " &amp;CHOOSE(MONTH(Table1[[#This Row],[Date]]),1,1,1,2,2,2,3,3,3,4,4,4)</f>
        <v>Qtr 4</v>
      </c>
      <c r="G1478" s="3" t="str">
        <f>TEXT(Table1[[#This Row],[Date]],"mmmm")</f>
        <v>December</v>
      </c>
      <c r="H1478" s="3" t="s">
        <v>1079</v>
      </c>
      <c r="I1478" s="3" t="s">
        <v>39</v>
      </c>
      <c r="J1478" s="3">
        <v>2</v>
      </c>
      <c r="K1478" s="3">
        <v>51451.21</v>
      </c>
      <c r="L1478" s="3">
        <f>Table1[[#This Row],[Price Per Unit]]*Table1[[#This Row],[Units Sold]]</f>
        <v>102902.42</v>
      </c>
      <c r="M1478" s="3" t="s">
        <v>285</v>
      </c>
      <c r="N1478" s="3">
        <v>31</v>
      </c>
      <c r="O1478" s="3" t="s">
        <v>24</v>
      </c>
      <c r="P1478" s="3" t="s">
        <v>21</v>
      </c>
      <c r="Q1478" s="4">
        <v>4</v>
      </c>
      <c r="R1478" s="4" t="str">
        <f>IF(Table1[[#This Row],[Customer Ratings]]&gt;=4, "Good",IF(Table1[[#This Row],[Customer Ratings]]=3, "Average","Poor"))</f>
        <v>Good</v>
      </c>
      <c r="S1478" s="3" t="s">
        <v>76</v>
      </c>
    </row>
    <row r="1479" spans="1:19" x14ac:dyDescent="0.25">
      <c r="A1479" s="3">
        <v>1478</v>
      </c>
      <c r="B1479" s="5">
        <f>DATE(Table1[[#This Row],[Year]],Table1[[#This Row],[Month]],Table1[[#This Row],[Day]])</f>
        <v>44898</v>
      </c>
      <c r="C1479" s="3">
        <v>3</v>
      </c>
      <c r="D1479" s="3">
        <v>12</v>
      </c>
      <c r="E1479" s="3">
        <v>2022</v>
      </c>
      <c r="F1479" s="3" t="str">
        <f>"Qtr"&amp; " " &amp;CHOOSE(MONTH(Table1[[#This Row],[Date]]),1,1,1,2,2,2,3,3,3,4,4,4)</f>
        <v>Qtr 4</v>
      </c>
      <c r="G1479" s="3" t="str">
        <f>TEXT(Table1[[#This Row],[Date]],"mmmm")</f>
        <v>December</v>
      </c>
      <c r="H1479" s="3" t="s">
        <v>1079</v>
      </c>
      <c r="I1479" s="3" t="s">
        <v>33</v>
      </c>
      <c r="J1479" s="3">
        <v>1</v>
      </c>
      <c r="K1479" s="3">
        <v>57218.12</v>
      </c>
      <c r="L1479" s="3">
        <f>Table1[[#This Row],[Price Per Unit]]*Table1[[#This Row],[Units Sold]]</f>
        <v>57218.12</v>
      </c>
      <c r="M1479" s="3" t="s">
        <v>361</v>
      </c>
      <c r="N1479" s="3">
        <v>40</v>
      </c>
      <c r="O1479" s="3" t="s">
        <v>105</v>
      </c>
      <c r="P1479" s="3" t="s">
        <v>31</v>
      </c>
      <c r="Q1479" s="4">
        <v>5</v>
      </c>
      <c r="R1479" s="4" t="str">
        <f>IF(Table1[[#This Row],[Customer Ratings]]&gt;=4, "Good",IF(Table1[[#This Row],[Customer Ratings]]=3, "Average","Poor"))</f>
        <v>Good</v>
      </c>
      <c r="S1479" s="3" t="s">
        <v>36</v>
      </c>
    </row>
    <row r="1480" spans="1:19" x14ac:dyDescent="0.25">
      <c r="A1480" s="3">
        <v>1479</v>
      </c>
      <c r="B1480" s="5">
        <f>DATE(Table1[[#This Row],[Year]],Table1[[#This Row],[Month]],Table1[[#This Row],[Day]])</f>
        <v>44899</v>
      </c>
      <c r="C1480" s="3">
        <v>4</v>
      </c>
      <c r="D1480" s="3">
        <v>12</v>
      </c>
      <c r="E1480" s="3">
        <v>2022</v>
      </c>
      <c r="F1480" s="3" t="str">
        <f>"Qtr"&amp; " " &amp;CHOOSE(MONTH(Table1[[#This Row],[Date]]),1,1,1,2,2,2,3,3,3,4,4,4)</f>
        <v>Qtr 4</v>
      </c>
      <c r="G1480" s="3" t="str">
        <f>TEXT(Table1[[#This Row],[Date]],"mmmm")</f>
        <v>December</v>
      </c>
      <c r="H1480" s="3" t="s">
        <v>1080</v>
      </c>
      <c r="I1480" s="3" t="s">
        <v>18</v>
      </c>
      <c r="J1480" s="3">
        <v>3</v>
      </c>
      <c r="K1480" s="3">
        <v>16980.91</v>
      </c>
      <c r="L1480" s="3">
        <f>Table1[[#This Row],[Price Per Unit]]*Table1[[#This Row],[Units Sold]]</f>
        <v>50942.729999999996</v>
      </c>
      <c r="M1480" s="3" t="s">
        <v>589</v>
      </c>
      <c r="N1480" s="3">
        <v>33</v>
      </c>
      <c r="O1480" s="3" t="s">
        <v>20</v>
      </c>
      <c r="P1480" s="3" t="s">
        <v>31</v>
      </c>
      <c r="Q1480" s="4">
        <v>3</v>
      </c>
      <c r="R1480" s="4" t="str">
        <f>IF(Table1[[#This Row],[Customer Ratings]]&gt;=4, "Good",IF(Table1[[#This Row],[Customer Ratings]]=3, "Average","Poor"))</f>
        <v>Average</v>
      </c>
      <c r="S1480" s="3" t="s">
        <v>55</v>
      </c>
    </row>
    <row r="1481" spans="1:19" x14ac:dyDescent="0.25">
      <c r="A1481" s="3">
        <v>1480</v>
      </c>
      <c r="B1481" s="5">
        <f>DATE(Table1[[#This Row],[Year]],Table1[[#This Row],[Month]],Table1[[#This Row],[Day]])</f>
        <v>44899</v>
      </c>
      <c r="C1481" s="3">
        <v>4</v>
      </c>
      <c r="D1481" s="3">
        <v>12</v>
      </c>
      <c r="E1481" s="3">
        <v>2022</v>
      </c>
      <c r="F1481" s="3" t="str">
        <f>"Qtr"&amp; " " &amp;CHOOSE(MONTH(Table1[[#This Row],[Date]]),1,1,1,2,2,2,3,3,3,4,4,4)</f>
        <v>Qtr 4</v>
      </c>
      <c r="G1481" s="3" t="str">
        <f>TEXT(Table1[[#This Row],[Date]],"mmmm")</f>
        <v>December</v>
      </c>
      <c r="H1481" s="3" t="s">
        <v>1080</v>
      </c>
      <c r="I1481" s="3" t="s">
        <v>33</v>
      </c>
      <c r="J1481" s="3">
        <v>1</v>
      </c>
      <c r="K1481" s="3">
        <v>31609.73</v>
      </c>
      <c r="L1481" s="3">
        <f>Table1[[#This Row],[Price Per Unit]]*Table1[[#This Row],[Units Sold]]</f>
        <v>31609.73</v>
      </c>
      <c r="M1481" s="3" t="s">
        <v>843</v>
      </c>
      <c r="N1481" s="3">
        <v>42</v>
      </c>
      <c r="O1481" s="3" t="s">
        <v>125</v>
      </c>
      <c r="P1481" s="3" t="s">
        <v>31</v>
      </c>
      <c r="Q1481" s="4">
        <v>5</v>
      </c>
      <c r="R1481" s="4" t="str">
        <f>IF(Table1[[#This Row],[Customer Ratings]]&gt;=4, "Good",IF(Table1[[#This Row],[Customer Ratings]]=3, "Average","Poor"))</f>
        <v>Good</v>
      </c>
      <c r="S1481" s="3" t="s">
        <v>36</v>
      </c>
    </row>
    <row r="1482" spans="1:19" x14ac:dyDescent="0.25">
      <c r="A1482" s="3">
        <v>1481</v>
      </c>
      <c r="B1482" s="5">
        <f>DATE(Table1[[#This Row],[Year]],Table1[[#This Row],[Month]],Table1[[#This Row],[Day]])</f>
        <v>44899</v>
      </c>
      <c r="C1482" s="3">
        <v>4</v>
      </c>
      <c r="D1482" s="3">
        <v>12</v>
      </c>
      <c r="E1482" s="3">
        <v>2022</v>
      </c>
      <c r="F1482" s="3" t="str">
        <f>"Qtr"&amp; " " &amp;CHOOSE(MONTH(Table1[[#This Row],[Date]]),1,1,1,2,2,2,3,3,3,4,4,4)</f>
        <v>Qtr 4</v>
      </c>
      <c r="G1482" s="3" t="str">
        <f>TEXT(Table1[[#This Row],[Date]],"mmmm")</f>
        <v>December</v>
      </c>
      <c r="H1482" s="3" t="s">
        <v>1080</v>
      </c>
      <c r="I1482" s="3" t="s">
        <v>18</v>
      </c>
      <c r="J1482" s="3">
        <v>1</v>
      </c>
      <c r="K1482" s="3">
        <v>68092.479999999996</v>
      </c>
      <c r="L1482" s="3">
        <f>Table1[[#This Row],[Price Per Unit]]*Table1[[#This Row],[Units Sold]]</f>
        <v>68092.479999999996</v>
      </c>
      <c r="M1482" s="3" t="s">
        <v>189</v>
      </c>
      <c r="N1482" s="3">
        <v>56</v>
      </c>
      <c r="O1482" s="3" t="s">
        <v>78</v>
      </c>
      <c r="P1482" s="3" t="s">
        <v>31</v>
      </c>
      <c r="Q1482" s="4">
        <v>3</v>
      </c>
      <c r="R1482" s="4" t="str">
        <f>IF(Table1[[#This Row],[Customer Ratings]]&gt;=4, "Good",IF(Table1[[#This Row],[Customer Ratings]]=3, "Average","Poor"))</f>
        <v>Average</v>
      </c>
      <c r="S1482" s="3" t="s">
        <v>22</v>
      </c>
    </row>
    <row r="1483" spans="1:19" x14ac:dyDescent="0.25">
      <c r="A1483" s="3">
        <v>1482</v>
      </c>
      <c r="B1483" s="5">
        <f>DATE(Table1[[#This Row],[Year]],Table1[[#This Row],[Month]],Table1[[#This Row],[Day]])</f>
        <v>44899</v>
      </c>
      <c r="C1483" s="3">
        <v>4</v>
      </c>
      <c r="D1483" s="3">
        <v>12</v>
      </c>
      <c r="E1483" s="3">
        <v>2022</v>
      </c>
      <c r="F1483" s="3" t="str">
        <f>"Qtr"&amp; " " &amp;CHOOSE(MONTH(Table1[[#This Row],[Date]]),1,1,1,2,2,2,3,3,3,4,4,4)</f>
        <v>Qtr 4</v>
      </c>
      <c r="G1483" s="3" t="str">
        <f>TEXT(Table1[[#This Row],[Date]],"mmmm")</f>
        <v>December</v>
      </c>
      <c r="H1483" s="3" t="s">
        <v>1080</v>
      </c>
      <c r="I1483" s="3" t="s">
        <v>39</v>
      </c>
      <c r="J1483" s="3">
        <v>1</v>
      </c>
      <c r="K1483" s="3">
        <v>65375.8</v>
      </c>
      <c r="L1483" s="3">
        <f>Table1[[#This Row],[Price Per Unit]]*Table1[[#This Row],[Units Sold]]</f>
        <v>65375.8</v>
      </c>
      <c r="M1483" s="3" t="s">
        <v>484</v>
      </c>
      <c r="N1483" s="3">
        <v>19</v>
      </c>
      <c r="O1483" s="3" t="s">
        <v>58</v>
      </c>
      <c r="P1483" s="3" t="s">
        <v>31</v>
      </c>
      <c r="Q1483" s="4">
        <v>4</v>
      </c>
      <c r="R1483" s="4" t="str">
        <f>IF(Table1[[#This Row],[Customer Ratings]]&gt;=4, "Good",IF(Table1[[#This Row],[Customer Ratings]]=3, "Average","Poor"))</f>
        <v>Good</v>
      </c>
      <c r="S1483" s="3" t="s">
        <v>42</v>
      </c>
    </row>
    <row r="1484" spans="1:19" x14ac:dyDescent="0.25">
      <c r="A1484" s="3">
        <v>1483</v>
      </c>
      <c r="B1484" s="5">
        <f>DATE(Table1[[#This Row],[Year]],Table1[[#This Row],[Month]],Table1[[#This Row],[Day]])</f>
        <v>44900</v>
      </c>
      <c r="C1484" s="3">
        <v>5</v>
      </c>
      <c r="D1484" s="3">
        <v>12</v>
      </c>
      <c r="E1484" s="3">
        <v>2022</v>
      </c>
      <c r="F1484" s="3" t="str">
        <f>"Qtr"&amp; " " &amp;CHOOSE(MONTH(Table1[[#This Row],[Date]]),1,1,1,2,2,2,3,3,3,4,4,4)</f>
        <v>Qtr 4</v>
      </c>
      <c r="G1484" s="3" t="str">
        <f>TEXT(Table1[[#This Row],[Date]],"mmmm")</f>
        <v>December</v>
      </c>
      <c r="H1484" s="3" t="s">
        <v>1081</v>
      </c>
      <c r="I1484" s="3" t="s">
        <v>33</v>
      </c>
      <c r="J1484" s="3">
        <v>8</v>
      </c>
      <c r="K1484" s="3">
        <v>63044.52</v>
      </c>
      <c r="L1484" s="3">
        <f>Table1[[#This Row],[Price Per Unit]]*Table1[[#This Row],[Units Sold]]</f>
        <v>504356.16</v>
      </c>
      <c r="M1484" s="3" t="s">
        <v>239</v>
      </c>
      <c r="N1484" s="3">
        <v>55</v>
      </c>
      <c r="O1484" s="3" t="s">
        <v>65</v>
      </c>
      <c r="P1484" s="3" t="s">
        <v>31</v>
      </c>
      <c r="Q1484" s="4">
        <v>5</v>
      </c>
      <c r="R1484" s="4" t="str">
        <f>IF(Table1[[#This Row],[Customer Ratings]]&gt;=4, "Good",IF(Table1[[#This Row],[Customer Ratings]]=3, "Average","Poor"))</f>
        <v>Good</v>
      </c>
      <c r="S1484" s="3" t="s">
        <v>83</v>
      </c>
    </row>
    <row r="1485" spans="1:19" x14ac:dyDescent="0.25">
      <c r="A1485" s="3">
        <v>1484</v>
      </c>
      <c r="B1485" s="5">
        <f>DATE(Table1[[#This Row],[Year]],Table1[[#This Row],[Month]],Table1[[#This Row],[Day]])</f>
        <v>44900</v>
      </c>
      <c r="C1485" s="3">
        <v>5</v>
      </c>
      <c r="D1485" s="3">
        <v>12</v>
      </c>
      <c r="E1485" s="3">
        <v>2022</v>
      </c>
      <c r="F1485" s="3" t="str">
        <f>"Qtr"&amp; " " &amp;CHOOSE(MONTH(Table1[[#This Row],[Date]]),1,1,1,2,2,2,3,3,3,4,4,4)</f>
        <v>Qtr 4</v>
      </c>
      <c r="G1485" s="3" t="str">
        <f>TEXT(Table1[[#This Row],[Date]],"mmmm")</f>
        <v>December</v>
      </c>
      <c r="H1485" s="3" t="s">
        <v>1081</v>
      </c>
      <c r="I1485" s="3" t="s">
        <v>28</v>
      </c>
      <c r="J1485" s="3">
        <v>3</v>
      </c>
      <c r="K1485" s="3">
        <v>37125.31</v>
      </c>
      <c r="L1485" s="3">
        <f>Table1[[#This Row],[Price Per Unit]]*Table1[[#This Row],[Units Sold]]</f>
        <v>111375.93</v>
      </c>
      <c r="M1485" s="3" t="s">
        <v>579</v>
      </c>
      <c r="N1485" s="3">
        <v>58</v>
      </c>
      <c r="O1485" s="3" t="s">
        <v>24</v>
      </c>
      <c r="P1485" s="3" t="s">
        <v>16</v>
      </c>
      <c r="Q1485" s="4">
        <v>1</v>
      </c>
      <c r="R1485" s="4" t="str">
        <f>IF(Table1[[#This Row],[Customer Ratings]]&gt;=4, "Good",IF(Table1[[#This Row],[Customer Ratings]]=3, "Average","Poor"))</f>
        <v>Poor</v>
      </c>
      <c r="S1485" s="3" t="s">
        <v>87</v>
      </c>
    </row>
    <row r="1486" spans="1:19" x14ac:dyDescent="0.25">
      <c r="A1486" s="3">
        <v>1485</v>
      </c>
      <c r="B1486" s="5">
        <f>DATE(Table1[[#This Row],[Year]],Table1[[#This Row],[Month]],Table1[[#This Row],[Day]])</f>
        <v>44900</v>
      </c>
      <c r="C1486" s="3">
        <v>5</v>
      </c>
      <c r="D1486" s="3">
        <v>12</v>
      </c>
      <c r="E1486" s="3">
        <v>2022</v>
      </c>
      <c r="F1486" s="3" t="str">
        <f>"Qtr"&amp; " " &amp;CHOOSE(MONTH(Table1[[#This Row],[Date]]),1,1,1,2,2,2,3,3,3,4,4,4)</f>
        <v>Qtr 4</v>
      </c>
      <c r="G1486" s="3" t="str">
        <f>TEXT(Table1[[#This Row],[Date]],"mmmm")</f>
        <v>December</v>
      </c>
      <c r="H1486" s="3" t="s">
        <v>1081</v>
      </c>
      <c r="I1486" s="3" t="s">
        <v>18</v>
      </c>
      <c r="J1486" s="3">
        <v>1</v>
      </c>
      <c r="K1486" s="3">
        <v>61431.58</v>
      </c>
      <c r="L1486" s="3">
        <f>Table1[[#This Row],[Price Per Unit]]*Table1[[#This Row],[Units Sold]]</f>
        <v>61431.58</v>
      </c>
      <c r="M1486" s="3" t="s">
        <v>779</v>
      </c>
      <c r="N1486" s="3">
        <v>56</v>
      </c>
      <c r="O1486" s="3" t="s">
        <v>20</v>
      </c>
      <c r="P1486" s="3" t="s">
        <v>31</v>
      </c>
      <c r="Q1486" s="4">
        <v>3</v>
      </c>
      <c r="R1486" s="4" t="str">
        <f>IF(Table1[[#This Row],[Customer Ratings]]&gt;=4, "Good",IF(Table1[[#This Row],[Customer Ratings]]=3, "Average","Poor"))</f>
        <v>Average</v>
      </c>
      <c r="S1486" s="3" t="s">
        <v>25</v>
      </c>
    </row>
    <row r="1487" spans="1:19" x14ac:dyDescent="0.25">
      <c r="A1487" s="3">
        <v>1486</v>
      </c>
      <c r="B1487" s="5">
        <f>DATE(Table1[[#This Row],[Year]],Table1[[#This Row],[Month]],Table1[[#This Row],[Day]])</f>
        <v>44900</v>
      </c>
      <c r="C1487" s="3">
        <v>5</v>
      </c>
      <c r="D1487" s="3">
        <v>12</v>
      </c>
      <c r="E1487" s="3">
        <v>2022</v>
      </c>
      <c r="F1487" s="3" t="str">
        <f>"Qtr"&amp; " " &amp;CHOOSE(MONTH(Table1[[#This Row],[Date]]),1,1,1,2,2,2,3,3,3,4,4,4)</f>
        <v>Qtr 4</v>
      </c>
      <c r="G1487" s="3" t="str">
        <f>TEXT(Table1[[#This Row],[Date]],"mmmm")</f>
        <v>December</v>
      </c>
      <c r="H1487" s="3" t="s">
        <v>1081</v>
      </c>
      <c r="I1487" s="3" t="s">
        <v>28</v>
      </c>
      <c r="J1487" s="3">
        <v>7</v>
      </c>
      <c r="K1487" s="3">
        <v>12903.75</v>
      </c>
      <c r="L1487" s="3">
        <f>Table1[[#This Row],[Price Per Unit]]*Table1[[#This Row],[Units Sold]]</f>
        <v>90326.25</v>
      </c>
      <c r="M1487" s="3" t="s">
        <v>82</v>
      </c>
      <c r="N1487" s="3">
        <v>51</v>
      </c>
      <c r="O1487" s="3" t="s">
        <v>24</v>
      </c>
      <c r="P1487" s="3" t="s">
        <v>16</v>
      </c>
      <c r="Q1487" s="4">
        <v>3</v>
      </c>
      <c r="R1487" s="4" t="str">
        <f>IF(Table1[[#This Row],[Customer Ratings]]&gt;=4, "Good",IF(Table1[[#This Row],[Customer Ratings]]=3, "Average","Poor"))</f>
        <v>Average</v>
      </c>
      <c r="S1487" s="3" t="s">
        <v>32</v>
      </c>
    </row>
    <row r="1488" spans="1:19" x14ac:dyDescent="0.25">
      <c r="A1488" s="3">
        <v>1487</v>
      </c>
      <c r="B1488" s="5">
        <f>DATE(Table1[[#This Row],[Year]],Table1[[#This Row],[Month]],Table1[[#This Row],[Day]])</f>
        <v>44901</v>
      </c>
      <c r="C1488" s="3">
        <v>6</v>
      </c>
      <c r="D1488" s="3">
        <v>12</v>
      </c>
      <c r="E1488" s="3">
        <v>2022</v>
      </c>
      <c r="F1488" s="3" t="str">
        <f>"Qtr"&amp; " " &amp;CHOOSE(MONTH(Table1[[#This Row],[Date]]),1,1,1,2,2,2,3,3,3,4,4,4)</f>
        <v>Qtr 4</v>
      </c>
      <c r="G1488" s="3" t="str">
        <f>TEXT(Table1[[#This Row],[Date]],"mmmm")</f>
        <v>December</v>
      </c>
      <c r="H1488" s="3" t="s">
        <v>1082</v>
      </c>
      <c r="I1488" s="3" t="s">
        <v>33</v>
      </c>
      <c r="J1488" s="3">
        <v>3</v>
      </c>
      <c r="K1488" s="3">
        <v>18911.05</v>
      </c>
      <c r="L1488" s="3">
        <f>Table1[[#This Row],[Price Per Unit]]*Table1[[#This Row],[Units Sold]]</f>
        <v>56733.149999999994</v>
      </c>
      <c r="M1488" s="3" t="s">
        <v>844</v>
      </c>
      <c r="N1488" s="3">
        <v>57</v>
      </c>
      <c r="O1488" s="3" t="s">
        <v>137</v>
      </c>
      <c r="P1488" s="3" t="s">
        <v>45</v>
      </c>
      <c r="Q1488" s="4">
        <v>1</v>
      </c>
      <c r="R1488" s="4" t="str">
        <f>IF(Table1[[#This Row],[Customer Ratings]]&gt;=4, "Good",IF(Table1[[#This Row],[Customer Ratings]]=3, "Average","Poor"))</f>
        <v>Poor</v>
      </c>
      <c r="S1488" s="3" t="s">
        <v>46</v>
      </c>
    </row>
    <row r="1489" spans="1:19" x14ac:dyDescent="0.25">
      <c r="A1489" s="3">
        <v>1488</v>
      </c>
      <c r="B1489" s="5">
        <f>DATE(Table1[[#This Row],[Year]],Table1[[#This Row],[Month]],Table1[[#This Row],[Day]])</f>
        <v>44901</v>
      </c>
      <c r="C1489" s="3">
        <v>6</v>
      </c>
      <c r="D1489" s="3">
        <v>12</v>
      </c>
      <c r="E1489" s="3">
        <v>2022</v>
      </c>
      <c r="F1489" s="3" t="str">
        <f>"Qtr"&amp; " " &amp;CHOOSE(MONTH(Table1[[#This Row],[Date]]),1,1,1,2,2,2,3,3,3,4,4,4)</f>
        <v>Qtr 4</v>
      </c>
      <c r="G1489" s="3" t="str">
        <f>TEXT(Table1[[#This Row],[Date]],"mmmm")</f>
        <v>December</v>
      </c>
      <c r="H1489" s="3" t="s">
        <v>1082</v>
      </c>
      <c r="I1489" s="3" t="s">
        <v>28</v>
      </c>
      <c r="J1489" s="3">
        <v>8</v>
      </c>
      <c r="K1489" s="3">
        <v>34838.06</v>
      </c>
      <c r="L1489" s="3">
        <f>Table1[[#This Row],[Price Per Unit]]*Table1[[#This Row],[Units Sold]]</f>
        <v>278704.48</v>
      </c>
      <c r="M1489" s="3" t="s">
        <v>63</v>
      </c>
      <c r="N1489" s="3">
        <v>42</v>
      </c>
      <c r="O1489" s="3" t="s">
        <v>20</v>
      </c>
      <c r="P1489" s="3" t="s">
        <v>21</v>
      </c>
      <c r="Q1489" s="4">
        <v>5</v>
      </c>
      <c r="R1489" s="4" t="str">
        <f>IF(Table1[[#This Row],[Customer Ratings]]&gt;=4, "Good",IF(Table1[[#This Row],[Customer Ratings]]=3, "Average","Poor"))</f>
        <v>Good</v>
      </c>
      <c r="S1489" s="3" t="s">
        <v>87</v>
      </c>
    </row>
    <row r="1490" spans="1:19" x14ac:dyDescent="0.25">
      <c r="A1490" s="3">
        <v>1489</v>
      </c>
      <c r="B1490" s="5">
        <f>DATE(Table1[[#This Row],[Year]],Table1[[#This Row],[Month]],Table1[[#This Row],[Day]])</f>
        <v>44901</v>
      </c>
      <c r="C1490" s="3">
        <v>6</v>
      </c>
      <c r="D1490" s="3">
        <v>12</v>
      </c>
      <c r="E1490" s="3">
        <v>2022</v>
      </c>
      <c r="F1490" s="3" t="str">
        <f>"Qtr"&amp; " " &amp;CHOOSE(MONTH(Table1[[#This Row],[Date]]),1,1,1,2,2,2,3,3,3,4,4,4)</f>
        <v>Qtr 4</v>
      </c>
      <c r="G1490" s="3" t="str">
        <f>TEXT(Table1[[#This Row],[Date]],"mmmm")</f>
        <v>December</v>
      </c>
      <c r="H1490" s="3" t="s">
        <v>1082</v>
      </c>
      <c r="I1490" s="3" t="s">
        <v>28</v>
      </c>
      <c r="J1490" s="3">
        <v>4</v>
      </c>
      <c r="K1490" s="3">
        <v>39003.519999999997</v>
      </c>
      <c r="L1490" s="3">
        <f>Table1[[#This Row],[Price Per Unit]]*Table1[[#This Row],[Units Sold]]</f>
        <v>156014.07999999999</v>
      </c>
      <c r="M1490" s="3" t="s">
        <v>261</v>
      </c>
      <c r="N1490" s="3">
        <v>53</v>
      </c>
      <c r="O1490" s="3" t="s">
        <v>41</v>
      </c>
      <c r="P1490" s="3" t="s">
        <v>16</v>
      </c>
      <c r="Q1490" s="4">
        <v>4</v>
      </c>
      <c r="R1490" s="4" t="str">
        <f>IF(Table1[[#This Row],[Customer Ratings]]&gt;=4, "Good",IF(Table1[[#This Row],[Customer Ratings]]=3, "Average","Poor"))</f>
        <v>Good</v>
      </c>
      <c r="S1490" s="3" t="s">
        <v>87</v>
      </c>
    </row>
    <row r="1491" spans="1:19" x14ac:dyDescent="0.25">
      <c r="A1491" s="3">
        <v>1490</v>
      </c>
      <c r="B1491" s="5">
        <f>DATE(Table1[[#This Row],[Year]],Table1[[#This Row],[Month]],Table1[[#This Row],[Day]])</f>
        <v>44902</v>
      </c>
      <c r="C1491" s="3">
        <v>7</v>
      </c>
      <c r="D1491" s="3">
        <v>12</v>
      </c>
      <c r="E1491" s="3">
        <v>2022</v>
      </c>
      <c r="F1491" s="3" t="str">
        <f>"Qtr"&amp; " " &amp;CHOOSE(MONTH(Table1[[#This Row],[Date]]),1,1,1,2,2,2,3,3,3,4,4,4)</f>
        <v>Qtr 4</v>
      </c>
      <c r="G1491" s="3" t="str">
        <f>TEXT(Table1[[#This Row],[Date]],"mmmm")</f>
        <v>December</v>
      </c>
      <c r="H1491" s="3" t="s">
        <v>1083</v>
      </c>
      <c r="I1491" s="3" t="s">
        <v>33</v>
      </c>
      <c r="J1491" s="3">
        <v>4</v>
      </c>
      <c r="K1491" s="3">
        <v>25810.43</v>
      </c>
      <c r="L1491" s="3">
        <f>Table1[[#This Row],[Price Per Unit]]*Table1[[#This Row],[Units Sold]]</f>
        <v>103241.72</v>
      </c>
      <c r="M1491" s="3" t="s">
        <v>80</v>
      </c>
      <c r="N1491" s="3">
        <v>33</v>
      </c>
      <c r="O1491" s="3" t="s">
        <v>24</v>
      </c>
      <c r="P1491" s="3" t="s">
        <v>21</v>
      </c>
      <c r="Q1491" s="4">
        <v>5</v>
      </c>
      <c r="R1491" s="4" t="str">
        <f>IF(Table1[[#This Row],[Customer Ratings]]&gt;=4, "Good",IF(Table1[[#This Row],[Customer Ratings]]=3, "Average","Poor"))</f>
        <v>Good</v>
      </c>
      <c r="S1491" s="3" t="s">
        <v>36</v>
      </c>
    </row>
    <row r="1492" spans="1:19" x14ac:dyDescent="0.25">
      <c r="A1492" s="3">
        <v>1491</v>
      </c>
      <c r="B1492" s="5">
        <f>DATE(Table1[[#This Row],[Year]],Table1[[#This Row],[Month]],Table1[[#This Row],[Day]])</f>
        <v>44902</v>
      </c>
      <c r="C1492" s="3">
        <v>7</v>
      </c>
      <c r="D1492" s="3">
        <v>12</v>
      </c>
      <c r="E1492" s="3">
        <v>2022</v>
      </c>
      <c r="F1492" s="3" t="str">
        <f>"Qtr"&amp; " " &amp;CHOOSE(MONTH(Table1[[#This Row],[Date]]),1,1,1,2,2,2,3,3,3,4,4,4)</f>
        <v>Qtr 4</v>
      </c>
      <c r="G1492" s="3" t="str">
        <f>TEXT(Table1[[#This Row],[Date]],"mmmm")</f>
        <v>December</v>
      </c>
      <c r="H1492" s="3" t="s">
        <v>1083</v>
      </c>
      <c r="I1492" s="3" t="s">
        <v>39</v>
      </c>
      <c r="J1492" s="3">
        <v>5</v>
      </c>
      <c r="K1492" s="3">
        <v>31388.6</v>
      </c>
      <c r="L1492" s="3">
        <f>Table1[[#This Row],[Price Per Unit]]*Table1[[#This Row],[Units Sold]]</f>
        <v>156943</v>
      </c>
      <c r="M1492" s="3" t="s">
        <v>694</v>
      </c>
      <c r="N1492" s="3">
        <v>35</v>
      </c>
      <c r="O1492" s="3" t="s">
        <v>15</v>
      </c>
      <c r="P1492" s="3" t="s">
        <v>45</v>
      </c>
      <c r="Q1492" s="4">
        <v>5</v>
      </c>
      <c r="R1492" s="4" t="str">
        <f>IF(Table1[[#This Row],[Customer Ratings]]&gt;=4, "Good",IF(Table1[[#This Row],[Customer Ratings]]=3, "Average","Poor"))</f>
        <v>Good</v>
      </c>
      <c r="S1492" s="3" t="s">
        <v>90</v>
      </c>
    </row>
    <row r="1493" spans="1:19" x14ac:dyDescent="0.25">
      <c r="A1493" s="3">
        <v>1492</v>
      </c>
      <c r="B1493" s="5">
        <f>DATE(Table1[[#This Row],[Year]],Table1[[#This Row],[Month]],Table1[[#This Row],[Day]])</f>
        <v>44902</v>
      </c>
      <c r="C1493" s="3">
        <v>7</v>
      </c>
      <c r="D1493" s="3">
        <v>12</v>
      </c>
      <c r="E1493" s="3">
        <v>2022</v>
      </c>
      <c r="F1493" s="3" t="str">
        <f>"Qtr"&amp; " " &amp;CHOOSE(MONTH(Table1[[#This Row],[Date]]),1,1,1,2,2,2,3,3,3,4,4,4)</f>
        <v>Qtr 4</v>
      </c>
      <c r="G1493" s="3" t="str">
        <f>TEXT(Table1[[#This Row],[Date]],"mmmm")</f>
        <v>December</v>
      </c>
      <c r="H1493" s="3" t="s">
        <v>1083</v>
      </c>
      <c r="I1493" s="3" t="s">
        <v>28</v>
      </c>
      <c r="J1493" s="3">
        <v>6</v>
      </c>
      <c r="K1493" s="3">
        <v>19766.57</v>
      </c>
      <c r="L1493" s="3">
        <f>Table1[[#This Row],[Price Per Unit]]*Table1[[#This Row],[Units Sold]]</f>
        <v>118599.42</v>
      </c>
      <c r="M1493" s="3" t="s">
        <v>584</v>
      </c>
      <c r="N1493" s="3">
        <v>30</v>
      </c>
      <c r="O1493" s="3" t="s">
        <v>24</v>
      </c>
      <c r="P1493" s="3" t="s">
        <v>31</v>
      </c>
      <c r="Q1493" s="4">
        <v>5</v>
      </c>
      <c r="R1493" s="4" t="str">
        <f>IF(Table1[[#This Row],[Customer Ratings]]&gt;=4, "Good",IF(Table1[[#This Row],[Customer Ratings]]=3, "Average","Poor"))</f>
        <v>Good</v>
      </c>
      <c r="S1493" s="3" t="s">
        <v>87</v>
      </c>
    </row>
    <row r="1494" spans="1:19" x14ac:dyDescent="0.25">
      <c r="A1494" s="3">
        <v>1493</v>
      </c>
      <c r="B1494" s="5">
        <f>DATE(Table1[[#This Row],[Year]],Table1[[#This Row],[Month]],Table1[[#This Row],[Day]])</f>
        <v>44902</v>
      </c>
      <c r="C1494" s="3">
        <v>7</v>
      </c>
      <c r="D1494" s="3">
        <v>12</v>
      </c>
      <c r="E1494" s="3">
        <v>2022</v>
      </c>
      <c r="F1494" s="3" t="str">
        <f>"Qtr"&amp; " " &amp;CHOOSE(MONTH(Table1[[#This Row],[Date]]),1,1,1,2,2,2,3,3,3,4,4,4)</f>
        <v>Qtr 4</v>
      </c>
      <c r="G1494" s="3" t="str">
        <f>TEXT(Table1[[#This Row],[Date]],"mmmm")</f>
        <v>December</v>
      </c>
      <c r="H1494" s="3" t="s">
        <v>1083</v>
      </c>
      <c r="I1494" s="3" t="s">
        <v>28</v>
      </c>
      <c r="J1494" s="3">
        <v>7</v>
      </c>
      <c r="K1494" s="3">
        <v>39348.04</v>
      </c>
      <c r="L1494" s="3">
        <f>Table1[[#This Row],[Price Per Unit]]*Table1[[#This Row],[Units Sold]]</f>
        <v>275436.28000000003</v>
      </c>
      <c r="M1494" s="3" t="s">
        <v>23</v>
      </c>
      <c r="N1494" s="3">
        <v>54</v>
      </c>
      <c r="O1494" s="3" t="s">
        <v>15</v>
      </c>
      <c r="P1494" s="3" t="s">
        <v>21</v>
      </c>
      <c r="Q1494" s="4">
        <v>3</v>
      </c>
      <c r="R1494" s="4" t="str">
        <f>IF(Table1[[#This Row],[Customer Ratings]]&gt;=4, "Good",IF(Table1[[#This Row],[Customer Ratings]]=3, "Average","Poor"))</f>
        <v>Average</v>
      </c>
      <c r="S1494" s="3" t="s">
        <v>87</v>
      </c>
    </row>
    <row r="1495" spans="1:19" x14ac:dyDescent="0.25">
      <c r="A1495" s="3">
        <v>1494</v>
      </c>
      <c r="B1495" s="5">
        <f>DATE(Table1[[#This Row],[Year]],Table1[[#This Row],[Month]],Table1[[#This Row],[Day]])</f>
        <v>44903</v>
      </c>
      <c r="C1495" s="3">
        <v>8</v>
      </c>
      <c r="D1495" s="3">
        <v>12</v>
      </c>
      <c r="E1495" s="3">
        <v>2022</v>
      </c>
      <c r="F1495" s="3" t="str">
        <f>"Qtr"&amp; " " &amp;CHOOSE(MONTH(Table1[[#This Row],[Date]]),1,1,1,2,2,2,3,3,3,4,4,4)</f>
        <v>Qtr 4</v>
      </c>
      <c r="G1495" s="3" t="str">
        <f>TEXT(Table1[[#This Row],[Date]],"mmmm")</f>
        <v>December</v>
      </c>
      <c r="H1495" s="3" t="s">
        <v>1084</v>
      </c>
      <c r="I1495" s="3" t="s">
        <v>39</v>
      </c>
      <c r="J1495" s="3">
        <v>4</v>
      </c>
      <c r="K1495" s="3">
        <v>57630.6</v>
      </c>
      <c r="L1495" s="3">
        <f>Table1[[#This Row],[Price Per Unit]]*Table1[[#This Row],[Units Sold]]</f>
        <v>230522.4</v>
      </c>
      <c r="M1495" s="3" t="s">
        <v>845</v>
      </c>
      <c r="N1495" s="3">
        <v>44</v>
      </c>
      <c r="O1495" s="3" t="s">
        <v>65</v>
      </c>
      <c r="P1495" s="3" t="s">
        <v>21</v>
      </c>
      <c r="Q1495" s="4">
        <v>3</v>
      </c>
      <c r="R1495" s="4" t="str">
        <f>IF(Table1[[#This Row],[Customer Ratings]]&gt;=4, "Good",IF(Table1[[#This Row],[Customer Ratings]]=3, "Average","Poor"))</f>
        <v>Average</v>
      </c>
      <c r="S1495" s="3" t="s">
        <v>76</v>
      </c>
    </row>
    <row r="1496" spans="1:19" x14ac:dyDescent="0.25">
      <c r="A1496" s="3">
        <v>1495</v>
      </c>
      <c r="B1496" s="5">
        <f>DATE(Table1[[#This Row],[Year]],Table1[[#This Row],[Month]],Table1[[#This Row],[Day]])</f>
        <v>44903</v>
      </c>
      <c r="C1496" s="3">
        <v>8</v>
      </c>
      <c r="D1496" s="3">
        <v>12</v>
      </c>
      <c r="E1496" s="3">
        <v>2022</v>
      </c>
      <c r="F1496" s="3" t="str">
        <f>"Qtr"&amp; " " &amp;CHOOSE(MONTH(Table1[[#This Row],[Date]]),1,1,1,2,2,2,3,3,3,4,4,4)</f>
        <v>Qtr 4</v>
      </c>
      <c r="G1496" s="3" t="str">
        <f>TEXT(Table1[[#This Row],[Date]],"mmmm")</f>
        <v>December</v>
      </c>
      <c r="H1496" s="3" t="s">
        <v>1084</v>
      </c>
      <c r="I1496" s="3" t="s">
        <v>28</v>
      </c>
      <c r="J1496" s="3">
        <v>8</v>
      </c>
      <c r="K1496" s="3">
        <v>49681.62</v>
      </c>
      <c r="L1496" s="3">
        <f>Table1[[#This Row],[Price Per Unit]]*Table1[[#This Row],[Units Sold]]</f>
        <v>397452.96</v>
      </c>
      <c r="M1496" s="3" t="s">
        <v>846</v>
      </c>
      <c r="N1496" s="3">
        <v>51</v>
      </c>
      <c r="O1496" s="3" t="s">
        <v>15</v>
      </c>
      <c r="P1496" s="3" t="s">
        <v>45</v>
      </c>
      <c r="Q1496" s="4">
        <v>4</v>
      </c>
      <c r="R1496" s="4" t="str">
        <f>IF(Table1[[#This Row],[Customer Ratings]]&gt;=4, "Good",IF(Table1[[#This Row],[Customer Ratings]]=3, "Average","Poor"))</f>
        <v>Good</v>
      </c>
      <c r="S1496" s="3" t="s">
        <v>32</v>
      </c>
    </row>
    <row r="1497" spans="1:19" x14ac:dyDescent="0.25">
      <c r="A1497" s="3">
        <v>1496</v>
      </c>
      <c r="B1497" s="5">
        <f>DATE(Table1[[#This Row],[Year]],Table1[[#This Row],[Month]],Table1[[#This Row],[Day]])</f>
        <v>44903</v>
      </c>
      <c r="C1497" s="3">
        <v>8</v>
      </c>
      <c r="D1497" s="3">
        <v>12</v>
      </c>
      <c r="E1497" s="3">
        <v>2022</v>
      </c>
      <c r="F1497" s="3" t="str">
        <f>"Qtr"&amp; " " &amp;CHOOSE(MONTH(Table1[[#This Row],[Date]]),1,1,1,2,2,2,3,3,3,4,4,4)</f>
        <v>Qtr 4</v>
      </c>
      <c r="G1497" s="3" t="str">
        <f>TEXT(Table1[[#This Row],[Date]],"mmmm")</f>
        <v>December</v>
      </c>
      <c r="H1497" s="3" t="s">
        <v>1084</v>
      </c>
      <c r="I1497" s="3" t="s">
        <v>28</v>
      </c>
      <c r="J1497" s="3">
        <v>6</v>
      </c>
      <c r="K1497" s="3">
        <v>16467.53</v>
      </c>
      <c r="L1497" s="3">
        <f>Table1[[#This Row],[Price Per Unit]]*Table1[[#This Row],[Units Sold]]</f>
        <v>98805.18</v>
      </c>
      <c r="M1497" s="3" t="s">
        <v>709</v>
      </c>
      <c r="N1497" s="3">
        <v>28</v>
      </c>
      <c r="O1497" s="3" t="s">
        <v>81</v>
      </c>
      <c r="P1497" s="3" t="s">
        <v>45</v>
      </c>
      <c r="Q1497" s="4">
        <v>4</v>
      </c>
      <c r="R1497" s="4" t="str">
        <f>IF(Table1[[#This Row],[Customer Ratings]]&gt;=4, "Good",IF(Table1[[#This Row],[Customer Ratings]]=3, "Average","Poor"))</f>
        <v>Good</v>
      </c>
      <c r="S1497" s="3" t="s">
        <v>87</v>
      </c>
    </row>
    <row r="1498" spans="1:19" x14ac:dyDescent="0.25">
      <c r="A1498" s="3">
        <v>1497</v>
      </c>
      <c r="B1498" s="5">
        <f>DATE(Table1[[#This Row],[Year]],Table1[[#This Row],[Month]],Table1[[#This Row],[Day]])</f>
        <v>44904</v>
      </c>
      <c r="C1498" s="3">
        <v>9</v>
      </c>
      <c r="D1498" s="3">
        <v>12</v>
      </c>
      <c r="E1498" s="3">
        <v>2022</v>
      </c>
      <c r="F1498" s="3" t="str">
        <f>"Qtr"&amp; " " &amp;CHOOSE(MONTH(Table1[[#This Row],[Date]]),1,1,1,2,2,2,3,3,3,4,4,4)</f>
        <v>Qtr 4</v>
      </c>
      <c r="G1498" s="3" t="str">
        <f>TEXT(Table1[[#This Row],[Date]],"mmmm")</f>
        <v>December</v>
      </c>
      <c r="H1498" s="3" t="s">
        <v>1085</v>
      </c>
      <c r="I1498" s="3" t="s">
        <v>28</v>
      </c>
      <c r="J1498" s="3">
        <v>1</v>
      </c>
      <c r="K1498" s="3">
        <v>39254.9</v>
      </c>
      <c r="L1498" s="3">
        <f>Table1[[#This Row],[Price Per Unit]]*Table1[[#This Row],[Units Sold]]</f>
        <v>39254.9</v>
      </c>
      <c r="M1498" s="3" t="s">
        <v>847</v>
      </c>
      <c r="N1498" s="3">
        <v>18</v>
      </c>
      <c r="O1498" s="3" t="s">
        <v>137</v>
      </c>
      <c r="P1498" s="3" t="s">
        <v>45</v>
      </c>
      <c r="Q1498" s="4">
        <v>4</v>
      </c>
      <c r="R1498" s="4" t="str">
        <f>IF(Table1[[#This Row],[Customer Ratings]]&gt;=4, "Good",IF(Table1[[#This Row],[Customer Ratings]]=3, "Average","Poor"))</f>
        <v>Good</v>
      </c>
      <c r="S1498" s="3" t="s">
        <v>32</v>
      </c>
    </row>
    <row r="1499" spans="1:19" x14ac:dyDescent="0.25">
      <c r="A1499" s="3">
        <v>1498</v>
      </c>
      <c r="B1499" s="5">
        <f>DATE(Table1[[#This Row],[Year]],Table1[[#This Row],[Month]],Table1[[#This Row],[Day]])</f>
        <v>44904</v>
      </c>
      <c r="C1499" s="3">
        <v>9</v>
      </c>
      <c r="D1499" s="3">
        <v>12</v>
      </c>
      <c r="E1499" s="3">
        <v>2022</v>
      </c>
      <c r="F1499" s="3" t="str">
        <f>"Qtr"&amp; " " &amp;CHOOSE(MONTH(Table1[[#This Row],[Date]]),1,1,1,2,2,2,3,3,3,4,4,4)</f>
        <v>Qtr 4</v>
      </c>
      <c r="G1499" s="3" t="str">
        <f>TEXT(Table1[[#This Row],[Date]],"mmmm")</f>
        <v>December</v>
      </c>
      <c r="H1499" s="3" t="s">
        <v>1085</v>
      </c>
      <c r="I1499" s="3" t="s">
        <v>13</v>
      </c>
      <c r="J1499" s="3">
        <v>1</v>
      </c>
      <c r="K1499" s="3">
        <v>51858.78</v>
      </c>
      <c r="L1499" s="3">
        <f>Table1[[#This Row],[Price Per Unit]]*Table1[[#This Row],[Units Sold]]</f>
        <v>51858.78</v>
      </c>
      <c r="M1499" s="3" t="s">
        <v>462</v>
      </c>
      <c r="N1499" s="3">
        <v>30</v>
      </c>
      <c r="O1499" s="3" t="s">
        <v>102</v>
      </c>
      <c r="P1499" s="3" t="s">
        <v>16</v>
      </c>
      <c r="Q1499" s="4">
        <v>1</v>
      </c>
      <c r="R1499" s="4" t="str">
        <f>IF(Table1[[#This Row],[Customer Ratings]]&gt;=4, "Good",IF(Table1[[#This Row],[Customer Ratings]]=3, "Average","Poor"))</f>
        <v>Poor</v>
      </c>
      <c r="S1499" s="3" t="s">
        <v>72</v>
      </c>
    </row>
    <row r="1500" spans="1:19" x14ac:dyDescent="0.25">
      <c r="A1500" s="3">
        <v>1499</v>
      </c>
      <c r="B1500" s="5">
        <f>DATE(Table1[[#This Row],[Year]],Table1[[#This Row],[Month]],Table1[[#This Row],[Day]])</f>
        <v>44904</v>
      </c>
      <c r="C1500" s="3">
        <v>9</v>
      </c>
      <c r="D1500" s="3">
        <v>12</v>
      </c>
      <c r="E1500" s="3">
        <v>2022</v>
      </c>
      <c r="F1500" s="3" t="str">
        <f>"Qtr"&amp; " " &amp;CHOOSE(MONTH(Table1[[#This Row],[Date]]),1,1,1,2,2,2,3,3,3,4,4,4)</f>
        <v>Qtr 4</v>
      </c>
      <c r="G1500" s="3" t="str">
        <f>TEXT(Table1[[#This Row],[Date]],"mmmm")</f>
        <v>December</v>
      </c>
      <c r="H1500" s="3" t="s">
        <v>1085</v>
      </c>
      <c r="I1500" s="3" t="s">
        <v>39</v>
      </c>
      <c r="J1500" s="3">
        <v>9</v>
      </c>
      <c r="K1500" s="3">
        <v>41793.72</v>
      </c>
      <c r="L1500" s="3">
        <f>Table1[[#This Row],[Price Per Unit]]*Table1[[#This Row],[Units Sold]]</f>
        <v>376143.48</v>
      </c>
      <c r="M1500" s="3" t="s">
        <v>452</v>
      </c>
      <c r="N1500" s="3">
        <v>47</v>
      </c>
      <c r="O1500" s="3" t="s">
        <v>24</v>
      </c>
      <c r="P1500" s="3" t="s">
        <v>16</v>
      </c>
      <c r="Q1500" s="4">
        <v>5</v>
      </c>
      <c r="R1500" s="4" t="str">
        <f>IF(Table1[[#This Row],[Customer Ratings]]&gt;=4, "Good",IF(Table1[[#This Row],[Customer Ratings]]=3, "Average","Poor"))</f>
        <v>Good</v>
      </c>
      <c r="S1500" s="3" t="s">
        <v>90</v>
      </c>
    </row>
    <row r="1501" spans="1:19" x14ac:dyDescent="0.25">
      <c r="A1501" s="3">
        <v>1500</v>
      </c>
      <c r="B1501" s="5">
        <f>DATE(Table1[[#This Row],[Year]],Table1[[#This Row],[Month]],Table1[[#This Row],[Day]])</f>
        <v>44905</v>
      </c>
      <c r="C1501" s="3">
        <v>10</v>
      </c>
      <c r="D1501" s="3">
        <v>12</v>
      </c>
      <c r="E1501" s="3">
        <v>2022</v>
      </c>
      <c r="F1501" s="3" t="str">
        <f>"Qtr"&amp; " " &amp;CHOOSE(MONTH(Table1[[#This Row],[Date]]),1,1,1,2,2,2,3,3,3,4,4,4)</f>
        <v>Qtr 4</v>
      </c>
      <c r="G1501" s="3" t="str">
        <f>TEXT(Table1[[#This Row],[Date]],"mmmm")</f>
        <v>December</v>
      </c>
      <c r="H1501" s="3" t="s">
        <v>1079</v>
      </c>
      <c r="I1501" s="3" t="s">
        <v>28</v>
      </c>
      <c r="J1501" s="3">
        <v>6</v>
      </c>
      <c r="K1501" s="3">
        <v>33500.54</v>
      </c>
      <c r="L1501" s="3">
        <f>Table1[[#This Row],[Price Per Unit]]*Table1[[#This Row],[Units Sold]]</f>
        <v>201003.24</v>
      </c>
      <c r="M1501" s="3" t="s">
        <v>94</v>
      </c>
      <c r="N1501" s="3">
        <v>22</v>
      </c>
      <c r="O1501" s="3" t="s">
        <v>20</v>
      </c>
      <c r="P1501" s="3" t="s">
        <v>21</v>
      </c>
      <c r="Q1501" s="4">
        <v>5</v>
      </c>
      <c r="R1501" s="4" t="str">
        <f>IF(Table1[[#This Row],[Customer Ratings]]&gt;=4, "Good",IF(Table1[[#This Row],[Customer Ratings]]=3, "Average","Poor"))</f>
        <v>Good</v>
      </c>
      <c r="S1501" s="3" t="s">
        <v>87</v>
      </c>
    </row>
    <row r="1502" spans="1:19" x14ac:dyDescent="0.25">
      <c r="A1502" s="3">
        <v>1501</v>
      </c>
      <c r="B1502" s="5">
        <f>DATE(Table1[[#This Row],[Year]],Table1[[#This Row],[Month]],Table1[[#This Row],[Day]])</f>
        <v>44905</v>
      </c>
      <c r="C1502" s="3">
        <v>10</v>
      </c>
      <c r="D1502" s="3">
        <v>12</v>
      </c>
      <c r="E1502" s="3">
        <v>2022</v>
      </c>
      <c r="F1502" s="3" t="str">
        <f>"Qtr"&amp; " " &amp;CHOOSE(MONTH(Table1[[#This Row],[Date]]),1,1,1,2,2,2,3,3,3,4,4,4)</f>
        <v>Qtr 4</v>
      </c>
      <c r="G1502" s="3" t="str">
        <f>TEXT(Table1[[#This Row],[Date]],"mmmm")</f>
        <v>December</v>
      </c>
      <c r="H1502" s="3" t="s">
        <v>1079</v>
      </c>
      <c r="I1502" s="3" t="s">
        <v>39</v>
      </c>
      <c r="J1502" s="3">
        <v>8</v>
      </c>
      <c r="K1502" s="3">
        <v>47314.87</v>
      </c>
      <c r="L1502" s="3">
        <f>Table1[[#This Row],[Price Per Unit]]*Table1[[#This Row],[Units Sold]]</f>
        <v>378518.96</v>
      </c>
      <c r="M1502" s="3" t="s">
        <v>228</v>
      </c>
      <c r="N1502" s="3">
        <v>35</v>
      </c>
      <c r="O1502" s="3" t="s">
        <v>24</v>
      </c>
      <c r="P1502" s="3" t="s">
        <v>45</v>
      </c>
      <c r="Q1502" s="4">
        <v>4</v>
      </c>
      <c r="R1502" s="4" t="str">
        <f>IF(Table1[[#This Row],[Customer Ratings]]&gt;=4, "Good",IF(Table1[[#This Row],[Customer Ratings]]=3, "Average","Poor"))</f>
        <v>Good</v>
      </c>
      <c r="S1502" s="3" t="s">
        <v>42</v>
      </c>
    </row>
    <row r="1503" spans="1:19" x14ac:dyDescent="0.25">
      <c r="A1503" s="3">
        <v>1502</v>
      </c>
      <c r="B1503" s="5">
        <f>DATE(Table1[[#This Row],[Year]],Table1[[#This Row],[Month]],Table1[[#This Row],[Day]])</f>
        <v>44905</v>
      </c>
      <c r="C1503" s="3">
        <v>10</v>
      </c>
      <c r="D1503" s="3">
        <v>12</v>
      </c>
      <c r="E1503" s="3">
        <v>2022</v>
      </c>
      <c r="F1503" s="3" t="str">
        <f>"Qtr"&amp; " " &amp;CHOOSE(MONTH(Table1[[#This Row],[Date]]),1,1,1,2,2,2,3,3,3,4,4,4)</f>
        <v>Qtr 4</v>
      </c>
      <c r="G1503" s="3" t="str">
        <f>TEXT(Table1[[#This Row],[Date]],"mmmm")</f>
        <v>December</v>
      </c>
      <c r="H1503" s="3" t="s">
        <v>1079</v>
      </c>
      <c r="I1503" s="3" t="s">
        <v>18</v>
      </c>
      <c r="J1503" s="3">
        <v>7</v>
      </c>
      <c r="K1503" s="3">
        <v>68118.320000000007</v>
      </c>
      <c r="L1503" s="3">
        <f>Table1[[#This Row],[Price Per Unit]]*Table1[[#This Row],[Units Sold]]</f>
        <v>476828.24000000005</v>
      </c>
      <c r="M1503" s="3" t="s">
        <v>660</v>
      </c>
      <c r="N1503" s="3">
        <v>31</v>
      </c>
      <c r="O1503" s="3" t="s">
        <v>24</v>
      </c>
      <c r="P1503" s="3" t="s">
        <v>21</v>
      </c>
      <c r="Q1503" s="4">
        <v>3</v>
      </c>
      <c r="R1503" s="4" t="str">
        <f>IF(Table1[[#This Row],[Customer Ratings]]&gt;=4, "Good",IF(Table1[[#This Row],[Customer Ratings]]=3, "Average","Poor"))</f>
        <v>Average</v>
      </c>
      <c r="S1503" s="3" t="s">
        <v>55</v>
      </c>
    </row>
    <row r="1504" spans="1:19" x14ac:dyDescent="0.25">
      <c r="A1504" s="3">
        <v>1503</v>
      </c>
      <c r="B1504" s="5">
        <f>DATE(Table1[[#This Row],[Year]],Table1[[#This Row],[Month]],Table1[[#This Row],[Day]])</f>
        <v>44905</v>
      </c>
      <c r="C1504" s="3">
        <v>10</v>
      </c>
      <c r="D1504" s="3">
        <v>12</v>
      </c>
      <c r="E1504" s="3">
        <v>2022</v>
      </c>
      <c r="F1504" s="3" t="str">
        <f>"Qtr"&amp; " " &amp;CHOOSE(MONTH(Table1[[#This Row],[Date]]),1,1,1,2,2,2,3,3,3,4,4,4)</f>
        <v>Qtr 4</v>
      </c>
      <c r="G1504" s="3" t="str">
        <f>TEXT(Table1[[#This Row],[Date]],"mmmm")</f>
        <v>December</v>
      </c>
      <c r="H1504" s="3" t="s">
        <v>1079</v>
      </c>
      <c r="I1504" s="3" t="s">
        <v>18</v>
      </c>
      <c r="J1504" s="3">
        <v>6</v>
      </c>
      <c r="K1504" s="3">
        <v>15694.47</v>
      </c>
      <c r="L1504" s="3">
        <f>Table1[[#This Row],[Price Per Unit]]*Table1[[#This Row],[Units Sold]]</f>
        <v>94166.819999999992</v>
      </c>
      <c r="M1504" s="3" t="s">
        <v>327</v>
      </c>
      <c r="N1504" s="3">
        <v>30</v>
      </c>
      <c r="O1504" s="3" t="s">
        <v>41</v>
      </c>
      <c r="P1504" s="3" t="s">
        <v>31</v>
      </c>
      <c r="Q1504" s="4">
        <v>5</v>
      </c>
      <c r="R1504" s="4" t="str">
        <f>IF(Table1[[#This Row],[Customer Ratings]]&gt;=4, "Good",IF(Table1[[#This Row],[Customer Ratings]]=3, "Average","Poor"))</f>
        <v>Good</v>
      </c>
      <c r="S1504" s="3" t="s">
        <v>55</v>
      </c>
    </row>
    <row r="1505" spans="1:19" x14ac:dyDescent="0.25">
      <c r="A1505" s="3">
        <v>1504</v>
      </c>
      <c r="B1505" s="5">
        <f>DATE(Table1[[#This Row],[Year]],Table1[[#This Row],[Month]],Table1[[#This Row],[Day]])</f>
        <v>44906</v>
      </c>
      <c r="C1505" s="3">
        <v>11</v>
      </c>
      <c r="D1505" s="3">
        <v>12</v>
      </c>
      <c r="E1505" s="3">
        <v>2022</v>
      </c>
      <c r="F1505" s="3" t="str">
        <f>"Qtr"&amp; " " &amp;CHOOSE(MONTH(Table1[[#This Row],[Date]]),1,1,1,2,2,2,3,3,3,4,4,4)</f>
        <v>Qtr 4</v>
      </c>
      <c r="G1505" s="3" t="str">
        <f>TEXT(Table1[[#This Row],[Date]],"mmmm")</f>
        <v>December</v>
      </c>
      <c r="H1505" s="3" t="s">
        <v>1080</v>
      </c>
      <c r="I1505" s="3" t="s">
        <v>28</v>
      </c>
      <c r="J1505" s="3">
        <v>4</v>
      </c>
      <c r="K1505" s="3">
        <v>33400.959999999999</v>
      </c>
      <c r="L1505" s="3">
        <f>Table1[[#This Row],[Price Per Unit]]*Table1[[#This Row],[Units Sold]]</f>
        <v>133603.84</v>
      </c>
      <c r="M1505" s="3" t="s">
        <v>848</v>
      </c>
      <c r="N1505" s="3">
        <v>49</v>
      </c>
      <c r="O1505" s="3" t="s">
        <v>98</v>
      </c>
      <c r="P1505" s="3" t="s">
        <v>45</v>
      </c>
      <c r="Q1505" s="4">
        <v>5</v>
      </c>
      <c r="R1505" s="4" t="str">
        <f>IF(Table1[[#This Row],[Customer Ratings]]&gt;=4, "Good",IF(Table1[[#This Row],[Customer Ratings]]=3, "Average","Poor"))</f>
        <v>Good</v>
      </c>
      <c r="S1505" s="3" t="s">
        <v>87</v>
      </c>
    </row>
    <row r="1506" spans="1:19" x14ac:dyDescent="0.25">
      <c r="A1506" s="3">
        <v>1505</v>
      </c>
      <c r="B1506" s="5">
        <f>DATE(Table1[[#This Row],[Year]],Table1[[#This Row],[Month]],Table1[[#This Row],[Day]])</f>
        <v>44906</v>
      </c>
      <c r="C1506" s="3">
        <v>11</v>
      </c>
      <c r="D1506" s="3">
        <v>12</v>
      </c>
      <c r="E1506" s="3">
        <v>2022</v>
      </c>
      <c r="F1506" s="3" t="str">
        <f>"Qtr"&amp; " " &amp;CHOOSE(MONTH(Table1[[#This Row],[Date]]),1,1,1,2,2,2,3,3,3,4,4,4)</f>
        <v>Qtr 4</v>
      </c>
      <c r="G1506" s="3" t="str">
        <f>TEXT(Table1[[#This Row],[Date]],"mmmm")</f>
        <v>December</v>
      </c>
      <c r="H1506" s="3" t="s">
        <v>1080</v>
      </c>
      <c r="I1506" s="3" t="s">
        <v>39</v>
      </c>
      <c r="J1506" s="3">
        <v>7</v>
      </c>
      <c r="K1506" s="3">
        <v>34396.35</v>
      </c>
      <c r="L1506" s="3">
        <f>Table1[[#This Row],[Price Per Unit]]*Table1[[#This Row],[Units Sold]]</f>
        <v>240774.44999999998</v>
      </c>
      <c r="M1506" s="3" t="s">
        <v>173</v>
      </c>
      <c r="N1506" s="3">
        <v>24</v>
      </c>
      <c r="O1506" s="3" t="s">
        <v>24</v>
      </c>
      <c r="P1506" s="3" t="s">
        <v>16</v>
      </c>
      <c r="Q1506" s="4">
        <v>1</v>
      </c>
      <c r="R1506" s="4" t="str">
        <f>IF(Table1[[#This Row],[Customer Ratings]]&gt;=4, "Good",IF(Table1[[#This Row],[Customer Ratings]]=3, "Average","Poor"))</f>
        <v>Poor</v>
      </c>
      <c r="S1506" s="3" t="s">
        <v>42</v>
      </c>
    </row>
    <row r="1507" spans="1:19" x14ac:dyDescent="0.25">
      <c r="A1507" s="3">
        <v>1506</v>
      </c>
      <c r="B1507" s="5">
        <f>DATE(Table1[[#This Row],[Year]],Table1[[#This Row],[Month]],Table1[[#This Row],[Day]])</f>
        <v>44906</v>
      </c>
      <c r="C1507" s="3">
        <v>11</v>
      </c>
      <c r="D1507" s="3">
        <v>12</v>
      </c>
      <c r="E1507" s="3">
        <v>2022</v>
      </c>
      <c r="F1507" s="3" t="str">
        <f>"Qtr"&amp; " " &amp;CHOOSE(MONTH(Table1[[#This Row],[Date]]),1,1,1,2,2,2,3,3,3,4,4,4)</f>
        <v>Qtr 4</v>
      </c>
      <c r="G1507" s="3" t="str">
        <f>TEXT(Table1[[#This Row],[Date]],"mmmm")</f>
        <v>December</v>
      </c>
      <c r="H1507" s="3" t="s">
        <v>1080</v>
      </c>
      <c r="I1507" s="3" t="s">
        <v>39</v>
      </c>
      <c r="J1507" s="3">
        <v>9</v>
      </c>
      <c r="K1507" s="3">
        <v>44618.04</v>
      </c>
      <c r="L1507" s="3">
        <f>Table1[[#This Row],[Price Per Unit]]*Table1[[#This Row],[Units Sold]]</f>
        <v>401562.36</v>
      </c>
      <c r="M1507" s="3" t="s">
        <v>513</v>
      </c>
      <c r="N1507" s="3">
        <v>25</v>
      </c>
      <c r="O1507" s="3" t="s">
        <v>105</v>
      </c>
      <c r="P1507" s="3" t="s">
        <v>45</v>
      </c>
      <c r="Q1507" s="4">
        <v>3</v>
      </c>
      <c r="R1507" s="4" t="str">
        <f>IF(Table1[[#This Row],[Customer Ratings]]&gt;=4, "Good",IF(Table1[[#This Row],[Customer Ratings]]=3, "Average","Poor"))</f>
        <v>Average</v>
      </c>
      <c r="S1507" s="3" t="s">
        <v>42</v>
      </c>
    </row>
    <row r="1508" spans="1:19" x14ac:dyDescent="0.25">
      <c r="A1508" s="3">
        <v>1507</v>
      </c>
      <c r="B1508" s="5">
        <f>DATE(Table1[[#This Row],[Year]],Table1[[#This Row],[Month]],Table1[[#This Row],[Day]])</f>
        <v>44907</v>
      </c>
      <c r="C1508" s="3">
        <v>12</v>
      </c>
      <c r="D1508" s="3">
        <v>12</v>
      </c>
      <c r="E1508" s="3">
        <v>2022</v>
      </c>
      <c r="F1508" s="3" t="str">
        <f>"Qtr"&amp; " " &amp;CHOOSE(MONTH(Table1[[#This Row],[Date]]),1,1,1,2,2,2,3,3,3,4,4,4)</f>
        <v>Qtr 4</v>
      </c>
      <c r="G1508" s="3" t="str">
        <f>TEXT(Table1[[#This Row],[Date]],"mmmm")</f>
        <v>December</v>
      </c>
      <c r="H1508" s="3" t="s">
        <v>1081</v>
      </c>
      <c r="I1508" s="3" t="s">
        <v>39</v>
      </c>
      <c r="J1508" s="3">
        <v>7</v>
      </c>
      <c r="K1508" s="3">
        <v>19130.48</v>
      </c>
      <c r="L1508" s="3">
        <f>Table1[[#This Row],[Price Per Unit]]*Table1[[#This Row],[Units Sold]]</f>
        <v>133913.35999999999</v>
      </c>
      <c r="M1508" s="3" t="s">
        <v>849</v>
      </c>
      <c r="N1508" s="3">
        <v>24</v>
      </c>
      <c r="O1508" s="3" t="s">
        <v>20</v>
      </c>
      <c r="P1508" s="3" t="s">
        <v>21</v>
      </c>
      <c r="Q1508" s="4">
        <v>1</v>
      </c>
      <c r="R1508" s="4" t="str">
        <f>IF(Table1[[#This Row],[Customer Ratings]]&gt;=4, "Good",IF(Table1[[#This Row],[Customer Ratings]]=3, "Average","Poor"))</f>
        <v>Poor</v>
      </c>
      <c r="S1508" s="3" t="s">
        <v>76</v>
      </c>
    </row>
    <row r="1509" spans="1:19" x14ac:dyDescent="0.25">
      <c r="A1509" s="3">
        <v>1508</v>
      </c>
      <c r="B1509" s="5">
        <f>DATE(Table1[[#This Row],[Year]],Table1[[#This Row],[Month]],Table1[[#This Row],[Day]])</f>
        <v>44907</v>
      </c>
      <c r="C1509" s="3">
        <v>12</v>
      </c>
      <c r="D1509" s="3">
        <v>12</v>
      </c>
      <c r="E1509" s="3">
        <v>2022</v>
      </c>
      <c r="F1509" s="3" t="str">
        <f>"Qtr"&amp; " " &amp;CHOOSE(MONTH(Table1[[#This Row],[Date]]),1,1,1,2,2,2,3,3,3,4,4,4)</f>
        <v>Qtr 4</v>
      </c>
      <c r="G1509" s="3" t="str">
        <f>TEXT(Table1[[#This Row],[Date]],"mmmm")</f>
        <v>December</v>
      </c>
      <c r="H1509" s="3" t="s">
        <v>1081</v>
      </c>
      <c r="I1509" s="3" t="s">
        <v>13</v>
      </c>
      <c r="J1509" s="3">
        <v>1</v>
      </c>
      <c r="K1509" s="3">
        <v>20598.580000000002</v>
      </c>
      <c r="L1509" s="3">
        <f>Table1[[#This Row],[Price Per Unit]]*Table1[[#This Row],[Units Sold]]</f>
        <v>20598.580000000002</v>
      </c>
      <c r="M1509" s="3" t="s">
        <v>226</v>
      </c>
      <c r="N1509" s="3">
        <v>33</v>
      </c>
      <c r="O1509" s="3" t="s">
        <v>20</v>
      </c>
      <c r="P1509" s="3" t="s">
        <v>16</v>
      </c>
      <c r="Q1509" s="4">
        <v>5</v>
      </c>
      <c r="R1509" s="4" t="str">
        <f>IF(Table1[[#This Row],[Customer Ratings]]&gt;=4, "Good",IF(Table1[[#This Row],[Customer Ratings]]=3, "Average","Poor"))</f>
        <v>Good</v>
      </c>
      <c r="S1509" s="3" t="s">
        <v>27</v>
      </c>
    </row>
    <row r="1510" spans="1:19" x14ac:dyDescent="0.25">
      <c r="A1510" s="3">
        <v>1509</v>
      </c>
      <c r="B1510" s="5">
        <f>DATE(Table1[[#This Row],[Year]],Table1[[#This Row],[Month]],Table1[[#This Row],[Day]])</f>
        <v>44907</v>
      </c>
      <c r="C1510" s="3">
        <v>12</v>
      </c>
      <c r="D1510" s="3">
        <v>12</v>
      </c>
      <c r="E1510" s="3">
        <v>2022</v>
      </c>
      <c r="F1510" s="3" t="str">
        <f>"Qtr"&amp; " " &amp;CHOOSE(MONTH(Table1[[#This Row],[Date]]),1,1,1,2,2,2,3,3,3,4,4,4)</f>
        <v>Qtr 4</v>
      </c>
      <c r="G1510" s="3" t="str">
        <f>TEXT(Table1[[#This Row],[Date]],"mmmm")</f>
        <v>December</v>
      </c>
      <c r="H1510" s="3" t="s">
        <v>1081</v>
      </c>
      <c r="I1510" s="3" t="s">
        <v>18</v>
      </c>
      <c r="J1510" s="3">
        <v>9</v>
      </c>
      <c r="K1510" s="3">
        <v>27121.68</v>
      </c>
      <c r="L1510" s="3">
        <f>Table1[[#This Row],[Price Per Unit]]*Table1[[#This Row],[Units Sold]]</f>
        <v>244095.12</v>
      </c>
      <c r="M1510" s="3" t="s">
        <v>507</v>
      </c>
      <c r="N1510" s="3">
        <v>48</v>
      </c>
      <c r="O1510" s="3" t="s">
        <v>20</v>
      </c>
      <c r="P1510" s="3" t="s">
        <v>31</v>
      </c>
      <c r="Q1510" s="4">
        <v>5</v>
      </c>
      <c r="R1510" s="4" t="str">
        <f>IF(Table1[[#This Row],[Customer Ratings]]&gt;=4, "Good",IF(Table1[[#This Row],[Customer Ratings]]=3, "Average","Poor"))</f>
        <v>Good</v>
      </c>
      <c r="S1510" s="3" t="s">
        <v>22</v>
      </c>
    </row>
    <row r="1511" spans="1:19" x14ac:dyDescent="0.25">
      <c r="A1511" s="3">
        <v>1510</v>
      </c>
      <c r="B1511" s="5">
        <f>DATE(Table1[[#This Row],[Year]],Table1[[#This Row],[Month]],Table1[[#This Row],[Day]])</f>
        <v>44907</v>
      </c>
      <c r="C1511" s="3">
        <v>12</v>
      </c>
      <c r="D1511" s="3">
        <v>12</v>
      </c>
      <c r="E1511" s="3">
        <v>2022</v>
      </c>
      <c r="F1511" s="3" t="str">
        <f>"Qtr"&amp; " " &amp;CHOOSE(MONTH(Table1[[#This Row],[Date]]),1,1,1,2,2,2,3,3,3,4,4,4)</f>
        <v>Qtr 4</v>
      </c>
      <c r="G1511" s="3" t="str">
        <f>TEXT(Table1[[#This Row],[Date]],"mmmm")</f>
        <v>December</v>
      </c>
      <c r="H1511" s="3" t="s">
        <v>1081</v>
      </c>
      <c r="I1511" s="3" t="s">
        <v>39</v>
      </c>
      <c r="J1511" s="3">
        <v>4</v>
      </c>
      <c r="K1511" s="3">
        <v>67352.2</v>
      </c>
      <c r="L1511" s="3">
        <f>Table1[[#This Row],[Price Per Unit]]*Table1[[#This Row],[Units Sold]]</f>
        <v>269408.8</v>
      </c>
      <c r="M1511" s="3" t="s">
        <v>539</v>
      </c>
      <c r="N1511" s="3">
        <v>44</v>
      </c>
      <c r="O1511" s="3" t="s">
        <v>30</v>
      </c>
      <c r="P1511" s="3" t="s">
        <v>31</v>
      </c>
      <c r="Q1511" s="4">
        <v>1</v>
      </c>
      <c r="R1511" s="4" t="str">
        <f>IF(Table1[[#This Row],[Customer Ratings]]&gt;=4, "Good",IF(Table1[[#This Row],[Customer Ratings]]=3, "Average","Poor"))</f>
        <v>Poor</v>
      </c>
      <c r="S1511" s="3" t="s">
        <v>90</v>
      </c>
    </row>
    <row r="1512" spans="1:19" x14ac:dyDescent="0.25">
      <c r="A1512" s="3">
        <v>1511</v>
      </c>
      <c r="B1512" s="5">
        <f>DATE(Table1[[#This Row],[Year]],Table1[[#This Row],[Month]],Table1[[#This Row],[Day]])</f>
        <v>44908</v>
      </c>
      <c r="C1512" s="3">
        <v>13</v>
      </c>
      <c r="D1512" s="3">
        <v>12</v>
      </c>
      <c r="E1512" s="3">
        <v>2022</v>
      </c>
      <c r="F1512" s="3" t="str">
        <f>"Qtr"&amp; " " &amp;CHOOSE(MONTH(Table1[[#This Row],[Date]]),1,1,1,2,2,2,3,3,3,4,4,4)</f>
        <v>Qtr 4</v>
      </c>
      <c r="G1512" s="3" t="str">
        <f>TEXT(Table1[[#This Row],[Date]],"mmmm")</f>
        <v>December</v>
      </c>
      <c r="H1512" s="3" t="s">
        <v>1082</v>
      </c>
      <c r="I1512" s="3" t="s">
        <v>39</v>
      </c>
      <c r="J1512" s="3">
        <v>3</v>
      </c>
      <c r="K1512" s="3">
        <v>54046.51</v>
      </c>
      <c r="L1512" s="3">
        <f>Table1[[#This Row],[Price Per Unit]]*Table1[[#This Row],[Units Sold]]</f>
        <v>162139.53</v>
      </c>
      <c r="M1512" s="3" t="s">
        <v>111</v>
      </c>
      <c r="N1512" s="3">
        <v>50</v>
      </c>
      <c r="O1512" s="3" t="s">
        <v>41</v>
      </c>
      <c r="P1512" s="3" t="s">
        <v>21</v>
      </c>
      <c r="Q1512" s="4">
        <v>1</v>
      </c>
      <c r="R1512" s="4" t="str">
        <f>IF(Table1[[#This Row],[Customer Ratings]]&gt;=4, "Good",IF(Table1[[#This Row],[Customer Ratings]]=3, "Average","Poor"))</f>
        <v>Poor</v>
      </c>
      <c r="S1512" s="3" t="s">
        <v>42</v>
      </c>
    </row>
    <row r="1513" spans="1:19" x14ac:dyDescent="0.25">
      <c r="A1513" s="3">
        <v>1512</v>
      </c>
      <c r="B1513" s="5">
        <f>DATE(Table1[[#This Row],[Year]],Table1[[#This Row],[Month]],Table1[[#This Row],[Day]])</f>
        <v>44908</v>
      </c>
      <c r="C1513" s="3">
        <v>13</v>
      </c>
      <c r="D1513" s="3">
        <v>12</v>
      </c>
      <c r="E1513" s="3">
        <v>2022</v>
      </c>
      <c r="F1513" s="3" t="str">
        <f>"Qtr"&amp; " " &amp;CHOOSE(MONTH(Table1[[#This Row],[Date]]),1,1,1,2,2,2,3,3,3,4,4,4)</f>
        <v>Qtr 4</v>
      </c>
      <c r="G1513" s="3" t="str">
        <f>TEXT(Table1[[#This Row],[Date]],"mmmm")</f>
        <v>December</v>
      </c>
      <c r="H1513" s="3" t="s">
        <v>1082</v>
      </c>
      <c r="I1513" s="3" t="s">
        <v>13</v>
      </c>
      <c r="J1513" s="3">
        <v>4</v>
      </c>
      <c r="K1513" s="3">
        <v>49701.599999999999</v>
      </c>
      <c r="L1513" s="3">
        <f>Table1[[#This Row],[Price Per Unit]]*Table1[[#This Row],[Units Sold]]</f>
        <v>198806.39999999999</v>
      </c>
      <c r="M1513" s="3" t="s">
        <v>311</v>
      </c>
      <c r="N1513" s="3">
        <v>46</v>
      </c>
      <c r="O1513" s="3" t="s">
        <v>65</v>
      </c>
      <c r="P1513" s="3" t="s">
        <v>45</v>
      </c>
      <c r="Q1513" s="4">
        <v>1</v>
      </c>
      <c r="R1513" s="4" t="str">
        <f>IF(Table1[[#This Row],[Customer Ratings]]&gt;=4, "Good",IF(Table1[[#This Row],[Customer Ratings]]=3, "Average","Poor"))</f>
        <v>Poor</v>
      </c>
      <c r="S1513" s="3" t="s">
        <v>72</v>
      </c>
    </row>
    <row r="1514" spans="1:19" x14ac:dyDescent="0.25">
      <c r="A1514" s="3">
        <v>1513</v>
      </c>
      <c r="B1514" s="5">
        <f>DATE(Table1[[#This Row],[Year]],Table1[[#This Row],[Month]],Table1[[#This Row],[Day]])</f>
        <v>44908</v>
      </c>
      <c r="C1514" s="3">
        <v>13</v>
      </c>
      <c r="D1514" s="3">
        <v>12</v>
      </c>
      <c r="E1514" s="3">
        <v>2022</v>
      </c>
      <c r="F1514" s="3" t="str">
        <f>"Qtr"&amp; " " &amp;CHOOSE(MONTH(Table1[[#This Row],[Date]]),1,1,1,2,2,2,3,3,3,4,4,4)</f>
        <v>Qtr 4</v>
      </c>
      <c r="G1514" s="3" t="str">
        <f>TEXT(Table1[[#This Row],[Date]],"mmmm")</f>
        <v>December</v>
      </c>
      <c r="H1514" s="3" t="s">
        <v>1082</v>
      </c>
      <c r="I1514" s="3" t="s">
        <v>13</v>
      </c>
      <c r="J1514" s="3">
        <v>4</v>
      </c>
      <c r="K1514" s="3">
        <v>59017.46</v>
      </c>
      <c r="L1514" s="3">
        <f>Table1[[#This Row],[Price Per Unit]]*Table1[[#This Row],[Units Sold]]</f>
        <v>236069.84</v>
      </c>
      <c r="M1514" s="3" t="s">
        <v>547</v>
      </c>
      <c r="N1514" s="3">
        <v>25</v>
      </c>
      <c r="O1514" s="3" t="s">
        <v>20</v>
      </c>
      <c r="P1514" s="3" t="s">
        <v>31</v>
      </c>
      <c r="Q1514" s="4">
        <v>5</v>
      </c>
      <c r="R1514" s="4" t="str">
        <f>IF(Table1[[#This Row],[Customer Ratings]]&gt;=4, "Good",IF(Table1[[#This Row],[Customer Ratings]]=3, "Average","Poor"))</f>
        <v>Good</v>
      </c>
      <c r="S1514" s="3" t="s">
        <v>17</v>
      </c>
    </row>
    <row r="1515" spans="1:19" x14ac:dyDescent="0.25">
      <c r="A1515" s="3">
        <v>1514</v>
      </c>
      <c r="B1515" s="5">
        <f>DATE(Table1[[#This Row],[Year]],Table1[[#This Row],[Month]],Table1[[#This Row],[Day]])</f>
        <v>44909</v>
      </c>
      <c r="C1515" s="3">
        <v>14</v>
      </c>
      <c r="D1515" s="3">
        <v>12</v>
      </c>
      <c r="E1515" s="3">
        <v>2022</v>
      </c>
      <c r="F1515" s="3" t="str">
        <f>"Qtr"&amp; " " &amp;CHOOSE(MONTH(Table1[[#This Row],[Date]]),1,1,1,2,2,2,3,3,3,4,4,4)</f>
        <v>Qtr 4</v>
      </c>
      <c r="G1515" s="3" t="str">
        <f>TEXT(Table1[[#This Row],[Date]],"mmmm")</f>
        <v>December</v>
      </c>
      <c r="H1515" s="3" t="s">
        <v>1083</v>
      </c>
      <c r="I1515" s="3" t="s">
        <v>39</v>
      </c>
      <c r="J1515" s="3">
        <v>2</v>
      </c>
      <c r="K1515" s="3">
        <v>17654.59</v>
      </c>
      <c r="L1515" s="3">
        <f>Table1[[#This Row],[Price Per Unit]]*Table1[[#This Row],[Units Sold]]</f>
        <v>35309.18</v>
      </c>
      <c r="M1515" s="3" t="s">
        <v>620</v>
      </c>
      <c r="N1515" s="3">
        <v>50</v>
      </c>
      <c r="O1515" s="3" t="s">
        <v>120</v>
      </c>
      <c r="P1515" s="3" t="s">
        <v>21</v>
      </c>
      <c r="Q1515" s="4">
        <v>3</v>
      </c>
      <c r="R1515" s="4" t="str">
        <f>IF(Table1[[#This Row],[Customer Ratings]]&gt;=4, "Good",IF(Table1[[#This Row],[Customer Ratings]]=3, "Average","Poor"))</f>
        <v>Average</v>
      </c>
      <c r="S1515" s="3" t="s">
        <v>90</v>
      </c>
    </row>
    <row r="1516" spans="1:19" x14ac:dyDescent="0.25">
      <c r="A1516" s="3">
        <v>1515</v>
      </c>
      <c r="B1516" s="5">
        <f>DATE(Table1[[#This Row],[Year]],Table1[[#This Row],[Month]],Table1[[#This Row],[Day]])</f>
        <v>44909</v>
      </c>
      <c r="C1516" s="3">
        <v>14</v>
      </c>
      <c r="D1516" s="3">
        <v>12</v>
      </c>
      <c r="E1516" s="3">
        <v>2022</v>
      </c>
      <c r="F1516" s="3" t="str">
        <f>"Qtr"&amp; " " &amp;CHOOSE(MONTH(Table1[[#This Row],[Date]]),1,1,1,2,2,2,3,3,3,4,4,4)</f>
        <v>Qtr 4</v>
      </c>
      <c r="G1516" s="3" t="str">
        <f>TEXT(Table1[[#This Row],[Date]],"mmmm")</f>
        <v>December</v>
      </c>
      <c r="H1516" s="3" t="s">
        <v>1083</v>
      </c>
      <c r="I1516" s="3" t="s">
        <v>33</v>
      </c>
      <c r="J1516" s="3">
        <v>1</v>
      </c>
      <c r="K1516" s="3">
        <v>61559.97</v>
      </c>
      <c r="L1516" s="3">
        <f>Table1[[#This Row],[Price Per Unit]]*Table1[[#This Row],[Units Sold]]</f>
        <v>61559.97</v>
      </c>
      <c r="M1516" s="3" t="s">
        <v>351</v>
      </c>
      <c r="N1516" s="3">
        <v>58</v>
      </c>
      <c r="O1516" s="3" t="s">
        <v>41</v>
      </c>
      <c r="P1516" s="3" t="s">
        <v>16</v>
      </c>
      <c r="Q1516" s="4">
        <v>3</v>
      </c>
      <c r="R1516" s="4" t="str">
        <f>IF(Table1[[#This Row],[Customer Ratings]]&gt;=4, "Good",IF(Table1[[#This Row],[Customer Ratings]]=3, "Average","Poor"))</f>
        <v>Average</v>
      </c>
      <c r="S1516" s="3" t="s">
        <v>83</v>
      </c>
    </row>
    <row r="1517" spans="1:19" x14ac:dyDescent="0.25">
      <c r="A1517" s="3">
        <v>1516</v>
      </c>
      <c r="B1517" s="5">
        <f>DATE(Table1[[#This Row],[Year]],Table1[[#This Row],[Month]],Table1[[#This Row],[Day]])</f>
        <v>44909</v>
      </c>
      <c r="C1517" s="3">
        <v>14</v>
      </c>
      <c r="D1517" s="3">
        <v>12</v>
      </c>
      <c r="E1517" s="3">
        <v>2022</v>
      </c>
      <c r="F1517" s="3" t="str">
        <f>"Qtr"&amp; " " &amp;CHOOSE(MONTH(Table1[[#This Row],[Date]]),1,1,1,2,2,2,3,3,3,4,4,4)</f>
        <v>Qtr 4</v>
      </c>
      <c r="G1517" s="3" t="str">
        <f>TEXT(Table1[[#This Row],[Date]],"mmmm")</f>
        <v>December</v>
      </c>
      <c r="H1517" s="3" t="s">
        <v>1083</v>
      </c>
      <c r="I1517" s="3" t="s">
        <v>39</v>
      </c>
      <c r="J1517" s="3">
        <v>1</v>
      </c>
      <c r="K1517" s="3">
        <v>45689.96</v>
      </c>
      <c r="L1517" s="3">
        <f>Table1[[#This Row],[Price Per Unit]]*Table1[[#This Row],[Units Sold]]</f>
        <v>45689.96</v>
      </c>
      <c r="M1517" s="3" t="s">
        <v>561</v>
      </c>
      <c r="N1517" s="3">
        <v>36</v>
      </c>
      <c r="O1517" s="3" t="s">
        <v>58</v>
      </c>
      <c r="P1517" s="3" t="s">
        <v>16</v>
      </c>
      <c r="Q1517" s="4">
        <v>5</v>
      </c>
      <c r="R1517" s="4" t="str">
        <f>IF(Table1[[#This Row],[Customer Ratings]]&gt;=4, "Good",IF(Table1[[#This Row],[Customer Ratings]]=3, "Average","Poor"))</f>
        <v>Good</v>
      </c>
      <c r="S1517" s="3" t="s">
        <v>90</v>
      </c>
    </row>
    <row r="1518" spans="1:19" x14ac:dyDescent="0.25">
      <c r="A1518" s="3">
        <v>1517</v>
      </c>
      <c r="B1518" s="5">
        <f>DATE(Table1[[#This Row],[Year]],Table1[[#This Row],[Month]],Table1[[#This Row],[Day]])</f>
        <v>44909</v>
      </c>
      <c r="C1518" s="3">
        <v>14</v>
      </c>
      <c r="D1518" s="3">
        <v>12</v>
      </c>
      <c r="E1518" s="3">
        <v>2022</v>
      </c>
      <c r="F1518" s="3" t="str">
        <f>"Qtr"&amp; " " &amp;CHOOSE(MONTH(Table1[[#This Row],[Date]]),1,1,1,2,2,2,3,3,3,4,4,4)</f>
        <v>Qtr 4</v>
      </c>
      <c r="G1518" s="3" t="str">
        <f>TEXT(Table1[[#This Row],[Date]],"mmmm")</f>
        <v>December</v>
      </c>
      <c r="H1518" s="3" t="s">
        <v>1083</v>
      </c>
      <c r="I1518" s="3" t="s">
        <v>39</v>
      </c>
      <c r="J1518" s="3">
        <v>8</v>
      </c>
      <c r="K1518" s="3">
        <v>30119.74</v>
      </c>
      <c r="L1518" s="3">
        <f>Table1[[#This Row],[Price Per Unit]]*Table1[[#This Row],[Units Sold]]</f>
        <v>240957.92</v>
      </c>
      <c r="M1518" s="3" t="s">
        <v>850</v>
      </c>
      <c r="N1518" s="3">
        <v>38</v>
      </c>
      <c r="O1518" s="3" t="s">
        <v>24</v>
      </c>
      <c r="P1518" s="3" t="s">
        <v>21</v>
      </c>
      <c r="Q1518" s="4">
        <v>1</v>
      </c>
      <c r="R1518" s="4" t="str">
        <f>IF(Table1[[#This Row],[Customer Ratings]]&gt;=4, "Good",IF(Table1[[#This Row],[Customer Ratings]]=3, "Average","Poor"))</f>
        <v>Poor</v>
      </c>
      <c r="S1518" s="3" t="s">
        <v>42</v>
      </c>
    </row>
    <row r="1519" spans="1:19" x14ac:dyDescent="0.25">
      <c r="A1519" s="3">
        <v>1518</v>
      </c>
      <c r="B1519" s="5">
        <f>DATE(Table1[[#This Row],[Year]],Table1[[#This Row],[Month]],Table1[[#This Row],[Day]])</f>
        <v>44910</v>
      </c>
      <c r="C1519" s="3">
        <v>15</v>
      </c>
      <c r="D1519" s="3">
        <v>12</v>
      </c>
      <c r="E1519" s="3">
        <v>2022</v>
      </c>
      <c r="F1519" s="3" t="str">
        <f>"Qtr"&amp; " " &amp;CHOOSE(MONTH(Table1[[#This Row],[Date]]),1,1,1,2,2,2,3,3,3,4,4,4)</f>
        <v>Qtr 4</v>
      </c>
      <c r="G1519" s="3" t="str">
        <f>TEXT(Table1[[#This Row],[Date]],"mmmm")</f>
        <v>December</v>
      </c>
      <c r="H1519" s="3" t="s">
        <v>1084</v>
      </c>
      <c r="I1519" s="3" t="s">
        <v>13</v>
      </c>
      <c r="J1519" s="3">
        <v>2</v>
      </c>
      <c r="K1519" s="3">
        <v>58951.32</v>
      </c>
      <c r="L1519" s="3">
        <f>Table1[[#This Row],[Price Per Unit]]*Table1[[#This Row],[Units Sold]]</f>
        <v>117902.64</v>
      </c>
      <c r="M1519" s="3" t="s">
        <v>660</v>
      </c>
      <c r="N1519" s="3">
        <v>58</v>
      </c>
      <c r="O1519" s="3" t="s">
        <v>24</v>
      </c>
      <c r="P1519" s="3" t="s">
        <v>45</v>
      </c>
      <c r="Q1519" s="4">
        <v>1</v>
      </c>
      <c r="R1519" s="4" t="str">
        <f>IF(Table1[[#This Row],[Customer Ratings]]&gt;=4, "Good",IF(Table1[[#This Row],[Customer Ratings]]=3, "Average","Poor"))</f>
        <v>Poor</v>
      </c>
      <c r="S1519" s="3" t="s">
        <v>17</v>
      </c>
    </row>
    <row r="1520" spans="1:19" x14ac:dyDescent="0.25">
      <c r="A1520" s="3">
        <v>1519</v>
      </c>
      <c r="B1520" s="5">
        <f>DATE(Table1[[#This Row],[Year]],Table1[[#This Row],[Month]],Table1[[#This Row],[Day]])</f>
        <v>44910</v>
      </c>
      <c r="C1520" s="3">
        <v>15</v>
      </c>
      <c r="D1520" s="3">
        <v>12</v>
      </c>
      <c r="E1520" s="3">
        <v>2022</v>
      </c>
      <c r="F1520" s="3" t="str">
        <f>"Qtr"&amp; " " &amp;CHOOSE(MONTH(Table1[[#This Row],[Date]]),1,1,1,2,2,2,3,3,3,4,4,4)</f>
        <v>Qtr 4</v>
      </c>
      <c r="G1520" s="3" t="str">
        <f>TEXT(Table1[[#This Row],[Date]],"mmmm")</f>
        <v>December</v>
      </c>
      <c r="H1520" s="3" t="s">
        <v>1084</v>
      </c>
      <c r="I1520" s="3" t="s">
        <v>13</v>
      </c>
      <c r="J1520" s="3">
        <v>5</v>
      </c>
      <c r="K1520" s="3">
        <v>58153.87</v>
      </c>
      <c r="L1520" s="3">
        <f>Table1[[#This Row],[Price Per Unit]]*Table1[[#This Row],[Units Sold]]</f>
        <v>290769.35000000003</v>
      </c>
      <c r="M1520" s="3" t="s">
        <v>851</v>
      </c>
      <c r="N1520" s="3">
        <v>38</v>
      </c>
      <c r="O1520" s="3" t="s">
        <v>15</v>
      </c>
      <c r="P1520" s="3" t="s">
        <v>45</v>
      </c>
      <c r="Q1520" s="4">
        <v>4</v>
      </c>
      <c r="R1520" s="4" t="str">
        <f>IF(Table1[[#This Row],[Customer Ratings]]&gt;=4, "Good",IF(Table1[[#This Row],[Customer Ratings]]=3, "Average","Poor"))</f>
        <v>Good</v>
      </c>
      <c r="S1520" s="3" t="s">
        <v>27</v>
      </c>
    </row>
    <row r="1521" spans="1:19" x14ac:dyDescent="0.25">
      <c r="A1521" s="3">
        <v>1520</v>
      </c>
      <c r="B1521" s="5">
        <f>DATE(Table1[[#This Row],[Year]],Table1[[#This Row],[Month]],Table1[[#This Row],[Day]])</f>
        <v>44910</v>
      </c>
      <c r="C1521" s="3">
        <v>15</v>
      </c>
      <c r="D1521" s="3">
        <v>12</v>
      </c>
      <c r="E1521" s="3">
        <v>2022</v>
      </c>
      <c r="F1521" s="3" t="str">
        <f>"Qtr"&amp; " " &amp;CHOOSE(MONTH(Table1[[#This Row],[Date]]),1,1,1,2,2,2,3,3,3,4,4,4)</f>
        <v>Qtr 4</v>
      </c>
      <c r="G1521" s="3" t="str">
        <f>TEXT(Table1[[#This Row],[Date]],"mmmm")</f>
        <v>December</v>
      </c>
      <c r="H1521" s="3" t="s">
        <v>1084</v>
      </c>
      <c r="I1521" s="3" t="s">
        <v>39</v>
      </c>
      <c r="J1521" s="3">
        <v>4</v>
      </c>
      <c r="K1521" s="3">
        <v>60742.51</v>
      </c>
      <c r="L1521" s="3">
        <f>Table1[[#This Row],[Price Per Unit]]*Table1[[#This Row],[Units Sold]]</f>
        <v>242970.04</v>
      </c>
      <c r="M1521" s="3" t="s">
        <v>289</v>
      </c>
      <c r="N1521" s="3">
        <v>42</v>
      </c>
      <c r="O1521" s="3" t="s">
        <v>65</v>
      </c>
      <c r="P1521" s="3" t="s">
        <v>45</v>
      </c>
      <c r="Q1521" s="4">
        <v>5</v>
      </c>
      <c r="R1521" s="4" t="str">
        <f>IF(Table1[[#This Row],[Customer Ratings]]&gt;=4, "Good",IF(Table1[[#This Row],[Customer Ratings]]=3, "Average","Poor"))</f>
        <v>Good</v>
      </c>
      <c r="S1521" s="3" t="s">
        <v>42</v>
      </c>
    </row>
    <row r="1522" spans="1:19" x14ac:dyDescent="0.25">
      <c r="A1522" s="3">
        <v>1521</v>
      </c>
      <c r="B1522" s="5">
        <f>DATE(Table1[[#This Row],[Year]],Table1[[#This Row],[Month]],Table1[[#This Row],[Day]])</f>
        <v>44911</v>
      </c>
      <c r="C1522" s="3">
        <v>16</v>
      </c>
      <c r="D1522" s="3">
        <v>12</v>
      </c>
      <c r="E1522" s="3">
        <v>2022</v>
      </c>
      <c r="F1522" s="3" t="str">
        <f>"Qtr"&amp; " " &amp;CHOOSE(MONTH(Table1[[#This Row],[Date]]),1,1,1,2,2,2,3,3,3,4,4,4)</f>
        <v>Qtr 4</v>
      </c>
      <c r="G1522" s="3" t="str">
        <f>TEXT(Table1[[#This Row],[Date]],"mmmm")</f>
        <v>December</v>
      </c>
      <c r="H1522" s="3" t="s">
        <v>1085</v>
      </c>
      <c r="I1522" s="3" t="s">
        <v>39</v>
      </c>
      <c r="J1522" s="3">
        <v>8</v>
      </c>
      <c r="K1522" s="3">
        <v>16931.07</v>
      </c>
      <c r="L1522" s="3">
        <f>Table1[[#This Row],[Price Per Unit]]*Table1[[#This Row],[Units Sold]]</f>
        <v>135448.56</v>
      </c>
      <c r="M1522" s="3" t="s">
        <v>441</v>
      </c>
      <c r="N1522" s="3">
        <v>59</v>
      </c>
      <c r="O1522" s="3" t="s">
        <v>54</v>
      </c>
      <c r="P1522" s="3" t="s">
        <v>45</v>
      </c>
      <c r="Q1522" s="4">
        <v>5</v>
      </c>
      <c r="R1522" s="4" t="str">
        <f>IF(Table1[[#This Row],[Customer Ratings]]&gt;=4, "Good",IF(Table1[[#This Row],[Customer Ratings]]=3, "Average","Poor"))</f>
        <v>Good</v>
      </c>
      <c r="S1522" s="3" t="s">
        <v>90</v>
      </c>
    </row>
    <row r="1523" spans="1:19" x14ac:dyDescent="0.25">
      <c r="A1523" s="3">
        <v>1522</v>
      </c>
      <c r="B1523" s="5">
        <f>DATE(Table1[[#This Row],[Year]],Table1[[#This Row],[Month]],Table1[[#This Row],[Day]])</f>
        <v>44911</v>
      </c>
      <c r="C1523" s="3">
        <v>16</v>
      </c>
      <c r="D1523" s="3">
        <v>12</v>
      </c>
      <c r="E1523" s="3">
        <v>2022</v>
      </c>
      <c r="F1523" s="3" t="str">
        <f>"Qtr"&amp; " " &amp;CHOOSE(MONTH(Table1[[#This Row],[Date]]),1,1,1,2,2,2,3,3,3,4,4,4)</f>
        <v>Qtr 4</v>
      </c>
      <c r="G1523" s="3" t="str">
        <f>TEXT(Table1[[#This Row],[Date]],"mmmm")</f>
        <v>December</v>
      </c>
      <c r="H1523" s="3" t="s">
        <v>1085</v>
      </c>
      <c r="I1523" s="3" t="s">
        <v>39</v>
      </c>
      <c r="J1523" s="3">
        <v>2</v>
      </c>
      <c r="K1523" s="3">
        <v>68161.67</v>
      </c>
      <c r="L1523" s="3">
        <f>Table1[[#This Row],[Price Per Unit]]*Table1[[#This Row],[Units Sold]]</f>
        <v>136323.34</v>
      </c>
      <c r="M1523" s="3" t="s">
        <v>852</v>
      </c>
      <c r="N1523" s="3">
        <v>40</v>
      </c>
      <c r="O1523" s="3" t="s">
        <v>78</v>
      </c>
      <c r="P1523" s="3" t="s">
        <v>21</v>
      </c>
      <c r="Q1523" s="4">
        <v>3</v>
      </c>
      <c r="R1523" s="4" t="str">
        <f>IF(Table1[[#This Row],[Customer Ratings]]&gt;=4, "Good",IF(Table1[[#This Row],[Customer Ratings]]=3, "Average","Poor"))</f>
        <v>Average</v>
      </c>
      <c r="S1523" s="3" t="s">
        <v>42</v>
      </c>
    </row>
    <row r="1524" spans="1:19" x14ac:dyDescent="0.25">
      <c r="A1524" s="3">
        <v>1523</v>
      </c>
      <c r="B1524" s="5">
        <f>DATE(Table1[[#This Row],[Year]],Table1[[#This Row],[Month]],Table1[[#This Row],[Day]])</f>
        <v>44911</v>
      </c>
      <c r="C1524" s="3">
        <v>16</v>
      </c>
      <c r="D1524" s="3">
        <v>12</v>
      </c>
      <c r="E1524" s="3">
        <v>2022</v>
      </c>
      <c r="F1524" s="3" t="str">
        <f>"Qtr"&amp; " " &amp;CHOOSE(MONTH(Table1[[#This Row],[Date]]),1,1,1,2,2,2,3,3,3,4,4,4)</f>
        <v>Qtr 4</v>
      </c>
      <c r="G1524" s="3" t="str">
        <f>TEXT(Table1[[#This Row],[Date]],"mmmm")</f>
        <v>December</v>
      </c>
      <c r="H1524" s="3" t="s">
        <v>1085</v>
      </c>
      <c r="I1524" s="3" t="s">
        <v>13</v>
      </c>
      <c r="J1524" s="3">
        <v>9</v>
      </c>
      <c r="K1524" s="3">
        <v>67577.570000000007</v>
      </c>
      <c r="L1524" s="3">
        <f>Table1[[#This Row],[Price Per Unit]]*Table1[[#This Row],[Units Sold]]</f>
        <v>608198.13000000012</v>
      </c>
      <c r="M1524" s="3" t="s">
        <v>787</v>
      </c>
      <c r="N1524" s="3">
        <v>28</v>
      </c>
      <c r="O1524" s="3" t="s">
        <v>20</v>
      </c>
      <c r="P1524" s="3" t="s">
        <v>21</v>
      </c>
      <c r="Q1524" s="4">
        <v>5</v>
      </c>
      <c r="R1524" s="4" t="str">
        <f>IF(Table1[[#This Row],[Customer Ratings]]&gt;=4, "Good",IF(Table1[[#This Row],[Customer Ratings]]=3, "Average","Poor"))</f>
        <v>Good</v>
      </c>
      <c r="S1524" s="3" t="s">
        <v>17</v>
      </c>
    </row>
    <row r="1525" spans="1:19" x14ac:dyDescent="0.25">
      <c r="A1525" s="3">
        <v>1524</v>
      </c>
      <c r="B1525" s="5">
        <f>DATE(Table1[[#This Row],[Year]],Table1[[#This Row],[Month]],Table1[[#This Row],[Day]])</f>
        <v>44911</v>
      </c>
      <c r="C1525" s="3">
        <v>16</v>
      </c>
      <c r="D1525" s="3">
        <v>12</v>
      </c>
      <c r="E1525" s="3">
        <v>2022</v>
      </c>
      <c r="F1525" s="3" t="str">
        <f>"Qtr"&amp; " " &amp;CHOOSE(MONTH(Table1[[#This Row],[Date]]),1,1,1,2,2,2,3,3,3,4,4,4)</f>
        <v>Qtr 4</v>
      </c>
      <c r="G1525" s="3" t="str">
        <f>TEXT(Table1[[#This Row],[Date]],"mmmm")</f>
        <v>December</v>
      </c>
      <c r="H1525" s="3" t="s">
        <v>1085</v>
      </c>
      <c r="I1525" s="3" t="s">
        <v>39</v>
      </c>
      <c r="J1525" s="3">
        <v>7</v>
      </c>
      <c r="K1525" s="3">
        <v>31448.18</v>
      </c>
      <c r="L1525" s="3">
        <f>Table1[[#This Row],[Price Per Unit]]*Table1[[#This Row],[Units Sold]]</f>
        <v>220137.26</v>
      </c>
      <c r="M1525" s="3" t="s">
        <v>608</v>
      </c>
      <c r="N1525" s="3">
        <v>50</v>
      </c>
      <c r="O1525" s="3" t="s">
        <v>20</v>
      </c>
      <c r="P1525" s="3" t="s">
        <v>16</v>
      </c>
      <c r="Q1525" s="4">
        <v>1</v>
      </c>
      <c r="R1525" s="4" t="str">
        <f>IF(Table1[[#This Row],[Customer Ratings]]&gt;=4, "Good",IF(Table1[[#This Row],[Customer Ratings]]=3, "Average","Poor"))</f>
        <v>Poor</v>
      </c>
      <c r="S1525" s="3" t="s">
        <v>42</v>
      </c>
    </row>
    <row r="1526" spans="1:19" x14ac:dyDescent="0.25">
      <c r="A1526" s="3">
        <v>1525</v>
      </c>
      <c r="B1526" s="5">
        <f>DATE(Table1[[#This Row],[Year]],Table1[[#This Row],[Month]],Table1[[#This Row],[Day]])</f>
        <v>44912</v>
      </c>
      <c r="C1526" s="3">
        <v>17</v>
      </c>
      <c r="D1526" s="3">
        <v>12</v>
      </c>
      <c r="E1526" s="3">
        <v>2022</v>
      </c>
      <c r="F1526" s="3" t="str">
        <f>"Qtr"&amp; " " &amp;CHOOSE(MONTH(Table1[[#This Row],[Date]]),1,1,1,2,2,2,3,3,3,4,4,4)</f>
        <v>Qtr 4</v>
      </c>
      <c r="G1526" s="3" t="str">
        <f>TEXT(Table1[[#This Row],[Date]],"mmmm")</f>
        <v>December</v>
      </c>
      <c r="H1526" s="3" t="s">
        <v>1079</v>
      </c>
      <c r="I1526" s="3" t="s">
        <v>39</v>
      </c>
      <c r="J1526" s="3">
        <v>7</v>
      </c>
      <c r="K1526" s="3">
        <v>13953.64</v>
      </c>
      <c r="L1526" s="3">
        <f>Table1[[#This Row],[Price Per Unit]]*Table1[[#This Row],[Units Sold]]</f>
        <v>97675.48</v>
      </c>
      <c r="M1526" s="3" t="s">
        <v>682</v>
      </c>
      <c r="N1526" s="3">
        <v>37</v>
      </c>
      <c r="O1526" s="3" t="s">
        <v>102</v>
      </c>
      <c r="P1526" s="3" t="s">
        <v>16</v>
      </c>
      <c r="Q1526" s="4">
        <v>5</v>
      </c>
      <c r="R1526" s="4" t="str">
        <f>IF(Table1[[#This Row],[Customer Ratings]]&gt;=4, "Good",IF(Table1[[#This Row],[Customer Ratings]]=3, "Average","Poor"))</f>
        <v>Good</v>
      </c>
      <c r="S1526" s="3" t="s">
        <v>90</v>
      </c>
    </row>
    <row r="1527" spans="1:19" x14ac:dyDescent="0.25">
      <c r="A1527" s="3">
        <v>1526</v>
      </c>
      <c r="B1527" s="5">
        <f>DATE(Table1[[#This Row],[Year]],Table1[[#This Row],[Month]],Table1[[#This Row],[Day]])</f>
        <v>44912</v>
      </c>
      <c r="C1527" s="3">
        <v>17</v>
      </c>
      <c r="D1527" s="3">
        <v>12</v>
      </c>
      <c r="E1527" s="3">
        <v>2022</v>
      </c>
      <c r="F1527" s="3" t="str">
        <f>"Qtr"&amp; " " &amp;CHOOSE(MONTH(Table1[[#This Row],[Date]]),1,1,1,2,2,2,3,3,3,4,4,4)</f>
        <v>Qtr 4</v>
      </c>
      <c r="G1527" s="3" t="str">
        <f>TEXT(Table1[[#This Row],[Date]],"mmmm")</f>
        <v>December</v>
      </c>
      <c r="H1527" s="3" t="s">
        <v>1079</v>
      </c>
      <c r="I1527" s="3" t="s">
        <v>28</v>
      </c>
      <c r="J1527" s="3">
        <v>1</v>
      </c>
      <c r="K1527" s="3">
        <v>20023.34</v>
      </c>
      <c r="L1527" s="3">
        <f>Table1[[#This Row],[Price Per Unit]]*Table1[[#This Row],[Units Sold]]</f>
        <v>20023.34</v>
      </c>
      <c r="M1527" s="3" t="s">
        <v>853</v>
      </c>
      <c r="N1527" s="3">
        <v>42</v>
      </c>
      <c r="O1527" s="3" t="s">
        <v>24</v>
      </c>
      <c r="P1527" s="3" t="s">
        <v>45</v>
      </c>
      <c r="Q1527" s="4">
        <v>5</v>
      </c>
      <c r="R1527" s="4" t="str">
        <f>IF(Table1[[#This Row],[Customer Ratings]]&gt;=4, "Good",IF(Table1[[#This Row],[Customer Ratings]]=3, "Average","Poor"))</f>
        <v>Good</v>
      </c>
      <c r="S1527" s="3" t="s">
        <v>32</v>
      </c>
    </row>
    <row r="1528" spans="1:19" x14ac:dyDescent="0.25">
      <c r="A1528" s="3">
        <v>1527</v>
      </c>
      <c r="B1528" s="5">
        <f>DATE(Table1[[#This Row],[Year]],Table1[[#This Row],[Month]],Table1[[#This Row],[Day]])</f>
        <v>44912</v>
      </c>
      <c r="C1528" s="3">
        <v>17</v>
      </c>
      <c r="D1528" s="3">
        <v>12</v>
      </c>
      <c r="E1528" s="3">
        <v>2022</v>
      </c>
      <c r="F1528" s="3" t="str">
        <f>"Qtr"&amp; " " &amp;CHOOSE(MONTH(Table1[[#This Row],[Date]]),1,1,1,2,2,2,3,3,3,4,4,4)</f>
        <v>Qtr 4</v>
      </c>
      <c r="G1528" s="3" t="str">
        <f>TEXT(Table1[[#This Row],[Date]],"mmmm")</f>
        <v>December</v>
      </c>
      <c r="H1528" s="3" t="s">
        <v>1079</v>
      </c>
      <c r="I1528" s="3" t="s">
        <v>33</v>
      </c>
      <c r="J1528" s="3">
        <v>2</v>
      </c>
      <c r="K1528" s="3">
        <v>69569.850000000006</v>
      </c>
      <c r="L1528" s="3">
        <f>Table1[[#This Row],[Price Per Unit]]*Table1[[#This Row],[Units Sold]]</f>
        <v>139139.70000000001</v>
      </c>
      <c r="M1528" s="3" t="s">
        <v>854</v>
      </c>
      <c r="N1528" s="3">
        <v>43</v>
      </c>
      <c r="O1528" s="3" t="s">
        <v>54</v>
      </c>
      <c r="P1528" s="3" t="s">
        <v>31</v>
      </c>
      <c r="Q1528" s="4">
        <v>5</v>
      </c>
      <c r="R1528" s="4" t="str">
        <f>IF(Table1[[#This Row],[Customer Ratings]]&gt;=4, "Good",IF(Table1[[#This Row],[Customer Ratings]]=3, "Average","Poor"))</f>
        <v>Good</v>
      </c>
      <c r="S1528" s="3" t="s">
        <v>83</v>
      </c>
    </row>
    <row r="1529" spans="1:19" x14ac:dyDescent="0.25">
      <c r="A1529" s="3">
        <v>1528</v>
      </c>
      <c r="B1529" s="5">
        <f>DATE(Table1[[#This Row],[Year]],Table1[[#This Row],[Month]],Table1[[#This Row],[Day]])</f>
        <v>44912</v>
      </c>
      <c r="C1529" s="3">
        <v>17</v>
      </c>
      <c r="D1529" s="3">
        <v>12</v>
      </c>
      <c r="E1529" s="3">
        <v>2022</v>
      </c>
      <c r="F1529" s="3" t="str">
        <f>"Qtr"&amp; " " &amp;CHOOSE(MONTH(Table1[[#This Row],[Date]]),1,1,1,2,2,2,3,3,3,4,4,4)</f>
        <v>Qtr 4</v>
      </c>
      <c r="G1529" s="3" t="str">
        <f>TEXT(Table1[[#This Row],[Date]],"mmmm")</f>
        <v>December</v>
      </c>
      <c r="H1529" s="3" t="s">
        <v>1079</v>
      </c>
      <c r="I1529" s="3" t="s">
        <v>18</v>
      </c>
      <c r="J1529" s="3">
        <v>4</v>
      </c>
      <c r="K1529" s="3">
        <v>43780.78</v>
      </c>
      <c r="L1529" s="3">
        <f>Table1[[#This Row],[Price Per Unit]]*Table1[[#This Row],[Units Sold]]</f>
        <v>175123.12</v>
      </c>
      <c r="M1529" s="3" t="s">
        <v>548</v>
      </c>
      <c r="N1529" s="3">
        <v>57</v>
      </c>
      <c r="O1529" s="3" t="s">
        <v>24</v>
      </c>
      <c r="P1529" s="3" t="s">
        <v>31</v>
      </c>
      <c r="Q1529" s="4">
        <v>1</v>
      </c>
      <c r="R1529" s="4" t="str">
        <f>IF(Table1[[#This Row],[Customer Ratings]]&gt;=4, "Good",IF(Table1[[#This Row],[Customer Ratings]]=3, "Average","Poor"))</f>
        <v>Poor</v>
      </c>
      <c r="S1529" s="3" t="s">
        <v>25</v>
      </c>
    </row>
    <row r="1530" spans="1:19" x14ac:dyDescent="0.25">
      <c r="A1530" s="3">
        <v>1529</v>
      </c>
      <c r="B1530" s="5">
        <f>DATE(Table1[[#This Row],[Year]],Table1[[#This Row],[Month]],Table1[[#This Row],[Day]])</f>
        <v>44913</v>
      </c>
      <c r="C1530" s="3">
        <v>18</v>
      </c>
      <c r="D1530" s="3">
        <v>12</v>
      </c>
      <c r="E1530" s="3">
        <v>2022</v>
      </c>
      <c r="F1530" s="3" t="str">
        <f>"Qtr"&amp; " " &amp;CHOOSE(MONTH(Table1[[#This Row],[Date]]),1,1,1,2,2,2,3,3,3,4,4,4)</f>
        <v>Qtr 4</v>
      </c>
      <c r="G1530" s="3" t="str">
        <f>TEXT(Table1[[#This Row],[Date]],"mmmm")</f>
        <v>December</v>
      </c>
      <c r="H1530" s="3" t="s">
        <v>1080</v>
      </c>
      <c r="I1530" s="3" t="s">
        <v>33</v>
      </c>
      <c r="J1530" s="3">
        <v>4</v>
      </c>
      <c r="K1530" s="3">
        <v>31397.31</v>
      </c>
      <c r="L1530" s="3">
        <f>Table1[[#This Row],[Price Per Unit]]*Table1[[#This Row],[Units Sold]]</f>
        <v>125589.24</v>
      </c>
      <c r="M1530" s="3" t="s">
        <v>855</v>
      </c>
      <c r="N1530" s="3">
        <v>29</v>
      </c>
      <c r="O1530" s="3" t="s">
        <v>125</v>
      </c>
      <c r="P1530" s="3" t="s">
        <v>16</v>
      </c>
      <c r="Q1530" s="4">
        <v>5</v>
      </c>
      <c r="R1530" s="4" t="str">
        <f>IF(Table1[[#This Row],[Customer Ratings]]&gt;=4, "Good",IF(Table1[[#This Row],[Customer Ratings]]=3, "Average","Poor"))</f>
        <v>Good</v>
      </c>
      <c r="S1530" s="3" t="s">
        <v>46</v>
      </c>
    </row>
    <row r="1531" spans="1:19" x14ac:dyDescent="0.25">
      <c r="A1531" s="3">
        <v>1530</v>
      </c>
      <c r="B1531" s="5">
        <f>DATE(Table1[[#This Row],[Year]],Table1[[#This Row],[Month]],Table1[[#This Row],[Day]])</f>
        <v>44913</v>
      </c>
      <c r="C1531" s="3">
        <v>18</v>
      </c>
      <c r="D1531" s="3">
        <v>12</v>
      </c>
      <c r="E1531" s="3">
        <v>2022</v>
      </c>
      <c r="F1531" s="3" t="str">
        <f>"Qtr"&amp; " " &amp;CHOOSE(MONTH(Table1[[#This Row],[Date]]),1,1,1,2,2,2,3,3,3,4,4,4)</f>
        <v>Qtr 4</v>
      </c>
      <c r="G1531" s="3" t="str">
        <f>TEXT(Table1[[#This Row],[Date]],"mmmm")</f>
        <v>December</v>
      </c>
      <c r="H1531" s="3" t="s">
        <v>1080</v>
      </c>
      <c r="I1531" s="3" t="s">
        <v>28</v>
      </c>
      <c r="J1531" s="3">
        <v>3</v>
      </c>
      <c r="K1531" s="3">
        <v>27292.16</v>
      </c>
      <c r="L1531" s="3">
        <f>Table1[[#This Row],[Price Per Unit]]*Table1[[#This Row],[Units Sold]]</f>
        <v>81876.479999999996</v>
      </c>
      <c r="M1531" s="3" t="s">
        <v>439</v>
      </c>
      <c r="N1531" s="3">
        <v>49</v>
      </c>
      <c r="O1531" s="3" t="s">
        <v>24</v>
      </c>
      <c r="P1531" s="3" t="s">
        <v>16</v>
      </c>
      <c r="Q1531" s="4">
        <v>5</v>
      </c>
      <c r="R1531" s="4" t="str">
        <f>IF(Table1[[#This Row],[Customer Ratings]]&gt;=4, "Good",IF(Table1[[#This Row],[Customer Ratings]]=3, "Average","Poor"))</f>
        <v>Good</v>
      </c>
      <c r="S1531" s="3" t="s">
        <v>87</v>
      </c>
    </row>
    <row r="1532" spans="1:19" x14ac:dyDescent="0.25">
      <c r="A1532" s="3">
        <v>1531</v>
      </c>
      <c r="B1532" s="5">
        <f>DATE(Table1[[#This Row],[Year]],Table1[[#This Row],[Month]],Table1[[#This Row],[Day]])</f>
        <v>44913</v>
      </c>
      <c r="C1532" s="3">
        <v>18</v>
      </c>
      <c r="D1532" s="3">
        <v>12</v>
      </c>
      <c r="E1532" s="3">
        <v>2022</v>
      </c>
      <c r="F1532" s="3" t="str">
        <f>"Qtr"&amp; " " &amp;CHOOSE(MONTH(Table1[[#This Row],[Date]]),1,1,1,2,2,2,3,3,3,4,4,4)</f>
        <v>Qtr 4</v>
      </c>
      <c r="G1532" s="3" t="str">
        <f>TEXT(Table1[[#This Row],[Date]],"mmmm")</f>
        <v>December</v>
      </c>
      <c r="H1532" s="3" t="s">
        <v>1080</v>
      </c>
      <c r="I1532" s="3" t="s">
        <v>18</v>
      </c>
      <c r="J1532" s="3">
        <v>7</v>
      </c>
      <c r="K1532" s="3">
        <v>25419.5</v>
      </c>
      <c r="L1532" s="3">
        <f>Table1[[#This Row],[Price Per Unit]]*Table1[[#This Row],[Units Sold]]</f>
        <v>177936.5</v>
      </c>
      <c r="M1532" s="3" t="s">
        <v>739</v>
      </c>
      <c r="N1532" s="3">
        <v>50</v>
      </c>
      <c r="O1532" s="3" t="s">
        <v>35</v>
      </c>
      <c r="P1532" s="3" t="s">
        <v>21</v>
      </c>
      <c r="Q1532" s="4">
        <v>4</v>
      </c>
      <c r="R1532" s="4" t="str">
        <f>IF(Table1[[#This Row],[Customer Ratings]]&gt;=4, "Good",IF(Table1[[#This Row],[Customer Ratings]]=3, "Average","Poor"))</f>
        <v>Good</v>
      </c>
      <c r="S1532" s="3" t="s">
        <v>22</v>
      </c>
    </row>
    <row r="1533" spans="1:19" x14ac:dyDescent="0.25">
      <c r="A1533" s="3">
        <v>1532</v>
      </c>
      <c r="B1533" s="5">
        <f>DATE(Table1[[#This Row],[Year]],Table1[[#This Row],[Month]],Table1[[#This Row],[Day]])</f>
        <v>44913</v>
      </c>
      <c r="C1533" s="3">
        <v>18</v>
      </c>
      <c r="D1533" s="3">
        <v>12</v>
      </c>
      <c r="E1533" s="3">
        <v>2022</v>
      </c>
      <c r="F1533" s="3" t="str">
        <f>"Qtr"&amp; " " &amp;CHOOSE(MONTH(Table1[[#This Row],[Date]]),1,1,1,2,2,2,3,3,3,4,4,4)</f>
        <v>Qtr 4</v>
      </c>
      <c r="G1533" s="3" t="str">
        <f>TEXT(Table1[[#This Row],[Date]],"mmmm")</f>
        <v>December</v>
      </c>
      <c r="H1533" s="3" t="s">
        <v>1080</v>
      </c>
      <c r="I1533" s="3" t="s">
        <v>39</v>
      </c>
      <c r="J1533" s="3">
        <v>8</v>
      </c>
      <c r="K1533" s="3">
        <v>49849.17</v>
      </c>
      <c r="L1533" s="3">
        <f>Table1[[#This Row],[Price Per Unit]]*Table1[[#This Row],[Units Sold]]</f>
        <v>398793.36</v>
      </c>
      <c r="M1533" s="3" t="s">
        <v>397</v>
      </c>
      <c r="N1533" s="3">
        <v>27</v>
      </c>
      <c r="O1533" s="3" t="s">
        <v>98</v>
      </c>
      <c r="P1533" s="3" t="s">
        <v>16</v>
      </c>
      <c r="Q1533" s="4">
        <v>5</v>
      </c>
      <c r="R1533" s="4" t="str">
        <f>IF(Table1[[#This Row],[Customer Ratings]]&gt;=4, "Good",IF(Table1[[#This Row],[Customer Ratings]]=3, "Average","Poor"))</f>
        <v>Good</v>
      </c>
      <c r="S1533" s="3" t="s">
        <v>90</v>
      </c>
    </row>
    <row r="1534" spans="1:19" x14ac:dyDescent="0.25">
      <c r="A1534" s="3">
        <v>1533</v>
      </c>
      <c r="B1534" s="5">
        <f>DATE(Table1[[#This Row],[Year]],Table1[[#This Row],[Month]],Table1[[#This Row],[Day]])</f>
        <v>44914</v>
      </c>
      <c r="C1534" s="3">
        <v>19</v>
      </c>
      <c r="D1534" s="3">
        <v>12</v>
      </c>
      <c r="E1534" s="3">
        <v>2022</v>
      </c>
      <c r="F1534" s="3" t="str">
        <f>"Qtr"&amp; " " &amp;CHOOSE(MONTH(Table1[[#This Row],[Date]]),1,1,1,2,2,2,3,3,3,4,4,4)</f>
        <v>Qtr 4</v>
      </c>
      <c r="G1534" s="3" t="str">
        <f>TEXT(Table1[[#This Row],[Date]],"mmmm")</f>
        <v>December</v>
      </c>
      <c r="H1534" s="3" t="s">
        <v>1081</v>
      </c>
      <c r="I1534" s="3" t="s">
        <v>28</v>
      </c>
      <c r="J1534" s="3">
        <v>2</v>
      </c>
      <c r="K1534" s="3">
        <v>35163.269999999997</v>
      </c>
      <c r="L1534" s="3">
        <f>Table1[[#This Row],[Price Per Unit]]*Table1[[#This Row],[Units Sold]]</f>
        <v>70326.539999999994</v>
      </c>
      <c r="M1534" s="3" t="s">
        <v>856</v>
      </c>
      <c r="N1534" s="3">
        <v>21</v>
      </c>
      <c r="O1534" s="3" t="s">
        <v>98</v>
      </c>
      <c r="P1534" s="3" t="s">
        <v>16</v>
      </c>
      <c r="Q1534" s="4">
        <v>4</v>
      </c>
      <c r="R1534" s="4" t="str">
        <f>IF(Table1[[#This Row],[Customer Ratings]]&gt;=4, "Good",IF(Table1[[#This Row],[Customer Ratings]]=3, "Average","Poor"))</f>
        <v>Good</v>
      </c>
      <c r="S1534" s="3" t="s">
        <v>87</v>
      </c>
    </row>
    <row r="1535" spans="1:19" x14ac:dyDescent="0.25">
      <c r="A1535" s="3">
        <v>1534</v>
      </c>
      <c r="B1535" s="5">
        <f>DATE(Table1[[#This Row],[Year]],Table1[[#This Row],[Month]],Table1[[#This Row],[Day]])</f>
        <v>44914</v>
      </c>
      <c r="C1535" s="3">
        <v>19</v>
      </c>
      <c r="D1535" s="3">
        <v>12</v>
      </c>
      <c r="E1535" s="3">
        <v>2022</v>
      </c>
      <c r="F1535" s="3" t="str">
        <f>"Qtr"&amp; " " &amp;CHOOSE(MONTH(Table1[[#This Row],[Date]]),1,1,1,2,2,2,3,3,3,4,4,4)</f>
        <v>Qtr 4</v>
      </c>
      <c r="G1535" s="3" t="str">
        <f>TEXT(Table1[[#This Row],[Date]],"mmmm")</f>
        <v>December</v>
      </c>
      <c r="H1535" s="3" t="s">
        <v>1081</v>
      </c>
      <c r="I1535" s="3" t="s">
        <v>39</v>
      </c>
      <c r="J1535" s="3">
        <v>4</v>
      </c>
      <c r="K1535" s="3">
        <v>67924.639999999999</v>
      </c>
      <c r="L1535" s="3">
        <f>Table1[[#This Row],[Price Per Unit]]*Table1[[#This Row],[Units Sold]]</f>
        <v>271698.56</v>
      </c>
      <c r="M1535" s="3" t="s">
        <v>717</v>
      </c>
      <c r="N1535" s="3">
        <v>32</v>
      </c>
      <c r="O1535" s="3" t="s">
        <v>24</v>
      </c>
      <c r="P1535" s="3" t="s">
        <v>45</v>
      </c>
      <c r="Q1535" s="4">
        <v>5</v>
      </c>
      <c r="R1535" s="4" t="str">
        <f>IF(Table1[[#This Row],[Customer Ratings]]&gt;=4, "Good",IF(Table1[[#This Row],[Customer Ratings]]=3, "Average","Poor"))</f>
        <v>Good</v>
      </c>
      <c r="S1535" s="3" t="s">
        <v>42</v>
      </c>
    </row>
    <row r="1536" spans="1:19" x14ac:dyDescent="0.25">
      <c r="A1536" s="3">
        <v>1535</v>
      </c>
      <c r="B1536" s="5">
        <f>DATE(Table1[[#This Row],[Year]],Table1[[#This Row],[Month]],Table1[[#This Row],[Day]])</f>
        <v>44914</v>
      </c>
      <c r="C1536" s="3">
        <v>19</v>
      </c>
      <c r="D1536" s="3">
        <v>12</v>
      </c>
      <c r="E1536" s="3">
        <v>2022</v>
      </c>
      <c r="F1536" s="3" t="str">
        <f>"Qtr"&amp; " " &amp;CHOOSE(MONTH(Table1[[#This Row],[Date]]),1,1,1,2,2,2,3,3,3,4,4,4)</f>
        <v>Qtr 4</v>
      </c>
      <c r="G1536" s="3" t="str">
        <f>TEXT(Table1[[#This Row],[Date]],"mmmm")</f>
        <v>December</v>
      </c>
      <c r="H1536" s="3" t="s">
        <v>1081</v>
      </c>
      <c r="I1536" s="3" t="s">
        <v>13</v>
      </c>
      <c r="J1536" s="3">
        <v>3</v>
      </c>
      <c r="K1536" s="3">
        <v>51030.58</v>
      </c>
      <c r="L1536" s="3">
        <f>Table1[[#This Row],[Price Per Unit]]*Table1[[#This Row],[Units Sold]]</f>
        <v>153091.74</v>
      </c>
      <c r="M1536" s="3" t="s">
        <v>662</v>
      </c>
      <c r="N1536" s="3">
        <v>23</v>
      </c>
      <c r="O1536" s="3" t="s">
        <v>24</v>
      </c>
      <c r="P1536" s="3" t="s">
        <v>31</v>
      </c>
      <c r="Q1536" s="4">
        <v>5</v>
      </c>
      <c r="R1536" s="4" t="str">
        <f>IF(Table1[[#This Row],[Customer Ratings]]&gt;=4, "Good",IF(Table1[[#This Row],[Customer Ratings]]=3, "Average","Poor"))</f>
        <v>Good</v>
      </c>
      <c r="S1536" s="3" t="s">
        <v>17</v>
      </c>
    </row>
    <row r="1537" spans="1:19" x14ac:dyDescent="0.25">
      <c r="A1537" s="3">
        <v>1536</v>
      </c>
      <c r="B1537" s="5">
        <f>DATE(Table1[[#This Row],[Year]],Table1[[#This Row],[Month]],Table1[[#This Row],[Day]])</f>
        <v>44914</v>
      </c>
      <c r="C1537" s="3">
        <v>19</v>
      </c>
      <c r="D1537" s="3">
        <v>12</v>
      </c>
      <c r="E1537" s="3">
        <v>2022</v>
      </c>
      <c r="F1537" s="3" t="str">
        <f>"Qtr"&amp; " " &amp;CHOOSE(MONTH(Table1[[#This Row],[Date]]),1,1,1,2,2,2,3,3,3,4,4,4)</f>
        <v>Qtr 4</v>
      </c>
      <c r="G1537" s="3" t="str">
        <f>TEXT(Table1[[#This Row],[Date]],"mmmm")</f>
        <v>December</v>
      </c>
      <c r="H1537" s="3" t="s">
        <v>1081</v>
      </c>
      <c r="I1537" s="3" t="s">
        <v>28</v>
      </c>
      <c r="J1537" s="3">
        <v>2</v>
      </c>
      <c r="K1537" s="3">
        <v>57522.68</v>
      </c>
      <c r="L1537" s="3">
        <f>Table1[[#This Row],[Price Per Unit]]*Table1[[#This Row],[Units Sold]]</f>
        <v>115045.36</v>
      </c>
      <c r="M1537" s="3" t="s">
        <v>856</v>
      </c>
      <c r="N1537" s="3">
        <v>44</v>
      </c>
      <c r="O1537" s="3" t="s">
        <v>24</v>
      </c>
      <c r="P1537" s="3" t="s">
        <v>31</v>
      </c>
      <c r="Q1537" s="4">
        <v>1</v>
      </c>
      <c r="R1537" s="4" t="str">
        <f>IF(Table1[[#This Row],[Customer Ratings]]&gt;=4, "Good",IF(Table1[[#This Row],[Customer Ratings]]=3, "Average","Poor"))</f>
        <v>Poor</v>
      </c>
      <c r="S1537" s="3" t="s">
        <v>87</v>
      </c>
    </row>
    <row r="1538" spans="1:19" x14ac:dyDescent="0.25">
      <c r="A1538" s="3">
        <v>1537</v>
      </c>
      <c r="B1538" s="5">
        <f>DATE(Table1[[#This Row],[Year]],Table1[[#This Row],[Month]],Table1[[#This Row],[Day]])</f>
        <v>44915</v>
      </c>
      <c r="C1538" s="3">
        <v>20</v>
      </c>
      <c r="D1538" s="3">
        <v>12</v>
      </c>
      <c r="E1538" s="3">
        <v>2022</v>
      </c>
      <c r="F1538" s="3" t="str">
        <f>"Qtr"&amp; " " &amp;CHOOSE(MONTH(Table1[[#This Row],[Date]]),1,1,1,2,2,2,3,3,3,4,4,4)</f>
        <v>Qtr 4</v>
      </c>
      <c r="G1538" s="3" t="str">
        <f>TEXT(Table1[[#This Row],[Date]],"mmmm")</f>
        <v>December</v>
      </c>
      <c r="H1538" s="3" t="s">
        <v>1082</v>
      </c>
      <c r="I1538" s="3" t="s">
        <v>13</v>
      </c>
      <c r="J1538" s="3">
        <v>6</v>
      </c>
      <c r="K1538" s="3">
        <v>27564.49</v>
      </c>
      <c r="L1538" s="3">
        <f>Table1[[#This Row],[Price Per Unit]]*Table1[[#This Row],[Units Sold]]</f>
        <v>165386.94</v>
      </c>
      <c r="M1538" s="3" t="s">
        <v>290</v>
      </c>
      <c r="N1538" s="3">
        <v>22</v>
      </c>
      <c r="O1538" s="3" t="s">
        <v>81</v>
      </c>
      <c r="P1538" s="3" t="s">
        <v>21</v>
      </c>
      <c r="Q1538" s="4">
        <v>5</v>
      </c>
      <c r="R1538" s="4" t="str">
        <f>IF(Table1[[#This Row],[Customer Ratings]]&gt;=4, "Good",IF(Table1[[#This Row],[Customer Ratings]]=3, "Average","Poor"))</f>
        <v>Good</v>
      </c>
      <c r="S1538" s="3" t="s">
        <v>27</v>
      </c>
    </row>
    <row r="1539" spans="1:19" x14ac:dyDescent="0.25">
      <c r="A1539" s="3">
        <v>1538</v>
      </c>
      <c r="B1539" s="5">
        <f>DATE(Table1[[#This Row],[Year]],Table1[[#This Row],[Month]],Table1[[#This Row],[Day]])</f>
        <v>44915</v>
      </c>
      <c r="C1539" s="3">
        <v>20</v>
      </c>
      <c r="D1539" s="3">
        <v>12</v>
      </c>
      <c r="E1539" s="3">
        <v>2022</v>
      </c>
      <c r="F1539" s="3" t="str">
        <f>"Qtr"&amp; " " &amp;CHOOSE(MONTH(Table1[[#This Row],[Date]]),1,1,1,2,2,2,3,3,3,4,4,4)</f>
        <v>Qtr 4</v>
      </c>
      <c r="G1539" s="3" t="str">
        <f>TEXT(Table1[[#This Row],[Date]],"mmmm")</f>
        <v>December</v>
      </c>
      <c r="H1539" s="3" t="s">
        <v>1082</v>
      </c>
      <c r="I1539" s="3" t="s">
        <v>28</v>
      </c>
      <c r="J1539" s="3">
        <v>4</v>
      </c>
      <c r="K1539" s="3">
        <v>14751.18</v>
      </c>
      <c r="L1539" s="3">
        <f>Table1[[#This Row],[Price Per Unit]]*Table1[[#This Row],[Units Sold]]</f>
        <v>59004.72</v>
      </c>
      <c r="M1539" s="3" t="s">
        <v>562</v>
      </c>
      <c r="N1539" s="3">
        <v>22</v>
      </c>
      <c r="O1539" s="3" t="s">
        <v>48</v>
      </c>
      <c r="P1539" s="3" t="s">
        <v>31</v>
      </c>
      <c r="Q1539" s="4">
        <v>1</v>
      </c>
      <c r="R1539" s="4" t="str">
        <f>IF(Table1[[#This Row],[Customer Ratings]]&gt;=4, "Good",IF(Table1[[#This Row],[Customer Ratings]]=3, "Average","Poor"))</f>
        <v>Poor</v>
      </c>
      <c r="S1539" s="3" t="s">
        <v>38</v>
      </c>
    </row>
    <row r="1540" spans="1:19" x14ac:dyDescent="0.25">
      <c r="A1540" s="3">
        <v>1539</v>
      </c>
      <c r="B1540" s="5">
        <f>DATE(Table1[[#This Row],[Year]],Table1[[#This Row],[Month]],Table1[[#This Row],[Day]])</f>
        <v>44915</v>
      </c>
      <c r="C1540" s="3">
        <v>20</v>
      </c>
      <c r="D1540" s="3">
        <v>12</v>
      </c>
      <c r="E1540" s="3">
        <v>2022</v>
      </c>
      <c r="F1540" s="3" t="str">
        <f>"Qtr"&amp; " " &amp;CHOOSE(MONTH(Table1[[#This Row],[Date]]),1,1,1,2,2,2,3,3,3,4,4,4)</f>
        <v>Qtr 4</v>
      </c>
      <c r="G1540" s="3" t="str">
        <f>TEXT(Table1[[#This Row],[Date]],"mmmm")</f>
        <v>December</v>
      </c>
      <c r="H1540" s="3" t="s">
        <v>1082</v>
      </c>
      <c r="I1540" s="3" t="s">
        <v>28</v>
      </c>
      <c r="J1540" s="3">
        <v>6</v>
      </c>
      <c r="K1540" s="3">
        <v>39269.370000000003</v>
      </c>
      <c r="L1540" s="3">
        <f>Table1[[#This Row],[Price Per Unit]]*Table1[[#This Row],[Units Sold]]</f>
        <v>235616.22000000003</v>
      </c>
      <c r="M1540" s="3" t="s">
        <v>628</v>
      </c>
      <c r="N1540" s="3">
        <v>35</v>
      </c>
      <c r="O1540" s="3" t="s">
        <v>120</v>
      </c>
      <c r="P1540" s="3" t="s">
        <v>45</v>
      </c>
      <c r="Q1540" s="4">
        <v>4</v>
      </c>
      <c r="R1540" s="4" t="str">
        <f>IF(Table1[[#This Row],[Customer Ratings]]&gt;=4, "Good",IF(Table1[[#This Row],[Customer Ratings]]=3, "Average","Poor"))</f>
        <v>Good</v>
      </c>
      <c r="S1540" s="3" t="s">
        <v>87</v>
      </c>
    </row>
    <row r="1541" spans="1:19" x14ac:dyDescent="0.25">
      <c r="A1541" s="3">
        <v>1540</v>
      </c>
      <c r="B1541" s="5">
        <f>DATE(Table1[[#This Row],[Year]],Table1[[#This Row],[Month]],Table1[[#This Row],[Day]])</f>
        <v>44915</v>
      </c>
      <c r="C1541" s="3">
        <v>20</v>
      </c>
      <c r="D1541" s="3">
        <v>12</v>
      </c>
      <c r="E1541" s="3">
        <v>2022</v>
      </c>
      <c r="F1541" s="3" t="str">
        <f>"Qtr"&amp; " " &amp;CHOOSE(MONTH(Table1[[#This Row],[Date]]),1,1,1,2,2,2,3,3,3,4,4,4)</f>
        <v>Qtr 4</v>
      </c>
      <c r="G1541" s="3" t="str">
        <f>TEXT(Table1[[#This Row],[Date]],"mmmm")</f>
        <v>December</v>
      </c>
      <c r="H1541" s="3" t="s">
        <v>1082</v>
      </c>
      <c r="I1541" s="3" t="s">
        <v>13</v>
      </c>
      <c r="J1541" s="3">
        <v>2</v>
      </c>
      <c r="K1541" s="3">
        <v>28874.89</v>
      </c>
      <c r="L1541" s="3">
        <f>Table1[[#This Row],[Price Per Unit]]*Table1[[#This Row],[Units Sold]]</f>
        <v>57749.78</v>
      </c>
      <c r="M1541" s="3" t="s">
        <v>857</v>
      </c>
      <c r="N1541" s="3">
        <v>45</v>
      </c>
      <c r="O1541" s="3" t="s">
        <v>65</v>
      </c>
      <c r="P1541" s="3" t="s">
        <v>45</v>
      </c>
      <c r="Q1541" s="4">
        <v>3</v>
      </c>
      <c r="R1541" s="4" t="str">
        <f>IF(Table1[[#This Row],[Customer Ratings]]&gt;=4, "Good",IF(Table1[[#This Row],[Customer Ratings]]=3, "Average","Poor"))</f>
        <v>Average</v>
      </c>
      <c r="S1541" s="3" t="s">
        <v>72</v>
      </c>
    </row>
    <row r="1542" spans="1:19" x14ac:dyDescent="0.25">
      <c r="A1542" s="3">
        <v>1541</v>
      </c>
      <c r="B1542" s="5">
        <f>DATE(Table1[[#This Row],[Year]],Table1[[#This Row],[Month]],Table1[[#This Row],[Day]])</f>
        <v>44916</v>
      </c>
      <c r="C1542" s="3">
        <v>21</v>
      </c>
      <c r="D1542" s="3">
        <v>12</v>
      </c>
      <c r="E1542" s="3">
        <v>2022</v>
      </c>
      <c r="F1542" s="3" t="str">
        <f>"Qtr"&amp; " " &amp;CHOOSE(MONTH(Table1[[#This Row],[Date]]),1,1,1,2,2,2,3,3,3,4,4,4)</f>
        <v>Qtr 4</v>
      </c>
      <c r="G1542" s="3" t="str">
        <f>TEXT(Table1[[#This Row],[Date]],"mmmm")</f>
        <v>December</v>
      </c>
      <c r="H1542" s="3" t="s">
        <v>1083</v>
      </c>
      <c r="I1542" s="3" t="s">
        <v>18</v>
      </c>
      <c r="J1542" s="3">
        <v>4</v>
      </c>
      <c r="K1542" s="3">
        <v>22124.99</v>
      </c>
      <c r="L1542" s="3">
        <f>Table1[[#This Row],[Price Per Unit]]*Table1[[#This Row],[Units Sold]]</f>
        <v>88499.96</v>
      </c>
      <c r="M1542" s="3" t="s">
        <v>318</v>
      </c>
      <c r="N1542" s="3">
        <v>52</v>
      </c>
      <c r="O1542" s="3" t="s">
        <v>20</v>
      </c>
      <c r="P1542" s="3" t="s">
        <v>21</v>
      </c>
      <c r="Q1542" s="4">
        <v>3</v>
      </c>
      <c r="R1542" s="4" t="str">
        <f>IF(Table1[[#This Row],[Customer Ratings]]&gt;=4, "Good",IF(Table1[[#This Row],[Customer Ratings]]=3, "Average","Poor"))</f>
        <v>Average</v>
      </c>
      <c r="S1542" s="3" t="s">
        <v>22</v>
      </c>
    </row>
    <row r="1543" spans="1:19" x14ac:dyDescent="0.25">
      <c r="A1543" s="3">
        <v>1542</v>
      </c>
      <c r="B1543" s="5">
        <f>DATE(Table1[[#This Row],[Year]],Table1[[#This Row],[Month]],Table1[[#This Row],[Day]])</f>
        <v>44916</v>
      </c>
      <c r="C1543" s="3">
        <v>21</v>
      </c>
      <c r="D1543" s="3">
        <v>12</v>
      </c>
      <c r="E1543" s="3">
        <v>2022</v>
      </c>
      <c r="F1543" s="3" t="str">
        <f>"Qtr"&amp; " " &amp;CHOOSE(MONTH(Table1[[#This Row],[Date]]),1,1,1,2,2,2,3,3,3,4,4,4)</f>
        <v>Qtr 4</v>
      </c>
      <c r="G1543" s="3" t="str">
        <f>TEXT(Table1[[#This Row],[Date]],"mmmm")</f>
        <v>December</v>
      </c>
      <c r="H1543" s="3" t="s">
        <v>1083</v>
      </c>
      <c r="I1543" s="3" t="s">
        <v>33</v>
      </c>
      <c r="J1543" s="3">
        <v>6</v>
      </c>
      <c r="K1543" s="3">
        <v>67158.53</v>
      </c>
      <c r="L1543" s="3">
        <f>Table1[[#This Row],[Price Per Unit]]*Table1[[#This Row],[Units Sold]]</f>
        <v>402951.18</v>
      </c>
      <c r="M1543" s="3" t="s">
        <v>93</v>
      </c>
      <c r="N1543" s="3">
        <v>39</v>
      </c>
      <c r="O1543" s="3" t="s">
        <v>54</v>
      </c>
      <c r="P1543" s="3" t="s">
        <v>16</v>
      </c>
      <c r="Q1543" s="4">
        <v>4</v>
      </c>
      <c r="R1543" s="4" t="str">
        <f>IF(Table1[[#This Row],[Customer Ratings]]&gt;=4, "Good",IF(Table1[[#This Row],[Customer Ratings]]=3, "Average","Poor"))</f>
        <v>Good</v>
      </c>
      <c r="S1543" s="3" t="s">
        <v>36</v>
      </c>
    </row>
    <row r="1544" spans="1:19" x14ac:dyDescent="0.25">
      <c r="A1544" s="3">
        <v>1543</v>
      </c>
      <c r="B1544" s="5">
        <f>DATE(Table1[[#This Row],[Year]],Table1[[#This Row],[Month]],Table1[[#This Row],[Day]])</f>
        <v>44916</v>
      </c>
      <c r="C1544" s="3">
        <v>21</v>
      </c>
      <c r="D1544" s="3">
        <v>12</v>
      </c>
      <c r="E1544" s="3">
        <v>2022</v>
      </c>
      <c r="F1544" s="3" t="str">
        <f>"Qtr"&amp; " " &amp;CHOOSE(MONTH(Table1[[#This Row],[Date]]),1,1,1,2,2,2,3,3,3,4,4,4)</f>
        <v>Qtr 4</v>
      </c>
      <c r="G1544" s="3" t="str">
        <f>TEXT(Table1[[#This Row],[Date]],"mmmm")</f>
        <v>December</v>
      </c>
      <c r="H1544" s="3" t="s">
        <v>1083</v>
      </c>
      <c r="I1544" s="3" t="s">
        <v>39</v>
      </c>
      <c r="J1544" s="3">
        <v>5</v>
      </c>
      <c r="K1544" s="3">
        <v>36639.29</v>
      </c>
      <c r="L1544" s="3">
        <f>Table1[[#This Row],[Price Per Unit]]*Table1[[#This Row],[Units Sold]]</f>
        <v>183196.45</v>
      </c>
      <c r="M1544" s="3" t="s">
        <v>166</v>
      </c>
      <c r="N1544" s="3">
        <v>51</v>
      </c>
      <c r="O1544" s="3" t="s">
        <v>24</v>
      </c>
      <c r="P1544" s="3" t="s">
        <v>16</v>
      </c>
      <c r="Q1544" s="4">
        <v>3</v>
      </c>
      <c r="R1544" s="4" t="str">
        <f>IF(Table1[[#This Row],[Customer Ratings]]&gt;=4, "Good",IF(Table1[[#This Row],[Customer Ratings]]=3, "Average","Poor"))</f>
        <v>Average</v>
      </c>
      <c r="S1544" s="3" t="s">
        <v>42</v>
      </c>
    </row>
    <row r="1545" spans="1:19" x14ac:dyDescent="0.25">
      <c r="A1545" s="3">
        <v>1544</v>
      </c>
      <c r="B1545" s="5">
        <f>DATE(Table1[[#This Row],[Year]],Table1[[#This Row],[Month]],Table1[[#This Row],[Day]])</f>
        <v>44917</v>
      </c>
      <c r="C1545" s="3">
        <v>22</v>
      </c>
      <c r="D1545" s="3">
        <v>12</v>
      </c>
      <c r="E1545" s="3">
        <v>2022</v>
      </c>
      <c r="F1545" s="3" t="str">
        <f>"Qtr"&amp; " " &amp;CHOOSE(MONTH(Table1[[#This Row],[Date]]),1,1,1,2,2,2,3,3,3,4,4,4)</f>
        <v>Qtr 4</v>
      </c>
      <c r="G1545" s="3" t="str">
        <f>TEXT(Table1[[#This Row],[Date]],"mmmm")</f>
        <v>December</v>
      </c>
      <c r="H1545" s="3" t="s">
        <v>1084</v>
      </c>
      <c r="I1545" s="3" t="s">
        <v>28</v>
      </c>
      <c r="J1545" s="3">
        <v>3</v>
      </c>
      <c r="K1545" s="3">
        <v>20482.52</v>
      </c>
      <c r="L1545" s="3">
        <f>Table1[[#This Row],[Price Per Unit]]*Table1[[#This Row],[Units Sold]]</f>
        <v>61447.56</v>
      </c>
      <c r="M1545" s="3" t="s">
        <v>599</v>
      </c>
      <c r="N1545" s="3">
        <v>21</v>
      </c>
      <c r="O1545" s="3" t="s">
        <v>20</v>
      </c>
      <c r="P1545" s="3" t="s">
        <v>45</v>
      </c>
      <c r="Q1545" s="4">
        <v>5</v>
      </c>
      <c r="R1545" s="4" t="str">
        <f>IF(Table1[[#This Row],[Customer Ratings]]&gt;=4, "Good",IF(Table1[[#This Row],[Customer Ratings]]=3, "Average","Poor"))</f>
        <v>Good</v>
      </c>
      <c r="S1545" s="3" t="s">
        <v>87</v>
      </c>
    </row>
    <row r="1546" spans="1:19" x14ac:dyDescent="0.25">
      <c r="A1546" s="3">
        <v>1545</v>
      </c>
      <c r="B1546" s="5">
        <f>DATE(Table1[[#This Row],[Year]],Table1[[#This Row],[Month]],Table1[[#This Row],[Day]])</f>
        <v>44917</v>
      </c>
      <c r="C1546" s="3">
        <v>22</v>
      </c>
      <c r="D1546" s="3">
        <v>12</v>
      </c>
      <c r="E1546" s="3">
        <v>2022</v>
      </c>
      <c r="F1546" s="3" t="str">
        <f>"Qtr"&amp; " " &amp;CHOOSE(MONTH(Table1[[#This Row],[Date]]),1,1,1,2,2,2,3,3,3,4,4,4)</f>
        <v>Qtr 4</v>
      </c>
      <c r="G1546" s="3" t="str">
        <f>TEXT(Table1[[#This Row],[Date]],"mmmm")</f>
        <v>December</v>
      </c>
      <c r="H1546" s="3" t="s">
        <v>1084</v>
      </c>
      <c r="I1546" s="3" t="s">
        <v>39</v>
      </c>
      <c r="J1546" s="3">
        <v>8</v>
      </c>
      <c r="K1546" s="3">
        <v>21919.040000000001</v>
      </c>
      <c r="L1546" s="3">
        <f>Table1[[#This Row],[Price Per Unit]]*Table1[[#This Row],[Units Sold]]</f>
        <v>175352.32000000001</v>
      </c>
      <c r="M1546" s="3" t="s">
        <v>230</v>
      </c>
      <c r="N1546" s="3">
        <v>35</v>
      </c>
      <c r="O1546" s="3" t="s">
        <v>20</v>
      </c>
      <c r="P1546" s="3" t="s">
        <v>21</v>
      </c>
      <c r="Q1546" s="4">
        <v>5</v>
      </c>
      <c r="R1546" s="4" t="str">
        <f>IF(Table1[[#This Row],[Customer Ratings]]&gt;=4, "Good",IF(Table1[[#This Row],[Customer Ratings]]=3, "Average","Poor"))</f>
        <v>Good</v>
      </c>
      <c r="S1546" s="3" t="s">
        <v>76</v>
      </c>
    </row>
    <row r="1547" spans="1:19" x14ac:dyDescent="0.25">
      <c r="A1547" s="3">
        <v>1546</v>
      </c>
      <c r="B1547" s="5">
        <f>DATE(Table1[[#This Row],[Year]],Table1[[#This Row],[Month]],Table1[[#This Row],[Day]])</f>
        <v>44917</v>
      </c>
      <c r="C1547" s="3">
        <v>22</v>
      </c>
      <c r="D1547" s="3">
        <v>12</v>
      </c>
      <c r="E1547" s="3">
        <v>2022</v>
      </c>
      <c r="F1547" s="3" t="str">
        <f>"Qtr"&amp; " " &amp;CHOOSE(MONTH(Table1[[#This Row],[Date]]),1,1,1,2,2,2,3,3,3,4,4,4)</f>
        <v>Qtr 4</v>
      </c>
      <c r="G1547" s="3" t="str">
        <f>TEXT(Table1[[#This Row],[Date]],"mmmm")</f>
        <v>December</v>
      </c>
      <c r="H1547" s="3" t="s">
        <v>1084</v>
      </c>
      <c r="I1547" s="3" t="s">
        <v>13</v>
      </c>
      <c r="J1547" s="3">
        <v>7</v>
      </c>
      <c r="K1547" s="3">
        <v>26842.58</v>
      </c>
      <c r="L1547" s="3">
        <f>Table1[[#This Row],[Price Per Unit]]*Table1[[#This Row],[Units Sold]]</f>
        <v>187898.06</v>
      </c>
      <c r="M1547" s="3" t="s">
        <v>608</v>
      </c>
      <c r="N1547" s="3">
        <v>58</v>
      </c>
      <c r="O1547" s="3" t="s">
        <v>54</v>
      </c>
      <c r="P1547" s="3" t="s">
        <v>45</v>
      </c>
      <c r="Q1547" s="4">
        <v>5</v>
      </c>
      <c r="R1547" s="4" t="str">
        <f>IF(Table1[[#This Row],[Customer Ratings]]&gt;=4, "Good",IF(Table1[[#This Row],[Customer Ratings]]=3, "Average","Poor"))</f>
        <v>Good</v>
      </c>
      <c r="S1547" s="3" t="s">
        <v>17</v>
      </c>
    </row>
    <row r="1548" spans="1:19" x14ac:dyDescent="0.25">
      <c r="A1548" s="3">
        <v>1547</v>
      </c>
      <c r="B1548" s="5">
        <f>DATE(Table1[[#This Row],[Year]],Table1[[#This Row],[Month]],Table1[[#This Row],[Day]])</f>
        <v>44918</v>
      </c>
      <c r="C1548" s="3">
        <v>23</v>
      </c>
      <c r="D1548" s="3">
        <v>12</v>
      </c>
      <c r="E1548" s="3">
        <v>2022</v>
      </c>
      <c r="F1548" s="3" t="str">
        <f>"Qtr"&amp; " " &amp;CHOOSE(MONTH(Table1[[#This Row],[Date]]),1,1,1,2,2,2,3,3,3,4,4,4)</f>
        <v>Qtr 4</v>
      </c>
      <c r="G1548" s="3" t="str">
        <f>TEXT(Table1[[#This Row],[Date]],"mmmm")</f>
        <v>December</v>
      </c>
      <c r="H1548" s="3" t="s">
        <v>1085</v>
      </c>
      <c r="I1548" s="3" t="s">
        <v>39</v>
      </c>
      <c r="J1548" s="3">
        <v>3</v>
      </c>
      <c r="K1548" s="3">
        <v>69958.98</v>
      </c>
      <c r="L1548" s="3">
        <f>Table1[[#This Row],[Price Per Unit]]*Table1[[#This Row],[Units Sold]]</f>
        <v>209876.94</v>
      </c>
      <c r="M1548" s="3" t="s">
        <v>119</v>
      </c>
      <c r="N1548" s="3">
        <v>43</v>
      </c>
      <c r="O1548" s="3" t="s">
        <v>20</v>
      </c>
      <c r="P1548" s="3" t="s">
        <v>31</v>
      </c>
      <c r="Q1548" s="4">
        <v>5</v>
      </c>
      <c r="R1548" s="4" t="str">
        <f>IF(Table1[[#This Row],[Customer Ratings]]&gt;=4, "Good",IF(Table1[[#This Row],[Customer Ratings]]=3, "Average","Poor"))</f>
        <v>Good</v>
      </c>
      <c r="S1548" s="3" t="s">
        <v>76</v>
      </c>
    </row>
    <row r="1549" spans="1:19" x14ac:dyDescent="0.25">
      <c r="A1549" s="3">
        <v>1548</v>
      </c>
      <c r="B1549" s="5">
        <f>DATE(Table1[[#This Row],[Year]],Table1[[#This Row],[Month]],Table1[[#This Row],[Day]])</f>
        <v>44918</v>
      </c>
      <c r="C1549" s="3">
        <v>23</v>
      </c>
      <c r="D1549" s="3">
        <v>12</v>
      </c>
      <c r="E1549" s="3">
        <v>2022</v>
      </c>
      <c r="F1549" s="3" t="str">
        <f>"Qtr"&amp; " " &amp;CHOOSE(MONTH(Table1[[#This Row],[Date]]),1,1,1,2,2,2,3,3,3,4,4,4)</f>
        <v>Qtr 4</v>
      </c>
      <c r="G1549" s="3" t="str">
        <f>TEXT(Table1[[#This Row],[Date]],"mmmm")</f>
        <v>December</v>
      </c>
      <c r="H1549" s="3" t="s">
        <v>1085</v>
      </c>
      <c r="I1549" s="3" t="s">
        <v>13</v>
      </c>
      <c r="J1549" s="3">
        <v>6</v>
      </c>
      <c r="K1549" s="3">
        <v>26080.69</v>
      </c>
      <c r="L1549" s="3">
        <f>Table1[[#This Row],[Price Per Unit]]*Table1[[#This Row],[Units Sold]]</f>
        <v>156484.13999999998</v>
      </c>
      <c r="M1549" s="3" t="s">
        <v>529</v>
      </c>
      <c r="N1549" s="3">
        <v>59</v>
      </c>
      <c r="O1549" s="3" t="s">
        <v>105</v>
      </c>
      <c r="P1549" s="3" t="s">
        <v>31</v>
      </c>
      <c r="Q1549" s="4">
        <v>3</v>
      </c>
      <c r="R1549" s="4" t="str">
        <f>IF(Table1[[#This Row],[Customer Ratings]]&gt;=4, "Good",IF(Table1[[#This Row],[Customer Ratings]]=3, "Average","Poor"))</f>
        <v>Average</v>
      </c>
      <c r="S1549" s="3" t="s">
        <v>27</v>
      </c>
    </row>
    <row r="1550" spans="1:19" x14ac:dyDescent="0.25">
      <c r="A1550" s="3">
        <v>1549</v>
      </c>
      <c r="B1550" s="5">
        <f>DATE(Table1[[#This Row],[Year]],Table1[[#This Row],[Month]],Table1[[#This Row],[Day]])</f>
        <v>44918</v>
      </c>
      <c r="C1550" s="3">
        <v>23</v>
      </c>
      <c r="D1550" s="3">
        <v>12</v>
      </c>
      <c r="E1550" s="3">
        <v>2022</v>
      </c>
      <c r="F1550" s="3" t="str">
        <f>"Qtr"&amp; " " &amp;CHOOSE(MONTH(Table1[[#This Row],[Date]]),1,1,1,2,2,2,3,3,3,4,4,4)</f>
        <v>Qtr 4</v>
      </c>
      <c r="G1550" s="3" t="str">
        <f>TEXT(Table1[[#This Row],[Date]],"mmmm")</f>
        <v>December</v>
      </c>
      <c r="H1550" s="3" t="s">
        <v>1085</v>
      </c>
      <c r="I1550" s="3" t="s">
        <v>39</v>
      </c>
      <c r="J1550" s="3">
        <v>4</v>
      </c>
      <c r="K1550" s="3">
        <v>29728.11</v>
      </c>
      <c r="L1550" s="3">
        <f>Table1[[#This Row],[Price Per Unit]]*Table1[[#This Row],[Units Sold]]</f>
        <v>118912.44</v>
      </c>
      <c r="M1550" s="3" t="s">
        <v>858</v>
      </c>
      <c r="N1550" s="3">
        <v>39</v>
      </c>
      <c r="O1550" s="3" t="s">
        <v>125</v>
      </c>
      <c r="P1550" s="3" t="s">
        <v>45</v>
      </c>
      <c r="Q1550" s="4">
        <v>1</v>
      </c>
      <c r="R1550" s="4" t="str">
        <f>IF(Table1[[#This Row],[Customer Ratings]]&gt;=4, "Good",IF(Table1[[#This Row],[Customer Ratings]]=3, "Average","Poor"))</f>
        <v>Poor</v>
      </c>
      <c r="S1550" s="3" t="s">
        <v>42</v>
      </c>
    </row>
    <row r="1551" spans="1:19" x14ac:dyDescent="0.25">
      <c r="A1551" s="3">
        <v>1550</v>
      </c>
      <c r="B1551" s="5">
        <f>DATE(Table1[[#This Row],[Year]],Table1[[#This Row],[Month]],Table1[[#This Row],[Day]])</f>
        <v>44919</v>
      </c>
      <c r="C1551" s="3">
        <v>24</v>
      </c>
      <c r="D1551" s="3">
        <v>12</v>
      </c>
      <c r="E1551" s="3">
        <v>2022</v>
      </c>
      <c r="F1551" s="3" t="str">
        <f>"Qtr"&amp; " " &amp;CHOOSE(MONTH(Table1[[#This Row],[Date]]),1,1,1,2,2,2,3,3,3,4,4,4)</f>
        <v>Qtr 4</v>
      </c>
      <c r="G1551" s="3" t="str">
        <f>TEXT(Table1[[#This Row],[Date]],"mmmm")</f>
        <v>December</v>
      </c>
      <c r="H1551" s="3" t="s">
        <v>1079</v>
      </c>
      <c r="I1551" s="3" t="s">
        <v>33</v>
      </c>
      <c r="J1551" s="3">
        <v>5</v>
      </c>
      <c r="K1551" s="3">
        <v>49559.69</v>
      </c>
      <c r="L1551" s="3">
        <f>Table1[[#This Row],[Price Per Unit]]*Table1[[#This Row],[Units Sold]]</f>
        <v>247798.45</v>
      </c>
      <c r="M1551" s="3" t="s">
        <v>573</v>
      </c>
      <c r="N1551" s="3">
        <v>50</v>
      </c>
      <c r="O1551" s="3" t="s">
        <v>24</v>
      </c>
      <c r="P1551" s="3" t="s">
        <v>16</v>
      </c>
      <c r="Q1551" s="4">
        <v>5</v>
      </c>
      <c r="R1551" s="4" t="str">
        <f>IF(Table1[[#This Row],[Customer Ratings]]&gt;=4, "Good",IF(Table1[[#This Row],[Customer Ratings]]=3, "Average","Poor"))</f>
        <v>Good</v>
      </c>
      <c r="S1551" s="3" t="s">
        <v>46</v>
      </c>
    </row>
    <row r="1552" spans="1:19" x14ac:dyDescent="0.25">
      <c r="A1552" s="3">
        <v>1551</v>
      </c>
      <c r="B1552" s="5">
        <f>DATE(Table1[[#This Row],[Year]],Table1[[#This Row],[Month]],Table1[[#This Row],[Day]])</f>
        <v>44919</v>
      </c>
      <c r="C1552" s="3">
        <v>24</v>
      </c>
      <c r="D1552" s="3">
        <v>12</v>
      </c>
      <c r="E1552" s="3">
        <v>2022</v>
      </c>
      <c r="F1552" s="3" t="str">
        <f>"Qtr"&amp; " " &amp;CHOOSE(MONTH(Table1[[#This Row],[Date]]),1,1,1,2,2,2,3,3,3,4,4,4)</f>
        <v>Qtr 4</v>
      </c>
      <c r="G1552" s="3" t="str">
        <f>TEXT(Table1[[#This Row],[Date]],"mmmm")</f>
        <v>December</v>
      </c>
      <c r="H1552" s="3" t="s">
        <v>1079</v>
      </c>
      <c r="I1552" s="3" t="s">
        <v>33</v>
      </c>
      <c r="J1552" s="3">
        <v>5</v>
      </c>
      <c r="K1552" s="3">
        <v>27637.68</v>
      </c>
      <c r="L1552" s="3">
        <f>Table1[[#This Row],[Price Per Unit]]*Table1[[#This Row],[Units Sold]]</f>
        <v>138188.4</v>
      </c>
      <c r="M1552" s="3" t="s">
        <v>110</v>
      </c>
      <c r="N1552" s="3">
        <v>31</v>
      </c>
      <c r="O1552" s="3" t="s">
        <v>24</v>
      </c>
      <c r="P1552" s="3" t="s">
        <v>31</v>
      </c>
      <c r="Q1552" s="4">
        <v>1</v>
      </c>
      <c r="R1552" s="4" t="str">
        <f>IF(Table1[[#This Row],[Customer Ratings]]&gt;=4, "Good",IF(Table1[[#This Row],[Customer Ratings]]=3, "Average","Poor"))</f>
        <v>Poor</v>
      </c>
      <c r="S1552" s="3" t="s">
        <v>36</v>
      </c>
    </row>
    <row r="1553" spans="1:19" x14ac:dyDescent="0.25">
      <c r="A1553" s="3">
        <v>1552</v>
      </c>
      <c r="B1553" s="5">
        <f>DATE(Table1[[#This Row],[Year]],Table1[[#This Row],[Month]],Table1[[#This Row],[Day]])</f>
        <v>44919</v>
      </c>
      <c r="C1553" s="3">
        <v>24</v>
      </c>
      <c r="D1553" s="3">
        <v>12</v>
      </c>
      <c r="E1553" s="3">
        <v>2022</v>
      </c>
      <c r="F1553" s="3" t="str">
        <f>"Qtr"&amp; " " &amp;CHOOSE(MONTH(Table1[[#This Row],[Date]]),1,1,1,2,2,2,3,3,3,4,4,4)</f>
        <v>Qtr 4</v>
      </c>
      <c r="G1553" s="3" t="str">
        <f>TEXT(Table1[[#This Row],[Date]],"mmmm")</f>
        <v>December</v>
      </c>
      <c r="H1553" s="3" t="s">
        <v>1079</v>
      </c>
      <c r="I1553" s="3" t="s">
        <v>33</v>
      </c>
      <c r="J1553" s="3">
        <v>7</v>
      </c>
      <c r="K1553" s="3">
        <v>22948.26</v>
      </c>
      <c r="L1553" s="3">
        <f>Table1[[#This Row],[Price Per Unit]]*Table1[[#This Row],[Units Sold]]</f>
        <v>160637.81999999998</v>
      </c>
      <c r="M1553" s="3" t="s">
        <v>859</v>
      </c>
      <c r="N1553" s="3">
        <v>48</v>
      </c>
      <c r="O1553" s="3" t="s">
        <v>30</v>
      </c>
      <c r="P1553" s="3" t="s">
        <v>21</v>
      </c>
      <c r="Q1553" s="4">
        <v>3</v>
      </c>
      <c r="R1553" s="4" t="str">
        <f>IF(Table1[[#This Row],[Customer Ratings]]&gt;=4, "Good",IF(Table1[[#This Row],[Customer Ratings]]=3, "Average","Poor"))</f>
        <v>Average</v>
      </c>
      <c r="S1553" s="3" t="s">
        <v>46</v>
      </c>
    </row>
    <row r="1554" spans="1:19" x14ac:dyDescent="0.25">
      <c r="A1554" s="3">
        <v>1553</v>
      </c>
      <c r="B1554" s="5">
        <f>DATE(Table1[[#This Row],[Year]],Table1[[#This Row],[Month]],Table1[[#This Row],[Day]])</f>
        <v>44919</v>
      </c>
      <c r="C1554" s="3">
        <v>24</v>
      </c>
      <c r="D1554" s="3">
        <v>12</v>
      </c>
      <c r="E1554" s="3">
        <v>2022</v>
      </c>
      <c r="F1554" s="3" t="str">
        <f>"Qtr"&amp; " " &amp;CHOOSE(MONTH(Table1[[#This Row],[Date]]),1,1,1,2,2,2,3,3,3,4,4,4)</f>
        <v>Qtr 4</v>
      </c>
      <c r="G1554" s="3" t="str">
        <f>TEXT(Table1[[#This Row],[Date]],"mmmm")</f>
        <v>December</v>
      </c>
      <c r="H1554" s="3" t="s">
        <v>1079</v>
      </c>
      <c r="I1554" s="3" t="s">
        <v>33</v>
      </c>
      <c r="J1554" s="3">
        <v>5</v>
      </c>
      <c r="K1554" s="3">
        <v>19518.23</v>
      </c>
      <c r="L1554" s="3">
        <f>Table1[[#This Row],[Price Per Unit]]*Table1[[#This Row],[Units Sold]]</f>
        <v>97591.15</v>
      </c>
      <c r="M1554" s="3" t="s">
        <v>860</v>
      </c>
      <c r="N1554" s="3">
        <v>27</v>
      </c>
      <c r="O1554" s="3" t="s">
        <v>78</v>
      </c>
      <c r="P1554" s="3" t="s">
        <v>16</v>
      </c>
      <c r="Q1554" s="4">
        <v>1</v>
      </c>
      <c r="R1554" s="4" t="str">
        <f>IF(Table1[[#This Row],[Customer Ratings]]&gt;=4, "Good",IF(Table1[[#This Row],[Customer Ratings]]=3, "Average","Poor"))</f>
        <v>Poor</v>
      </c>
      <c r="S1554" s="3" t="s">
        <v>36</v>
      </c>
    </row>
    <row r="1555" spans="1:19" x14ac:dyDescent="0.25">
      <c r="A1555" s="3">
        <v>1554</v>
      </c>
      <c r="B1555" s="5">
        <f>DATE(Table1[[#This Row],[Year]],Table1[[#This Row],[Month]],Table1[[#This Row],[Day]])</f>
        <v>44920</v>
      </c>
      <c r="C1555" s="3">
        <v>25</v>
      </c>
      <c r="D1555" s="3">
        <v>12</v>
      </c>
      <c r="E1555" s="3">
        <v>2022</v>
      </c>
      <c r="F1555" s="3" t="str">
        <f>"Qtr"&amp; " " &amp;CHOOSE(MONTH(Table1[[#This Row],[Date]]),1,1,1,2,2,2,3,3,3,4,4,4)</f>
        <v>Qtr 4</v>
      </c>
      <c r="G1555" s="3" t="str">
        <f>TEXT(Table1[[#This Row],[Date]],"mmmm")</f>
        <v>December</v>
      </c>
      <c r="H1555" s="3" t="s">
        <v>1080</v>
      </c>
      <c r="I1555" s="3" t="s">
        <v>33</v>
      </c>
      <c r="J1555" s="3">
        <v>3</v>
      </c>
      <c r="K1555" s="3">
        <v>28760.959999999999</v>
      </c>
      <c r="L1555" s="3">
        <f>Table1[[#This Row],[Price Per Unit]]*Table1[[#This Row],[Units Sold]]</f>
        <v>86282.880000000005</v>
      </c>
      <c r="M1555" s="3" t="s">
        <v>599</v>
      </c>
      <c r="N1555" s="3">
        <v>41</v>
      </c>
      <c r="O1555" s="3" t="s">
        <v>52</v>
      </c>
      <c r="P1555" s="3" t="s">
        <v>31</v>
      </c>
      <c r="Q1555" s="4">
        <v>3</v>
      </c>
      <c r="R1555" s="4" t="str">
        <f>IF(Table1[[#This Row],[Customer Ratings]]&gt;=4, "Good",IF(Table1[[#This Row],[Customer Ratings]]=3, "Average","Poor"))</f>
        <v>Average</v>
      </c>
      <c r="S1555" s="3" t="s">
        <v>46</v>
      </c>
    </row>
    <row r="1556" spans="1:19" x14ac:dyDescent="0.25">
      <c r="A1556" s="3">
        <v>1555</v>
      </c>
      <c r="B1556" s="5">
        <f>DATE(Table1[[#This Row],[Year]],Table1[[#This Row],[Month]],Table1[[#This Row],[Day]])</f>
        <v>44920</v>
      </c>
      <c r="C1556" s="3">
        <v>25</v>
      </c>
      <c r="D1556" s="3">
        <v>12</v>
      </c>
      <c r="E1556" s="3">
        <v>2022</v>
      </c>
      <c r="F1556" s="3" t="str">
        <f>"Qtr"&amp; " " &amp;CHOOSE(MONTH(Table1[[#This Row],[Date]]),1,1,1,2,2,2,3,3,3,4,4,4)</f>
        <v>Qtr 4</v>
      </c>
      <c r="G1556" s="3" t="str">
        <f>TEXT(Table1[[#This Row],[Date]],"mmmm")</f>
        <v>December</v>
      </c>
      <c r="H1556" s="3" t="s">
        <v>1080</v>
      </c>
      <c r="I1556" s="3" t="s">
        <v>33</v>
      </c>
      <c r="J1556" s="3">
        <v>5</v>
      </c>
      <c r="K1556" s="3">
        <v>16354.94</v>
      </c>
      <c r="L1556" s="3">
        <f>Table1[[#This Row],[Price Per Unit]]*Table1[[#This Row],[Units Sold]]</f>
        <v>81774.7</v>
      </c>
      <c r="M1556" s="3" t="s">
        <v>633</v>
      </c>
      <c r="N1556" s="3">
        <v>38</v>
      </c>
      <c r="O1556" s="3" t="s">
        <v>20</v>
      </c>
      <c r="P1556" s="3" t="s">
        <v>45</v>
      </c>
      <c r="Q1556" s="4">
        <v>5</v>
      </c>
      <c r="R1556" s="4" t="str">
        <f>IF(Table1[[#This Row],[Customer Ratings]]&gt;=4, "Good",IF(Table1[[#This Row],[Customer Ratings]]=3, "Average","Poor"))</f>
        <v>Good</v>
      </c>
      <c r="S1556" s="3" t="s">
        <v>36</v>
      </c>
    </row>
    <row r="1557" spans="1:19" x14ac:dyDescent="0.25">
      <c r="A1557" s="3">
        <v>1556</v>
      </c>
      <c r="B1557" s="5">
        <f>DATE(Table1[[#This Row],[Year]],Table1[[#This Row],[Month]],Table1[[#This Row],[Day]])</f>
        <v>44920</v>
      </c>
      <c r="C1557" s="3">
        <v>25</v>
      </c>
      <c r="D1557" s="3">
        <v>12</v>
      </c>
      <c r="E1557" s="3">
        <v>2022</v>
      </c>
      <c r="F1557" s="3" t="str">
        <f>"Qtr"&amp; " " &amp;CHOOSE(MONTH(Table1[[#This Row],[Date]]),1,1,1,2,2,2,3,3,3,4,4,4)</f>
        <v>Qtr 4</v>
      </c>
      <c r="G1557" s="3" t="str">
        <f>TEXT(Table1[[#This Row],[Date]],"mmmm")</f>
        <v>December</v>
      </c>
      <c r="H1557" s="3" t="s">
        <v>1080</v>
      </c>
      <c r="I1557" s="3" t="s">
        <v>13</v>
      </c>
      <c r="J1557" s="3">
        <v>7</v>
      </c>
      <c r="K1557" s="3">
        <v>11118.8</v>
      </c>
      <c r="L1557" s="3">
        <f>Table1[[#This Row],[Price Per Unit]]*Table1[[#This Row],[Units Sold]]</f>
        <v>77831.599999999991</v>
      </c>
      <c r="M1557" s="3" t="s">
        <v>601</v>
      </c>
      <c r="N1557" s="3">
        <v>25</v>
      </c>
      <c r="O1557" s="3" t="s">
        <v>20</v>
      </c>
      <c r="P1557" s="3" t="s">
        <v>16</v>
      </c>
      <c r="Q1557" s="4">
        <v>5</v>
      </c>
      <c r="R1557" s="4" t="str">
        <f>IF(Table1[[#This Row],[Customer Ratings]]&gt;=4, "Good",IF(Table1[[#This Row],[Customer Ratings]]=3, "Average","Poor"))</f>
        <v>Good</v>
      </c>
      <c r="S1557" s="3" t="s">
        <v>72</v>
      </c>
    </row>
    <row r="1558" spans="1:19" x14ac:dyDescent="0.25">
      <c r="A1558" s="3">
        <v>1557</v>
      </c>
      <c r="B1558" s="5">
        <f>DATE(Table1[[#This Row],[Year]],Table1[[#This Row],[Month]],Table1[[#This Row],[Day]])</f>
        <v>44921</v>
      </c>
      <c r="C1558" s="3">
        <v>26</v>
      </c>
      <c r="D1558" s="3">
        <v>12</v>
      </c>
      <c r="E1558" s="3">
        <v>2022</v>
      </c>
      <c r="F1558" s="3" t="str">
        <f>"Qtr"&amp; " " &amp;CHOOSE(MONTH(Table1[[#This Row],[Date]]),1,1,1,2,2,2,3,3,3,4,4,4)</f>
        <v>Qtr 4</v>
      </c>
      <c r="G1558" s="3" t="str">
        <f>TEXT(Table1[[#This Row],[Date]],"mmmm")</f>
        <v>December</v>
      </c>
      <c r="H1558" s="3" t="s">
        <v>1081</v>
      </c>
      <c r="I1558" s="3" t="s">
        <v>28</v>
      </c>
      <c r="J1558" s="3">
        <v>5</v>
      </c>
      <c r="K1558" s="3">
        <v>58278.5</v>
      </c>
      <c r="L1558" s="3">
        <f>Table1[[#This Row],[Price Per Unit]]*Table1[[#This Row],[Units Sold]]</f>
        <v>291392.5</v>
      </c>
      <c r="M1558" s="3" t="s">
        <v>861</v>
      </c>
      <c r="N1558" s="3">
        <v>49</v>
      </c>
      <c r="O1558" s="3" t="s">
        <v>78</v>
      </c>
      <c r="P1558" s="3" t="s">
        <v>16</v>
      </c>
      <c r="Q1558" s="4">
        <v>4</v>
      </c>
      <c r="R1558" s="4" t="str">
        <f>IF(Table1[[#This Row],[Customer Ratings]]&gt;=4, "Good",IF(Table1[[#This Row],[Customer Ratings]]=3, "Average","Poor"))</f>
        <v>Good</v>
      </c>
      <c r="S1558" s="3" t="s">
        <v>32</v>
      </c>
    </row>
    <row r="1559" spans="1:19" x14ac:dyDescent="0.25">
      <c r="A1559" s="3">
        <v>1558</v>
      </c>
      <c r="B1559" s="5">
        <f>DATE(Table1[[#This Row],[Year]],Table1[[#This Row],[Month]],Table1[[#This Row],[Day]])</f>
        <v>44921</v>
      </c>
      <c r="C1559" s="3">
        <v>26</v>
      </c>
      <c r="D1559" s="3">
        <v>12</v>
      </c>
      <c r="E1559" s="3">
        <v>2022</v>
      </c>
      <c r="F1559" s="3" t="str">
        <f>"Qtr"&amp; " " &amp;CHOOSE(MONTH(Table1[[#This Row],[Date]]),1,1,1,2,2,2,3,3,3,4,4,4)</f>
        <v>Qtr 4</v>
      </c>
      <c r="G1559" s="3" t="str">
        <f>TEXT(Table1[[#This Row],[Date]],"mmmm")</f>
        <v>December</v>
      </c>
      <c r="H1559" s="3" t="s">
        <v>1081</v>
      </c>
      <c r="I1559" s="3" t="s">
        <v>39</v>
      </c>
      <c r="J1559" s="3">
        <v>5</v>
      </c>
      <c r="K1559" s="3">
        <v>18273.7</v>
      </c>
      <c r="L1559" s="3">
        <f>Table1[[#This Row],[Price Per Unit]]*Table1[[#This Row],[Units Sold]]</f>
        <v>91368.5</v>
      </c>
      <c r="M1559" s="3" t="s">
        <v>752</v>
      </c>
      <c r="N1559" s="3">
        <v>48</v>
      </c>
      <c r="O1559" s="3" t="s">
        <v>24</v>
      </c>
      <c r="P1559" s="3" t="s">
        <v>31</v>
      </c>
      <c r="Q1559" s="4">
        <v>3</v>
      </c>
      <c r="R1559" s="4" t="str">
        <f>IF(Table1[[#This Row],[Customer Ratings]]&gt;=4, "Good",IF(Table1[[#This Row],[Customer Ratings]]=3, "Average","Poor"))</f>
        <v>Average</v>
      </c>
      <c r="S1559" s="3" t="s">
        <v>90</v>
      </c>
    </row>
    <row r="1560" spans="1:19" x14ac:dyDescent="0.25">
      <c r="A1560" s="3">
        <v>1559</v>
      </c>
      <c r="B1560" s="5">
        <f>DATE(Table1[[#This Row],[Year]],Table1[[#This Row],[Month]],Table1[[#This Row],[Day]])</f>
        <v>44921</v>
      </c>
      <c r="C1560" s="3">
        <v>26</v>
      </c>
      <c r="D1560" s="3">
        <v>12</v>
      </c>
      <c r="E1560" s="3">
        <v>2022</v>
      </c>
      <c r="F1560" s="3" t="str">
        <f>"Qtr"&amp; " " &amp;CHOOSE(MONTH(Table1[[#This Row],[Date]]),1,1,1,2,2,2,3,3,3,4,4,4)</f>
        <v>Qtr 4</v>
      </c>
      <c r="G1560" s="3" t="str">
        <f>TEXT(Table1[[#This Row],[Date]],"mmmm")</f>
        <v>December</v>
      </c>
      <c r="H1560" s="3" t="s">
        <v>1081</v>
      </c>
      <c r="I1560" s="3" t="s">
        <v>33</v>
      </c>
      <c r="J1560" s="3">
        <v>9</v>
      </c>
      <c r="K1560" s="3">
        <v>56558.61</v>
      </c>
      <c r="L1560" s="3">
        <f>Table1[[#This Row],[Price Per Unit]]*Table1[[#This Row],[Units Sold]]</f>
        <v>509027.49</v>
      </c>
      <c r="M1560" s="3" t="s">
        <v>862</v>
      </c>
      <c r="N1560" s="3">
        <v>51</v>
      </c>
      <c r="O1560" s="3" t="s">
        <v>20</v>
      </c>
      <c r="P1560" s="3" t="s">
        <v>21</v>
      </c>
      <c r="Q1560" s="4">
        <v>5</v>
      </c>
      <c r="R1560" s="4" t="str">
        <f>IF(Table1[[#This Row],[Customer Ratings]]&gt;=4, "Good",IF(Table1[[#This Row],[Customer Ratings]]=3, "Average","Poor"))</f>
        <v>Good</v>
      </c>
      <c r="S1560" s="3" t="s">
        <v>36</v>
      </c>
    </row>
    <row r="1561" spans="1:19" x14ac:dyDescent="0.25">
      <c r="A1561" s="3">
        <v>1560</v>
      </c>
      <c r="B1561" s="5">
        <f>DATE(Table1[[#This Row],[Year]],Table1[[#This Row],[Month]],Table1[[#This Row],[Day]])</f>
        <v>44921</v>
      </c>
      <c r="C1561" s="3">
        <v>26</v>
      </c>
      <c r="D1561" s="3">
        <v>12</v>
      </c>
      <c r="E1561" s="3">
        <v>2022</v>
      </c>
      <c r="F1561" s="3" t="str">
        <f>"Qtr"&amp; " " &amp;CHOOSE(MONTH(Table1[[#This Row],[Date]]),1,1,1,2,2,2,3,3,3,4,4,4)</f>
        <v>Qtr 4</v>
      </c>
      <c r="G1561" s="3" t="str">
        <f>TEXT(Table1[[#This Row],[Date]],"mmmm")</f>
        <v>December</v>
      </c>
      <c r="H1561" s="3" t="s">
        <v>1081</v>
      </c>
      <c r="I1561" s="3" t="s">
        <v>13</v>
      </c>
      <c r="J1561" s="3">
        <v>3</v>
      </c>
      <c r="K1561" s="3">
        <v>57852.55</v>
      </c>
      <c r="L1561" s="3">
        <f>Table1[[#This Row],[Price Per Unit]]*Table1[[#This Row],[Units Sold]]</f>
        <v>173557.65000000002</v>
      </c>
      <c r="M1561" s="3" t="s">
        <v>863</v>
      </c>
      <c r="N1561" s="3">
        <v>40</v>
      </c>
      <c r="O1561" s="3" t="s">
        <v>58</v>
      </c>
      <c r="P1561" s="3" t="s">
        <v>31</v>
      </c>
      <c r="Q1561" s="4">
        <v>1</v>
      </c>
      <c r="R1561" s="4" t="str">
        <f>IF(Table1[[#This Row],[Customer Ratings]]&gt;=4, "Good",IF(Table1[[#This Row],[Customer Ratings]]=3, "Average","Poor"))</f>
        <v>Poor</v>
      </c>
      <c r="S1561" s="3" t="s">
        <v>72</v>
      </c>
    </row>
    <row r="1562" spans="1:19" x14ac:dyDescent="0.25">
      <c r="A1562" s="3">
        <v>1561</v>
      </c>
      <c r="B1562" s="5">
        <f>DATE(Table1[[#This Row],[Year]],Table1[[#This Row],[Month]],Table1[[#This Row],[Day]])</f>
        <v>44922</v>
      </c>
      <c r="C1562" s="3">
        <v>27</v>
      </c>
      <c r="D1562" s="3">
        <v>12</v>
      </c>
      <c r="E1562" s="3">
        <v>2022</v>
      </c>
      <c r="F1562" s="3" t="str">
        <f>"Qtr"&amp; " " &amp;CHOOSE(MONTH(Table1[[#This Row],[Date]]),1,1,1,2,2,2,3,3,3,4,4,4)</f>
        <v>Qtr 4</v>
      </c>
      <c r="G1562" s="3" t="str">
        <f>TEXT(Table1[[#This Row],[Date]],"mmmm")</f>
        <v>December</v>
      </c>
      <c r="H1562" s="3" t="s">
        <v>1082</v>
      </c>
      <c r="I1562" s="3" t="s">
        <v>13</v>
      </c>
      <c r="J1562" s="3">
        <v>6</v>
      </c>
      <c r="K1562" s="3">
        <v>42275.17</v>
      </c>
      <c r="L1562" s="3">
        <f>Table1[[#This Row],[Price Per Unit]]*Table1[[#This Row],[Units Sold]]</f>
        <v>253651.02</v>
      </c>
      <c r="M1562" s="3" t="s">
        <v>864</v>
      </c>
      <c r="N1562" s="3">
        <v>42</v>
      </c>
      <c r="O1562" s="3" t="s">
        <v>137</v>
      </c>
      <c r="P1562" s="3" t="s">
        <v>31</v>
      </c>
      <c r="Q1562" s="4">
        <v>5</v>
      </c>
      <c r="R1562" s="4" t="str">
        <f>IF(Table1[[#This Row],[Customer Ratings]]&gt;=4, "Good",IF(Table1[[#This Row],[Customer Ratings]]=3, "Average","Poor"))</f>
        <v>Good</v>
      </c>
      <c r="S1562" s="3" t="s">
        <v>27</v>
      </c>
    </row>
    <row r="1563" spans="1:19" x14ac:dyDescent="0.25">
      <c r="A1563" s="3">
        <v>1562</v>
      </c>
      <c r="B1563" s="5">
        <f>DATE(Table1[[#This Row],[Year]],Table1[[#This Row],[Month]],Table1[[#This Row],[Day]])</f>
        <v>44922</v>
      </c>
      <c r="C1563" s="3">
        <v>27</v>
      </c>
      <c r="D1563" s="3">
        <v>12</v>
      </c>
      <c r="E1563" s="3">
        <v>2022</v>
      </c>
      <c r="F1563" s="3" t="str">
        <f>"Qtr"&amp; " " &amp;CHOOSE(MONTH(Table1[[#This Row],[Date]]),1,1,1,2,2,2,3,3,3,4,4,4)</f>
        <v>Qtr 4</v>
      </c>
      <c r="G1563" s="3" t="str">
        <f>TEXT(Table1[[#This Row],[Date]],"mmmm")</f>
        <v>December</v>
      </c>
      <c r="H1563" s="3" t="s">
        <v>1082</v>
      </c>
      <c r="I1563" s="3" t="s">
        <v>13</v>
      </c>
      <c r="J1563" s="3">
        <v>1</v>
      </c>
      <c r="K1563" s="3">
        <v>28580.92</v>
      </c>
      <c r="L1563" s="3">
        <f>Table1[[#This Row],[Price Per Unit]]*Table1[[#This Row],[Units Sold]]</f>
        <v>28580.92</v>
      </c>
      <c r="M1563" s="3" t="s">
        <v>304</v>
      </c>
      <c r="N1563" s="3">
        <v>24</v>
      </c>
      <c r="O1563" s="3" t="s">
        <v>24</v>
      </c>
      <c r="P1563" s="3" t="s">
        <v>31</v>
      </c>
      <c r="Q1563" s="4">
        <v>1</v>
      </c>
      <c r="R1563" s="4" t="str">
        <f>IF(Table1[[#This Row],[Customer Ratings]]&gt;=4, "Good",IF(Table1[[#This Row],[Customer Ratings]]=3, "Average","Poor"))</f>
        <v>Poor</v>
      </c>
      <c r="S1563" s="3" t="s">
        <v>17</v>
      </c>
    </row>
    <row r="1564" spans="1:19" x14ac:dyDescent="0.25">
      <c r="A1564" s="3">
        <v>1563</v>
      </c>
      <c r="B1564" s="5">
        <f>DATE(Table1[[#This Row],[Year]],Table1[[#This Row],[Month]],Table1[[#This Row],[Day]])</f>
        <v>44922</v>
      </c>
      <c r="C1564" s="3">
        <v>27</v>
      </c>
      <c r="D1564" s="3">
        <v>12</v>
      </c>
      <c r="E1564" s="3">
        <v>2022</v>
      </c>
      <c r="F1564" s="3" t="str">
        <f>"Qtr"&amp; " " &amp;CHOOSE(MONTH(Table1[[#This Row],[Date]]),1,1,1,2,2,2,3,3,3,4,4,4)</f>
        <v>Qtr 4</v>
      </c>
      <c r="G1564" s="3" t="str">
        <f>TEXT(Table1[[#This Row],[Date]],"mmmm")</f>
        <v>December</v>
      </c>
      <c r="H1564" s="3" t="s">
        <v>1082</v>
      </c>
      <c r="I1564" s="3" t="s">
        <v>28</v>
      </c>
      <c r="J1564" s="3">
        <v>5</v>
      </c>
      <c r="K1564" s="3">
        <v>18701.96</v>
      </c>
      <c r="L1564" s="3">
        <f>Table1[[#This Row],[Price Per Unit]]*Table1[[#This Row],[Units Sold]]</f>
        <v>93509.799999999988</v>
      </c>
      <c r="M1564" s="3" t="s">
        <v>850</v>
      </c>
      <c r="N1564" s="3">
        <v>36</v>
      </c>
      <c r="O1564" s="3" t="s">
        <v>20</v>
      </c>
      <c r="P1564" s="3" t="s">
        <v>31</v>
      </c>
      <c r="Q1564" s="4">
        <v>1</v>
      </c>
      <c r="R1564" s="4" t="str">
        <f>IF(Table1[[#This Row],[Customer Ratings]]&gt;=4, "Good",IF(Table1[[#This Row],[Customer Ratings]]=3, "Average","Poor"))</f>
        <v>Poor</v>
      </c>
      <c r="S1564" s="3" t="s">
        <v>38</v>
      </c>
    </row>
    <row r="1565" spans="1:19" x14ac:dyDescent="0.25">
      <c r="A1565" s="3">
        <v>1564</v>
      </c>
      <c r="B1565" s="5">
        <f>DATE(Table1[[#This Row],[Year]],Table1[[#This Row],[Month]],Table1[[#This Row],[Day]])</f>
        <v>44922</v>
      </c>
      <c r="C1565" s="3">
        <v>27</v>
      </c>
      <c r="D1565" s="3">
        <v>12</v>
      </c>
      <c r="E1565" s="3">
        <v>2022</v>
      </c>
      <c r="F1565" s="3" t="str">
        <f>"Qtr"&amp; " " &amp;CHOOSE(MONTH(Table1[[#This Row],[Date]]),1,1,1,2,2,2,3,3,3,4,4,4)</f>
        <v>Qtr 4</v>
      </c>
      <c r="G1565" s="3" t="str">
        <f>TEXT(Table1[[#This Row],[Date]],"mmmm")</f>
        <v>December</v>
      </c>
      <c r="H1565" s="3" t="s">
        <v>1082</v>
      </c>
      <c r="I1565" s="3" t="s">
        <v>39</v>
      </c>
      <c r="J1565" s="3">
        <v>8</v>
      </c>
      <c r="K1565" s="3">
        <v>54208.31</v>
      </c>
      <c r="L1565" s="3">
        <f>Table1[[#This Row],[Price Per Unit]]*Table1[[#This Row],[Units Sold]]</f>
        <v>433666.48</v>
      </c>
      <c r="M1565" s="3" t="s">
        <v>599</v>
      </c>
      <c r="N1565" s="3">
        <v>24</v>
      </c>
      <c r="O1565" s="3" t="s">
        <v>20</v>
      </c>
      <c r="P1565" s="3" t="s">
        <v>31</v>
      </c>
      <c r="Q1565" s="4">
        <v>1</v>
      </c>
      <c r="R1565" s="4" t="str">
        <f>IF(Table1[[#This Row],[Customer Ratings]]&gt;=4, "Good",IF(Table1[[#This Row],[Customer Ratings]]=3, "Average","Poor"))</f>
        <v>Poor</v>
      </c>
      <c r="S1565" s="3" t="s">
        <v>76</v>
      </c>
    </row>
    <row r="1566" spans="1:19" x14ac:dyDescent="0.25">
      <c r="A1566" s="3">
        <v>1565</v>
      </c>
      <c r="B1566" s="5">
        <f>DATE(Table1[[#This Row],[Year]],Table1[[#This Row],[Month]],Table1[[#This Row],[Day]])</f>
        <v>44923</v>
      </c>
      <c r="C1566" s="3">
        <v>28</v>
      </c>
      <c r="D1566" s="3">
        <v>12</v>
      </c>
      <c r="E1566" s="3">
        <v>2022</v>
      </c>
      <c r="F1566" s="3" t="str">
        <f>"Qtr"&amp; " " &amp;CHOOSE(MONTH(Table1[[#This Row],[Date]]),1,1,1,2,2,2,3,3,3,4,4,4)</f>
        <v>Qtr 4</v>
      </c>
      <c r="G1566" s="3" t="str">
        <f>TEXT(Table1[[#This Row],[Date]],"mmmm")</f>
        <v>December</v>
      </c>
      <c r="H1566" s="3" t="s">
        <v>1083</v>
      </c>
      <c r="I1566" s="3" t="s">
        <v>28</v>
      </c>
      <c r="J1566" s="3">
        <v>5</v>
      </c>
      <c r="K1566" s="3">
        <v>46083.22</v>
      </c>
      <c r="L1566" s="3">
        <f>Table1[[#This Row],[Price Per Unit]]*Table1[[#This Row],[Units Sold]]</f>
        <v>230416.1</v>
      </c>
      <c r="M1566" s="3" t="s">
        <v>639</v>
      </c>
      <c r="N1566" s="3">
        <v>25</v>
      </c>
      <c r="O1566" s="3" t="s">
        <v>65</v>
      </c>
      <c r="P1566" s="3" t="s">
        <v>45</v>
      </c>
      <c r="Q1566" s="4">
        <v>1</v>
      </c>
      <c r="R1566" s="4" t="str">
        <f>IF(Table1[[#This Row],[Customer Ratings]]&gt;=4, "Good",IF(Table1[[#This Row],[Customer Ratings]]=3, "Average","Poor"))</f>
        <v>Poor</v>
      </c>
      <c r="S1566" s="3" t="s">
        <v>38</v>
      </c>
    </row>
    <row r="1567" spans="1:19" x14ac:dyDescent="0.25">
      <c r="A1567" s="3">
        <v>1566</v>
      </c>
      <c r="B1567" s="5">
        <f>DATE(Table1[[#This Row],[Year]],Table1[[#This Row],[Month]],Table1[[#This Row],[Day]])</f>
        <v>44923</v>
      </c>
      <c r="C1567" s="3">
        <v>28</v>
      </c>
      <c r="D1567" s="3">
        <v>12</v>
      </c>
      <c r="E1567" s="3">
        <v>2022</v>
      </c>
      <c r="F1567" s="3" t="str">
        <f>"Qtr"&amp; " " &amp;CHOOSE(MONTH(Table1[[#This Row],[Date]]),1,1,1,2,2,2,3,3,3,4,4,4)</f>
        <v>Qtr 4</v>
      </c>
      <c r="G1567" s="3" t="str">
        <f>TEXT(Table1[[#This Row],[Date]],"mmmm")</f>
        <v>December</v>
      </c>
      <c r="H1567" s="3" t="s">
        <v>1083</v>
      </c>
      <c r="I1567" s="3" t="s">
        <v>18</v>
      </c>
      <c r="J1567" s="3">
        <v>9</v>
      </c>
      <c r="K1567" s="3">
        <v>49327.21</v>
      </c>
      <c r="L1567" s="3">
        <f>Table1[[#This Row],[Price Per Unit]]*Table1[[#This Row],[Units Sold]]</f>
        <v>443944.89</v>
      </c>
      <c r="M1567" s="3" t="s">
        <v>562</v>
      </c>
      <c r="N1567" s="3">
        <v>31</v>
      </c>
      <c r="O1567" s="3" t="s">
        <v>98</v>
      </c>
      <c r="P1567" s="3" t="s">
        <v>31</v>
      </c>
      <c r="Q1567" s="4">
        <v>5</v>
      </c>
      <c r="R1567" s="4" t="str">
        <f>IF(Table1[[#This Row],[Customer Ratings]]&gt;=4, "Good",IF(Table1[[#This Row],[Customer Ratings]]=3, "Average","Poor"))</f>
        <v>Good</v>
      </c>
      <c r="S1567" s="3" t="s">
        <v>55</v>
      </c>
    </row>
    <row r="1568" spans="1:19" x14ac:dyDescent="0.25">
      <c r="A1568" s="3">
        <v>1567</v>
      </c>
      <c r="B1568" s="5">
        <f>DATE(Table1[[#This Row],[Year]],Table1[[#This Row],[Month]],Table1[[#This Row],[Day]])</f>
        <v>44923</v>
      </c>
      <c r="C1568" s="3">
        <v>28</v>
      </c>
      <c r="D1568" s="3">
        <v>12</v>
      </c>
      <c r="E1568" s="3">
        <v>2022</v>
      </c>
      <c r="F1568" s="3" t="str">
        <f>"Qtr"&amp; " " &amp;CHOOSE(MONTH(Table1[[#This Row],[Date]]),1,1,1,2,2,2,3,3,3,4,4,4)</f>
        <v>Qtr 4</v>
      </c>
      <c r="G1568" s="3" t="str">
        <f>TEXT(Table1[[#This Row],[Date]],"mmmm")</f>
        <v>December</v>
      </c>
      <c r="H1568" s="3" t="s">
        <v>1083</v>
      </c>
      <c r="I1568" s="3" t="s">
        <v>13</v>
      </c>
      <c r="J1568" s="3">
        <v>6</v>
      </c>
      <c r="K1568" s="3">
        <v>10520.15</v>
      </c>
      <c r="L1568" s="3">
        <f>Table1[[#This Row],[Price Per Unit]]*Table1[[#This Row],[Units Sold]]</f>
        <v>63120.899999999994</v>
      </c>
      <c r="M1568" s="3" t="s">
        <v>597</v>
      </c>
      <c r="N1568" s="3">
        <v>18</v>
      </c>
      <c r="O1568" s="3" t="s">
        <v>20</v>
      </c>
      <c r="P1568" s="3" t="s">
        <v>21</v>
      </c>
      <c r="Q1568" s="4">
        <v>1</v>
      </c>
      <c r="R1568" s="4" t="str">
        <f>IF(Table1[[#This Row],[Customer Ratings]]&gt;=4, "Good",IF(Table1[[#This Row],[Customer Ratings]]=3, "Average","Poor"))</f>
        <v>Poor</v>
      </c>
      <c r="S1568" s="3" t="s">
        <v>17</v>
      </c>
    </row>
    <row r="1569" spans="1:19" x14ac:dyDescent="0.25">
      <c r="A1569" s="3">
        <v>1568</v>
      </c>
      <c r="B1569" s="5">
        <f>DATE(Table1[[#This Row],[Year]],Table1[[#This Row],[Month]],Table1[[#This Row],[Day]])</f>
        <v>44924</v>
      </c>
      <c r="C1569" s="3">
        <v>29</v>
      </c>
      <c r="D1569" s="3">
        <v>12</v>
      </c>
      <c r="E1569" s="3">
        <v>2022</v>
      </c>
      <c r="F1569" s="3" t="str">
        <f>"Qtr"&amp; " " &amp;CHOOSE(MONTH(Table1[[#This Row],[Date]]),1,1,1,2,2,2,3,3,3,4,4,4)</f>
        <v>Qtr 4</v>
      </c>
      <c r="G1569" s="3" t="str">
        <f>TEXT(Table1[[#This Row],[Date]],"mmmm")</f>
        <v>December</v>
      </c>
      <c r="H1569" s="3" t="s">
        <v>1084</v>
      </c>
      <c r="I1569" s="3" t="s">
        <v>18</v>
      </c>
      <c r="J1569" s="3">
        <v>8</v>
      </c>
      <c r="K1569" s="3">
        <v>65651.02</v>
      </c>
      <c r="L1569" s="3">
        <f>Table1[[#This Row],[Price Per Unit]]*Table1[[#This Row],[Units Sold]]</f>
        <v>525208.16</v>
      </c>
      <c r="M1569" s="3" t="s">
        <v>388</v>
      </c>
      <c r="N1569" s="3">
        <v>30</v>
      </c>
      <c r="O1569" s="3" t="s">
        <v>20</v>
      </c>
      <c r="P1569" s="3" t="s">
        <v>16</v>
      </c>
      <c r="Q1569" s="4">
        <v>5</v>
      </c>
      <c r="R1569" s="4" t="str">
        <f>IF(Table1[[#This Row],[Customer Ratings]]&gt;=4, "Good",IF(Table1[[#This Row],[Customer Ratings]]=3, "Average","Poor"))</f>
        <v>Good</v>
      </c>
      <c r="S1569" s="3" t="s">
        <v>22</v>
      </c>
    </row>
    <row r="1570" spans="1:19" x14ac:dyDescent="0.25">
      <c r="A1570" s="3">
        <v>1569</v>
      </c>
      <c r="B1570" s="5">
        <f>DATE(Table1[[#This Row],[Year]],Table1[[#This Row],[Month]],Table1[[#This Row],[Day]])</f>
        <v>44924</v>
      </c>
      <c r="C1570" s="3">
        <v>29</v>
      </c>
      <c r="D1570" s="3">
        <v>12</v>
      </c>
      <c r="E1570" s="3">
        <v>2022</v>
      </c>
      <c r="F1570" s="3" t="str">
        <f>"Qtr"&amp; " " &amp;CHOOSE(MONTH(Table1[[#This Row],[Date]]),1,1,1,2,2,2,3,3,3,4,4,4)</f>
        <v>Qtr 4</v>
      </c>
      <c r="G1570" s="3" t="str">
        <f>TEXT(Table1[[#This Row],[Date]],"mmmm")</f>
        <v>December</v>
      </c>
      <c r="H1570" s="3" t="s">
        <v>1084</v>
      </c>
      <c r="I1570" s="3" t="s">
        <v>33</v>
      </c>
      <c r="J1570" s="3">
        <v>8</v>
      </c>
      <c r="K1570" s="3">
        <v>13977.41</v>
      </c>
      <c r="L1570" s="3">
        <f>Table1[[#This Row],[Price Per Unit]]*Table1[[#This Row],[Units Sold]]</f>
        <v>111819.28</v>
      </c>
      <c r="M1570" s="3" t="s">
        <v>450</v>
      </c>
      <c r="N1570" s="3">
        <v>20</v>
      </c>
      <c r="O1570" s="3" t="s">
        <v>20</v>
      </c>
      <c r="P1570" s="3" t="s">
        <v>45</v>
      </c>
      <c r="Q1570" s="4">
        <v>4</v>
      </c>
      <c r="R1570" s="4" t="str">
        <f>IF(Table1[[#This Row],[Customer Ratings]]&gt;=4, "Good",IF(Table1[[#This Row],[Customer Ratings]]=3, "Average","Poor"))</f>
        <v>Good</v>
      </c>
      <c r="S1570" s="3" t="s">
        <v>46</v>
      </c>
    </row>
    <row r="1571" spans="1:19" x14ac:dyDescent="0.25">
      <c r="A1571" s="3">
        <v>1570</v>
      </c>
      <c r="B1571" s="5">
        <f>DATE(Table1[[#This Row],[Year]],Table1[[#This Row],[Month]],Table1[[#This Row],[Day]])</f>
        <v>44924</v>
      </c>
      <c r="C1571" s="3">
        <v>29</v>
      </c>
      <c r="D1571" s="3">
        <v>12</v>
      </c>
      <c r="E1571" s="3">
        <v>2022</v>
      </c>
      <c r="F1571" s="3" t="str">
        <f>"Qtr"&amp; " " &amp;CHOOSE(MONTH(Table1[[#This Row],[Date]]),1,1,1,2,2,2,3,3,3,4,4,4)</f>
        <v>Qtr 4</v>
      </c>
      <c r="G1571" s="3" t="str">
        <f>TEXT(Table1[[#This Row],[Date]],"mmmm")</f>
        <v>December</v>
      </c>
      <c r="H1571" s="3" t="s">
        <v>1084</v>
      </c>
      <c r="I1571" s="3" t="s">
        <v>33</v>
      </c>
      <c r="J1571" s="3">
        <v>3</v>
      </c>
      <c r="K1571" s="3">
        <v>32008.35</v>
      </c>
      <c r="L1571" s="3">
        <f>Table1[[#This Row],[Price Per Unit]]*Table1[[#This Row],[Units Sold]]</f>
        <v>96025.049999999988</v>
      </c>
      <c r="M1571" s="3" t="s">
        <v>679</v>
      </c>
      <c r="N1571" s="3">
        <v>45</v>
      </c>
      <c r="O1571" s="3" t="s">
        <v>24</v>
      </c>
      <c r="P1571" s="3" t="s">
        <v>21</v>
      </c>
      <c r="Q1571" s="4">
        <v>5</v>
      </c>
      <c r="R1571" s="4" t="str">
        <f>IF(Table1[[#This Row],[Customer Ratings]]&gt;=4, "Good",IF(Table1[[#This Row],[Customer Ratings]]=3, "Average","Poor"))</f>
        <v>Good</v>
      </c>
      <c r="S1571" s="3" t="s">
        <v>83</v>
      </c>
    </row>
    <row r="1572" spans="1:19" x14ac:dyDescent="0.25">
      <c r="A1572" s="3">
        <v>1571</v>
      </c>
      <c r="B1572" s="5">
        <f>DATE(Table1[[#This Row],[Year]],Table1[[#This Row],[Month]],Table1[[#This Row],[Day]])</f>
        <v>44925</v>
      </c>
      <c r="C1572" s="3">
        <v>30</v>
      </c>
      <c r="D1572" s="3">
        <v>12</v>
      </c>
      <c r="E1572" s="3">
        <v>2022</v>
      </c>
      <c r="F1572" s="3" t="str">
        <f>"Qtr"&amp; " " &amp;CHOOSE(MONTH(Table1[[#This Row],[Date]]),1,1,1,2,2,2,3,3,3,4,4,4)</f>
        <v>Qtr 4</v>
      </c>
      <c r="G1572" s="3" t="str">
        <f>TEXT(Table1[[#This Row],[Date]],"mmmm")</f>
        <v>December</v>
      </c>
      <c r="H1572" s="3" t="s">
        <v>1085</v>
      </c>
      <c r="I1572" s="3" t="s">
        <v>28</v>
      </c>
      <c r="J1572" s="3">
        <v>7</v>
      </c>
      <c r="K1572" s="3">
        <v>34162.699999999997</v>
      </c>
      <c r="L1572" s="3">
        <f>Table1[[#This Row],[Price Per Unit]]*Table1[[#This Row],[Units Sold]]</f>
        <v>239138.89999999997</v>
      </c>
      <c r="M1572" s="3" t="s">
        <v>704</v>
      </c>
      <c r="N1572" s="3">
        <v>55</v>
      </c>
      <c r="O1572" s="3" t="s">
        <v>35</v>
      </c>
      <c r="P1572" s="3" t="s">
        <v>31</v>
      </c>
      <c r="Q1572" s="4">
        <v>1</v>
      </c>
      <c r="R1572" s="4" t="str">
        <f>IF(Table1[[#This Row],[Customer Ratings]]&gt;=4, "Good",IF(Table1[[#This Row],[Customer Ratings]]=3, "Average","Poor"))</f>
        <v>Poor</v>
      </c>
      <c r="S1572" s="3" t="s">
        <v>87</v>
      </c>
    </row>
    <row r="1573" spans="1:19" x14ac:dyDescent="0.25">
      <c r="A1573" s="3">
        <v>1572</v>
      </c>
      <c r="B1573" s="5">
        <f>DATE(Table1[[#This Row],[Year]],Table1[[#This Row],[Month]],Table1[[#This Row],[Day]])</f>
        <v>44925</v>
      </c>
      <c r="C1573" s="3">
        <v>30</v>
      </c>
      <c r="D1573" s="3">
        <v>12</v>
      </c>
      <c r="E1573" s="3">
        <v>2022</v>
      </c>
      <c r="F1573" s="3" t="str">
        <f>"Qtr"&amp; " " &amp;CHOOSE(MONTH(Table1[[#This Row],[Date]]),1,1,1,2,2,2,3,3,3,4,4,4)</f>
        <v>Qtr 4</v>
      </c>
      <c r="G1573" s="3" t="str">
        <f>TEXT(Table1[[#This Row],[Date]],"mmmm")</f>
        <v>December</v>
      </c>
      <c r="H1573" s="3" t="s">
        <v>1085</v>
      </c>
      <c r="I1573" s="3" t="s">
        <v>39</v>
      </c>
      <c r="J1573" s="3">
        <v>7</v>
      </c>
      <c r="K1573" s="3">
        <v>10081.33</v>
      </c>
      <c r="L1573" s="3">
        <f>Table1[[#This Row],[Price Per Unit]]*Table1[[#This Row],[Units Sold]]</f>
        <v>70569.31</v>
      </c>
      <c r="M1573" s="3" t="s">
        <v>712</v>
      </c>
      <c r="N1573" s="3">
        <v>32</v>
      </c>
      <c r="O1573" s="3" t="s">
        <v>20</v>
      </c>
      <c r="P1573" s="3" t="s">
        <v>21</v>
      </c>
      <c r="Q1573" s="4">
        <v>4</v>
      </c>
      <c r="R1573" s="4" t="str">
        <f>IF(Table1[[#This Row],[Customer Ratings]]&gt;=4, "Good",IF(Table1[[#This Row],[Customer Ratings]]=3, "Average","Poor"))</f>
        <v>Good</v>
      </c>
      <c r="S1573" s="3" t="s">
        <v>42</v>
      </c>
    </row>
    <row r="1574" spans="1:19" x14ac:dyDescent="0.25">
      <c r="A1574" s="3">
        <v>1573</v>
      </c>
      <c r="B1574" s="5">
        <f>DATE(Table1[[#This Row],[Year]],Table1[[#This Row],[Month]],Table1[[#This Row],[Day]])</f>
        <v>44925</v>
      </c>
      <c r="C1574" s="3">
        <v>30</v>
      </c>
      <c r="D1574" s="3">
        <v>12</v>
      </c>
      <c r="E1574" s="3">
        <v>2022</v>
      </c>
      <c r="F1574" s="3" t="str">
        <f>"Qtr"&amp; " " &amp;CHOOSE(MONTH(Table1[[#This Row],[Date]]),1,1,1,2,2,2,3,3,3,4,4,4)</f>
        <v>Qtr 4</v>
      </c>
      <c r="G1574" s="3" t="str">
        <f>TEXT(Table1[[#This Row],[Date]],"mmmm")</f>
        <v>December</v>
      </c>
      <c r="H1574" s="3" t="s">
        <v>1085</v>
      </c>
      <c r="I1574" s="3" t="s">
        <v>18</v>
      </c>
      <c r="J1574" s="3">
        <v>6</v>
      </c>
      <c r="K1574" s="3">
        <v>39825.360000000001</v>
      </c>
      <c r="L1574" s="3">
        <f>Table1[[#This Row],[Price Per Unit]]*Table1[[#This Row],[Units Sold]]</f>
        <v>238952.16</v>
      </c>
      <c r="M1574" s="3" t="s">
        <v>666</v>
      </c>
      <c r="N1574" s="3">
        <v>53</v>
      </c>
      <c r="O1574" s="3" t="s">
        <v>20</v>
      </c>
      <c r="P1574" s="3" t="s">
        <v>16</v>
      </c>
      <c r="Q1574" s="4">
        <v>5</v>
      </c>
      <c r="R1574" s="4" t="str">
        <f>IF(Table1[[#This Row],[Customer Ratings]]&gt;=4, "Good",IF(Table1[[#This Row],[Customer Ratings]]=3, "Average","Poor"))</f>
        <v>Good</v>
      </c>
      <c r="S1574" s="3" t="s">
        <v>55</v>
      </c>
    </row>
    <row r="1575" spans="1:19" x14ac:dyDescent="0.25">
      <c r="A1575" s="3">
        <v>1574</v>
      </c>
      <c r="B1575" s="5">
        <f>DATE(Table1[[#This Row],[Year]],Table1[[#This Row],[Month]],Table1[[#This Row],[Day]])</f>
        <v>44925</v>
      </c>
      <c r="C1575" s="3">
        <v>30</v>
      </c>
      <c r="D1575" s="3">
        <v>12</v>
      </c>
      <c r="E1575" s="3">
        <v>2022</v>
      </c>
      <c r="F1575" s="3" t="str">
        <f>"Qtr"&amp; " " &amp;CHOOSE(MONTH(Table1[[#This Row],[Date]]),1,1,1,2,2,2,3,3,3,4,4,4)</f>
        <v>Qtr 4</v>
      </c>
      <c r="G1575" s="3" t="str">
        <f>TEXT(Table1[[#This Row],[Date]],"mmmm")</f>
        <v>December</v>
      </c>
      <c r="H1575" s="3" t="s">
        <v>1085</v>
      </c>
      <c r="I1575" s="3" t="s">
        <v>39</v>
      </c>
      <c r="J1575" s="3">
        <v>7</v>
      </c>
      <c r="K1575" s="3">
        <v>55168.54</v>
      </c>
      <c r="L1575" s="3">
        <f>Table1[[#This Row],[Price Per Unit]]*Table1[[#This Row],[Units Sold]]</f>
        <v>386179.78</v>
      </c>
      <c r="M1575" s="3" t="s">
        <v>560</v>
      </c>
      <c r="N1575" s="3">
        <v>20</v>
      </c>
      <c r="O1575" s="3" t="s">
        <v>65</v>
      </c>
      <c r="P1575" s="3" t="s">
        <v>21</v>
      </c>
      <c r="Q1575" s="4">
        <v>5</v>
      </c>
      <c r="R1575" s="4" t="str">
        <f>IF(Table1[[#This Row],[Customer Ratings]]&gt;=4, "Good",IF(Table1[[#This Row],[Customer Ratings]]=3, "Average","Poor"))</f>
        <v>Good</v>
      </c>
      <c r="S1575" s="3" t="s">
        <v>42</v>
      </c>
    </row>
    <row r="1576" spans="1:19" x14ac:dyDescent="0.25">
      <c r="A1576" s="3">
        <v>1575</v>
      </c>
      <c r="B1576" s="5">
        <f>DATE(Table1[[#This Row],[Year]],Table1[[#This Row],[Month]],Table1[[#This Row],[Day]])</f>
        <v>44926</v>
      </c>
      <c r="C1576" s="3">
        <v>31</v>
      </c>
      <c r="D1576" s="3">
        <v>12</v>
      </c>
      <c r="E1576" s="3">
        <v>2022</v>
      </c>
      <c r="F1576" s="3" t="str">
        <f>"Qtr"&amp; " " &amp;CHOOSE(MONTH(Table1[[#This Row],[Date]]),1,1,1,2,2,2,3,3,3,4,4,4)</f>
        <v>Qtr 4</v>
      </c>
      <c r="G1576" s="3" t="str">
        <f>TEXT(Table1[[#This Row],[Date]],"mmmm")</f>
        <v>December</v>
      </c>
      <c r="H1576" s="3" t="s">
        <v>1079</v>
      </c>
      <c r="I1576" s="3" t="s">
        <v>28</v>
      </c>
      <c r="J1576" s="3">
        <v>2</v>
      </c>
      <c r="K1576" s="3">
        <v>59396.12</v>
      </c>
      <c r="L1576" s="3">
        <f>Table1[[#This Row],[Price Per Unit]]*Table1[[#This Row],[Units Sold]]</f>
        <v>118792.24</v>
      </c>
      <c r="M1576" s="3" t="s">
        <v>814</v>
      </c>
      <c r="N1576" s="3">
        <v>21</v>
      </c>
      <c r="O1576" s="3" t="s">
        <v>41</v>
      </c>
      <c r="P1576" s="3" t="s">
        <v>31</v>
      </c>
      <c r="Q1576" s="4">
        <v>5</v>
      </c>
      <c r="R1576" s="4" t="str">
        <f>IF(Table1[[#This Row],[Customer Ratings]]&gt;=4, "Good",IF(Table1[[#This Row],[Customer Ratings]]=3, "Average","Poor"))</f>
        <v>Good</v>
      </c>
      <c r="S1576" s="3" t="s">
        <v>87</v>
      </c>
    </row>
    <row r="1577" spans="1:19" x14ac:dyDescent="0.25">
      <c r="A1577" s="3">
        <v>1576</v>
      </c>
      <c r="B1577" s="5">
        <f>DATE(Table1[[#This Row],[Year]],Table1[[#This Row],[Month]],Table1[[#This Row],[Day]])</f>
        <v>44926</v>
      </c>
      <c r="C1577" s="3">
        <v>31</v>
      </c>
      <c r="D1577" s="3">
        <v>12</v>
      </c>
      <c r="E1577" s="3">
        <v>2022</v>
      </c>
      <c r="F1577" s="3" t="str">
        <f>"Qtr"&amp; " " &amp;CHOOSE(MONTH(Table1[[#This Row],[Date]]),1,1,1,2,2,2,3,3,3,4,4,4)</f>
        <v>Qtr 4</v>
      </c>
      <c r="G1577" s="3" t="str">
        <f>TEXT(Table1[[#This Row],[Date]],"mmmm")</f>
        <v>December</v>
      </c>
      <c r="H1577" s="3" t="s">
        <v>1079</v>
      </c>
      <c r="I1577" s="3" t="s">
        <v>33</v>
      </c>
      <c r="J1577" s="3">
        <v>9</v>
      </c>
      <c r="K1577" s="3">
        <v>62763.82</v>
      </c>
      <c r="L1577" s="3">
        <f>Table1[[#This Row],[Price Per Unit]]*Table1[[#This Row],[Units Sold]]</f>
        <v>564874.38</v>
      </c>
      <c r="M1577" s="3" t="s">
        <v>865</v>
      </c>
      <c r="N1577" s="3">
        <v>22</v>
      </c>
      <c r="O1577" s="3" t="s">
        <v>24</v>
      </c>
      <c r="P1577" s="3" t="s">
        <v>16</v>
      </c>
      <c r="Q1577" s="4">
        <v>4</v>
      </c>
      <c r="R1577" s="4" t="str">
        <f>IF(Table1[[#This Row],[Customer Ratings]]&gt;=4, "Good",IF(Table1[[#This Row],[Customer Ratings]]=3, "Average","Poor"))</f>
        <v>Good</v>
      </c>
      <c r="S1577" s="3" t="s">
        <v>83</v>
      </c>
    </row>
    <row r="1578" spans="1:19" x14ac:dyDescent="0.25">
      <c r="A1578" s="3">
        <v>1577</v>
      </c>
      <c r="B1578" s="5">
        <f>DATE(Table1[[#This Row],[Year]],Table1[[#This Row],[Month]],Table1[[#This Row],[Day]])</f>
        <v>44926</v>
      </c>
      <c r="C1578" s="3">
        <v>31</v>
      </c>
      <c r="D1578" s="3">
        <v>12</v>
      </c>
      <c r="E1578" s="3">
        <v>2022</v>
      </c>
      <c r="F1578" s="3" t="str">
        <f>"Qtr"&amp; " " &amp;CHOOSE(MONTH(Table1[[#This Row],[Date]]),1,1,1,2,2,2,3,3,3,4,4,4)</f>
        <v>Qtr 4</v>
      </c>
      <c r="G1578" s="3" t="str">
        <f>TEXT(Table1[[#This Row],[Date]],"mmmm")</f>
        <v>December</v>
      </c>
      <c r="H1578" s="3" t="s">
        <v>1079</v>
      </c>
      <c r="I1578" s="3" t="s">
        <v>39</v>
      </c>
      <c r="J1578" s="3">
        <v>1</v>
      </c>
      <c r="K1578" s="3">
        <v>39263.129999999997</v>
      </c>
      <c r="L1578" s="3">
        <f>Table1[[#This Row],[Price Per Unit]]*Table1[[#This Row],[Units Sold]]</f>
        <v>39263.129999999997</v>
      </c>
      <c r="M1578" s="3" t="s">
        <v>359</v>
      </c>
      <c r="N1578" s="3">
        <v>43</v>
      </c>
      <c r="O1578" s="3" t="s">
        <v>24</v>
      </c>
      <c r="P1578" s="3" t="s">
        <v>31</v>
      </c>
      <c r="Q1578" s="4">
        <v>5</v>
      </c>
      <c r="R1578" s="4" t="str">
        <f>IF(Table1[[#This Row],[Customer Ratings]]&gt;=4, "Good",IF(Table1[[#This Row],[Customer Ratings]]=3, "Average","Poor"))</f>
        <v>Good</v>
      </c>
      <c r="S1578" s="3" t="s">
        <v>42</v>
      </c>
    </row>
    <row r="1579" spans="1:19" x14ac:dyDescent="0.25">
      <c r="A1579" s="3">
        <v>1578</v>
      </c>
      <c r="B1579" s="5">
        <f>DATE(Table1[[#This Row],[Year]],Table1[[#This Row],[Month]],Table1[[#This Row],[Day]])</f>
        <v>44927</v>
      </c>
      <c r="C1579" s="3">
        <v>1</v>
      </c>
      <c r="D1579" s="3">
        <v>1</v>
      </c>
      <c r="E1579" s="3">
        <v>2023</v>
      </c>
      <c r="F1579" s="3" t="str">
        <f>"Qtr"&amp; " " &amp;CHOOSE(MONTH(Table1[[#This Row],[Date]]),1,1,1,2,2,2,3,3,3,4,4,4)</f>
        <v>Qtr 1</v>
      </c>
      <c r="G1579" s="3" t="str">
        <f>TEXT(Table1[[#This Row],[Date]],"mmmm")</f>
        <v>January</v>
      </c>
      <c r="H1579" s="3" t="s">
        <v>1080</v>
      </c>
      <c r="I1579" s="3" t="s">
        <v>39</v>
      </c>
      <c r="J1579" s="3">
        <v>1</v>
      </c>
      <c r="K1579" s="3">
        <v>47838.17</v>
      </c>
      <c r="L1579" s="3">
        <f>Table1[[#This Row],[Price Per Unit]]*Table1[[#This Row],[Units Sold]]</f>
        <v>47838.17</v>
      </c>
      <c r="M1579" s="3" t="s">
        <v>302</v>
      </c>
      <c r="N1579" s="3">
        <v>42</v>
      </c>
      <c r="O1579" s="3" t="s">
        <v>137</v>
      </c>
      <c r="P1579" s="3" t="s">
        <v>31</v>
      </c>
      <c r="Q1579" s="4">
        <v>1</v>
      </c>
      <c r="R1579" s="4" t="str">
        <f>IF(Table1[[#This Row],[Customer Ratings]]&gt;=4, "Good",IF(Table1[[#This Row],[Customer Ratings]]=3, "Average","Poor"))</f>
        <v>Poor</v>
      </c>
      <c r="S1579" s="3" t="s">
        <v>42</v>
      </c>
    </row>
    <row r="1580" spans="1:19" x14ac:dyDescent="0.25">
      <c r="A1580" s="3">
        <v>1579</v>
      </c>
      <c r="B1580" s="5">
        <f>DATE(Table1[[#This Row],[Year]],Table1[[#This Row],[Month]],Table1[[#This Row],[Day]])</f>
        <v>44927</v>
      </c>
      <c r="C1580" s="3">
        <v>1</v>
      </c>
      <c r="D1580" s="3">
        <v>1</v>
      </c>
      <c r="E1580" s="3">
        <v>2023</v>
      </c>
      <c r="F1580" s="3" t="str">
        <f>"Qtr"&amp; " " &amp;CHOOSE(MONTH(Table1[[#This Row],[Date]]),1,1,1,2,2,2,3,3,3,4,4,4)</f>
        <v>Qtr 1</v>
      </c>
      <c r="G1580" s="3" t="str">
        <f>TEXT(Table1[[#This Row],[Date]],"mmmm")</f>
        <v>January</v>
      </c>
      <c r="H1580" s="3" t="s">
        <v>1080</v>
      </c>
      <c r="I1580" s="3" t="s">
        <v>33</v>
      </c>
      <c r="J1580" s="3">
        <v>3</v>
      </c>
      <c r="K1580" s="3">
        <v>14771.18</v>
      </c>
      <c r="L1580" s="3">
        <f>Table1[[#This Row],[Price Per Unit]]*Table1[[#This Row],[Units Sold]]</f>
        <v>44313.54</v>
      </c>
      <c r="M1580" s="3" t="s">
        <v>290</v>
      </c>
      <c r="N1580" s="3">
        <v>27</v>
      </c>
      <c r="O1580" s="3" t="s">
        <v>58</v>
      </c>
      <c r="P1580" s="3" t="s">
        <v>45</v>
      </c>
      <c r="Q1580" s="4">
        <v>5</v>
      </c>
      <c r="R1580" s="4" t="str">
        <f>IF(Table1[[#This Row],[Customer Ratings]]&gt;=4, "Good",IF(Table1[[#This Row],[Customer Ratings]]=3, "Average","Poor"))</f>
        <v>Good</v>
      </c>
      <c r="S1580" s="3" t="s">
        <v>46</v>
      </c>
    </row>
    <row r="1581" spans="1:19" x14ac:dyDescent="0.25">
      <c r="A1581" s="3">
        <v>1580</v>
      </c>
      <c r="B1581" s="5">
        <f>DATE(Table1[[#This Row],[Year]],Table1[[#This Row],[Month]],Table1[[#This Row],[Day]])</f>
        <v>44927</v>
      </c>
      <c r="C1581" s="3">
        <v>1</v>
      </c>
      <c r="D1581" s="3">
        <v>1</v>
      </c>
      <c r="E1581" s="3">
        <v>2023</v>
      </c>
      <c r="F1581" s="3" t="str">
        <f>"Qtr"&amp; " " &amp;CHOOSE(MONTH(Table1[[#This Row],[Date]]),1,1,1,2,2,2,3,3,3,4,4,4)</f>
        <v>Qtr 1</v>
      </c>
      <c r="G1581" s="3" t="str">
        <f>TEXT(Table1[[#This Row],[Date]],"mmmm")</f>
        <v>January</v>
      </c>
      <c r="H1581" s="3" t="s">
        <v>1080</v>
      </c>
      <c r="I1581" s="3" t="s">
        <v>18</v>
      </c>
      <c r="J1581" s="3">
        <v>3</v>
      </c>
      <c r="K1581" s="3">
        <v>39282.29</v>
      </c>
      <c r="L1581" s="3">
        <f>Table1[[#This Row],[Price Per Unit]]*Table1[[#This Row],[Units Sold]]</f>
        <v>117846.87</v>
      </c>
      <c r="M1581" s="3" t="s">
        <v>733</v>
      </c>
      <c r="N1581" s="3">
        <v>25</v>
      </c>
      <c r="O1581" s="3" t="s">
        <v>24</v>
      </c>
      <c r="P1581" s="3" t="s">
        <v>16</v>
      </c>
      <c r="Q1581" s="4">
        <v>1</v>
      </c>
      <c r="R1581" s="4" t="str">
        <f>IF(Table1[[#This Row],[Customer Ratings]]&gt;=4, "Good",IF(Table1[[#This Row],[Customer Ratings]]=3, "Average","Poor"))</f>
        <v>Poor</v>
      </c>
      <c r="S1581" s="3" t="s">
        <v>55</v>
      </c>
    </row>
    <row r="1582" spans="1:19" x14ac:dyDescent="0.25">
      <c r="A1582" s="3">
        <v>1581</v>
      </c>
      <c r="B1582" s="5">
        <f>DATE(Table1[[#This Row],[Year]],Table1[[#This Row],[Month]],Table1[[#This Row],[Day]])</f>
        <v>44927</v>
      </c>
      <c r="C1582" s="3">
        <v>1</v>
      </c>
      <c r="D1582" s="3">
        <v>1</v>
      </c>
      <c r="E1582" s="3">
        <v>2023</v>
      </c>
      <c r="F1582" s="3" t="str">
        <f>"Qtr"&amp; " " &amp;CHOOSE(MONTH(Table1[[#This Row],[Date]]),1,1,1,2,2,2,3,3,3,4,4,4)</f>
        <v>Qtr 1</v>
      </c>
      <c r="G1582" s="3" t="str">
        <f>TEXT(Table1[[#This Row],[Date]],"mmmm")</f>
        <v>January</v>
      </c>
      <c r="H1582" s="3" t="s">
        <v>1080</v>
      </c>
      <c r="I1582" s="3" t="s">
        <v>33</v>
      </c>
      <c r="J1582" s="3">
        <v>1</v>
      </c>
      <c r="K1582" s="3">
        <v>19288.95</v>
      </c>
      <c r="L1582" s="3">
        <f>Table1[[#This Row],[Price Per Unit]]*Table1[[#This Row],[Units Sold]]</f>
        <v>19288.95</v>
      </c>
      <c r="M1582" s="3" t="s">
        <v>773</v>
      </c>
      <c r="N1582" s="3">
        <v>29</v>
      </c>
      <c r="O1582" s="3" t="s">
        <v>20</v>
      </c>
      <c r="P1582" s="3" t="s">
        <v>16</v>
      </c>
      <c r="Q1582" s="4">
        <v>3</v>
      </c>
      <c r="R1582" s="4" t="str">
        <f>IF(Table1[[#This Row],[Customer Ratings]]&gt;=4, "Good",IF(Table1[[#This Row],[Customer Ratings]]=3, "Average","Poor"))</f>
        <v>Average</v>
      </c>
      <c r="S1582" s="3" t="s">
        <v>46</v>
      </c>
    </row>
    <row r="1583" spans="1:19" x14ac:dyDescent="0.25">
      <c r="A1583" s="3">
        <v>1582</v>
      </c>
      <c r="B1583" s="5">
        <f>DATE(Table1[[#This Row],[Year]],Table1[[#This Row],[Month]],Table1[[#This Row],[Day]])</f>
        <v>44928</v>
      </c>
      <c r="C1583" s="3">
        <v>2</v>
      </c>
      <c r="D1583" s="3">
        <v>1</v>
      </c>
      <c r="E1583" s="3">
        <v>2023</v>
      </c>
      <c r="F1583" s="3" t="str">
        <f>"Qtr"&amp; " " &amp;CHOOSE(MONTH(Table1[[#This Row],[Date]]),1,1,1,2,2,2,3,3,3,4,4,4)</f>
        <v>Qtr 1</v>
      </c>
      <c r="G1583" s="3" t="str">
        <f>TEXT(Table1[[#This Row],[Date]],"mmmm")</f>
        <v>January</v>
      </c>
      <c r="H1583" s="3" t="s">
        <v>1081</v>
      </c>
      <c r="I1583" s="3" t="s">
        <v>39</v>
      </c>
      <c r="J1583" s="3">
        <v>7</v>
      </c>
      <c r="K1583" s="3">
        <v>32178.59</v>
      </c>
      <c r="L1583" s="3">
        <f>Table1[[#This Row],[Price Per Unit]]*Table1[[#This Row],[Units Sold]]</f>
        <v>225250.13</v>
      </c>
      <c r="M1583" s="3" t="s">
        <v>866</v>
      </c>
      <c r="N1583" s="3">
        <v>20</v>
      </c>
      <c r="O1583" s="3" t="s">
        <v>20</v>
      </c>
      <c r="P1583" s="3" t="s">
        <v>31</v>
      </c>
      <c r="Q1583" s="4">
        <v>5</v>
      </c>
      <c r="R1583" s="4" t="str">
        <f>IF(Table1[[#This Row],[Customer Ratings]]&gt;=4, "Good",IF(Table1[[#This Row],[Customer Ratings]]=3, "Average","Poor"))</f>
        <v>Good</v>
      </c>
      <c r="S1583" s="3" t="s">
        <v>42</v>
      </c>
    </row>
    <row r="1584" spans="1:19" x14ac:dyDescent="0.25">
      <c r="A1584" s="3">
        <v>1583</v>
      </c>
      <c r="B1584" s="5">
        <f>DATE(Table1[[#This Row],[Year]],Table1[[#This Row],[Month]],Table1[[#This Row],[Day]])</f>
        <v>44928</v>
      </c>
      <c r="C1584" s="3">
        <v>2</v>
      </c>
      <c r="D1584" s="3">
        <v>1</v>
      </c>
      <c r="E1584" s="3">
        <v>2023</v>
      </c>
      <c r="F1584" s="3" t="str">
        <f>"Qtr"&amp; " " &amp;CHOOSE(MONTH(Table1[[#This Row],[Date]]),1,1,1,2,2,2,3,3,3,4,4,4)</f>
        <v>Qtr 1</v>
      </c>
      <c r="G1584" s="3" t="str">
        <f>TEXT(Table1[[#This Row],[Date]],"mmmm")</f>
        <v>January</v>
      </c>
      <c r="H1584" s="3" t="s">
        <v>1081</v>
      </c>
      <c r="I1584" s="3" t="s">
        <v>18</v>
      </c>
      <c r="J1584" s="3">
        <v>4</v>
      </c>
      <c r="K1584" s="3">
        <v>29758.32</v>
      </c>
      <c r="L1584" s="3">
        <f>Table1[[#This Row],[Price Per Unit]]*Table1[[#This Row],[Units Sold]]</f>
        <v>119033.28</v>
      </c>
      <c r="M1584" s="3" t="s">
        <v>115</v>
      </c>
      <c r="N1584" s="3">
        <v>44</v>
      </c>
      <c r="O1584" s="3" t="s">
        <v>52</v>
      </c>
      <c r="P1584" s="3" t="s">
        <v>21</v>
      </c>
      <c r="Q1584" s="4">
        <v>5</v>
      </c>
      <c r="R1584" s="4" t="str">
        <f>IF(Table1[[#This Row],[Customer Ratings]]&gt;=4, "Good",IF(Table1[[#This Row],[Customer Ratings]]=3, "Average","Poor"))</f>
        <v>Good</v>
      </c>
      <c r="S1584" s="3" t="s">
        <v>25</v>
      </c>
    </row>
    <row r="1585" spans="1:19" x14ac:dyDescent="0.25">
      <c r="A1585" s="3">
        <v>1584</v>
      </c>
      <c r="B1585" s="5">
        <f>DATE(Table1[[#This Row],[Year]],Table1[[#This Row],[Month]],Table1[[#This Row],[Day]])</f>
        <v>44928</v>
      </c>
      <c r="C1585" s="3">
        <v>2</v>
      </c>
      <c r="D1585" s="3">
        <v>1</v>
      </c>
      <c r="E1585" s="3">
        <v>2023</v>
      </c>
      <c r="F1585" s="3" t="str">
        <f>"Qtr"&amp; " " &amp;CHOOSE(MONTH(Table1[[#This Row],[Date]]),1,1,1,2,2,2,3,3,3,4,4,4)</f>
        <v>Qtr 1</v>
      </c>
      <c r="G1585" s="3" t="str">
        <f>TEXT(Table1[[#This Row],[Date]],"mmmm")</f>
        <v>January</v>
      </c>
      <c r="H1585" s="3" t="s">
        <v>1081</v>
      </c>
      <c r="I1585" s="3" t="s">
        <v>18</v>
      </c>
      <c r="J1585" s="3">
        <v>2</v>
      </c>
      <c r="K1585" s="3">
        <v>35412.43</v>
      </c>
      <c r="L1585" s="3">
        <f>Table1[[#This Row],[Price Per Unit]]*Table1[[#This Row],[Units Sold]]</f>
        <v>70824.86</v>
      </c>
      <c r="M1585" s="3" t="s">
        <v>346</v>
      </c>
      <c r="N1585" s="3">
        <v>40</v>
      </c>
      <c r="O1585" s="3" t="s">
        <v>137</v>
      </c>
      <c r="P1585" s="3" t="s">
        <v>16</v>
      </c>
      <c r="Q1585" s="4">
        <v>5</v>
      </c>
      <c r="R1585" s="4" t="str">
        <f>IF(Table1[[#This Row],[Customer Ratings]]&gt;=4, "Good",IF(Table1[[#This Row],[Customer Ratings]]=3, "Average","Poor"))</f>
        <v>Good</v>
      </c>
      <c r="S1585" s="3" t="s">
        <v>55</v>
      </c>
    </row>
    <row r="1586" spans="1:19" x14ac:dyDescent="0.25">
      <c r="A1586" s="3">
        <v>1585</v>
      </c>
      <c r="B1586" s="5">
        <f>DATE(Table1[[#This Row],[Year]],Table1[[#This Row],[Month]],Table1[[#This Row],[Day]])</f>
        <v>44928</v>
      </c>
      <c r="C1586" s="3">
        <v>2</v>
      </c>
      <c r="D1586" s="3">
        <v>1</v>
      </c>
      <c r="E1586" s="3">
        <v>2023</v>
      </c>
      <c r="F1586" s="3" t="str">
        <f>"Qtr"&amp; " " &amp;CHOOSE(MONTH(Table1[[#This Row],[Date]]),1,1,1,2,2,2,3,3,3,4,4,4)</f>
        <v>Qtr 1</v>
      </c>
      <c r="G1586" s="3" t="str">
        <f>TEXT(Table1[[#This Row],[Date]],"mmmm")</f>
        <v>January</v>
      </c>
      <c r="H1586" s="3" t="s">
        <v>1081</v>
      </c>
      <c r="I1586" s="3" t="s">
        <v>33</v>
      </c>
      <c r="J1586" s="3">
        <v>5</v>
      </c>
      <c r="K1586" s="3">
        <v>44298.2</v>
      </c>
      <c r="L1586" s="3">
        <f>Table1[[#This Row],[Price Per Unit]]*Table1[[#This Row],[Units Sold]]</f>
        <v>221491</v>
      </c>
      <c r="M1586" s="3" t="s">
        <v>867</v>
      </c>
      <c r="N1586" s="3">
        <v>57</v>
      </c>
      <c r="O1586" s="3" t="s">
        <v>102</v>
      </c>
      <c r="P1586" s="3" t="s">
        <v>21</v>
      </c>
      <c r="Q1586" s="4">
        <v>5</v>
      </c>
      <c r="R1586" s="4" t="str">
        <f>IF(Table1[[#This Row],[Customer Ratings]]&gt;=4, "Good",IF(Table1[[#This Row],[Customer Ratings]]=3, "Average","Poor"))</f>
        <v>Good</v>
      </c>
      <c r="S1586" s="3" t="s">
        <v>46</v>
      </c>
    </row>
    <row r="1587" spans="1:19" x14ac:dyDescent="0.25">
      <c r="A1587" s="3">
        <v>1586</v>
      </c>
      <c r="B1587" s="5">
        <f>DATE(Table1[[#This Row],[Year]],Table1[[#This Row],[Month]],Table1[[#This Row],[Day]])</f>
        <v>44929</v>
      </c>
      <c r="C1587" s="3">
        <v>3</v>
      </c>
      <c r="D1587" s="3">
        <v>1</v>
      </c>
      <c r="E1587" s="3">
        <v>2023</v>
      </c>
      <c r="F1587" s="3" t="str">
        <f>"Qtr"&amp; " " &amp;CHOOSE(MONTH(Table1[[#This Row],[Date]]),1,1,1,2,2,2,3,3,3,4,4,4)</f>
        <v>Qtr 1</v>
      </c>
      <c r="G1587" s="3" t="str">
        <f>TEXT(Table1[[#This Row],[Date]],"mmmm")</f>
        <v>January</v>
      </c>
      <c r="H1587" s="3" t="s">
        <v>1082</v>
      </c>
      <c r="I1587" s="3" t="s">
        <v>39</v>
      </c>
      <c r="J1587" s="3">
        <v>6</v>
      </c>
      <c r="K1587" s="3">
        <v>64172.6</v>
      </c>
      <c r="L1587" s="3">
        <f>Table1[[#This Row],[Price Per Unit]]*Table1[[#This Row],[Units Sold]]</f>
        <v>385035.6</v>
      </c>
      <c r="M1587" s="3" t="s">
        <v>292</v>
      </c>
      <c r="N1587" s="3">
        <v>50</v>
      </c>
      <c r="O1587" s="3" t="s">
        <v>58</v>
      </c>
      <c r="P1587" s="3" t="s">
        <v>21</v>
      </c>
      <c r="Q1587" s="4">
        <v>4</v>
      </c>
      <c r="R1587" s="4" t="str">
        <f>IF(Table1[[#This Row],[Customer Ratings]]&gt;=4, "Good",IF(Table1[[#This Row],[Customer Ratings]]=3, "Average","Poor"))</f>
        <v>Good</v>
      </c>
      <c r="S1587" s="3" t="s">
        <v>76</v>
      </c>
    </row>
    <row r="1588" spans="1:19" x14ac:dyDescent="0.25">
      <c r="A1588" s="3">
        <v>1587</v>
      </c>
      <c r="B1588" s="5">
        <f>DATE(Table1[[#This Row],[Year]],Table1[[#This Row],[Month]],Table1[[#This Row],[Day]])</f>
        <v>44929</v>
      </c>
      <c r="C1588" s="3">
        <v>3</v>
      </c>
      <c r="D1588" s="3">
        <v>1</v>
      </c>
      <c r="E1588" s="3">
        <v>2023</v>
      </c>
      <c r="F1588" s="3" t="str">
        <f>"Qtr"&amp; " " &amp;CHOOSE(MONTH(Table1[[#This Row],[Date]]),1,1,1,2,2,2,3,3,3,4,4,4)</f>
        <v>Qtr 1</v>
      </c>
      <c r="G1588" s="3" t="str">
        <f>TEXT(Table1[[#This Row],[Date]],"mmmm")</f>
        <v>January</v>
      </c>
      <c r="H1588" s="3" t="s">
        <v>1082</v>
      </c>
      <c r="I1588" s="3" t="s">
        <v>28</v>
      </c>
      <c r="J1588" s="3">
        <v>9</v>
      </c>
      <c r="K1588" s="3">
        <v>33669.08</v>
      </c>
      <c r="L1588" s="3">
        <f>Table1[[#This Row],[Price Per Unit]]*Table1[[#This Row],[Units Sold]]</f>
        <v>303021.72000000003</v>
      </c>
      <c r="M1588" s="3" t="s">
        <v>440</v>
      </c>
      <c r="N1588" s="3">
        <v>31</v>
      </c>
      <c r="O1588" s="3" t="s">
        <v>20</v>
      </c>
      <c r="P1588" s="3" t="s">
        <v>16</v>
      </c>
      <c r="Q1588" s="4">
        <v>1</v>
      </c>
      <c r="R1588" s="4" t="str">
        <f>IF(Table1[[#This Row],[Customer Ratings]]&gt;=4, "Good",IF(Table1[[#This Row],[Customer Ratings]]=3, "Average","Poor"))</f>
        <v>Poor</v>
      </c>
      <c r="S1588" s="3" t="s">
        <v>38</v>
      </c>
    </row>
    <row r="1589" spans="1:19" x14ac:dyDescent="0.25">
      <c r="A1589" s="3">
        <v>1588</v>
      </c>
      <c r="B1589" s="5">
        <f>DATE(Table1[[#This Row],[Year]],Table1[[#This Row],[Month]],Table1[[#This Row],[Day]])</f>
        <v>44929</v>
      </c>
      <c r="C1589" s="3">
        <v>3</v>
      </c>
      <c r="D1589" s="3">
        <v>1</v>
      </c>
      <c r="E1589" s="3">
        <v>2023</v>
      </c>
      <c r="F1589" s="3" t="str">
        <f>"Qtr"&amp; " " &amp;CHOOSE(MONTH(Table1[[#This Row],[Date]]),1,1,1,2,2,2,3,3,3,4,4,4)</f>
        <v>Qtr 1</v>
      </c>
      <c r="G1589" s="3" t="str">
        <f>TEXT(Table1[[#This Row],[Date]],"mmmm")</f>
        <v>January</v>
      </c>
      <c r="H1589" s="3" t="s">
        <v>1082</v>
      </c>
      <c r="I1589" s="3" t="s">
        <v>39</v>
      </c>
      <c r="J1589" s="3">
        <v>4</v>
      </c>
      <c r="K1589" s="3">
        <v>68867.87</v>
      </c>
      <c r="L1589" s="3">
        <f>Table1[[#This Row],[Price Per Unit]]*Table1[[#This Row],[Units Sold]]</f>
        <v>275471.48</v>
      </c>
      <c r="M1589" s="3" t="s">
        <v>674</v>
      </c>
      <c r="N1589" s="3">
        <v>40</v>
      </c>
      <c r="O1589" s="3" t="s">
        <v>30</v>
      </c>
      <c r="P1589" s="3" t="s">
        <v>21</v>
      </c>
      <c r="Q1589" s="4">
        <v>5</v>
      </c>
      <c r="R1589" s="4" t="str">
        <f>IF(Table1[[#This Row],[Customer Ratings]]&gt;=4, "Good",IF(Table1[[#This Row],[Customer Ratings]]=3, "Average","Poor"))</f>
        <v>Good</v>
      </c>
      <c r="S1589" s="3" t="s">
        <v>42</v>
      </c>
    </row>
    <row r="1590" spans="1:19" x14ac:dyDescent="0.25">
      <c r="A1590" s="3">
        <v>1589</v>
      </c>
      <c r="B1590" s="5">
        <f>DATE(Table1[[#This Row],[Year]],Table1[[#This Row],[Month]],Table1[[#This Row],[Day]])</f>
        <v>44929</v>
      </c>
      <c r="C1590" s="3">
        <v>3</v>
      </c>
      <c r="D1590" s="3">
        <v>1</v>
      </c>
      <c r="E1590" s="3">
        <v>2023</v>
      </c>
      <c r="F1590" s="3" t="str">
        <f>"Qtr"&amp; " " &amp;CHOOSE(MONTH(Table1[[#This Row],[Date]]),1,1,1,2,2,2,3,3,3,4,4,4)</f>
        <v>Qtr 1</v>
      </c>
      <c r="G1590" s="3" t="str">
        <f>TEXT(Table1[[#This Row],[Date]],"mmmm")</f>
        <v>January</v>
      </c>
      <c r="H1590" s="3" t="s">
        <v>1082</v>
      </c>
      <c r="I1590" s="3" t="s">
        <v>13</v>
      </c>
      <c r="J1590" s="3">
        <v>2</v>
      </c>
      <c r="K1590" s="3">
        <v>55541.68</v>
      </c>
      <c r="L1590" s="3">
        <f>Table1[[#This Row],[Price Per Unit]]*Table1[[#This Row],[Units Sold]]</f>
        <v>111083.36</v>
      </c>
      <c r="M1590" s="3" t="s">
        <v>808</v>
      </c>
      <c r="N1590" s="3">
        <v>48</v>
      </c>
      <c r="O1590" s="3" t="s">
        <v>24</v>
      </c>
      <c r="P1590" s="3" t="s">
        <v>16</v>
      </c>
      <c r="Q1590" s="4">
        <v>4</v>
      </c>
      <c r="R1590" s="4" t="str">
        <f>IF(Table1[[#This Row],[Customer Ratings]]&gt;=4, "Good",IF(Table1[[#This Row],[Customer Ratings]]=3, "Average","Poor"))</f>
        <v>Good</v>
      </c>
      <c r="S1590" s="3" t="s">
        <v>27</v>
      </c>
    </row>
    <row r="1591" spans="1:19" x14ac:dyDescent="0.25">
      <c r="A1591" s="3">
        <v>1590</v>
      </c>
      <c r="B1591" s="5">
        <f>DATE(Table1[[#This Row],[Year]],Table1[[#This Row],[Month]],Table1[[#This Row],[Day]])</f>
        <v>44930</v>
      </c>
      <c r="C1591" s="3">
        <v>4</v>
      </c>
      <c r="D1591" s="3">
        <v>1</v>
      </c>
      <c r="E1591" s="3">
        <v>2023</v>
      </c>
      <c r="F1591" s="3" t="str">
        <f>"Qtr"&amp; " " &amp;CHOOSE(MONTH(Table1[[#This Row],[Date]]),1,1,1,2,2,2,3,3,3,4,4,4)</f>
        <v>Qtr 1</v>
      </c>
      <c r="G1591" s="3" t="str">
        <f>TEXT(Table1[[#This Row],[Date]],"mmmm")</f>
        <v>January</v>
      </c>
      <c r="H1591" s="3" t="s">
        <v>1083</v>
      </c>
      <c r="I1591" s="3" t="s">
        <v>28</v>
      </c>
      <c r="J1591" s="3">
        <v>5</v>
      </c>
      <c r="K1591" s="3">
        <v>40688.86</v>
      </c>
      <c r="L1591" s="3">
        <f>Table1[[#This Row],[Price Per Unit]]*Table1[[#This Row],[Units Sold]]</f>
        <v>203444.3</v>
      </c>
      <c r="M1591" s="3" t="s">
        <v>53</v>
      </c>
      <c r="N1591" s="3">
        <v>30</v>
      </c>
      <c r="O1591" s="3" t="s">
        <v>24</v>
      </c>
      <c r="P1591" s="3" t="s">
        <v>45</v>
      </c>
      <c r="Q1591" s="4">
        <v>1</v>
      </c>
      <c r="R1591" s="4" t="str">
        <f>IF(Table1[[#This Row],[Customer Ratings]]&gt;=4, "Good",IF(Table1[[#This Row],[Customer Ratings]]=3, "Average","Poor"))</f>
        <v>Poor</v>
      </c>
      <c r="S1591" s="3" t="s">
        <v>38</v>
      </c>
    </row>
    <row r="1592" spans="1:19" x14ac:dyDescent="0.25">
      <c r="A1592" s="3">
        <v>1591</v>
      </c>
      <c r="B1592" s="5">
        <f>DATE(Table1[[#This Row],[Year]],Table1[[#This Row],[Month]],Table1[[#This Row],[Day]])</f>
        <v>44930</v>
      </c>
      <c r="C1592" s="3">
        <v>4</v>
      </c>
      <c r="D1592" s="3">
        <v>1</v>
      </c>
      <c r="E1592" s="3">
        <v>2023</v>
      </c>
      <c r="F1592" s="3" t="str">
        <f>"Qtr"&amp; " " &amp;CHOOSE(MONTH(Table1[[#This Row],[Date]]),1,1,1,2,2,2,3,3,3,4,4,4)</f>
        <v>Qtr 1</v>
      </c>
      <c r="G1592" s="3" t="str">
        <f>TEXT(Table1[[#This Row],[Date]],"mmmm")</f>
        <v>January</v>
      </c>
      <c r="H1592" s="3" t="s">
        <v>1083</v>
      </c>
      <c r="I1592" s="3" t="s">
        <v>18</v>
      </c>
      <c r="J1592" s="3">
        <v>3</v>
      </c>
      <c r="K1592" s="3">
        <v>48641.59</v>
      </c>
      <c r="L1592" s="3">
        <f>Table1[[#This Row],[Price Per Unit]]*Table1[[#This Row],[Units Sold]]</f>
        <v>145924.76999999999</v>
      </c>
      <c r="M1592" s="3" t="s">
        <v>565</v>
      </c>
      <c r="N1592" s="3">
        <v>29</v>
      </c>
      <c r="O1592" s="3" t="s">
        <v>20</v>
      </c>
      <c r="P1592" s="3" t="s">
        <v>16</v>
      </c>
      <c r="Q1592" s="4">
        <v>1</v>
      </c>
      <c r="R1592" s="4" t="str">
        <f>IF(Table1[[#This Row],[Customer Ratings]]&gt;=4, "Good",IF(Table1[[#This Row],[Customer Ratings]]=3, "Average","Poor"))</f>
        <v>Poor</v>
      </c>
      <c r="S1592" s="3" t="s">
        <v>25</v>
      </c>
    </row>
    <row r="1593" spans="1:19" x14ac:dyDescent="0.25">
      <c r="A1593" s="3">
        <v>1592</v>
      </c>
      <c r="B1593" s="5">
        <f>DATE(Table1[[#This Row],[Year]],Table1[[#This Row],[Month]],Table1[[#This Row],[Day]])</f>
        <v>44930</v>
      </c>
      <c r="C1593" s="3">
        <v>4</v>
      </c>
      <c r="D1593" s="3">
        <v>1</v>
      </c>
      <c r="E1593" s="3">
        <v>2023</v>
      </c>
      <c r="F1593" s="3" t="str">
        <f>"Qtr"&amp; " " &amp;CHOOSE(MONTH(Table1[[#This Row],[Date]]),1,1,1,2,2,2,3,3,3,4,4,4)</f>
        <v>Qtr 1</v>
      </c>
      <c r="G1593" s="3" t="str">
        <f>TEXT(Table1[[#This Row],[Date]],"mmmm")</f>
        <v>January</v>
      </c>
      <c r="H1593" s="3" t="s">
        <v>1083</v>
      </c>
      <c r="I1593" s="3" t="s">
        <v>28</v>
      </c>
      <c r="J1593" s="3">
        <v>2</v>
      </c>
      <c r="K1593" s="3">
        <v>16133.45</v>
      </c>
      <c r="L1593" s="3">
        <f>Table1[[#This Row],[Price Per Unit]]*Table1[[#This Row],[Units Sold]]</f>
        <v>32266.9</v>
      </c>
      <c r="M1593" s="3" t="s">
        <v>478</v>
      </c>
      <c r="N1593" s="3">
        <v>52</v>
      </c>
      <c r="O1593" s="3" t="s">
        <v>24</v>
      </c>
      <c r="P1593" s="3" t="s">
        <v>16</v>
      </c>
      <c r="Q1593" s="4">
        <v>1</v>
      </c>
      <c r="R1593" s="4" t="str">
        <f>IF(Table1[[#This Row],[Customer Ratings]]&gt;=4, "Good",IF(Table1[[#This Row],[Customer Ratings]]=3, "Average","Poor"))</f>
        <v>Poor</v>
      </c>
      <c r="S1593" s="3" t="s">
        <v>38</v>
      </c>
    </row>
    <row r="1594" spans="1:19" x14ac:dyDescent="0.25">
      <c r="A1594" s="3">
        <v>1593</v>
      </c>
      <c r="B1594" s="5">
        <f>DATE(Table1[[#This Row],[Year]],Table1[[#This Row],[Month]],Table1[[#This Row],[Day]])</f>
        <v>44930</v>
      </c>
      <c r="C1594" s="3">
        <v>4</v>
      </c>
      <c r="D1594" s="3">
        <v>1</v>
      </c>
      <c r="E1594" s="3">
        <v>2023</v>
      </c>
      <c r="F1594" s="3" t="str">
        <f>"Qtr"&amp; " " &amp;CHOOSE(MONTH(Table1[[#This Row],[Date]]),1,1,1,2,2,2,3,3,3,4,4,4)</f>
        <v>Qtr 1</v>
      </c>
      <c r="G1594" s="3" t="str">
        <f>TEXT(Table1[[#This Row],[Date]],"mmmm")</f>
        <v>January</v>
      </c>
      <c r="H1594" s="3" t="s">
        <v>1083</v>
      </c>
      <c r="I1594" s="3" t="s">
        <v>18</v>
      </c>
      <c r="J1594" s="3">
        <v>1</v>
      </c>
      <c r="K1594" s="3">
        <v>60671.29</v>
      </c>
      <c r="L1594" s="3">
        <f>Table1[[#This Row],[Price Per Unit]]*Table1[[#This Row],[Units Sold]]</f>
        <v>60671.29</v>
      </c>
      <c r="M1594" s="3" t="s">
        <v>421</v>
      </c>
      <c r="N1594" s="3">
        <v>35</v>
      </c>
      <c r="O1594" s="3" t="s">
        <v>24</v>
      </c>
      <c r="P1594" s="3" t="s">
        <v>16</v>
      </c>
      <c r="Q1594" s="4">
        <v>3</v>
      </c>
      <c r="R1594" s="4" t="str">
        <f>IF(Table1[[#This Row],[Customer Ratings]]&gt;=4, "Good",IF(Table1[[#This Row],[Customer Ratings]]=3, "Average","Poor"))</f>
        <v>Average</v>
      </c>
      <c r="S1594" s="3" t="s">
        <v>25</v>
      </c>
    </row>
    <row r="1595" spans="1:19" x14ac:dyDescent="0.25">
      <c r="A1595" s="3">
        <v>1594</v>
      </c>
      <c r="B1595" s="5">
        <f>DATE(Table1[[#This Row],[Year]],Table1[[#This Row],[Month]],Table1[[#This Row],[Day]])</f>
        <v>44931</v>
      </c>
      <c r="C1595" s="3">
        <v>5</v>
      </c>
      <c r="D1595" s="3">
        <v>1</v>
      </c>
      <c r="E1595" s="3">
        <v>2023</v>
      </c>
      <c r="F1595" s="3" t="str">
        <f>"Qtr"&amp; " " &amp;CHOOSE(MONTH(Table1[[#This Row],[Date]]),1,1,1,2,2,2,3,3,3,4,4,4)</f>
        <v>Qtr 1</v>
      </c>
      <c r="G1595" s="3" t="str">
        <f>TEXT(Table1[[#This Row],[Date]],"mmmm")</f>
        <v>January</v>
      </c>
      <c r="H1595" s="3" t="s">
        <v>1084</v>
      </c>
      <c r="I1595" s="3" t="s">
        <v>18</v>
      </c>
      <c r="J1595" s="3">
        <v>2</v>
      </c>
      <c r="K1595" s="3">
        <v>44941.45</v>
      </c>
      <c r="L1595" s="3">
        <f>Table1[[#This Row],[Price Per Unit]]*Table1[[#This Row],[Units Sold]]</f>
        <v>89882.9</v>
      </c>
      <c r="M1595" s="3" t="s">
        <v>310</v>
      </c>
      <c r="N1595" s="3">
        <v>38</v>
      </c>
      <c r="O1595" s="3" t="s">
        <v>24</v>
      </c>
      <c r="P1595" s="3" t="s">
        <v>45</v>
      </c>
      <c r="Q1595" s="4">
        <v>1</v>
      </c>
      <c r="R1595" s="4" t="str">
        <f>IF(Table1[[#This Row],[Customer Ratings]]&gt;=4, "Good",IF(Table1[[#This Row],[Customer Ratings]]=3, "Average","Poor"))</f>
        <v>Poor</v>
      </c>
      <c r="S1595" s="3" t="s">
        <v>25</v>
      </c>
    </row>
    <row r="1596" spans="1:19" x14ac:dyDescent="0.25">
      <c r="A1596" s="3">
        <v>1595</v>
      </c>
      <c r="B1596" s="5">
        <f>DATE(Table1[[#This Row],[Year]],Table1[[#This Row],[Month]],Table1[[#This Row],[Day]])</f>
        <v>44931</v>
      </c>
      <c r="C1596" s="3">
        <v>5</v>
      </c>
      <c r="D1596" s="3">
        <v>1</v>
      </c>
      <c r="E1596" s="3">
        <v>2023</v>
      </c>
      <c r="F1596" s="3" t="str">
        <f>"Qtr"&amp; " " &amp;CHOOSE(MONTH(Table1[[#This Row],[Date]]),1,1,1,2,2,2,3,3,3,4,4,4)</f>
        <v>Qtr 1</v>
      </c>
      <c r="G1596" s="3" t="str">
        <f>TEXT(Table1[[#This Row],[Date]],"mmmm")</f>
        <v>January</v>
      </c>
      <c r="H1596" s="3" t="s">
        <v>1084</v>
      </c>
      <c r="I1596" s="3" t="s">
        <v>28</v>
      </c>
      <c r="J1596" s="3">
        <v>6</v>
      </c>
      <c r="K1596" s="3">
        <v>69164.05</v>
      </c>
      <c r="L1596" s="3">
        <f>Table1[[#This Row],[Price Per Unit]]*Table1[[#This Row],[Units Sold]]</f>
        <v>414984.30000000005</v>
      </c>
      <c r="M1596" s="3" t="s">
        <v>602</v>
      </c>
      <c r="N1596" s="3">
        <v>59</v>
      </c>
      <c r="O1596" s="3" t="s">
        <v>52</v>
      </c>
      <c r="P1596" s="3" t="s">
        <v>21</v>
      </c>
      <c r="Q1596" s="4">
        <v>4</v>
      </c>
      <c r="R1596" s="4" t="str">
        <f>IF(Table1[[#This Row],[Customer Ratings]]&gt;=4, "Good",IF(Table1[[#This Row],[Customer Ratings]]=3, "Average","Poor"))</f>
        <v>Good</v>
      </c>
      <c r="S1596" s="3" t="s">
        <v>87</v>
      </c>
    </row>
    <row r="1597" spans="1:19" x14ac:dyDescent="0.25">
      <c r="A1597" s="3">
        <v>1596</v>
      </c>
      <c r="B1597" s="5">
        <f>DATE(Table1[[#This Row],[Year]],Table1[[#This Row],[Month]],Table1[[#This Row],[Day]])</f>
        <v>44931</v>
      </c>
      <c r="C1597" s="3">
        <v>5</v>
      </c>
      <c r="D1597" s="3">
        <v>1</v>
      </c>
      <c r="E1597" s="3">
        <v>2023</v>
      </c>
      <c r="F1597" s="3" t="str">
        <f>"Qtr"&amp; " " &amp;CHOOSE(MONTH(Table1[[#This Row],[Date]]),1,1,1,2,2,2,3,3,3,4,4,4)</f>
        <v>Qtr 1</v>
      </c>
      <c r="G1597" s="3" t="str">
        <f>TEXT(Table1[[#This Row],[Date]],"mmmm")</f>
        <v>January</v>
      </c>
      <c r="H1597" s="3" t="s">
        <v>1084</v>
      </c>
      <c r="I1597" s="3" t="s">
        <v>18</v>
      </c>
      <c r="J1597" s="3">
        <v>8</v>
      </c>
      <c r="K1597" s="3">
        <v>48185.72</v>
      </c>
      <c r="L1597" s="3">
        <f>Table1[[#This Row],[Price Per Unit]]*Table1[[#This Row],[Units Sold]]</f>
        <v>385485.76</v>
      </c>
      <c r="M1597" s="3" t="s">
        <v>438</v>
      </c>
      <c r="N1597" s="3">
        <v>18</v>
      </c>
      <c r="O1597" s="3" t="s">
        <v>120</v>
      </c>
      <c r="P1597" s="3" t="s">
        <v>45</v>
      </c>
      <c r="Q1597" s="4">
        <v>1</v>
      </c>
      <c r="R1597" s="4" t="str">
        <f>IF(Table1[[#This Row],[Customer Ratings]]&gt;=4, "Good",IF(Table1[[#This Row],[Customer Ratings]]=3, "Average","Poor"))</f>
        <v>Poor</v>
      </c>
      <c r="S1597" s="3" t="s">
        <v>55</v>
      </c>
    </row>
    <row r="1598" spans="1:19" x14ac:dyDescent="0.25">
      <c r="A1598" s="3">
        <v>1597</v>
      </c>
      <c r="B1598" s="5">
        <f>DATE(Table1[[#This Row],[Year]],Table1[[#This Row],[Month]],Table1[[#This Row],[Day]])</f>
        <v>44931</v>
      </c>
      <c r="C1598" s="3">
        <v>5</v>
      </c>
      <c r="D1598" s="3">
        <v>1</v>
      </c>
      <c r="E1598" s="3">
        <v>2023</v>
      </c>
      <c r="F1598" s="3" t="str">
        <f>"Qtr"&amp; " " &amp;CHOOSE(MONTH(Table1[[#This Row],[Date]]),1,1,1,2,2,2,3,3,3,4,4,4)</f>
        <v>Qtr 1</v>
      </c>
      <c r="G1598" s="3" t="str">
        <f>TEXT(Table1[[#This Row],[Date]],"mmmm")</f>
        <v>January</v>
      </c>
      <c r="H1598" s="3" t="s">
        <v>1084</v>
      </c>
      <c r="I1598" s="3" t="s">
        <v>18</v>
      </c>
      <c r="J1598" s="3">
        <v>3</v>
      </c>
      <c r="K1598" s="3">
        <v>60046.69</v>
      </c>
      <c r="L1598" s="3">
        <f>Table1[[#This Row],[Price Per Unit]]*Table1[[#This Row],[Units Sold]]</f>
        <v>180140.07</v>
      </c>
      <c r="M1598" s="3" t="s">
        <v>175</v>
      </c>
      <c r="N1598" s="3">
        <v>55</v>
      </c>
      <c r="O1598" s="3" t="s">
        <v>24</v>
      </c>
      <c r="P1598" s="3" t="s">
        <v>21</v>
      </c>
      <c r="Q1598" s="4">
        <v>1</v>
      </c>
      <c r="R1598" s="4" t="str">
        <f>IF(Table1[[#This Row],[Customer Ratings]]&gt;=4, "Good",IF(Table1[[#This Row],[Customer Ratings]]=3, "Average","Poor"))</f>
        <v>Poor</v>
      </c>
      <c r="S1598" s="3" t="s">
        <v>22</v>
      </c>
    </row>
    <row r="1599" spans="1:19" x14ac:dyDescent="0.25">
      <c r="A1599" s="3">
        <v>1598</v>
      </c>
      <c r="B1599" s="5">
        <f>DATE(Table1[[#This Row],[Year]],Table1[[#This Row],[Month]],Table1[[#This Row],[Day]])</f>
        <v>44932</v>
      </c>
      <c r="C1599" s="3">
        <v>6</v>
      </c>
      <c r="D1599" s="3">
        <v>1</v>
      </c>
      <c r="E1599" s="3">
        <v>2023</v>
      </c>
      <c r="F1599" s="3" t="str">
        <f>"Qtr"&amp; " " &amp;CHOOSE(MONTH(Table1[[#This Row],[Date]]),1,1,1,2,2,2,3,3,3,4,4,4)</f>
        <v>Qtr 1</v>
      </c>
      <c r="G1599" s="3" t="str">
        <f>TEXT(Table1[[#This Row],[Date]],"mmmm")</f>
        <v>January</v>
      </c>
      <c r="H1599" s="3" t="s">
        <v>1085</v>
      </c>
      <c r="I1599" s="3" t="s">
        <v>13</v>
      </c>
      <c r="J1599" s="3">
        <v>9</v>
      </c>
      <c r="K1599" s="3">
        <v>57985.760000000002</v>
      </c>
      <c r="L1599" s="3">
        <f>Table1[[#This Row],[Price Per Unit]]*Table1[[#This Row],[Units Sold]]</f>
        <v>521871.84</v>
      </c>
      <c r="M1599" s="3" t="s">
        <v>719</v>
      </c>
      <c r="N1599" s="3">
        <v>58</v>
      </c>
      <c r="O1599" s="3" t="s">
        <v>20</v>
      </c>
      <c r="P1599" s="3" t="s">
        <v>16</v>
      </c>
      <c r="Q1599" s="4">
        <v>4</v>
      </c>
      <c r="R1599" s="4" t="str">
        <f>IF(Table1[[#This Row],[Customer Ratings]]&gt;=4, "Good",IF(Table1[[#This Row],[Customer Ratings]]=3, "Average","Poor"))</f>
        <v>Good</v>
      </c>
      <c r="S1599" s="3" t="s">
        <v>17</v>
      </c>
    </row>
    <row r="1600" spans="1:19" x14ac:dyDescent="0.25">
      <c r="A1600" s="3">
        <v>1599</v>
      </c>
      <c r="B1600" s="5">
        <f>DATE(Table1[[#This Row],[Year]],Table1[[#This Row],[Month]],Table1[[#This Row],[Day]])</f>
        <v>44932</v>
      </c>
      <c r="C1600" s="3">
        <v>6</v>
      </c>
      <c r="D1600" s="3">
        <v>1</v>
      </c>
      <c r="E1600" s="3">
        <v>2023</v>
      </c>
      <c r="F1600" s="3" t="str">
        <f>"Qtr"&amp; " " &amp;CHOOSE(MONTH(Table1[[#This Row],[Date]]),1,1,1,2,2,2,3,3,3,4,4,4)</f>
        <v>Qtr 1</v>
      </c>
      <c r="G1600" s="3" t="str">
        <f>TEXT(Table1[[#This Row],[Date]],"mmmm")</f>
        <v>January</v>
      </c>
      <c r="H1600" s="3" t="s">
        <v>1085</v>
      </c>
      <c r="I1600" s="3" t="s">
        <v>39</v>
      </c>
      <c r="J1600" s="3">
        <v>9</v>
      </c>
      <c r="K1600" s="3">
        <v>30727.67</v>
      </c>
      <c r="L1600" s="3">
        <f>Table1[[#This Row],[Price Per Unit]]*Table1[[#This Row],[Units Sold]]</f>
        <v>276549.02999999997</v>
      </c>
      <c r="M1600" s="3" t="s">
        <v>842</v>
      </c>
      <c r="N1600" s="3">
        <v>59</v>
      </c>
      <c r="O1600" s="3" t="s">
        <v>20</v>
      </c>
      <c r="P1600" s="3" t="s">
        <v>16</v>
      </c>
      <c r="Q1600" s="4">
        <v>5</v>
      </c>
      <c r="R1600" s="4" t="str">
        <f>IF(Table1[[#This Row],[Customer Ratings]]&gt;=4, "Good",IF(Table1[[#This Row],[Customer Ratings]]=3, "Average","Poor"))</f>
        <v>Good</v>
      </c>
      <c r="S1600" s="3" t="s">
        <v>90</v>
      </c>
    </row>
    <row r="1601" spans="1:19" x14ac:dyDescent="0.25">
      <c r="A1601" s="3">
        <v>1600</v>
      </c>
      <c r="B1601" s="5">
        <f>DATE(Table1[[#This Row],[Year]],Table1[[#This Row],[Month]],Table1[[#This Row],[Day]])</f>
        <v>44932</v>
      </c>
      <c r="C1601" s="3">
        <v>6</v>
      </c>
      <c r="D1601" s="3">
        <v>1</v>
      </c>
      <c r="E1601" s="3">
        <v>2023</v>
      </c>
      <c r="F1601" s="3" t="str">
        <f>"Qtr"&amp; " " &amp;CHOOSE(MONTH(Table1[[#This Row],[Date]]),1,1,1,2,2,2,3,3,3,4,4,4)</f>
        <v>Qtr 1</v>
      </c>
      <c r="G1601" s="3" t="str">
        <f>TEXT(Table1[[#This Row],[Date]],"mmmm")</f>
        <v>January</v>
      </c>
      <c r="H1601" s="3" t="s">
        <v>1085</v>
      </c>
      <c r="I1601" s="3" t="s">
        <v>39</v>
      </c>
      <c r="J1601" s="3">
        <v>2</v>
      </c>
      <c r="K1601" s="3">
        <v>25576.639999999999</v>
      </c>
      <c r="L1601" s="3">
        <f>Table1[[#This Row],[Price Per Unit]]*Table1[[#This Row],[Units Sold]]</f>
        <v>51153.279999999999</v>
      </c>
      <c r="M1601" s="3" t="s">
        <v>288</v>
      </c>
      <c r="N1601" s="3">
        <v>26</v>
      </c>
      <c r="O1601" s="3" t="s">
        <v>20</v>
      </c>
      <c r="P1601" s="3" t="s">
        <v>45</v>
      </c>
      <c r="Q1601" s="4">
        <v>1</v>
      </c>
      <c r="R1601" s="4" t="str">
        <f>IF(Table1[[#This Row],[Customer Ratings]]&gt;=4, "Good",IF(Table1[[#This Row],[Customer Ratings]]=3, "Average","Poor"))</f>
        <v>Poor</v>
      </c>
      <c r="S1601" s="3" t="s">
        <v>42</v>
      </c>
    </row>
    <row r="1602" spans="1:19" x14ac:dyDescent="0.25">
      <c r="A1602" s="3">
        <v>1601</v>
      </c>
      <c r="B1602" s="5">
        <f>DATE(Table1[[#This Row],[Year]],Table1[[#This Row],[Month]],Table1[[#This Row],[Day]])</f>
        <v>44933</v>
      </c>
      <c r="C1602" s="3">
        <v>7</v>
      </c>
      <c r="D1602" s="3">
        <v>1</v>
      </c>
      <c r="E1602" s="3">
        <v>2023</v>
      </c>
      <c r="F1602" s="3" t="str">
        <f>"Qtr"&amp; " " &amp;CHOOSE(MONTH(Table1[[#This Row],[Date]]),1,1,1,2,2,2,3,3,3,4,4,4)</f>
        <v>Qtr 1</v>
      </c>
      <c r="G1602" s="3" t="str">
        <f>TEXT(Table1[[#This Row],[Date]],"mmmm")</f>
        <v>January</v>
      </c>
      <c r="H1602" s="3" t="s">
        <v>1079</v>
      </c>
      <c r="I1602" s="3" t="s">
        <v>13</v>
      </c>
      <c r="J1602" s="3">
        <v>8</v>
      </c>
      <c r="K1602" s="3">
        <v>35829.620000000003</v>
      </c>
      <c r="L1602" s="3">
        <f>Table1[[#This Row],[Price Per Unit]]*Table1[[#This Row],[Units Sold]]</f>
        <v>286636.96000000002</v>
      </c>
      <c r="M1602" s="3" t="s">
        <v>412</v>
      </c>
      <c r="N1602" s="3">
        <v>40</v>
      </c>
      <c r="O1602" s="3" t="s">
        <v>30</v>
      </c>
      <c r="P1602" s="3" t="s">
        <v>45</v>
      </c>
      <c r="Q1602" s="4">
        <v>4</v>
      </c>
      <c r="R1602" s="4" t="str">
        <f>IF(Table1[[#This Row],[Customer Ratings]]&gt;=4, "Good",IF(Table1[[#This Row],[Customer Ratings]]=3, "Average","Poor"))</f>
        <v>Good</v>
      </c>
      <c r="S1602" s="3" t="s">
        <v>72</v>
      </c>
    </row>
    <row r="1603" spans="1:19" x14ac:dyDescent="0.25">
      <c r="A1603" s="3">
        <v>1602</v>
      </c>
      <c r="B1603" s="5">
        <f>DATE(Table1[[#This Row],[Year]],Table1[[#This Row],[Month]],Table1[[#This Row],[Day]])</f>
        <v>44933</v>
      </c>
      <c r="C1603" s="3">
        <v>7</v>
      </c>
      <c r="D1603" s="3">
        <v>1</v>
      </c>
      <c r="E1603" s="3">
        <v>2023</v>
      </c>
      <c r="F1603" s="3" t="str">
        <f>"Qtr"&amp; " " &amp;CHOOSE(MONTH(Table1[[#This Row],[Date]]),1,1,1,2,2,2,3,3,3,4,4,4)</f>
        <v>Qtr 1</v>
      </c>
      <c r="G1603" s="3" t="str">
        <f>TEXT(Table1[[#This Row],[Date]],"mmmm")</f>
        <v>January</v>
      </c>
      <c r="H1603" s="3" t="s">
        <v>1079</v>
      </c>
      <c r="I1603" s="3" t="s">
        <v>28</v>
      </c>
      <c r="J1603" s="3">
        <v>5</v>
      </c>
      <c r="K1603" s="3">
        <v>38034.480000000003</v>
      </c>
      <c r="L1603" s="3">
        <f>Table1[[#This Row],[Price Per Unit]]*Table1[[#This Row],[Units Sold]]</f>
        <v>190172.40000000002</v>
      </c>
      <c r="M1603" s="3" t="s">
        <v>834</v>
      </c>
      <c r="N1603" s="3">
        <v>31</v>
      </c>
      <c r="O1603" s="3" t="s">
        <v>20</v>
      </c>
      <c r="P1603" s="3" t="s">
        <v>45</v>
      </c>
      <c r="Q1603" s="4">
        <v>5</v>
      </c>
      <c r="R1603" s="4" t="str">
        <f>IF(Table1[[#This Row],[Customer Ratings]]&gt;=4, "Good",IF(Table1[[#This Row],[Customer Ratings]]=3, "Average","Poor"))</f>
        <v>Good</v>
      </c>
      <c r="S1603" s="3" t="s">
        <v>32</v>
      </c>
    </row>
    <row r="1604" spans="1:19" x14ac:dyDescent="0.25">
      <c r="A1604" s="3">
        <v>1603</v>
      </c>
      <c r="B1604" s="5">
        <f>DATE(Table1[[#This Row],[Year]],Table1[[#This Row],[Month]],Table1[[#This Row],[Day]])</f>
        <v>44933</v>
      </c>
      <c r="C1604" s="3">
        <v>7</v>
      </c>
      <c r="D1604" s="3">
        <v>1</v>
      </c>
      <c r="E1604" s="3">
        <v>2023</v>
      </c>
      <c r="F1604" s="3" t="str">
        <f>"Qtr"&amp; " " &amp;CHOOSE(MONTH(Table1[[#This Row],[Date]]),1,1,1,2,2,2,3,3,3,4,4,4)</f>
        <v>Qtr 1</v>
      </c>
      <c r="G1604" s="3" t="str">
        <f>TEXT(Table1[[#This Row],[Date]],"mmmm")</f>
        <v>January</v>
      </c>
      <c r="H1604" s="3" t="s">
        <v>1079</v>
      </c>
      <c r="I1604" s="3" t="s">
        <v>33</v>
      </c>
      <c r="J1604" s="3">
        <v>4</v>
      </c>
      <c r="K1604" s="3">
        <v>24405.08</v>
      </c>
      <c r="L1604" s="3">
        <f>Table1[[#This Row],[Price Per Unit]]*Table1[[#This Row],[Units Sold]]</f>
        <v>97620.32</v>
      </c>
      <c r="M1604" s="3" t="s">
        <v>424</v>
      </c>
      <c r="N1604" s="3">
        <v>28</v>
      </c>
      <c r="O1604" s="3" t="s">
        <v>48</v>
      </c>
      <c r="P1604" s="3" t="s">
        <v>45</v>
      </c>
      <c r="Q1604" s="4">
        <v>4</v>
      </c>
      <c r="R1604" s="4" t="str">
        <f>IF(Table1[[#This Row],[Customer Ratings]]&gt;=4, "Good",IF(Table1[[#This Row],[Customer Ratings]]=3, "Average","Poor"))</f>
        <v>Good</v>
      </c>
      <c r="S1604" s="3" t="s">
        <v>83</v>
      </c>
    </row>
    <row r="1605" spans="1:19" x14ac:dyDescent="0.25">
      <c r="A1605" s="3">
        <v>1604</v>
      </c>
      <c r="B1605" s="5">
        <f>DATE(Table1[[#This Row],[Year]],Table1[[#This Row],[Month]],Table1[[#This Row],[Day]])</f>
        <v>44934</v>
      </c>
      <c r="C1605" s="3">
        <v>8</v>
      </c>
      <c r="D1605" s="3">
        <v>1</v>
      </c>
      <c r="E1605" s="3">
        <v>2023</v>
      </c>
      <c r="F1605" s="3" t="str">
        <f>"Qtr"&amp; " " &amp;CHOOSE(MONTH(Table1[[#This Row],[Date]]),1,1,1,2,2,2,3,3,3,4,4,4)</f>
        <v>Qtr 1</v>
      </c>
      <c r="G1605" s="3" t="str">
        <f>TEXT(Table1[[#This Row],[Date]],"mmmm")</f>
        <v>January</v>
      </c>
      <c r="H1605" s="3" t="s">
        <v>1080</v>
      </c>
      <c r="I1605" s="3" t="s">
        <v>33</v>
      </c>
      <c r="J1605" s="3">
        <v>5</v>
      </c>
      <c r="K1605" s="3">
        <v>63675.87</v>
      </c>
      <c r="L1605" s="3">
        <f>Table1[[#This Row],[Price Per Unit]]*Table1[[#This Row],[Units Sold]]</f>
        <v>318379.35000000003</v>
      </c>
      <c r="M1605" s="3" t="s">
        <v>868</v>
      </c>
      <c r="N1605" s="3">
        <v>24</v>
      </c>
      <c r="O1605" s="3" t="s">
        <v>120</v>
      </c>
      <c r="P1605" s="3" t="s">
        <v>16</v>
      </c>
      <c r="Q1605" s="4">
        <v>3</v>
      </c>
      <c r="R1605" s="4" t="str">
        <f>IF(Table1[[#This Row],[Customer Ratings]]&gt;=4, "Good",IF(Table1[[#This Row],[Customer Ratings]]=3, "Average","Poor"))</f>
        <v>Average</v>
      </c>
      <c r="S1605" s="3" t="s">
        <v>46</v>
      </c>
    </row>
    <row r="1606" spans="1:19" x14ac:dyDescent="0.25">
      <c r="A1606" s="3">
        <v>1605</v>
      </c>
      <c r="B1606" s="5">
        <f>DATE(Table1[[#This Row],[Year]],Table1[[#This Row],[Month]],Table1[[#This Row],[Day]])</f>
        <v>44934</v>
      </c>
      <c r="C1606" s="3">
        <v>8</v>
      </c>
      <c r="D1606" s="3">
        <v>1</v>
      </c>
      <c r="E1606" s="3">
        <v>2023</v>
      </c>
      <c r="F1606" s="3" t="str">
        <f>"Qtr"&amp; " " &amp;CHOOSE(MONTH(Table1[[#This Row],[Date]]),1,1,1,2,2,2,3,3,3,4,4,4)</f>
        <v>Qtr 1</v>
      </c>
      <c r="G1606" s="3" t="str">
        <f>TEXT(Table1[[#This Row],[Date]],"mmmm")</f>
        <v>January</v>
      </c>
      <c r="H1606" s="3" t="s">
        <v>1080</v>
      </c>
      <c r="I1606" s="3" t="s">
        <v>33</v>
      </c>
      <c r="J1606" s="3">
        <v>4</v>
      </c>
      <c r="K1606" s="3">
        <v>42552.87</v>
      </c>
      <c r="L1606" s="3">
        <f>Table1[[#This Row],[Price Per Unit]]*Table1[[#This Row],[Units Sold]]</f>
        <v>170211.48</v>
      </c>
      <c r="M1606" s="3" t="s">
        <v>869</v>
      </c>
      <c r="N1606" s="3">
        <v>48</v>
      </c>
      <c r="O1606" s="3" t="s">
        <v>20</v>
      </c>
      <c r="P1606" s="3" t="s">
        <v>16</v>
      </c>
      <c r="Q1606" s="4">
        <v>5</v>
      </c>
      <c r="R1606" s="4" t="str">
        <f>IF(Table1[[#This Row],[Customer Ratings]]&gt;=4, "Good",IF(Table1[[#This Row],[Customer Ratings]]=3, "Average","Poor"))</f>
        <v>Good</v>
      </c>
      <c r="S1606" s="3" t="s">
        <v>46</v>
      </c>
    </row>
    <row r="1607" spans="1:19" x14ac:dyDescent="0.25">
      <c r="A1607" s="3">
        <v>1606</v>
      </c>
      <c r="B1607" s="5">
        <f>DATE(Table1[[#This Row],[Year]],Table1[[#This Row],[Month]],Table1[[#This Row],[Day]])</f>
        <v>44934</v>
      </c>
      <c r="C1607" s="3">
        <v>8</v>
      </c>
      <c r="D1607" s="3">
        <v>1</v>
      </c>
      <c r="E1607" s="3">
        <v>2023</v>
      </c>
      <c r="F1607" s="3" t="str">
        <f>"Qtr"&amp; " " &amp;CHOOSE(MONTH(Table1[[#This Row],[Date]]),1,1,1,2,2,2,3,3,3,4,4,4)</f>
        <v>Qtr 1</v>
      </c>
      <c r="G1607" s="3" t="str">
        <f>TEXT(Table1[[#This Row],[Date]],"mmmm")</f>
        <v>January</v>
      </c>
      <c r="H1607" s="3" t="s">
        <v>1080</v>
      </c>
      <c r="I1607" s="3" t="s">
        <v>13</v>
      </c>
      <c r="J1607" s="3">
        <v>8</v>
      </c>
      <c r="K1607" s="3">
        <v>68706.66</v>
      </c>
      <c r="L1607" s="3">
        <f>Table1[[#This Row],[Price Per Unit]]*Table1[[#This Row],[Units Sold]]</f>
        <v>549653.28</v>
      </c>
      <c r="M1607" s="3" t="s">
        <v>854</v>
      </c>
      <c r="N1607" s="3">
        <v>41</v>
      </c>
      <c r="O1607" s="3" t="s">
        <v>48</v>
      </c>
      <c r="P1607" s="3" t="s">
        <v>31</v>
      </c>
      <c r="Q1607" s="4">
        <v>5</v>
      </c>
      <c r="R1607" s="4" t="str">
        <f>IF(Table1[[#This Row],[Customer Ratings]]&gt;=4, "Good",IF(Table1[[#This Row],[Customer Ratings]]=3, "Average","Poor"))</f>
        <v>Good</v>
      </c>
      <c r="S1607" s="3" t="s">
        <v>17</v>
      </c>
    </row>
    <row r="1608" spans="1:19" x14ac:dyDescent="0.25">
      <c r="A1608" s="3">
        <v>1607</v>
      </c>
      <c r="B1608" s="5">
        <f>DATE(Table1[[#This Row],[Year]],Table1[[#This Row],[Month]],Table1[[#This Row],[Day]])</f>
        <v>44934</v>
      </c>
      <c r="C1608" s="3">
        <v>8</v>
      </c>
      <c r="D1608" s="3">
        <v>1</v>
      </c>
      <c r="E1608" s="3">
        <v>2023</v>
      </c>
      <c r="F1608" s="3" t="str">
        <f>"Qtr"&amp; " " &amp;CHOOSE(MONTH(Table1[[#This Row],[Date]]),1,1,1,2,2,2,3,3,3,4,4,4)</f>
        <v>Qtr 1</v>
      </c>
      <c r="G1608" s="3" t="str">
        <f>TEXT(Table1[[#This Row],[Date]],"mmmm")</f>
        <v>January</v>
      </c>
      <c r="H1608" s="3" t="s">
        <v>1080</v>
      </c>
      <c r="I1608" s="3" t="s">
        <v>13</v>
      </c>
      <c r="J1608" s="3">
        <v>4</v>
      </c>
      <c r="K1608" s="3">
        <v>58601.07</v>
      </c>
      <c r="L1608" s="3">
        <f>Table1[[#This Row],[Price Per Unit]]*Table1[[#This Row],[Units Sold]]</f>
        <v>234404.28</v>
      </c>
      <c r="M1608" s="3" t="s">
        <v>103</v>
      </c>
      <c r="N1608" s="3">
        <v>43</v>
      </c>
      <c r="O1608" s="3" t="s">
        <v>35</v>
      </c>
      <c r="P1608" s="3" t="s">
        <v>45</v>
      </c>
      <c r="Q1608" s="4">
        <v>5</v>
      </c>
      <c r="R1608" s="4" t="str">
        <f>IF(Table1[[#This Row],[Customer Ratings]]&gt;=4, "Good",IF(Table1[[#This Row],[Customer Ratings]]=3, "Average","Poor"))</f>
        <v>Good</v>
      </c>
      <c r="S1608" s="3" t="s">
        <v>17</v>
      </c>
    </row>
    <row r="1609" spans="1:19" x14ac:dyDescent="0.25">
      <c r="A1609" s="3">
        <v>1608</v>
      </c>
      <c r="B1609" s="5">
        <f>DATE(Table1[[#This Row],[Year]],Table1[[#This Row],[Month]],Table1[[#This Row],[Day]])</f>
        <v>44935</v>
      </c>
      <c r="C1609" s="3">
        <v>9</v>
      </c>
      <c r="D1609" s="3">
        <v>1</v>
      </c>
      <c r="E1609" s="3">
        <v>2023</v>
      </c>
      <c r="F1609" s="3" t="str">
        <f>"Qtr"&amp; " " &amp;CHOOSE(MONTH(Table1[[#This Row],[Date]]),1,1,1,2,2,2,3,3,3,4,4,4)</f>
        <v>Qtr 1</v>
      </c>
      <c r="G1609" s="3" t="str">
        <f>TEXT(Table1[[#This Row],[Date]],"mmmm")</f>
        <v>January</v>
      </c>
      <c r="H1609" s="3" t="s">
        <v>1081</v>
      </c>
      <c r="I1609" s="3" t="s">
        <v>18</v>
      </c>
      <c r="J1609" s="3">
        <v>6</v>
      </c>
      <c r="K1609" s="3">
        <v>43342.29</v>
      </c>
      <c r="L1609" s="3">
        <f>Table1[[#This Row],[Price Per Unit]]*Table1[[#This Row],[Units Sold]]</f>
        <v>260053.74</v>
      </c>
      <c r="M1609" s="3" t="s">
        <v>216</v>
      </c>
      <c r="N1609" s="3">
        <v>47</v>
      </c>
      <c r="O1609" s="3" t="s">
        <v>20</v>
      </c>
      <c r="P1609" s="3" t="s">
        <v>45</v>
      </c>
      <c r="Q1609" s="4">
        <v>4</v>
      </c>
      <c r="R1609" s="4" t="str">
        <f>IF(Table1[[#This Row],[Customer Ratings]]&gt;=4, "Good",IF(Table1[[#This Row],[Customer Ratings]]=3, "Average","Poor"))</f>
        <v>Good</v>
      </c>
      <c r="S1609" s="3" t="s">
        <v>25</v>
      </c>
    </row>
    <row r="1610" spans="1:19" x14ac:dyDescent="0.25">
      <c r="A1610" s="3">
        <v>1609</v>
      </c>
      <c r="B1610" s="5">
        <f>DATE(Table1[[#This Row],[Year]],Table1[[#This Row],[Month]],Table1[[#This Row],[Day]])</f>
        <v>44935</v>
      </c>
      <c r="C1610" s="3">
        <v>9</v>
      </c>
      <c r="D1610" s="3">
        <v>1</v>
      </c>
      <c r="E1610" s="3">
        <v>2023</v>
      </c>
      <c r="F1610" s="3" t="str">
        <f>"Qtr"&amp; " " &amp;CHOOSE(MONTH(Table1[[#This Row],[Date]]),1,1,1,2,2,2,3,3,3,4,4,4)</f>
        <v>Qtr 1</v>
      </c>
      <c r="G1610" s="3" t="str">
        <f>TEXT(Table1[[#This Row],[Date]],"mmmm")</f>
        <v>January</v>
      </c>
      <c r="H1610" s="3" t="s">
        <v>1081</v>
      </c>
      <c r="I1610" s="3" t="s">
        <v>33</v>
      </c>
      <c r="J1610" s="3">
        <v>2</v>
      </c>
      <c r="K1610" s="3">
        <v>66822.42</v>
      </c>
      <c r="L1610" s="3">
        <f>Table1[[#This Row],[Price Per Unit]]*Table1[[#This Row],[Units Sold]]</f>
        <v>133644.84</v>
      </c>
      <c r="M1610" s="3" t="s">
        <v>557</v>
      </c>
      <c r="N1610" s="3">
        <v>51</v>
      </c>
      <c r="O1610" s="3" t="s">
        <v>81</v>
      </c>
      <c r="P1610" s="3" t="s">
        <v>21</v>
      </c>
      <c r="Q1610" s="4">
        <v>4</v>
      </c>
      <c r="R1610" s="4" t="str">
        <f>IF(Table1[[#This Row],[Customer Ratings]]&gt;=4, "Good",IF(Table1[[#This Row],[Customer Ratings]]=3, "Average","Poor"))</f>
        <v>Good</v>
      </c>
      <c r="S1610" s="3" t="s">
        <v>36</v>
      </c>
    </row>
    <row r="1611" spans="1:19" x14ac:dyDescent="0.25">
      <c r="A1611" s="3">
        <v>1610</v>
      </c>
      <c r="B1611" s="5">
        <f>DATE(Table1[[#This Row],[Year]],Table1[[#This Row],[Month]],Table1[[#This Row],[Day]])</f>
        <v>44935</v>
      </c>
      <c r="C1611" s="3">
        <v>9</v>
      </c>
      <c r="D1611" s="3">
        <v>1</v>
      </c>
      <c r="E1611" s="3">
        <v>2023</v>
      </c>
      <c r="F1611" s="3" t="str">
        <f>"Qtr"&amp; " " &amp;CHOOSE(MONTH(Table1[[#This Row],[Date]]),1,1,1,2,2,2,3,3,3,4,4,4)</f>
        <v>Qtr 1</v>
      </c>
      <c r="G1611" s="3" t="str">
        <f>TEXT(Table1[[#This Row],[Date]],"mmmm")</f>
        <v>January</v>
      </c>
      <c r="H1611" s="3" t="s">
        <v>1081</v>
      </c>
      <c r="I1611" s="3" t="s">
        <v>28</v>
      </c>
      <c r="J1611" s="3">
        <v>5</v>
      </c>
      <c r="K1611" s="3">
        <v>40292.49</v>
      </c>
      <c r="L1611" s="3">
        <f>Table1[[#This Row],[Price Per Unit]]*Table1[[#This Row],[Units Sold]]</f>
        <v>201462.44999999998</v>
      </c>
      <c r="M1611" s="3" t="s">
        <v>601</v>
      </c>
      <c r="N1611" s="3">
        <v>55</v>
      </c>
      <c r="O1611" s="3" t="s">
        <v>30</v>
      </c>
      <c r="P1611" s="3" t="s">
        <v>21</v>
      </c>
      <c r="Q1611" s="4">
        <v>1</v>
      </c>
      <c r="R1611" s="4" t="str">
        <f>IF(Table1[[#This Row],[Customer Ratings]]&gt;=4, "Good",IF(Table1[[#This Row],[Customer Ratings]]=3, "Average","Poor"))</f>
        <v>Poor</v>
      </c>
      <c r="S1611" s="3" t="s">
        <v>38</v>
      </c>
    </row>
    <row r="1612" spans="1:19" x14ac:dyDescent="0.25">
      <c r="A1612" s="3">
        <v>1611</v>
      </c>
      <c r="B1612" s="5">
        <f>DATE(Table1[[#This Row],[Year]],Table1[[#This Row],[Month]],Table1[[#This Row],[Day]])</f>
        <v>44935</v>
      </c>
      <c r="C1612" s="3">
        <v>9</v>
      </c>
      <c r="D1612" s="3">
        <v>1</v>
      </c>
      <c r="E1612" s="3">
        <v>2023</v>
      </c>
      <c r="F1612" s="3" t="str">
        <f>"Qtr"&amp; " " &amp;CHOOSE(MONTH(Table1[[#This Row],[Date]]),1,1,1,2,2,2,3,3,3,4,4,4)</f>
        <v>Qtr 1</v>
      </c>
      <c r="G1612" s="3" t="str">
        <f>TEXT(Table1[[#This Row],[Date]],"mmmm")</f>
        <v>January</v>
      </c>
      <c r="H1612" s="3" t="s">
        <v>1081</v>
      </c>
      <c r="I1612" s="3" t="s">
        <v>28</v>
      </c>
      <c r="J1612" s="3">
        <v>6</v>
      </c>
      <c r="K1612" s="3">
        <v>63226.39</v>
      </c>
      <c r="L1612" s="3">
        <f>Table1[[#This Row],[Price Per Unit]]*Table1[[#This Row],[Units Sold]]</f>
        <v>379358.33999999997</v>
      </c>
      <c r="M1612" s="3" t="s">
        <v>870</v>
      </c>
      <c r="N1612" s="3">
        <v>22</v>
      </c>
      <c r="O1612" s="3" t="s">
        <v>20</v>
      </c>
      <c r="P1612" s="3" t="s">
        <v>16</v>
      </c>
      <c r="Q1612" s="4">
        <v>1</v>
      </c>
      <c r="R1612" s="4" t="str">
        <f>IF(Table1[[#This Row],[Customer Ratings]]&gt;=4, "Good",IF(Table1[[#This Row],[Customer Ratings]]=3, "Average","Poor"))</f>
        <v>Poor</v>
      </c>
      <c r="S1612" s="3" t="s">
        <v>32</v>
      </c>
    </row>
    <row r="1613" spans="1:19" x14ac:dyDescent="0.25">
      <c r="A1613" s="3">
        <v>1612</v>
      </c>
      <c r="B1613" s="5">
        <f>DATE(Table1[[#This Row],[Year]],Table1[[#This Row],[Month]],Table1[[#This Row],[Day]])</f>
        <v>44936</v>
      </c>
      <c r="C1613" s="3">
        <v>10</v>
      </c>
      <c r="D1613" s="3">
        <v>1</v>
      </c>
      <c r="E1613" s="3">
        <v>2023</v>
      </c>
      <c r="F1613" s="3" t="str">
        <f>"Qtr"&amp; " " &amp;CHOOSE(MONTH(Table1[[#This Row],[Date]]),1,1,1,2,2,2,3,3,3,4,4,4)</f>
        <v>Qtr 1</v>
      </c>
      <c r="G1613" s="3" t="str">
        <f>TEXT(Table1[[#This Row],[Date]],"mmmm")</f>
        <v>January</v>
      </c>
      <c r="H1613" s="3" t="s">
        <v>1082</v>
      </c>
      <c r="I1613" s="3" t="s">
        <v>33</v>
      </c>
      <c r="J1613" s="3">
        <v>5</v>
      </c>
      <c r="K1613" s="3">
        <v>31488.69</v>
      </c>
      <c r="L1613" s="3">
        <f>Table1[[#This Row],[Price Per Unit]]*Table1[[#This Row],[Units Sold]]</f>
        <v>157443.44999999998</v>
      </c>
      <c r="M1613" s="3" t="s">
        <v>775</v>
      </c>
      <c r="N1613" s="3">
        <v>22</v>
      </c>
      <c r="O1613" s="3" t="s">
        <v>65</v>
      </c>
      <c r="P1613" s="3" t="s">
        <v>31</v>
      </c>
      <c r="Q1613" s="4">
        <v>3</v>
      </c>
      <c r="R1613" s="4" t="str">
        <f>IF(Table1[[#This Row],[Customer Ratings]]&gt;=4, "Good",IF(Table1[[#This Row],[Customer Ratings]]=3, "Average","Poor"))</f>
        <v>Average</v>
      </c>
      <c r="S1613" s="3" t="s">
        <v>83</v>
      </c>
    </row>
    <row r="1614" spans="1:19" x14ac:dyDescent="0.25">
      <c r="A1614" s="3">
        <v>1613</v>
      </c>
      <c r="B1614" s="5">
        <f>DATE(Table1[[#This Row],[Year]],Table1[[#This Row],[Month]],Table1[[#This Row],[Day]])</f>
        <v>44936</v>
      </c>
      <c r="C1614" s="3">
        <v>10</v>
      </c>
      <c r="D1614" s="3">
        <v>1</v>
      </c>
      <c r="E1614" s="3">
        <v>2023</v>
      </c>
      <c r="F1614" s="3" t="str">
        <f>"Qtr"&amp; " " &amp;CHOOSE(MONTH(Table1[[#This Row],[Date]]),1,1,1,2,2,2,3,3,3,4,4,4)</f>
        <v>Qtr 1</v>
      </c>
      <c r="G1614" s="3" t="str">
        <f>TEXT(Table1[[#This Row],[Date]],"mmmm")</f>
        <v>January</v>
      </c>
      <c r="H1614" s="3" t="s">
        <v>1082</v>
      </c>
      <c r="I1614" s="3" t="s">
        <v>33</v>
      </c>
      <c r="J1614" s="3">
        <v>2</v>
      </c>
      <c r="K1614" s="3">
        <v>32718.54</v>
      </c>
      <c r="L1614" s="3">
        <f>Table1[[#This Row],[Price Per Unit]]*Table1[[#This Row],[Units Sold]]</f>
        <v>65437.08</v>
      </c>
      <c r="M1614" s="3" t="s">
        <v>871</v>
      </c>
      <c r="N1614" s="3">
        <v>36</v>
      </c>
      <c r="O1614" s="3" t="s">
        <v>24</v>
      </c>
      <c r="P1614" s="3" t="s">
        <v>45</v>
      </c>
      <c r="Q1614" s="4">
        <v>1</v>
      </c>
      <c r="R1614" s="4" t="str">
        <f>IF(Table1[[#This Row],[Customer Ratings]]&gt;=4, "Good",IF(Table1[[#This Row],[Customer Ratings]]=3, "Average","Poor"))</f>
        <v>Poor</v>
      </c>
      <c r="S1614" s="3" t="s">
        <v>83</v>
      </c>
    </row>
    <row r="1615" spans="1:19" x14ac:dyDescent="0.25">
      <c r="A1615" s="3">
        <v>1614</v>
      </c>
      <c r="B1615" s="5">
        <f>DATE(Table1[[#This Row],[Year]],Table1[[#This Row],[Month]],Table1[[#This Row],[Day]])</f>
        <v>44936</v>
      </c>
      <c r="C1615" s="3">
        <v>10</v>
      </c>
      <c r="D1615" s="3">
        <v>1</v>
      </c>
      <c r="E1615" s="3">
        <v>2023</v>
      </c>
      <c r="F1615" s="3" t="str">
        <f>"Qtr"&amp; " " &amp;CHOOSE(MONTH(Table1[[#This Row],[Date]]),1,1,1,2,2,2,3,3,3,4,4,4)</f>
        <v>Qtr 1</v>
      </c>
      <c r="G1615" s="3" t="str">
        <f>TEXT(Table1[[#This Row],[Date]],"mmmm")</f>
        <v>January</v>
      </c>
      <c r="H1615" s="3" t="s">
        <v>1082</v>
      </c>
      <c r="I1615" s="3" t="s">
        <v>33</v>
      </c>
      <c r="J1615" s="3">
        <v>7</v>
      </c>
      <c r="K1615" s="3">
        <v>35087.839999999997</v>
      </c>
      <c r="L1615" s="3">
        <f>Table1[[#This Row],[Price Per Unit]]*Table1[[#This Row],[Units Sold]]</f>
        <v>245614.87999999998</v>
      </c>
      <c r="M1615" s="3" t="s">
        <v>872</v>
      </c>
      <c r="N1615" s="3">
        <v>55</v>
      </c>
      <c r="O1615" s="3" t="s">
        <v>105</v>
      </c>
      <c r="P1615" s="3" t="s">
        <v>31</v>
      </c>
      <c r="Q1615" s="4">
        <v>4</v>
      </c>
      <c r="R1615" s="4" t="str">
        <f>IF(Table1[[#This Row],[Customer Ratings]]&gt;=4, "Good",IF(Table1[[#This Row],[Customer Ratings]]=3, "Average","Poor"))</f>
        <v>Good</v>
      </c>
      <c r="S1615" s="3" t="s">
        <v>46</v>
      </c>
    </row>
    <row r="1616" spans="1:19" x14ac:dyDescent="0.25">
      <c r="A1616" s="3">
        <v>1615</v>
      </c>
      <c r="B1616" s="5">
        <f>DATE(Table1[[#This Row],[Year]],Table1[[#This Row],[Month]],Table1[[#This Row],[Day]])</f>
        <v>44937</v>
      </c>
      <c r="C1616" s="3">
        <v>11</v>
      </c>
      <c r="D1616" s="3">
        <v>1</v>
      </c>
      <c r="E1616" s="3">
        <v>2023</v>
      </c>
      <c r="F1616" s="3" t="str">
        <f>"Qtr"&amp; " " &amp;CHOOSE(MONTH(Table1[[#This Row],[Date]]),1,1,1,2,2,2,3,3,3,4,4,4)</f>
        <v>Qtr 1</v>
      </c>
      <c r="G1616" s="3" t="str">
        <f>TEXT(Table1[[#This Row],[Date]],"mmmm")</f>
        <v>January</v>
      </c>
      <c r="H1616" s="3" t="s">
        <v>1083</v>
      </c>
      <c r="I1616" s="3" t="s">
        <v>13</v>
      </c>
      <c r="J1616" s="3">
        <v>4</v>
      </c>
      <c r="K1616" s="3">
        <v>42797.54</v>
      </c>
      <c r="L1616" s="3">
        <f>Table1[[#This Row],[Price Per Unit]]*Table1[[#This Row],[Units Sold]]</f>
        <v>171190.16</v>
      </c>
      <c r="M1616" s="3" t="s">
        <v>873</v>
      </c>
      <c r="N1616" s="3">
        <v>45</v>
      </c>
      <c r="O1616" s="3" t="s">
        <v>20</v>
      </c>
      <c r="P1616" s="3" t="s">
        <v>31</v>
      </c>
      <c r="Q1616" s="4">
        <v>4</v>
      </c>
      <c r="R1616" s="4" t="str">
        <f>IF(Table1[[#This Row],[Customer Ratings]]&gt;=4, "Good",IF(Table1[[#This Row],[Customer Ratings]]=3, "Average","Poor"))</f>
        <v>Good</v>
      </c>
      <c r="S1616" s="3" t="s">
        <v>72</v>
      </c>
    </row>
    <row r="1617" spans="1:19" x14ac:dyDescent="0.25">
      <c r="A1617" s="3">
        <v>1616</v>
      </c>
      <c r="B1617" s="5">
        <f>DATE(Table1[[#This Row],[Year]],Table1[[#This Row],[Month]],Table1[[#This Row],[Day]])</f>
        <v>44937</v>
      </c>
      <c r="C1617" s="3">
        <v>11</v>
      </c>
      <c r="D1617" s="3">
        <v>1</v>
      </c>
      <c r="E1617" s="3">
        <v>2023</v>
      </c>
      <c r="F1617" s="3" t="str">
        <f>"Qtr"&amp; " " &amp;CHOOSE(MONTH(Table1[[#This Row],[Date]]),1,1,1,2,2,2,3,3,3,4,4,4)</f>
        <v>Qtr 1</v>
      </c>
      <c r="G1617" s="3" t="str">
        <f>TEXT(Table1[[#This Row],[Date]],"mmmm")</f>
        <v>January</v>
      </c>
      <c r="H1617" s="3" t="s">
        <v>1083</v>
      </c>
      <c r="I1617" s="3" t="s">
        <v>13</v>
      </c>
      <c r="J1617" s="3">
        <v>8</v>
      </c>
      <c r="K1617" s="3">
        <v>43209.42</v>
      </c>
      <c r="L1617" s="3">
        <f>Table1[[#This Row],[Price Per Unit]]*Table1[[#This Row],[Units Sold]]</f>
        <v>345675.36</v>
      </c>
      <c r="M1617" s="3" t="s">
        <v>647</v>
      </c>
      <c r="N1617" s="3">
        <v>43</v>
      </c>
      <c r="O1617" s="3" t="s">
        <v>24</v>
      </c>
      <c r="P1617" s="3" t="s">
        <v>16</v>
      </c>
      <c r="Q1617" s="4">
        <v>1</v>
      </c>
      <c r="R1617" s="4" t="str">
        <f>IF(Table1[[#This Row],[Customer Ratings]]&gt;=4, "Good",IF(Table1[[#This Row],[Customer Ratings]]=3, "Average","Poor"))</f>
        <v>Poor</v>
      </c>
      <c r="S1617" s="3" t="s">
        <v>27</v>
      </c>
    </row>
    <row r="1618" spans="1:19" x14ac:dyDescent="0.25">
      <c r="A1618" s="3">
        <v>1617</v>
      </c>
      <c r="B1618" s="5">
        <f>DATE(Table1[[#This Row],[Year]],Table1[[#This Row],[Month]],Table1[[#This Row],[Day]])</f>
        <v>44937</v>
      </c>
      <c r="C1618" s="3">
        <v>11</v>
      </c>
      <c r="D1618" s="3">
        <v>1</v>
      </c>
      <c r="E1618" s="3">
        <v>2023</v>
      </c>
      <c r="F1618" s="3" t="str">
        <f>"Qtr"&amp; " " &amp;CHOOSE(MONTH(Table1[[#This Row],[Date]]),1,1,1,2,2,2,3,3,3,4,4,4)</f>
        <v>Qtr 1</v>
      </c>
      <c r="G1618" s="3" t="str">
        <f>TEXT(Table1[[#This Row],[Date]],"mmmm")</f>
        <v>January</v>
      </c>
      <c r="H1618" s="3" t="s">
        <v>1083</v>
      </c>
      <c r="I1618" s="3" t="s">
        <v>13</v>
      </c>
      <c r="J1618" s="3">
        <v>7</v>
      </c>
      <c r="K1618" s="3">
        <v>39783.94</v>
      </c>
      <c r="L1618" s="3">
        <f>Table1[[#This Row],[Price Per Unit]]*Table1[[#This Row],[Units Sold]]</f>
        <v>278487.58</v>
      </c>
      <c r="M1618" s="3" t="s">
        <v>812</v>
      </c>
      <c r="N1618" s="3">
        <v>59</v>
      </c>
      <c r="O1618" s="3" t="s">
        <v>30</v>
      </c>
      <c r="P1618" s="3" t="s">
        <v>31</v>
      </c>
      <c r="Q1618" s="4">
        <v>3</v>
      </c>
      <c r="R1618" s="4" t="str">
        <f>IF(Table1[[#This Row],[Customer Ratings]]&gt;=4, "Good",IF(Table1[[#This Row],[Customer Ratings]]=3, "Average","Poor"))</f>
        <v>Average</v>
      </c>
      <c r="S1618" s="3" t="s">
        <v>17</v>
      </c>
    </row>
    <row r="1619" spans="1:19" x14ac:dyDescent="0.25">
      <c r="A1619" s="3">
        <v>1618</v>
      </c>
      <c r="B1619" s="5">
        <f>DATE(Table1[[#This Row],[Year]],Table1[[#This Row],[Month]],Table1[[#This Row],[Day]])</f>
        <v>44938</v>
      </c>
      <c r="C1619" s="3">
        <v>12</v>
      </c>
      <c r="D1619" s="3">
        <v>1</v>
      </c>
      <c r="E1619" s="3">
        <v>2023</v>
      </c>
      <c r="F1619" s="3" t="str">
        <f>"Qtr"&amp; " " &amp;CHOOSE(MONTH(Table1[[#This Row],[Date]]),1,1,1,2,2,2,3,3,3,4,4,4)</f>
        <v>Qtr 1</v>
      </c>
      <c r="G1619" s="3" t="str">
        <f>TEXT(Table1[[#This Row],[Date]],"mmmm")</f>
        <v>January</v>
      </c>
      <c r="H1619" s="3" t="s">
        <v>1084</v>
      </c>
      <c r="I1619" s="3" t="s">
        <v>39</v>
      </c>
      <c r="J1619" s="3">
        <v>7</v>
      </c>
      <c r="K1619" s="3">
        <v>28360.06</v>
      </c>
      <c r="L1619" s="3">
        <f>Table1[[#This Row],[Price Per Unit]]*Table1[[#This Row],[Units Sold]]</f>
        <v>198520.42</v>
      </c>
      <c r="M1619" s="3" t="s">
        <v>640</v>
      </c>
      <c r="N1619" s="3">
        <v>40</v>
      </c>
      <c r="O1619" s="3" t="s">
        <v>98</v>
      </c>
      <c r="P1619" s="3" t="s">
        <v>45</v>
      </c>
      <c r="Q1619" s="4">
        <v>4</v>
      </c>
      <c r="R1619" s="4" t="str">
        <f>IF(Table1[[#This Row],[Customer Ratings]]&gt;=4, "Good",IF(Table1[[#This Row],[Customer Ratings]]=3, "Average","Poor"))</f>
        <v>Good</v>
      </c>
      <c r="S1619" s="3" t="s">
        <v>42</v>
      </c>
    </row>
    <row r="1620" spans="1:19" x14ac:dyDescent="0.25">
      <c r="A1620" s="3">
        <v>1619</v>
      </c>
      <c r="B1620" s="5">
        <f>DATE(Table1[[#This Row],[Year]],Table1[[#This Row],[Month]],Table1[[#This Row],[Day]])</f>
        <v>44938</v>
      </c>
      <c r="C1620" s="3">
        <v>12</v>
      </c>
      <c r="D1620" s="3">
        <v>1</v>
      </c>
      <c r="E1620" s="3">
        <v>2023</v>
      </c>
      <c r="F1620" s="3" t="str">
        <f>"Qtr"&amp; " " &amp;CHOOSE(MONTH(Table1[[#This Row],[Date]]),1,1,1,2,2,2,3,3,3,4,4,4)</f>
        <v>Qtr 1</v>
      </c>
      <c r="G1620" s="3" t="str">
        <f>TEXT(Table1[[#This Row],[Date]],"mmmm")</f>
        <v>January</v>
      </c>
      <c r="H1620" s="3" t="s">
        <v>1084</v>
      </c>
      <c r="I1620" s="3" t="s">
        <v>28</v>
      </c>
      <c r="J1620" s="3">
        <v>9</v>
      </c>
      <c r="K1620" s="3">
        <v>65632.39</v>
      </c>
      <c r="L1620" s="3">
        <f>Table1[[#This Row],[Price Per Unit]]*Table1[[#This Row],[Units Sold]]</f>
        <v>590691.51</v>
      </c>
      <c r="M1620" s="3" t="s">
        <v>874</v>
      </c>
      <c r="N1620" s="3">
        <v>47</v>
      </c>
      <c r="O1620" s="3" t="s">
        <v>20</v>
      </c>
      <c r="P1620" s="3" t="s">
        <v>16</v>
      </c>
      <c r="Q1620" s="4">
        <v>3</v>
      </c>
      <c r="R1620" s="4" t="str">
        <f>IF(Table1[[#This Row],[Customer Ratings]]&gt;=4, "Good",IF(Table1[[#This Row],[Customer Ratings]]=3, "Average","Poor"))</f>
        <v>Average</v>
      </c>
      <c r="S1620" s="3" t="s">
        <v>38</v>
      </c>
    </row>
    <row r="1621" spans="1:19" x14ac:dyDescent="0.25">
      <c r="A1621" s="3">
        <v>1620</v>
      </c>
      <c r="B1621" s="5">
        <f>DATE(Table1[[#This Row],[Year]],Table1[[#This Row],[Month]],Table1[[#This Row],[Day]])</f>
        <v>44938</v>
      </c>
      <c r="C1621" s="3">
        <v>12</v>
      </c>
      <c r="D1621" s="3">
        <v>1</v>
      </c>
      <c r="E1621" s="3">
        <v>2023</v>
      </c>
      <c r="F1621" s="3" t="str">
        <f>"Qtr"&amp; " " &amp;CHOOSE(MONTH(Table1[[#This Row],[Date]]),1,1,1,2,2,2,3,3,3,4,4,4)</f>
        <v>Qtr 1</v>
      </c>
      <c r="G1621" s="3" t="str">
        <f>TEXT(Table1[[#This Row],[Date]],"mmmm")</f>
        <v>January</v>
      </c>
      <c r="H1621" s="3" t="s">
        <v>1084</v>
      </c>
      <c r="I1621" s="3" t="s">
        <v>28</v>
      </c>
      <c r="J1621" s="3">
        <v>1</v>
      </c>
      <c r="K1621" s="3">
        <v>45315.17</v>
      </c>
      <c r="L1621" s="3">
        <f>Table1[[#This Row],[Price Per Unit]]*Table1[[#This Row],[Units Sold]]</f>
        <v>45315.17</v>
      </c>
      <c r="M1621" s="3" t="s">
        <v>875</v>
      </c>
      <c r="N1621" s="3">
        <v>20</v>
      </c>
      <c r="O1621" s="3" t="s">
        <v>52</v>
      </c>
      <c r="P1621" s="3" t="s">
        <v>31</v>
      </c>
      <c r="Q1621" s="4">
        <v>4</v>
      </c>
      <c r="R1621" s="4" t="str">
        <f>IF(Table1[[#This Row],[Customer Ratings]]&gt;=4, "Good",IF(Table1[[#This Row],[Customer Ratings]]=3, "Average","Poor"))</f>
        <v>Good</v>
      </c>
      <c r="S1621" s="3" t="s">
        <v>32</v>
      </c>
    </row>
    <row r="1622" spans="1:19" x14ac:dyDescent="0.25">
      <c r="A1622" s="3">
        <v>1621</v>
      </c>
      <c r="B1622" s="5">
        <f>DATE(Table1[[#This Row],[Year]],Table1[[#This Row],[Month]],Table1[[#This Row],[Day]])</f>
        <v>44938</v>
      </c>
      <c r="C1622" s="3">
        <v>12</v>
      </c>
      <c r="D1622" s="3">
        <v>1</v>
      </c>
      <c r="E1622" s="3">
        <v>2023</v>
      </c>
      <c r="F1622" s="3" t="str">
        <f>"Qtr"&amp; " " &amp;CHOOSE(MONTH(Table1[[#This Row],[Date]]),1,1,1,2,2,2,3,3,3,4,4,4)</f>
        <v>Qtr 1</v>
      </c>
      <c r="G1622" s="3" t="str">
        <f>TEXT(Table1[[#This Row],[Date]],"mmmm")</f>
        <v>January</v>
      </c>
      <c r="H1622" s="3" t="s">
        <v>1084</v>
      </c>
      <c r="I1622" s="3" t="s">
        <v>18</v>
      </c>
      <c r="J1622" s="3">
        <v>6</v>
      </c>
      <c r="K1622" s="3">
        <v>34464.35</v>
      </c>
      <c r="L1622" s="3">
        <f>Table1[[#This Row],[Price Per Unit]]*Table1[[#This Row],[Units Sold]]</f>
        <v>206786.09999999998</v>
      </c>
      <c r="M1622" s="3" t="s">
        <v>245</v>
      </c>
      <c r="N1622" s="3">
        <v>45</v>
      </c>
      <c r="O1622" s="3" t="s">
        <v>35</v>
      </c>
      <c r="P1622" s="3" t="s">
        <v>16</v>
      </c>
      <c r="Q1622" s="4">
        <v>3</v>
      </c>
      <c r="R1622" s="4" t="str">
        <f>IF(Table1[[#This Row],[Customer Ratings]]&gt;=4, "Good",IF(Table1[[#This Row],[Customer Ratings]]=3, "Average","Poor"))</f>
        <v>Average</v>
      </c>
      <c r="S1622" s="3" t="s">
        <v>22</v>
      </c>
    </row>
    <row r="1623" spans="1:19" x14ac:dyDescent="0.25">
      <c r="A1623" s="3">
        <v>1622</v>
      </c>
      <c r="B1623" s="5">
        <f>DATE(Table1[[#This Row],[Year]],Table1[[#This Row],[Month]],Table1[[#This Row],[Day]])</f>
        <v>44939</v>
      </c>
      <c r="C1623" s="3">
        <v>13</v>
      </c>
      <c r="D1623" s="3">
        <v>1</v>
      </c>
      <c r="E1623" s="3">
        <v>2023</v>
      </c>
      <c r="F1623" s="3" t="str">
        <f>"Qtr"&amp; " " &amp;CHOOSE(MONTH(Table1[[#This Row],[Date]]),1,1,1,2,2,2,3,3,3,4,4,4)</f>
        <v>Qtr 1</v>
      </c>
      <c r="G1623" s="3" t="str">
        <f>TEXT(Table1[[#This Row],[Date]],"mmmm")</f>
        <v>January</v>
      </c>
      <c r="H1623" s="3" t="s">
        <v>1085</v>
      </c>
      <c r="I1623" s="3" t="s">
        <v>13</v>
      </c>
      <c r="J1623" s="3">
        <v>6</v>
      </c>
      <c r="K1623" s="3">
        <v>49070.62</v>
      </c>
      <c r="L1623" s="3">
        <f>Table1[[#This Row],[Price Per Unit]]*Table1[[#This Row],[Units Sold]]</f>
        <v>294423.72000000003</v>
      </c>
      <c r="M1623" s="3" t="s">
        <v>696</v>
      </c>
      <c r="N1623" s="3">
        <v>50</v>
      </c>
      <c r="O1623" s="3" t="s">
        <v>24</v>
      </c>
      <c r="P1623" s="3" t="s">
        <v>16</v>
      </c>
      <c r="Q1623" s="4">
        <v>3</v>
      </c>
      <c r="R1623" s="4" t="str">
        <f>IF(Table1[[#This Row],[Customer Ratings]]&gt;=4, "Good",IF(Table1[[#This Row],[Customer Ratings]]=3, "Average","Poor"))</f>
        <v>Average</v>
      </c>
      <c r="S1623" s="3" t="s">
        <v>72</v>
      </c>
    </row>
    <row r="1624" spans="1:19" x14ac:dyDescent="0.25">
      <c r="A1624" s="3">
        <v>1623</v>
      </c>
      <c r="B1624" s="5">
        <f>DATE(Table1[[#This Row],[Year]],Table1[[#This Row],[Month]],Table1[[#This Row],[Day]])</f>
        <v>44939</v>
      </c>
      <c r="C1624" s="3">
        <v>13</v>
      </c>
      <c r="D1624" s="3">
        <v>1</v>
      </c>
      <c r="E1624" s="3">
        <v>2023</v>
      </c>
      <c r="F1624" s="3" t="str">
        <f>"Qtr"&amp; " " &amp;CHOOSE(MONTH(Table1[[#This Row],[Date]]),1,1,1,2,2,2,3,3,3,4,4,4)</f>
        <v>Qtr 1</v>
      </c>
      <c r="G1624" s="3" t="str">
        <f>TEXT(Table1[[#This Row],[Date]],"mmmm")</f>
        <v>January</v>
      </c>
      <c r="H1624" s="3" t="s">
        <v>1085</v>
      </c>
      <c r="I1624" s="3" t="s">
        <v>39</v>
      </c>
      <c r="J1624" s="3">
        <v>6</v>
      </c>
      <c r="K1624" s="3">
        <v>56078.01</v>
      </c>
      <c r="L1624" s="3">
        <f>Table1[[#This Row],[Price Per Unit]]*Table1[[#This Row],[Units Sold]]</f>
        <v>336468.06</v>
      </c>
      <c r="M1624" s="3" t="s">
        <v>876</v>
      </c>
      <c r="N1624" s="3">
        <v>59</v>
      </c>
      <c r="O1624" s="3" t="s">
        <v>24</v>
      </c>
      <c r="P1624" s="3" t="s">
        <v>21</v>
      </c>
      <c r="Q1624" s="4">
        <v>3</v>
      </c>
      <c r="R1624" s="4" t="str">
        <f>IF(Table1[[#This Row],[Customer Ratings]]&gt;=4, "Good",IF(Table1[[#This Row],[Customer Ratings]]=3, "Average","Poor"))</f>
        <v>Average</v>
      </c>
      <c r="S1624" s="3" t="s">
        <v>42</v>
      </c>
    </row>
    <row r="1625" spans="1:19" x14ac:dyDescent="0.25">
      <c r="A1625" s="3">
        <v>1624</v>
      </c>
      <c r="B1625" s="5">
        <f>DATE(Table1[[#This Row],[Year]],Table1[[#This Row],[Month]],Table1[[#This Row],[Day]])</f>
        <v>44939</v>
      </c>
      <c r="C1625" s="3">
        <v>13</v>
      </c>
      <c r="D1625" s="3">
        <v>1</v>
      </c>
      <c r="E1625" s="3">
        <v>2023</v>
      </c>
      <c r="F1625" s="3" t="str">
        <f>"Qtr"&amp; " " &amp;CHOOSE(MONTH(Table1[[#This Row],[Date]]),1,1,1,2,2,2,3,3,3,4,4,4)</f>
        <v>Qtr 1</v>
      </c>
      <c r="G1625" s="3" t="str">
        <f>TEXT(Table1[[#This Row],[Date]],"mmmm")</f>
        <v>January</v>
      </c>
      <c r="H1625" s="3" t="s">
        <v>1085</v>
      </c>
      <c r="I1625" s="3" t="s">
        <v>39</v>
      </c>
      <c r="J1625" s="3">
        <v>6</v>
      </c>
      <c r="K1625" s="3">
        <v>67643.69</v>
      </c>
      <c r="L1625" s="3">
        <f>Table1[[#This Row],[Price Per Unit]]*Table1[[#This Row],[Units Sold]]</f>
        <v>405862.14</v>
      </c>
      <c r="M1625" s="3" t="s">
        <v>786</v>
      </c>
      <c r="N1625" s="3">
        <v>20</v>
      </c>
      <c r="O1625" s="3" t="s">
        <v>41</v>
      </c>
      <c r="P1625" s="3" t="s">
        <v>16</v>
      </c>
      <c r="Q1625" s="4">
        <v>1</v>
      </c>
      <c r="R1625" s="4" t="str">
        <f>IF(Table1[[#This Row],[Customer Ratings]]&gt;=4, "Good",IF(Table1[[#This Row],[Customer Ratings]]=3, "Average","Poor"))</f>
        <v>Poor</v>
      </c>
      <c r="S1625" s="3" t="s">
        <v>76</v>
      </c>
    </row>
    <row r="1626" spans="1:19" x14ac:dyDescent="0.25">
      <c r="A1626" s="3">
        <v>1625</v>
      </c>
      <c r="B1626" s="5">
        <f>DATE(Table1[[#This Row],[Year]],Table1[[#This Row],[Month]],Table1[[#This Row],[Day]])</f>
        <v>44940</v>
      </c>
      <c r="C1626" s="3">
        <v>14</v>
      </c>
      <c r="D1626" s="3">
        <v>1</v>
      </c>
      <c r="E1626" s="3">
        <v>2023</v>
      </c>
      <c r="F1626" s="3" t="str">
        <f>"Qtr"&amp; " " &amp;CHOOSE(MONTH(Table1[[#This Row],[Date]]),1,1,1,2,2,2,3,3,3,4,4,4)</f>
        <v>Qtr 1</v>
      </c>
      <c r="G1626" s="3" t="str">
        <f>TEXT(Table1[[#This Row],[Date]],"mmmm")</f>
        <v>January</v>
      </c>
      <c r="H1626" s="3" t="s">
        <v>1079</v>
      </c>
      <c r="I1626" s="3" t="s">
        <v>28</v>
      </c>
      <c r="J1626" s="3">
        <v>7</v>
      </c>
      <c r="K1626" s="3">
        <v>39972.949999999997</v>
      </c>
      <c r="L1626" s="3">
        <f>Table1[[#This Row],[Price Per Unit]]*Table1[[#This Row],[Units Sold]]</f>
        <v>279810.64999999997</v>
      </c>
      <c r="M1626" s="3" t="s">
        <v>488</v>
      </c>
      <c r="N1626" s="3">
        <v>22</v>
      </c>
      <c r="O1626" s="3" t="s">
        <v>15</v>
      </c>
      <c r="P1626" s="3" t="s">
        <v>31</v>
      </c>
      <c r="Q1626" s="4">
        <v>5</v>
      </c>
      <c r="R1626" s="4" t="str">
        <f>IF(Table1[[#This Row],[Customer Ratings]]&gt;=4, "Good",IF(Table1[[#This Row],[Customer Ratings]]=3, "Average","Poor"))</f>
        <v>Good</v>
      </c>
      <c r="S1626" s="3" t="s">
        <v>38</v>
      </c>
    </row>
    <row r="1627" spans="1:19" x14ac:dyDescent="0.25">
      <c r="A1627" s="3">
        <v>1626</v>
      </c>
      <c r="B1627" s="5">
        <f>DATE(Table1[[#This Row],[Year]],Table1[[#This Row],[Month]],Table1[[#This Row],[Day]])</f>
        <v>44940</v>
      </c>
      <c r="C1627" s="3">
        <v>14</v>
      </c>
      <c r="D1627" s="3">
        <v>1</v>
      </c>
      <c r="E1627" s="3">
        <v>2023</v>
      </c>
      <c r="F1627" s="3" t="str">
        <f>"Qtr"&amp; " " &amp;CHOOSE(MONTH(Table1[[#This Row],[Date]]),1,1,1,2,2,2,3,3,3,4,4,4)</f>
        <v>Qtr 1</v>
      </c>
      <c r="G1627" s="3" t="str">
        <f>TEXT(Table1[[#This Row],[Date]],"mmmm")</f>
        <v>January</v>
      </c>
      <c r="H1627" s="3" t="s">
        <v>1079</v>
      </c>
      <c r="I1627" s="3" t="s">
        <v>13</v>
      </c>
      <c r="J1627" s="3">
        <v>6</v>
      </c>
      <c r="K1627" s="3">
        <v>16725.91</v>
      </c>
      <c r="L1627" s="3">
        <f>Table1[[#This Row],[Price Per Unit]]*Table1[[#This Row],[Units Sold]]</f>
        <v>100355.45999999999</v>
      </c>
      <c r="M1627" s="3" t="s">
        <v>764</v>
      </c>
      <c r="N1627" s="3">
        <v>36</v>
      </c>
      <c r="O1627" s="3" t="s">
        <v>20</v>
      </c>
      <c r="P1627" s="3" t="s">
        <v>21</v>
      </c>
      <c r="Q1627" s="4">
        <v>3</v>
      </c>
      <c r="R1627" s="4" t="str">
        <f>IF(Table1[[#This Row],[Customer Ratings]]&gt;=4, "Good",IF(Table1[[#This Row],[Customer Ratings]]=3, "Average","Poor"))</f>
        <v>Average</v>
      </c>
      <c r="S1627" s="3" t="s">
        <v>27</v>
      </c>
    </row>
    <row r="1628" spans="1:19" x14ac:dyDescent="0.25">
      <c r="A1628" s="3">
        <v>1627</v>
      </c>
      <c r="B1628" s="5">
        <f>DATE(Table1[[#This Row],[Year]],Table1[[#This Row],[Month]],Table1[[#This Row],[Day]])</f>
        <v>44940</v>
      </c>
      <c r="C1628" s="3">
        <v>14</v>
      </c>
      <c r="D1628" s="3">
        <v>1</v>
      </c>
      <c r="E1628" s="3">
        <v>2023</v>
      </c>
      <c r="F1628" s="3" t="str">
        <f>"Qtr"&amp; " " &amp;CHOOSE(MONTH(Table1[[#This Row],[Date]]),1,1,1,2,2,2,3,3,3,4,4,4)</f>
        <v>Qtr 1</v>
      </c>
      <c r="G1628" s="3" t="str">
        <f>TEXT(Table1[[#This Row],[Date]],"mmmm")</f>
        <v>January</v>
      </c>
      <c r="H1628" s="3" t="s">
        <v>1079</v>
      </c>
      <c r="I1628" s="3" t="s">
        <v>18</v>
      </c>
      <c r="J1628" s="3">
        <v>1</v>
      </c>
      <c r="K1628" s="3">
        <v>36445.949999999997</v>
      </c>
      <c r="L1628" s="3">
        <f>Table1[[#This Row],[Price Per Unit]]*Table1[[#This Row],[Units Sold]]</f>
        <v>36445.949999999997</v>
      </c>
      <c r="M1628" s="3" t="s">
        <v>634</v>
      </c>
      <c r="N1628" s="3">
        <v>59</v>
      </c>
      <c r="O1628" s="3" t="s">
        <v>120</v>
      </c>
      <c r="P1628" s="3" t="s">
        <v>45</v>
      </c>
      <c r="Q1628" s="4">
        <v>3</v>
      </c>
      <c r="R1628" s="4" t="str">
        <f>IF(Table1[[#This Row],[Customer Ratings]]&gt;=4, "Good",IF(Table1[[#This Row],[Customer Ratings]]=3, "Average","Poor"))</f>
        <v>Average</v>
      </c>
      <c r="S1628" s="3" t="s">
        <v>25</v>
      </c>
    </row>
    <row r="1629" spans="1:19" x14ac:dyDescent="0.25">
      <c r="A1629" s="3">
        <v>1628</v>
      </c>
      <c r="B1629" s="5">
        <f>DATE(Table1[[#This Row],[Year]],Table1[[#This Row],[Month]],Table1[[#This Row],[Day]])</f>
        <v>44940</v>
      </c>
      <c r="C1629" s="3">
        <v>14</v>
      </c>
      <c r="D1629" s="3">
        <v>1</v>
      </c>
      <c r="E1629" s="3">
        <v>2023</v>
      </c>
      <c r="F1629" s="3" t="str">
        <f>"Qtr"&amp; " " &amp;CHOOSE(MONTH(Table1[[#This Row],[Date]]),1,1,1,2,2,2,3,3,3,4,4,4)</f>
        <v>Qtr 1</v>
      </c>
      <c r="G1629" s="3" t="str">
        <f>TEXT(Table1[[#This Row],[Date]],"mmmm")</f>
        <v>January</v>
      </c>
      <c r="H1629" s="3" t="s">
        <v>1079</v>
      </c>
      <c r="I1629" s="3" t="s">
        <v>13</v>
      </c>
      <c r="J1629" s="3">
        <v>3</v>
      </c>
      <c r="K1629" s="3">
        <v>38738.230000000003</v>
      </c>
      <c r="L1629" s="3">
        <f>Table1[[#This Row],[Price Per Unit]]*Table1[[#This Row],[Units Sold]]</f>
        <v>116214.69</v>
      </c>
      <c r="M1629" s="3" t="s">
        <v>877</v>
      </c>
      <c r="N1629" s="3">
        <v>18</v>
      </c>
      <c r="O1629" s="3" t="s">
        <v>52</v>
      </c>
      <c r="P1629" s="3" t="s">
        <v>45</v>
      </c>
      <c r="Q1629" s="4">
        <v>4</v>
      </c>
      <c r="R1629" s="4" t="str">
        <f>IF(Table1[[#This Row],[Customer Ratings]]&gt;=4, "Good",IF(Table1[[#This Row],[Customer Ratings]]=3, "Average","Poor"))</f>
        <v>Good</v>
      </c>
      <c r="S1629" s="3" t="s">
        <v>17</v>
      </c>
    </row>
    <row r="1630" spans="1:19" x14ac:dyDescent="0.25">
      <c r="A1630" s="3">
        <v>1629</v>
      </c>
      <c r="B1630" s="5">
        <f>DATE(Table1[[#This Row],[Year]],Table1[[#This Row],[Month]],Table1[[#This Row],[Day]])</f>
        <v>44941</v>
      </c>
      <c r="C1630" s="3">
        <v>15</v>
      </c>
      <c r="D1630" s="3">
        <v>1</v>
      </c>
      <c r="E1630" s="3">
        <v>2023</v>
      </c>
      <c r="F1630" s="3" t="str">
        <f>"Qtr"&amp; " " &amp;CHOOSE(MONTH(Table1[[#This Row],[Date]]),1,1,1,2,2,2,3,3,3,4,4,4)</f>
        <v>Qtr 1</v>
      </c>
      <c r="G1630" s="3" t="str">
        <f>TEXT(Table1[[#This Row],[Date]],"mmmm")</f>
        <v>January</v>
      </c>
      <c r="H1630" s="3" t="s">
        <v>1080</v>
      </c>
      <c r="I1630" s="3" t="s">
        <v>33</v>
      </c>
      <c r="J1630" s="3">
        <v>2</v>
      </c>
      <c r="K1630" s="3">
        <v>63819.64</v>
      </c>
      <c r="L1630" s="3">
        <f>Table1[[#This Row],[Price Per Unit]]*Table1[[#This Row],[Units Sold]]</f>
        <v>127639.28</v>
      </c>
      <c r="M1630" s="3" t="s">
        <v>676</v>
      </c>
      <c r="N1630" s="3">
        <v>55</v>
      </c>
      <c r="O1630" s="3" t="s">
        <v>20</v>
      </c>
      <c r="P1630" s="3" t="s">
        <v>45</v>
      </c>
      <c r="Q1630" s="4">
        <v>5</v>
      </c>
      <c r="R1630" s="4" t="str">
        <f>IF(Table1[[#This Row],[Customer Ratings]]&gt;=4, "Good",IF(Table1[[#This Row],[Customer Ratings]]=3, "Average","Poor"))</f>
        <v>Good</v>
      </c>
      <c r="S1630" s="3" t="s">
        <v>36</v>
      </c>
    </row>
    <row r="1631" spans="1:19" x14ac:dyDescent="0.25">
      <c r="A1631" s="3">
        <v>1630</v>
      </c>
      <c r="B1631" s="5">
        <f>DATE(Table1[[#This Row],[Year]],Table1[[#This Row],[Month]],Table1[[#This Row],[Day]])</f>
        <v>44941</v>
      </c>
      <c r="C1631" s="3">
        <v>15</v>
      </c>
      <c r="D1631" s="3">
        <v>1</v>
      </c>
      <c r="E1631" s="3">
        <v>2023</v>
      </c>
      <c r="F1631" s="3" t="str">
        <f>"Qtr"&amp; " " &amp;CHOOSE(MONTH(Table1[[#This Row],[Date]]),1,1,1,2,2,2,3,3,3,4,4,4)</f>
        <v>Qtr 1</v>
      </c>
      <c r="G1631" s="3" t="str">
        <f>TEXT(Table1[[#This Row],[Date]],"mmmm")</f>
        <v>January</v>
      </c>
      <c r="H1631" s="3" t="s">
        <v>1080</v>
      </c>
      <c r="I1631" s="3" t="s">
        <v>13</v>
      </c>
      <c r="J1631" s="3">
        <v>6</v>
      </c>
      <c r="K1631" s="3">
        <v>33688.050000000003</v>
      </c>
      <c r="L1631" s="3">
        <f>Table1[[#This Row],[Price Per Unit]]*Table1[[#This Row],[Units Sold]]</f>
        <v>202128.30000000002</v>
      </c>
      <c r="M1631" s="3" t="s">
        <v>212</v>
      </c>
      <c r="N1631" s="3">
        <v>26</v>
      </c>
      <c r="O1631" s="3" t="s">
        <v>20</v>
      </c>
      <c r="P1631" s="3" t="s">
        <v>45</v>
      </c>
      <c r="Q1631" s="4">
        <v>4</v>
      </c>
      <c r="R1631" s="4" t="str">
        <f>IF(Table1[[#This Row],[Customer Ratings]]&gt;=4, "Good",IF(Table1[[#This Row],[Customer Ratings]]=3, "Average","Poor"))</f>
        <v>Good</v>
      </c>
      <c r="S1631" s="3" t="s">
        <v>72</v>
      </c>
    </row>
    <row r="1632" spans="1:19" x14ac:dyDescent="0.25">
      <c r="A1632" s="3">
        <v>1631</v>
      </c>
      <c r="B1632" s="5">
        <f>DATE(Table1[[#This Row],[Year]],Table1[[#This Row],[Month]],Table1[[#This Row],[Day]])</f>
        <v>44941</v>
      </c>
      <c r="C1632" s="3">
        <v>15</v>
      </c>
      <c r="D1632" s="3">
        <v>1</v>
      </c>
      <c r="E1632" s="3">
        <v>2023</v>
      </c>
      <c r="F1632" s="3" t="str">
        <f>"Qtr"&amp; " " &amp;CHOOSE(MONTH(Table1[[#This Row],[Date]]),1,1,1,2,2,2,3,3,3,4,4,4)</f>
        <v>Qtr 1</v>
      </c>
      <c r="G1632" s="3" t="str">
        <f>TEXT(Table1[[#This Row],[Date]],"mmmm")</f>
        <v>January</v>
      </c>
      <c r="H1632" s="3" t="s">
        <v>1080</v>
      </c>
      <c r="I1632" s="3" t="s">
        <v>33</v>
      </c>
      <c r="J1632" s="3">
        <v>8</v>
      </c>
      <c r="K1632" s="3">
        <v>67199.460000000006</v>
      </c>
      <c r="L1632" s="3">
        <f>Table1[[#This Row],[Price Per Unit]]*Table1[[#This Row],[Units Sold]]</f>
        <v>537595.68000000005</v>
      </c>
      <c r="M1632" s="3" t="s">
        <v>878</v>
      </c>
      <c r="N1632" s="3">
        <v>22</v>
      </c>
      <c r="O1632" s="3" t="s">
        <v>24</v>
      </c>
      <c r="P1632" s="3" t="s">
        <v>45</v>
      </c>
      <c r="Q1632" s="4">
        <v>4</v>
      </c>
      <c r="R1632" s="4" t="str">
        <f>IF(Table1[[#This Row],[Customer Ratings]]&gt;=4, "Good",IF(Table1[[#This Row],[Customer Ratings]]=3, "Average","Poor"))</f>
        <v>Good</v>
      </c>
      <c r="S1632" s="3" t="s">
        <v>83</v>
      </c>
    </row>
    <row r="1633" spans="1:19" x14ac:dyDescent="0.25">
      <c r="A1633" s="3">
        <v>1632</v>
      </c>
      <c r="B1633" s="5">
        <f>DATE(Table1[[#This Row],[Year]],Table1[[#This Row],[Month]],Table1[[#This Row],[Day]])</f>
        <v>44942</v>
      </c>
      <c r="C1633" s="3">
        <v>16</v>
      </c>
      <c r="D1633" s="3">
        <v>1</v>
      </c>
      <c r="E1633" s="3">
        <v>2023</v>
      </c>
      <c r="F1633" s="3" t="str">
        <f>"Qtr"&amp; " " &amp;CHOOSE(MONTH(Table1[[#This Row],[Date]]),1,1,1,2,2,2,3,3,3,4,4,4)</f>
        <v>Qtr 1</v>
      </c>
      <c r="G1633" s="3" t="str">
        <f>TEXT(Table1[[#This Row],[Date]],"mmmm")</f>
        <v>January</v>
      </c>
      <c r="H1633" s="3" t="s">
        <v>1081</v>
      </c>
      <c r="I1633" s="3" t="s">
        <v>33</v>
      </c>
      <c r="J1633" s="3">
        <v>3</v>
      </c>
      <c r="K1633" s="3">
        <v>39107.910000000003</v>
      </c>
      <c r="L1633" s="3">
        <f>Table1[[#This Row],[Price Per Unit]]*Table1[[#This Row],[Units Sold]]</f>
        <v>117323.73000000001</v>
      </c>
      <c r="M1633" s="3" t="s">
        <v>879</v>
      </c>
      <c r="N1633" s="3">
        <v>59</v>
      </c>
      <c r="O1633" s="3" t="s">
        <v>20</v>
      </c>
      <c r="P1633" s="3" t="s">
        <v>31</v>
      </c>
      <c r="Q1633" s="4">
        <v>3</v>
      </c>
      <c r="R1633" s="4" t="str">
        <f>IF(Table1[[#This Row],[Customer Ratings]]&gt;=4, "Good",IF(Table1[[#This Row],[Customer Ratings]]=3, "Average","Poor"))</f>
        <v>Average</v>
      </c>
      <c r="S1633" s="3" t="s">
        <v>46</v>
      </c>
    </row>
    <row r="1634" spans="1:19" x14ac:dyDescent="0.25">
      <c r="A1634" s="3">
        <v>1633</v>
      </c>
      <c r="B1634" s="5">
        <f>DATE(Table1[[#This Row],[Year]],Table1[[#This Row],[Month]],Table1[[#This Row],[Day]])</f>
        <v>44942</v>
      </c>
      <c r="C1634" s="3">
        <v>16</v>
      </c>
      <c r="D1634" s="3">
        <v>1</v>
      </c>
      <c r="E1634" s="3">
        <v>2023</v>
      </c>
      <c r="F1634" s="3" t="str">
        <f>"Qtr"&amp; " " &amp;CHOOSE(MONTH(Table1[[#This Row],[Date]]),1,1,1,2,2,2,3,3,3,4,4,4)</f>
        <v>Qtr 1</v>
      </c>
      <c r="G1634" s="3" t="str">
        <f>TEXT(Table1[[#This Row],[Date]],"mmmm")</f>
        <v>January</v>
      </c>
      <c r="H1634" s="3" t="s">
        <v>1081</v>
      </c>
      <c r="I1634" s="3" t="s">
        <v>18</v>
      </c>
      <c r="J1634" s="3">
        <v>8</v>
      </c>
      <c r="K1634" s="3">
        <v>68426.83</v>
      </c>
      <c r="L1634" s="3">
        <f>Table1[[#This Row],[Price Per Unit]]*Table1[[#This Row],[Units Sold]]</f>
        <v>547414.64</v>
      </c>
      <c r="M1634" s="3" t="s">
        <v>470</v>
      </c>
      <c r="N1634" s="3">
        <v>51</v>
      </c>
      <c r="O1634" s="3" t="s">
        <v>20</v>
      </c>
      <c r="P1634" s="3" t="s">
        <v>16</v>
      </c>
      <c r="Q1634" s="4">
        <v>5</v>
      </c>
      <c r="R1634" s="4" t="str">
        <f>IF(Table1[[#This Row],[Customer Ratings]]&gt;=4, "Good",IF(Table1[[#This Row],[Customer Ratings]]=3, "Average","Poor"))</f>
        <v>Good</v>
      </c>
      <c r="S1634" s="3" t="s">
        <v>25</v>
      </c>
    </row>
    <row r="1635" spans="1:19" x14ac:dyDescent="0.25">
      <c r="A1635" s="3">
        <v>1634</v>
      </c>
      <c r="B1635" s="5">
        <f>DATE(Table1[[#This Row],[Year]],Table1[[#This Row],[Month]],Table1[[#This Row],[Day]])</f>
        <v>44942</v>
      </c>
      <c r="C1635" s="3">
        <v>16</v>
      </c>
      <c r="D1635" s="3">
        <v>1</v>
      </c>
      <c r="E1635" s="3">
        <v>2023</v>
      </c>
      <c r="F1635" s="3" t="str">
        <f>"Qtr"&amp; " " &amp;CHOOSE(MONTH(Table1[[#This Row],[Date]]),1,1,1,2,2,2,3,3,3,4,4,4)</f>
        <v>Qtr 1</v>
      </c>
      <c r="G1635" s="3" t="str">
        <f>TEXT(Table1[[#This Row],[Date]],"mmmm")</f>
        <v>January</v>
      </c>
      <c r="H1635" s="3" t="s">
        <v>1081</v>
      </c>
      <c r="I1635" s="3" t="s">
        <v>28</v>
      </c>
      <c r="J1635" s="3">
        <v>8</v>
      </c>
      <c r="K1635" s="3">
        <v>10491.9</v>
      </c>
      <c r="L1635" s="3">
        <f>Table1[[#This Row],[Price Per Unit]]*Table1[[#This Row],[Units Sold]]</f>
        <v>83935.2</v>
      </c>
      <c r="M1635" s="3" t="s">
        <v>880</v>
      </c>
      <c r="N1635" s="3">
        <v>54</v>
      </c>
      <c r="O1635" s="3" t="s">
        <v>120</v>
      </c>
      <c r="P1635" s="3" t="s">
        <v>21</v>
      </c>
      <c r="Q1635" s="4">
        <v>5</v>
      </c>
      <c r="R1635" s="4" t="str">
        <f>IF(Table1[[#This Row],[Customer Ratings]]&gt;=4, "Good",IF(Table1[[#This Row],[Customer Ratings]]=3, "Average","Poor"))</f>
        <v>Good</v>
      </c>
      <c r="S1635" s="3" t="s">
        <v>87</v>
      </c>
    </row>
    <row r="1636" spans="1:19" x14ac:dyDescent="0.25">
      <c r="A1636" s="3">
        <v>1635</v>
      </c>
      <c r="B1636" s="5">
        <f>DATE(Table1[[#This Row],[Year]],Table1[[#This Row],[Month]],Table1[[#This Row],[Day]])</f>
        <v>44942</v>
      </c>
      <c r="C1636" s="3">
        <v>16</v>
      </c>
      <c r="D1636" s="3">
        <v>1</v>
      </c>
      <c r="E1636" s="3">
        <v>2023</v>
      </c>
      <c r="F1636" s="3" t="str">
        <f>"Qtr"&amp; " " &amp;CHOOSE(MONTH(Table1[[#This Row],[Date]]),1,1,1,2,2,2,3,3,3,4,4,4)</f>
        <v>Qtr 1</v>
      </c>
      <c r="G1636" s="3" t="str">
        <f>TEXT(Table1[[#This Row],[Date]],"mmmm")</f>
        <v>January</v>
      </c>
      <c r="H1636" s="3" t="s">
        <v>1081</v>
      </c>
      <c r="I1636" s="3" t="s">
        <v>13</v>
      </c>
      <c r="J1636" s="3">
        <v>5</v>
      </c>
      <c r="K1636" s="3">
        <v>63928.92</v>
      </c>
      <c r="L1636" s="3">
        <f>Table1[[#This Row],[Price Per Unit]]*Table1[[#This Row],[Units Sold]]</f>
        <v>319644.59999999998</v>
      </c>
      <c r="M1636" s="3" t="s">
        <v>335</v>
      </c>
      <c r="N1636" s="3">
        <v>50</v>
      </c>
      <c r="O1636" s="3" t="s">
        <v>81</v>
      </c>
      <c r="P1636" s="3" t="s">
        <v>16</v>
      </c>
      <c r="Q1636" s="4">
        <v>4</v>
      </c>
      <c r="R1636" s="4" t="str">
        <f>IF(Table1[[#This Row],[Customer Ratings]]&gt;=4, "Good",IF(Table1[[#This Row],[Customer Ratings]]=3, "Average","Poor"))</f>
        <v>Good</v>
      </c>
      <c r="S1636" s="3" t="s">
        <v>27</v>
      </c>
    </row>
    <row r="1637" spans="1:19" x14ac:dyDescent="0.25">
      <c r="A1637" s="3">
        <v>1636</v>
      </c>
      <c r="B1637" s="5">
        <f>DATE(Table1[[#This Row],[Year]],Table1[[#This Row],[Month]],Table1[[#This Row],[Day]])</f>
        <v>44943</v>
      </c>
      <c r="C1637" s="3">
        <v>17</v>
      </c>
      <c r="D1637" s="3">
        <v>1</v>
      </c>
      <c r="E1637" s="3">
        <v>2023</v>
      </c>
      <c r="F1637" s="3" t="str">
        <f>"Qtr"&amp; " " &amp;CHOOSE(MONTH(Table1[[#This Row],[Date]]),1,1,1,2,2,2,3,3,3,4,4,4)</f>
        <v>Qtr 1</v>
      </c>
      <c r="G1637" s="3" t="str">
        <f>TEXT(Table1[[#This Row],[Date]],"mmmm")</f>
        <v>January</v>
      </c>
      <c r="H1637" s="3" t="s">
        <v>1082</v>
      </c>
      <c r="I1637" s="3" t="s">
        <v>33</v>
      </c>
      <c r="J1637" s="3">
        <v>8</v>
      </c>
      <c r="K1637" s="3">
        <v>65867.23</v>
      </c>
      <c r="L1637" s="3">
        <f>Table1[[#This Row],[Price Per Unit]]*Table1[[#This Row],[Units Sold]]</f>
        <v>526937.84</v>
      </c>
      <c r="M1637" s="3" t="s">
        <v>810</v>
      </c>
      <c r="N1637" s="3">
        <v>42</v>
      </c>
      <c r="O1637" s="3" t="s">
        <v>20</v>
      </c>
      <c r="P1637" s="3" t="s">
        <v>16</v>
      </c>
      <c r="Q1637" s="4">
        <v>5</v>
      </c>
      <c r="R1637" s="4" t="str">
        <f>IF(Table1[[#This Row],[Customer Ratings]]&gt;=4, "Good",IF(Table1[[#This Row],[Customer Ratings]]=3, "Average","Poor"))</f>
        <v>Good</v>
      </c>
      <c r="S1637" s="3" t="s">
        <v>36</v>
      </c>
    </row>
    <row r="1638" spans="1:19" x14ac:dyDescent="0.25">
      <c r="A1638" s="3">
        <v>1637</v>
      </c>
      <c r="B1638" s="5">
        <f>DATE(Table1[[#This Row],[Year]],Table1[[#This Row],[Month]],Table1[[#This Row],[Day]])</f>
        <v>44943</v>
      </c>
      <c r="C1638" s="3">
        <v>17</v>
      </c>
      <c r="D1638" s="3">
        <v>1</v>
      </c>
      <c r="E1638" s="3">
        <v>2023</v>
      </c>
      <c r="F1638" s="3" t="str">
        <f>"Qtr"&amp; " " &amp;CHOOSE(MONTH(Table1[[#This Row],[Date]]),1,1,1,2,2,2,3,3,3,4,4,4)</f>
        <v>Qtr 1</v>
      </c>
      <c r="G1638" s="3" t="str">
        <f>TEXT(Table1[[#This Row],[Date]],"mmmm")</f>
        <v>January</v>
      </c>
      <c r="H1638" s="3" t="s">
        <v>1082</v>
      </c>
      <c r="I1638" s="3" t="s">
        <v>13</v>
      </c>
      <c r="J1638" s="3">
        <v>6</v>
      </c>
      <c r="K1638" s="3">
        <v>67661.259999999995</v>
      </c>
      <c r="L1638" s="3">
        <f>Table1[[#This Row],[Price Per Unit]]*Table1[[#This Row],[Units Sold]]</f>
        <v>405967.55999999994</v>
      </c>
      <c r="M1638" s="3" t="s">
        <v>615</v>
      </c>
      <c r="N1638" s="3">
        <v>59</v>
      </c>
      <c r="O1638" s="3" t="s">
        <v>41</v>
      </c>
      <c r="P1638" s="3" t="s">
        <v>31</v>
      </c>
      <c r="Q1638" s="4">
        <v>5</v>
      </c>
      <c r="R1638" s="4" t="str">
        <f>IF(Table1[[#This Row],[Customer Ratings]]&gt;=4, "Good",IF(Table1[[#This Row],[Customer Ratings]]=3, "Average","Poor"))</f>
        <v>Good</v>
      </c>
      <c r="S1638" s="3" t="s">
        <v>27</v>
      </c>
    </row>
    <row r="1639" spans="1:19" x14ac:dyDescent="0.25">
      <c r="A1639" s="3">
        <v>1638</v>
      </c>
      <c r="B1639" s="5">
        <f>DATE(Table1[[#This Row],[Year]],Table1[[#This Row],[Month]],Table1[[#This Row],[Day]])</f>
        <v>44943</v>
      </c>
      <c r="C1639" s="3">
        <v>17</v>
      </c>
      <c r="D1639" s="3">
        <v>1</v>
      </c>
      <c r="E1639" s="3">
        <v>2023</v>
      </c>
      <c r="F1639" s="3" t="str">
        <f>"Qtr"&amp; " " &amp;CHOOSE(MONTH(Table1[[#This Row],[Date]]),1,1,1,2,2,2,3,3,3,4,4,4)</f>
        <v>Qtr 1</v>
      </c>
      <c r="G1639" s="3" t="str">
        <f>TEXT(Table1[[#This Row],[Date]],"mmmm")</f>
        <v>January</v>
      </c>
      <c r="H1639" s="3" t="s">
        <v>1082</v>
      </c>
      <c r="I1639" s="3" t="s">
        <v>28</v>
      </c>
      <c r="J1639" s="3">
        <v>5</v>
      </c>
      <c r="K1639" s="3">
        <v>10784.59</v>
      </c>
      <c r="L1639" s="3">
        <f>Table1[[#This Row],[Price Per Unit]]*Table1[[#This Row],[Units Sold]]</f>
        <v>53922.95</v>
      </c>
      <c r="M1639" s="3" t="s">
        <v>881</v>
      </c>
      <c r="N1639" s="3">
        <v>46</v>
      </c>
      <c r="O1639" s="3" t="s">
        <v>102</v>
      </c>
      <c r="P1639" s="3" t="s">
        <v>31</v>
      </c>
      <c r="Q1639" s="4">
        <v>4</v>
      </c>
      <c r="R1639" s="4" t="str">
        <f>IF(Table1[[#This Row],[Customer Ratings]]&gt;=4, "Good",IF(Table1[[#This Row],[Customer Ratings]]=3, "Average","Poor"))</f>
        <v>Good</v>
      </c>
      <c r="S1639" s="3" t="s">
        <v>32</v>
      </c>
    </row>
    <row r="1640" spans="1:19" x14ac:dyDescent="0.25">
      <c r="A1640" s="3">
        <v>1639</v>
      </c>
      <c r="B1640" s="5">
        <f>DATE(Table1[[#This Row],[Year]],Table1[[#This Row],[Month]],Table1[[#This Row],[Day]])</f>
        <v>44944</v>
      </c>
      <c r="C1640" s="3">
        <v>18</v>
      </c>
      <c r="D1640" s="3">
        <v>1</v>
      </c>
      <c r="E1640" s="3">
        <v>2023</v>
      </c>
      <c r="F1640" s="3" t="str">
        <f>"Qtr"&amp; " " &amp;CHOOSE(MONTH(Table1[[#This Row],[Date]]),1,1,1,2,2,2,3,3,3,4,4,4)</f>
        <v>Qtr 1</v>
      </c>
      <c r="G1640" s="3" t="str">
        <f>TEXT(Table1[[#This Row],[Date]],"mmmm")</f>
        <v>January</v>
      </c>
      <c r="H1640" s="3" t="s">
        <v>1083</v>
      </c>
      <c r="I1640" s="3" t="s">
        <v>28</v>
      </c>
      <c r="J1640" s="3">
        <v>9</v>
      </c>
      <c r="K1640" s="3">
        <v>20302.05</v>
      </c>
      <c r="L1640" s="3">
        <f>Table1[[#This Row],[Price Per Unit]]*Table1[[#This Row],[Units Sold]]</f>
        <v>182718.44999999998</v>
      </c>
      <c r="M1640" s="3" t="s">
        <v>381</v>
      </c>
      <c r="N1640" s="3">
        <v>42</v>
      </c>
      <c r="O1640" s="3" t="s">
        <v>24</v>
      </c>
      <c r="P1640" s="3" t="s">
        <v>31</v>
      </c>
      <c r="Q1640" s="4">
        <v>3</v>
      </c>
      <c r="R1640" s="4" t="str">
        <f>IF(Table1[[#This Row],[Customer Ratings]]&gt;=4, "Good",IF(Table1[[#This Row],[Customer Ratings]]=3, "Average","Poor"))</f>
        <v>Average</v>
      </c>
      <c r="S1640" s="3" t="s">
        <v>38</v>
      </c>
    </row>
    <row r="1641" spans="1:19" x14ac:dyDescent="0.25">
      <c r="A1641" s="3">
        <v>1640</v>
      </c>
      <c r="B1641" s="5">
        <f>DATE(Table1[[#This Row],[Year]],Table1[[#This Row],[Month]],Table1[[#This Row],[Day]])</f>
        <v>44944</v>
      </c>
      <c r="C1641" s="3">
        <v>18</v>
      </c>
      <c r="D1641" s="3">
        <v>1</v>
      </c>
      <c r="E1641" s="3">
        <v>2023</v>
      </c>
      <c r="F1641" s="3" t="str">
        <f>"Qtr"&amp; " " &amp;CHOOSE(MONTH(Table1[[#This Row],[Date]]),1,1,1,2,2,2,3,3,3,4,4,4)</f>
        <v>Qtr 1</v>
      </c>
      <c r="G1641" s="3" t="str">
        <f>TEXT(Table1[[#This Row],[Date]],"mmmm")</f>
        <v>January</v>
      </c>
      <c r="H1641" s="3" t="s">
        <v>1083</v>
      </c>
      <c r="I1641" s="3" t="s">
        <v>39</v>
      </c>
      <c r="J1641" s="3">
        <v>7</v>
      </c>
      <c r="K1641" s="3">
        <v>49225.87</v>
      </c>
      <c r="L1641" s="3">
        <f>Table1[[#This Row],[Price Per Unit]]*Table1[[#This Row],[Units Sold]]</f>
        <v>344581.09</v>
      </c>
      <c r="M1641" s="3" t="s">
        <v>37</v>
      </c>
      <c r="N1641" s="3">
        <v>26</v>
      </c>
      <c r="O1641" s="3" t="s">
        <v>24</v>
      </c>
      <c r="P1641" s="3" t="s">
        <v>21</v>
      </c>
      <c r="Q1641" s="4">
        <v>1</v>
      </c>
      <c r="R1641" s="4" t="str">
        <f>IF(Table1[[#This Row],[Customer Ratings]]&gt;=4, "Good",IF(Table1[[#This Row],[Customer Ratings]]=3, "Average","Poor"))</f>
        <v>Poor</v>
      </c>
      <c r="S1641" s="3" t="s">
        <v>90</v>
      </c>
    </row>
    <row r="1642" spans="1:19" x14ac:dyDescent="0.25">
      <c r="A1642" s="3">
        <v>1641</v>
      </c>
      <c r="B1642" s="5">
        <f>DATE(Table1[[#This Row],[Year]],Table1[[#This Row],[Month]],Table1[[#This Row],[Day]])</f>
        <v>44944</v>
      </c>
      <c r="C1642" s="3">
        <v>18</v>
      </c>
      <c r="D1642" s="3">
        <v>1</v>
      </c>
      <c r="E1642" s="3">
        <v>2023</v>
      </c>
      <c r="F1642" s="3" t="str">
        <f>"Qtr"&amp; " " &amp;CHOOSE(MONTH(Table1[[#This Row],[Date]]),1,1,1,2,2,2,3,3,3,4,4,4)</f>
        <v>Qtr 1</v>
      </c>
      <c r="G1642" s="3" t="str">
        <f>TEXT(Table1[[#This Row],[Date]],"mmmm")</f>
        <v>January</v>
      </c>
      <c r="H1642" s="3" t="s">
        <v>1083</v>
      </c>
      <c r="I1642" s="3" t="s">
        <v>28</v>
      </c>
      <c r="J1642" s="3">
        <v>8</v>
      </c>
      <c r="K1642" s="3">
        <v>11528.36</v>
      </c>
      <c r="L1642" s="3">
        <f>Table1[[#This Row],[Price Per Unit]]*Table1[[#This Row],[Units Sold]]</f>
        <v>92226.880000000005</v>
      </c>
      <c r="M1642" s="3" t="s">
        <v>558</v>
      </c>
      <c r="N1642" s="3">
        <v>20</v>
      </c>
      <c r="O1642" s="3" t="s">
        <v>98</v>
      </c>
      <c r="P1642" s="3" t="s">
        <v>31</v>
      </c>
      <c r="Q1642" s="4">
        <v>4</v>
      </c>
      <c r="R1642" s="4" t="str">
        <f>IF(Table1[[#This Row],[Customer Ratings]]&gt;=4, "Good",IF(Table1[[#This Row],[Customer Ratings]]=3, "Average","Poor"))</f>
        <v>Good</v>
      </c>
      <c r="S1642" s="3" t="s">
        <v>32</v>
      </c>
    </row>
    <row r="1643" spans="1:19" x14ac:dyDescent="0.25">
      <c r="A1643" s="3">
        <v>1642</v>
      </c>
      <c r="B1643" s="5">
        <f>DATE(Table1[[#This Row],[Year]],Table1[[#This Row],[Month]],Table1[[#This Row],[Day]])</f>
        <v>44944</v>
      </c>
      <c r="C1643" s="3">
        <v>18</v>
      </c>
      <c r="D1643" s="3">
        <v>1</v>
      </c>
      <c r="E1643" s="3">
        <v>2023</v>
      </c>
      <c r="F1643" s="3" t="str">
        <f>"Qtr"&amp; " " &amp;CHOOSE(MONTH(Table1[[#This Row],[Date]]),1,1,1,2,2,2,3,3,3,4,4,4)</f>
        <v>Qtr 1</v>
      </c>
      <c r="G1643" s="3" t="str">
        <f>TEXT(Table1[[#This Row],[Date]],"mmmm")</f>
        <v>January</v>
      </c>
      <c r="H1643" s="3" t="s">
        <v>1083</v>
      </c>
      <c r="I1643" s="3" t="s">
        <v>18</v>
      </c>
      <c r="J1643" s="3">
        <v>1</v>
      </c>
      <c r="K1643" s="3">
        <v>13816.54</v>
      </c>
      <c r="L1643" s="3">
        <f>Table1[[#This Row],[Price Per Unit]]*Table1[[#This Row],[Units Sold]]</f>
        <v>13816.54</v>
      </c>
      <c r="M1643" s="3" t="s">
        <v>472</v>
      </c>
      <c r="N1643" s="3">
        <v>32</v>
      </c>
      <c r="O1643" s="3" t="s">
        <v>20</v>
      </c>
      <c r="P1643" s="3" t="s">
        <v>16</v>
      </c>
      <c r="Q1643" s="4">
        <v>3</v>
      </c>
      <c r="R1643" s="4" t="str">
        <f>IF(Table1[[#This Row],[Customer Ratings]]&gt;=4, "Good",IF(Table1[[#This Row],[Customer Ratings]]=3, "Average","Poor"))</f>
        <v>Average</v>
      </c>
      <c r="S1643" s="3" t="s">
        <v>22</v>
      </c>
    </row>
    <row r="1644" spans="1:19" x14ac:dyDescent="0.25">
      <c r="A1644" s="3">
        <v>1643</v>
      </c>
      <c r="B1644" s="5">
        <f>DATE(Table1[[#This Row],[Year]],Table1[[#This Row],[Month]],Table1[[#This Row],[Day]])</f>
        <v>44945</v>
      </c>
      <c r="C1644" s="3">
        <v>19</v>
      </c>
      <c r="D1644" s="3">
        <v>1</v>
      </c>
      <c r="E1644" s="3">
        <v>2023</v>
      </c>
      <c r="F1644" s="3" t="str">
        <f>"Qtr"&amp; " " &amp;CHOOSE(MONTH(Table1[[#This Row],[Date]]),1,1,1,2,2,2,3,3,3,4,4,4)</f>
        <v>Qtr 1</v>
      </c>
      <c r="G1644" s="3" t="str">
        <f>TEXT(Table1[[#This Row],[Date]],"mmmm")</f>
        <v>January</v>
      </c>
      <c r="H1644" s="3" t="s">
        <v>1084</v>
      </c>
      <c r="I1644" s="3" t="s">
        <v>33</v>
      </c>
      <c r="J1644" s="3">
        <v>2</v>
      </c>
      <c r="K1644" s="3">
        <v>23264.73</v>
      </c>
      <c r="L1644" s="3">
        <f>Table1[[#This Row],[Price Per Unit]]*Table1[[#This Row],[Units Sold]]</f>
        <v>46529.46</v>
      </c>
      <c r="M1644" s="3" t="s">
        <v>645</v>
      </c>
      <c r="N1644" s="3">
        <v>21</v>
      </c>
      <c r="O1644" s="3" t="s">
        <v>125</v>
      </c>
      <c r="P1644" s="3" t="s">
        <v>21</v>
      </c>
      <c r="Q1644" s="4">
        <v>5</v>
      </c>
      <c r="R1644" s="4" t="str">
        <f>IF(Table1[[#This Row],[Customer Ratings]]&gt;=4, "Good",IF(Table1[[#This Row],[Customer Ratings]]=3, "Average","Poor"))</f>
        <v>Good</v>
      </c>
      <c r="S1644" s="3" t="s">
        <v>46</v>
      </c>
    </row>
    <row r="1645" spans="1:19" x14ac:dyDescent="0.25">
      <c r="A1645" s="3">
        <v>1644</v>
      </c>
      <c r="B1645" s="5">
        <f>DATE(Table1[[#This Row],[Year]],Table1[[#This Row],[Month]],Table1[[#This Row],[Day]])</f>
        <v>44945</v>
      </c>
      <c r="C1645" s="3">
        <v>19</v>
      </c>
      <c r="D1645" s="3">
        <v>1</v>
      </c>
      <c r="E1645" s="3">
        <v>2023</v>
      </c>
      <c r="F1645" s="3" t="str">
        <f>"Qtr"&amp; " " &amp;CHOOSE(MONTH(Table1[[#This Row],[Date]]),1,1,1,2,2,2,3,3,3,4,4,4)</f>
        <v>Qtr 1</v>
      </c>
      <c r="G1645" s="3" t="str">
        <f>TEXT(Table1[[#This Row],[Date]],"mmmm")</f>
        <v>January</v>
      </c>
      <c r="H1645" s="3" t="s">
        <v>1084</v>
      </c>
      <c r="I1645" s="3" t="s">
        <v>39</v>
      </c>
      <c r="J1645" s="3">
        <v>8</v>
      </c>
      <c r="K1645" s="3">
        <v>40746.39</v>
      </c>
      <c r="L1645" s="3">
        <f>Table1[[#This Row],[Price Per Unit]]*Table1[[#This Row],[Units Sold]]</f>
        <v>325971.12</v>
      </c>
      <c r="M1645" s="3" t="s">
        <v>387</v>
      </c>
      <c r="N1645" s="3">
        <v>55</v>
      </c>
      <c r="O1645" s="3" t="s">
        <v>15</v>
      </c>
      <c r="P1645" s="3" t="s">
        <v>31</v>
      </c>
      <c r="Q1645" s="4">
        <v>3</v>
      </c>
      <c r="R1645" s="4" t="str">
        <f>IF(Table1[[#This Row],[Customer Ratings]]&gt;=4, "Good",IF(Table1[[#This Row],[Customer Ratings]]=3, "Average","Poor"))</f>
        <v>Average</v>
      </c>
      <c r="S1645" s="3" t="s">
        <v>90</v>
      </c>
    </row>
    <row r="1646" spans="1:19" x14ac:dyDescent="0.25">
      <c r="A1646" s="3">
        <v>1645</v>
      </c>
      <c r="B1646" s="5">
        <f>DATE(Table1[[#This Row],[Year]],Table1[[#This Row],[Month]],Table1[[#This Row],[Day]])</f>
        <v>44945</v>
      </c>
      <c r="C1646" s="3">
        <v>19</v>
      </c>
      <c r="D1646" s="3">
        <v>1</v>
      </c>
      <c r="E1646" s="3">
        <v>2023</v>
      </c>
      <c r="F1646" s="3" t="str">
        <f>"Qtr"&amp; " " &amp;CHOOSE(MONTH(Table1[[#This Row],[Date]]),1,1,1,2,2,2,3,3,3,4,4,4)</f>
        <v>Qtr 1</v>
      </c>
      <c r="G1646" s="3" t="str">
        <f>TEXT(Table1[[#This Row],[Date]],"mmmm")</f>
        <v>January</v>
      </c>
      <c r="H1646" s="3" t="s">
        <v>1084</v>
      </c>
      <c r="I1646" s="3" t="s">
        <v>18</v>
      </c>
      <c r="J1646" s="3">
        <v>9</v>
      </c>
      <c r="K1646" s="3">
        <v>42754.15</v>
      </c>
      <c r="L1646" s="3">
        <f>Table1[[#This Row],[Price Per Unit]]*Table1[[#This Row],[Units Sold]]</f>
        <v>384787.35000000003</v>
      </c>
      <c r="M1646" s="3" t="s">
        <v>786</v>
      </c>
      <c r="N1646" s="3">
        <v>37</v>
      </c>
      <c r="O1646" s="3" t="s">
        <v>98</v>
      </c>
      <c r="P1646" s="3" t="s">
        <v>31</v>
      </c>
      <c r="Q1646" s="4">
        <v>5</v>
      </c>
      <c r="R1646" s="4" t="str">
        <f>IF(Table1[[#This Row],[Customer Ratings]]&gt;=4, "Good",IF(Table1[[#This Row],[Customer Ratings]]=3, "Average","Poor"))</f>
        <v>Good</v>
      </c>
      <c r="S1646" s="3" t="s">
        <v>25</v>
      </c>
    </row>
    <row r="1647" spans="1:19" x14ac:dyDescent="0.25">
      <c r="A1647" s="3">
        <v>1646</v>
      </c>
      <c r="B1647" s="5">
        <f>DATE(Table1[[#This Row],[Year]],Table1[[#This Row],[Month]],Table1[[#This Row],[Day]])</f>
        <v>44946</v>
      </c>
      <c r="C1647" s="3">
        <v>20</v>
      </c>
      <c r="D1647" s="3">
        <v>1</v>
      </c>
      <c r="E1647" s="3">
        <v>2023</v>
      </c>
      <c r="F1647" s="3" t="str">
        <f>"Qtr"&amp; " " &amp;CHOOSE(MONTH(Table1[[#This Row],[Date]]),1,1,1,2,2,2,3,3,3,4,4,4)</f>
        <v>Qtr 1</v>
      </c>
      <c r="G1647" s="3" t="str">
        <f>TEXT(Table1[[#This Row],[Date]],"mmmm")</f>
        <v>January</v>
      </c>
      <c r="H1647" s="3" t="s">
        <v>1085</v>
      </c>
      <c r="I1647" s="3" t="s">
        <v>13</v>
      </c>
      <c r="J1647" s="3">
        <v>4</v>
      </c>
      <c r="K1647" s="3">
        <v>12055.67</v>
      </c>
      <c r="L1647" s="3">
        <f>Table1[[#This Row],[Price Per Unit]]*Table1[[#This Row],[Units Sold]]</f>
        <v>48222.68</v>
      </c>
      <c r="M1647" s="3" t="s">
        <v>384</v>
      </c>
      <c r="N1647" s="3">
        <v>40</v>
      </c>
      <c r="O1647" s="3" t="s">
        <v>20</v>
      </c>
      <c r="P1647" s="3" t="s">
        <v>31</v>
      </c>
      <c r="Q1647" s="4">
        <v>5</v>
      </c>
      <c r="R1647" s="4" t="str">
        <f>IF(Table1[[#This Row],[Customer Ratings]]&gt;=4, "Good",IF(Table1[[#This Row],[Customer Ratings]]=3, "Average","Poor"))</f>
        <v>Good</v>
      </c>
      <c r="S1647" s="3" t="s">
        <v>72</v>
      </c>
    </row>
    <row r="1648" spans="1:19" x14ac:dyDescent="0.25">
      <c r="A1648" s="3">
        <v>1647</v>
      </c>
      <c r="B1648" s="5">
        <f>DATE(Table1[[#This Row],[Year]],Table1[[#This Row],[Month]],Table1[[#This Row],[Day]])</f>
        <v>44946</v>
      </c>
      <c r="C1648" s="3">
        <v>20</v>
      </c>
      <c r="D1648" s="3">
        <v>1</v>
      </c>
      <c r="E1648" s="3">
        <v>2023</v>
      </c>
      <c r="F1648" s="3" t="str">
        <f>"Qtr"&amp; " " &amp;CHOOSE(MONTH(Table1[[#This Row],[Date]]),1,1,1,2,2,2,3,3,3,4,4,4)</f>
        <v>Qtr 1</v>
      </c>
      <c r="G1648" s="3" t="str">
        <f>TEXT(Table1[[#This Row],[Date]],"mmmm")</f>
        <v>January</v>
      </c>
      <c r="H1648" s="3" t="s">
        <v>1085</v>
      </c>
      <c r="I1648" s="3" t="s">
        <v>33</v>
      </c>
      <c r="J1648" s="3">
        <v>9</v>
      </c>
      <c r="K1648" s="3">
        <v>20222.04</v>
      </c>
      <c r="L1648" s="3">
        <f>Table1[[#This Row],[Price Per Unit]]*Table1[[#This Row],[Units Sold]]</f>
        <v>181998.36000000002</v>
      </c>
      <c r="M1648" s="3" t="s">
        <v>277</v>
      </c>
      <c r="N1648" s="3">
        <v>54</v>
      </c>
      <c r="O1648" s="3" t="s">
        <v>35</v>
      </c>
      <c r="P1648" s="3" t="s">
        <v>16</v>
      </c>
      <c r="Q1648" s="4">
        <v>5</v>
      </c>
      <c r="R1648" s="4" t="str">
        <f>IF(Table1[[#This Row],[Customer Ratings]]&gt;=4, "Good",IF(Table1[[#This Row],[Customer Ratings]]=3, "Average","Poor"))</f>
        <v>Good</v>
      </c>
      <c r="S1648" s="3" t="s">
        <v>83</v>
      </c>
    </row>
    <row r="1649" spans="1:19" x14ac:dyDescent="0.25">
      <c r="A1649" s="3">
        <v>1648</v>
      </c>
      <c r="B1649" s="5">
        <f>DATE(Table1[[#This Row],[Year]],Table1[[#This Row],[Month]],Table1[[#This Row],[Day]])</f>
        <v>44946</v>
      </c>
      <c r="C1649" s="3">
        <v>20</v>
      </c>
      <c r="D1649" s="3">
        <v>1</v>
      </c>
      <c r="E1649" s="3">
        <v>2023</v>
      </c>
      <c r="F1649" s="3" t="str">
        <f>"Qtr"&amp; " " &amp;CHOOSE(MONTH(Table1[[#This Row],[Date]]),1,1,1,2,2,2,3,3,3,4,4,4)</f>
        <v>Qtr 1</v>
      </c>
      <c r="G1649" s="3" t="str">
        <f>TEXT(Table1[[#This Row],[Date]],"mmmm")</f>
        <v>January</v>
      </c>
      <c r="H1649" s="3" t="s">
        <v>1085</v>
      </c>
      <c r="I1649" s="3" t="s">
        <v>28</v>
      </c>
      <c r="J1649" s="3">
        <v>4</v>
      </c>
      <c r="K1649" s="3">
        <v>39982.339999999997</v>
      </c>
      <c r="L1649" s="3">
        <f>Table1[[#This Row],[Price Per Unit]]*Table1[[#This Row],[Units Sold]]</f>
        <v>159929.35999999999</v>
      </c>
      <c r="M1649" s="3" t="s">
        <v>848</v>
      </c>
      <c r="N1649" s="3">
        <v>25</v>
      </c>
      <c r="O1649" s="3" t="s">
        <v>24</v>
      </c>
      <c r="P1649" s="3" t="s">
        <v>31</v>
      </c>
      <c r="Q1649" s="4">
        <v>1</v>
      </c>
      <c r="R1649" s="4" t="str">
        <f>IF(Table1[[#This Row],[Customer Ratings]]&gt;=4, "Good",IF(Table1[[#This Row],[Customer Ratings]]=3, "Average","Poor"))</f>
        <v>Poor</v>
      </c>
      <c r="S1649" s="3" t="s">
        <v>87</v>
      </c>
    </row>
    <row r="1650" spans="1:19" x14ac:dyDescent="0.25">
      <c r="A1650" s="3">
        <v>1649</v>
      </c>
      <c r="B1650" s="5">
        <f>DATE(Table1[[#This Row],[Year]],Table1[[#This Row],[Month]],Table1[[#This Row],[Day]])</f>
        <v>44947</v>
      </c>
      <c r="C1650" s="3">
        <v>21</v>
      </c>
      <c r="D1650" s="3">
        <v>1</v>
      </c>
      <c r="E1650" s="3">
        <v>2023</v>
      </c>
      <c r="F1650" s="3" t="str">
        <f>"Qtr"&amp; " " &amp;CHOOSE(MONTH(Table1[[#This Row],[Date]]),1,1,1,2,2,2,3,3,3,4,4,4)</f>
        <v>Qtr 1</v>
      </c>
      <c r="G1650" s="3" t="str">
        <f>TEXT(Table1[[#This Row],[Date]],"mmmm")</f>
        <v>January</v>
      </c>
      <c r="H1650" s="3" t="s">
        <v>1079</v>
      </c>
      <c r="I1650" s="3" t="s">
        <v>33</v>
      </c>
      <c r="J1650" s="3">
        <v>9</v>
      </c>
      <c r="K1650" s="3">
        <v>45636.44</v>
      </c>
      <c r="L1650" s="3">
        <f>Table1[[#This Row],[Price Per Unit]]*Table1[[#This Row],[Units Sold]]</f>
        <v>410727.96</v>
      </c>
      <c r="M1650" s="3" t="s">
        <v>847</v>
      </c>
      <c r="N1650" s="3">
        <v>54</v>
      </c>
      <c r="O1650" s="3" t="s">
        <v>54</v>
      </c>
      <c r="P1650" s="3" t="s">
        <v>16</v>
      </c>
      <c r="Q1650" s="4">
        <v>1</v>
      </c>
      <c r="R1650" s="4" t="str">
        <f>IF(Table1[[#This Row],[Customer Ratings]]&gt;=4, "Good",IF(Table1[[#This Row],[Customer Ratings]]=3, "Average","Poor"))</f>
        <v>Poor</v>
      </c>
      <c r="S1650" s="3" t="s">
        <v>36</v>
      </c>
    </row>
    <row r="1651" spans="1:19" x14ac:dyDescent="0.25">
      <c r="A1651" s="3">
        <v>1650</v>
      </c>
      <c r="B1651" s="5">
        <f>DATE(Table1[[#This Row],[Year]],Table1[[#This Row],[Month]],Table1[[#This Row],[Day]])</f>
        <v>44947</v>
      </c>
      <c r="C1651" s="3">
        <v>21</v>
      </c>
      <c r="D1651" s="3">
        <v>1</v>
      </c>
      <c r="E1651" s="3">
        <v>2023</v>
      </c>
      <c r="F1651" s="3" t="str">
        <f>"Qtr"&amp; " " &amp;CHOOSE(MONTH(Table1[[#This Row],[Date]]),1,1,1,2,2,2,3,3,3,4,4,4)</f>
        <v>Qtr 1</v>
      </c>
      <c r="G1651" s="3" t="str">
        <f>TEXT(Table1[[#This Row],[Date]],"mmmm")</f>
        <v>January</v>
      </c>
      <c r="H1651" s="3" t="s">
        <v>1079</v>
      </c>
      <c r="I1651" s="3" t="s">
        <v>13</v>
      </c>
      <c r="J1651" s="3">
        <v>7</v>
      </c>
      <c r="K1651" s="3">
        <v>18904.099999999999</v>
      </c>
      <c r="L1651" s="3">
        <f>Table1[[#This Row],[Price Per Unit]]*Table1[[#This Row],[Units Sold]]</f>
        <v>132328.69999999998</v>
      </c>
      <c r="M1651" s="3" t="s">
        <v>434</v>
      </c>
      <c r="N1651" s="3">
        <v>50</v>
      </c>
      <c r="O1651" s="3" t="s">
        <v>137</v>
      </c>
      <c r="P1651" s="3" t="s">
        <v>21</v>
      </c>
      <c r="Q1651" s="4">
        <v>4</v>
      </c>
      <c r="R1651" s="4" t="str">
        <f>IF(Table1[[#This Row],[Customer Ratings]]&gt;=4, "Good",IF(Table1[[#This Row],[Customer Ratings]]=3, "Average","Poor"))</f>
        <v>Good</v>
      </c>
      <c r="S1651" s="3" t="s">
        <v>72</v>
      </c>
    </row>
    <row r="1652" spans="1:19" x14ac:dyDescent="0.25">
      <c r="A1652" s="3">
        <v>1651</v>
      </c>
      <c r="B1652" s="5">
        <f>DATE(Table1[[#This Row],[Year]],Table1[[#This Row],[Month]],Table1[[#This Row],[Day]])</f>
        <v>44947</v>
      </c>
      <c r="C1652" s="3">
        <v>21</v>
      </c>
      <c r="D1652" s="3">
        <v>1</v>
      </c>
      <c r="E1652" s="3">
        <v>2023</v>
      </c>
      <c r="F1652" s="3" t="str">
        <f>"Qtr"&amp; " " &amp;CHOOSE(MONTH(Table1[[#This Row],[Date]]),1,1,1,2,2,2,3,3,3,4,4,4)</f>
        <v>Qtr 1</v>
      </c>
      <c r="G1652" s="3" t="str">
        <f>TEXT(Table1[[#This Row],[Date]],"mmmm")</f>
        <v>January</v>
      </c>
      <c r="H1652" s="3" t="s">
        <v>1079</v>
      </c>
      <c r="I1652" s="3" t="s">
        <v>39</v>
      </c>
      <c r="J1652" s="3">
        <v>2</v>
      </c>
      <c r="K1652" s="3">
        <v>33930.480000000003</v>
      </c>
      <c r="L1652" s="3">
        <f>Table1[[#This Row],[Price Per Unit]]*Table1[[#This Row],[Units Sold]]</f>
        <v>67860.960000000006</v>
      </c>
      <c r="M1652" s="3" t="s">
        <v>882</v>
      </c>
      <c r="N1652" s="3">
        <v>50</v>
      </c>
      <c r="O1652" s="3" t="s">
        <v>137</v>
      </c>
      <c r="P1652" s="3" t="s">
        <v>31</v>
      </c>
      <c r="Q1652" s="4">
        <v>3</v>
      </c>
      <c r="R1652" s="4" t="str">
        <f>IF(Table1[[#This Row],[Customer Ratings]]&gt;=4, "Good",IF(Table1[[#This Row],[Customer Ratings]]=3, "Average","Poor"))</f>
        <v>Average</v>
      </c>
      <c r="S1652" s="3" t="s">
        <v>90</v>
      </c>
    </row>
    <row r="1653" spans="1:19" x14ac:dyDescent="0.25">
      <c r="A1653" s="3">
        <v>1652</v>
      </c>
      <c r="B1653" s="5">
        <f>DATE(Table1[[#This Row],[Year]],Table1[[#This Row],[Month]],Table1[[#This Row],[Day]])</f>
        <v>44947</v>
      </c>
      <c r="C1653" s="3">
        <v>21</v>
      </c>
      <c r="D1653" s="3">
        <v>1</v>
      </c>
      <c r="E1653" s="3">
        <v>2023</v>
      </c>
      <c r="F1653" s="3" t="str">
        <f>"Qtr"&amp; " " &amp;CHOOSE(MONTH(Table1[[#This Row],[Date]]),1,1,1,2,2,2,3,3,3,4,4,4)</f>
        <v>Qtr 1</v>
      </c>
      <c r="G1653" s="3" t="str">
        <f>TEXT(Table1[[#This Row],[Date]],"mmmm")</f>
        <v>January</v>
      </c>
      <c r="H1653" s="3" t="s">
        <v>1079</v>
      </c>
      <c r="I1653" s="3" t="s">
        <v>39</v>
      </c>
      <c r="J1653" s="3">
        <v>9</v>
      </c>
      <c r="K1653" s="3">
        <v>64264.09</v>
      </c>
      <c r="L1653" s="3">
        <f>Table1[[#This Row],[Price Per Unit]]*Table1[[#This Row],[Units Sold]]</f>
        <v>578376.80999999994</v>
      </c>
      <c r="M1653" s="3" t="s">
        <v>883</v>
      </c>
      <c r="N1653" s="3">
        <v>24</v>
      </c>
      <c r="O1653" s="3" t="s">
        <v>125</v>
      </c>
      <c r="P1653" s="3" t="s">
        <v>45</v>
      </c>
      <c r="Q1653" s="4">
        <v>4</v>
      </c>
      <c r="R1653" s="4" t="str">
        <f>IF(Table1[[#This Row],[Customer Ratings]]&gt;=4, "Good",IF(Table1[[#This Row],[Customer Ratings]]=3, "Average","Poor"))</f>
        <v>Good</v>
      </c>
      <c r="S1653" s="3" t="s">
        <v>76</v>
      </c>
    </row>
    <row r="1654" spans="1:19" x14ac:dyDescent="0.25">
      <c r="A1654" s="3">
        <v>1653</v>
      </c>
      <c r="B1654" s="5">
        <f>DATE(Table1[[#This Row],[Year]],Table1[[#This Row],[Month]],Table1[[#This Row],[Day]])</f>
        <v>44948</v>
      </c>
      <c r="C1654" s="3">
        <v>22</v>
      </c>
      <c r="D1654" s="3">
        <v>1</v>
      </c>
      <c r="E1654" s="3">
        <v>2023</v>
      </c>
      <c r="F1654" s="3" t="str">
        <f>"Qtr"&amp; " " &amp;CHOOSE(MONTH(Table1[[#This Row],[Date]]),1,1,1,2,2,2,3,3,3,4,4,4)</f>
        <v>Qtr 1</v>
      </c>
      <c r="G1654" s="3" t="str">
        <f>TEXT(Table1[[#This Row],[Date]],"mmmm")</f>
        <v>January</v>
      </c>
      <c r="H1654" s="3" t="s">
        <v>1080</v>
      </c>
      <c r="I1654" s="3" t="s">
        <v>39</v>
      </c>
      <c r="J1654" s="3">
        <v>4</v>
      </c>
      <c r="K1654" s="3">
        <v>69933.960000000006</v>
      </c>
      <c r="L1654" s="3">
        <f>Table1[[#This Row],[Price Per Unit]]*Table1[[#This Row],[Units Sold]]</f>
        <v>279735.84000000003</v>
      </c>
      <c r="M1654" s="3" t="s">
        <v>762</v>
      </c>
      <c r="N1654" s="3">
        <v>39</v>
      </c>
      <c r="O1654" s="3" t="s">
        <v>54</v>
      </c>
      <c r="P1654" s="3" t="s">
        <v>45</v>
      </c>
      <c r="Q1654" s="4">
        <v>1</v>
      </c>
      <c r="R1654" s="4" t="str">
        <f>IF(Table1[[#This Row],[Customer Ratings]]&gt;=4, "Good",IF(Table1[[#This Row],[Customer Ratings]]=3, "Average","Poor"))</f>
        <v>Poor</v>
      </c>
      <c r="S1654" s="3" t="s">
        <v>42</v>
      </c>
    </row>
    <row r="1655" spans="1:19" x14ac:dyDescent="0.25">
      <c r="A1655" s="3">
        <v>1654</v>
      </c>
      <c r="B1655" s="5">
        <f>DATE(Table1[[#This Row],[Year]],Table1[[#This Row],[Month]],Table1[[#This Row],[Day]])</f>
        <v>44948</v>
      </c>
      <c r="C1655" s="3">
        <v>22</v>
      </c>
      <c r="D1655" s="3">
        <v>1</v>
      </c>
      <c r="E1655" s="3">
        <v>2023</v>
      </c>
      <c r="F1655" s="3" t="str">
        <f>"Qtr"&amp; " " &amp;CHOOSE(MONTH(Table1[[#This Row],[Date]]),1,1,1,2,2,2,3,3,3,4,4,4)</f>
        <v>Qtr 1</v>
      </c>
      <c r="G1655" s="3" t="str">
        <f>TEXT(Table1[[#This Row],[Date]],"mmmm")</f>
        <v>January</v>
      </c>
      <c r="H1655" s="3" t="s">
        <v>1080</v>
      </c>
      <c r="I1655" s="3" t="s">
        <v>28</v>
      </c>
      <c r="J1655" s="3">
        <v>8</v>
      </c>
      <c r="K1655" s="3">
        <v>69232.87</v>
      </c>
      <c r="L1655" s="3">
        <f>Table1[[#This Row],[Price Per Unit]]*Table1[[#This Row],[Units Sold]]</f>
        <v>553862.96</v>
      </c>
      <c r="M1655" s="3" t="s">
        <v>75</v>
      </c>
      <c r="N1655" s="3">
        <v>22</v>
      </c>
      <c r="O1655" s="3" t="s">
        <v>98</v>
      </c>
      <c r="P1655" s="3" t="s">
        <v>16</v>
      </c>
      <c r="Q1655" s="4">
        <v>5</v>
      </c>
      <c r="R1655" s="4" t="str">
        <f>IF(Table1[[#This Row],[Customer Ratings]]&gt;=4, "Good",IF(Table1[[#This Row],[Customer Ratings]]=3, "Average","Poor"))</f>
        <v>Good</v>
      </c>
      <c r="S1655" s="3" t="s">
        <v>87</v>
      </c>
    </row>
    <row r="1656" spans="1:19" x14ac:dyDescent="0.25">
      <c r="A1656" s="3">
        <v>1655</v>
      </c>
      <c r="B1656" s="5">
        <f>DATE(Table1[[#This Row],[Year]],Table1[[#This Row],[Month]],Table1[[#This Row],[Day]])</f>
        <v>44948</v>
      </c>
      <c r="C1656" s="3">
        <v>22</v>
      </c>
      <c r="D1656" s="3">
        <v>1</v>
      </c>
      <c r="E1656" s="3">
        <v>2023</v>
      </c>
      <c r="F1656" s="3" t="str">
        <f>"Qtr"&amp; " " &amp;CHOOSE(MONTH(Table1[[#This Row],[Date]]),1,1,1,2,2,2,3,3,3,4,4,4)</f>
        <v>Qtr 1</v>
      </c>
      <c r="G1656" s="3" t="str">
        <f>TEXT(Table1[[#This Row],[Date]],"mmmm")</f>
        <v>January</v>
      </c>
      <c r="H1656" s="3" t="s">
        <v>1080</v>
      </c>
      <c r="I1656" s="3" t="s">
        <v>18</v>
      </c>
      <c r="J1656" s="3">
        <v>7</v>
      </c>
      <c r="K1656" s="3">
        <v>62900.47</v>
      </c>
      <c r="L1656" s="3">
        <f>Table1[[#This Row],[Price Per Unit]]*Table1[[#This Row],[Units Sold]]</f>
        <v>440303.29000000004</v>
      </c>
      <c r="M1656" s="3" t="s">
        <v>574</v>
      </c>
      <c r="N1656" s="3">
        <v>32</v>
      </c>
      <c r="O1656" s="3" t="s">
        <v>24</v>
      </c>
      <c r="P1656" s="3" t="s">
        <v>31</v>
      </c>
      <c r="Q1656" s="4">
        <v>1</v>
      </c>
      <c r="R1656" s="4" t="str">
        <f>IF(Table1[[#This Row],[Customer Ratings]]&gt;=4, "Good",IF(Table1[[#This Row],[Customer Ratings]]=3, "Average","Poor"))</f>
        <v>Poor</v>
      </c>
      <c r="S1656" s="3" t="s">
        <v>25</v>
      </c>
    </row>
    <row r="1657" spans="1:19" x14ac:dyDescent="0.25">
      <c r="A1657" s="3">
        <v>1656</v>
      </c>
      <c r="B1657" s="5">
        <f>DATE(Table1[[#This Row],[Year]],Table1[[#This Row],[Month]],Table1[[#This Row],[Day]])</f>
        <v>44949</v>
      </c>
      <c r="C1657" s="3">
        <v>23</v>
      </c>
      <c r="D1657" s="3">
        <v>1</v>
      </c>
      <c r="E1657" s="3">
        <v>2023</v>
      </c>
      <c r="F1657" s="3" t="str">
        <f>"Qtr"&amp; " " &amp;CHOOSE(MONTH(Table1[[#This Row],[Date]]),1,1,1,2,2,2,3,3,3,4,4,4)</f>
        <v>Qtr 1</v>
      </c>
      <c r="G1657" s="3" t="str">
        <f>TEXT(Table1[[#This Row],[Date]],"mmmm")</f>
        <v>January</v>
      </c>
      <c r="H1657" s="3" t="s">
        <v>1081</v>
      </c>
      <c r="I1657" s="3" t="s">
        <v>18</v>
      </c>
      <c r="J1657" s="3">
        <v>7</v>
      </c>
      <c r="K1657" s="3">
        <v>33679.61</v>
      </c>
      <c r="L1657" s="3">
        <f>Table1[[#This Row],[Price Per Unit]]*Table1[[#This Row],[Units Sold]]</f>
        <v>235757.27000000002</v>
      </c>
      <c r="M1657" s="3" t="s">
        <v>815</v>
      </c>
      <c r="N1657" s="3">
        <v>38</v>
      </c>
      <c r="O1657" s="3" t="s">
        <v>24</v>
      </c>
      <c r="P1657" s="3" t="s">
        <v>31</v>
      </c>
      <c r="Q1657" s="4">
        <v>3</v>
      </c>
      <c r="R1657" s="4" t="str">
        <f>IF(Table1[[#This Row],[Customer Ratings]]&gt;=4, "Good",IF(Table1[[#This Row],[Customer Ratings]]=3, "Average","Poor"))</f>
        <v>Average</v>
      </c>
      <c r="S1657" s="3" t="s">
        <v>22</v>
      </c>
    </row>
    <row r="1658" spans="1:19" x14ac:dyDescent="0.25">
      <c r="A1658" s="3">
        <v>1657</v>
      </c>
      <c r="B1658" s="5">
        <f>DATE(Table1[[#This Row],[Year]],Table1[[#This Row],[Month]],Table1[[#This Row],[Day]])</f>
        <v>44949</v>
      </c>
      <c r="C1658" s="3">
        <v>23</v>
      </c>
      <c r="D1658" s="3">
        <v>1</v>
      </c>
      <c r="E1658" s="3">
        <v>2023</v>
      </c>
      <c r="F1658" s="3" t="str">
        <f>"Qtr"&amp; " " &amp;CHOOSE(MONTH(Table1[[#This Row],[Date]]),1,1,1,2,2,2,3,3,3,4,4,4)</f>
        <v>Qtr 1</v>
      </c>
      <c r="G1658" s="3" t="str">
        <f>TEXT(Table1[[#This Row],[Date]],"mmmm")</f>
        <v>January</v>
      </c>
      <c r="H1658" s="3" t="s">
        <v>1081</v>
      </c>
      <c r="I1658" s="3" t="s">
        <v>33</v>
      </c>
      <c r="J1658" s="3">
        <v>8</v>
      </c>
      <c r="K1658" s="3">
        <v>51194.46</v>
      </c>
      <c r="L1658" s="3">
        <f>Table1[[#This Row],[Price Per Unit]]*Table1[[#This Row],[Units Sold]]</f>
        <v>409555.68</v>
      </c>
      <c r="M1658" s="3" t="s">
        <v>754</v>
      </c>
      <c r="N1658" s="3">
        <v>42</v>
      </c>
      <c r="O1658" s="3" t="s">
        <v>48</v>
      </c>
      <c r="P1658" s="3" t="s">
        <v>45</v>
      </c>
      <c r="Q1658" s="4">
        <v>5</v>
      </c>
      <c r="R1658" s="4" t="str">
        <f>IF(Table1[[#This Row],[Customer Ratings]]&gt;=4, "Good",IF(Table1[[#This Row],[Customer Ratings]]=3, "Average","Poor"))</f>
        <v>Good</v>
      </c>
      <c r="S1658" s="3" t="s">
        <v>36</v>
      </c>
    </row>
    <row r="1659" spans="1:19" x14ac:dyDescent="0.25">
      <c r="A1659" s="3">
        <v>1658</v>
      </c>
      <c r="B1659" s="5">
        <f>DATE(Table1[[#This Row],[Year]],Table1[[#This Row],[Month]],Table1[[#This Row],[Day]])</f>
        <v>44949</v>
      </c>
      <c r="C1659" s="3">
        <v>23</v>
      </c>
      <c r="D1659" s="3">
        <v>1</v>
      </c>
      <c r="E1659" s="3">
        <v>2023</v>
      </c>
      <c r="F1659" s="3" t="str">
        <f>"Qtr"&amp; " " &amp;CHOOSE(MONTH(Table1[[#This Row],[Date]]),1,1,1,2,2,2,3,3,3,4,4,4)</f>
        <v>Qtr 1</v>
      </c>
      <c r="G1659" s="3" t="str">
        <f>TEXT(Table1[[#This Row],[Date]],"mmmm")</f>
        <v>January</v>
      </c>
      <c r="H1659" s="3" t="s">
        <v>1081</v>
      </c>
      <c r="I1659" s="3" t="s">
        <v>28</v>
      </c>
      <c r="J1659" s="3">
        <v>1</v>
      </c>
      <c r="K1659" s="3">
        <v>34995.53</v>
      </c>
      <c r="L1659" s="3">
        <f>Table1[[#This Row],[Price Per Unit]]*Table1[[#This Row],[Units Sold]]</f>
        <v>34995.53</v>
      </c>
      <c r="M1659" s="3" t="s">
        <v>162</v>
      </c>
      <c r="N1659" s="3">
        <v>34</v>
      </c>
      <c r="O1659" s="3" t="s">
        <v>20</v>
      </c>
      <c r="P1659" s="3" t="s">
        <v>21</v>
      </c>
      <c r="Q1659" s="4">
        <v>4</v>
      </c>
      <c r="R1659" s="4" t="str">
        <f>IF(Table1[[#This Row],[Customer Ratings]]&gt;=4, "Good",IF(Table1[[#This Row],[Customer Ratings]]=3, "Average","Poor"))</f>
        <v>Good</v>
      </c>
      <c r="S1659" s="3" t="s">
        <v>32</v>
      </c>
    </row>
    <row r="1660" spans="1:19" x14ac:dyDescent="0.25">
      <c r="A1660" s="3">
        <v>1659</v>
      </c>
      <c r="B1660" s="5">
        <f>DATE(Table1[[#This Row],[Year]],Table1[[#This Row],[Month]],Table1[[#This Row],[Day]])</f>
        <v>44949</v>
      </c>
      <c r="C1660" s="3">
        <v>23</v>
      </c>
      <c r="D1660" s="3">
        <v>1</v>
      </c>
      <c r="E1660" s="3">
        <v>2023</v>
      </c>
      <c r="F1660" s="3" t="str">
        <f>"Qtr"&amp; " " &amp;CHOOSE(MONTH(Table1[[#This Row],[Date]]),1,1,1,2,2,2,3,3,3,4,4,4)</f>
        <v>Qtr 1</v>
      </c>
      <c r="G1660" s="3" t="str">
        <f>TEXT(Table1[[#This Row],[Date]],"mmmm")</f>
        <v>January</v>
      </c>
      <c r="H1660" s="3" t="s">
        <v>1081</v>
      </c>
      <c r="I1660" s="3" t="s">
        <v>39</v>
      </c>
      <c r="J1660" s="3">
        <v>5</v>
      </c>
      <c r="K1660" s="3">
        <v>48911.62</v>
      </c>
      <c r="L1660" s="3">
        <f>Table1[[#This Row],[Price Per Unit]]*Table1[[#This Row],[Units Sold]]</f>
        <v>244558.1</v>
      </c>
      <c r="M1660" s="3" t="s">
        <v>242</v>
      </c>
      <c r="N1660" s="3">
        <v>24</v>
      </c>
      <c r="O1660" s="3" t="s">
        <v>52</v>
      </c>
      <c r="P1660" s="3" t="s">
        <v>21</v>
      </c>
      <c r="Q1660" s="4">
        <v>4</v>
      </c>
      <c r="R1660" s="4" t="str">
        <f>IF(Table1[[#This Row],[Customer Ratings]]&gt;=4, "Good",IF(Table1[[#This Row],[Customer Ratings]]=3, "Average","Poor"))</f>
        <v>Good</v>
      </c>
      <c r="S1660" s="3" t="s">
        <v>76</v>
      </c>
    </row>
    <row r="1661" spans="1:19" x14ac:dyDescent="0.25">
      <c r="A1661" s="3">
        <v>1660</v>
      </c>
      <c r="B1661" s="5">
        <f>DATE(Table1[[#This Row],[Year]],Table1[[#This Row],[Month]],Table1[[#This Row],[Day]])</f>
        <v>44950</v>
      </c>
      <c r="C1661" s="3">
        <v>24</v>
      </c>
      <c r="D1661" s="3">
        <v>1</v>
      </c>
      <c r="E1661" s="3">
        <v>2023</v>
      </c>
      <c r="F1661" s="3" t="str">
        <f>"Qtr"&amp; " " &amp;CHOOSE(MONTH(Table1[[#This Row],[Date]]),1,1,1,2,2,2,3,3,3,4,4,4)</f>
        <v>Qtr 1</v>
      </c>
      <c r="G1661" s="3" t="str">
        <f>TEXT(Table1[[#This Row],[Date]],"mmmm")</f>
        <v>January</v>
      </c>
      <c r="H1661" s="3" t="s">
        <v>1082</v>
      </c>
      <c r="I1661" s="3" t="s">
        <v>39</v>
      </c>
      <c r="J1661" s="3">
        <v>2</v>
      </c>
      <c r="K1661" s="3">
        <v>28565.95</v>
      </c>
      <c r="L1661" s="3">
        <f>Table1[[#This Row],[Price Per Unit]]*Table1[[#This Row],[Units Sold]]</f>
        <v>57131.9</v>
      </c>
      <c r="M1661" s="3" t="s">
        <v>228</v>
      </c>
      <c r="N1661" s="3">
        <v>36</v>
      </c>
      <c r="O1661" s="3" t="s">
        <v>24</v>
      </c>
      <c r="P1661" s="3" t="s">
        <v>16</v>
      </c>
      <c r="Q1661" s="4">
        <v>1</v>
      </c>
      <c r="R1661" s="4" t="str">
        <f>IF(Table1[[#This Row],[Customer Ratings]]&gt;=4, "Good",IF(Table1[[#This Row],[Customer Ratings]]=3, "Average","Poor"))</f>
        <v>Poor</v>
      </c>
      <c r="S1661" s="3" t="s">
        <v>42</v>
      </c>
    </row>
    <row r="1662" spans="1:19" x14ac:dyDescent="0.25">
      <c r="A1662" s="3">
        <v>1661</v>
      </c>
      <c r="B1662" s="5">
        <f>DATE(Table1[[#This Row],[Year]],Table1[[#This Row],[Month]],Table1[[#This Row],[Day]])</f>
        <v>44950</v>
      </c>
      <c r="C1662" s="3">
        <v>24</v>
      </c>
      <c r="D1662" s="3">
        <v>1</v>
      </c>
      <c r="E1662" s="3">
        <v>2023</v>
      </c>
      <c r="F1662" s="3" t="str">
        <f>"Qtr"&amp; " " &amp;CHOOSE(MONTH(Table1[[#This Row],[Date]]),1,1,1,2,2,2,3,3,3,4,4,4)</f>
        <v>Qtr 1</v>
      </c>
      <c r="G1662" s="3" t="str">
        <f>TEXT(Table1[[#This Row],[Date]],"mmmm")</f>
        <v>January</v>
      </c>
      <c r="H1662" s="3" t="s">
        <v>1082</v>
      </c>
      <c r="I1662" s="3" t="s">
        <v>13</v>
      </c>
      <c r="J1662" s="3">
        <v>2</v>
      </c>
      <c r="K1662" s="3">
        <v>46372.14</v>
      </c>
      <c r="L1662" s="3">
        <f>Table1[[#This Row],[Price Per Unit]]*Table1[[#This Row],[Units Sold]]</f>
        <v>92744.28</v>
      </c>
      <c r="M1662" s="3" t="s">
        <v>472</v>
      </c>
      <c r="N1662" s="3">
        <v>24</v>
      </c>
      <c r="O1662" s="3" t="s">
        <v>125</v>
      </c>
      <c r="P1662" s="3" t="s">
        <v>45</v>
      </c>
      <c r="Q1662" s="4">
        <v>1</v>
      </c>
      <c r="R1662" s="4" t="str">
        <f>IF(Table1[[#This Row],[Customer Ratings]]&gt;=4, "Good",IF(Table1[[#This Row],[Customer Ratings]]=3, "Average","Poor"))</f>
        <v>Poor</v>
      </c>
      <c r="S1662" s="3" t="s">
        <v>17</v>
      </c>
    </row>
    <row r="1663" spans="1:19" x14ac:dyDescent="0.25">
      <c r="A1663" s="3">
        <v>1662</v>
      </c>
      <c r="B1663" s="5">
        <f>DATE(Table1[[#This Row],[Year]],Table1[[#This Row],[Month]],Table1[[#This Row],[Day]])</f>
        <v>44950</v>
      </c>
      <c r="C1663" s="3">
        <v>24</v>
      </c>
      <c r="D1663" s="3">
        <v>1</v>
      </c>
      <c r="E1663" s="3">
        <v>2023</v>
      </c>
      <c r="F1663" s="3" t="str">
        <f>"Qtr"&amp; " " &amp;CHOOSE(MONTH(Table1[[#This Row],[Date]]),1,1,1,2,2,2,3,3,3,4,4,4)</f>
        <v>Qtr 1</v>
      </c>
      <c r="G1663" s="3" t="str">
        <f>TEXT(Table1[[#This Row],[Date]],"mmmm")</f>
        <v>January</v>
      </c>
      <c r="H1663" s="3" t="s">
        <v>1082</v>
      </c>
      <c r="I1663" s="3" t="s">
        <v>13</v>
      </c>
      <c r="J1663" s="3">
        <v>1</v>
      </c>
      <c r="K1663" s="3">
        <v>41425.51</v>
      </c>
      <c r="L1663" s="3">
        <f>Table1[[#This Row],[Price Per Unit]]*Table1[[#This Row],[Units Sold]]</f>
        <v>41425.51</v>
      </c>
      <c r="M1663" s="3" t="s">
        <v>675</v>
      </c>
      <c r="N1663" s="3">
        <v>57</v>
      </c>
      <c r="O1663" s="3" t="s">
        <v>20</v>
      </c>
      <c r="P1663" s="3" t="s">
        <v>16</v>
      </c>
      <c r="Q1663" s="4">
        <v>4</v>
      </c>
      <c r="R1663" s="4" t="str">
        <f>IF(Table1[[#This Row],[Customer Ratings]]&gt;=4, "Good",IF(Table1[[#This Row],[Customer Ratings]]=3, "Average","Poor"))</f>
        <v>Good</v>
      </c>
      <c r="S1663" s="3" t="s">
        <v>17</v>
      </c>
    </row>
    <row r="1664" spans="1:19" x14ac:dyDescent="0.25">
      <c r="A1664" s="3">
        <v>1663</v>
      </c>
      <c r="B1664" s="5">
        <f>DATE(Table1[[#This Row],[Year]],Table1[[#This Row],[Month]],Table1[[#This Row],[Day]])</f>
        <v>44951</v>
      </c>
      <c r="C1664" s="3">
        <v>25</v>
      </c>
      <c r="D1664" s="3">
        <v>1</v>
      </c>
      <c r="E1664" s="3">
        <v>2023</v>
      </c>
      <c r="F1664" s="3" t="str">
        <f>"Qtr"&amp; " " &amp;CHOOSE(MONTH(Table1[[#This Row],[Date]]),1,1,1,2,2,2,3,3,3,4,4,4)</f>
        <v>Qtr 1</v>
      </c>
      <c r="G1664" s="3" t="str">
        <f>TEXT(Table1[[#This Row],[Date]],"mmmm")</f>
        <v>January</v>
      </c>
      <c r="H1664" s="3" t="s">
        <v>1083</v>
      </c>
      <c r="I1664" s="3" t="s">
        <v>39</v>
      </c>
      <c r="J1664" s="3">
        <v>5</v>
      </c>
      <c r="K1664" s="3">
        <v>11468.82</v>
      </c>
      <c r="L1664" s="3">
        <f>Table1[[#This Row],[Price Per Unit]]*Table1[[#This Row],[Units Sold]]</f>
        <v>57344.1</v>
      </c>
      <c r="M1664" s="3" t="s">
        <v>238</v>
      </c>
      <c r="N1664" s="3">
        <v>41</v>
      </c>
      <c r="O1664" s="3" t="s">
        <v>41</v>
      </c>
      <c r="P1664" s="3" t="s">
        <v>16</v>
      </c>
      <c r="Q1664" s="4">
        <v>4</v>
      </c>
      <c r="R1664" s="4" t="str">
        <f>IF(Table1[[#This Row],[Customer Ratings]]&gt;=4, "Good",IF(Table1[[#This Row],[Customer Ratings]]=3, "Average","Poor"))</f>
        <v>Good</v>
      </c>
      <c r="S1664" s="3" t="s">
        <v>76</v>
      </c>
    </row>
    <row r="1665" spans="1:19" x14ac:dyDescent="0.25">
      <c r="A1665" s="3">
        <v>1664</v>
      </c>
      <c r="B1665" s="5">
        <f>DATE(Table1[[#This Row],[Year]],Table1[[#This Row],[Month]],Table1[[#This Row],[Day]])</f>
        <v>44951</v>
      </c>
      <c r="C1665" s="3">
        <v>25</v>
      </c>
      <c r="D1665" s="3">
        <v>1</v>
      </c>
      <c r="E1665" s="3">
        <v>2023</v>
      </c>
      <c r="F1665" s="3" t="str">
        <f>"Qtr"&amp; " " &amp;CHOOSE(MONTH(Table1[[#This Row],[Date]]),1,1,1,2,2,2,3,3,3,4,4,4)</f>
        <v>Qtr 1</v>
      </c>
      <c r="G1665" s="3" t="str">
        <f>TEXT(Table1[[#This Row],[Date]],"mmmm")</f>
        <v>January</v>
      </c>
      <c r="H1665" s="3" t="s">
        <v>1083</v>
      </c>
      <c r="I1665" s="3" t="s">
        <v>39</v>
      </c>
      <c r="J1665" s="3">
        <v>2</v>
      </c>
      <c r="K1665" s="3">
        <v>57442.17</v>
      </c>
      <c r="L1665" s="3">
        <f>Table1[[#This Row],[Price Per Unit]]*Table1[[#This Row],[Units Sold]]</f>
        <v>114884.34</v>
      </c>
      <c r="M1665" s="3" t="s">
        <v>400</v>
      </c>
      <c r="N1665" s="3">
        <v>28</v>
      </c>
      <c r="O1665" s="3" t="s">
        <v>20</v>
      </c>
      <c r="P1665" s="3" t="s">
        <v>21</v>
      </c>
      <c r="Q1665" s="4">
        <v>5</v>
      </c>
      <c r="R1665" s="4" t="str">
        <f>IF(Table1[[#This Row],[Customer Ratings]]&gt;=4, "Good",IF(Table1[[#This Row],[Customer Ratings]]=3, "Average","Poor"))</f>
        <v>Good</v>
      </c>
      <c r="S1665" s="3" t="s">
        <v>76</v>
      </c>
    </row>
    <row r="1666" spans="1:19" x14ac:dyDescent="0.25">
      <c r="A1666" s="3">
        <v>1665</v>
      </c>
      <c r="B1666" s="5">
        <f>DATE(Table1[[#This Row],[Year]],Table1[[#This Row],[Month]],Table1[[#This Row],[Day]])</f>
        <v>44951</v>
      </c>
      <c r="C1666" s="3">
        <v>25</v>
      </c>
      <c r="D1666" s="3">
        <v>1</v>
      </c>
      <c r="E1666" s="3">
        <v>2023</v>
      </c>
      <c r="F1666" s="3" t="str">
        <f>"Qtr"&amp; " " &amp;CHOOSE(MONTH(Table1[[#This Row],[Date]]),1,1,1,2,2,2,3,3,3,4,4,4)</f>
        <v>Qtr 1</v>
      </c>
      <c r="G1666" s="3" t="str">
        <f>TEXT(Table1[[#This Row],[Date]],"mmmm")</f>
        <v>January</v>
      </c>
      <c r="H1666" s="3" t="s">
        <v>1083</v>
      </c>
      <c r="I1666" s="3" t="s">
        <v>28</v>
      </c>
      <c r="J1666" s="3">
        <v>4</v>
      </c>
      <c r="K1666" s="3">
        <v>10713.87</v>
      </c>
      <c r="L1666" s="3">
        <f>Table1[[#This Row],[Price Per Unit]]*Table1[[#This Row],[Units Sold]]</f>
        <v>42855.48</v>
      </c>
      <c r="M1666" s="3" t="s">
        <v>884</v>
      </c>
      <c r="N1666" s="3">
        <v>58</v>
      </c>
      <c r="O1666" s="3" t="s">
        <v>30</v>
      </c>
      <c r="P1666" s="3" t="s">
        <v>45</v>
      </c>
      <c r="Q1666" s="4">
        <v>3</v>
      </c>
      <c r="R1666" s="4" t="str">
        <f>IF(Table1[[#This Row],[Customer Ratings]]&gt;=4, "Good",IF(Table1[[#This Row],[Customer Ratings]]=3, "Average","Poor"))</f>
        <v>Average</v>
      </c>
      <c r="S1666" s="3" t="s">
        <v>87</v>
      </c>
    </row>
    <row r="1667" spans="1:19" x14ac:dyDescent="0.25">
      <c r="A1667" s="3">
        <v>1666</v>
      </c>
      <c r="B1667" s="5">
        <f>DATE(Table1[[#This Row],[Year]],Table1[[#This Row],[Month]],Table1[[#This Row],[Day]])</f>
        <v>44951</v>
      </c>
      <c r="C1667" s="3">
        <v>25</v>
      </c>
      <c r="D1667" s="3">
        <v>1</v>
      </c>
      <c r="E1667" s="3">
        <v>2023</v>
      </c>
      <c r="F1667" s="3" t="str">
        <f>"Qtr"&amp; " " &amp;CHOOSE(MONTH(Table1[[#This Row],[Date]]),1,1,1,2,2,2,3,3,3,4,4,4)</f>
        <v>Qtr 1</v>
      </c>
      <c r="G1667" s="3" t="str">
        <f>TEXT(Table1[[#This Row],[Date]],"mmmm")</f>
        <v>January</v>
      </c>
      <c r="H1667" s="3" t="s">
        <v>1083</v>
      </c>
      <c r="I1667" s="3" t="s">
        <v>18</v>
      </c>
      <c r="J1667" s="3">
        <v>3</v>
      </c>
      <c r="K1667" s="3">
        <v>27589.360000000001</v>
      </c>
      <c r="L1667" s="3">
        <f>Table1[[#This Row],[Price Per Unit]]*Table1[[#This Row],[Units Sold]]</f>
        <v>82768.08</v>
      </c>
      <c r="M1667" s="3" t="s">
        <v>79</v>
      </c>
      <c r="N1667" s="3">
        <v>18</v>
      </c>
      <c r="O1667" s="3" t="s">
        <v>20</v>
      </c>
      <c r="P1667" s="3" t="s">
        <v>16</v>
      </c>
      <c r="Q1667" s="4">
        <v>5</v>
      </c>
      <c r="R1667" s="4" t="str">
        <f>IF(Table1[[#This Row],[Customer Ratings]]&gt;=4, "Good",IF(Table1[[#This Row],[Customer Ratings]]=3, "Average","Poor"))</f>
        <v>Good</v>
      </c>
      <c r="S1667" s="3" t="s">
        <v>25</v>
      </c>
    </row>
    <row r="1668" spans="1:19" x14ac:dyDescent="0.25">
      <c r="A1668" s="3">
        <v>1667</v>
      </c>
      <c r="B1668" s="5">
        <f>DATE(Table1[[#This Row],[Year]],Table1[[#This Row],[Month]],Table1[[#This Row],[Day]])</f>
        <v>44952</v>
      </c>
      <c r="C1668" s="3">
        <v>26</v>
      </c>
      <c r="D1668" s="3">
        <v>1</v>
      </c>
      <c r="E1668" s="3">
        <v>2023</v>
      </c>
      <c r="F1668" s="3" t="str">
        <f>"Qtr"&amp; " " &amp;CHOOSE(MONTH(Table1[[#This Row],[Date]]),1,1,1,2,2,2,3,3,3,4,4,4)</f>
        <v>Qtr 1</v>
      </c>
      <c r="G1668" s="3" t="str">
        <f>TEXT(Table1[[#This Row],[Date]],"mmmm")</f>
        <v>January</v>
      </c>
      <c r="H1668" s="3" t="s">
        <v>1084</v>
      </c>
      <c r="I1668" s="3" t="s">
        <v>13</v>
      </c>
      <c r="J1668" s="3">
        <v>3</v>
      </c>
      <c r="K1668" s="3">
        <v>10355.44</v>
      </c>
      <c r="L1668" s="3">
        <f>Table1[[#This Row],[Price Per Unit]]*Table1[[#This Row],[Units Sold]]</f>
        <v>31066.32</v>
      </c>
      <c r="M1668" s="3" t="s">
        <v>93</v>
      </c>
      <c r="N1668" s="3">
        <v>49</v>
      </c>
      <c r="O1668" s="3" t="s">
        <v>98</v>
      </c>
      <c r="P1668" s="3" t="s">
        <v>21</v>
      </c>
      <c r="Q1668" s="4">
        <v>5</v>
      </c>
      <c r="R1668" s="4" t="str">
        <f>IF(Table1[[#This Row],[Customer Ratings]]&gt;=4, "Good",IF(Table1[[#This Row],[Customer Ratings]]=3, "Average","Poor"))</f>
        <v>Good</v>
      </c>
      <c r="S1668" s="3" t="s">
        <v>17</v>
      </c>
    </row>
    <row r="1669" spans="1:19" x14ac:dyDescent="0.25">
      <c r="A1669" s="3">
        <v>1668</v>
      </c>
      <c r="B1669" s="5">
        <f>DATE(Table1[[#This Row],[Year]],Table1[[#This Row],[Month]],Table1[[#This Row],[Day]])</f>
        <v>44952</v>
      </c>
      <c r="C1669" s="3">
        <v>26</v>
      </c>
      <c r="D1669" s="3">
        <v>1</v>
      </c>
      <c r="E1669" s="3">
        <v>2023</v>
      </c>
      <c r="F1669" s="3" t="str">
        <f>"Qtr"&amp; " " &amp;CHOOSE(MONTH(Table1[[#This Row],[Date]]),1,1,1,2,2,2,3,3,3,4,4,4)</f>
        <v>Qtr 1</v>
      </c>
      <c r="G1669" s="3" t="str">
        <f>TEXT(Table1[[#This Row],[Date]],"mmmm")</f>
        <v>January</v>
      </c>
      <c r="H1669" s="3" t="s">
        <v>1084</v>
      </c>
      <c r="I1669" s="3" t="s">
        <v>18</v>
      </c>
      <c r="J1669" s="3">
        <v>2</v>
      </c>
      <c r="K1669" s="3">
        <v>32572.080000000002</v>
      </c>
      <c r="L1669" s="3">
        <f>Table1[[#This Row],[Price Per Unit]]*Table1[[#This Row],[Units Sold]]</f>
        <v>65144.160000000003</v>
      </c>
      <c r="M1669" s="3" t="s">
        <v>885</v>
      </c>
      <c r="N1669" s="3">
        <v>57</v>
      </c>
      <c r="O1669" s="3" t="s">
        <v>30</v>
      </c>
      <c r="P1669" s="3" t="s">
        <v>21</v>
      </c>
      <c r="Q1669" s="4">
        <v>4</v>
      </c>
      <c r="R1669" s="4" t="str">
        <f>IF(Table1[[#This Row],[Customer Ratings]]&gt;=4, "Good",IF(Table1[[#This Row],[Customer Ratings]]=3, "Average","Poor"))</f>
        <v>Good</v>
      </c>
      <c r="S1669" s="3" t="s">
        <v>25</v>
      </c>
    </row>
    <row r="1670" spans="1:19" x14ac:dyDescent="0.25">
      <c r="A1670" s="3">
        <v>1669</v>
      </c>
      <c r="B1670" s="5">
        <f>DATE(Table1[[#This Row],[Year]],Table1[[#This Row],[Month]],Table1[[#This Row],[Day]])</f>
        <v>44952</v>
      </c>
      <c r="C1670" s="3">
        <v>26</v>
      </c>
      <c r="D1670" s="3">
        <v>1</v>
      </c>
      <c r="E1670" s="3">
        <v>2023</v>
      </c>
      <c r="F1670" s="3" t="str">
        <f>"Qtr"&amp; " " &amp;CHOOSE(MONTH(Table1[[#This Row],[Date]]),1,1,1,2,2,2,3,3,3,4,4,4)</f>
        <v>Qtr 1</v>
      </c>
      <c r="G1670" s="3" t="str">
        <f>TEXT(Table1[[#This Row],[Date]],"mmmm")</f>
        <v>January</v>
      </c>
      <c r="H1670" s="3" t="s">
        <v>1084</v>
      </c>
      <c r="I1670" s="3" t="s">
        <v>28</v>
      </c>
      <c r="J1670" s="3">
        <v>6</v>
      </c>
      <c r="K1670" s="3">
        <v>13789.63</v>
      </c>
      <c r="L1670" s="3">
        <f>Table1[[#This Row],[Price Per Unit]]*Table1[[#This Row],[Units Sold]]</f>
        <v>82737.78</v>
      </c>
      <c r="M1670" s="3" t="s">
        <v>383</v>
      </c>
      <c r="N1670" s="3">
        <v>19</v>
      </c>
      <c r="O1670" s="3" t="s">
        <v>20</v>
      </c>
      <c r="P1670" s="3" t="s">
        <v>31</v>
      </c>
      <c r="Q1670" s="4">
        <v>3</v>
      </c>
      <c r="R1670" s="4" t="str">
        <f>IF(Table1[[#This Row],[Customer Ratings]]&gt;=4, "Good",IF(Table1[[#This Row],[Customer Ratings]]=3, "Average","Poor"))</f>
        <v>Average</v>
      </c>
      <c r="S1670" s="3" t="s">
        <v>87</v>
      </c>
    </row>
    <row r="1671" spans="1:19" x14ac:dyDescent="0.25">
      <c r="A1671" s="3">
        <v>1670</v>
      </c>
      <c r="B1671" s="5">
        <f>DATE(Table1[[#This Row],[Year]],Table1[[#This Row],[Month]],Table1[[#This Row],[Day]])</f>
        <v>44953</v>
      </c>
      <c r="C1671" s="3">
        <v>27</v>
      </c>
      <c r="D1671" s="3">
        <v>1</v>
      </c>
      <c r="E1671" s="3">
        <v>2023</v>
      </c>
      <c r="F1671" s="3" t="str">
        <f>"Qtr"&amp; " " &amp;CHOOSE(MONTH(Table1[[#This Row],[Date]]),1,1,1,2,2,2,3,3,3,4,4,4)</f>
        <v>Qtr 1</v>
      </c>
      <c r="G1671" s="3" t="str">
        <f>TEXT(Table1[[#This Row],[Date]],"mmmm")</f>
        <v>January</v>
      </c>
      <c r="H1671" s="3" t="s">
        <v>1085</v>
      </c>
      <c r="I1671" s="3" t="s">
        <v>39</v>
      </c>
      <c r="J1671" s="3">
        <v>2</v>
      </c>
      <c r="K1671" s="3">
        <v>64810.66</v>
      </c>
      <c r="L1671" s="3">
        <f>Table1[[#This Row],[Price Per Unit]]*Table1[[#This Row],[Units Sold]]</f>
        <v>129621.32</v>
      </c>
      <c r="M1671" s="3" t="s">
        <v>99</v>
      </c>
      <c r="N1671" s="3">
        <v>32</v>
      </c>
      <c r="O1671" s="3" t="s">
        <v>20</v>
      </c>
      <c r="P1671" s="3" t="s">
        <v>45</v>
      </c>
      <c r="Q1671" s="4">
        <v>4</v>
      </c>
      <c r="R1671" s="4" t="str">
        <f>IF(Table1[[#This Row],[Customer Ratings]]&gt;=4, "Good",IF(Table1[[#This Row],[Customer Ratings]]=3, "Average","Poor"))</f>
        <v>Good</v>
      </c>
      <c r="S1671" s="3" t="s">
        <v>42</v>
      </c>
    </row>
    <row r="1672" spans="1:19" x14ac:dyDescent="0.25">
      <c r="A1672" s="3">
        <v>1671</v>
      </c>
      <c r="B1672" s="5">
        <f>DATE(Table1[[#This Row],[Year]],Table1[[#This Row],[Month]],Table1[[#This Row],[Day]])</f>
        <v>44953</v>
      </c>
      <c r="C1672" s="3">
        <v>27</v>
      </c>
      <c r="D1672" s="3">
        <v>1</v>
      </c>
      <c r="E1672" s="3">
        <v>2023</v>
      </c>
      <c r="F1672" s="3" t="str">
        <f>"Qtr"&amp; " " &amp;CHOOSE(MONTH(Table1[[#This Row],[Date]]),1,1,1,2,2,2,3,3,3,4,4,4)</f>
        <v>Qtr 1</v>
      </c>
      <c r="G1672" s="3" t="str">
        <f>TEXT(Table1[[#This Row],[Date]],"mmmm")</f>
        <v>January</v>
      </c>
      <c r="H1672" s="3" t="s">
        <v>1085</v>
      </c>
      <c r="I1672" s="3" t="s">
        <v>18</v>
      </c>
      <c r="J1672" s="3">
        <v>8</v>
      </c>
      <c r="K1672" s="3">
        <v>34940.76</v>
      </c>
      <c r="L1672" s="3">
        <f>Table1[[#This Row],[Price Per Unit]]*Table1[[#This Row],[Units Sold]]</f>
        <v>279526.08</v>
      </c>
      <c r="M1672" s="3" t="s">
        <v>814</v>
      </c>
      <c r="N1672" s="3">
        <v>38</v>
      </c>
      <c r="O1672" s="3" t="s">
        <v>105</v>
      </c>
      <c r="P1672" s="3" t="s">
        <v>45</v>
      </c>
      <c r="Q1672" s="4">
        <v>5</v>
      </c>
      <c r="R1672" s="4" t="str">
        <f>IF(Table1[[#This Row],[Customer Ratings]]&gt;=4, "Good",IF(Table1[[#This Row],[Customer Ratings]]=3, "Average","Poor"))</f>
        <v>Good</v>
      </c>
      <c r="S1672" s="3" t="s">
        <v>22</v>
      </c>
    </row>
    <row r="1673" spans="1:19" x14ac:dyDescent="0.25">
      <c r="A1673" s="3">
        <v>1672</v>
      </c>
      <c r="B1673" s="5">
        <f>DATE(Table1[[#This Row],[Year]],Table1[[#This Row],[Month]],Table1[[#This Row],[Day]])</f>
        <v>44953</v>
      </c>
      <c r="C1673" s="3">
        <v>27</v>
      </c>
      <c r="D1673" s="3">
        <v>1</v>
      </c>
      <c r="E1673" s="3">
        <v>2023</v>
      </c>
      <c r="F1673" s="3" t="str">
        <f>"Qtr"&amp; " " &amp;CHOOSE(MONTH(Table1[[#This Row],[Date]]),1,1,1,2,2,2,3,3,3,4,4,4)</f>
        <v>Qtr 1</v>
      </c>
      <c r="G1673" s="3" t="str">
        <f>TEXT(Table1[[#This Row],[Date]],"mmmm")</f>
        <v>January</v>
      </c>
      <c r="H1673" s="3" t="s">
        <v>1085</v>
      </c>
      <c r="I1673" s="3" t="s">
        <v>39</v>
      </c>
      <c r="J1673" s="3">
        <v>8</v>
      </c>
      <c r="K1673" s="3">
        <v>37569.75</v>
      </c>
      <c r="L1673" s="3">
        <f>Table1[[#This Row],[Price Per Unit]]*Table1[[#This Row],[Units Sold]]</f>
        <v>300558</v>
      </c>
      <c r="M1673" s="3" t="s">
        <v>332</v>
      </c>
      <c r="N1673" s="3">
        <v>41</v>
      </c>
      <c r="O1673" s="3" t="s">
        <v>120</v>
      </c>
      <c r="P1673" s="3" t="s">
        <v>31</v>
      </c>
      <c r="Q1673" s="4">
        <v>5</v>
      </c>
      <c r="R1673" s="4" t="str">
        <f>IF(Table1[[#This Row],[Customer Ratings]]&gt;=4, "Good",IF(Table1[[#This Row],[Customer Ratings]]=3, "Average","Poor"))</f>
        <v>Good</v>
      </c>
      <c r="S1673" s="3" t="s">
        <v>76</v>
      </c>
    </row>
    <row r="1674" spans="1:19" x14ac:dyDescent="0.25">
      <c r="A1674" s="3">
        <v>1673</v>
      </c>
      <c r="B1674" s="5">
        <f>DATE(Table1[[#This Row],[Year]],Table1[[#This Row],[Month]],Table1[[#This Row],[Day]])</f>
        <v>44953</v>
      </c>
      <c r="C1674" s="3">
        <v>27</v>
      </c>
      <c r="D1674" s="3">
        <v>1</v>
      </c>
      <c r="E1674" s="3">
        <v>2023</v>
      </c>
      <c r="F1674" s="3" t="str">
        <f>"Qtr"&amp; " " &amp;CHOOSE(MONTH(Table1[[#This Row],[Date]]),1,1,1,2,2,2,3,3,3,4,4,4)</f>
        <v>Qtr 1</v>
      </c>
      <c r="G1674" s="3" t="str">
        <f>TEXT(Table1[[#This Row],[Date]],"mmmm")</f>
        <v>January</v>
      </c>
      <c r="H1674" s="3" t="s">
        <v>1085</v>
      </c>
      <c r="I1674" s="3" t="s">
        <v>39</v>
      </c>
      <c r="J1674" s="3">
        <v>5</v>
      </c>
      <c r="K1674" s="3">
        <v>30991.01</v>
      </c>
      <c r="L1674" s="3">
        <f>Table1[[#This Row],[Price Per Unit]]*Table1[[#This Row],[Units Sold]]</f>
        <v>154955.04999999999</v>
      </c>
      <c r="M1674" s="3" t="s">
        <v>886</v>
      </c>
      <c r="N1674" s="3">
        <v>34</v>
      </c>
      <c r="O1674" s="3" t="s">
        <v>20</v>
      </c>
      <c r="P1674" s="3" t="s">
        <v>16</v>
      </c>
      <c r="Q1674" s="4">
        <v>4</v>
      </c>
      <c r="R1674" s="4" t="str">
        <f>IF(Table1[[#This Row],[Customer Ratings]]&gt;=4, "Good",IF(Table1[[#This Row],[Customer Ratings]]=3, "Average","Poor"))</f>
        <v>Good</v>
      </c>
      <c r="S1674" s="3" t="s">
        <v>90</v>
      </c>
    </row>
    <row r="1675" spans="1:19" x14ac:dyDescent="0.25">
      <c r="A1675" s="3">
        <v>1674</v>
      </c>
      <c r="B1675" s="5">
        <f>DATE(Table1[[#This Row],[Year]],Table1[[#This Row],[Month]],Table1[[#This Row],[Day]])</f>
        <v>44954</v>
      </c>
      <c r="C1675" s="3">
        <v>28</v>
      </c>
      <c r="D1675" s="3">
        <v>1</v>
      </c>
      <c r="E1675" s="3">
        <v>2023</v>
      </c>
      <c r="F1675" s="3" t="str">
        <f>"Qtr"&amp; " " &amp;CHOOSE(MONTH(Table1[[#This Row],[Date]]),1,1,1,2,2,2,3,3,3,4,4,4)</f>
        <v>Qtr 1</v>
      </c>
      <c r="G1675" s="3" t="str">
        <f>TEXT(Table1[[#This Row],[Date]],"mmmm")</f>
        <v>January</v>
      </c>
      <c r="H1675" s="3" t="s">
        <v>1079</v>
      </c>
      <c r="I1675" s="3" t="s">
        <v>33</v>
      </c>
      <c r="J1675" s="3">
        <v>7</v>
      </c>
      <c r="K1675" s="3">
        <v>47650.37</v>
      </c>
      <c r="L1675" s="3">
        <f>Table1[[#This Row],[Price Per Unit]]*Table1[[#This Row],[Units Sold]]</f>
        <v>333552.59000000003</v>
      </c>
      <c r="M1675" s="3" t="s">
        <v>587</v>
      </c>
      <c r="N1675" s="3">
        <v>26</v>
      </c>
      <c r="O1675" s="3" t="s">
        <v>41</v>
      </c>
      <c r="P1675" s="3" t="s">
        <v>21</v>
      </c>
      <c r="Q1675" s="4">
        <v>1</v>
      </c>
      <c r="R1675" s="4" t="str">
        <f>IF(Table1[[#This Row],[Customer Ratings]]&gt;=4, "Good",IF(Table1[[#This Row],[Customer Ratings]]=3, "Average","Poor"))</f>
        <v>Poor</v>
      </c>
      <c r="S1675" s="3" t="s">
        <v>36</v>
      </c>
    </row>
    <row r="1676" spans="1:19" x14ac:dyDescent="0.25">
      <c r="A1676" s="3">
        <v>1675</v>
      </c>
      <c r="B1676" s="5">
        <f>DATE(Table1[[#This Row],[Year]],Table1[[#This Row],[Month]],Table1[[#This Row],[Day]])</f>
        <v>44954</v>
      </c>
      <c r="C1676" s="3">
        <v>28</v>
      </c>
      <c r="D1676" s="3">
        <v>1</v>
      </c>
      <c r="E1676" s="3">
        <v>2023</v>
      </c>
      <c r="F1676" s="3" t="str">
        <f>"Qtr"&amp; " " &amp;CHOOSE(MONTH(Table1[[#This Row],[Date]]),1,1,1,2,2,2,3,3,3,4,4,4)</f>
        <v>Qtr 1</v>
      </c>
      <c r="G1676" s="3" t="str">
        <f>TEXT(Table1[[#This Row],[Date]],"mmmm")</f>
        <v>January</v>
      </c>
      <c r="H1676" s="3" t="s">
        <v>1079</v>
      </c>
      <c r="I1676" s="3" t="s">
        <v>18</v>
      </c>
      <c r="J1676" s="3">
        <v>4</v>
      </c>
      <c r="K1676" s="3">
        <v>57064.49</v>
      </c>
      <c r="L1676" s="3">
        <f>Table1[[#This Row],[Price Per Unit]]*Table1[[#This Row],[Units Sold]]</f>
        <v>228257.96</v>
      </c>
      <c r="M1676" s="3" t="s">
        <v>761</v>
      </c>
      <c r="N1676" s="3">
        <v>52</v>
      </c>
      <c r="O1676" s="3" t="s">
        <v>20</v>
      </c>
      <c r="P1676" s="3" t="s">
        <v>21</v>
      </c>
      <c r="Q1676" s="4">
        <v>1</v>
      </c>
      <c r="R1676" s="4" t="str">
        <f>IF(Table1[[#This Row],[Customer Ratings]]&gt;=4, "Good",IF(Table1[[#This Row],[Customer Ratings]]=3, "Average","Poor"))</f>
        <v>Poor</v>
      </c>
      <c r="S1676" s="3" t="s">
        <v>25</v>
      </c>
    </row>
    <row r="1677" spans="1:19" x14ac:dyDescent="0.25">
      <c r="A1677" s="3">
        <v>1676</v>
      </c>
      <c r="B1677" s="5">
        <f>DATE(Table1[[#This Row],[Year]],Table1[[#This Row],[Month]],Table1[[#This Row],[Day]])</f>
        <v>44954</v>
      </c>
      <c r="C1677" s="3">
        <v>28</v>
      </c>
      <c r="D1677" s="3">
        <v>1</v>
      </c>
      <c r="E1677" s="3">
        <v>2023</v>
      </c>
      <c r="F1677" s="3" t="str">
        <f>"Qtr"&amp; " " &amp;CHOOSE(MONTH(Table1[[#This Row],[Date]]),1,1,1,2,2,2,3,3,3,4,4,4)</f>
        <v>Qtr 1</v>
      </c>
      <c r="G1677" s="3" t="str">
        <f>TEXT(Table1[[#This Row],[Date]],"mmmm")</f>
        <v>January</v>
      </c>
      <c r="H1677" s="3" t="s">
        <v>1079</v>
      </c>
      <c r="I1677" s="3" t="s">
        <v>18</v>
      </c>
      <c r="J1677" s="3">
        <v>1</v>
      </c>
      <c r="K1677" s="3">
        <v>48888.800000000003</v>
      </c>
      <c r="L1677" s="3">
        <f>Table1[[#This Row],[Price Per Unit]]*Table1[[#This Row],[Units Sold]]</f>
        <v>48888.800000000003</v>
      </c>
      <c r="M1677" s="3" t="s">
        <v>321</v>
      </c>
      <c r="N1677" s="3">
        <v>37</v>
      </c>
      <c r="O1677" s="3" t="s">
        <v>120</v>
      </c>
      <c r="P1677" s="3" t="s">
        <v>21</v>
      </c>
      <c r="Q1677" s="4">
        <v>4</v>
      </c>
      <c r="R1677" s="4" t="str">
        <f>IF(Table1[[#This Row],[Customer Ratings]]&gt;=4, "Good",IF(Table1[[#This Row],[Customer Ratings]]=3, "Average","Poor"))</f>
        <v>Good</v>
      </c>
      <c r="S1677" s="3" t="s">
        <v>22</v>
      </c>
    </row>
    <row r="1678" spans="1:19" x14ac:dyDescent="0.25">
      <c r="A1678" s="3">
        <v>1677</v>
      </c>
      <c r="B1678" s="5">
        <f>DATE(Table1[[#This Row],[Year]],Table1[[#This Row],[Month]],Table1[[#This Row],[Day]])</f>
        <v>44955</v>
      </c>
      <c r="C1678" s="3">
        <v>29</v>
      </c>
      <c r="D1678" s="3">
        <v>1</v>
      </c>
      <c r="E1678" s="3">
        <v>2023</v>
      </c>
      <c r="F1678" s="3" t="str">
        <f>"Qtr"&amp; " " &amp;CHOOSE(MONTH(Table1[[#This Row],[Date]]),1,1,1,2,2,2,3,3,3,4,4,4)</f>
        <v>Qtr 1</v>
      </c>
      <c r="G1678" s="3" t="str">
        <f>TEXT(Table1[[#This Row],[Date]],"mmmm")</f>
        <v>January</v>
      </c>
      <c r="H1678" s="3" t="s">
        <v>1080</v>
      </c>
      <c r="I1678" s="3" t="s">
        <v>39</v>
      </c>
      <c r="J1678" s="3">
        <v>2</v>
      </c>
      <c r="K1678" s="3">
        <v>54892.43</v>
      </c>
      <c r="L1678" s="3">
        <f>Table1[[#This Row],[Price Per Unit]]*Table1[[#This Row],[Units Sold]]</f>
        <v>109784.86</v>
      </c>
      <c r="M1678" s="3" t="s">
        <v>793</v>
      </c>
      <c r="N1678" s="3">
        <v>36</v>
      </c>
      <c r="O1678" s="3" t="s">
        <v>30</v>
      </c>
      <c r="P1678" s="3" t="s">
        <v>31</v>
      </c>
      <c r="Q1678" s="4">
        <v>5</v>
      </c>
      <c r="R1678" s="4" t="str">
        <f>IF(Table1[[#This Row],[Customer Ratings]]&gt;=4, "Good",IF(Table1[[#This Row],[Customer Ratings]]=3, "Average","Poor"))</f>
        <v>Good</v>
      </c>
      <c r="S1678" s="3" t="s">
        <v>76</v>
      </c>
    </row>
    <row r="1679" spans="1:19" x14ac:dyDescent="0.25">
      <c r="A1679" s="3">
        <v>1678</v>
      </c>
      <c r="B1679" s="5">
        <f>DATE(Table1[[#This Row],[Year]],Table1[[#This Row],[Month]],Table1[[#This Row],[Day]])</f>
        <v>44955</v>
      </c>
      <c r="C1679" s="3">
        <v>29</v>
      </c>
      <c r="D1679" s="3">
        <v>1</v>
      </c>
      <c r="E1679" s="3">
        <v>2023</v>
      </c>
      <c r="F1679" s="3" t="str">
        <f>"Qtr"&amp; " " &amp;CHOOSE(MONTH(Table1[[#This Row],[Date]]),1,1,1,2,2,2,3,3,3,4,4,4)</f>
        <v>Qtr 1</v>
      </c>
      <c r="G1679" s="3" t="str">
        <f>TEXT(Table1[[#This Row],[Date]],"mmmm")</f>
        <v>January</v>
      </c>
      <c r="H1679" s="3" t="s">
        <v>1080</v>
      </c>
      <c r="I1679" s="3" t="s">
        <v>28</v>
      </c>
      <c r="J1679" s="3">
        <v>4</v>
      </c>
      <c r="K1679" s="3">
        <v>64358.42</v>
      </c>
      <c r="L1679" s="3">
        <f>Table1[[#This Row],[Price Per Unit]]*Table1[[#This Row],[Units Sold]]</f>
        <v>257433.68</v>
      </c>
      <c r="M1679" s="3" t="s">
        <v>653</v>
      </c>
      <c r="N1679" s="3">
        <v>35</v>
      </c>
      <c r="O1679" s="3" t="s">
        <v>24</v>
      </c>
      <c r="P1679" s="3" t="s">
        <v>21</v>
      </c>
      <c r="Q1679" s="4">
        <v>5</v>
      </c>
      <c r="R1679" s="4" t="str">
        <f>IF(Table1[[#This Row],[Customer Ratings]]&gt;=4, "Good",IF(Table1[[#This Row],[Customer Ratings]]=3, "Average","Poor"))</f>
        <v>Good</v>
      </c>
      <c r="S1679" s="3" t="s">
        <v>32</v>
      </c>
    </row>
    <row r="1680" spans="1:19" x14ac:dyDescent="0.25">
      <c r="A1680" s="3">
        <v>1679</v>
      </c>
      <c r="B1680" s="5">
        <f>DATE(Table1[[#This Row],[Year]],Table1[[#This Row],[Month]],Table1[[#This Row],[Day]])</f>
        <v>44955</v>
      </c>
      <c r="C1680" s="3">
        <v>29</v>
      </c>
      <c r="D1680" s="3">
        <v>1</v>
      </c>
      <c r="E1680" s="3">
        <v>2023</v>
      </c>
      <c r="F1680" s="3" t="str">
        <f>"Qtr"&amp; " " &amp;CHOOSE(MONTH(Table1[[#This Row],[Date]]),1,1,1,2,2,2,3,3,3,4,4,4)</f>
        <v>Qtr 1</v>
      </c>
      <c r="G1680" s="3" t="str">
        <f>TEXT(Table1[[#This Row],[Date]],"mmmm")</f>
        <v>January</v>
      </c>
      <c r="H1680" s="3" t="s">
        <v>1080</v>
      </c>
      <c r="I1680" s="3" t="s">
        <v>33</v>
      </c>
      <c r="J1680" s="3">
        <v>1</v>
      </c>
      <c r="K1680" s="3">
        <v>61812.79</v>
      </c>
      <c r="L1680" s="3">
        <f>Table1[[#This Row],[Price Per Unit]]*Table1[[#This Row],[Units Sold]]</f>
        <v>61812.79</v>
      </c>
      <c r="M1680" s="3" t="s">
        <v>154</v>
      </c>
      <c r="N1680" s="3">
        <v>37</v>
      </c>
      <c r="O1680" s="3" t="s">
        <v>20</v>
      </c>
      <c r="P1680" s="3" t="s">
        <v>16</v>
      </c>
      <c r="Q1680" s="4">
        <v>1</v>
      </c>
      <c r="R1680" s="4" t="str">
        <f>IF(Table1[[#This Row],[Customer Ratings]]&gt;=4, "Good",IF(Table1[[#This Row],[Customer Ratings]]=3, "Average","Poor"))</f>
        <v>Poor</v>
      </c>
      <c r="S1680" s="3" t="s">
        <v>36</v>
      </c>
    </row>
    <row r="1681" spans="1:19" x14ac:dyDescent="0.25">
      <c r="A1681" s="3">
        <v>1680</v>
      </c>
      <c r="B1681" s="5">
        <f>DATE(Table1[[#This Row],[Year]],Table1[[#This Row],[Month]],Table1[[#This Row],[Day]])</f>
        <v>44955</v>
      </c>
      <c r="C1681" s="3">
        <v>29</v>
      </c>
      <c r="D1681" s="3">
        <v>1</v>
      </c>
      <c r="E1681" s="3">
        <v>2023</v>
      </c>
      <c r="F1681" s="3" t="str">
        <f>"Qtr"&amp; " " &amp;CHOOSE(MONTH(Table1[[#This Row],[Date]]),1,1,1,2,2,2,3,3,3,4,4,4)</f>
        <v>Qtr 1</v>
      </c>
      <c r="G1681" s="3" t="str">
        <f>TEXT(Table1[[#This Row],[Date]],"mmmm")</f>
        <v>January</v>
      </c>
      <c r="H1681" s="3" t="s">
        <v>1080</v>
      </c>
      <c r="I1681" s="3" t="s">
        <v>39</v>
      </c>
      <c r="J1681" s="3">
        <v>8</v>
      </c>
      <c r="K1681" s="3">
        <v>50443.51</v>
      </c>
      <c r="L1681" s="3">
        <f>Table1[[#This Row],[Price Per Unit]]*Table1[[#This Row],[Units Sold]]</f>
        <v>403548.08</v>
      </c>
      <c r="M1681" s="3" t="s">
        <v>887</v>
      </c>
      <c r="N1681" s="3">
        <v>47</v>
      </c>
      <c r="O1681" s="3" t="s">
        <v>120</v>
      </c>
      <c r="P1681" s="3" t="s">
        <v>16</v>
      </c>
      <c r="Q1681" s="4">
        <v>3</v>
      </c>
      <c r="R1681" s="4" t="str">
        <f>IF(Table1[[#This Row],[Customer Ratings]]&gt;=4, "Good",IF(Table1[[#This Row],[Customer Ratings]]=3, "Average","Poor"))</f>
        <v>Average</v>
      </c>
      <c r="S1681" s="3" t="s">
        <v>42</v>
      </c>
    </row>
    <row r="1682" spans="1:19" x14ac:dyDescent="0.25">
      <c r="A1682" s="3">
        <v>1681</v>
      </c>
      <c r="B1682" s="5">
        <f>DATE(Table1[[#This Row],[Year]],Table1[[#This Row],[Month]],Table1[[#This Row],[Day]])</f>
        <v>44956</v>
      </c>
      <c r="C1682" s="3">
        <v>30</v>
      </c>
      <c r="D1682" s="3">
        <v>1</v>
      </c>
      <c r="E1682" s="3">
        <v>2023</v>
      </c>
      <c r="F1682" s="3" t="str">
        <f>"Qtr"&amp; " " &amp;CHOOSE(MONTH(Table1[[#This Row],[Date]]),1,1,1,2,2,2,3,3,3,4,4,4)</f>
        <v>Qtr 1</v>
      </c>
      <c r="G1682" s="3" t="str">
        <f>TEXT(Table1[[#This Row],[Date]],"mmmm")</f>
        <v>January</v>
      </c>
      <c r="H1682" s="3" t="s">
        <v>1081</v>
      </c>
      <c r="I1682" s="3" t="s">
        <v>13</v>
      </c>
      <c r="J1682" s="3">
        <v>9</v>
      </c>
      <c r="K1682" s="3">
        <v>22878.28</v>
      </c>
      <c r="L1682" s="3">
        <f>Table1[[#This Row],[Price Per Unit]]*Table1[[#This Row],[Units Sold]]</f>
        <v>205904.52</v>
      </c>
      <c r="M1682" s="3" t="s">
        <v>814</v>
      </c>
      <c r="N1682" s="3">
        <v>57</v>
      </c>
      <c r="O1682" s="3" t="s">
        <v>24</v>
      </c>
      <c r="P1682" s="3" t="s">
        <v>31</v>
      </c>
      <c r="Q1682" s="4">
        <v>5</v>
      </c>
      <c r="R1682" s="4" t="str">
        <f>IF(Table1[[#This Row],[Customer Ratings]]&gt;=4, "Good",IF(Table1[[#This Row],[Customer Ratings]]=3, "Average","Poor"))</f>
        <v>Good</v>
      </c>
      <c r="S1682" s="3" t="s">
        <v>72</v>
      </c>
    </row>
    <row r="1683" spans="1:19" x14ac:dyDescent="0.25">
      <c r="A1683" s="3">
        <v>1682</v>
      </c>
      <c r="B1683" s="5">
        <f>DATE(Table1[[#This Row],[Year]],Table1[[#This Row],[Month]],Table1[[#This Row],[Day]])</f>
        <v>44956</v>
      </c>
      <c r="C1683" s="3">
        <v>30</v>
      </c>
      <c r="D1683" s="3">
        <v>1</v>
      </c>
      <c r="E1683" s="3">
        <v>2023</v>
      </c>
      <c r="F1683" s="3" t="str">
        <f>"Qtr"&amp; " " &amp;CHOOSE(MONTH(Table1[[#This Row],[Date]]),1,1,1,2,2,2,3,3,3,4,4,4)</f>
        <v>Qtr 1</v>
      </c>
      <c r="G1683" s="3" t="str">
        <f>TEXT(Table1[[#This Row],[Date]],"mmmm")</f>
        <v>January</v>
      </c>
      <c r="H1683" s="3" t="s">
        <v>1081</v>
      </c>
      <c r="I1683" s="3" t="s">
        <v>13</v>
      </c>
      <c r="J1683" s="3">
        <v>4</v>
      </c>
      <c r="K1683" s="3">
        <v>48262.17</v>
      </c>
      <c r="L1683" s="3">
        <f>Table1[[#This Row],[Price Per Unit]]*Table1[[#This Row],[Units Sold]]</f>
        <v>193048.68</v>
      </c>
      <c r="M1683" s="3" t="s">
        <v>347</v>
      </c>
      <c r="N1683" s="3">
        <v>18</v>
      </c>
      <c r="O1683" s="3" t="s">
        <v>20</v>
      </c>
      <c r="P1683" s="3" t="s">
        <v>16</v>
      </c>
      <c r="Q1683" s="4">
        <v>3</v>
      </c>
      <c r="R1683" s="4" t="str">
        <f>IF(Table1[[#This Row],[Customer Ratings]]&gt;=4, "Good",IF(Table1[[#This Row],[Customer Ratings]]=3, "Average","Poor"))</f>
        <v>Average</v>
      </c>
      <c r="S1683" s="3" t="s">
        <v>72</v>
      </c>
    </row>
    <row r="1684" spans="1:19" x14ac:dyDescent="0.25">
      <c r="A1684" s="3">
        <v>1683</v>
      </c>
      <c r="B1684" s="5">
        <f>DATE(Table1[[#This Row],[Year]],Table1[[#This Row],[Month]],Table1[[#This Row],[Day]])</f>
        <v>44956</v>
      </c>
      <c r="C1684" s="3">
        <v>30</v>
      </c>
      <c r="D1684" s="3">
        <v>1</v>
      </c>
      <c r="E1684" s="3">
        <v>2023</v>
      </c>
      <c r="F1684" s="3" t="str">
        <f>"Qtr"&amp; " " &amp;CHOOSE(MONTH(Table1[[#This Row],[Date]]),1,1,1,2,2,2,3,3,3,4,4,4)</f>
        <v>Qtr 1</v>
      </c>
      <c r="G1684" s="3" t="str">
        <f>TEXT(Table1[[#This Row],[Date]],"mmmm")</f>
        <v>January</v>
      </c>
      <c r="H1684" s="3" t="s">
        <v>1081</v>
      </c>
      <c r="I1684" s="3" t="s">
        <v>33</v>
      </c>
      <c r="J1684" s="3">
        <v>3</v>
      </c>
      <c r="K1684" s="3">
        <v>40364.99</v>
      </c>
      <c r="L1684" s="3">
        <f>Table1[[#This Row],[Price Per Unit]]*Table1[[#This Row],[Units Sold]]</f>
        <v>121094.97</v>
      </c>
      <c r="M1684" s="3" t="s">
        <v>863</v>
      </c>
      <c r="N1684" s="3">
        <v>41</v>
      </c>
      <c r="O1684" s="3" t="s">
        <v>24</v>
      </c>
      <c r="P1684" s="3" t="s">
        <v>45</v>
      </c>
      <c r="Q1684" s="4">
        <v>1</v>
      </c>
      <c r="R1684" s="4" t="str">
        <f>IF(Table1[[#This Row],[Customer Ratings]]&gt;=4, "Good",IF(Table1[[#This Row],[Customer Ratings]]=3, "Average","Poor"))</f>
        <v>Poor</v>
      </c>
      <c r="S1684" s="3" t="s">
        <v>36</v>
      </c>
    </row>
    <row r="1685" spans="1:19" x14ac:dyDescent="0.25">
      <c r="A1685" s="3">
        <v>1684</v>
      </c>
      <c r="B1685" s="5">
        <f>DATE(Table1[[#This Row],[Year]],Table1[[#This Row],[Month]],Table1[[#This Row],[Day]])</f>
        <v>44957</v>
      </c>
      <c r="C1685" s="3">
        <v>31</v>
      </c>
      <c r="D1685" s="3">
        <v>1</v>
      </c>
      <c r="E1685" s="3">
        <v>2023</v>
      </c>
      <c r="F1685" s="3" t="str">
        <f>"Qtr"&amp; " " &amp;CHOOSE(MONTH(Table1[[#This Row],[Date]]),1,1,1,2,2,2,3,3,3,4,4,4)</f>
        <v>Qtr 1</v>
      </c>
      <c r="G1685" s="3" t="str">
        <f>TEXT(Table1[[#This Row],[Date]],"mmmm")</f>
        <v>January</v>
      </c>
      <c r="H1685" s="3" t="s">
        <v>1082</v>
      </c>
      <c r="I1685" s="3" t="s">
        <v>28</v>
      </c>
      <c r="J1685" s="3">
        <v>2</v>
      </c>
      <c r="K1685" s="3">
        <v>53033.15</v>
      </c>
      <c r="L1685" s="3">
        <f>Table1[[#This Row],[Price Per Unit]]*Table1[[#This Row],[Units Sold]]</f>
        <v>106066.3</v>
      </c>
      <c r="M1685" s="3" t="s">
        <v>381</v>
      </c>
      <c r="N1685" s="3">
        <v>41</v>
      </c>
      <c r="O1685" s="3" t="s">
        <v>35</v>
      </c>
      <c r="P1685" s="3" t="s">
        <v>45</v>
      </c>
      <c r="Q1685" s="4">
        <v>4</v>
      </c>
      <c r="R1685" s="4" t="str">
        <f>IF(Table1[[#This Row],[Customer Ratings]]&gt;=4, "Good",IF(Table1[[#This Row],[Customer Ratings]]=3, "Average","Poor"))</f>
        <v>Good</v>
      </c>
      <c r="S1685" s="3" t="s">
        <v>87</v>
      </c>
    </row>
    <row r="1686" spans="1:19" x14ac:dyDescent="0.25">
      <c r="A1686" s="3">
        <v>1685</v>
      </c>
      <c r="B1686" s="5">
        <f>DATE(Table1[[#This Row],[Year]],Table1[[#This Row],[Month]],Table1[[#This Row],[Day]])</f>
        <v>44957</v>
      </c>
      <c r="C1686" s="3">
        <v>31</v>
      </c>
      <c r="D1686" s="3">
        <v>1</v>
      </c>
      <c r="E1686" s="3">
        <v>2023</v>
      </c>
      <c r="F1686" s="3" t="str">
        <f>"Qtr"&amp; " " &amp;CHOOSE(MONTH(Table1[[#This Row],[Date]]),1,1,1,2,2,2,3,3,3,4,4,4)</f>
        <v>Qtr 1</v>
      </c>
      <c r="G1686" s="3" t="str">
        <f>TEXT(Table1[[#This Row],[Date]],"mmmm")</f>
        <v>January</v>
      </c>
      <c r="H1686" s="3" t="s">
        <v>1082</v>
      </c>
      <c r="I1686" s="3" t="s">
        <v>39</v>
      </c>
      <c r="J1686" s="3">
        <v>5</v>
      </c>
      <c r="K1686" s="3">
        <v>59975.9</v>
      </c>
      <c r="L1686" s="3">
        <f>Table1[[#This Row],[Price Per Unit]]*Table1[[#This Row],[Units Sold]]</f>
        <v>299879.5</v>
      </c>
      <c r="M1686" s="3" t="s">
        <v>829</v>
      </c>
      <c r="N1686" s="3">
        <v>36</v>
      </c>
      <c r="O1686" s="3" t="s">
        <v>58</v>
      </c>
      <c r="P1686" s="3" t="s">
        <v>21</v>
      </c>
      <c r="Q1686" s="4">
        <v>5</v>
      </c>
      <c r="R1686" s="4" t="str">
        <f>IF(Table1[[#This Row],[Customer Ratings]]&gt;=4, "Good",IF(Table1[[#This Row],[Customer Ratings]]=3, "Average","Poor"))</f>
        <v>Good</v>
      </c>
      <c r="S1686" s="3" t="s">
        <v>76</v>
      </c>
    </row>
    <row r="1687" spans="1:19" x14ac:dyDescent="0.25">
      <c r="A1687" s="3">
        <v>1686</v>
      </c>
      <c r="B1687" s="5">
        <f>DATE(Table1[[#This Row],[Year]],Table1[[#This Row],[Month]],Table1[[#This Row],[Day]])</f>
        <v>44957</v>
      </c>
      <c r="C1687" s="3">
        <v>31</v>
      </c>
      <c r="D1687" s="3">
        <v>1</v>
      </c>
      <c r="E1687" s="3">
        <v>2023</v>
      </c>
      <c r="F1687" s="3" t="str">
        <f>"Qtr"&amp; " " &amp;CHOOSE(MONTH(Table1[[#This Row],[Date]]),1,1,1,2,2,2,3,3,3,4,4,4)</f>
        <v>Qtr 1</v>
      </c>
      <c r="G1687" s="3" t="str">
        <f>TEXT(Table1[[#This Row],[Date]],"mmmm")</f>
        <v>January</v>
      </c>
      <c r="H1687" s="3" t="s">
        <v>1082</v>
      </c>
      <c r="I1687" s="3" t="s">
        <v>18</v>
      </c>
      <c r="J1687" s="3">
        <v>3</v>
      </c>
      <c r="K1687" s="3">
        <v>54563.29</v>
      </c>
      <c r="L1687" s="3">
        <f>Table1[[#This Row],[Price Per Unit]]*Table1[[#This Row],[Units Sold]]</f>
        <v>163689.87</v>
      </c>
      <c r="M1687" s="3" t="s">
        <v>881</v>
      </c>
      <c r="N1687" s="3">
        <v>47</v>
      </c>
      <c r="O1687" s="3" t="s">
        <v>20</v>
      </c>
      <c r="P1687" s="3" t="s">
        <v>21</v>
      </c>
      <c r="Q1687" s="4">
        <v>1</v>
      </c>
      <c r="R1687" s="4" t="str">
        <f>IF(Table1[[#This Row],[Customer Ratings]]&gt;=4, "Good",IF(Table1[[#This Row],[Customer Ratings]]=3, "Average","Poor"))</f>
        <v>Poor</v>
      </c>
      <c r="S1687" s="3" t="s">
        <v>25</v>
      </c>
    </row>
    <row r="1688" spans="1:19" x14ac:dyDescent="0.25">
      <c r="A1688" s="3">
        <v>1687</v>
      </c>
      <c r="B1688" s="5">
        <f>DATE(Table1[[#This Row],[Year]],Table1[[#This Row],[Month]],Table1[[#This Row],[Day]])</f>
        <v>44957</v>
      </c>
      <c r="C1688" s="3">
        <v>31</v>
      </c>
      <c r="D1688" s="3">
        <v>1</v>
      </c>
      <c r="E1688" s="3">
        <v>2023</v>
      </c>
      <c r="F1688" s="3" t="str">
        <f>"Qtr"&amp; " " &amp;CHOOSE(MONTH(Table1[[#This Row],[Date]]),1,1,1,2,2,2,3,3,3,4,4,4)</f>
        <v>Qtr 1</v>
      </c>
      <c r="G1688" s="3" t="str">
        <f>TEXT(Table1[[#This Row],[Date]],"mmmm")</f>
        <v>January</v>
      </c>
      <c r="H1688" s="3" t="s">
        <v>1082</v>
      </c>
      <c r="I1688" s="3" t="s">
        <v>33</v>
      </c>
      <c r="J1688" s="3">
        <v>7</v>
      </c>
      <c r="K1688" s="3">
        <v>60793.67</v>
      </c>
      <c r="L1688" s="3">
        <f>Table1[[#This Row],[Price Per Unit]]*Table1[[#This Row],[Units Sold]]</f>
        <v>425555.69</v>
      </c>
      <c r="M1688" s="3" t="s">
        <v>205</v>
      </c>
      <c r="N1688" s="3">
        <v>43</v>
      </c>
      <c r="O1688" s="3" t="s">
        <v>20</v>
      </c>
      <c r="P1688" s="3" t="s">
        <v>45</v>
      </c>
      <c r="Q1688" s="4">
        <v>3</v>
      </c>
      <c r="R1688" s="4" t="str">
        <f>IF(Table1[[#This Row],[Customer Ratings]]&gt;=4, "Good",IF(Table1[[#This Row],[Customer Ratings]]=3, "Average","Poor"))</f>
        <v>Average</v>
      </c>
      <c r="S1688" s="3" t="s">
        <v>83</v>
      </c>
    </row>
    <row r="1689" spans="1:19" x14ac:dyDescent="0.25">
      <c r="A1689" s="3">
        <v>1688</v>
      </c>
      <c r="B1689" s="5">
        <f>DATE(Table1[[#This Row],[Year]],Table1[[#This Row],[Month]],Table1[[#This Row],[Day]])</f>
        <v>44958</v>
      </c>
      <c r="C1689" s="3">
        <v>1</v>
      </c>
      <c r="D1689" s="3">
        <v>2</v>
      </c>
      <c r="E1689" s="3">
        <v>2023</v>
      </c>
      <c r="F1689" s="3" t="str">
        <f>"Qtr"&amp; " " &amp;CHOOSE(MONTH(Table1[[#This Row],[Date]]),1,1,1,2,2,2,3,3,3,4,4,4)</f>
        <v>Qtr 1</v>
      </c>
      <c r="G1689" s="3" t="str">
        <f>TEXT(Table1[[#This Row],[Date]],"mmmm")</f>
        <v>February</v>
      </c>
      <c r="H1689" s="3" t="s">
        <v>1083</v>
      </c>
      <c r="I1689" s="3" t="s">
        <v>28</v>
      </c>
      <c r="J1689" s="3">
        <v>6</v>
      </c>
      <c r="K1689" s="3">
        <v>13831.98</v>
      </c>
      <c r="L1689" s="3">
        <f>Table1[[#This Row],[Price Per Unit]]*Table1[[#This Row],[Units Sold]]</f>
        <v>82991.88</v>
      </c>
      <c r="M1689" s="3" t="s">
        <v>888</v>
      </c>
      <c r="N1689" s="3">
        <v>59</v>
      </c>
      <c r="O1689" s="3" t="s">
        <v>137</v>
      </c>
      <c r="P1689" s="3" t="s">
        <v>16</v>
      </c>
      <c r="Q1689" s="4">
        <v>3</v>
      </c>
      <c r="R1689" s="4" t="str">
        <f>IF(Table1[[#This Row],[Customer Ratings]]&gt;=4, "Good",IF(Table1[[#This Row],[Customer Ratings]]=3, "Average","Poor"))</f>
        <v>Average</v>
      </c>
      <c r="S1689" s="3" t="s">
        <v>32</v>
      </c>
    </row>
    <row r="1690" spans="1:19" x14ac:dyDescent="0.25">
      <c r="A1690" s="3">
        <v>1689</v>
      </c>
      <c r="B1690" s="5">
        <f>DATE(Table1[[#This Row],[Year]],Table1[[#This Row],[Month]],Table1[[#This Row],[Day]])</f>
        <v>44958</v>
      </c>
      <c r="C1690" s="3">
        <v>1</v>
      </c>
      <c r="D1690" s="3">
        <v>2</v>
      </c>
      <c r="E1690" s="3">
        <v>2023</v>
      </c>
      <c r="F1690" s="3" t="str">
        <f>"Qtr"&amp; " " &amp;CHOOSE(MONTH(Table1[[#This Row],[Date]]),1,1,1,2,2,2,3,3,3,4,4,4)</f>
        <v>Qtr 1</v>
      </c>
      <c r="G1690" s="3" t="str">
        <f>TEXT(Table1[[#This Row],[Date]],"mmmm")</f>
        <v>February</v>
      </c>
      <c r="H1690" s="3" t="s">
        <v>1083</v>
      </c>
      <c r="I1690" s="3" t="s">
        <v>18</v>
      </c>
      <c r="J1690" s="3">
        <v>1</v>
      </c>
      <c r="K1690" s="3">
        <v>11897.2</v>
      </c>
      <c r="L1690" s="3">
        <f>Table1[[#This Row],[Price Per Unit]]*Table1[[#This Row],[Units Sold]]</f>
        <v>11897.2</v>
      </c>
      <c r="M1690" s="3" t="s">
        <v>889</v>
      </c>
      <c r="N1690" s="3">
        <v>55</v>
      </c>
      <c r="O1690" s="3" t="s">
        <v>54</v>
      </c>
      <c r="P1690" s="3" t="s">
        <v>31</v>
      </c>
      <c r="Q1690" s="4">
        <v>1</v>
      </c>
      <c r="R1690" s="4" t="str">
        <f>IF(Table1[[#This Row],[Customer Ratings]]&gt;=4, "Good",IF(Table1[[#This Row],[Customer Ratings]]=3, "Average","Poor"))</f>
        <v>Poor</v>
      </c>
      <c r="S1690" s="3" t="s">
        <v>22</v>
      </c>
    </row>
    <row r="1691" spans="1:19" x14ac:dyDescent="0.25">
      <c r="A1691" s="3">
        <v>1690</v>
      </c>
      <c r="B1691" s="5">
        <f>DATE(Table1[[#This Row],[Year]],Table1[[#This Row],[Month]],Table1[[#This Row],[Day]])</f>
        <v>44958</v>
      </c>
      <c r="C1691" s="3">
        <v>1</v>
      </c>
      <c r="D1691" s="3">
        <v>2</v>
      </c>
      <c r="E1691" s="3">
        <v>2023</v>
      </c>
      <c r="F1691" s="3" t="str">
        <f>"Qtr"&amp; " " &amp;CHOOSE(MONTH(Table1[[#This Row],[Date]]),1,1,1,2,2,2,3,3,3,4,4,4)</f>
        <v>Qtr 1</v>
      </c>
      <c r="G1691" s="3" t="str">
        <f>TEXT(Table1[[#This Row],[Date]],"mmmm")</f>
        <v>February</v>
      </c>
      <c r="H1691" s="3" t="s">
        <v>1083</v>
      </c>
      <c r="I1691" s="3" t="s">
        <v>13</v>
      </c>
      <c r="J1691" s="3">
        <v>8</v>
      </c>
      <c r="K1691" s="3">
        <v>25510.03</v>
      </c>
      <c r="L1691" s="3">
        <f>Table1[[#This Row],[Price Per Unit]]*Table1[[#This Row],[Units Sold]]</f>
        <v>204080.24</v>
      </c>
      <c r="M1691" s="3" t="s">
        <v>440</v>
      </c>
      <c r="N1691" s="3">
        <v>46</v>
      </c>
      <c r="O1691" s="3" t="s">
        <v>54</v>
      </c>
      <c r="P1691" s="3" t="s">
        <v>21</v>
      </c>
      <c r="Q1691" s="4">
        <v>5</v>
      </c>
      <c r="R1691" s="4" t="str">
        <f>IF(Table1[[#This Row],[Customer Ratings]]&gt;=4, "Good",IF(Table1[[#This Row],[Customer Ratings]]=3, "Average","Poor"))</f>
        <v>Good</v>
      </c>
      <c r="S1691" s="3" t="s">
        <v>27</v>
      </c>
    </row>
    <row r="1692" spans="1:19" x14ac:dyDescent="0.25">
      <c r="A1692" s="3">
        <v>1691</v>
      </c>
      <c r="B1692" s="5">
        <f>DATE(Table1[[#This Row],[Year]],Table1[[#This Row],[Month]],Table1[[#This Row],[Day]])</f>
        <v>44958</v>
      </c>
      <c r="C1692" s="3">
        <v>1</v>
      </c>
      <c r="D1692" s="3">
        <v>2</v>
      </c>
      <c r="E1692" s="3">
        <v>2023</v>
      </c>
      <c r="F1692" s="3" t="str">
        <f>"Qtr"&amp; " " &amp;CHOOSE(MONTH(Table1[[#This Row],[Date]]),1,1,1,2,2,2,3,3,3,4,4,4)</f>
        <v>Qtr 1</v>
      </c>
      <c r="G1692" s="3" t="str">
        <f>TEXT(Table1[[#This Row],[Date]],"mmmm")</f>
        <v>February</v>
      </c>
      <c r="H1692" s="3" t="s">
        <v>1083</v>
      </c>
      <c r="I1692" s="3" t="s">
        <v>13</v>
      </c>
      <c r="J1692" s="3">
        <v>2</v>
      </c>
      <c r="K1692" s="3">
        <v>64039.97</v>
      </c>
      <c r="L1692" s="3">
        <f>Table1[[#This Row],[Price Per Unit]]*Table1[[#This Row],[Units Sold]]</f>
        <v>128079.94</v>
      </c>
      <c r="M1692" s="3" t="s">
        <v>664</v>
      </c>
      <c r="N1692" s="3">
        <v>30</v>
      </c>
      <c r="O1692" s="3" t="s">
        <v>20</v>
      </c>
      <c r="P1692" s="3" t="s">
        <v>21</v>
      </c>
      <c r="Q1692" s="4">
        <v>3</v>
      </c>
      <c r="R1692" s="4" t="str">
        <f>IF(Table1[[#This Row],[Customer Ratings]]&gt;=4, "Good",IF(Table1[[#This Row],[Customer Ratings]]=3, "Average","Poor"))</f>
        <v>Average</v>
      </c>
      <c r="S1692" s="3" t="s">
        <v>27</v>
      </c>
    </row>
    <row r="1693" spans="1:19" x14ac:dyDescent="0.25">
      <c r="A1693" s="3">
        <v>1692</v>
      </c>
      <c r="B1693" s="5">
        <f>DATE(Table1[[#This Row],[Year]],Table1[[#This Row],[Month]],Table1[[#This Row],[Day]])</f>
        <v>44959</v>
      </c>
      <c r="C1693" s="3">
        <v>2</v>
      </c>
      <c r="D1693" s="3">
        <v>2</v>
      </c>
      <c r="E1693" s="3">
        <v>2023</v>
      </c>
      <c r="F1693" s="3" t="str">
        <f>"Qtr"&amp; " " &amp;CHOOSE(MONTH(Table1[[#This Row],[Date]]),1,1,1,2,2,2,3,3,3,4,4,4)</f>
        <v>Qtr 1</v>
      </c>
      <c r="G1693" s="3" t="str">
        <f>TEXT(Table1[[#This Row],[Date]],"mmmm")</f>
        <v>February</v>
      </c>
      <c r="H1693" s="3" t="s">
        <v>1084</v>
      </c>
      <c r="I1693" s="3" t="s">
        <v>18</v>
      </c>
      <c r="J1693" s="3">
        <v>5</v>
      </c>
      <c r="K1693" s="3">
        <v>59419.56</v>
      </c>
      <c r="L1693" s="3">
        <f>Table1[[#This Row],[Price Per Unit]]*Table1[[#This Row],[Units Sold]]</f>
        <v>297097.8</v>
      </c>
      <c r="M1693" s="3" t="s">
        <v>754</v>
      </c>
      <c r="N1693" s="3">
        <v>21</v>
      </c>
      <c r="O1693" s="3" t="s">
        <v>105</v>
      </c>
      <c r="P1693" s="3" t="s">
        <v>45</v>
      </c>
      <c r="Q1693" s="4">
        <v>5</v>
      </c>
      <c r="R1693" s="4" t="str">
        <f>IF(Table1[[#This Row],[Customer Ratings]]&gt;=4, "Good",IF(Table1[[#This Row],[Customer Ratings]]=3, "Average","Poor"))</f>
        <v>Good</v>
      </c>
      <c r="S1693" s="3" t="s">
        <v>22</v>
      </c>
    </row>
    <row r="1694" spans="1:19" x14ac:dyDescent="0.25">
      <c r="A1694" s="3">
        <v>1693</v>
      </c>
      <c r="B1694" s="5">
        <f>DATE(Table1[[#This Row],[Year]],Table1[[#This Row],[Month]],Table1[[#This Row],[Day]])</f>
        <v>44959</v>
      </c>
      <c r="C1694" s="3">
        <v>2</v>
      </c>
      <c r="D1694" s="3">
        <v>2</v>
      </c>
      <c r="E1694" s="3">
        <v>2023</v>
      </c>
      <c r="F1694" s="3" t="str">
        <f>"Qtr"&amp; " " &amp;CHOOSE(MONTH(Table1[[#This Row],[Date]]),1,1,1,2,2,2,3,3,3,4,4,4)</f>
        <v>Qtr 1</v>
      </c>
      <c r="G1694" s="3" t="str">
        <f>TEXT(Table1[[#This Row],[Date]],"mmmm")</f>
        <v>February</v>
      </c>
      <c r="H1694" s="3" t="s">
        <v>1084</v>
      </c>
      <c r="I1694" s="3" t="s">
        <v>33</v>
      </c>
      <c r="J1694" s="3">
        <v>9</v>
      </c>
      <c r="K1694" s="3">
        <v>50963.64</v>
      </c>
      <c r="L1694" s="3">
        <f>Table1[[#This Row],[Price Per Unit]]*Table1[[#This Row],[Units Sold]]</f>
        <v>458672.76</v>
      </c>
      <c r="M1694" s="3" t="s">
        <v>595</v>
      </c>
      <c r="N1694" s="3">
        <v>34</v>
      </c>
      <c r="O1694" s="3" t="s">
        <v>105</v>
      </c>
      <c r="P1694" s="3" t="s">
        <v>45</v>
      </c>
      <c r="Q1694" s="4">
        <v>5</v>
      </c>
      <c r="R1694" s="4" t="str">
        <f>IF(Table1[[#This Row],[Customer Ratings]]&gt;=4, "Good",IF(Table1[[#This Row],[Customer Ratings]]=3, "Average","Poor"))</f>
        <v>Good</v>
      </c>
      <c r="S1694" s="3" t="s">
        <v>36</v>
      </c>
    </row>
    <row r="1695" spans="1:19" x14ac:dyDescent="0.25">
      <c r="A1695" s="3">
        <v>1694</v>
      </c>
      <c r="B1695" s="5">
        <f>DATE(Table1[[#This Row],[Year]],Table1[[#This Row],[Month]],Table1[[#This Row],[Day]])</f>
        <v>44959</v>
      </c>
      <c r="C1695" s="3">
        <v>2</v>
      </c>
      <c r="D1695" s="3">
        <v>2</v>
      </c>
      <c r="E1695" s="3">
        <v>2023</v>
      </c>
      <c r="F1695" s="3" t="str">
        <f>"Qtr"&amp; " " &amp;CHOOSE(MONTH(Table1[[#This Row],[Date]]),1,1,1,2,2,2,3,3,3,4,4,4)</f>
        <v>Qtr 1</v>
      </c>
      <c r="G1695" s="3" t="str">
        <f>TEXT(Table1[[#This Row],[Date]],"mmmm")</f>
        <v>February</v>
      </c>
      <c r="H1695" s="3" t="s">
        <v>1084</v>
      </c>
      <c r="I1695" s="3" t="s">
        <v>13</v>
      </c>
      <c r="J1695" s="3">
        <v>8</v>
      </c>
      <c r="K1695" s="3">
        <v>52045.52</v>
      </c>
      <c r="L1695" s="3">
        <f>Table1[[#This Row],[Price Per Unit]]*Table1[[#This Row],[Units Sold]]</f>
        <v>416364.16</v>
      </c>
      <c r="M1695" s="3" t="s">
        <v>890</v>
      </c>
      <c r="N1695" s="3">
        <v>50</v>
      </c>
      <c r="O1695" s="3" t="s">
        <v>35</v>
      </c>
      <c r="P1695" s="3" t="s">
        <v>31</v>
      </c>
      <c r="Q1695" s="4">
        <v>4</v>
      </c>
      <c r="R1695" s="4" t="str">
        <f>IF(Table1[[#This Row],[Customer Ratings]]&gt;=4, "Good",IF(Table1[[#This Row],[Customer Ratings]]=3, "Average","Poor"))</f>
        <v>Good</v>
      </c>
      <c r="S1695" s="3" t="s">
        <v>27</v>
      </c>
    </row>
    <row r="1696" spans="1:19" x14ac:dyDescent="0.25">
      <c r="A1696" s="3">
        <v>1695</v>
      </c>
      <c r="B1696" s="5">
        <f>DATE(Table1[[#This Row],[Year]],Table1[[#This Row],[Month]],Table1[[#This Row],[Day]])</f>
        <v>44959</v>
      </c>
      <c r="C1696" s="3">
        <v>2</v>
      </c>
      <c r="D1696" s="3">
        <v>2</v>
      </c>
      <c r="E1696" s="3">
        <v>2023</v>
      </c>
      <c r="F1696" s="3" t="str">
        <f>"Qtr"&amp; " " &amp;CHOOSE(MONTH(Table1[[#This Row],[Date]]),1,1,1,2,2,2,3,3,3,4,4,4)</f>
        <v>Qtr 1</v>
      </c>
      <c r="G1696" s="3" t="str">
        <f>TEXT(Table1[[#This Row],[Date]],"mmmm")</f>
        <v>February</v>
      </c>
      <c r="H1696" s="3" t="s">
        <v>1084</v>
      </c>
      <c r="I1696" s="3" t="s">
        <v>39</v>
      </c>
      <c r="J1696" s="3">
        <v>2</v>
      </c>
      <c r="K1696" s="3">
        <v>53600.23</v>
      </c>
      <c r="L1696" s="3">
        <f>Table1[[#This Row],[Price Per Unit]]*Table1[[#This Row],[Units Sold]]</f>
        <v>107200.46</v>
      </c>
      <c r="M1696" s="3" t="s">
        <v>212</v>
      </c>
      <c r="N1696" s="3">
        <v>22</v>
      </c>
      <c r="O1696" s="3" t="s">
        <v>54</v>
      </c>
      <c r="P1696" s="3" t="s">
        <v>21</v>
      </c>
      <c r="Q1696" s="4">
        <v>1</v>
      </c>
      <c r="R1696" s="4" t="str">
        <f>IF(Table1[[#This Row],[Customer Ratings]]&gt;=4, "Good",IF(Table1[[#This Row],[Customer Ratings]]=3, "Average","Poor"))</f>
        <v>Poor</v>
      </c>
      <c r="S1696" s="3" t="s">
        <v>90</v>
      </c>
    </row>
    <row r="1697" spans="1:19" x14ac:dyDescent="0.25">
      <c r="A1697" s="3">
        <v>1696</v>
      </c>
      <c r="B1697" s="5">
        <f>DATE(Table1[[#This Row],[Year]],Table1[[#This Row],[Month]],Table1[[#This Row],[Day]])</f>
        <v>44960</v>
      </c>
      <c r="C1697" s="3">
        <v>3</v>
      </c>
      <c r="D1697" s="3">
        <v>2</v>
      </c>
      <c r="E1697" s="3">
        <v>2023</v>
      </c>
      <c r="F1697" s="3" t="str">
        <f>"Qtr"&amp; " " &amp;CHOOSE(MONTH(Table1[[#This Row],[Date]]),1,1,1,2,2,2,3,3,3,4,4,4)</f>
        <v>Qtr 1</v>
      </c>
      <c r="G1697" s="3" t="str">
        <f>TEXT(Table1[[#This Row],[Date]],"mmmm")</f>
        <v>February</v>
      </c>
      <c r="H1697" s="3" t="s">
        <v>1085</v>
      </c>
      <c r="I1697" s="3" t="s">
        <v>18</v>
      </c>
      <c r="J1697" s="3">
        <v>9</v>
      </c>
      <c r="K1697" s="3">
        <v>66556.160000000003</v>
      </c>
      <c r="L1697" s="3">
        <f>Table1[[#This Row],[Price Per Unit]]*Table1[[#This Row],[Units Sold]]</f>
        <v>599005.44000000006</v>
      </c>
      <c r="M1697" s="3" t="s">
        <v>150</v>
      </c>
      <c r="N1697" s="3">
        <v>45</v>
      </c>
      <c r="O1697" s="3" t="s">
        <v>35</v>
      </c>
      <c r="P1697" s="3" t="s">
        <v>16</v>
      </c>
      <c r="Q1697" s="4">
        <v>1</v>
      </c>
      <c r="R1697" s="4" t="str">
        <f>IF(Table1[[#This Row],[Customer Ratings]]&gt;=4, "Good",IF(Table1[[#This Row],[Customer Ratings]]=3, "Average","Poor"))</f>
        <v>Poor</v>
      </c>
      <c r="S1697" s="3" t="s">
        <v>22</v>
      </c>
    </row>
    <row r="1698" spans="1:19" x14ac:dyDescent="0.25">
      <c r="A1698" s="3">
        <v>1697</v>
      </c>
      <c r="B1698" s="5">
        <f>DATE(Table1[[#This Row],[Year]],Table1[[#This Row],[Month]],Table1[[#This Row],[Day]])</f>
        <v>44960</v>
      </c>
      <c r="C1698" s="3">
        <v>3</v>
      </c>
      <c r="D1698" s="3">
        <v>2</v>
      </c>
      <c r="E1698" s="3">
        <v>2023</v>
      </c>
      <c r="F1698" s="3" t="str">
        <f>"Qtr"&amp; " " &amp;CHOOSE(MONTH(Table1[[#This Row],[Date]]),1,1,1,2,2,2,3,3,3,4,4,4)</f>
        <v>Qtr 1</v>
      </c>
      <c r="G1698" s="3" t="str">
        <f>TEXT(Table1[[#This Row],[Date]],"mmmm")</f>
        <v>February</v>
      </c>
      <c r="H1698" s="3" t="s">
        <v>1085</v>
      </c>
      <c r="I1698" s="3" t="s">
        <v>18</v>
      </c>
      <c r="J1698" s="3">
        <v>5</v>
      </c>
      <c r="K1698" s="3">
        <v>59931.47</v>
      </c>
      <c r="L1698" s="3">
        <f>Table1[[#This Row],[Price Per Unit]]*Table1[[#This Row],[Units Sold]]</f>
        <v>299657.34999999998</v>
      </c>
      <c r="M1698" s="3" t="s">
        <v>890</v>
      </c>
      <c r="N1698" s="3">
        <v>41</v>
      </c>
      <c r="O1698" s="3" t="s">
        <v>54</v>
      </c>
      <c r="P1698" s="3" t="s">
        <v>16</v>
      </c>
      <c r="Q1698" s="4">
        <v>5</v>
      </c>
      <c r="R1698" s="4" t="str">
        <f>IF(Table1[[#This Row],[Customer Ratings]]&gt;=4, "Good",IF(Table1[[#This Row],[Customer Ratings]]=3, "Average","Poor"))</f>
        <v>Good</v>
      </c>
      <c r="S1698" s="3" t="s">
        <v>55</v>
      </c>
    </row>
    <row r="1699" spans="1:19" x14ac:dyDescent="0.25">
      <c r="A1699" s="3">
        <v>1698</v>
      </c>
      <c r="B1699" s="5">
        <f>DATE(Table1[[#This Row],[Year]],Table1[[#This Row],[Month]],Table1[[#This Row],[Day]])</f>
        <v>44960</v>
      </c>
      <c r="C1699" s="3">
        <v>3</v>
      </c>
      <c r="D1699" s="3">
        <v>2</v>
      </c>
      <c r="E1699" s="3">
        <v>2023</v>
      </c>
      <c r="F1699" s="3" t="str">
        <f>"Qtr"&amp; " " &amp;CHOOSE(MONTH(Table1[[#This Row],[Date]]),1,1,1,2,2,2,3,3,3,4,4,4)</f>
        <v>Qtr 1</v>
      </c>
      <c r="G1699" s="3" t="str">
        <f>TEXT(Table1[[#This Row],[Date]],"mmmm")</f>
        <v>February</v>
      </c>
      <c r="H1699" s="3" t="s">
        <v>1085</v>
      </c>
      <c r="I1699" s="3" t="s">
        <v>13</v>
      </c>
      <c r="J1699" s="3">
        <v>6</v>
      </c>
      <c r="K1699" s="3">
        <v>47403.42</v>
      </c>
      <c r="L1699" s="3">
        <f>Table1[[#This Row],[Price Per Unit]]*Table1[[#This Row],[Units Sold]]</f>
        <v>284420.52</v>
      </c>
      <c r="M1699" s="3" t="s">
        <v>121</v>
      </c>
      <c r="N1699" s="3">
        <v>34</v>
      </c>
      <c r="O1699" s="3" t="s">
        <v>81</v>
      </c>
      <c r="P1699" s="3" t="s">
        <v>45</v>
      </c>
      <c r="Q1699" s="4">
        <v>4</v>
      </c>
      <c r="R1699" s="4" t="str">
        <f>IF(Table1[[#This Row],[Customer Ratings]]&gt;=4, "Good",IF(Table1[[#This Row],[Customer Ratings]]=3, "Average","Poor"))</f>
        <v>Good</v>
      </c>
      <c r="S1699" s="3" t="s">
        <v>72</v>
      </c>
    </row>
    <row r="1700" spans="1:19" x14ac:dyDescent="0.25">
      <c r="A1700" s="3">
        <v>1699</v>
      </c>
      <c r="B1700" s="5">
        <f>DATE(Table1[[#This Row],[Year]],Table1[[#This Row],[Month]],Table1[[#This Row],[Day]])</f>
        <v>44961</v>
      </c>
      <c r="C1700" s="3">
        <v>4</v>
      </c>
      <c r="D1700" s="3">
        <v>2</v>
      </c>
      <c r="E1700" s="3">
        <v>2023</v>
      </c>
      <c r="F1700" s="3" t="str">
        <f>"Qtr"&amp; " " &amp;CHOOSE(MONTH(Table1[[#This Row],[Date]]),1,1,1,2,2,2,3,3,3,4,4,4)</f>
        <v>Qtr 1</v>
      </c>
      <c r="G1700" s="3" t="str">
        <f>TEXT(Table1[[#This Row],[Date]],"mmmm")</f>
        <v>February</v>
      </c>
      <c r="H1700" s="3" t="s">
        <v>1079</v>
      </c>
      <c r="I1700" s="3" t="s">
        <v>33</v>
      </c>
      <c r="J1700" s="3">
        <v>3</v>
      </c>
      <c r="K1700" s="3">
        <v>49942.93</v>
      </c>
      <c r="L1700" s="3">
        <f>Table1[[#This Row],[Price Per Unit]]*Table1[[#This Row],[Units Sold]]</f>
        <v>149828.79</v>
      </c>
      <c r="M1700" s="3" t="s">
        <v>891</v>
      </c>
      <c r="N1700" s="3">
        <v>56</v>
      </c>
      <c r="O1700" s="3" t="s">
        <v>102</v>
      </c>
      <c r="P1700" s="3" t="s">
        <v>31</v>
      </c>
      <c r="Q1700" s="4">
        <v>3</v>
      </c>
      <c r="R1700" s="4" t="str">
        <f>IF(Table1[[#This Row],[Customer Ratings]]&gt;=4, "Good",IF(Table1[[#This Row],[Customer Ratings]]=3, "Average","Poor"))</f>
        <v>Average</v>
      </c>
      <c r="S1700" s="3" t="s">
        <v>46</v>
      </c>
    </row>
    <row r="1701" spans="1:19" x14ac:dyDescent="0.25">
      <c r="A1701" s="3">
        <v>1700</v>
      </c>
      <c r="B1701" s="5">
        <f>DATE(Table1[[#This Row],[Year]],Table1[[#This Row],[Month]],Table1[[#This Row],[Day]])</f>
        <v>44961</v>
      </c>
      <c r="C1701" s="3">
        <v>4</v>
      </c>
      <c r="D1701" s="3">
        <v>2</v>
      </c>
      <c r="E1701" s="3">
        <v>2023</v>
      </c>
      <c r="F1701" s="3" t="str">
        <f>"Qtr"&amp; " " &amp;CHOOSE(MONTH(Table1[[#This Row],[Date]]),1,1,1,2,2,2,3,3,3,4,4,4)</f>
        <v>Qtr 1</v>
      </c>
      <c r="G1701" s="3" t="str">
        <f>TEXT(Table1[[#This Row],[Date]],"mmmm")</f>
        <v>February</v>
      </c>
      <c r="H1701" s="3" t="s">
        <v>1079</v>
      </c>
      <c r="I1701" s="3" t="s">
        <v>39</v>
      </c>
      <c r="J1701" s="3">
        <v>3</v>
      </c>
      <c r="K1701" s="3">
        <v>22824.42</v>
      </c>
      <c r="L1701" s="3">
        <f>Table1[[#This Row],[Price Per Unit]]*Table1[[#This Row],[Units Sold]]</f>
        <v>68473.259999999995</v>
      </c>
      <c r="M1701" s="3" t="s">
        <v>584</v>
      </c>
      <c r="N1701" s="3">
        <v>57</v>
      </c>
      <c r="O1701" s="3" t="s">
        <v>20</v>
      </c>
      <c r="P1701" s="3" t="s">
        <v>45</v>
      </c>
      <c r="Q1701" s="4">
        <v>3</v>
      </c>
      <c r="R1701" s="4" t="str">
        <f>IF(Table1[[#This Row],[Customer Ratings]]&gt;=4, "Good",IF(Table1[[#This Row],[Customer Ratings]]=3, "Average","Poor"))</f>
        <v>Average</v>
      </c>
      <c r="S1701" s="3" t="s">
        <v>90</v>
      </c>
    </row>
    <row r="1702" spans="1:19" x14ac:dyDescent="0.25">
      <c r="A1702" s="3">
        <v>1701</v>
      </c>
      <c r="B1702" s="5">
        <f>DATE(Table1[[#This Row],[Year]],Table1[[#This Row],[Month]],Table1[[#This Row],[Day]])</f>
        <v>44961</v>
      </c>
      <c r="C1702" s="3">
        <v>4</v>
      </c>
      <c r="D1702" s="3">
        <v>2</v>
      </c>
      <c r="E1702" s="3">
        <v>2023</v>
      </c>
      <c r="F1702" s="3" t="str">
        <f>"Qtr"&amp; " " &amp;CHOOSE(MONTH(Table1[[#This Row],[Date]]),1,1,1,2,2,2,3,3,3,4,4,4)</f>
        <v>Qtr 1</v>
      </c>
      <c r="G1702" s="3" t="str">
        <f>TEXT(Table1[[#This Row],[Date]],"mmmm")</f>
        <v>February</v>
      </c>
      <c r="H1702" s="3" t="s">
        <v>1079</v>
      </c>
      <c r="I1702" s="3" t="s">
        <v>33</v>
      </c>
      <c r="J1702" s="3">
        <v>8</v>
      </c>
      <c r="K1702" s="3">
        <v>49439.13</v>
      </c>
      <c r="L1702" s="3">
        <f>Table1[[#This Row],[Price Per Unit]]*Table1[[#This Row],[Units Sold]]</f>
        <v>395513.04</v>
      </c>
      <c r="M1702" s="3" t="s">
        <v>175</v>
      </c>
      <c r="N1702" s="3">
        <v>28</v>
      </c>
      <c r="O1702" s="3" t="s">
        <v>54</v>
      </c>
      <c r="P1702" s="3" t="s">
        <v>31</v>
      </c>
      <c r="Q1702" s="4">
        <v>1</v>
      </c>
      <c r="R1702" s="4" t="str">
        <f>IF(Table1[[#This Row],[Customer Ratings]]&gt;=4, "Good",IF(Table1[[#This Row],[Customer Ratings]]=3, "Average","Poor"))</f>
        <v>Poor</v>
      </c>
      <c r="S1702" s="3" t="s">
        <v>46</v>
      </c>
    </row>
    <row r="1703" spans="1:19" x14ac:dyDescent="0.25">
      <c r="A1703" s="3">
        <v>1702</v>
      </c>
      <c r="B1703" s="5">
        <f>DATE(Table1[[#This Row],[Year]],Table1[[#This Row],[Month]],Table1[[#This Row],[Day]])</f>
        <v>44961</v>
      </c>
      <c r="C1703" s="3">
        <v>4</v>
      </c>
      <c r="D1703" s="3">
        <v>2</v>
      </c>
      <c r="E1703" s="3">
        <v>2023</v>
      </c>
      <c r="F1703" s="3" t="str">
        <f>"Qtr"&amp; " " &amp;CHOOSE(MONTH(Table1[[#This Row],[Date]]),1,1,1,2,2,2,3,3,3,4,4,4)</f>
        <v>Qtr 1</v>
      </c>
      <c r="G1703" s="3" t="str">
        <f>TEXT(Table1[[#This Row],[Date]],"mmmm")</f>
        <v>February</v>
      </c>
      <c r="H1703" s="3" t="s">
        <v>1079</v>
      </c>
      <c r="I1703" s="3" t="s">
        <v>28</v>
      </c>
      <c r="J1703" s="3">
        <v>2</v>
      </c>
      <c r="K1703" s="3">
        <v>35480.74</v>
      </c>
      <c r="L1703" s="3">
        <f>Table1[[#This Row],[Price Per Unit]]*Table1[[#This Row],[Units Sold]]</f>
        <v>70961.48</v>
      </c>
      <c r="M1703" s="3" t="s">
        <v>702</v>
      </c>
      <c r="N1703" s="3">
        <v>29</v>
      </c>
      <c r="O1703" s="3" t="s">
        <v>65</v>
      </c>
      <c r="P1703" s="3" t="s">
        <v>16</v>
      </c>
      <c r="Q1703" s="4">
        <v>5</v>
      </c>
      <c r="R1703" s="4" t="str">
        <f>IF(Table1[[#This Row],[Customer Ratings]]&gt;=4, "Good",IF(Table1[[#This Row],[Customer Ratings]]=3, "Average","Poor"))</f>
        <v>Good</v>
      </c>
      <c r="S1703" s="3" t="s">
        <v>87</v>
      </c>
    </row>
    <row r="1704" spans="1:19" x14ac:dyDescent="0.25">
      <c r="A1704" s="3">
        <v>1703</v>
      </c>
      <c r="B1704" s="5">
        <f>DATE(Table1[[#This Row],[Year]],Table1[[#This Row],[Month]],Table1[[#This Row],[Day]])</f>
        <v>44962</v>
      </c>
      <c r="C1704" s="3">
        <v>5</v>
      </c>
      <c r="D1704" s="3">
        <v>2</v>
      </c>
      <c r="E1704" s="3">
        <v>2023</v>
      </c>
      <c r="F1704" s="3" t="str">
        <f>"Qtr"&amp; " " &amp;CHOOSE(MONTH(Table1[[#This Row],[Date]]),1,1,1,2,2,2,3,3,3,4,4,4)</f>
        <v>Qtr 1</v>
      </c>
      <c r="G1704" s="3" t="str">
        <f>TEXT(Table1[[#This Row],[Date]],"mmmm")</f>
        <v>February</v>
      </c>
      <c r="H1704" s="3" t="s">
        <v>1080</v>
      </c>
      <c r="I1704" s="3" t="s">
        <v>28</v>
      </c>
      <c r="J1704" s="3">
        <v>2</v>
      </c>
      <c r="K1704" s="3">
        <v>19177.71</v>
      </c>
      <c r="L1704" s="3">
        <f>Table1[[#This Row],[Price Per Unit]]*Table1[[#This Row],[Units Sold]]</f>
        <v>38355.42</v>
      </c>
      <c r="M1704" s="3" t="s">
        <v>892</v>
      </c>
      <c r="N1704" s="3">
        <v>30</v>
      </c>
      <c r="O1704" s="3" t="s">
        <v>20</v>
      </c>
      <c r="P1704" s="3" t="s">
        <v>31</v>
      </c>
      <c r="Q1704" s="4">
        <v>4</v>
      </c>
      <c r="R1704" s="4" t="str">
        <f>IF(Table1[[#This Row],[Customer Ratings]]&gt;=4, "Good",IF(Table1[[#This Row],[Customer Ratings]]=3, "Average","Poor"))</f>
        <v>Good</v>
      </c>
      <c r="S1704" s="3" t="s">
        <v>32</v>
      </c>
    </row>
    <row r="1705" spans="1:19" x14ac:dyDescent="0.25">
      <c r="A1705" s="3">
        <v>1704</v>
      </c>
      <c r="B1705" s="5">
        <f>DATE(Table1[[#This Row],[Year]],Table1[[#This Row],[Month]],Table1[[#This Row],[Day]])</f>
        <v>44962</v>
      </c>
      <c r="C1705" s="3">
        <v>5</v>
      </c>
      <c r="D1705" s="3">
        <v>2</v>
      </c>
      <c r="E1705" s="3">
        <v>2023</v>
      </c>
      <c r="F1705" s="3" t="str">
        <f>"Qtr"&amp; " " &amp;CHOOSE(MONTH(Table1[[#This Row],[Date]]),1,1,1,2,2,2,3,3,3,4,4,4)</f>
        <v>Qtr 1</v>
      </c>
      <c r="G1705" s="3" t="str">
        <f>TEXT(Table1[[#This Row],[Date]],"mmmm")</f>
        <v>February</v>
      </c>
      <c r="H1705" s="3" t="s">
        <v>1080</v>
      </c>
      <c r="I1705" s="3" t="s">
        <v>13</v>
      </c>
      <c r="J1705" s="3">
        <v>5</v>
      </c>
      <c r="K1705" s="3">
        <v>58384.17</v>
      </c>
      <c r="L1705" s="3">
        <f>Table1[[#This Row],[Price Per Unit]]*Table1[[#This Row],[Units Sold]]</f>
        <v>291920.84999999998</v>
      </c>
      <c r="M1705" s="3" t="s">
        <v>855</v>
      </c>
      <c r="N1705" s="3">
        <v>25</v>
      </c>
      <c r="O1705" s="3" t="s">
        <v>102</v>
      </c>
      <c r="P1705" s="3" t="s">
        <v>16</v>
      </c>
      <c r="Q1705" s="4">
        <v>4</v>
      </c>
      <c r="R1705" s="4" t="str">
        <f>IF(Table1[[#This Row],[Customer Ratings]]&gt;=4, "Good",IF(Table1[[#This Row],[Customer Ratings]]=3, "Average","Poor"))</f>
        <v>Good</v>
      </c>
      <c r="S1705" s="3" t="s">
        <v>27</v>
      </c>
    </row>
    <row r="1706" spans="1:19" x14ac:dyDescent="0.25">
      <c r="A1706" s="3">
        <v>1705</v>
      </c>
      <c r="B1706" s="5">
        <f>DATE(Table1[[#This Row],[Year]],Table1[[#This Row],[Month]],Table1[[#This Row],[Day]])</f>
        <v>44962</v>
      </c>
      <c r="C1706" s="3">
        <v>5</v>
      </c>
      <c r="D1706" s="3">
        <v>2</v>
      </c>
      <c r="E1706" s="3">
        <v>2023</v>
      </c>
      <c r="F1706" s="3" t="str">
        <f>"Qtr"&amp; " " &amp;CHOOSE(MONTH(Table1[[#This Row],[Date]]),1,1,1,2,2,2,3,3,3,4,4,4)</f>
        <v>Qtr 1</v>
      </c>
      <c r="G1706" s="3" t="str">
        <f>TEXT(Table1[[#This Row],[Date]],"mmmm")</f>
        <v>February</v>
      </c>
      <c r="H1706" s="3" t="s">
        <v>1080</v>
      </c>
      <c r="I1706" s="3" t="s">
        <v>13</v>
      </c>
      <c r="J1706" s="3">
        <v>6</v>
      </c>
      <c r="K1706" s="3">
        <v>40614.83</v>
      </c>
      <c r="L1706" s="3">
        <f>Table1[[#This Row],[Price Per Unit]]*Table1[[#This Row],[Units Sold]]</f>
        <v>243688.98</v>
      </c>
      <c r="M1706" s="3" t="s">
        <v>436</v>
      </c>
      <c r="N1706" s="3">
        <v>18</v>
      </c>
      <c r="O1706" s="3" t="s">
        <v>54</v>
      </c>
      <c r="P1706" s="3" t="s">
        <v>31</v>
      </c>
      <c r="Q1706" s="4">
        <v>3</v>
      </c>
      <c r="R1706" s="4" t="str">
        <f>IF(Table1[[#This Row],[Customer Ratings]]&gt;=4, "Good",IF(Table1[[#This Row],[Customer Ratings]]=3, "Average","Poor"))</f>
        <v>Average</v>
      </c>
      <c r="S1706" s="3" t="s">
        <v>17</v>
      </c>
    </row>
    <row r="1707" spans="1:19" x14ac:dyDescent="0.25">
      <c r="A1707" s="3">
        <v>1706</v>
      </c>
      <c r="B1707" s="5">
        <f>DATE(Table1[[#This Row],[Year]],Table1[[#This Row],[Month]],Table1[[#This Row],[Day]])</f>
        <v>44963</v>
      </c>
      <c r="C1707" s="3">
        <v>6</v>
      </c>
      <c r="D1707" s="3">
        <v>2</v>
      </c>
      <c r="E1707" s="3">
        <v>2023</v>
      </c>
      <c r="F1707" s="3" t="str">
        <f>"Qtr"&amp; " " &amp;CHOOSE(MONTH(Table1[[#This Row],[Date]]),1,1,1,2,2,2,3,3,3,4,4,4)</f>
        <v>Qtr 1</v>
      </c>
      <c r="G1707" s="3" t="str">
        <f>TEXT(Table1[[#This Row],[Date]],"mmmm")</f>
        <v>February</v>
      </c>
      <c r="H1707" s="3" t="s">
        <v>1081</v>
      </c>
      <c r="I1707" s="3" t="s">
        <v>13</v>
      </c>
      <c r="J1707" s="3">
        <v>2</v>
      </c>
      <c r="K1707" s="3">
        <v>68645.5</v>
      </c>
      <c r="L1707" s="3">
        <f>Table1[[#This Row],[Price Per Unit]]*Table1[[#This Row],[Units Sold]]</f>
        <v>137291</v>
      </c>
      <c r="M1707" s="3" t="s">
        <v>893</v>
      </c>
      <c r="N1707" s="3">
        <v>26</v>
      </c>
      <c r="O1707" s="3" t="s">
        <v>20</v>
      </c>
      <c r="P1707" s="3" t="s">
        <v>45</v>
      </c>
      <c r="Q1707" s="4">
        <v>3</v>
      </c>
      <c r="R1707" s="4" t="str">
        <f>IF(Table1[[#This Row],[Customer Ratings]]&gt;=4, "Good",IF(Table1[[#This Row],[Customer Ratings]]=3, "Average","Poor"))</f>
        <v>Average</v>
      </c>
      <c r="S1707" s="3" t="s">
        <v>17</v>
      </c>
    </row>
    <row r="1708" spans="1:19" x14ac:dyDescent="0.25">
      <c r="A1708" s="3">
        <v>1707</v>
      </c>
      <c r="B1708" s="5">
        <f>DATE(Table1[[#This Row],[Year]],Table1[[#This Row],[Month]],Table1[[#This Row],[Day]])</f>
        <v>44963</v>
      </c>
      <c r="C1708" s="3">
        <v>6</v>
      </c>
      <c r="D1708" s="3">
        <v>2</v>
      </c>
      <c r="E1708" s="3">
        <v>2023</v>
      </c>
      <c r="F1708" s="3" t="str">
        <f>"Qtr"&amp; " " &amp;CHOOSE(MONTH(Table1[[#This Row],[Date]]),1,1,1,2,2,2,3,3,3,4,4,4)</f>
        <v>Qtr 1</v>
      </c>
      <c r="G1708" s="3" t="str">
        <f>TEXT(Table1[[#This Row],[Date]],"mmmm")</f>
        <v>February</v>
      </c>
      <c r="H1708" s="3" t="s">
        <v>1081</v>
      </c>
      <c r="I1708" s="3" t="s">
        <v>28</v>
      </c>
      <c r="J1708" s="3">
        <v>5</v>
      </c>
      <c r="K1708" s="3">
        <v>26900.76</v>
      </c>
      <c r="L1708" s="3">
        <f>Table1[[#This Row],[Price Per Unit]]*Table1[[#This Row],[Units Sold]]</f>
        <v>134503.79999999999</v>
      </c>
      <c r="M1708" s="3" t="s">
        <v>894</v>
      </c>
      <c r="N1708" s="3">
        <v>45</v>
      </c>
      <c r="O1708" s="3" t="s">
        <v>24</v>
      </c>
      <c r="P1708" s="3" t="s">
        <v>16</v>
      </c>
      <c r="Q1708" s="4">
        <v>5</v>
      </c>
      <c r="R1708" s="4" t="str">
        <f>IF(Table1[[#This Row],[Customer Ratings]]&gt;=4, "Good",IF(Table1[[#This Row],[Customer Ratings]]=3, "Average","Poor"))</f>
        <v>Good</v>
      </c>
      <c r="S1708" s="3" t="s">
        <v>32</v>
      </c>
    </row>
    <row r="1709" spans="1:19" x14ac:dyDescent="0.25">
      <c r="A1709" s="3">
        <v>1708</v>
      </c>
      <c r="B1709" s="5">
        <f>DATE(Table1[[#This Row],[Year]],Table1[[#This Row],[Month]],Table1[[#This Row],[Day]])</f>
        <v>44963</v>
      </c>
      <c r="C1709" s="3">
        <v>6</v>
      </c>
      <c r="D1709" s="3">
        <v>2</v>
      </c>
      <c r="E1709" s="3">
        <v>2023</v>
      </c>
      <c r="F1709" s="3" t="str">
        <f>"Qtr"&amp; " " &amp;CHOOSE(MONTH(Table1[[#This Row],[Date]]),1,1,1,2,2,2,3,3,3,4,4,4)</f>
        <v>Qtr 1</v>
      </c>
      <c r="G1709" s="3" t="str">
        <f>TEXT(Table1[[#This Row],[Date]],"mmmm")</f>
        <v>February</v>
      </c>
      <c r="H1709" s="3" t="s">
        <v>1081</v>
      </c>
      <c r="I1709" s="3" t="s">
        <v>33</v>
      </c>
      <c r="J1709" s="3">
        <v>7</v>
      </c>
      <c r="K1709" s="3">
        <v>38840.21</v>
      </c>
      <c r="L1709" s="3">
        <f>Table1[[#This Row],[Price Per Unit]]*Table1[[#This Row],[Units Sold]]</f>
        <v>271881.46999999997</v>
      </c>
      <c r="M1709" s="3" t="s">
        <v>764</v>
      </c>
      <c r="N1709" s="3">
        <v>19</v>
      </c>
      <c r="O1709" s="3" t="s">
        <v>105</v>
      </c>
      <c r="P1709" s="3" t="s">
        <v>21</v>
      </c>
      <c r="Q1709" s="4">
        <v>5</v>
      </c>
      <c r="R1709" s="4" t="str">
        <f>IF(Table1[[#This Row],[Customer Ratings]]&gt;=4, "Good",IF(Table1[[#This Row],[Customer Ratings]]=3, "Average","Poor"))</f>
        <v>Good</v>
      </c>
      <c r="S1709" s="3" t="s">
        <v>36</v>
      </c>
    </row>
    <row r="1710" spans="1:19" x14ac:dyDescent="0.25">
      <c r="A1710" s="3">
        <v>1709</v>
      </c>
      <c r="B1710" s="5">
        <f>DATE(Table1[[#This Row],[Year]],Table1[[#This Row],[Month]],Table1[[#This Row],[Day]])</f>
        <v>44963</v>
      </c>
      <c r="C1710" s="3">
        <v>6</v>
      </c>
      <c r="D1710" s="3">
        <v>2</v>
      </c>
      <c r="E1710" s="3">
        <v>2023</v>
      </c>
      <c r="F1710" s="3" t="str">
        <f>"Qtr"&amp; " " &amp;CHOOSE(MONTH(Table1[[#This Row],[Date]]),1,1,1,2,2,2,3,3,3,4,4,4)</f>
        <v>Qtr 1</v>
      </c>
      <c r="G1710" s="3" t="str">
        <f>TEXT(Table1[[#This Row],[Date]],"mmmm")</f>
        <v>February</v>
      </c>
      <c r="H1710" s="3" t="s">
        <v>1081</v>
      </c>
      <c r="I1710" s="3" t="s">
        <v>33</v>
      </c>
      <c r="J1710" s="3">
        <v>8</v>
      </c>
      <c r="K1710" s="3">
        <v>36879.730000000003</v>
      </c>
      <c r="L1710" s="3">
        <f>Table1[[#This Row],[Price Per Unit]]*Table1[[#This Row],[Units Sold]]</f>
        <v>295037.84000000003</v>
      </c>
      <c r="M1710" s="3" t="s">
        <v>238</v>
      </c>
      <c r="N1710" s="3">
        <v>31</v>
      </c>
      <c r="O1710" s="3" t="s">
        <v>20</v>
      </c>
      <c r="P1710" s="3" t="s">
        <v>21</v>
      </c>
      <c r="Q1710" s="4">
        <v>5</v>
      </c>
      <c r="R1710" s="4" t="str">
        <f>IF(Table1[[#This Row],[Customer Ratings]]&gt;=4, "Good",IF(Table1[[#This Row],[Customer Ratings]]=3, "Average","Poor"))</f>
        <v>Good</v>
      </c>
      <c r="S1710" s="3" t="s">
        <v>83</v>
      </c>
    </row>
    <row r="1711" spans="1:19" x14ac:dyDescent="0.25">
      <c r="A1711" s="3">
        <v>1710</v>
      </c>
      <c r="B1711" s="5">
        <f>DATE(Table1[[#This Row],[Year]],Table1[[#This Row],[Month]],Table1[[#This Row],[Day]])</f>
        <v>44964</v>
      </c>
      <c r="C1711" s="3">
        <v>7</v>
      </c>
      <c r="D1711" s="3">
        <v>2</v>
      </c>
      <c r="E1711" s="3">
        <v>2023</v>
      </c>
      <c r="F1711" s="3" t="str">
        <f>"Qtr"&amp; " " &amp;CHOOSE(MONTH(Table1[[#This Row],[Date]]),1,1,1,2,2,2,3,3,3,4,4,4)</f>
        <v>Qtr 1</v>
      </c>
      <c r="G1711" s="3" t="str">
        <f>TEXT(Table1[[#This Row],[Date]],"mmmm")</f>
        <v>February</v>
      </c>
      <c r="H1711" s="3" t="s">
        <v>1082</v>
      </c>
      <c r="I1711" s="3" t="s">
        <v>13</v>
      </c>
      <c r="J1711" s="3">
        <v>7</v>
      </c>
      <c r="K1711" s="3">
        <v>17246.77</v>
      </c>
      <c r="L1711" s="3">
        <f>Table1[[#This Row],[Price Per Unit]]*Table1[[#This Row],[Units Sold]]</f>
        <v>120727.39</v>
      </c>
      <c r="M1711" s="3" t="s">
        <v>247</v>
      </c>
      <c r="N1711" s="3">
        <v>30</v>
      </c>
      <c r="O1711" s="3" t="s">
        <v>54</v>
      </c>
      <c r="P1711" s="3" t="s">
        <v>16</v>
      </c>
      <c r="Q1711" s="4">
        <v>5</v>
      </c>
      <c r="R1711" s="4" t="str">
        <f>IF(Table1[[#This Row],[Customer Ratings]]&gt;=4, "Good",IF(Table1[[#This Row],[Customer Ratings]]=3, "Average","Poor"))</f>
        <v>Good</v>
      </c>
      <c r="S1711" s="3" t="s">
        <v>27</v>
      </c>
    </row>
    <row r="1712" spans="1:19" x14ac:dyDescent="0.25">
      <c r="A1712" s="3">
        <v>1711</v>
      </c>
      <c r="B1712" s="5">
        <f>DATE(Table1[[#This Row],[Year]],Table1[[#This Row],[Month]],Table1[[#This Row],[Day]])</f>
        <v>44964</v>
      </c>
      <c r="C1712" s="3">
        <v>7</v>
      </c>
      <c r="D1712" s="3">
        <v>2</v>
      </c>
      <c r="E1712" s="3">
        <v>2023</v>
      </c>
      <c r="F1712" s="3" t="str">
        <f>"Qtr"&amp; " " &amp;CHOOSE(MONTH(Table1[[#This Row],[Date]]),1,1,1,2,2,2,3,3,3,4,4,4)</f>
        <v>Qtr 1</v>
      </c>
      <c r="G1712" s="3" t="str">
        <f>TEXT(Table1[[#This Row],[Date]],"mmmm")</f>
        <v>February</v>
      </c>
      <c r="H1712" s="3" t="s">
        <v>1082</v>
      </c>
      <c r="I1712" s="3" t="s">
        <v>39</v>
      </c>
      <c r="J1712" s="3">
        <v>8</v>
      </c>
      <c r="K1712" s="3">
        <v>35566.92</v>
      </c>
      <c r="L1712" s="3">
        <f>Table1[[#This Row],[Price Per Unit]]*Table1[[#This Row],[Units Sold]]</f>
        <v>284535.36</v>
      </c>
      <c r="M1712" s="3" t="s">
        <v>895</v>
      </c>
      <c r="N1712" s="3">
        <v>19</v>
      </c>
      <c r="O1712" s="3" t="s">
        <v>24</v>
      </c>
      <c r="P1712" s="3" t="s">
        <v>21</v>
      </c>
      <c r="Q1712" s="4">
        <v>4</v>
      </c>
      <c r="R1712" s="4" t="str">
        <f>IF(Table1[[#This Row],[Customer Ratings]]&gt;=4, "Good",IF(Table1[[#This Row],[Customer Ratings]]=3, "Average","Poor"))</f>
        <v>Good</v>
      </c>
      <c r="S1712" s="3" t="s">
        <v>42</v>
      </c>
    </row>
    <row r="1713" spans="1:19" x14ac:dyDescent="0.25">
      <c r="A1713" s="3">
        <v>1712</v>
      </c>
      <c r="B1713" s="5">
        <f>DATE(Table1[[#This Row],[Year]],Table1[[#This Row],[Month]],Table1[[#This Row],[Day]])</f>
        <v>44964</v>
      </c>
      <c r="C1713" s="3">
        <v>7</v>
      </c>
      <c r="D1713" s="3">
        <v>2</v>
      </c>
      <c r="E1713" s="3">
        <v>2023</v>
      </c>
      <c r="F1713" s="3" t="str">
        <f>"Qtr"&amp; " " &amp;CHOOSE(MONTH(Table1[[#This Row],[Date]]),1,1,1,2,2,2,3,3,3,4,4,4)</f>
        <v>Qtr 1</v>
      </c>
      <c r="G1713" s="3" t="str">
        <f>TEXT(Table1[[#This Row],[Date]],"mmmm")</f>
        <v>February</v>
      </c>
      <c r="H1713" s="3" t="s">
        <v>1082</v>
      </c>
      <c r="I1713" s="3" t="s">
        <v>33</v>
      </c>
      <c r="J1713" s="3">
        <v>9</v>
      </c>
      <c r="K1713" s="3">
        <v>27253.21</v>
      </c>
      <c r="L1713" s="3">
        <f>Table1[[#This Row],[Price Per Unit]]*Table1[[#This Row],[Units Sold]]</f>
        <v>245278.88999999998</v>
      </c>
      <c r="M1713" s="3" t="s">
        <v>896</v>
      </c>
      <c r="N1713" s="3">
        <v>21</v>
      </c>
      <c r="O1713" s="3" t="s">
        <v>58</v>
      </c>
      <c r="P1713" s="3" t="s">
        <v>16</v>
      </c>
      <c r="Q1713" s="4">
        <v>5</v>
      </c>
      <c r="R1713" s="4" t="str">
        <f>IF(Table1[[#This Row],[Customer Ratings]]&gt;=4, "Good",IF(Table1[[#This Row],[Customer Ratings]]=3, "Average","Poor"))</f>
        <v>Good</v>
      </c>
      <c r="S1713" s="3" t="s">
        <v>83</v>
      </c>
    </row>
    <row r="1714" spans="1:19" x14ac:dyDescent="0.25">
      <c r="A1714" s="3">
        <v>1713</v>
      </c>
      <c r="B1714" s="5">
        <f>DATE(Table1[[#This Row],[Year]],Table1[[#This Row],[Month]],Table1[[#This Row],[Day]])</f>
        <v>44965</v>
      </c>
      <c r="C1714" s="3">
        <v>8</v>
      </c>
      <c r="D1714" s="3">
        <v>2</v>
      </c>
      <c r="E1714" s="3">
        <v>2023</v>
      </c>
      <c r="F1714" s="3" t="str">
        <f>"Qtr"&amp; " " &amp;CHOOSE(MONTH(Table1[[#This Row],[Date]]),1,1,1,2,2,2,3,3,3,4,4,4)</f>
        <v>Qtr 1</v>
      </c>
      <c r="G1714" s="3" t="str">
        <f>TEXT(Table1[[#This Row],[Date]],"mmmm")</f>
        <v>February</v>
      </c>
      <c r="H1714" s="3" t="s">
        <v>1083</v>
      </c>
      <c r="I1714" s="3" t="s">
        <v>28</v>
      </c>
      <c r="J1714" s="3">
        <v>5</v>
      </c>
      <c r="K1714" s="3">
        <v>19619.23</v>
      </c>
      <c r="L1714" s="3">
        <f>Table1[[#This Row],[Price Per Unit]]*Table1[[#This Row],[Units Sold]]</f>
        <v>98096.15</v>
      </c>
      <c r="M1714" s="3" t="s">
        <v>752</v>
      </c>
      <c r="N1714" s="3">
        <v>29</v>
      </c>
      <c r="O1714" s="3" t="s">
        <v>15</v>
      </c>
      <c r="P1714" s="3" t="s">
        <v>45</v>
      </c>
      <c r="Q1714" s="4">
        <v>1</v>
      </c>
      <c r="R1714" s="4" t="str">
        <f>IF(Table1[[#This Row],[Customer Ratings]]&gt;=4, "Good",IF(Table1[[#This Row],[Customer Ratings]]=3, "Average","Poor"))</f>
        <v>Poor</v>
      </c>
      <c r="S1714" s="3" t="s">
        <v>38</v>
      </c>
    </row>
    <row r="1715" spans="1:19" x14ac:dyDescent="0.25">
      <c r="A1715" s="3">
        <v>1714</v>
      </c>
      <c r="B1715" s="5">
        <f>DATE(Table1[[#This Row],[Year]],Table1[[#This Row],[Month]],Table1[[#This Row],[Day]])</f>
        <v>44965</v>
      </c>
      <c r="C1715" s="3">
        <v>8</v>
      </c>
      <c r="D1715" s="3">
        <v>2</v>
      </c>
      <c r="E1715" s="3">
        <v>2023</v>
      </c>
      <c r="F1715" s="3" t="str">
        <f>"Qtr"&amp; " " &amp;CHOOSE(MONTH(Table1[[#This Row],[Date]]),1,1,1,2,2,2,3,3,3,4,4,4)</f>
        <v>Qtr 1</v>
      </c>
      <c r="G1715" s="3" t="str">
        <f>TEXT(Table1[[#This Row],[Date]],"mmmm")</f>
        <v>February</v>
      </c>
      <c r="H1715" s="3" t="s">
        <v>1083</v>
      </c>
      <c r="I1715" s="3" t="s">
        <v>18</v>
      </c>
      <c r="J1715" s="3">
        <v>5</v>
      </c>
      <c r="K1715" s="3">
        <v>26929.34</v>
      </c>
      <c r="L1715" s="3">
        <f>Table1[[#This Row],[Price Per Unit]]*Table1[[#This Row],[Units Sold]]</f>
        <v>134646.70000000001</v>
      </c>
      <c r="M1715" s="3" t="s">
        <v>245</v>
      </c>
      <c r="N1715" s="3">
        <v>27</v>
      </c>
      <c r="O1715" s="3" t="s">
        <v>54</v>
      </c>
      <c r="P1715" s="3" t="s">
        <v>45</v>
      </c>
      <c r="Q1715" s="4">
        <v>1</v>
      </c>
      <c r="R1715" s="4" t="str">
        <f>IF(Table1[[#This Row],[Customer Ratings]]&gt;=4, "Good",IF(Table1[[#This Row],[Customer Ratings]]=3, "Average","Poor"))</f>
        <v>Poor</v>
      </c>
      <c r="S1715" s="3" t="s">
        <v>22</v>
      </c>
    </row>
    <row r="1716" spans="1:19" x14ac:dyDescent="0.25">
      <c r="A1716" s="3">
        <v>1715</v>
      </c>
      <c r="B1716" s="5">
        <f>DATE(Table1[[#This Row],[Year]],Table1[[#This Row],[Month]],Table1[[#This Row],[Day]])</f>
        <v>44965</v>
      </c>
      <c r="C1716" s="3">
        <v>8</v>
      </c>
      <c r="D1716" s="3">
        <v>2</v>
      </c>
      <c r="E1716" s="3">
        <v>2023</v>
      </c>
      <c r="F1716" s="3" t="str">
        <f>"Qtr"&amp; " " &amp;CHOOSE(MONTH(Table1[[#This Row],[Date]]),1,1,1,2,2,2,3,3,3,4,4,4)</f>
        <v>Qtr 1</v>
      </c>
      <c r="G1716" s="3" t="str">
        <f>TEXT(Table1[[#This Row],[Date]],"mmmm")</f>
        <v>February</v>
      </c>
      <c r="H1716" s="3" t="s">
        <v>1083</v>
      </c>
      <c r="I1716" s="3" t="s">
        <v>18</v>
      </c>
      <c r="J1716" s="3">
        <v>4</v>
      </c>
      <c r="K1716" s="3">
        <v>23995.1</v>
      </c>
      <c r="L1716" s="3">
        <f>Table1[[#This Row],[Price Per Unit]]*Table1[[#This Row],[Units Sold]]</f>
        <v>95980.4</v>
      </c>
      <c r="M1716" s="3" t="s">
        <v>897</v>
      </c>
      <c r="N1716" s="3">
        <v>20</v>
      </c>
      <c r="O1716" s="3" t="s">
        <v>20</v>
      </c>
      <c r="P1716" s="3" t="s">
        <v>31</v>
      </c>
      <c r="Q1716" s="4">
        <v>3</v>
      </c>
      <c r="R1716" s="4" t="str">
        <f>IF(Table1[[#This Row],[Customer Ratings]]&gt;=4, "Good",IF(Table1[[#This Row],[Customer Ratings]]=3, "Average","Poor"))</f>
        <v>Average</v>
      </c>
      <c r="S1716" s="3" t="s">
        <v>25</v>
      </c>
    </row>
    <row r="1717" spans="1:19" x14ac:dyDescent="0.25">
      <c r="A1717" s="3">
        <v>1716</v>
      </c>
      <c r="B1717" s="5">
        <f>DATE(Table1[[#This Row],[Year]],Table1[[#This Row],[Month]],Table1[[#This Row],[Day]])</f>
        <v>44965</v>
      </c>
      <c r="C1717" s="3">
        <v>8</v>
      </c>
      <c r="D1717" s="3">
        <v>2</v>
      </c>
      <c r="E1717" s="3">
        <v>2023</v>
      </c>
      <c r="F1717" s="3" t="str">
        <f>"Qtr"&amp; " " &amp;CHOOSE(MONTH(Table1[[#This Row],[Date]]),1,1,1,2,2,2,3,3,3,4,4,4)</f>
        <v>Qtr 1</v>
      </c>
      <c r="G1717" s="3" t="str">
        <f>TEXT(Table1[[#This Row],[Date]],"mmmm")</f>
        <v>February</v>
      </c>
      <c r="H1717" s="3" t="s">
        <v>1083</v>
      </c>
      <c r="I1717" s="3" t="s">
        <v>18</v>
      </c>
      <c r="J1717" s="3">
        <v>9</v>
      </c>
      <c r="K1717" s="3">
        <v>54044.41</v>
      </c>
      <c r="L1717" s="3">
        <f>Table1[[#This Row],[Price Per Unit]]*Table1[[#This Row],[Units Sold]]</f>
        <v>486399.69000000006</v>
      </c>
      <c r="M1717" s="3" t="s">
        <v>121</v>
      </c>
      <c r="N1717" s="3">
        <v>21</v>
      </c>
      <c r="O1717" s="3" t="s">
        <v>54</v>
      </c>
      <c r="P1717" s="3" t="s">
        <v>21</v>
      </c>
      <c r="Q1717" s="4">
        <v>3</v>
      </c>
      <c r="R1717" s="4" t="str">
        <f>IF(Table1[[#This Row],[Customer Ratings]]&gt;=4, "Good",IF(Table1[[#This Row],[Customer Ratings]]=3, "Average","Poor"))</f>
        <v>Average</v>
      </c>
      <c r="S1717" s="3" t="s">
        <v>55</v>
      </c>
    </row>
    <row r="1718" spans="1:19" x14ac:dyDescent="0.25">
      <c r="A1718" s="3">
        <v>1717</v>
      </c>
      <c r="B1718" s="5">
        <f>DATE(Table1[[#This Row],[Year]],Table1[[#This Row],[Month]],Table1[[#This Row],[Day]])</f>
        <v>44966</v>
      </c>
      <c r="C1718" s="3">
        <v>9</v>
      </c>
      <c r="D1718" s="3">
        <v>2</v>
      </c>
      <c r="E1718" s="3">
        <v>2023</v>
      </c>
      <c r="F1718" s="3" t="str">
        <f>"Qtr"&amp; " " &amp;CHOOSE(MONTH(Table1[[#This Row],[Date]]),1,1,1,2,2,2,3,3,3,4,4,4)</f>
        <v>Qtr 1</v>
      </c>
      <c r="G1718" s="3" t="str">
        <f>TEXT(Table1[[#This Row],[Date]],"mmmm")</f>
        <v>February</v>
      </c>
      <c r="H1718" s="3" t="s">
        <v>1084</v>
      </c>
      <c r="I1718" s="3" t="s">
        <v>39</v>
      </c>
      <c r="J1718" s="3">
        <v>5</v>
      </c>
      <c r="K1718" s="3">
        <v>11846.51</v>
      </c>
      <c r="L1718" s="3">
        <f>Table1[[#This Row],[Price Per Unit]]*Table1[[#This Row],[Units Sold]]</f>
        <v>59232.55</v>
      </c>
      <c r="M1718" s="3" t="s">
        <v>136</v>
      </c>
      <c r="N1718" s="3">
        <v>23</v>
      </c>
      <c r="O1718" s="3" t="s">
        <v>48</v>
      </c>
      <c r="P1718" s="3" t="s">
        <v>21</v>
      </c>
      <c r="Q1718" s="4">
        <v>5</v>
      </c>
      <c r="R1718" s="4" t="str">
        <f>IF(Table1[[#This Row],[Customer Ratings]]&gt;=4, "Good",IF(Table1[[#This Row],[Customer Ratings]]=3, "Average","Poor"))</f>
        <v>Good</v>
      </c>
      <c r="S1718" s="3" t="s">
        <v>76</v>
      </c>
    </row>
    <row r="1719" spans="1:19" x14ac:dyDescent="0.25">
      <c r="A1719" s="3">
        <v>1718</v>
      </c>
      <c r="B1719" s="5">
        <f>DATE(Table1[[#This Row],[Year]],Table1[[#This Row],[Month]],Table1[[#This Row],[Day]])</f>
        <v>44966</v>
      </c>
      <c r="C1719" s="3">
        <v>9</v>
      </c>
      <c r="D1719" s="3">
        <v>2</v>
      </c>
      <c r="E1719" s="3">
        <v>2023</v>
      </c>
      <c r="F1719" s="3" t="str">
        <f>"Qtr"&amp; " " &amp;CHOOSE(MONTH(Table1[[#This Row],[Date]]),1,1,1,2,2,2,3,3,3,4,4,4)</f>
        <v>Qtr 1</v>
      </c>
      <c r="G1719" s="3" t="str">
        <f>TEXT(Table1[[#This Row],[Date]],"mmmm")</f>
        <v>February</v>
      </c>
      <c r="H1719" s="3" t="s">
        <v>1084</v>
      </c>
      <c r="I1719" s="3" t="s">
        <v>13</v>
      </c>
      <c r="J1719" s="3">
        <v>2</v>
      </c>
      <c r="K1719" s="3">
        <v>47047.76</v>
      </c>
      <c r="L1719" s="3">
        <f>Table1[[#This Row],[Price Per Unit]]*Table1[[#This Row],[Units Sold]]</f>
        <v>94095.52</v>
      </c>
      <c r="M1719" s="3" t="s">
        <v>831</v>
      </c>
      <c r="N1719" s="3">
        <v>40</v>
      </c>
      <c r="O1719" s="3" t="s">
        <v>20</v>
      </c>
      <c r="P1719" s="3" t="s">
        <v>21</v>
      </c>
      <c r="Q1719" s="4">
        <v>1</v>
      </c>
      <c r="R1719" s="4" t="str">
        <f>IF(Table1[[#This Row],[Customer Ratings]]&gt;=4, "Good",IF(Table1[[#This Row],[Customer Ratings]]=3, "Average","Poor"))</f>
        <v>Poor</v>
      </c>
      <c r="S1719" s="3" t="s">
        <v>17</v>
      </c>
    </row>
    <row r="1720" spans="1:19" x14ac:dyDescent="0.25">
      <c r="A1720" s="3">
        <v>1719</v>
      </c>
      <c r="B1720" s="5">
        <f>DATE(Table1[[#This Row],[Year]],Table1[[#This Row],[Month]],Table1[[#This Row],[Day]])</f>
        <v>44966</v>
      </c>
      <c r="C1720" s="3">
        <v>9</v>
      </c>
      <c r="D1720" s="3">
        <v>2</v>
      </c>
      <c r="E1720" s="3">
        <v>2023</v>
      </c>
      <c r="F1720" s="3" t="str">
        <f>"Qtr"&amp; " " &amp;CHOOSE(MONTH(Table1[[#This Row],[Date]]),1,1,1,2,2,2,3,3,3,4,4,4)</f>
        <v>Qtr 1</v>
      </c>
      <c r="G1720" s="3" t="str">
        <f>TEXT(Table1[[#This Row],[Date]],"mmmm")</f>
        <v>February</v>
      </c>
      <c r="H1720" s="3" t="s">
        <v>1084</v>
      </c>
      <c r="I1720" s="3" t="s">
        <v>28</v>
      </c>
      <c r="J1720" s="3">
        <v>8</v>
      </c>
      <c r="K1720" s="3">
        <v>55639.68</v>
      </c>
      <c r="L1720" s="3">
        <f>Table1[[#This Row],[Price Per Unit]]*Table1[[#This Row],[Units Sold]]</f>
        <v>445117.44</v>
      </c>
      <c r="M1720" s="3" t="s">
        <v>276</v>
      </c>
      <c r="N1720" s="3">
        <v>22</v>
      </c>
      <c r="O1720" s="3" t="s">
        <v>125</v>
      </c>
      <c r="P1720" s="3" t="s">
        <v>16</v>
      </c>
      <c r="Q1720" s="4">
        <v>5</v>
      </c>
      <c r="R1720" s="4" t="str">
        <f>IF(Table1[[#This Row],[Customer Ratings]]&gt;=4, "Good",IF(Table1[[#This Row],[Customer Ratings]]=3, "Average","Poor"))</f>
        <v>Good</v>
      </c>
      <c r="S1720" s="3" t="s">
        <v>38</v>
      </c>
    </row>
    <row r="1721" spans="1:19" x14ac:dyDescent="0.25">
      <c r="A1721" s="3">
        <v>1720</v>
      </c>
      <c r="B1721" s="5">
        <f>DATE(Table1[[#This Row],[Year]],Table1[[#This Row],[Month]],Table1[[#This Row],[Day]])</f>
        <v>44967</v>
      </c>
      <c r="C1721" s="3">
        <v>10</v>
      </c>
      <c r="D1721" s="3">
        <v>2</v>
      </c>
      <c r="E1721" s="3">
        <v>2023</v>
      </c>
      <c r="F1721" s="3" t="str">
        <f>"Qtr"&amp; " " &amp;CHOOSE(MONTH(Table1[[#This Row],[Date]]),1,1,1,2,2,2,3,3,3,4,4,4)</f>
        <v>Qtr 1</v>
      </c>
      <c r="G1721" s="3" t="str">
        <f>TEXT(Table1[[#This Row],[Date]],"mmmm")</f>
        <v>February</v>
      </c>
      <c r="H1721" s="3" t="s">
        <v>1085</v>
      </c>
      <c r="I1721" s="3" t="s">
        <v>39</v>
      </c>
      <c r="J1721" s="3">
        <v>7</v>
      </c>
      <c r="K1721" s="3">
        <v>38843.410000000003</v>
      </c>
      <c r="L1721" s="3">
        <f>Table1[[#This Row],[Price Per Unit]]*Table1[[#This Row],[Units Sold]]</f>
        <v>271903.87</v>
      </c>
      <c r="M1721" s="3" t="s">
        <v>898</v>
      </c>
      <c r="N1721" s="3">
        <v>20</v>
      </c>
      <c r="O1721" s="3" t="s">
        <v>105</v>
      </c>
      <c r="P1721" s="3" t="s">
        <v>45</v>
      </c>
      <c r="Q1721" s="4">
        <v>5</v>
      </c>
      <c r="R1721" s="4" t="str">
        <f>IF(Table1[[#This Row],[Customer Ratings]]&gt;=4, "Good",IF(Table1[[#This Row],[Customer Ratings]]=3, "Average","Poor"))</f>
        <v>Good</v>
      </c>
      <c r="S1721" s="3" t="s">
        <v>76</v>
      </c>
    </row>
    <row r="1722" spans="1:19" x14ac:dyDescent="0.25">
      <c r="A1722" s="3">
        <v>1721</v>
      </c>
      <c r="B1722" s="5">
        <f>DATE(Table1[[#This Row],[Year]],Table1[[#This Row],[Month]],Table1[[#This Row],[Day]])</f>
        <v>44967</v>
      </c>
      <c r="C1722" s="3">
        <v>10</v>
      </c>
      <c r="D1722" s="3">
        <v>2</v>
      </c>
      <c r="E1722" s="3">
        <v>2023</v>
      </c>
      <c r="F1722" s="3" t="str">
        <f>"Qtr"&amp; " " &amp;CHOOSE(MONTH(Table1[[#This Row],[Date]]),1,1,1,2,2,2,3,3,3,4,4,4)</f>
        <v>Qtr 1</v>
      </c>
      <c r="G1722" s="3" t="str">
        <f>TEXT(Table1[[#This Row],[Date]],"mmmm")</f>
        <v>February</v>
      </c>
      <c r="H1722" s="3" t="s">
        <v>1085</v>
      </c>
      <c r="I1722" s="3" t="s">
        <v>28</v>
      </c>
      <c r="J1722" s="3">
        <v>8</v>
      </c>
      <c r="K1722" s="3">
        <v>65893.899999999994</v>
      </c>
      <c r="L1722" s="3">
        <f>Table1[[#This Row],[Price Per Unit]]*Table1[[#This Row],[Units Sold]]</f>
        <v>527151.19999999995</v>
      </c>
      <c r="M1722" s="3" t="s">
        <v>309</v>
      </c>
      <c r="N1722" s="3">
        <v>27</v>
      </c>
      <c r="O1722" s="3" t="s">
        <v>48</v>
      </c>
      <c r="P1722" s="3" t="s">
        <v>21</v>
      </c>
      <c r="Q1722" s="4">
        <v>5</v>
      </c>
      <c r="R1722" s="4" t="str">
        <f>IF(Table1[[#This Row],[Customer Ratings]]&gt;=4, "Good",IF(Table1[[#This Row],[Customer Ratings]]=3, "Average","Poor"))</f>
        <v>Good</v>
      </c>
      <c r="S1722" s="3" t="s">
        <v>87</v>
      </c>
    </row>
    <row r="1723" spans="1:19" x14ac:dyDescent="0.25">
      <c r="A1723" s="3">
        <v>1722</v>
      </c>
      <c r="B1723" s="5">
        <f>DATE(Table1[[#This Row],[Year]],Table1[[#This Row],[Month]],Table1[[#This Row],[Day]])</f>
        <v>44967</v>
      </c>
      <c r="C1723" s="3">
        <v>10</v>
      </c>
      <c r="D1723" s="3">
        <v>2</v>
      </c>
      <c r="E1723" s="3">
        <v>2023</v>
      </c>
      <c r="F1723" s="3" t="str">
        <f>"Qtr"&amp; " " &amp;CHOOSE(MONTH(Table1[[#This Row],[Date]]),1,1,1,2,2,2,3,3,3,4,4,4)</f>
        <v>Qtr 1</v>
      </c>
      <c r="G1723" s="3" t="str">
        <f>TEXT(Table1[[#This Row],[Date]],"mmmm")</f>
        <v>February</v>
      </c>
      <c r="H1723" s="3" t="s">
        <v>1085</v>
      </c>
      <c r="I1723" s="3" t="s">
        <v>28</v>
      </c>
      <c r="J1723" s="3">
        <v>3</v>
      </c>
      <c r="K1723" s="3">
        <v>52472.84</v>
      </c>
      <c r="L1723" s="3">
        <f>Table1[[#This Row],[Price Per Unit]]*Table1[[#This Row],[Units Sold]]</f>
        <v>157418.51999999999</v>
      </c>
      <c r="M1723" s="3" t="s">
        <v>574</v>
      </c>
      <c r="N1723" s="3">
        <v>36</v>
      </c>
      <c r="O1723" s="3" t="s">
        <v>54</v>
      </c>
      <c r="P1723" s="3" t="s">
        <v>31</v>
      </c>
      <c r="Q1723" s="4">
        <v>3</v>
      </c>
      <c r="R1723" s="4" t="str">
        <f>IF(Table1[[#This Row],[Customer Ratings]]&gt;=4, "Good",IF(Table1[[#This Row],[Customer Ratings]]=3, "Average","Poor"))</f>
        <v>Average</v>
      </c>
      <c r="S1723" s="3" t="s">
        <v>87</v>
      </c>
    </row>
    <row r="1724" spans="1:19" x14ac:dyDescent="0.25">
      <c r="A1724" s="3">
        <v>1723</v>
      </c>
      <c r="B1724" s="5">
        <f>DATE(Table1[[#This Row],[Year]],Table1[[#This Row],[Month]],Table1[[#This Row],[Day]])</f>
        <v>44968</v>
      </c>
      <c r="C1724" s="3">
        <v>11</v>
      </c>
      <c r="D1724" s="3">
        <v>2</v>
      </c>
      <c r="E1724" s="3">
        <v>2023</v>
      </c>
      <c r="F1724" s="3" t="str">
        <f>"Qtr"&amp; " " &amp;CHOOSE(MONTH(Table1[[#This Row],[Date]]),1,1,1,2,2,2,3,3,3,4,4,4)</f>
        <v>Qtr 1</v>
      </c>
      <c r="G1724" s="3" t="str">
        <f>TEXT(Table1[[#This Row],[Date]],"mmmm")</f>
        <v>February</v>
      </c>
      <c r="H1724" s="3" t="s">
        <v>1079</v>
      </c>
      <c r="I1724" s="3" t="s">
        <v>13</v>
      </c>
      <c r="J1724" s="3">
        <v>4</v>
      </c>
      <c r="K1724" s="3">
        <v>54875.42</v>
      </c>
      <c r="L1724" s="3">
        <f>Table1[[#This Row],[Price Per Unit]]*Table1[[#This Row],[Units Sold]]</f>
        <v>219501.68</v>
      </c>
      <c r="M1724" s="3" t="s">
        <v>206</v>
      </c>
      <c r="N1724" s="3">
        <v>31</v>
      </c>
      <c r="O1724" s="3" t="s">
        <v>125</v>
      </c>
      <c r="P1724" s="3" t="s">
        <v>21</v>
      </c>
      <c r="Q1724" s="4">
        <v>5</v>
      </c>
      <c r="R1724" s="4" t="str">
        <f>IF(Table1[[#This Row],[Customer Ratings]]&gt;=4, "Good",IF(Table1[[#This Row],[Customer Ratings]]=3, "Average","Poor"))</f>
        <v>Good</v>
      </c>
      <c r="S1724" s="3" t="s">
        <v>72</v>
      </c>
    </row>
    <row r="1725" spans="1:19" x14ac:dyDescent="0.25">
      <c r="A1725" s="3">
        <v>1724</v>
      </c>
      <c r="B1725" s="5">
        <f>DATE(Table1[[#This Row],[Year]],Table1[[#This Row],[Month]],Table1[[#This Row],[Day]])</f>
        <v>44968</v>
      </c>
      <c r="C1725" s="3">
        <v>11</v>
      </c>
      <c r="D1725" s="3">
        <v>2</v>
      </c>
      <c r="E1725" s="3">
        <v>2023</v>
      </c>
      <c r="F1725" s="3" t="str">
        <f>"Qtr"&amp; " " &amp;CHOOSE(MONTH(Table1[[#This Row],[Date]]),1,1,1,2,2,2,3,3,3,4,4,4)</f>
        <v>Qtr 1</v>
      </c>
      <c r="G1725" s="3" t="str">
        <f>TEXT(Table1[[#This Row],[Date]],"mmmm")</f>
        <v>February</v>
      </c>
      <c r="H1725" s="3" t="s">
        <v>1079</v>
      </c>
      <c r="I1725" s="3" t="s">
        <v>18</v>
      </c>
      <c r="J1725" s="3">
        <v>5</v>
      </c>
      <c r="K1725" s="3">
        <v>21816.01</v>
      </c>
      <c r="L1725" s="3">
        <f>Table1[[#This Row],[Price Per Unit]]*Table1[[#This Row],[Units Sold]]</f>
        <v>109080.04999999999</v>
      </c>
      <c r="M1725" s="3" t="s">
        <v>781</v>
      </c>
      <c r="N1725" s="3">
        <v>38</v>
      </c>
      <c r="O1725" s="3" t="s">
        <v>54</v>
      </c>
      <c r="P1725" s="3" t="s">
        <v>31</v>
      </c>
      <c r="Q1725" s="4">
        <v>5</v>
      </c>
      <c r="R1725" s="4" t="str">
        <f>IF(Table1[[#This Row],[Customer Ratings]]&gt;=4, "Good",IF(Table1[[#This Row],[Customer Ratings]]=3, "Average","Poor"))</f>
        <v>Good</v>
      </c>
      <c r="S1725" s="3" t="s">
        <v>25</v>
      </c>
    </row>
    <row r="1726" spans="1:19" x14ac:dyDescent="0.25">
      <c r="A1726" s="3">
        <v>1725</v>
      </c>
      <c r="B1726" s="5">
        <f>DATE(Table1[[#This Row],[Year]],Table1[[#This Row],[Month]],Table1[[#This Row],[Day]])</f>
        <v>44968</v>
      </c>
      <c r="C1726" s="3">
        <v>11</v>
      </c>
      <c r="D1726" s="3">
        <v>2</v>
      </c>
      <c r="E1726" s="3">
        <v>2023</v>
      </c>
      <c r="F1726" s="3" t="str">
        <f>"Qtr"&amp; " " &amp;CHOOSE(MONTH(Table1[[#This Row],[Date]]),1,1,1,2,2,2,3,3,3,4,4,4)</f>
        <v>Qtr 1</v>
      </c>
      <c r="G1726" s="3" t="str">
        <f>TEXT(Table1[[#This Row],[Date]],"mmmm")</f>
        <v>February</v>
      </c>
      <c r="H1726" s="3" t="s">
        <v>1079</v>
      </c>
      <c r="I1726" s="3" t="s">
        <v>13</v>
      </c>
      <c r="J1726" s="3">
        <v>6</v>
      </c>
      <c r="K1726" s="3">
        <v>56637.73</v>
      </c>
      <c r="L1726" s="3">
        <f>Table1[[#This Row],[Price Per Unit]]*Table1[[#This Row],[Units Sold]]</f>
        <v>339826.38</v>
      </c>
      <c r="M1726" s="3" t="s">
        <v>254</v>
      </c>
      <c r="N1726" s="3">
        <v>45</v>
      </c>
      <c r="O1726" s="3" t="s">
        <v>24</v>
      </c>
      <c r="P1726" s="3" t="s">
        <v>21</v>
      </c>
      <c r="Q1726" s="4">
        <v>3</v>
      </c>
      <c r="R1726" s="4" t="str">
        <f>IF(Table1[[#This Row],[Customer Ratings]]&gt;=4, "Good",IF(Table1[[#This Row],[Customer Ratings]]=3, "Average","Poor"))</f>
        <v>Average</v>
      </c>
      <c r="S1726" s="3" t="s">
        <v>27</v>
      </c>
    </row>
    <row r="1727" spans="1:19" x14ac:dyDescent="0.25">
      <c r="A1727" s="3">
        <v>1726</v>
      </c>
      <c r="B1727" s="5">
        <f>DATE(Table1[[#This Row],[Year]],Table1[[#This Row],[Month]],Table1[[#This Row],[Day]])</f>
        <v>44968</v>
      </c>
      <c r="C1727" s="3">
        <v>11</v>
      </c>
      <c r="D1727" s="3">
        <v>2</v>
      </c>
      <c r="E1727" s="3">
        <v>2023</v>
      </c>
      <c r="F1727" s="3" t="str">
        <f>"Qtr"&amp; " " &amp;CHOOSE(MONTH(Table1[[#This Row],[Date]]),1,1,1,2,2,2,3,3,3,4,4,4)</f>
        <v>Qtr 1</v>
      </c>
      <c r="G1727" s="3" t="str">
        <f>TEXT(Table1[[#This Row],[Date]],"mmmm")</f>
        <v>February</v>
      </c>
      <c r="H1727" s="3" t="s">
        <v>1079</v>
      </c>
      <c r="I1727" s="3" t="s">
        <v>39</v>
      </c>
      <c r="J1727" s="3">
        <v>1</v>
      </c>
      <c r="K1727" s="3">
        <v>59925.68</v>
      </c>
      <c r="L1727" s="3">
        <f>Table1[[#This Row],[Price Per Unit]]*Table1[[#This Row],[Units Sold]]</f>
        <v>59925.68</v>
      </c>
      <c r="M1727" s="3" t="s">
        <v>878</v>
      </c>
      <c r="N1727" s="3">
        <v>38</v>
      </c>
      <c r="O1727" s="3" t="s">
        <v>48</v>
      </c>
      <c r="P1727" s="3" t="s">
        <v>21</v>
      </c>
      <c r="Q1727" s="4">
        <v>3</v>
      </c>
      <c r="R1727" s="4" t="str">
        <f>IF(Table1[[#This Row],[Customer Ratings]]&gt;=4, "Good",IF(Table1[[#This Row],[Customer Ratings]]=3, "Average","Poor"))</f>
        <v>Average</v>
      </c>
      <c r="S1727" s="3" t="s">
        <v>42</v>
      </c>
    </row>
    <row r="1728" spans="1:19" x14ac:dyDescent="0.25">
      <c r="A1728" s="3">
        <v>1727</v>
      </c>
      <c r="B1728" s="5">
        <f>DATE(Table1[[#This Row],[Year]],Table1[[#This Row],[Month]],Table1[[#This Row],[Day]])</f>
        <v>44969</v>
      </c>
      <c r="C1728" s="3">
        <v>12</v>
      </c>
      <c r="D1728" s="3">
        <v>2</v>
      </c>
      <c r="E1728" s="3">
        <v>2023</v>
      </c>
      <c r="F1728" s="3" t="str">
        <f>"Qtr"&amp; " " &amp;CHOOSE(MONTH(Table1[[#This Row],[Date]]),1,1,1,2,2,2,3,3,3,4,4,4)</f>
        <v>Qtr 1</v>
      </c>
      <c r="G1728" s="3" t="str">
        <f>TEXT(Table1[[#This Row],[Date]],"mmmm")</f>
        <v>February</v>
      </c>
      <c r="H1728" s="3" t="s">
        <v>1080</v>
      </c>
      <c r="I1728" s="3" t="s">
        <v>39</v>
      </c>
      <c r="J1728" s="3">
        <v>4</v>
      </c>
      <c r="K1728" s="3">
        <v>31675.98</v>
      </c>
      <c r="L1728" s="3">
        <f>Table1[[#This Row],[Price Per Unit]]*Table1[[#This Row],[Units Sold]]</f>
        <v>126703.92</v>
      </c>
      <c r="M1728" s="3" t="s">
        <v>106</v>
      </c>
      <c r="N1728" s="3">
        <v>53</v>
      </c>
      <c r="O1728" s="3" t="s">
        <v>20</v>
      </c>
      <c r="P1728" s="3" t="s">
        <v>45</v>
      </c>
      <c r="Q1728" s="4">
        <v>1</v>
      </c>
      <c r="R1728" s="4" t="str">
        <f>IF(Table1[[#This Row],[Customer Ratings]]&gt;=4, "Good",IF(Table1[[#This Row],[Customer Ratings]]=3, "Average","Poor"))</f>
        <v>Poor</v>
      </c>
      <c r="S1728" s="3" t="s">
        <v>42</v>
      </c>
    </row>
    <row r="1729" spans="1:19" x14ac:dyDescent="0.25">
      <c r="A1729" s="3">
        <v>1728</v>
      </c>
      <c r="B1729" s="5">
        <f>DATE(Table1[[#This Row],[Year]],Table1[[#This Row],[Month]],Table1[[#This Row],[Day]])</f>
        <v>44969</v>
      </c>
      <c r="C1729" s="3">
        <v>12</v>
      </c>
      <c r="D1729" s="3">
        <v>2</v>
      </c>
      <c r="E1729" s="3">
        <v>2023</v>
      </c>
      <c r="F1729" s="3" t="str">
        <f>"Qtr"&amp; " " &amp;CHOOSE(MONTH(Table1[[#This Row],[Date]]),1,1,1,2,2,2,3,3,3,4,4,4)</f>
        <v>Qtr 1</v>
      </c>
      <c r="G1729" s="3" t="str">
        <f>TEXT(Table1[[#This Row],[Date]],"mmmm")</f>
        <v>February</v>
      </c>
      <c r="H1729" s="3" t="s">
        <v>1080</v>
      </c>
      <c r="I1729" s="3" t="s">
        <v>39</v>
      </c>
      <c r="J1729" s="3">
        <v>5</v>
      </c>
      <c r="K1729" s="3">
        <v>22801.78</v>
      </c>
      <c r="L1729" s="3">
        <f>Table1[[#This Row],[Price Per Unit]]*Table1[[#This Row],[Units Sold]]</f>
        <v>114008.9</v>
      </c>
      <c r="M1729" s="3" t="s">
        <v>199</v>
      </c>
      <c r="N1729" s="3">
        <v>41</v>
      </c>
      <c r="O1729" s="3" t="s">
        <v>24</v>
      </c>
      <c r="P1729" s="3" t="s">
        <v>31</v>
      </c>
      <c r="Q1729" s="4">
        <v>3</v>
      </c>
      <c r="R1729" s="4" t="str">
        <f>IF(Table1[[#This Row],[Customer Ratings]]&gt;=4, "Good",IF(Table1[[#This Row],[Customer Ratings]]=3, "Average","Poor"))</f>
        <v>Average</v>
      </c>
      <c r="S1729" s="3" t="s">
        <v>42</v>
      </c>
    </row>
    <row r="1730" spans="1:19" x14ac:dyDescent="0.25">
      <c r="A1730" s="3">
        <v>1729</v>
      </c>
      <c r="B1730" s="5">
        <f>DATE(Table1[[#This Row],[Year]],Table1[[#This Row],[Month]],Table1[[#This Row],[Day]])</f>
        <v>44969</v>
      </c>
      <c r="C1730" s="3">
        <v>12</v>
      </c>
      <c r="D1730" s="3">
        <v>2</v>
      </c>
      <c r="E1730" s="3">
        <v>2023</v>
      </c>
      <c r="F1730" s="3" t="str">
        <f>"Qtr"&amp; " " &amp;CHOOSE(MONTH(Table1[[#This Row],[Date]]),1,1,1,2,2,2,3,3,3,4,4,4)</f>
        <v>Qtr 1</v>
      </c>
      <c r="G1730" s="3" t="str">
        <f>TEXT(Table1[[#This Row],[Date]],"mmmm")</f>
        <v>February</v>
      </c>
      <c r="H1730" s="3" t="s">
        <v>1080</v>
      </c>
      <c r="I1730" s="3" t="s">
        <v>13</v>
      </c>
      <c r="J1730" s="3">
        <v>7</v>
      </c>
      <c r="K1730" s="3">
        <v>33103.040000000001</v>
      </c>
      <c r="L1730" s="3">
        <f>Table1[[#This Row],[Price Per Unit]]*Table1[[#This Row],[Units Sold]]</f>
        <v>231721.28</v>
      </c>
      <c r="M1730" s="3" t="s">
        <v>343</v>
      </c>
      <c r="N1730" s="3">
        <v>55</v>
      </c>
      <c r="O1730" s="3" t="s">
        <v>54</v>
      </c>
      <c r="P1730" s="3" t="s">
        <v>21</v>
      </c>
      <c r="Q1730" s="4">
        <v>5</v>
      </c>
      <c r="R1730" s="4" t="str">
        <f>IF(Table1[[#This Row],[Customer Ratings]]&gt;=4, "Good",IF(Table1[[#This Row],[Customer Ratings]]=3, "Average","Poor"))</f>
        <v>Good</v>
      </c>
      <c r="S1730" s="3" t="s">
        <v>17</v>
      </c>
    </row>
    <row r="1731" spans="1:19" x14ac:dyDescent="0.25">
      <c r="A1731" s="3">
        <v>1730</v>
      </c>
      <c r="B1731" s="5">
        <f>DATE(Table1[[#This Row],[Year]],Table1[[#This Row],[Month]],Table1[[#This Row],[Day]])</f>
        <v>44970</v>
      </c>
      <c r="C1731" s="3">
        <v>13</v>
      </c>
      <c r="D1731" s="3">
        <v>2</v>
      </c>
      <c r="E1731" s="3">
        <v>2023</v>
      </c>
      <c r="F1731" s="3" t="str">
        <f>"Qtr"&amp; " " &amp;CHOOSE(MONTH(Table1[[#This Row],[Date]]),1,1,1,2,2,2,3,3,3,4,4,4)</f>
        <v>Qtr 1</v>
      </c>
      <c r="G1731" s="3" t="str">
        <f>TEXT(Table1[[#This Row],[Date]],"mmmm")</f>
        <v>February</v>
      </c>
      <c r="H1731" s="3" t="s">
        <v>1081</v>
      </c>
      <c r="I1731" s="3" t="s">
        <v>28</v>
      </c>
      <c r="J1731" s="3">
        <v>5</v>
      </c>
      <c r="K1731" s="3">
        <v>54376.480000000003</v>
      </c>
      <c r="L1731" s="3">
        <f>Table1[[#This Row],[Price Per Unit]]*Table1[[#This Row],[Units Sold]]</f>
        <v>271882.40000000002</v>
      </c>
      <c r="M1731" s="3" t="s">
        <v>872</v>
      </c>
      <c r="N1731" s="3">
        <v>34</v>
      </c>
      <c r="O1731" s="3" t="s">
        <v>24</v>
      </c>
      <c r="P1731" s="3" t="s">
        <v>31</v>
      </c>
      <c r="Q1731" s="4">
        <v>1</v>
      </c>
      <c r="R1731" s="4" t="str">
        <f>IF(Table1[[#This Row],[Customer Ratings]]&gt;=4, "Good",IF(Table1[[#This Row],[Customer Ratings]]=3, "Average","Poor"))</f>
        <v>Poor</v>
      </c>
      <c r="S1731" s="3" t="s">
        <v>38</v>
      </c>
    </row>
    <row r="1732" spans="1:19" x14ac:dyDescent="0.25">
      <c r="A1732" s="3">
        <v>1731</v>
      </c>
      <c r="B1732" s="5">
        <f>DATE(Table1[[#This Row],[Year]],Table1[[#This Row],[Month]],Table1[[#This Row],[Day]])</f>
        <v>44970</v>
      </c>
      <c r="C1732" s="3">
        <v>13</v>
      </c>
      <c r="D1732" s="3">
        <v>2</v>
      </c>
      <c r="E1732" s="3">
        <v>2023</v>
      </c>
      <c r="F1732" s="3" t="str">
        <f>"Qtr"&amp; " " &amp;CHOOSE(MONTH(Table1[[#This Row],[Date]]),1,1,1,2,2,2,3,3,3,4,4,4)</f>
        <v>Qtr 1</v>
      </c>
      <c r="G1732" s="3" t="str">
        <f>TEXT(Table1[[#This Row],[Date]],"mmmm")</f>
        <v>February</v>
      </c>
      <c r="H1732" s="3" t="s">
        <v>1081</v>
      </c>
      <c r="I1732" s="3" t="s">
        <v>28</v>
      </c>
      <c r="J1732" s="3">
        <v>1</v>
      </c>
      <c r="K1732" s="3">
        <v>35058.339999999997</v>
      </c>
      <c r="L1732" s="3">
        <f>Table1[[#This Row],[Price Per Unit]]*Table1[[#This Row],[Units Sold]]</f>
        <v>35058.339999999997</v>
      </c>
      <c r="M1732" s="3" t="s">
        <v>899</v>
      </c>
      <c r="N1732" s="3">
        <v>39</v>
      </c>
      <c r="O1732" s="3" t="s">
        <v>120</v>
      </c>
      <c r="P1732" s="3" t="s">
        <v>31</v>
      </c>
      <c r="Q1732" s="4">
        <v>5</v>
      </c>
      <c r="R1732" s="4" t="str">
        <f>IF(Table1[[#This Row],[Customer Ratings]]&gt;=4, "Good",IF(Table1[[#This Row],[Customer Ratings]]=3, "Average","Poor"))</f>
        <v>Good</v>
      </c>
      <c r="S1732" s="3" t="s">
        <v>32</v>
      </c>
    </row>
    <row r="1733" spans="1:19" x14ac:dyDescent="0.25">
      <c r="A1733" s="3">
        <v>1732</v>
      </c>
      <c r="B1733" s="5">
        <f>DATE(Table1[[#This Row],[Year]],Table1[[#This Row],[Month]],Table1[[#This Row],[Day]])</f>
        <v>44970</v>
      </c>
      <c r="C1733" s="3">
        <v>13</v>
      </c>
      <c r="D1733" s="3">
        <v>2</v>
      </c>
      <c r="E1733" s="3">
        <v>2023</v>
      </c>
      <c r="F1733" s="3" t="str">
        <f>"Qtr"&amp; " " &amp;CHOOSE(MONTH(Table1[[#This Row],[Date]]),1,1,1,2,2,2,3,3,3,4,4,4)</f>
        <v>Qtr 1</v>
      </c>
      <c r="G1733" s="3" t="str">
        <f>TEXT(Table1[[#This Row],[Date]],"mmmm")</f>
        <v>February</v>
      </c>
      <c r="H1733" s="3" t="s">
        <v>1081</v>
      </c>
      <c r="I1733" s="3" t="s">
        <v>33</v>
      </c>
      <c r="J1733" s="3">
        <v>7</v>
      </c>
      <c r="K1733" s="3">
        <v>54199.11</v>
      </c>
      <c r="L1733" s="3">
        <f>Table1[[#This Row],[Price Per Unit]]*Table1[[#This Row],[Units Sold]]</f>
        <v>379393.77</v>
      </c>
      <c r="M1733" s="3" t="s">
        <v>305</v>
      </c>
      <c r="N1733" s="3">
        <v>36</v>
      </c>
      <c r="O1733" s="3" t="s">
        <v>20</v>
      </c>
      <c r="P1733" s="3" t="s">
        <v>45</v>
      </c>
      <c r="Q1733" s="4">
        <v>5</v>
      </c>
      <c r="R1733" s="4" t="str">
        <f>IF(Table1[[#This Row],[Customer Ratings]]&gt;=4, "Good",IF(Table1[[#This Row],[Customer Ratings]]=3, "Average","Poor"))</f>
        <v>Good</v>
      </c>
      <c r="S1733" s="3" t="s">
        <v>46</v>
      </c>
    </row>
    <row r="1734" spans="1:19" x14ac:dyDescent="0.25">
      <c r="A1734" s="3">
        <v>1733</v>
      </c>
      <c r="B1734" s="5">
        <f>DATE(Table1[[#This Row],[Year]],Table1[[#This Row],[Month]],Table1[[#This Row],[Day]])</f>
        <v>44971</v>
      </c>
      <c r="C1734" s="3">
        <v>14</v>
      </c>
      <c r="D1734" s="3">
        <v>2</v>
      </c>
      <c r="E1734" s="3">
        <v>2023</v>
      </c>
      <c r="F1734" s="3" t="str">
        <f>"Qtr"&amp; " " &amp;CHOOSE(MONTH(Table1[[#This Row],[Date]]),1,1,1,2,2,2,3,3,3,4,4,4)</f>
        <v>Qtr 1</v>
      </c>
      <c r="G1734" s="3" t="str">
        <f>TEXT(Table1[[#This Row],[Date]],"mmmm")</f>
        <v>February</v>
      </c>
      <c r="H1734" s="3" t="s">
        <v>1082</v>
      </c>
      <c r="I1734" s="3" t="s">
        <v>39</v>
      </c>
      <c r="J1734" s="3">
        <v>8</v>
      </c>
      <c r="K1734" s="3">
        <v>16813.87</v>
      </c>
      <c r="L1734" s="3">
        <f>Table1[[#This Row],[Price Per Unit]]*Table1[[#This Row],[Units Sold]]</f>
        <v>134510.96</v>
      </c>
      <c r="M1734" s="3" t="s">
        <v>900</v>
      </c>
      <c r="N1734" s="3">
        <v>27</v>
      </c>
      <c r="O1734" s="3" t="s">
        <v>24</v>
      </c>
      <c r="P1734" s="3" t="s">
        <v>45</v>
      </c>
      <c r="Q1734" s="4">
        <v>5</v>
      </c>
      <c r="R1734" s="4" t="str">
        <f>IF(Table1[[#This Row],[Customer Ratings]]&gt;=4, "Good",IF(Table1[[#This Row],[Customer Ratings]]=3, "Average","Poor"))</f>
        <v>Good</v>
      </c>
      <c r="S1734" s="3" t="s">
        <v>76</v>
      </c>
    </row>
    <row r="1735" spans="1:19" x14ac:dyDescent="0.25">
      <c r="A1735" s="3">
        <v>1734</v>
      </c>
      <c r="B1735" s="5">
        <f>DATE(Table1[[#This Row],[Year]],Table1[[#This Row],[Month]],Table1[[#This Row],[Day]])</f>
        <v>44971</v>
      </c>
      <c r="C1735" s="3">
        <v>14</v>
      </c>
      <c r="D1735" s="3">
        <v>2</v>
      </c>
      <c r="E1735" s="3">
        <v>2023</v>
      </c>
      <c r="F1735" s="3" t="str">
        <f>"Qtr"&amp; " " &amp;CHOOSE(MONTH(Table1[[#This Row],[Date]]),1,1,1,2,2,2,3,3,3,4,4,4)</f>
        <v>Qtr 1</v>
      </c>
      <c r="G1735" s="3" t="str">
        <f>TEXT(Table1[[#This Row],[Date]],"mmmm")</f>
        <v>February</v>
      </c>
      <c r="H1735" s="3" t="s">
        <v>1082</v>
      </c>
      <c r="I1735" s="3" t="s">
        <v>28</v>
      </c>
      <c r="J1735" s="3">
        <v>7</v>
      </c>
      <c r="K1735" s="3">
        <v>58360.7</v>
      </c>
      <c r="L1735" s="3">
        <f>Table1[[#This Row],[Price Per Unit]]*Table1[[#This Row],[Units Sold]]</f>
        <v>408524.89999999997</v>
      </c>
      <c r="M1735" s="3" t="s">
        <v>220</v>
      </c>
      <c r="N1735" s="3">
        <v>28</v>
      </c>
      <c r="O1735" s="3" t="s">
        <v>15</v>
      </c>
      <c r="P1735" s="3" t="s">
        <v>31</v>
      </c>
      <c r="Q1735" s="4">
        <v>1</v>
      </c>
      <c r="R1735" s="4" t="str">
        <f>IF(Table1[[#This Row],[Customer Ratings]]&gt;=4, "Good",IF(Table1[[#This Row],[Customer Ratings]]=3, "Average","Poor"))</f>
        <v>Poor</v>
      </c>
      <c r="S1735" s="3" t="s">
        <v>32</v>
      </c>
    </row>
    <row r="1736" spans="1:19" x14ac:dyDescent="0.25">
      <c r="A1736" s="3">
        <v>1735</v>
      </c>
      <c r="B1736" s="5">
        <f>DATE(Table1[[#This Row],[Year]],Table1[[#This Row],[Month]],Table1[[#This Row],[Day]])</f>
        <v>44971</v>
      </c>
      <c r="C1736" s="3">
        <v>14</v>
      </c>
      <c r="D1736" s="3">
        <v>2</v>
      </c>
      <c r="E1736" s="3">
        <v>2023</v>
      </c>
      <c r="F1736" s="3" t="str">
        <f>"Qtr"&amp; " " &amp;CHOOSE(MONTH(Table1[[#This Row],[Date]]),1,1,1,2,2,2,3,3,3,4,4,4)</f>
        <v>Qtr 1</v>
      </c>
      <c r="G1736" s="3" t="str">
        <f>TEXT(Table1[[#This Row],[Date]],"mmmm")</f>
        <v>February</v>
      </c>
      <c r="H1736" s="3" t="s">
        <v>1082</v>
      </c>
      <c r="I1736" s="3" t="s">
        <v>33</v>
      </c>
      <c r="J1736" s="3">
        <v>4</v>
      </c>
      <c r="K1736" s="3">
        <v>25192.45</v>
      </c>
      <c r="L1736" s="3">
        <f>Table1[[#This Row],[Price Per Unit]]*Table1[[#This Row],[Units Sold]]</f>
        <v>100769.8</v>
      </c>
      <c r="M1736" s="3" t="s">
        <v>367</v>
      </c>
      <c r="N1736" s="3">
        <v>55</v>
      </c>
      <c r="O1736" s="3" t="s">
        <v>20</v>
      </c>
      <c r="P1736" s="3" t="s">
        <v>45</v>
      </c>
      <c r="Q1736" s="4">
        <v>5</v>
      </c>
      <c r="R1736" s="4" t="str">
        <f>IF(Table1[[#This Row],[Customer Ratings]]&gt;=4, "Good",IF(Table1[[#This Row],[Customer Ratings]]=3, "Average","Poor"))</f>
        <v>Good</v>
      </c>
      <c r="S1736" s="3" t="s">
        <v>83</v>
      </c>
    </row>
    <row r="1737" spans="1:19" x14ac:dyDescent="0.25">
      <c r="A1737" s="3">
        <v>1736</v>
      </c>
      <c r="B1737" s="5">
        <f>DATE(Table1[[#This Row],[Year]],Table1[[#This Row],[Month]],Table1[[#This Row],[Day]])</f>
        <v>44971</v>
      </c>
      <c r="C1737" s="3">
        <v>14</v>
      </c>
      <c r="D1737" s="3">
        <v>2</v>
      </c>
      <c r="E1737" s="3">
        <v>2023</v>
      </c>
      <c r="F1737" s="3" t="str">
        <f>"Qtr"&amp; " " &amp;CHOOSE(MONTH(Table1[[#This Row],[Date]]),1,1,1,2,2,2,3,3,3,4,4,4)</f>
        <v>Qtr 1</v>
      </c>
      <c r="G1737" s="3" t="str">
        <f>TEXT(Table1[[#This Row],[Date]],"mmmm")</f>
        <v>February</v>
      </c>
      <c r="H1737" s="3" t="s">
        <v>1082</v>
      </c>
      <c r="I1737" s="3" t="s">
        <v>28</v>
      </c>
      <c r="J1737" s="3">
        <v>8</v>
      </c>
      <c r="K1737" s="3">
        <v>24935.74</v>
      </c>
      <c r="L1737" s="3">
        <f>Table1[[#This Row],[Price Per Unit]]*Table1[[#This Row],[Units Sold]]</f>
        <v>199485.92</v>
      </c>
      <c r="M1737" s="3" t="s">
        <v>901</v>
      </c>
      <c r="N1737" s="3">
        <v>19</v>
      </c>
      <c r="O1737" s="3" t="s">
        <v>20</v>
      </c>
      <c r="P1737" s="3" t="s">
        <v>21</v>
      </c>
      <c r="Q1737" s="4">
        <v>1</v>
      </c>
      <c r="R1737" s="4" t="str">
        <f>IF(Table1[[#This Row],[Customer Ratings]]&gt;=4, "Good",IF(Table1[[#This Row],[Customer Ratings]]=3, "Average","Poor"))</f>
        <v>Poor</v>
      </c>
      <c r="S1737" s="3" t="s">
        <v>32</v>
      </c>
    </row>
    <row r="1738" spans="1:19" x14ac:dyDescent="0.25">
      <c r="A1738" s="3">
        <v>1737</v>
      </c>
      <c r="B1738" s="5">
        <f>DATE(Table1[[#This Row],[Year]],Table1[[#This Row],[Month]],Table1[[#This Row],[Day]])</f>
        <v>44972</v>
      </c>
      <c r="C1738" s="3">
        <v>15</v>
      </c>
      <c r="D1738" s="3">
        <v>2</v>
      </c>
      <c r="E1738" s="3">
        <v>2023</v>
      </c>
      <c r="F1738" s="3" t="str">
        <f>"Qtr"&amp; " " &amp;CHOOSE(MONTH(Table1[[#This Row],[Date]]),1,1,1,2,2,2,3,3,3,4,4,4)</f>
        <v>Qtr 1</v>
      </c>
      <c r="G1738" s="3" t="str">
        <f>TEXT(Table1[[#This Row],[Date]],"mmmm")</f>
        <v>February</v>
      </c>
      <c r="H1738" s="3" t="s">
        <v>1083</v>
      </c>
      <c r="I1738" s="3" t="s">
        <v>39</v>
      </c>
      <c r="J1738" s="3">
        <v>5</v>
      </c>
      <c r="K1738" s="3">
        <v>45422.86</v>
      </c>
      <c r="L1738" s="3">
        <f>Table1[[#This Row],[Price Per Unit]]*Table1[[#This Row],[Units Sold]]</f>
        <v>227114.3</v>
      </c>
      <c r="M1738" s="3" t="s">
        <v>637</v>
      </c>
      <c r="N1738" s="3">
        <v>50</v>
      </c>
      <c r="O1738" s="3" t="s">
        <v>20</v>
      </c>
      <c r="P1738" s="3" t="s">
        <v>21</v>
      </c>
      <c r="Q1738" s="4">
        <v>4</v>
      </c>
      <c r="R1738" s="4" t="str">
        <f>IF(Table1[[#This Row],[Customer Ratings]]&gt;=4, "Good",IF(Table1[[#This Row],[Customer Ratings]]=3, "Average","Poor"))</f>
        <v>Good</v>
      </c>
      <c r="S1738" s="3" t="s">
        <v>90</v>
      </c>
    </row>
    <row r="1739" spans="1:19" x14ac:dyDescent="0.25">
      <c r="A1739" s="3">
        <v>1738</v>
      </c>
      <c r="B1739" s="5">
        <f>DATE(Table1[[#This Row],[Year]],Table1[[#This Row],[Month]],Table1[[#This Row],[Day]])</f>
        <v>44972</v>
      </c>
      <c r="C1739" s="3">
        <v>15</v>
      </c>
      <c r="D1739" s="3">
        <v>2</v>
      </c>
      <c r="E1739" s="3">
        <v>2023</v>
      </c>
      <c r="F1739" s="3" t="str">
        <f>"Qtr"&amp; " " &amp;CHOOSE(MONTH(Table1[[#This Row],[Date]]),1,1,1,2,2,2,3,3,3,4,4,4)</f>
        <v>Qtr 1</v>
      </c>
      <c r="G1739" s="3" t="str">
        <f>TEXT(Table1[[#This Row],[Date]],"mmmm")</f>
        <v>February</v>
      </c>
      <c r="H1739" s="3" t="s">
        <v>1083</v>
      </c>
      <c r="I1739" s="3" t="s">
        <v>18</v>
      </c>
      <c r="J1739" s="3">
        <v>9</v>
      </c>
      <c r="K1739" s="3">
        <v>14207.08</v>
      </c>
      <c r="L1739" s="3">
        <f>Table1[[#This Row],[Price Per Unit]]*Table1[[#This Row],[Units Sold]]</f>
        <v>127863.72</v>
      </c>
      <c r="M1739" s="3" t="s">
        <v>692</v>
      </c>
      <c r="N1739" s="3">
        <v>48</v>
      </c>
      <c r="O1739" s="3" t="s">
        <v>24</v>
      </c>
      <c r="P1739" s="3" t="s">
        <v>45</v>
      </c>
      <c r="Q1739" s="4">
        <v>4</v>
      </c>
      <c r="R1739" s="4" t="str">
        <f>IF(Table1[[#This Row],[Customer Ratings]]&gt;=4, "Good",IF(Table1[[#This Row],[Customer Ratings]]=3, "Average","Poor"))</f>
        <v>Good</v>
      </c>
      <c r="S1739" s="3" t="s">
        <v>25</v>
      </c>
    </row>
    <row r="1740" spans="1:19" x14ac:dyDescent="0.25">
      <c r="A1740" s="3">
        <v>1739</v>
      </c>
      <c r="B1740" s="5">
        <f>DATE(Table1[[#This Row],[Year]],Table1[[#This Row],[Month]],Table1[[#This Row],[Day]])</f>
        <v>44972</v>
      </c>
      <c r="C1740" s="3">
        <v>15</v>
      </c>
      <c r="D1740" s="3">
        <v>2</v>
      </c>
      <c r="E1740" s="3">
        <v>2023</v>
      </c>
      <c r="F1740" s="3" t="str">
        <f>"Qtr"&amp; " " &amp;CHOOSE(MONTH(Table1[[#This Row],[Date]]),1,1,1,2,2,2,3,3,3,4,4,4)</f>
        <v>Qtr 1</v>
      </c>
      <c r="G1740" s="3" t="str">
        <f>TEXT(Table1[[#This Row],[Date]],"mmmm")</f>
        <v>February</v>
      </c>
      <c r="H1740" s="3" t="s">
        <v>1083</v>
      </c>
      <c r="I1740" s="3" t="s">
        <v>39</v>
      </c>
      <c r="J1740" s="3">
        <v>5</v>
      </c>
      <c r="K1740" s="3">
        <v>11577.86</v>
      </c>
      <c r="L1740" s="3">
        <f>Table1[[#This Row],[Price Per Unit]]*Table1[[#This Row],[Units Sold]]</f>
        <v>57889.3</v>
      </c>
      <c r="M1740" s="3" t="s">
        <v>275</v>
      </c>
      <c r="N1740" s="3">
        <v>52</v>
      </c>
      <c r="O1740" s="3" t="s">
        <v>81</v>
      </c>
      <c r="P1740" s="3" t="s">
        <v>31</v>
      </c>
      <c r="Q1740" s="4">
        <v>1</v>
      </c>
      <c r="R1740" s="4" t="str">
        <f>IF(Table1[[#This Row],[Customer Ratings]]&gt;=4, "Good",IF(Table1[[#This Row],[Customer Ratings]]=3, "Average","Poor"))</f>
        <v>Poor</v>
      </c>
      <c r="S1740" s="3" t="s">
        <v>42</v>
      </c>
    </row>
    <row r="1741" spans="1:19" x14ac:dyDescent="0.25">
      <c r="A1741" s="3">
        <v>1740</v>
      </c>
      <c r="B1741" s="5">
        <f>DATE(Table1[[#This Row],[Year]],Table1[[#This Row],[Month]],Table1[[#This Row],[Day]])</f>
        <v>44973</v>
      </c>
      <c r="C1741" s="3">
        <v>16</v>
      </c>
      <c r="D1741" s="3">
        <v>2</v>
      </c>
      <c r="E1741" s="3">
        <v>2023</v>
      </c>
      <c r="F1741" s="3" t="str">
        <f>"Qtr"&amp; " " &amp;CHOOSE(MONTH(Table1[[#This Row],[Date]]),1,1,1,2,2,2,3,3,3,4,4,4)</f>
        <v>Qtr 1</v>
      </c>
      <c r="G1741" s="3" t="str">
        <f>TEXT(Table1[[#This Row],[Date]],"mmmm")</f>
        <v>February</v>
      </c>
      <c r="H1741" s="3" t="s">
        <v>1084</v>
      </c>
      <c r="I1741" s="3" t="s">
        <v>13</v>
      </c>
      <c r="J1741" s="3">
        <v>1</v>
      </c>
      <c r="K1741" s="3">
        <v>25661.72</v>
      </c>
      <c r="L1741" s="3">
        <f>Table1[[#This Row],[Price Per Unit]]*Table1[[#This Row],[Units Sold]]</f>
        <v>25661.72</v>
      </c>
      <c r="M1741" s="3" t="s">
        <v>902</v>
      </c>
      <c r="N1741" s="3">
        <v>54</v>
      </c>
      <c r="O1741" s="3" t="s">
        <v>137</v>
      </c>
      <c r="P1741" s="3" t="s">
        <v>21</v>
      </c>
      <c r="Q1741" s="4">
        <v>5</v>
      </c>
      <c r="R1741" s="4" t="str">
        <f>IF(Table1[[#This Row],[Customer Ratings]]&gt;=4, "Good",IF(Table1[[#This Row],[Customer Ratings]]=3, "Average","Poor"))</f>
        <v>Good</v>
      </c>
      <c r="S1741" s="3" t="s">
        <v>27</v>
      </c>
    </row>
    <row r="1742" spans="1:19" x14ac:dyDescent="0.25">
      <c r="A1742" s="3">
        <v>1741</v>
      </c>
      <c r="B1742" s="5">
        <f>DATE(Table1[[#This Row],[Year]],Table1[[#This Row],[Month]],Table1[[#This Row],[Day]])</f>
        <v>44973</v>
      </c>
      <c r="C1742" s="3">
        <v>16</v>
      </c>
      <c r="D1742" s="3">
        <v>2</v>
      </c>
      <c r="E1742" s="3">
        <v>2023</v>
      </c>
      <c r="F1742" s="3" t="str">
        <f>"Qtr"&amp; " " &amp;CHOOSE(MONTH(Table1[[#This Row],[Date]]),1,1,1,2,2,2,3,3,3,4,4,4)</f>
        <v>Qtr 1</v>
      </c>
      <c r="G1742" s="3" t="str">
        <f>TEXT(Table1[[#This Row],[Date]],"mmmm")</f>
        <v>February</v>
      </c>
      <c r="H1742" s="3" t="s">
        <v>1084</v>
      </c>
      <c r="I1742" s="3" t="s">
        <v>28</v>
      </c>
      <c r="J1742" s="3">
        <v>9</v>
      </c>
      <c r="K1742" s="3">
        <v>42284.05</v>
      </c>
      <c r="L1742" s="3">
        <f>Table1[[#This Row],[Price Per Unit]]*Table1[[#This Row],[Units Sold]]</f>
        <v>380556.45</v>
      </c>
      <c r="M1742" s="3" t="s">
        <v>704</v>
      </c>
      <c r="N1742" s="3">
        <v>53</v>
      </c>
      <c r="O1742" s="3" t="s">
        <v>20</v>
      </c>
      <c r="P1742" s="3" t="s">
        <v>16</v>
      </c>
      <c r="Q1742" s="4">
        <v>5</v>
      </c>
      <c r="R1742" s="4" t="str">
        <f>IF(Table1[[#This Row],[Customer Ratings]]&gt;=4, "Good",IF(Table1[[#This Row],[Customer Ratings]]=3, "Average","Poor"))</f>
        <v>Good</v>
      </c>
      <c r="S1742" s="3" t="s">
        <v>38</v>
      </c>
    </row>
    <row r="1743" spans="1:19" x14ac:dyDescent="0.25">
      <c r="A1743" s="3">
        <v>1742</v>
      </c>
      <c r="B1743" s="5">
        <f>DATE(Table1[[#This Row],[Year]],Table1[[#This Row],[Month]],Table1[[#This Row],[Day]])</f>
        <v>44973</v>
      </c>
      <c r="C1743" s="3">
        <v>16</v>
      </c>
      <c r="D1743" s="3">
        <v>2</v>
      </c>
      <c r="E1743" s="3">
        <v>2023</v>
      </c>
      <c r="F1743" s="3" t="str">
        <f>"Qtr"&amp; " " &amp;CHOOSE(MONTH(Table1[[#This Row],[Date]]),1,1,1,2,2,2,3,3,3,4,4,4)</f>
        <v>Qtr 1</v>
      </c>
      <c r="G1743" s="3" t="str">
        <f>TEXT(Table1[[#This Row],[Date]],"mmmm")</f>
        <v>February</v>
      </c>
      <c r="H1743" s="3" t="s">
        <v>1084</v>
      </c>
      <c r="I1743" s="3" t="s">
        <v>28</v>
      </c>
      <c r="J1743" s="3">
        <v>5</v>
      </c>
      <c r="K1743" s="3">
        <v>64456.98</v>
      </c>
      <c r="L1743" s="3">
        <f>Table1[[#This Row],[Price Per Unit]]*Table1[[#This Row],[Units Sold]]</f>
        <v>322284.90000000002</v>
      </c>
      <c r="M1743" s="3" t="s">
        <v>903</v>
      </c>
      <c r="N1743" s="3">
        <v>40</v>
      </c>
      <c r="O1743" s="3" t="s">
        <v>41</v>
      </c>
      <c r="P1743" s="3" t="s">
        <v>31</v>
      </c>
      <c r="Q1743" s="4">
        <v>3</v>
      </c>
      <c r="R1743" s="4" t="str">
        <f>IF(Table1[[#This Row],[Customer Ratings]]&gt;=4, "Good",IF(Table1[[#This Row],[Customer Ratings]]=3, "Average","Poor"))</f>
        <v>Average</v>
      </c>
      <c r="S1743" s="3" t="s">
        <v>38</v>
      </c>
    </row>
    <row r="1744" spans="1:19" x14ac:dyDescent="0.25">
      <c r="A1744" s="3">
        <v>1743</v>
      </c>
      <c r="B1744" s="5">
        <f>DATE(Table1[[#This Row],[Year]],Table1[[#This Row],[Month]],Table1[[#This Row],[Day]])</f>
        <v>44974</v>
      </c>
      <c r="C1744" s="3">
        <v>17</v>
      </c>
      <c r="D1744" s="3">
        <v>2</v>
      </c>
      <c r="E1744" s="3">
        <v>2023</v>
      </c>
      <c r="F1744" s="3" t="str">
        <f>"Qtr"&amp; " " &amp;CHOOSE(MONTH(Table1[[#This Row],[Date]]),1,1,1,2,2,2,3,3,3,4,4,4)</f>
        <v>Qtr 1</v>
      </c>
      <c r="G1744" s="3" t="str">
        <f>TEXT(Table1[[#This Row],[Date]],"mmmm")</f>
        <v>February</v>
      </c>
      <c r="H1744" s="3" t="s">
        <v>1085</v>
      </c>
      <c r="I1744" s="3" t="s">
        <v>13</v>
      </c>
      <c r="J1744" s="3">
        <v>6</v>
      </c>
      <c r="K1744" s="3">
        <v>60786.11</v>
      </c>
      <c r="L1744" s="3">
        <f>Table1[[#This Row],[Price Per Unit]]*Table1[[#This Row],[Units Sold]]</f>
        <v>364716.66000000003</v>
      </c>
      <c r="M1744" s="3" t="s">
        <v>904</v>
      </c>
      <c r="N1744" s="3">
        <v>53</v>
      </c>
      <c r="O1744" s="3" t="s">
        <v>15</v>
      </c>
      <c r="P1744" s="3" t="s">
        <v>31</v>
      </c>
      <c r="Q1744" s="4">
        <v>5</v>
      </c>
      <c r="R1744" s="4" t="str">
        <f>IF(Table1[[#This Row],[Customer Ratings]]&gt;=4, "Good",IF(Table1[[#This Row],[Customer Ratings]]=3, "Average","Poor"))</f>
        <v>Good</v>
      </c>
      <c r="S1744" s="3" t="s">
        <v>72</v>
      </c>
    </row>
    <row r="1745" spans="1:19" x14ac:dyDescent="0.25">
      <c r="A1745" s="3">
        <v>1744</v>
      </c>
      <c r="B1745" s="5">
        <f>DATE(Table1[[#This Row],[Year]],Table1[[#This Row],[Month]],Table1[[#This Row],[Day]])</f>
        <v>44974</v>
      </c>
      <c r="C1745" s="3">
        <v>17</v>
      </c>
      <c r="D1745" s="3">
        <v>2</v>
      </c>
      <c r="E1745" s="3">
        <v>2023</v>
      </c>
      <c r="F1745" s="3" t="str">
        <f>"Qtr"&amp; " " &amp;CHOOSE(MONTH(Table1[[#This Row],[Date]]),1,1,1,2,2,2,3,3,3,4,4,4)</f>
        <v>Qtr 1</v>
      </c>
      <c r="G1745" s="3" t="str">
        <f>TEXT(Table1[[#This Row],[Date]],"mmmm")</f>
        <v>February</v>
      </c>
      <c r="H1745" s="3" t="s">
        <v>1085</v>
      </c>
      <c r="I1745" s="3" t="s">
        <v>13</v>
      </c>
      <c r="J1745" s="3">
        <v>4</v>
      </c>
      <c r="K1745" s="3">
        <v>39426.79</v>
      </c>
      <c r="L1745" s="3">
        <f>Table1[[#This Row],[Price Per Unit]]*Table1[[#This Row],[Units Sold]]</f>
        <v>157707.16</v>
      </c>
      <c r="M1745" s="3" t="s">
        <v>543</v>
      </c>
      <c r="N1745" s="3">
        <v>57</v>
      </c>
      <c r="O1745" s="3" t="s">
        <v>102</v>
      </c>
      <c r="P1745" s="3" t="s">
        <v>16</v>
      </c>
      <c r="Q1745" s="4">
        <v>1</v>
      </c>
      <c r="R1745" s="4" t="str">
        <f>IF(Table1[[#This Row],[Customer Ratings]]&gt;=4, "Good",IF(Table1[[#This Row],[Customer Ratings]]=3, "Average","Poor"))</f>
        <v>Poor</v>
      </c>
      <c r="S1745" s="3" t="s">
        <v>17</v>
      </c>
    </row>
    <row r="1746" spans="1:19" x14ac:dyDescent="0.25">
      <c r="A1746" s="3">
        <v>1745</v>
      </c>
      <c r="B1746" s="5">
        <f>DATE(Table1[[#This Row],[Year]],Table1[[#This Row],[Month]],Table1[[#This Row],[Day]])</f>
        <v>44974</v>
      </c>
      <c r="C1746" s="3">
        <v>17</v>
      </c>
      <c r="D1746" s="3">
        <v>2</v>
      </c>
      <c r="E1746" s="3">
        <v>2023</v>
      </c>
      <c r="F1746" s="3" t="str">
        <f>"Qtr"&amp; " " &amp;CHOOSE(MONTH(Table1[[#This Row],[Date]]),1,1,1,2,2,2,3,3,3,4,4,4)</f>
        <v>Qtr 1</v>
      </c>
      <c r="G1746" s="3" t="str">
        <f>TEXT(Table1[[#This Row],[Date]],"mmmm")</f>
        <v>February</v>
      </c>
      <c r="H1746" s="3" t="s">
        <v>1085</v>
      </c>
      <c r="I1746" s="3" t="s">
        <v>18</v>
      </c>
      <c r="J1746" s="3">
        <v>6</v>
      </c>
      <c r="K1746" s="3">
        <v>12223.12</v>
      </c>
      <c r="L1746" s="3">
        <f>Table1[[#This Row],[Price Per Unit]]*Table1[[#This Row],[Units Sold]]</f>
        <v>73338.720000000001</v>
      </c>
      <c r="M1746" s="3" t="s">
        <v>275</v>
      </c>
      <c r="N1746" s="3">
        <v>56</v>
      </c>
      <c r="O1746" s="3" t="s">
        <v>105</v>
      </c>
      <c r="P1746" s="3" t="s">
        <v>16</v>
      </c>
      <c r="Q1746" s="4">
        <v>5</v>
      </c>
      <c r="R1746" s="4" t="str">
        <f>IF(Table1[[#This Row],[Customer Ratings]]&gt;=4, "Good",IF(Table1[[#This Row],[Customer Ratings]]=3, "Average","Poor"))</f>
        <v>Good</v>
      </c>
      <c r="S1746" s="3" t="s">
        <v>55</v>
      </c>
    </row>
    <row r="1747" spans="1:19" x14ac:dyDescent="0.25">
      <c r="A1747" s="3">
        <v>1746</v>
      </c>
      <c r="B1747" s="5">
        <f>DATE(Table1[[#This Row],[Year]],Table1[[#This Row],[Month]],Table1[[#This Row],[Day]])</f>
        <v>44975</v>
      </c>
      <c r="C1747" s="3">
        <v>18</v>
      </c>
      <c r="D1747" s="3">
        <v>2</v>
      </c>
      <c r="E1747" s="3">
        <v>2023</v>
      </c>
      <c r="F1747" s="3" t="str">
        <f>"Qtr"&amp; " " &amp;CHOOSE(MONTH(Table1[[#This Row],[Date]]),1,1,1,2,2,2,3,3,3,4,4,4)</f>
        <v>Qtr 1</v>
      </c>
      <c r="G1747" s="3" t="str">
        <f>TEXT(Table1[[#This Row],[Date]],"mmmm")</f>
        <v>February</v>
      </c>
      <c r="H1747" s="3" t="s">
        <v>1079</v>
      </c>
      <c r="I1747" s="3" t="s">
        <v>28</v>
      </c>
      <c r="J1747" s="3">
        <v>8</v>
      </c>
      <c r="K1747" s="3">
        <v>42115.16</v>
      </c>
      <c r="L1747" s="3">
        <f>Table1[[#This Row],[Price Per Unit]]*Table1[[#This Row],[Units Sold]]</f>
        <v>336921.28</v>
      </c>
      <c r="M1747" s="3" t="s">
        <v>292</v>
      </c>
      <c r="N1747" s="3">
        <v>43</v>
      </c>
      <c r="O1747" s="3" t="s">
        <v>78</v>
      </c>
      <c r="P1747" s="3" t="s">
        <v>31</v>
      </c>
      <c r="Q1747" s="4">
        <v>5</v>
      </c>
      <c r="R1747" s="4" t="str">
        <f>IF(Table1[[#This Row],[Customer Ratings]]&gt;=4, "Good",IF(Table1[[#This Row],[Customer Ratings]]=3, "Average","Poor"))</f>
        <v>Good</v>
      </c>
      <c r="S1747" s="3" t="s">
        <v>38</v>
      </c>
    </row>
    <row r="1748" spans="1:19" x14ac:dyDescent="0.25">
      <c r="A1748" s="3">
        <v>1747</v>
      </c>
      <c r="B1748" s="5">
        <f>DATE(Table1[[#This Row],[Year]],Table1[[#This Row],[Month]],Table1[[#This Row],[Day]])</f>
        <v>44975</v>
      </c>
      <c r="C1748" s="3">
        <v>18</v>
      </c>
      <c r="D1748" s="3">
        <v>2</v>
      </c>
      <c r="E1748" s="3">
        <v>2023</v>
      </c>
      <c r="F1748" s="3" t="str">
        <f>"Qtr"&amp; " " &amp;CHOOSE(MONTH(Table1[[#This Row],[Date]]),1,1,1,2,2,2,3,3,3,4,4,4)</f>
        <v>Qtr 1</v>
      </c>
      <c r="G1748" s="3" t="str">
        <f>TEXT(Table1[[#This Row],[Date]],"mmmm")</f>
        <v>February</v>
      </c>
      <c r="H1748" s="3" t="s">
        <v>1079</v>
      </c>
      <c r="I1748" s="3" t="s">
        <v>28</v>
      </c>
      <c r="J1748" s="3">
        <v>3</v>
      </c>
      <c r="K1748" s="3">
        <v>52287.74</v>
      </c>
      <c r="L1748" s="3">
        <f>Table1[[#This Row],[Price Per Unit]]*Table1[[#This Row],[Units Sold]]</f>
        <v>156863.22</v>
      </c>
      <c r="M1748" s="3" t="s">
        <v>26</v>
      </c>
      <c r="N1748" s="3">
        <v>42</v>
      </c>
      <c r="O1748" s="3" t="s">
        <v>24</v>
      </c>
      <c r="P1748" s="3" t="s">
        <v>16</v>
      </c>
      <c r="Q1748" s="4">
        <v>4</v>
      </c>
      <c r="R1748" s="4" t="str">
        <f>IF(Table1[[#This Row],[Customer Ratings]]&gt;=4, "Good",IF(Table1[[#This Row],[Customer Ratings]]=3, "Average","Poor"))</f>
        <v>Good</v>
      </c>
      <c r="S1748" s="3" t="s">
        <v>38</v>
      </c>
    </row>
    <row r="1749" spans="1:19" x14ac:dyDescent="0.25">
      <c r="A1749" s="3">
        <v>1748</v>
      </c>
      <c r="B1749" s="5">
        <f>DATE(Table1[[#This Row],[Year]],Table1[[#This Row],[Month]],Table1[[#This Row],[Day]])</f>
        <v>44975</v>
      </c>
      <c r="C1749" s="3">
        <v>18</v>
      </c>
      <c r="D1749" s="3">
        <v>2</v>
      </c>
      <c r="E1749" s="3">
        <v>2023</v>
      </c>
      <c r="F1749" s="3" t="str">
        <f>"Qtr"&amp; " " &amp;CHOOSE(MONTH(Table1[[#This Row],[Date]]),1,1,1,2,2,2,3,3,3,4,4,4)</f>
        <v>Qtr 1</v>
      </c>
      <c r="G1749" s="3" t="str">
        <f>TEXT(Table1[[#This Row],[Date]],"mmmm")</f>
        <v>February</v>
      </c>
      <c r="H1749" s="3" t="s">
        <v>1079</v>
      </c>
      <c r="I1749" s="3" t="s">
        <v>18</v>
      </c>
      <c r="J1749" s="3">
        <v>5</v>
      </c>
      <c r="K1749" s="3">
        <v>30349.87</v>
      </c>
      <c r="L1749" s="3">
        <f>Table1[[#This Row],[Price Per Unit]]*Table1[[#This Row],[Units Sold]]</f>
        <v>151749.35</v>
      </c>
      <c r="M1749" s="3" t="s">
        <v>367</v>
      </c>
      <c r="N1749" s="3">
        <v>34</v>
      </c>
      <c r="O1749" s="3" t="s">
        <v>30</v>
      </c>
      <c r="P1749" s="3" t="s">
        <v>45</v>
      </c>
      <c r="Q1749" s="4">
        <v>4</v>
      </c>
      <c r="R1749" s="4" t="str">
        <f>IF(Table1[[#This Row],[Customer Ratings]]&gt;=4, "Good",IF(Table1[[#This Row],[Customer Ratings]]=3, "Average","Poor"))</f>
        <v>Good</v>
      </c>
      <c r="S1749" s="3" t="s">
        <v>22</v>
      </c>
    </row>
    <row r="1750" spans="1:19" x14ac:dyDescent="0.25">
      <c r="A1750" s="3">
        <v>1749</v>
      </c>
      <c r="B1750" s="5">
        <f>DATE(Table1[[#This Row],[Year]],Table1[[#This Row],[Month]],Table1[[#This Row],[Day]])</f>
        <v>44975</v>
      </c>
      <c r="C1750" s="3">
        <v>18</v>
      </c>
      <c r="D1750" s="3">
        <v>2</v>
      </c>
      <c r="E1750" s="3">
        <v>2023</v>
      </c>
      <c r="F1750" s="3" t="str">
        <f>"Qtr"&amp; " " &amp;CHOOSE(MONTH(Table1[[#This Row],[Date]]),1,1,1,2,2,2,3,3,3,4,4,4)</f>
        <v>Qtr 1</v>
      </c>
      <c r="G1750" s="3" t="str">
        <f>TEXT(Table1[[#This Row],[Date]],"mmmm")</f>
        <v>February</v>
      </c>
      <c r="H1750" s="3" t="s">
        <v>1079</v>
      </c>
      <c r="I1750" s="3" t="s">
        <v>33</v>
      </c>
      <c r="J1750" s="3">
        <v>2</v>
      </c>
      <c r="K1750" s="3">
        <v>16663.8</v>
      </c>
      <c r="L1750" s="3">
        <f>Table1[[#This Row],[Price Per Unit]]*Table1[[#This Row],[Units Sold]]</f>
        <v>33327.599999999999</v>
      </c>
      <c r="M1750" s="3" t="s">
        <v>57</v>
      </c>
      <c r="N1750" s="3">
        <v>32</v>
      </c>
      <c r="O1750" s="3" t="s">
        <v>41</v>
      </c>
      <c r="P1750" s="3" t="s">
        <v>45</v>
      </c>
      <c r="Q1750" s="4">
        <v>1</v>
      </c>
      <c r="R1750" s="4" t="str">
        <f>IF(Table1[[#This Row],[Customer Ratings]]&gt;=4, "Good",IF(Table1[[#This Row],[Customer Ratings]]=3, "Average","Poor"))</f>
        <v>Poor</v>
      </c>
      <c r="S1750" s="3" t="s">
        <v>36</v>
      </c>
    </row>
    <row r="1751" spans="1:19" x14ac:dyDescent="0.25">
      <c r="A1751" s="3">
        <v>1750</v>
      </c>
      <c r="B1751" s="5">
        <f>DATE(Table1[[#This Row],[Year]],Table1[[#This Row],[Month]],Table1[[#This Row],[Day]])</f>
        <v>44976</v>
      </c>
      <c r="C1751" s="3">
        <v>19</v>
      </c>
      <c r="D1751" s="3">
        <v>2</v>
      </c>
      <c r="E1751" s="3">
        <v>2023</v>
      </c>
      <c r="F1751" s="3" t="str">
        <f>"Qtr"&amp; " " &amp;CHOOSE(MONTH(Table1[[#This Row],[Date]]),1,1,1,2,2,2,3,3,3,4,4,4)</f>
        <v>Qtr 1</v>
      </c>
      <c r="G1751" s="3" t="str">
        <f>TEXT(Table1[[#This Row],[Date]],"mmmm")</f>
        <v>February</v>
      </c>
      <c r="H1751" s="3" t="s">
        <v>1080</v>
      </c>
      <c r="I1751" s="3" t="s">
        <v>18</v>
      </c>
      <c r="J1751" s="3">
        <v>2</v>
      </c>
      <c r="K1751" s="3">
        <v>26714.080000000002</v>
      </c>
      <c r="L1751" s="3">
        <f>Table1[[#This Row],[Price Per Unit]]*Table1[[#This Row],[Units Sold]]</f>
        <v>53428.160000000003</v>
      </c>
      <c r="M1751" s="3" t="s">
        <v>140</v>
      </c>
      <c r="N1751" s="3">
        <v>54</v>
      </c>
      <c r="O1751" s="3" t="s">
        <v>20</v>
      </c>
      <c r="P1751" s="3" t="s">
        <v>31</v>
      </c>
      <c r="Q1751" s="4">
        <v>1</v>
      </c>
      <c r="R1751" s="4" t="str">
        <f>IF(Table1[[#This Row],[Customer Ratings]]&gt;=4, "Good",IF(Table1[[#This Row],[Customer Ratings]]=3, "Average","Poor"))</f>
        <v>Poor</v>
      </c>
      <c r="S1751" s="3" t="s">
        <v>25</v>
      </c>
    </row>
    <row r="1752" spans="1:19" x14ac:dyDescent="0.25">
      <c r="A1752" s="3">
        <v>1751</v>
      </c>
      <c r="B1752" s="5">
        <f>DATE(Table1[[#This Row],[Year]],Table1[[#This Row],[Month]],Table1[[#This Row],[Day]])</f>
        <v>44976</v>
      </c>
      <c r="C1752" s="3">
        <v>19</v>
      </c>
      <c r="D1752" s="3">
        <v>2</v>
      </c>
      <c r="E1752" s="3">
        <v>2023</v>
      </c>
      <c r="F1752" s="3" t="str">
        <f>"Qtr"&amp; " " &amp;CHOOSE(MONTH(Table1[[#This Row],[Date]]),1,1,1,2,2,2,3,3,3,4,4,4)</f>
        <v>Qtr 1</v>
      </c>
      <c r="G1752" s="3" t="str">
        <f>TEXT(Table1[[#This Row],[Date]],"mmmm")</f>
        <v>February</v>
      </c>
      <c r="H1752" s="3" t="s">
        <v>1080</v>
      </c>
      <c r="I1752" s="3" t="s">
        <v>39</v>
      </c>
      <c r="J1752" s="3">
        <v>7</v>
      </c>
      <c r="K1752" s="3">
        <v>56295.33</v>
      </c>
      <c r="L1752" s="3">
        <f>Table1[[#This Row],[Price Per Unit]]*Table1[[#This Row],[Units Sold]]</f>
        <v>394067.31</v>
      </c>
      <c r="M1752" s="3" t="s">
        <v>92</v>
      </c>
      <c r="N1752" s="3">
        <v>21</v>
      </c>
      <c r="O1752" s="3" t="s">
        <v>58</v>
      </c>
      <c r="P1752" s="3" t="s">
        <v>45</v>
      </c>
      <c r="Q1752" s="4">
        <v>5</v>
      </c>
      <c r="R1752" s="4" t="str">
        <f>IF(Table1[[#This Row],[Customer Ratings]]&gt;=4, "Good",IF(Table1[[#This Row],[Customer Ratings]]=3, "Average","Poor"))</f>
        <v>Good</v>
      </c>
      <c r="S1752" s="3" t="s">
        <v>90</v>
      </c>
    </row>
    <row r="1753" spans="1:19" x14ac:dyDescent="0.25">
      <c r="A1753" s="3">
        <v>1752</v>
      </c>
      <c r="B1753" s="5">
        <f>DATE(Table1[[#This Row],[Year]],Table1[[#This Row],[Month]],Table1[[#This Row],[Day]])</f>
        <v>44976</v>
      </c>
      <c r="C1753" s="3">
        <v>19</v>
      </c>
      <c r="D1753" s="3">
        <v>2</v>
      </c>
      <c r="E1753" s="3">
        <v>2023</v>
      </c>
      <c r="F1753" s="3" t="str">
        <f>"Qtr"&amp; " " &amp;CHOOSE(MONTH(Table1[[#This Row],[Date]]),1,1,1,2,2,2,3,3,3,4,4,4)</f>
        <v>Qtr 1</v>
      </c>
      <c r="G1753" s="3" t="str">
        <f>TEXT(Table1[[#This Row],[Date]],"mmmm")</f>
        <v>February</v>
      </c>
      <c r="H1753" s="3" t="s">
        <v>1080</v>
      </c>
      <c r="I1753" s="3" t="s">
        <v>28</v>
      </c>
      <c r="J1753" s="3">
        <v>6</v>
      </c>
      <c r="K1753" s="3">
        <v>31074.63</v>
      </c>
      <c r="L1753" s="3">
        <f>Table1[[#This Row],[Price Per Unit]]*Table1[[#This Row],[Units Sold]]</f>
        <v>186447.78</v>
      </c>
      <c r="M1753" s="3" t="s">
        <v>524</v>
      </c>
      <c r="N1753" s="3">
        <v>39</v>
      </c>
      <c r="O1753" s="3" t="s">
        <v>20</v>
      </c>
      <c r="P1753" s="3" t="s">
        <v>21</v>
      </c>
      <c r="Q1753" s="4">
        <v>1</v>
      </c>
      <c r="R1753" s="4" t="str">
        <f>IF(Table1[[#This Row],[Customer Ratings]]&gt;=4, "Good",IF(Table1[[#This Row],[Customer Ratings]]=3, "Average","Poor"))</f>
        <v>Poor</v>
      </c>
      <c r="S1753" s="3" t="s">
        <v>38</v>
      </c>
    </row>
    <row r="1754" spans="1:19" x14ac:dyDescent="0.25">
      <c r="A1754" s="3">
        <v>1753</v>
      </c>
      <c r="B1754" s="5">
        <f>DATE(Table1[[#This Row],[Year]],Table1[[#This Row],[Month]],Table1[[#This Row],[Day]])</f>
        <v>44977</v>
      </c>
      <c r="C1754" s="3">
        <v>20</v>
      </c>
      <c r="D1754" s="3">
        <v>2</v>
      </c>
      <c r="E1754" s="3">
        <v>2023</v>
      </c>
      <c r="F1754" s="3" t="str">
        <f>"Qtr"&amp; " " &amp;CHOOSE(MONTH(Table1[[#This Row],[Date]]),1,1,1,2,2,2,3,3,3,4,4,4)</f>
        <v>Qtr 1</v>
      </c>
      <c r="G1754" s="3" t="str">
        <f>TEXT(Table1[[#This Row],[Date]],"mmmm")</f>
        <v>February</v>
      </c>
      <c r="H1754" s="3" t="s">
        <v>1081</v>
      </c>
      <c r="I1754" s="3" t="s">
        <v>13</v>
      </c>
      <c r="J1754" s="3">
        <v>4</v>
      </c>
      <c r="K1754" s="3">
        <v>58718.89</v>
      </c>
      <c r="L1754" s="3">
        <f>Table1[[#This Row],[Price Per Unit]]*Table1[[#This Row],[Units Sold]]</f>
        <v>234875.56</v>
      </c>
      <c r="M1754" s="3" t="s">
        <v>329</v>
      </c>
      <c r="N1754" s="3">
        <v>34</v>
      </c>
      <c r="O1754" s="3" t="s">
        <v>20</v>
      </c>
      <c r="P1754" s="3" t="s">
        <v>45</v>
      </c>
      <c r="Q1754" s="4">
        <v>5</v>
      </c>
      <c r="R1754" s="4" t="str">
        <f>IF(Table1[[#This Row],[Customer Ratings]]&gt;=4, "Good",IF(Table1[[#This Row],[Customer Ratings]]=3, "Average","Poor"))</f>
        <v>Good</v>
      </c>
      <c r="S1754" s="3" t="s">
        <v>27</v>
      </c>
    </row>
    <row r="1755" spans="1:19" x14ac:dyDescent="0.25">
      <c r="A1755" s="3">
        <v>1754</v>
      </c>
      <c r="B1755" s="5">
        <f>DATE(Table1[[#This Row],[Year]],Table1[[#This Row],[Month]],Table1[[#This Row],[Day]])</f>
        <v>44977</v>
      </c>
      <c r="C1755" s="3">
        <v>20</v>
      </c>
      <c r="D1755" s="3">
        <v>2</v>
      </c>
      <c r="E1755" s="3">
        <v>2023</v>
      </c>
      <c r="F1755" s="3" t="str">
        <f>"Qtr"&amp; " " &amp;CHOOSE(MONTH(Table1[[#This Row],[Date]]),1,1,1,2,2,2,3,3,3,4,4,4)</f>
        <v>Qtr 1</v>
      </c>
      <c r="G1755" s="3" t="str">
        <f>TEXT(Table1[[#This Row],[Date]],"mmmm")</f>
        <v>February</v>
      </c>
      <c r="H1755" s="3" t="s">
        <v>1081</v>
      </c>
      <c r="I1755" s="3" t="s">
        <v>39</v>
      </c>
      <c r="J1755" s="3">
        <v>5</v>
      </c>
      <c r="K1755" s="3">
        <v>29171.29</v>
      </c>
      <c r="L1755" s="3">
        <f>Table1[[#This Row],[Price Per Unit]]*Table1[[#This Row],[Units Sold]]</f>
        <v>145856.45000000001</v>
      </c>
      <c r="M1755" s="3" t="s">
        <v>505</v>
      </c>
      <c r="N1755" s="3">
        <v>39</v>
      </c>
      <c r="O1755" s="3" t="s">
        <v>20</v>
      </c>
      <c r="P1755" s="3" t="s">
        <v>45</v>
      </c>
      <c r="Q1755" s="4">
        <v>5</v>
      </c>
      <c r="R1755" s="4" t="str">
        <f>IF(Table1[[#This Row],[Customer Ratings]]&gt;=4, "Good",IF(Table1[[#This Row],[Customer Ratings]]=3, "Average","Poor"))</f>
        <v>Good</v>
      </c>
      <c r="S1755" s="3" t="s">
        <v>76</v>
      </c>
    </row>
    <row r="1756" spans="1:19" x14ac:dyDescent="0.25">
      <c r="A1756" s="3">
        <v>1755</v>
      </c>
      <c r="B1756" s="5">
        <f>DATE(Table1[[#This Row],[Year]],Table1[[#This Row],[Month]],Table1[[#This Row],[Day]])</f>
        <v>44977</v>
      </c>
      <c r="C1756" s="3">
        <v>20</v>
      </c>
      <c r="D1756" s="3">
        <v>2</v>
      </c>
      <c r="E1756" s="3">
        <v>2023</v>
      </c>
      <c r="F1756" s="3" t="str">
        <f>"Qtr"&amp; " " &amp;CHOOSE(MONTH(Table1[[#This Row],[Date]]),1,1,1,2,2,2,3,3,3,4,4,4)</f>
        <v>Qtr 1</v>
      </c>
      <c r="G1756" s="3" t="str">
        <f>TEXT(Table1[[#This Row],[Date]],"mmmm")</f>
        <v>February</v>
      </c>
      <c r="H1756" s="3" t="s">
        <v>1081</v>
      </c>
      <c r="I1756" s="3" t="s">
        <v>28</v>
      </c>
      <c r="J1756" s="3">
        <v>1</v>
      </c>
      <c r="K1756" s="3">
        <v>19813.3</v>
      </c>
      <c r="L1756" s="3">
        <f>Table1[[#This Row],[Price Per Unit]]*Table1[[#This Row],[Units Sold]]</f>
        <v>19813.3</v>
      </c>
      <c r="M1756" s="3" t="s">
        <v>57</v>
      </c>
      <c r="N1756" s="3">
        <v>34</v>
      </c>
      <c r="O1756" s="3" t="s">
        <v>24</v>
      </c>
      <c r="P1756" s="3" t="s">
        <v>16</v>
      </c>
      <c r="Q1756" s="4">
        <v>1</v>
      </c>
      <c r="R1756" s="4" t="str">
        <f>IF(Table1[[#This Row],[Customer Ratings]]&gt;=4, "Good",IF(Table1[[#This Row],[Customer Ratings]]=3, "Average","Poor"))</f>
        <v>Poor</v>
      </c>
      <c r="S1756" s="3" t="s">
        <v>32</v>
      </c>
    </row>
    <row r="1757" spans="1:19" x14ac:dyDescent="0.25">
      <c r="A1757" s="3">
        <v>1756</v>
      </c>
      <c r="B1757" s="5">
        <f>DATE(Table1[[#This Row],[Year]],Table1[[#This Row],[Month]],Table1[[#This Row],[Day]])</f>
        <v>44977</v>
      </c>
      <c r="C1757" s="3">
        <v>20</v>
      </c>
      <c r="D1757" s="3">
        <v>2</v>
      </c>
      <c r="E1757" s="3">
        <v>2023</v>
      </c>
      <c r="F1757" s="3" t="str">
        <f>"Qtr"&amp; " " &amp;CHOOSE(MONTH(Table1[[#This Row],[Date]]),1,1,1,2,2,2,3,3,3,4,4,4)</f>
        <v>Qtr 1</v>
      </c>
      <c r="G1757" s="3" t="str">
        <f>TEXT(Table1[[#This Row],[Date]],"mmmm")</f>
        <v>February</v>
      </c>
      <c r="H1757" s="3" t="s">
        <v>1081</v>
      </c>
      <c r="I1757" s="3" t="s">
        <v>18</v>
      </c>
      <c r="J1757" s="3">
        <v>7</v>
      </c>
      <c r="K1757" s="3">
        <v>36150.9</v>
      </c>
      <c r="L1757" s="3">
        <f>Table1[[#This Row],[Price Per Unit]]*Table1[[#This Row],[Units Sold]]</f>
        <v>253056.30000000002</v>
      </c>
      <c r="M1757" s="3" t="s">
        <v>336</v>
      </c>
      <c r="N1757" s="3">
        <v>31</v>
      </c>
      <c r="O1757" s="3" t="s">
        <v>15</v>
      </c>
      <c r="P1757" s="3" t="s">
        <v>45</v>
      </c>
      <c r="Q1757" s="4">
        <v>5</v>
      </c>
      <c r="R1757" s="4" t="str">
        <f>IF(Table1[[#This Row],[Customer Ratings]]&gt;=4, "Good",IF(Table1[[#This Row],[Customer Ratings]]=3, "Average","Poor"))</f>
        <v>Good</v>
      </c>
      <c r="S1757" s="3" t="s">
        <v>25</v>
      </c>
    </row>
    <row r="1758" spans="1:19" x14ac:dyDescent="0.25">
      <c r="A1758" s="3">
        <v>1757</v>
      </c>
      <c r="B1758" s="5">
        <f>DATE(Table1[[#This Row],[Year]],Table1[[#This Row],[Month]],Table1[[#This Row],[Day]])</f>
        <v>44978</v>
      </c>
      <c r="C1758" s="3">
        <v>21</v>
      </c>
      <c r="D1758" s="3">
        <v>2</v>
      </c>
      <c r="E1758" s="3">
        <v>2023</v>
      </c>
      <c r="F1758" s="3" t="str">
        <f>"Qtr"&amp; " " &amp;CHOOSE(MONTH(Table1[[#This Row],[Date]]),1,1,1,2,2,2,3,3,3,4,4,4)</f>
        <v>Qtr 1</v>
      </c>
      <c r="G1758" s="3" t="str">
        <f>TEXT(Table1[[#This Row],[Date]],"mmmm")</f>
        <v>February</v>
      </c>
      <c r="H1758" s="3" t="s">
        <v>1082</v>
      </c>
      <c r="I1758" s="3" t="s">
        <v>39</v>
      </c>
      <c r="J1758" s="3">
        <v>8</v>
      </c>
      <c r="K1758" s="3">
        <v>37136.47</v>
      </c>
      <c r="L1758" s="3">
        <f>Table1[[#This Row],[Price Per Unit]]*Table1[[#This Row],[Units Sold]]</f>
        <v>297091.76</v>
      </c>
      <c r="M1758" s="3" t="s">
        <v>416</v>
      </c>
      <c r="N1758" s="3">
        <v>31</v>
      </c>
      <c r="O1758" s="3" t="s">
        <v>125</v>
      </c>
      <c r="P1758" s="3" t="s">
        <v>31</v>
      </c>
      <c r="Q1758" s="4">
        <v>5</v>
      </c>
      <c r="R1758" s="4" t="str">
        <f>IF(Table1[[#This Row],[Customer Ratings]]&gt;=4, "Good",IF(Table1[[#This Row],[Customer Ratings]]=3, "Average","Poor"))</f>
        <v>Good</v>
      </c>
      <c r="S1758" s="3" t="s">
        <v>42</v>
      </c>
    </row>
    <row r="1759" spans="1:19" x14ac:dyDescent="0.25">
      <c r="A1759" s="3">
        <v>1758</v>
      </c>
      <c r="B1759" s="5">
        <f>DATE(Table1[[#This Row],[Year]],Table1[[#This Row],[Month]],Table1[[#This Row],[Day]])</f>
        <v>44978</v>
      </c>
      <c r="C1759" s="3">
        <v>21</v>
      </c>
      <c r="D1759" s="3">
        <v>2</v>
      </c>
      <c r="E1759" s="3">
        <v>2023</v>
      </c>
      <c r="F1759" s="3" t="str">
        <f>"Qtr"&amp; " " &amp;CHOOSE(MONTH(Table1[[#This Row],[Date]]),1,1,1,2,2,2,3,3,3,4,4,4)</f>
        <v>Qtr 1</v>
      </c>
      <c r="G1759" s="3" t="str">
        <f>TEXT(Table1[[#This Row],[Date]],"mmmm")</f>
        <v>February</v>
      </c>
      <c r="H1759" s="3" t="s">
        <v>1082</v>
      </c>
      <c r="I1759" s="3" t="s">
        <v>28</v>
      </c>
      <c r="J1759" s="3">
        <v>9</v>
      </c>
      <c r="K1759" s="3">
        <v>10966.49</v>
      </c>
      <c r="L1759" s="3">
        <f>Table1[[#This Row],[Price Per Unit]]*Table1[[#This Row],[Units Sold]]</f>
        <v>98698.41</v>
      </c>
      <c r="M1759" s="3" t="s">
        <v>472</v>
      </c>
      <c r="N1759" s="3">
        <v>34</v>
      </c>
      <c r="O1759" s="3" t="s">
        <v>58</v>
      </c>
      <c r="P1759" s="3" t="s">
        <v>45</v>
      </c>
      <c r="Q1759" s="4">
        <v>5</v>
      </c>
      <c r="R1759" s="4" t="str">
        <f>IF(Table1[[#This Row],[Customer Ratings]]&gt;=4, "Good",IF(Table1[[#This Row],[Customer Ratings]]=3, "Average","Poor"))</f>
        <v>Good</v>
      </c>
      <c r="S1759" s="3" t="s">
        <v>38</v>
      </c>
    </row>
    <row r="1760" spans="1:19" x14ac:dyDescent="0.25">
      <c r="A1760" s="3">
        <v>1759</v>
      </c>
      <c r="B1760" s="5">
        <f>DATE(Table1[[#This Row],[Year]],Table1[[#This Row],[Month]],Table1[[#This Row],[Day]])</f>
        <v>44978</v>
      </c>
      <c r="C1760" s="3">
        <v>21</v>
      </c>
      <c r="D1760" s="3">
        <v>2</v>
      </c>
      <c r="E1760" s="3">
        <v>2023</v>
      </c>
      <c r="F1760" s="3" t="str">
        <f>"Qtr"&amp; " " &amp;CHOOSE(MONTH(Table1[[#This Row],[Date]]),1,1,1,2,2,2,3,3,3,4,4,4)</f>
        <v>Qtr 1</v>
      </c>
      <c r="G1760" s="3" t="str">
        <f>TEXT(Table1[[#This Row],[Date]],"mmmm")</f>
        <v>February</v>
      </c>
      <c r="H1760" s="3" t="s">
        <v>1082</v>
      </c>
      <c r="I1760" s="3" t="s">
        <v>33</v>
      </c>
      <c r="J1760" s="3">
        <v>8</v>
      </c>
      <c r="K1760" s="3">
        <v>17022.7</v>
      </c>
      <c r="L1760" s="3">
        <f>Table1[[#This Row],[Price Per Unit]]*Table1[[#This Row],[Units Sold]]</f>
        <v>136181.6</v>
      </c>
      <c r="M1760" s="3" t="s">
        <v>905</v>
      </c>
      <c r="N1760" s="3">
        <v>25</v>
      </c>
      <c r="O1760" s="3" t="s">
        <v>105</v>
      </c>
      <c r="P1760" s="3" t="s">
        <v>45</v>
      </c>
      <c r="Q1760" s="4">
        <v>5</v>
      </c>
      <c r="R1760" s="4" t="str">
        <f>IF(Table1[[#This Row],[Customer Ratings]]&gt;=4, "Good",IF(Table1[[#This Row],[Customer Ratings]]=3, "Average","Poor"))</f>
        <v>Good</v>
      </c>
      <c r="S1760" s="3" t="s">
        <v>83</v>
      </c>
    </row>
    <row r="1761" spans="1:19" x14ac:dyDescent="0.25">
      <c r="A1761" s="3">
        <v>1760</v>
      </c>
      <c r="B1761" s="5">
        <f>DATE(Table1[[#This Row],[Year]],Table1[[#This Row],[Month]],Table1[[#This Row],[Day]])</f>
        <v>44979</v>
      </c>
      <c r="C1761" s="3">
        <v>22</v>
      </c>
      <c r="D1761" s="3">
        <v>2</v>
      </c>
      <c r="E1761" s="3">
        <v>2023</v>
      </c>
      <c r="F1761" s="3" t="str">
        <f>"Qtr"&amp; " " &amp;CHOOSE(MONTH(Table1[[#This Row],[Date]]),1,1,1,2,2,2,3,3,3,4,4,4)</f>
        <v>Qtr 1</v>
      </c>
      <c r="G1761" s="3" t="str">
        <f>TEXT(Table1[[#This Row],[Date]],"mmmm")</f>
        <v>February</v>
      </c>
      <c r="H1761" s="3" t="s">
        <v>1083</v>
      </c>
      <c r="I1761" s="3" t="s">
        <v>33</v>
      </c>
      <c r="J1761" s="3">
        <v>5</v>
      </c>
      <c r="K1761" s="3">
        <v>21095.56</v>
      </c>
      <c r="L1761" s="3">
        <f>Table1[[#This Row],[Price Per Unit]]*Table1[[#This Row],[Units Sold]]</f>
        <v>105477.8</v>
      </c>
      <c r="M1761" s="3" t="s">
        <v>741</v>
      </c>
      <c r="N1761" s="3">
        <v>51</v>
      </c>
      <c r="O1761" s="3" t="s">
        <v>24</v>
      </c>
      <c r="P1761" s="3" t="s">
        <v>31</v>
      </c>
      <c r="Q1761" s="4">
        <v>5</v>
      </c>
      <c r="R1761" s="4" t="str">
        <f>IF(Table1[[#This Row],[Customer Ratings]]&gt;=4, "Good",IF(Table1[[#This Row],[Customer Ratings]]=3, "Average","Poor"))</f>
        <v>Good</v>
      </c>
      <c r="S1761" s="3" t="s">
        <v>36</v>
      </c>
    </row>
    <row r="1762" spans="1:19" x14ac:dyDescent="0.25">
      <c r="A1762" s="3">
        <v>1761</v>
      </c>
      <c r="B1762" s="5">
        <f>DATE(Table1[[#This Row],[Year]],Table1[[#This Row],[Month]],Table1[[#This Row],[Day]])</f>
        <v>44979</v>
      </c>
      <c r="C1762" s="3">
        <v>22</v>
      </c>
      <c r="D1762" s="3">
        <v>2</v>
      </c>
      <c r="E1762" s="3">
        <v>2023</v>
      </c>
      <c r="F1762" s="3" t="str">
        <f>"Qtr"&amp; " " &amp;CHOOSE(MONTH(Table1[[#This Row],[Date]]),1,1,1,2,2,2,3,3,3,4,4,4)</f>
        <v>Qtr 1</v>
      </c>
      <c r="G1762" s="3" t="str">
        <f>TEXT(Table1[[#This Row],[Date]],"mmmm")</f>
        <v>February</v>
      </c>
      <c r="H1762" s="3" t="s">
        <v>1083</v>
      </c>
      <c r="I1762" s="3" t="s">
        <v>13</v>
      </c>
      <c r="J1762" s="3">
        <v>3</v>
      </c>
      <c r="K1762" s="3">
        <v>16815.240000000002</v>
      </c>
      <c r="L1762" s="3">
        <f>Table1[[#This Row],[Price Per Unit]]*Table1[[#This Row],[Units Sold]]</f>
        <v>50445.72</v>
      </c>
      <c r="M1762" s="3" t="s">
        <v>906</v>
      </c>
      <c r="N1762" s="3">
        <v>43</v>
      </c>
      <c r="O1762" s="3" t="s">
        <v>20</v>
      </c>
      <c r="P1762" s="3" t="s">
        <v>31</v>
      </c>
      <c r="Q1762" s="4">
        <v>5</v>
      </c>
      <c r="R1762" s="4" t="str">
        <f>IF(Table1[[#This Row],[Customer Ratings]]&gt;=4, "Good",IF(Table1[[#This Row],[Customer Ratings]]=3, "Average","Poor"))</f>
        <v>Good</v>
      </c>
      <c r="S1762" s="3" t="s">
        <v>17</v>
      </c>
    </row>
    <row r="1763" spans="1:19" x14ac:dyDescent="0.25">
      <c r="A1763" s="3">
        <v>1762</v>
      </c>
      <c r="B1763" s="5">
        <f>DATE(Table1[[#This Row],[Year]],Table1[[#This Row],[Month]],Table1[[#This Row],[Day]])</f>
        <v>44979</v>
      </c>
      <c r="C1763" s="3">
        <v>22</v>
      </c>
      <c r="D1763" s="3">
        <v>2</v>
      </c>
      <c r="E1763" s="3">
        <v>2023</v>
      </c>
      <c r="F1763" s="3" t="str">
        <f>"Qtr"&amp; " " &amp;CHOOSE(MONTH(Table1[[#This Row],[Date]]),1,1,1,2,2,2,3,3,3,4,4,4)</f>
        <v>Qtr 1</v>
      </c>
      <c r="G1763" s="3" t="str">
        <f>TEXT(Table1[[#This Row],[Date]],"mmmm")</f>
        <v>February</v>
      </c>
      <c r="H1763" s="3" t="s">
        <v>1083</v>
      </c>
      <c r="I1763" s="3" t="s">
        <v>28</v>
      </c>
      <c r="J1763" s="3">
        <v>9</v>
      </c>
      <c r="K1763" s="3">
        <v>30491.56</v>
      </c>
      <c r="L1763" s="3">
        <f>Table1[[#This Row],[Price Per Unit]]*Table1[[#This Row],[Units Sold]]</f>
        <v>274424.04000000004</v>
      </c>
      <c r="M1763" s="3" t="s">
        <v>667</v>
      </c>
      <c r="N1763" s="3">
        <v>47</v>
      </c>
      <c r="O1763" s="3" t="s">
        <v>24</v>
      </c>
      <c r="P1763" s="3" t="s">
        <v>16</v>
      </c>
      <c r="Q1763" s="4">
        <v>3</v>
      </c>
      <c r="R1763" s="4" t="str">
        <f>IF(Table1[[#This Row],[Customer Ratings]]&gt;=4, "Good",IF(Table1[[#This Row],[Customer Ratings]]=3, "Average","Poor"))</f>
        <v>Average</v>
      </c>
      <c r="S1763" s="3" t="s">
        <v>87</v>
      </c>
    </row>
    <row r="1764" spans="1:19" x14ac:dyDescent="0.25">
      <c r="A1764" s="3">
        <v>1763</v>
      </c>
      <c r="B1764" s="5">
        <f>DATE(Table1[[#This Row],[Year]],Table1[[#This Row],[Month]],Table1[[#This Row],[Day]])</f>
        <v>44980</v>
      </c>
      <c r="C1764" s="3">
        <v>23</v>
      </c>
      <c r="D1764" s="3">
        <v>2</v>
      </c>
      <c r="E1764" s="3">
        <v>2023</v>
      </c>
      <c r="F1764" s="3" t="str">
        <f>"Qtr"&amp; " " &amp;CHOOSE(MONTH(Table1[[#This Row],[Date]]),1,1,1,2,2,2,3,3,3,4,4,4)</f>
        <v>Qtr 1</v>
      </c>
      <c r="G1764" s="3" t="str">
        <f>TEXT(Table1[[#This Row],[Date]],"mmmm")</f>
        <v>February</v>
      </c>
      <c r="H1764" s="3" t="s">
        <v>1084</v>
      </c>
      <c r="I1764" s="3" t="s">
        <v>33</v>
      </c>
      <c r="J1764" s="3">
        <v>6</v>
      </c>
      <c r="K1764" s="3">
        <v>67877.37</v>
      </c>
      <c r="L1764" s="3">
        <f>Table1[[#This Row],[Price Per Unit]]*Table1[[#This Row],[Units Sold]]</f>
        <v>407264.22</v>
      </c>
      <c r="M1764" s="3" t="s">
        <v>677</v>
      </c>
      <c r="N1764" s="3">
        <v>39</v>
      </c>
      <c r="O1764" s="3" t="s">
        <v>41</v>
      </c>
      <c r="P1764" s="3" t="s">
        <v>21</v>
      </c>
      <c r="Q1764" s="4">
        <v>3</v>
      </c>
      <c r="R1764" s="4" t="str">
        <f>IF(Table1[[#This Row],[Customer Ratings]]&gt;=4, "Good",IF(Table1[[#This Row],[Customer Ratings]]=3, "Average","Poor"))</f>
        <v>Average</v>
      </c>
      <c r="S1764" s="3" t="s">
        <v>46</v>
      </c>
    </row>
    <row r="1765" spans="1:19" x14ac:dyDescent="0.25">
      <c r="A1765" s="3">
        <v>1764</v>
      </c>
      <c r="B1765" s="5">
        <f>DATE(Table1[[#This Row],[Year]],Table1[[#This Row],[Month]],Table1[[#This Row],[Day]])</f>
        <v>44980</v>
      </c>
      <c r="C1765" s="3">
        <v>23</v>
      </c>
      <c r="D1765" s="3">
        <v>2</v>
      </c>
      <c r="E1765" s="3">
        <v>2023</v>
      </c>
      <c r="F1765" s="3" t="str">
        <f>"Qtr"&amp; " " &amp;CHOOSE(MONTH(Table1[[#This Row],[Date]]),1,1,1,2,2,2,3,3,3,4,4,4)</f>
        <v>Qtr 1</v>
      </c>
      <c r="G1765" s="3" t="str">
        <f>TEXT(Table1[[#This Row],[Date]],"mmmm")</f>
        <v>February</v>
      </c>
      <c r="H1765" s="3" t="s">
        <v>1084</v>
      </c>
      <c r="I1765" s="3" t="s">
        <v>18</v>
      </c>
      <c r="J1765" s="3">
        <v>5</v>
      </c>
      <c r="K1765" s="3">
        <v>40553.35</v>
      </c>
      <c r="L1765" s="3">
        <f>Table1[[#This Row],[Price Per Unit]]*Table1[[#This Row],[Units Sold]]</f>
        <v>202766.75</v>
      </c>
      <c r="M1765" s="3" t="s">
        <v>563</v>
      </c>
      <c r="N1765" s="3">
        <v>33</v>
      </c>
      <c r="O1765" s="3" t="s">
        <v>20</v>
      </c>
      <c r="P1765" s="3" t="s">
        <v>45</v>
      </c>
      <c r="Q1765" s="4">
        <v>5</v>
      </c>
      <c r="R1765" s="4" t="str">
        <f>IF(Table1[[#This Row],[Customer Ratings]]&gt;=4, "Good",IF(Table1[[#This Row],[Customer Ratings]]=3, "Average","Poor"))</f>
        <v>Good</v>
      </c>
      <c r="S1765" s="3" t="s">
        <v>22</v>
      </c>
    </row>
    <row r="1766" spans="1:19" x14ac:dyDescent="0.25">
      <c r="A1766" s="3">
        <v>1765</v>
      </c>
      <c r="B1766" s="5">
        <f>DATE(Table1[[#This Row],[Year]],Table1[[#This Row],[Month]],Table1[[#This Row],[Day]])</f>
        <v>44980</v>
      </c>
      <c r="C1766" s="3">
        <v>23</v>
      </c>
      <c r="D1766" s="3">
        <v>2</v>
      </c>
      <c r="E1766" s="3">
        <v>2023</v>
      </c>
      <c r="F1766" s="3" t="str">
        <f>"Qtr"&amp; " " &amp;CHOOSE(MONTH(Table1[[#This Row],[Date]]),1,1,1,2,2,2,3,3,3,4,4,4)</f>
        <v>Qtr 1</v>
      </c>
      <c r="G1766" s="3" t="str">
        <f>TEXT(Table1[[#This Row],[Date]],"mmmm")</f>
        <v>February</v>
      </c>
      <c r="H1766" s="3" t="s">
        <v>1084</v>
      </c>
      <c r="I1766" s="3" t="s">
        <v>28</v>
      </c>
      <c r="J1766" s="3">
        <v>3</v>
      </c>
      <c r="K1766" s="3">
        <v>47653.36</v>
      </c>
      <c r="L1766" s="3">
        <f>Table1[[#This Row],[Price Per Unit]]*Table1[[#This Row],[Units Sold]]</f>
        <v>142960.08000000002</v>
      </c>
      <c r="M1766" s="3" t="s">
        <v>454</v>
      </c>
      <c r="N1766" s="3">
        <v>47</v>
      </c>
      <c r="O1766" s="3" t="s">
        <v>24</v>
      </c>
      <c r="P1766" s="3" t="s">
        <v>21</v>
      </c>
      <c r="Q1766" s="4">
        <v>1</v>
      </c>
      <c r="R1766" s="4" t="str">
        <f>IF(Table1[[#This Row],[Customer Ratings]]&gt;=4, "Good",IF(Table1[[#This Row],[Customer Ratings]]=3, "Average","Poor"))</f>
        <v>Poor</v>
      </c>
      <c r="S1766" s="3" t="s">
        <v>87</v>
      </c>
    </row>
    <row r="1767" spans="1:19" x14ac:dyDescent="0.25">
      <c r="A1767" s="3">
        <v>1766</v>
      </c>
      <c r="B1767" s="5">
        <f>DATE(Table1[[#This Row],[Year]],Table1[[#This Row],[Month]],Table1[[#This Row],[Day]])</f>
        <v>44981</v>
      </c>
      <c r="C1767" s="3">
        <v>24</v>
      </c>
      <c r="D1767" s="3">
        <v>2</v>
      </c>
      <c r="E1767" s="3">
        <v>2023</v>
      </c>
      <c r="F1767" s="3" t="str">
        <f>"Qtr"&amp; " " &amp;CHOOSE(MONTH(Table1[[#This Row],[Date]]),1,1,1,2,2,2,3,3,3,4,4,4)</f>
        <v>Qtr 1</v>
      </c>
      <c r="G1767" s="3" t="str">
        <f>TEXT(Table1[[#This Row],[Date]],"mmmm")</f>
        <v>February</v>
      </c>
      <c r="H1767" s="3" t="s">
        <v>1085</v>
      </c>
      <c r="I1767" s="3" t="s">
        <v>18</v>
      </c>
      <c r="J1767" s="3">
        <v>6</v>
      </c>
      <c r="K1767" s="3">
        <v>31383.19</v>
      </c>
      <c r="L1767" s="3">
        <f>Table1[[#This Row],[Price Per Unit]]*Table1[[#This Row],[Units Sold]]</f>
        <v>188299.13999999998</v>
      </c>
      <c r="M1767" s="3" t="s">
        <v>93</v>
      </c>
      <c r="N1767" s="3">
        <v>33</v>
      </c>
      <c r="O1767" s="3" t="s">
        <v>35</v>
      </c>
      <c r="P1767" s="3" t="s">
        <v>16</v>
      </c>
      <c r="Q1767" s="4">
        <v>5</v>
      </c>
      <c r="R1767" s="4" t="str">
        <f>IF(Table1[[#This Row],[Customer Ratings]]&gt;=4, "Good",IF(Table1[[#This Row],[Customer Ratings]]=3, "Average","Poor"))</f>
        <v>Good</v>
      </c>
      <c r="S1767" s="3" t="s">
        <v>22</v>
      </c>
    </row>
    <row r="1768" spans="1:19" x14ac:dyDescent="0.25">
      <c r="A1768" s="3">
        <v>1767</v>
      </c>
      <c r="B1768" s="5">
        <f>DATE(Table1[[#This Row],[Year]],Table1[[#This Row],[Month]],Table1[[#This Row],[Day]])</f>
        <v>44981</v>
      </c>
      <c r="C1768" s="3">
        <v>24</v>
      </c>
      <c r="D1768" s="3">
        <v>2</v>
      </c>
      <c r="E1768" s="3">
        <v>2023</v>
      </c>
      <c r="F1768" s="3" t="str">
        <f>"Qtr"&amp; " " &amp;CHOOSE(MONTH(Table1[[#This Row],[Date]]),1,1,1,2,2,2,3,3,3,4,4,4)</f>
        <v>Qtr 1</v>
      </c>
      <c r="G1768" s="3" t="str">
        <f>TEXT(Table1[[#This Row],[Date]],"mmmm")</f>
        <v>February</v>
      </c>
      <c r="H1768" s="3" t="s">
        <v>1085</v>
      </c>
      <c r="I1768" s="3" t="s">
        <v>18</v>
      </c>
      <c r="J1768" s="3">
        <v>3</v>
      </c>
      <c r="K1768" s="3">
        <v>29409.27</v>
      </c>
      <c r="L1768" s="3">
        <f>Table1[[#This Row],[Price Per Unit]]*Table1[[#This Row],[Units Sold]]</f>
        <v>88227.81</v>
      </c>
      <c r="M1768" s="3" t="s">
        <v>286</v>
      </c>
      <c r="N1768" s="3">
        <v>55</v>
      </c>
      <c r="O1768" s="3" t="s">
        <v>24</v>
      </c>
      <c r="P1768" s="3" t="s">
        <v>31</v>
      </c>
      <c r="Q1768" s="4">
        <v>3</v>
      </c>
      <c r="R1768" s="4" t="str">
        <f>IF(Table1[[#This Row],[Customer Ratings]]&gt;=4, "Good",IF(Table1[[#This Row],[Customer Ratings]]=3, "Average","Poor"))</f>
        <v>Average</v>
      </c>
      <c r="S1768" s="3" t="s">
        <v>25</v>
      </c>
    </row>
    <row r="1769" spans="1:19" x14ac:dyDescent="0.25">
      <c r="A1769" s="3">
        <v>1768</v>
      </c>
      <c r="B1769" s="5">
        <f>DATE(Table1[[#This Row],[Year]],Table1[[#This Row],[Month]],Table1[[#This Row],[Day]])</f>
        <v>44981</v>
      </c>
      <c r="C1769" s="3">
        <v>24</v>
      </c>
      <c r="D1769" s="3">
        <v>2</v>
      </c>
      <c r="E1769" s="3">
        <v>2023</v>
      </c>
      <c r="F1769" s="3" t="str">
        <f>"Qtr"&amp; " " &amp;CHOOSE(MONTH(Table1[[#This Row],[Date]]),1,1,1,2,2,2,3,3,3,4,4,4)</f>
        <v>Qtr 1</v>
      </c>
      <c r="G1769" s="3" t="str">
        <f>TEXT(Table1[[#This Row],[Date]],"mmmm")</f>
        <v>February</v>
      </c>
      <c r="H1769" s="3" t="s">
        <v>1085</v>
      </c>
      <c r="I1769" s="3" t="s">
        <v>33</v>
      </c>
      <c r="J1769" s="3">
        <v>6</v>
      </c>
      <c r="K1769" s="3">
        <v>11388.81</v>
      </c>
      <c r="L1769" s="3">
        <f>Table1[[#This Row],[Price Per Unit]]*Table1[[#This Row],[Units Sold]]</f>
        <v>68332.86</v>
      </c>
      <c r="M1769" s="3" t="s">
        <v>472</v>
      </c>
      <c r="N1769" s="3">
        <v>41</v>
      </c>
      <c r="O1769" s="3" t="s">
        <v>20</v>
      </c>
      <c r="P1769" s="3" t="s">
        <v>31</v>
      </c>
      <c r="Q1769" s="4">
        <v>4</v>
      </c>
      <c r="R1769" s="4" t="str">
        <f>IF(Table1[[#This Row],[Customer Ratings]]&gt;=4, "Good",IF(Table1[[#This Row],[Customer Ratings]]=3, "Average","Poor"))</f>
        <v>Good</v>
      </c>
      <c r="S1769" s="3" t="s">
        <v>83</v>
      </c>
    </row>
    <row r="1770" spans="1:19" x14ac:dyDescent="0.25">
      <c r="A1770" s="3">
        <v>1769</v>
      </c>
      <c r="B1770" s="5">
        <f>DATE(Table1[[#This Row],[Year]],Table1[[#This Row],[Month]],Table1[[#This Row],[Day]])</f>
        <v>44981</v>
      </c>
      <c r="C1770" s="3">
        <v>24</v>
      </c>
      <c r="D1770" s="3">
        <v>2</v>
      </c>
      <c r="E1770" s="3">
        <v>2023</v>
      </c>
      <c r="F1770" s="3" t="str">
        <f>"Qtr"&amp; " " &amp;CHOOSE(MONTH(Table1[[#This Row],[Date]]),1,1,1,2,2,2,3,3,3,4,4,4)</f>
        <v>Qtr 1</v>
      </c>
      <c r="G1770" s="3" t="str">
        <f>TEXT(Table1[[#This Row],[Date]],"mmmm")</f>
        <v>February</v>
      </c>
      <c r="H1770" s="3" t="s">
        <v>1085</v>
      </c>
      <c r="I1770" s="3" t="s">
        <v>28</v>
      </c>
      <c r="J1770" s="3">
        <v>4</v>
      </c>
      <c r="K1770" s="3">
        <v>40020.019999999997</v>
      </c>
      <c r="L1770" s="3">
        <f>Table1[[#This Row],[Price Per Unit]]*Table1[[#This Row],[Units Sold]]</f>
        <v>160080.07999999999</v>
      </c>
      <c r="M1770" s="3" t="s">
        <v>324</v>
      </c>
      <c r="N1770" s="3">
        <v>53</v>
      </c>
      <c r="O1770" s="3" t="s">
        <v>20</v>
      </c>
      <c r="P1770" s="3" t="s">
        <v>31</v>
      </c>
      <c r="Q1770" s="4">
        <v>4</v>
      </c>
      <c r="R1770" s="4" t="str">
        <f>IF(Table1[[#This Row],[Customer Ratings]]&gt;=4, "Good",IF(Table1[[#This Row],[Customer Ratings]]=3, "Average","Poor"))</f>
        <v>Good</v>
      </c>
      <c r="S1770" s="3" t="s">
        <v>87</v>
      </c>
    </row>
    <row r="1771" spans="1:19" x14ac:dyDescent="0.25">
      <c r="A1771" s="3">
        <v>1770</v>
      </c>
      <c r="B1771" s="5">
        <f>DATE(Table1[[#This Row],[Year]],Table1[[#This Row],[Month]],Table1[[#This Row],[Day]])</f>
        <v>44982</v>
      </c>
      <c r="C1771" s="3">
        <v>25</v>
      </c>
      <c r="D1771" s="3">
        <v>2</v>
      </c>
      <c r="E1771" s="3">
        <v>2023</v>
      </c>
      <c r="F1771" s="3" t="str">
        <f>"Qtr"&amp; " " &amp;CHOOSE(MONTH(Table1[[#This Row],[Date]]),1,1,1,2,2,2,3,3,3,4,4,4)</f>
        <v>Qtr 1</v>
      </c>
      <c r="G1771" s="3" t="str">
        <f>TEXT(Table1[[#This Row],[Date]],"mmmm")</f>
        <v>February</v>
      </c>
      <c r="H1771" s="3" t="s">
        <v>1079</v>
      </c>
      <c r="I1771" s="3" t="s">
        <v>39</v>
      </c>
      <c r="J1771" s="3">
        <v>2</v>
      </c>
      <c r="K1771" s="3">
        <v>39016.54</v>
      </c>
      <c r="L1771" s="3">
        <f>Table1[[#This Row],[Price Per Unit]]*Table1[[#This Row],[Units Sold]]</f>
        <v>78033.08</v>
      </c>
      <c r="M1771" s="3" t="s">
        <v>532</v>
      </c>
      <c r="N1771" s="3">
        <v>52</v>
      </c>
      <c r="O1771" s="3" t="s">
        <v>20</v>
      </c>
      <c r="P1771" s="3" t="s">
        <v>16</v>
      </c>
      <c r="Q1771" s="4">
        <v>5</v>
      </c>
      <c r="R1771" s="4" t="str">
        <f>IF(Table1[[#This Row],[Customer Ratings]]&gt;=4, "Good",IF(Table1[[#This Row],[Customer Ratings]]=3, "Average","Poor"))</f>
        <v>Good</v>
      </c>
      <c r="S1771" s="3" t="s">
        <v>76</v>
      </c>
    </row>
    <row r="1772" spans="1:19" x14ac:dyDescent="0.25">
      <c r="A1772" s="3">
        <v>1771</v>
      </c>
      <c r="B1772" s="5">
        <f>DATE(Table1[[#This Row],[Year]],Table1[[#This Row],[Month]],Table1[[#This Row],[Day]])</f>
        <v>44982</v>
      </c>
      <c r="C1772" s="3">
        <v>25</v>
      </c>
      <c r="D1772" s="3">
        <v>2</v>
      </c>
      <c r="E1772" s="3">
        <v>2023</v>
      </c>
      <c r="F1772" s="3" t="str">
        <f>"Qtr"&amp; " " &amp;CHOOSE(MONTH(Table1[[#This Row],[Date]]),1,1,1,2,2,2,3,3,3,4,4,4)</f>
        <v>Qtr 1</v>
      </c>
      <c r="G1772" s="3" t="str">
        <f>TEXT(Table1[[#This Row],[Date]],"mmmm")</f>
        <v>February</v>
      </c>
      <c r="H1772" s="3" t="s">
        <v>1079</v>
      </c>
      <c r="I1772" s="3" t="s">
        <v>33</v>
      </c>
      <c r="J1772" s="3">
        <v>8</v>
      </c>
      <c r="K1772" s="3">
        <v>19469.84</v>
      </c>
      <c r="L1772" s="3">
        <f>Table1[[#This Row],[Price Per Unit]]*Table1[[#This Row],[Units Sold]]</f>
        <v>155758.72</v>
      </c>
      <c r="M1772" s="3" t="s">
        <v>404</v>
      </c>
      <c r="N1772" s="3">
        <v>23</v>
      </c>
      <c r="O1772" s="3" t="s">
        <v>102</v>
      </c>
      <c r="P1772" s="3" t="s">
        <v>45</v>
      </c>
      <c r="Q1772" s="4">
        <v>3</v>
      </c>
      <c r="R1772" s="4" t="str">
        <f>IF(Table1[[#This Row],[Customer Ratings]]&gt;=4, "Good",IF(Table1[[#This Row],[Customer Ratings]]=3, "Average","Poor"))</f>
        <v>Average</v>
      </c>
      <c r="S1772" s="3" t="s">
        <v>36</v>
      </c>
    </row>
    <row r="1773" spans="1:19" x14ac:dyDescent="0.25">
      <c r="A1773" s="3">
        <v>1772</v>
      </c>
      <c r="B1773" s="5">
        <f>DATE(Table1[[#This Row],[Year]],Table1[[#This Row],[Month]],Table1[[#This Row],[Day]])</f>
        <v>44982</v>
      </c>
      <c r="C1773" s="3">
        <v>25</v>
      </c>
      <c r="D1773" s="3">
        <v>2</v>
      </c>
      <c r="E1773" s="3">
        <v>2023</v>
      </c>
      <c r="F1773" s="3" t="str">
        <f>"Qtr"&amp; " " &amp;CHOOSE(MONTH(Table1[[#This Row],[Date]]),1,1,1,2,2,2,3,3,3,4,4,4)</f>
        <v>Qtr 1</v>
      </c>
      <c r="G1773" s="3" t="str">
        <f>TEXT(Table1[[#This Row],[Date]],"mmmm")</f>
        <v>February</v>
      </c>
      <c r="H1773" s="3" t="s">
        <v>1079</v>
      </c>
      <c r="I1773" s="3" t="s">
        <v>33</v>
      </c>
      <c r="J1773" s="3">
        <v>4</v>
      </c>
      <c r="K1773" s="3">
        <v>55859.44</v>
      </c>
      <c r="L1773" s="3">
        <f>Table1[[#This Row],[Price Per Unit]]*Table1[[#This Row],[Units Sold]]</f>
        <v>223437.76</v>
      </c>
      <c r="M1773" s="3" t="s">
        <v>208</v>
      </c>
      <c r="N1773" s="3">
        <v>21</v>
      </c>
      <c r="O1773" s="3" t="s">
        <v>24</v>
      </c>
      <c r="P1773" s="3" t="s">
        <v>16</v>
      </c>
      <c r="Q1773" s="4">
        <v>5</v>
      </c>
      <c r="R1773" s="4" t="str">
        <f>IF(Table1[[#This Row],[Customer Ratings]]&gt;=4, "Good",IF(Table1[[#This Row],[Customer Ratings]]=3, "Average","Poor"))</f>
        <v>Good</v>
      </c>
      <c r="S1773" s="3" t="s">
        <v>83</v>
      </c>
    </row>
    <row r="1774" spans="1:19" x14ac:dyDescent="0.25">
      <c r="A1774" s="3">
        <v>1773</v>
      </c>
      <c r="B1774" s="5">
        <f>DATE(Table1[[#This Row],[Year]],Table1[[#This Row],[Month]],Table1[[#This Row],[Day]])</f>
        <v>44983</v>
      </c>
      <c r="C1774" s="3">
        <v>26</v>
      </c>
      <c r="D1774" s="3">
        <v>2</v>
      </c>
      <c r="E1774" s="3">
        <v>2023</v>
      </c>
      <c r="F1774" s="3" t="str">
        <f>"Qtr"&amp; " " &amp;CHOOSE(MONTH(Table1[[#This Row],[Date]]),1,1,1,2,2,2,3,3,3,4,4,4)</f>
        <v>Qtr 1</v>
      </c>
      <c r="G1774" s="3" t="str">
        <f>TEXT(Table1[[#This Row],[Date]],"mmmm")</f>
        <v>February</v>
      </c>
      <c r="H1774" s="3" t="s">
        <v>1080</v>
      </c>
      <c r="I1774" s="3" t="s">
        <v>28</v>
      </c>
      <c r="J1774" s="3">
        <v>9</v>
      </c>
      <c r="K1774" s="3">
        <v>39560.46</v>
      </c>
      <c r="L1774" s="3">
        <f>Table1[[#This Row],[Price Per Unit]]*Table1[[#This Row],[Units Sold]]</f>
        <v>356044.14</v>
      </c>
      <c r="M1774" s="3" t="s">
        <v>267</v>
      </c>
      <c r="N1774" s="3">
        <v>35</v>
      </c>
      <c r="O1774" s="3" t="s">
        <v>78</v>
      </c>
      <c r="P1774" s="3" t="s">
        <v>31</v>
      </c>
      <c r="Q1774" s="4">
        <v>3</v>
      </c>
      <c r="R1774" s="4" t="str">
        <f>IF(Table1[[#This Row],[Customer Ratings]]&gt;=4, "Good",IF(Table1[[#This Row],[Customer Ratings]]=3, "Average","Poor"))</f>
        <v>Average</v>
      </c>
      <c r="S1774" s="3" t="s">
        <v>87</v>
      </c>
    </row>
    <row r="1775" spans="1:19" x14ac:dyDescent="0.25">
      <c r="A1775" s="3">
        <v>1774</v>
      </c>
      <c r="B1775" s="5">
        <f>DATE(Table1[[#This Row],[Year]],Table1[[#This Row],[Month]],Table1[[#This Row],[Day]])</f>
        <v>44983</v>
      </c>
      <c r="C1775" s="3">
        <v>26</v>
      </c>
      <c r="D1775" s="3">
        <v>2</v>
      </c>
      <c r="E1775" s="3">
        <v>2023</v>
      </c>
      <c r="F1775" s="3" t="str">
        <f>"Qtr"&amp; " " &amp;CHOOSE(MONTH(Table1[[#This Row],[Date]]),1,1,1,2,2,2,3,3,3,4,4,4)</f>
        <v>Qtr 1</v>
      </c>
      <c r="G1775" s="3" t="str">
        <f>TEXT(Table1[[#This Row],[Date]],"mmmm")</f>
        <v>February</v>
      </c>
      <c r="H1775" s="3" t="s">
        <v>1080</v>
      </c>
      <c r="I1775" s="3" t="s">
        <v>28</v>
      </c>
      <c r="J1775" s="3">
        <v>7</v>
      </c>
      <c r="K1775" s="3">
        <v>30339.64</v>
      </c>
      <c r="L1775" s="3">
        <f>Table1[[#This Row],[Price Per Unit]]*Table1[[#This Row],[Units Sold]]</f>
        <v>212377.47999999998</v>
      </c>
      <c r="M1775" s="3" t="s">
        <v>907</v>
      </c>
      <c r="N1775" s="3">
        <v>23</v>
      </c>
      <c r="O1775" s="3" t="s">
        <v>105</v>
      </c>
      <c r="P1775" s="3" t="s">
        <v>45</v>
      </c>
      <c r="Q1775" s="4">
        <v>5</v>
      </c>
      <c r="R1775" s="4" t="str">
        <f>IF(Table1[[#This Row],[Customer Ratings]]&gt;=4, "Good",IF(Table1[[#This Row],[Customer Ratings]]=3, "Average","Poor"))</f>
        <v>Good</v>
      </c>
      <c r="S1775" s="3" t="s">
        <v>87</v>
      </c>
    </row>
    <row r="1776" spans="1:19" x14ac:dyDescent="0.25">
      <c r="A1776" s="3">
        <v>1775</v>
      </c>
      <c r="B1776" s="5">
        <f>DATE(Table1[[#This Row],[Year]],Table1[[#This Row],[Month]],Table1[[#This Row],[Day]])</f>
        <v>44983</v>
      </c>
      <c r="C1776" s="3">
        <v>26</v>
      </c>
      <c r="D1776" s="3">
        <v>2</v>
      </c>
      <c r="E1776" s="3">
        <v>2023</v>
      </c>
      <c r="F1776" s="3" t="str">
        <f>"Qtr"&amp; " " &amp;CHOOSE(MONTH(Table1[[#This Row],[Date]]),1,1,1,2,2,2,3,3,3,4,4,4)</f>
        <v>Qtr 1</v>
      </c>
      <c r="G1776" s="3" t="str">
        <f>TEXT(Table1[[#This Row],[Date]],"mmmm")</f>
        <v>February</v>
      </c>
      <c r="H1776" s="3" t="s">
        <v>1080</v>
      </c>
      <c r="I1776" s="3" t="s">
        <v>18</v>
      </c>
      <c r="J1776" s="3">
        <v>2</v>
      </c>
      <c r="K1776" s="3">
        <v>18814.53</v>
      </c>
      <c r="L1776" s="3">
        <f>Table1[[#This Row],[Price Per Unit]]*Table1[[#This Row],[Units Sold]]</f>
        <v>37629.06</v>
      </c>
      <c r="M1776" s="3" t="s">
        <v>44</v>
      </c>
      <c r="N1776" s="3">
        <v>43</v>
      </c>
      <c r="O1776" s="3" t="s">
        <v>15</v>
      </c>
      <c r="P1776" s="3" t="s">
        <v>31</v>
      </c>
      <c r="Q1776" s="4">
        <v>3</v>
      </c>
      <c r="R1776" s="4" t="str">
        <f>IF(Table1[[#This Row],[Customer Ratings]]&gt;=4, "Good",IF(Table1[[#This Row],[Customer Ratings]]=3, "Average","Poor"))</f>
        <v>Average</v>
      </c>
      <c r="S1776" s="3" t="s">
        <v>22</v>
      </c>
    </row>
    <row r="1777" spans="1:19" x14ac:dyDescent="0.25">
      <c r="A1777" s="3">
        <v>1776</v>
      </c>
      <c r="B1777" s="5">
        <f>DATE(Table1[[#This Row],[Year]],Table1[[#This Row],[Month]],Table1[[#This Row],[Day]])</f>
        <v>44984</v>
      </c>
      <c r="C1777" s="3">
        <v>27</v>
      </c>
      <c r="D1777" s="3">
        <v>2</v>
      </c>
      <c r="E1777" s="3">
        <v>2023</v>
      </c>
      <c r="F1777" s="3" t="str">
        <f>"Qtr"&amp; " " &amp;CHOOSE(MONTH(Table1[[#This Row],[Date]]),1,1,1,2,2,2,3,3,3,4,4,4)</f>
        <v>Qtr 1</v>
      </c>
      <c r="G1777" s="3" t="str">
        <f>TEXT(Table1[[#This Row],[Date]],"mmmm")</f>
        <v>February</v>
      </c>
      <c r="H1777" s="3" t="s">
        <v>1081</v>
      </c>
      <c r="I1777" s="3" t="s">
        <v>28</v>
      </c>
      <c r="J1777" s="3">
        <v>4</v>
      </c>
      <c r="K1777" s="3">
        <v>43129.65</v>
      </c>
      <c r="L1777" s="3">
        <f>Table1[[#This Row],[Price Per Unit]]*Table1[[#This Row],[Units Sold]]</f>
        <v>172518.6</v>
      </c>
      <c r="M1777" s="3" t="s">
        <v>908</v>
      </c>
      <c r="N1777" s="3">
        <v>54</v>
      </c>
      <c r="O1777" s="3" t="s">
        <v>24</v>
      </c>
      <c r="P1777" s="3" t="s">
        <v>31</v>
      </c>
      <c r="Q1777" s="4">
        <v>4</v>
      </c>
      <c r="R1777" s="4" t="str">
        <f>IF(Table1[[#This Row],[Customer Ratings]]&gt;=4, "Good",IF(Table1[[#This Row],[Customer Ratings]]=3, "Average","Poor"))</f>
        <v>Good</v>
      </c>
      <c r="S1777" s="3" t="s">
        <v>32</v>
      </c>
    </row>
    <row r="1778" spans="1:19" x14ac:dyDescent="0.25">
      <c r="A1778" s="3">
        <v>1777</v>
      </c>
      <c r="B1778" s="5">
        <f>DATE(Table1[[#This Row],[Year]],Table1[[#This Row],[Month]],Table1[[#This Row],[Day]])</f>
        <v>44984</v>
      </c>
      <c r="C1778" s="3">
        <v>27</v>
      </c>
      <c r="D1778" s="3">
        <v>2</v>
      </c>
      <c r="E1778" s="3">
        <v>2023</v>
      </c>
      <c r="F1778" s="3" t="str">
        <f>"Qtr"&amp; " " &amp;CHOOSE(MONTH(Table1[[#This Row],[Date]]),1,1,1,2,2,2,3,3,3,4,4,4)</f>
        <v>Qtr 1</v>
      </c>
      <c r="G1778" s="3" t="str">
        <f>TEXT(Table1[[#This Row],[Date]],"mmmm")</f>
        <v>February</v>
      </c>
      <c r="H1778" s="3" t="s">
        <v>1081</v>
      </c>
      <c r="I1778" s="3" t="s">
        <v>18</v>
      </c>
      <c r="J1778" s="3">
        <v>5</v>
      </c>
      <c r="K1778" s="3">
        <v>55169.02</v>
      </c>
      <c r="L1778" s="3">
        <f>Table1[[#This Row],[Price Per Unit]]*Table1[[#This Row],[Units Sold]]</f>
        <v>275845.09999999998</v>
      </c>
      <c r="M1778" s="3" t="s">
        <v>500</v>
      </c>
      <c r="N1778" s="3">
        <v>44</v>
      </c>
      <c r="O1778" s="3" t="s">
        <v>65</v>
      </c>
      <c r="P1778" s="3" t="s">
        <v>16</v>
      </c>
      <c r="Q1778" s="4">
        <v>5</v>
      </c>
      <c r="R1778" s="4" t="str">
        <f>IF(Table1[[#This Row],[Customer Ratings]]&gt;=4, "Good",IF(Table1[[#This Row],[Customer Ratings]]=3, "Average","Poor"))</f>
        <v>Good</v>
      </c>
      <c r="S1778" s="3" t="s">
        <v>55</v>
      </c>
    </row>
    <row r="1779" spans="1:19" x14ac:dyDescent="0.25">
      <c r="A1779" s="3">
        <v>1778</v>
      </c>
      <c r="B1779" s="5">
        <f>DATE(Table1[[#This Row],[Year]],Table1[[#This Row],[Month]],Table1[[#This Row],[Day]])</f>
        <v>44984</v>
      </c>
      <c r="C1779" s="3">
        <v>27</v>
      </c>
      <c r="D1779" s="3">
        <v>2</v>
      </c>
      <c r="E1779" s="3">
        <v>2023</v>
      </c>
      <c r="F1779" s="3" t="str">
        <f>"Qtr"&amp; " " &amp;CHOOSE(MONTH(Table1[[#This Row],[Date]]),1,1,1,2,2,2,3,3,3,4,4,4)</f>
        <v>Qtr 1</v>
      </c>
      <c r="G1779" s="3" t="str">
        <f>TEXT(Table1[[#This Row],[Date]],"mmmm")</f>
        <v>February</v>
      </c>
      <c r="H1779" s="3" t="s">
        <v>1081</v>
      </c>
      <c r="I1779" s="3" t="s">
        <v>33</v>
      </c>
      <c r="J1779" s="3">
        <v>3</v>
      </c>
      <c r="K1779" s="3">
        <v>26919.96</v>
      </c>
      <c r="L1779" s="3">
        <f>Table1[[#This Row],[Price Per Unit]]*Table1[[#This Row],[Units Sold]]</f>
        <v>80759.88</v>
      </c>
      <c r="M1779" s="3" t="s">
        <v>100</v>
      </c>
      <c r="N1779" s="3">
        <v>58</v>
      </c>
      <c r="O1779" s="3" t="s">
        <v>20</v>
      </c>
      <c r="P1779" s="3" t="s">
        <v>16</v>
      </c>
      <c r="Q1779" s="4">
        <v>5</v>
      </c>
      <c r="R1779" s="4" t="str">
        <f>IF(Table1[[#This Row],[Customer Ratings]]&gt;=4, "Good",IF(Table1[[#This Row],[Customer Ratings]]=3, "Average","Poor"))</f>
        <v>Good</v>
      </c>
      <c r="S1779" s="3" t="s">
        <v>46</v>
      </c>
    </row>
    <row r="1780" spans="1:19" x14ac:dyDescent="0.25">
      <c r="A1780" s="3">
        <v>1779</v>
      </c>
      <c r="B1780" s="5">
        <f>DATE(Table1[[#This Row],[Year]],Table1[[#This Row],[Month]],Table1[[#This Row],[Day]])</f>
        <v>44984</v>
      </c>
      <c r="C1780" s="3">
        <v>27</v>
      </c>
      <c r="D1780" s="3">
        <v>2</v>
      </c>
      <c r="E1780" s="3">
        <v>2023</v>
      </c>
      <c r="F1780" s="3" t="str">
        <f>"Qtr"&amp; " " &amp;CHOOSE(MONTH(Table1[[#This Row],[Date]]),1,1,1,2,2,2,3,3,3,4,4,4)</f>
        <v>Qtr 1</v>
      </c>
      <c r="G1780" s="3" t="str">
        <f>TEXT(Table1[[#This Row],[Date]],"mmmm")</f>
        <v>February</v>
      </c>
      <c r="H1780" s="3" t="s">
        <v>1081</v>
      </c>
      <c r="I1780" s="3" t="s">
        <v>13</v>
      </c>
      <c r="J1780" s="3">
        <v>9</v>
      </c>
      <c r="K1780" s="3">
        <v>23127.66</v>
      </c>
      <c r="L1780" s="3">
        <f>Table1[[#This Row],[Price Per Unit]]*Table1[[#This Row],[Units Sold]]</f>
        <v>208148.94</v>
      </c>
      <c r="M1780" s="3" t="s">
        <v>894</v>
      </c>
      <c r="N1780" s="3">
        <v>28</v>
      </c>
      <c r="O1780" s="3" t="s">
        <v>20</v>
      </c>
      <c r="P1780" s="3" t="s">
        <v>21</v>
      </c>
      <c r="Q1780" s="4">
        <v>5</v>
      </c>
      <c r="R1780" s="4" t="str">
        <f>IF(Table1[[#This Row],[Customer Ratings]]&gt;=4, "Good",IF(Table1[[#This Row],[Customer Ratings]]=3, "Average","Poor"))</f>
        <v>Good</v>
      </c>
      <c r="S1780" s="3" t="s">
        <v>27</v>
      </c>
    </row>
    <row r="1781" spans="1:19" x14ac:dyDescent="0.25">
      <c r="A1781" s="3">
        <v>1780</v>
      </c>
      <c r="B1781" s="5">
        <f>DATE(Table1[[#This Row],[Year]],Table1[[#This Row],[Month]],Table1[[#This Row],[Day]])</f>
        <v>44985</v>
      </c>
      <c r="C1781" s="3">
        <v>28</v>
      </c>
      <c r="D1781" s="3">
        <v>2</v>
      </c>
      <c r="E1781" s="3">
        <v>2023</v>
      </c>
      <c r="F1781" s="3" t="str">
        <f>"Qtr"&amp; " " &amp;CHOOSE(MONTH(Table1[[#This Row],[Date]]),1,1,1,2,2,2,3,3,3,4,4,4)</f>
        <v>Qtr 1</v>
      </c>
      <c r="G1781" s="3" t="str">
        <f>TEXT(Table1[[#This Row],[Date]],"mmmm")</f>
        <v>February</v>
      </c>
      <c r="H1781" s="3" t="s">
        <v>1082</v>
      </c>
      <c r="I1781" s="3" t="s">
        <v>39</v>
      </c>
      <c r="J1781" s="3">
        <v>5</v>
      </c>
      <c r="K1781" s="3">
        <v>41316.1</v>
      </c>
      <c r="L1781" s="3">
        <f>Table1[[#This Row],[Price Per Unit]]*Table1[[#This Row],[Units Sold]]</f>
        <v>206580.5</v>
      </c>
      <c r="M1781" s="3" t="s">
        <v>909</v>
      </c>
      <c r="N1781" s="3">
        <v>55</v>
      </c>
      <c r="O1781" s="3" t="s">
        <v>98</v>
      </c>
      <c r="P1781" s="3" t="s">
        <v>31</v>
      </c>
      <c r="Q1781" s="4">
        <v>1</v>
      </c>
      <c r="R1781" s="4" t="str">
        <f>IF(Table1[[#This Row],[Customer Ratings]]&gt;=4, "Good",IF(Table1[[#This Row],[Customer Ratings]]=3, "Average","Poor"))</f>
        <v>Poor</v>
      </c>
      <c r="S1781" s="3" t="s">
        <v>90</v>
      </c>
    </row>
    <row r="1782" spans="1:19" x14ac:dyDescent="0.25">
      <c r="A1782" s="3">
        <v>1781</v>
      </c>
      <c r="B1782" s="5">
        <f>DATE(Table1[[#This Row],[Year]],Table1[[#This Row],[Month]],Table1[[#This Row],[Day]])</f>
        <v>44985</v>
      </c>
      <c r="C1782" s="3">
        <v>28</v>
      </c>
      <c r="D1782" s="3">
        <v>2</v>
      </c>
      <c r="E1782" s="3">
        <v>2023</v>
      </c>
      <c r="F1782" s="3" t="str">
        <f>"Qtr"&amp; " " &amp;CHOOSE(MONTH(Table1[[#This Row],[Date]]),1,1,1,2,2,2,3,3,3,4,4,4)</f>
        <v>Qtr 1</v>
      </c>
      <c r="G1782" s="3" t="str">
        <f>TEXT(Table1[[#This Row],[Date]],"mmmm")</f>
        <v>February</v>
      </c>
      <c r="H1782" s="3" t="s">
        <v>1082</v>
      </c>
      <c r="I1782" s="3" t="s">
        <v>33</v>
      </c>
      <c r="J1782" s="3">
        <v>2</v>
      </c>
      <c r="K1782" s="3">
        <v>19320.599999999999</v>
      </c>
      <c r="L1782" s="3">
        <f>Table1[[#This Row],[Price Per Unit]]*Table1[[#This Row],[Units Sold]]</f>
        <v>38641.199999999997</v>
      </c>
      <c r="M1782" s="3" t="s">
        <v>234</v>
      </c>
      <c r="N1782" s="3">
        <v>33</v>
      </c>
      <c r="O1782" s="3" t="s">
        <v>41</v>
      </c>
      <c r="P1782" s="3" t="s">
        <v>45</v>
      </c>
      <c r="Q1782" s="4">
        <v>5</v>
      </c>
      <c r="R1782" s="4" t="str">
        <f>IF(Table1[[#This Row],[Customer Ratings]]&gt;=4, "Good",IF(Table1[[#This Row],[Customer Ratings]]=3, "Average","Poor"))</f>
        <v>Good</v>
      </c>
      <c r="S1782" s="3" t="s">
        <v>36</v>
      </c>
    </row>
    <row r="1783" spans="1:19" x14ac:dyDescent="0.25">
      <c r="A1783" s="3">
        <v>1782</v>
      </c>
      <c r="B1783" s="5">
        <f>DATE(Table1[[#This Row],[Year]],Table1[[#This Row],[Month]],Table1[[#This Row],[Day]])</f>
        <v>44985</v>
      </c>
      <c r="C1783" s="3">
        <v>28</v>
      </c>
      <c r="D1783" s="3">
        <v>2</v>
      </c>
      <c r="E1783" s="3">
        <v>2023</v>
      </c>
      <c r="F1783" s="3" t="str">
        <f>"Qtr"&amp; " " &amp;CHOOSE(MONTH(Table1[[#This Row],[Date]]),1,1,1,2,2,2,3,3,3,4,4,4)</f>
        <v>Qtr 1</v>
      </c>
      <c r="G1783" s="3" t="str">
        <f>TEXT(Table1[[#This Row],[Date]],"mmmm")</f>
        <v>February</v>
      </c>
      <c r="H1783" s="3" t="s">
        <v>1082</v>
      </c>
      <c r="I1783" s="3" t="s">
        <v>28</v>
      </c>
      <c r="J1783" s="3">
        <v>3</v>
      </c>
      <c r="K1783" s="3">
        <v>49996.800000000003</v>
      </c>
      <c r="L1783" s="3">
        <f>Table1[[#This Row],[Price Per Unit]]*Table1[[#This Row],[Units Sold]]</f>
        <v>149990.40000000002</v>
      </c>
      <c r="M1783" s="3" t="s">
        <v>848</v>
      </c>
      <c r="N1783" s="3">
        <v>36</v>
      </c>
      <c r="O1783" s="3" t="s">
        <v>102</v>
      </c>
      <c r="P1783" s="3" t="s">
        <v>31</v>
      </c>
      <c r="Q1783" s="4">
        <v>5</v>
      </c>
      <c r="R1783" s="4" t="str">
        <f>IF(Table1[[#This Row],[Customer Ratings]]&gt;=4, "Good",IF(Table1[[#This Row],[Customer Ratings]]=3, "Average","Poor"))</f>
        <v>Good</v>
      </c>
      <c r="S1783" s="3" t="s">
        <v>87</v>
      </c>
    </row>
    <row r="1784" spans="1:19" x14ac:dyDescent="0.25">
      <c r="A1784" s="3">
        <v>1783</v>
      </c>
      <c r="B1784" s="5">
        <f>DATE(Table1[[#This Row],[Year]],Table1[[#This Row],[Month]],Table1[[#This Row],[Day]])</f>
        <v>44986</v>
      </c>
      <c r="C1784" s="3">
        <v>1</v>
      </c>
      <c r="D1784" s="3">
        <v>3</v>
      </c>
      <c r="E1784" s="3">
        <v>2023</v>
      </c>
      <c r="F1784" s="3" t="str">
        <f>"Qtr"&amp; " " &amp;CHOOSE(MONTH(Table1[[#This Row],[Date]]),1,1,1,2,2,2,3,3,3,4,4,4)</f>
        <v>Qtr 1</v>
      </c>
      <c r="G1784" s="3" t="str">
        <f>TEXT(Table1[[#This Row],[Date]],"mmmm")</f>
        <v>March</v>
      </c>
      <c r="H1784" s="3" t="s">
        <v>1083</v>
      </c>
      <c r="I1784" s="3" t="s">
        <v>39</v>
      </c>
      <c r="J1784" s="3">
        <v>9</v>
      </c>
      <c r="K1784" s="3">
        <v>46320.62</v>
      </c>
      <c r="L1784" s="3">
        <f>Table1[[#This Row],[Price Per Unit]]*Table1[[#This Row],[Units Sold]]</f>
        <v>416885.58</v>
      </c>
      <c r="M1784" s="3" t="s">
        <v>60</v>
      </c>
      <c r="N1784" s="3">
        <v>32</v>
      </c>
      <c r="O1784" s="3" t="s">
        <v>20</v>
      </c>
      <c r="P1784" s="3" t="s">
        <v>45</v>
      </c>
      <c r="Q1784" s="4">
        <v>3</v>
      </c>
      <c r="R1784" s="4" t="str">
        <f>IF(Table1[[#This Row],[Customer Ratings]]&gt;=4, "Good",IF(Table1[[#This Row],[Customer Ratings]]=3, "Average","Poor"))</f>
        <v>Average</v>
      </c>
      <c r="S1784" s="3" t="s">
        <v>42</v>
      </c>
    </row>
    <row r="1785" spans="1:19" x14ac:dyDescent="0.25">
      <c r="A1785" s="3">
        <v>1784</v>
      </c>
      <c r="B1785" s="5">
        <f>DATE(Table1[[#This Row],[Year]],Table1[[#This Row],[Month]],Table1[[#This Row],[Day]])</f>
        <v>44986</v>
      </c>
      <c r="C1785" s="3">
        <v>1</v>
      </c>
      <c r="D1785" s="3">
        <v>3</v>
      </c>
      <c r="E1785" s="3">
        <v>2023</v>
      </c>
      <c r="F1785" s="3" t="str">
        <f>"Qtr"&amp; " " &amp;CHOOSE(MONTH(Table1[[#This Row],[Date]]),1,1,1,2,2,2,3,3,3,4,4,4)</f>
        <v>Qtr 1</v>
      </c>
      <c r="G1785" s="3" t="str">
        <f>TEXT(Table1[[#This Row],[Date]],"mmmm")</f>
        <v>March</v>
      </c>
      <c r="H1785" s="3" t="s">
        <v>1083</v>
      </c>
      <c r="I1785" s="3" t="s">
        <v>13</v>
      </c>
      <c r="J1785" s="3">
        <v>7</v>
      </c>
      <c r="K1785" s="3">
        <v>15224.92</v>
      </c>
      <c r="L1785" s="3">
        <f>Table1[[#This Row],[Price Per Unit]]*Table1[[#This Row],[Units Sold]]</f>
        <v>106574.44</v>
      </c>
      <c r="M1785" s="3" t="s">
        <v>804</v>
      </c>
      <c r="N1785" s="3">
        <v>43</v>
      </c>
      <c r="O1785" s="3" t="s">
        <v>65</v>
      </c>
      <c r="P1785" s="3" t="s">
        <v>21</v>
      </c>
      <c r="Q1785" s="4">
        <v>3</v>
      </c>
      <c r="R1785" s="4" t="str">
        <f>IF(Table1[[#This Row],[Customer Ratings]]&gt;=4, "Good",IF(Table1[[#This Row],[Customer Ratings]]=3, "Average","Poor"))</f>
        <v>Average</v>
      </c>
      <c r="S1785" s="3" t="s">
        <v>17</v>
      </c>
    </row>
    <row r="1786" spans="1:19" x14ac:dyDescent="0.25">
      <c r="A1786" s="3">
        <v>1785</v>
      </c>
      <c r="B1786" s="5">
        <f>DATE(Table1[[#This Row],[Year]],Table1[[#This Row],[Month]],Table1[[#This Row],[Day]])</f>
        <v>44986</v>
      </c>
      <c r="C1786" s="3">
        <v>1</v>
      </c>
      <c r="D1786" s="3">
        <v>3</v>
      </c>
      <c r="E1786" s="3">
        <v>2023</v>
      </c>
      <c r="F1786" s="3" t="str">
        <f>"Qtr"&amp; " " &amp;CHOOSE(MONTH(Table1[[#This Row],[Date]]),1,1,1,2,2,2,3,3,3,4,4,4)</f>
        <v>Qtr 1</v>
      </c>
      <c r="G1786" s="3" t="str">
        <f>TEXT(Table1[[#This Row],[Date]],"mmmm")</f>
        <v>March</v>
      </c>
      <c r="H1786" s="3" t="s">
        <v>1083</v>
      </c>
      <c r="I1786" s="3" t="s">
        <v>13</v>
      </c>
      <c r="J1786" s="3">
        <v>2</v>
      </c>
      <c r="K1786" s="3">
        <v>12191.22</v>
      </c>
      <c r="L1786" s="3">
        <f>Table1[[#This Row],[Price Per Unit]]*Table1[[#This Row],[Units Sold]]</f>
        <v>24382.44</v>
      </c>
      <c r="M1786" s="3" t="s">
        <v>122</v>
      </c>
      <c r="N1786" s="3">
        <v>58</v>
      </c>
      <c r="O1786" s="3" t="s">
        <v>24</v>
      </c>
      <c r="P1786" s="3" t="s">
        <v>31</v>
      </c>
      <c r="Q1786" s="4">
        <v>3</v>
      </c>
      <c r="R1786" s="4" t="str">
        <f>IF(Table1[[#This Row],[Customer Ratings]]&gt;=4, "Good",IF(Table1[[#This Row],[Customer Ratings]]=3, "Average","Poor"))</f>
        <v>Average</v>
      </c>
      <c r="S1786" s="3" t="s">
        <v>27</v>
      </c>
    </row>
    <row r="1787" spans="1:19" x14ac:dyDescent="0.25">
      <c r="A1787" s="3">
        <v>1786</v>
      </c>
      <c r="B1787" s="5">
        <f>DATE(Table1[[#This Row],[Year]],Table1[[#This Row],[Month]],Table1[[#This Row],[Day]])</f>
        <v>44986</v>
      </c>
      <c r="C1787" s="3">
        <v>1</v>
      </c>
      <c r="D1787" s="3">
        <v>3</v>
      </c>
      <c r="E1787" s="3">
        <v>2023</v>
      </c>
      <c r="F1787" s="3" t="str">
        <f>"Qtr"&amp; " " &amp;CHOOSE(MONTH(Table1[[#This Row],[Date]]),1,1,1,2,2,2,3,3,3,4,4,4)</f>
        <v>Qtr 1</v>
      </c>
      <c r="G1787" s="3" t="str">
        <f>TEXT(Table1[[#This Row],[Date]],"mmmm")</f>
        <v>March</v>
      </c>
      <c r="H1787" s="3" t="s">
        <v>1083</v>
      </c>
      <c r="I1787" s="3" t="s">
        <v>18</v>
      </c>
      <c r="J1787" s="3">
        <v>9</v>
      </c>
      <c r="K1787" s="3">
        <v>47217.32</v>
      </c>
      <c r="L1787" s="3">
        <f>Table1[[#This Row],[Price Per Unit]]*Table1[[#This Row],[Units Sold]]</f>
        <v>424955.88</v>
      </c>
      <c r="M1787" s="3" t="s">
        <v>454</v>
      </c>
      <c r="N1787" s="3">
        <v>48</v>
      </c>
      <c r="O1787" s="3" t="s">
        <v>20</v>
      </c>
      <c r="P1787" s="3" t="s">
        <v>45</v>
      </c>
      <c r="Q1787" s="4">
        <v>3</v>
      </c>
      <c r="R1787" s="4" t="str">
        <f>IF(Table1[[#This Row],[Customer Ratings]]&gt;=4, "Good",IF(Table1[[#This Row],[Customer Ratings]]=3, "Average","Poor"))</f>
        <v>Average</v>
      </c>
      <c r="S1787" s="3" t="s">
        <v>22</v>
      </c>
    </row>
    <row r="1788" spans="1:19" x14ac:dyDescent="0.25">
      <c r="A1788" s="3">
        <v>1787</v>
      </c>
      <c r="B1788" s="5">
        <f>DATE(Table1[[#This Row],[Year]],Table1[[#This Row],[Month]],Table1[[#This Row],[Day]])</f>
        <v>44987</v>
      </c>
      <c r="C1788" s="3">
        <v>2</v>
      </c>
      <c r="D1788" s="3">
        <v>3</v>
      </c>
      <c r="E1788" s="3">
        <v>2023</v>
      </c>
      <c r="F1788" s="3" t="str">
        <f>"Qtr"&amp; " " &amp;CHOOSE(MONTH(Table1[[#This Row],[Date]]),1,1,1,2,2,2,3,3,3,4,4,4)</f>
        <v>Qtr 1</v>
      </c>
      <c r="G1788" s="3" t="str">
        <f>TEXT(Table1[[#This Row],[Date]],"mmmm")</f>
        <v>March</v>
      </c>
      <c r="H1788" s="3" t="s">
        <v>1084</v>
      </c>
      <c r="I1788" s="3" t="s">
        <v>39</v>
      </c>
      <c r="J1788" s="3">
        <v>4</v>
      </c>
      <c r="K1788" s="3">
        <v>27657.63</v>
      </c>
      <c r="L1788" s="3">
        <f>Table1[[#This Row],[Price Per Unit]]*Table1[[#This Row],[Units Sold]]</f>
        <v>110630.52</v>
      </c>
      <c r="M1788" s="3" t="s">
        <v>214</v>
      </c>
      <c r="N1788" s="3">
        <v>36</v>
      </c>
      <c r="O1788" s="3" t="s">
        <v>20</v>
      </c>
      <c r="P1788" s="3" t="s">
        <v>45</v>
      </c>
      <c r="Q1788" s="4">
        <v>5</v>
      </c>
      <c r="R1788" s="4" t="str">
        <f>IF(Table1[[#This Row],[Customer Ratings]]&gt;=4, "Good",IF(Table1[[#This Row],[Customer Ratings]]=3, "Average","Poor"))</f>
        <v>Good</v>
      </c>
      <c r="S1788" s="3" t="s">
        <v>90</v>
      </c>
    </row>
    <row r="1789" spans="1:19" x14ac:dyDescent="0.25">
      <c r="A1789" s="3">
        <v>1788</v>
      </c>
      <c r="B1789" s="5">
        <f>DATE(Table1[[#This Row],[Year]],Table1[[#This Row],[Month]],Table1[[#This Row],[Day]])</f>
        <v>44987</v>
      </c>
      <c r="C1789" s="3">
        <v>2</v>
      </c>
      <c r="D1789" s="3">
        <v>3</v>
      </c>
      <c r="E1789" s="3">
        <v>2023</v>
      </c>
      <c r="F1789" s="3" t="str">
        <f>"Qtr"&amp; " " &amp;CHOOSE(MONTH(Table1[[#This Row],[Date]]),1,1,1,2,2,2,3,3,3,4,4,4)</f>
        <v>Qtr 1</v>
      </c>
      <c r="G1789" s="3" t="str">
        <f>TEXT(Table1[[#This Row],[Date]],"mmmm")</f>
        <v>March</v>
      </c>
      <c r="H1789" s="3" t="s">
        <v>1084</v>
      </c>
      <c r="I1789" s="3" t="s">
        <v>18</v>
      </c>
      <c r="J1789" s="3">
        <v>9</v>
      </c>
      <c r="K1789" s="3">
        <v>15186.75</v>
      </c>
      <c r="L1789" s="3">
        <f>Table1[[#This Row],[Price Per Unit]]*Table1[[#This Row],[Units Sold]]</f>
        <v>136680.75</v>
      </c>
      <c r="M1789" s="3" t="s">
        <v>910</v>
      </c>
      <c r="N1789" s="3">
        <v>41</v>
      </c>
      <c r="O1789" s="3" t="s">
        <v>20</v>
      </c>
      <c r="P1789" s="3" t="s">
        <v>21</v>
      </c>
      <c r="Q1789" s="4">
        <v>4</v>
      </c>
      <c r="R1789" s="4" t="str">
        <f>IF(Table1[[#This Row],[Customer Ratings]]&gt;=4, "Good",IF(Table1[[#This Row],[Customer Ratings]]=3, "Average","Poor"))</f>
        <v>Good</v>
      </c>
      <c r="S1789" s="3" t="s">
        <v>22</v>
      </c>
    </row>
    <row r="1790" spans="1:19" x14ac:dyDescent="0.25">
      <c r="A1790" s="3">
        <v>1789</v>
      </c>
      <c r="B1790" s="5">
        <f>DATE(Table1[[#This Row],[Year]],Table1[[#This Row],[Month]],Table1[[#This Row],[Day]])</f>
        <v>44987</v>
      </c>
      <c r="C1790" s="3">
        <v>2</v>
      </c>
      <c r="D1790" s="3">
        <v>3</v>
      </c>
      <c r="E1790" s="3">
        <v>2023</v>
      </c>
      <c r="F1790" s="3" t="str">
        <f>"Qtr"&amp; " " &amp;CHOOSE(MONTH(Table1[[#This Row],[Date]]),1,1,1,2,2,2,3,3,3,4,4,4)</f>
        <v>Qtr 1</v>
      </c>
      <c r="G1790" s="3" t="str">
        <f>TEXT(Table1[[#This Row],[Date]],"mmmm")</f>
        <v>March</v>
      </c>
      <c r="H1790" s="3" t="s">
        <v>1084</v>
      </c>
      <c r="I1790" s="3" t="s">
        <v>33</v>
      </c>
      <c r="J1790" s="3">
        <v>2</v>
      </c>
      <c r="K1790" s="3">
        <v>55565.72</v>
      </c>
      <c r="L1790" s="3">
        <f>Table1[[#This Row],[Price Per Unit]]*Table1[[#This Row],[Units Sold]]</f>
        <v>111131.44</v>
      </c>
      <c r="M1790" s="3" t="s">
        <v>344</v>
      </c>
      <c r="N1790" s="3">
        <v>26</v>
      </c>
      <c r="O1790" s="3" t="s">
        <v>15</v>
      </c>
      <c r="P1790" s="3" t="s">
        <v>16</v>
      </c>
      <c r="Q1790" s="4">
        <v>5</v>
      </c>
      <c r="R1790" s="4" t="str">
        <f>IF(Table1[[#This Row],[Customer Ratings]]&gt;=4, "Good",IF(Table1[[#This Row],[Customer Ratings]]=3, "Average","Poor"))</f>
        <v>Good</v>
      </c>
      <c r="S1790" s="3" t="s">
        <v>46</v>
      </c>
    </row>
    <row r="1791" spans="1:19" x14ac:dyDescent="0.25">
      <c r="A1791" s="3">
        <v>1790</v>
      </c>
      <c r="B1791" s="5">
        <f>DATE(Table1[[#This Row],[Year]],Table1[[#This Row],[Month]],Table1[[#This Row],[Day]])</f>
        <v>44987</v>
      </c>
      <c r="C1791" s="3">
        <v>2</v>
      </c>
      <c r="D1791" s="3">
        <v>3</v>
      </c>
      <c r="E1791" s="3">
        <v>2023</v>
      </c>
      <c r="F1791" s="3" t="str">
        <f>"Qtr"&amp; " " &amp;CHOOSE(MONTH(Table1[[#This Row],[Date]]),1,1,1,2,2,2,3,3,3,4,4,4)</f>
        <v>Qtr 1</v>
      </c>
      <c r="G1791" s="3" t="str">
        <f>TEXT(Table1[[#This Row],[Date]],"mmmm")</f>
        <v>March</v>
      </c>
      <c r="H1791" s="3" t="s">
        <v>1084</v>
      </c>
      <c r="I1791" s="3" t="s">
        <v>39</v>
      </c>
      <c r="J1791" s="3">
        <v>4</v>
      </c>
      <c r="K1791" s="3">
        <v>28842.639999999999</v>
      </c>
      <c r="L1791" s="3">
        <f>Table1[[#This Row],[Price Per Unit]]*Table1[[#This Row],[Units Sold]]</f>
        <v>115370.56</v>
      </c>
      <c r="M1791" s="3" t="s">
        <v>446</v>
      </c>
      <c r="N1791" s="3">
        <v>40</v>
      </c>
      <c r="O1791" s="3" t="s">
        <v>20</v>
      </c>
      <c r="P1791" s="3" t="s">
        <v>21</v>
      </c>
      <c r="Q1791" s="4">
        <v>3</v>
      </c>
      <c r="R1791" s="4" t="str">
        <f>IF(Table1[[#This Row],[Customer Ratings]]&gt;=4, "Good",IF(Table1[[#This Row],[Customer Ratings]]=3, "Average","Poor"))</f>
        <v>Average</v>
      </c>
      <c r="S1791" s="3" t="s">
        <v>76</v>
      </c>
    </row>
    <row r="1792" spans="1:19" x14ac:dyDescent="0.25">
      <c r="A1792" s="3">
        <v>1791</v>
      </c>
      <c r="B1792" s="5">
        <f>DATE(Table1[[#This Row],[Year]],Table1[[#This Row],[Month]],Table1[[#This Row],[Day]])</f>
        <v>44988</v>
      </c>
      <c r="C1792" s="3">
        <v>3</v>
      </c>
      <c r="D1792" s="3">
        <v>3</v>
      </c>
      <c r="E1792" s="3">
        <v>2023</v>
      </c>
      <c r="F1792" s="3" t="str">
        <f>"Qtr"&amp; " " &amp;CHOOSE(MONTH(Table1[[#This Row],[Date]]),1,1,1,2,2,2,3,3,3,4,4,4)</f>
        <v>Qtr 1</v>
      </c>
      <c r="G1792" s="3" t="str">
        <f>TEXT(Table1[[#This Row],[Date]],"mmmm")</f>
        <v>March</v>
      </c>
      <c r="H1792" s="3" t="s">
        <v>1085</v>
      </c>
      <c r="I1792" s="3" t="s">
        <v>33</v>
      </c>
      <c r="J1792" s="3">
        <v>5</v>
      </c>
      <c r="K1792" s="3">
        <v>37575.97</v>
      </c>
      <c r="L1792" s="3">
        <f>Table1[[#This Row],[Price Per Unit]]*Table1[[#This Row],[Units Sold]]</f>
        <v>187879.85</v>
      </c>
      <c r="M1792" s="3" t="s">
        <v>771</v>
      </c>
      <c r="N1792" s="3">
        <v>21</v>
      </c>
      <c r="O1792" s="3" t="s">
        <v>102</v>
      </c>
      <c r="P1792" s="3" t="s">
        <v>45</v>
      </c>
      <c r="Q1792" s="4">
        <v>5</v>
      </c>
      <c r="R1792" s="4" t="str">
        <f>IF(Table1[[#This Row],[Customer Ratings]]&gt;=4, "Good",IF(Table1[[#This Row],[Customer Ratings]]=3, "Average","Poor"))</f>
        <v>Good</v>
      </c>
      <c r="S1792" s="3" t="s">
        <v>36</v>
      </c>
    </row>
    <row r="1793" spans="1:19" x14ac:dyDescent="0.25">
      <c r="A1793" s="3">
        <v>1792</v>
      </c>
      <c r="B1793" s="5">
        <f>DATE(Table1[[#This Row],[Year]],Table1[[#This Row],[Month]],Table1[[#This Row],[Day]])</f>
        <v>44988</v>
      </c>
      <c r="C1793" s="3">
        <v>3</v>
      </c>
      <c r="D1793" s="3">
        <v>3</v>
      </c>
      <c r="E1793" s="3">
        <v>2023</v>
      </c>
      <c r="F1793" s="3" t="str">
        <f>"Qtr"&amp; " " &amp;CHOOSE(MONTH(Table1[[#This Row],[Date]]),1,1,1,2,2,2,3,3,3,4,4,4)</f>
        <v>Qtr 1</v>
      </c>
      <c r="G1793" s="3" t="str">
        <f>TEXT(Table1[[#This Row],[Date]],"mmmm")</f>
        <v>March</v>
      </c>
      <c r="H1793" s="3" t="s">
        <v>1085</v>
      </c>
      <c r="I1793" s="3" t="s">
        <v>18</v>
      </c>
      <c r="J1793" s="3">
        <v>2</v>
      </c>
      <c r="K1793" s="3">
        <v>24208.78</v>
      </c>
      <c r="L1793" s="3">
        <f>Table1[[#This Row],[Price Per Unit]]*Table1[[#This Row],[Units Sold]]</f>
        <v>48417.56</v>
      </c>
      <c r="M1793" s="3" t="s">
        <v>218</v>
      </c>
      <c r="N1793" s="3">
        <v>27</v>
      </c>
      <c r="O1793" s="3" t="s">
        <v>102</v>
      </c>
      <c r="P1793" s="3" t="s">
        <v>21</v>
      </c>
      <c r="Q1793" s="4">
        <v>5</v>
      </c>
      <c r="R1793" s="4" t="str">
        <f>IF(Table1[[#This Row],[Customer Ratings]]&gt;=4, "Good",IF(Table1[[#This Row],[Customer Ratings]]=3, "Average","Poor"))</f>
        <v>Good</v>
      </c>
      <c r="S1793" s="3" t="s">
        <v>22</v>
      </c>
    </row>
    <row r="1794" spans="1:19" x14ac:dyDescent="0.25">
      <c r="A1794" s="3">
        <v>1793</v>
      </c>
      <c r="B1794" s="5">
        <f>DATE(Table1[[#This Row],[Year]],Table1[[#This Row],[Month]],Table1[[#This Row],[Day]])</f>
        <v>44988</v>
      </c>
      <c r="C1794" s="3">
        <v>3</v>
      </c>
      <c r="D1794" s="3">
        <v>3</v>
      </c>
      <c r="E1794" s="3">
        <v>2023</v>
      </c>
      <c r="F1794" s="3" t="str">
        <f>"Qtr"&amp; " " &amp;CHOOSE(MONTH(Table1[[#This Row],[Date]]),1,1,1,2,2,2,3,3,3,4,4,4)</f>
        <v>Qtr 1</v>
      </c>
      <c r="G1794" s="3" t="str">
        <f>TEXT(Table1[[#This Row],[Date]],"mmmm")</f>
        <v>March</v>
      </c>
      <c r="H1794" s="3" t="s">
        <v>1085</v>
      </c>
      <c r="I1794" s="3" t="s">
        <v>39</v>
      </c>
      <c r="J1794" s="3">
        <v>1</v>
      </c>
      <c r="K1794" s="3">
        <v>47639.02</v>
      </c>
      <c r="L1794" s="3">
        <f>Table1[[#This Row],[Price Per Unit]]*Table1[[#This Row],[Units Sold]]</f>
        <v>47639.02</v>
      </c>
      <c r="M1794" s="3" t="s">
        <v>512</v>
      </c>
      <c r="N1794" s="3">
        <v>26</v>
      </c>
      <c r="O1794" s="3" t="s">
        <v>20</v>
      </c>
      <c r="P1794" s="3" t="s">
        <v>16</v>
      </c>
      <c r="Q1794" s="4">
        <v>3</v>
      </c>
      <c r="R1794" s="4" t="str">
        <f>IF(Table1[[#This Row],[Customer Ratings]]&gt;=4, "Good",IF(Table1[[#This Row],[Customer Ratings]]=3, "Average","Poor"))</f>
        <v>Average</v>
      </c>
      <c r="S1794" s="3" t="s">
        <v>90</v>
      </c>
    </row>
    <row r="1795" spans="1:19" x14ac:dyDescent="0.25">
      <c r="A1795" s="3">
        <v>1794</v>
      </c>
      <c r="B1795" s="5">
        <f>DATE(Table1[[#This Row],[Year]],Table1[[#This Row],[Month]],Table1[[#This Row],[Day]])</f>
        <v>44989</v>
      </c>
      <c r="C1795" s="3">
        <v>4</v>
      </c>
      <c r="D1795" s="3">
        <v>3</v>
      </c>
      <c r="E1795" s="3">
        <v>2023</v>
      </c>
      <c r="F1795" s="3" t="str">
        <f>"Qtr"&amp; " " &amp;CHOOSE(MONTH(Table1[[#This Row],[Date]]),1,1,1,2,2,2,3,3,3,4,4,4)</f>
        <v>Qtr 1</v>
      </c>
      <c r="G1795" s="3" t="str">
        <f>TEXT(Table1[[#This Row],[Date]],"mmmm")</f>
        <v>March</v>
      </c>
      <c r="H1795" s="3" t="s">
        <v>1079</v>
      </c>
      <c r="I1795" s="3" t="s">
        <v>18</v>
      </c>
      <c r="J1795" s="3">
        <v>7</v>
      </c>
      <c r="K1795" s="3">
        <v>28089.3</v>
      </c>
      <c r="L1795" s="3">
        <f>Table1[[#This Row],[Price Per Unit]]*Table1[[#This Row],[Units Sold]]</f>
        <v>196625.1</v>
      </c>
      <c r="M1795" s="3" t="s">
        <v>23</v>
      </c>
      <c r="N1795" s="3">
        <v>36</v>
      </c>
      <c r="O1795" s="3" t="s">
        <v>98</v>
      </c>
      <c r="P1795" s="3" t="s">
        <v>31</v>
      </c>
      <c r="Q1795" s="4">
        <v>1</v>
      </c>
      <c r="R1795" s="4" t="str">
        <f>IF(Table1[[#This Row],[Customer Ratings]]&gt;=4, "Good",IF(Table1[[#This Row],[Customer Ratings]]=3, "Average","Poor"))</f>
        <v>Poor</v>
      </c>
      <c r="S1795" s="3" t="s">
        <v>25</v>
      </c>
    </row>
    <row r="1796" spans="1:19" x14ac:dyDescent="0.25">
      <c r="A1796" s="3">
        <v>1795</v>
      </c>
      <c r="B1796" s="5">
        <f>DATE(Table1[[#This Row],[Year]],Table1[[#This Row],[Month]],Table1[[#This Row],[Day]])</f>
        <v>44989</v>
      </c>
      <c r="C1796" s="3">
        <v>4</v>
      </c>
      <c r="D1796" s="3">
        <v>3</v>
      </c>
      <c r="E1796" s="3">
        <v>2023</v>
      </c>
      <c r="F1796" s="3" t="str">
        <f>"Qtr"&amp; " " &amp;CHOOSE(MONTH(Table1[[#This Row],[Date]]),1,1,1,2,2,2,3,3,3,4,4,4)</f>
        <v>Qtr 1</v>
      </c>
      <c r="G1796" s="3" t="str">
        <f>TEXT(Table1[[#This Row],[Date]],"mmmm")</f>
        <v>March</v>
      </c>
      <c r="H1796" s="3" t="s">
        <v>1079</v>
      </c>
      <c r="I1796" s="3" t="s">
        <v>39</v>
      </c>
      <c r="J1796" s="3">
        <v>1</v>
      </c>
      <c r="K1796" s="3">
        <v>68081.259999999995</v>
      </c>
      <c r="L1796" s="3">
        <f>Table1[[#This Row],[Price Per Unit]]*Table1[[#This Row],[Units Sold]]</f>
        <v>68081.259999999995</v>
      </c>
      <c r="M1796" s="3" t="s">
        <v>344</v>
      </c>
      <c r="N1796" s="3">
        <v>32</v>
      </c>
      <c r="O1796" s="3" t="s">
        <v>48</v>
      </c>
      <c r="P1796" s="3" t="s">
        <v>21</v>
      </c>
      <c r="Q1796" s="4">
        <v>5</v>
      </c>
      <c r="R1796" s="4" t="str">
        <f>IF(Table1[[#This Row],[Customer Ratings]]&gt;=4, "Good",IF(Table1[[#This Row],[Customer Ratings]]=3, "Average","Poor"))</f>
        <v>Good</v>
      </c>
      <c r="S1796" s="3" t="s">
        <v>42</v>
      </c>
    </row>
    <row r="1797" spans="1:19" x14ac:dyDescent="0.25">
      <c r="A1797" s="3">
        <v>1796</v>
      </c>
      <c r="B1797" s="5">
        <f>DATE(Table1[[#This Row],[Year]],Table1[[#This Row],[Month]],Table1[[#This Row],[Day]])</f>
        <v>44989</v>
      </c>
      <c r="C1797" s="3">
        <v>4</v>
      </c>
      <c r="D1797" s="3">
        <v>3</v>
      </c>
      <c r="E1797" s="3">
        <v>2023</v>
      </c>
      <c r="F1797" s="3" t="str">
        <f>"Qtr"&amp; " " &amp;CHOOSE(MONTH(Table1[[#This Row],[Date]]),1,1,1,2,2,2,3,3,3,4,4,4)</f>
        <v>Qtr 1</v>
      </c>
      <c r="G1797" s="3" t="str">
        <f>TEXT(Table1[[#This Row],[Date]],"mmmm")</f>
        <v>March</v>
      </c>
      <c r="H1797" s="3" t="s">
        <v>1079</v>
      </c>
      <c r="I1797" s="3" t="s">
        <v>18</v>
      </c>
      <c r="J1797" s="3">
        <v>8</v>
      </c>
      <c r="K1797" s="3">
        <v>52176.85</v>
      </c>
      <c r="L1797" s="3">
        <f>Table1[[#This Row],[Price Per Unit]]*Table1[[#This Row],[Units Sold]]</f>
        <v>417414.8</v>
      </c>
      <c r="M1797" s="3" t="s">
        <v>739</v>
      </c>
      <c r="N1797" s="3">
        <v>51</v>
      </c>
      <c r="O1797" s="3" t="s">
        <v>20</v>
      </c>
      <c r="P1797" s="3" t="s">
        <v>21</v>
      </c>
      <c r="Q1797" s="4">
        <v>5</v>
      </c>
      <c r="R1797" s="4" t="str">
        <f>IF(Table1[[#This Row],[Customer Ratings]]&gt;=4, "Good",IF(Table1[[#This Row],[Customer Ratings]]=3, "Average","Poor"))</f>
        <v>Good</v>
      </c>
      <c r="S1797" s="3" t="s">
        <v>25</v>
      </c>
    </row>
    <row r="1798" spans="1:19" x14ac:dyDescent="0.25">
      <c r="A1798" s="3">
        <v>1797</v>
      </c>
      <c r="B1798" s="5">
        <f>DATE(Table1[[#This Row],[Year]],Table1[[#This Row],[Month]],Table1[[#This Row],[Day]])</f>
        <v>44989</v>
      </c>
      <c r="C1798" s="3">
        <v>4</v>
      </c>
      <c r="D1798" s="3">
        <v>3</v>
      </c>
      <c r="E1798" s="3">
        <v>2023</v>
      </c>
      <c r="F1798" s="3" t="str">
        <f>"Qtr"&amp; " " &amp;CHOOSE(MONTH(Table1[[#This Row],[Date]]),1,1,1,2,2,2,3,3,3,4,4,4)</f>
        <v>Qtr 1</v>
      </c>
      <c r="G1798" s="3" t="str">
        <f>TEXT(Table1[[#This Row],[Date]],"mmmm")</f>
        <v>March</v>
      </c>
      <c r="H1798" s="3" t="s">
        <v>1079</v>
      </c>
      <c r="I1798" s="3" t="s">
        <v>13</v>
      </c>
      <c r="J1798" s="3">
        <v>3</v>
      </c>
      <c r="K1798" s="3">
        <v>18203.34</v>
      </c>
      <c r="L1798" s="3">
        <f>Table1[[#This Row],[Price Per Unit]]*Table1[[#This Row],[Units Sold]]</f>
        <v>54610.020000000004</v>
      </c>
      <c r="M1798" s="3" t="s">
        <v>911</v>
      </c>
      <c r="N1798" s="3">
        <v>59</v>
      </c>
      <c r="O1798" s="3" t="s">
        <v>30</v>
      </c>
      <c r="P1798" s="3" t="s">
        <v>31</v>
      </c>
      <c r="Q1798" s="4">
        <v>5</v>
      </c>
      <c r="R1798" s="4" t="str">
        <f>IF(Table1[[#This Row],[Customer Ratings]]&gt;=4, "Good",IF(Table1[[#This Row],[Customer Ratings]]=3, "Average","Poor"))</f>
        <v>Good</v>
      </c>
      <c r="S1798" s="3" t="s">
        <v>72</v>
      </c>
    </row>
    <row r="1799" spans="1:19" x14ac:dyDescent="0.25">
      <c r="A1799" s="3">
        <v>1798</v>
      </c>
      <c r="B1799" s="5">
        <f>DATE(Table1[[#This Row],[Year]],Table1[[#This Row],[Month]],Table1[[#This Row],[Day]])</f>
        <v>44990</v>
      </c>
      <c r="C1799" s="3">
        <v>5</v>
      </c>
      <c r="D1799" s="3">
        <v>3</v>
      </c>
      <c r="E1799" s="3">
        <v>2023</v>
      </c>
      <c r="F1799" s="3" t="str">
        <f>"Qtr"&amp; " " &amp;CHOOSE(MONTH(Table1[[#This Row],[Date]]),1,1,1,2,2,2,3,3,3,4,4,4)</f>
        <v>Qtr 1</v>
      </c>
      <c r="G1799" s="3" t="str">
        <f>TEXT(Table1[[#This Row],[Date]],"mmmm")</f>
        <v>March</v>
      </c>
      <c r="H1799" s="3" t="s">
        <v>1080</v>
      </c>
      <c r="I1799" s="3" t="s">
        <v>18</v>
      </c>
      <c r="J1799" s="3">
        <v>6</v>
      </c>
      <c r="K1799" s="3">
        <v>35001.69</v>
      </c>
      <c r="L1799" s="3">
        <f>Table1[[#This Row],[Price Per Unit]]*Table1[[#This Row],[Units Sold]]</f>
        <v>210010.14</v>
      </c>
      <c r="M1799" s="3" t="s">
        <v>630</v>
      </c>
      <c r="N1799" s="3">
        <v>36</v>
      </c>
      <c r="O1799" s="3" t="s">
        <v>24</v>
      </c>
      <c r="P1799" s="3" t="s">
        <v>21</v>
      </c>
      <c r="Q1799" s="4">
        <v>1</v>
      </c>
      <c r="R1799" s="4" t="str">
        <f>IF(Table1[[#This Row],[Customer Ratings]]&gt;=4, "Good",IF(Table1[[#This Row],[Customer Ratings]]=3, "Average","Poor"))</f>
        <v>Poor</v>
      </c>
      <c r="S1799" s="3" t="s">
        <v>22</v>
      </c>
    </row>
    <row r="1800" spans="1:19" x14ac:dyDescent="0.25">
      <c r="A1800" s="3">
        <v>1799</v>
      </c>
      <c r="B1800" s="5">
        <f>DATE(Table1[[#This Row],[Year]],Table1[[#This Row],[Month]],Table1[[#This Row],[Day]])</f>
        <v>44990</v>
      </c>
      <c r="C1800" s="3">
        <v>5</v>
      </c>
      <c r="D1800" s="3">
        <v>3</v>
      </c>
      <c r="E1800" s="3">
        <v>2023</v>
      </c>
      <c r="F1800" s="3" t="str">
        <f>"Qtr"&amp; " " &amp;CHOOSE(MONTH(Table1[[#This Row],[Date]]),1,1,1,2,2,2,3,3,3,4,4,4)</f>
        <v>Qtr 1</v>
      </c>
      <c r="G1800" s="3" t="str">
        <f>TEXT(Table1[[#This Row],[Date]],"mmmm")</f>
        <v>March</v>
      </c>
      <c r="H1800" s="3" t="s">
        <v>1080</v>
      </c>
      <c r="I1800" s="3" t="s">
        <v>13</v>
      </c>
      <c r="J1800" s="3">
        <v>7</v>
      </c>
      <c r="K1800" s="3">
        <v>33125.269999999997</v>
      </c>
      <c r="L1800" s="3">
        <f>Table1[[#This Row],[Price Per Unit]]*Table1[[#This Row],[Units Sold]]</f>
        <v>231876.88999999998</v>
      </c>
      <c r="M1800" s="3" t="s">
        <v>912</v>
      </c>
      <c r="N1800" s="3">
        <v>38</v>
      </c>
      <c r="O1800" s="3" t="s">
        <v>24</v>
      </c>
      <c r="P1800" s="3" t="s">
        <v>16</v>
      </c>
      <c r="Q1800" s="4">
        <v>5</v>
      </c>
      <c r="R1800" s="4" t="str">
        <f>IF(Table1[[#This Row],[Customer Ratings]]&gt;=4, "Good",IF(Table1[[#This Row],[Customer Ratings]]=3, "Average","Poor"))</f>
        <v>Good</v>
      </c>
      <c r="S1800" s="3" t="s">
        <v>27</v>
      </c>
    </row>
    <row r="1801" spans="1:19" x14ac:dyDescent="0.25">
      <c r="A1801" s="3">
        <v>1800</v>
      </c>
      <c r="B1801" s="5">
        <f>DATE(Table1[[#This Row],[Year]],Table1[[#This Row],[Month]],Table1[[#This Row],[Day]])</f>
        <v>44990</v>
      </c>
      <c r="C1801" s="3">
        <v>5</v>
      </c>
      <c r="D1801" s="3">
        <v>3</v>
      </c>
      <c r="E1801" s="3">
        <v>2023</v>
      </c>
      <c r="F1801" s="3" t="str">
        <f>"Qtr"&amp; " " &amp;CHOOSE(MONTH(Table1[[#This Row],[Date]]),1,1,1,2,2,2,3,3,3,4,4,4)</f>
        <v>Qtr 1</v>
      </c>
      <c r="G1801" s="3" t="str">
        <f>TEXT(Table1[[#This Row],[Date]],"mmmm")</f>
        <v>March</v>
      </c>
      <c r="H1801" s="3" t="s">
        <v>1080</v>
      </c>
      <c r="I1801" s="3" t="s">
        <v>18</v>
      </c>
      <c r="J1801" s="3">
        <v>1</v>
      </c>
      <c r="K1801" s="3">
        <v>42054.83</v>
      </c>
      <c r="L1801" s="3">
        <f>Table1[[#This Row],[Price Per Unit]]*Table1[[#This Row],[Units Sold]]</f>
        <v>42054.83</v>
      </c>
      <c r="M1801" s="3" t="s">
        <v>113</v>
      </c>
      <c r="N1801" s="3">
        <v>51</v>
      </c>
      <c r="O1801" s="3" t="s">
        <v>98</v>
      </c>
      <c r="P1801" s="3" t="s">
        <v>45</v>
      </c>
      <c r="Q1801" s="4">
        <v>1</v>
      </c>
      <c r="R1801" s="4" t="str">
        <f>IF(Table1[[#This Row],[Customer Ratings]]&gt;=4, "Good",IF(Table1[[#This Row],[Customer Ratings]]=3, "Average","Poor"))</f>
        <v>Poor</v>
      </c>
      <c r="S1801" s="3" t="s">
        <v>55</v>
      </c>
    </row>
    <row r="1802" spans="1:19" x14ac:dyDescent="0.25">
      <c r="A1802" s="3">
        <v>1801</v>
      </c>
      <c r="B1802" s="5">
        <f>DATE(Table1[[#This Row],[Year]],Table1[[#This Row],[Month]],Table1[[#This Row],[Day]])</f>
        <v>44991</v>
      </c>
      <c r="C1802" s="3">
        <v>6</v>
      </c>
      <c r="D1802" s="3">
        <v>3</v>
      </c>
      <c r="E1802" s="3">
        <v>2023</v>
      </c>
      <c r="F1802" s="3" t="str">
        <f>"Qtr"&amp; " " &amp;CHOOSE(MONTH(Table1[[#This Row],[Date]]),1,1,1,2,2,2,3,3,3,4,4,4)</f>
        <v>Qtr 1</v>
      </c>
      <c r="G1802" s="3" t="str">
        <f>TEXT(Table1[[#This Row],[Date]],"mmmm")</f>
        <v>March</v>
      </c>
      <c r="H1802" s="3" t="s">
        <v>1081</v>
      </c>
      <c r="I1802" s="3" t="s">
        <v>39</v>
      </c>
      <c r="J1802" s="3">
        <v>6</v>
      </c>
      <c r="K1802" s="3">
        <v>60515.839999999997</v>
      </c>
      <c r="L1802" s="3">
        <f>Table1[[#This Row],[Price Per Unit]]*Table1[[#This Row],[Units Sold]]</f>
        <v>363095.03999999998</v>
      </c>
      <c r="M1802" s="3" t="s">
        <v>913</v>
      </c>
      <c r="N1802" s="3">
        <v>34</v>
      </c>
      <c r="O1802" s="3" t="s">
        <v>20</v>
      </c>
      <c r="P1802" s="3" t="s">
        <v>21</v>
      </c>
      <c r="Q1802" s="4">
        <v>5</v>
      </c>
      <c r="R1802" s="4" t="str">
        <f>IF(Table1[[#This Row],[Customer Ratings]]&gt;=4, "Good",IF(Table1[[#This Row],[Customer Ratings]]=3, "Average","Poor"))</f>
        <v>Good</v>
      </c>
      <c r="S1802" s="3" t="s">
        <v>90</v>
      </c>
    </row>
    <row r="1803" spans="1:19" x14ac:dyDescent="0.25">
      <c r="A1803" s="3">
        <v>1802</v>
      </c>
      <c r="B1803" s="5">
        <f>DATE(Table1[[#This Row],[Year]],Table1[[#This Row],[Month]],Table1[[#This Row],[Day]])</f>
        <v>44991</v>
      </c>
      <c r="C1803" s="3">
        <v>6</v>
      </c>
      <c r="D1803" s="3">
        <v>3</v>
      </c>
      <c r="E1803" s="3">
        <v>2023</v>
      </c>
      <c r="F1803" s="3" t="str">
        <f>"Qtr"&amp; " " &amp;CHOOSE(MONTH(Table1[[#This Row],[Date]]),1,1,1,2,2,2,3,3,3,4,4,4)</f>
        <v>Qtr 1</v>
      </c>
      <c r="G1803" s="3" t="str">
        <f>TEXT(Table1[[#This Row],[Date]],"mmmm")</f>
        <v>March</v>
      </c>
      <c r="H1803" s="3" t="s">
        <v>1081</v>
      </c>
      <c r="I1803" s="3" t="s">
        <v>39</v>
      </c>
      <c r="J1803" s="3">
        <v>7</v>
      </c>
      <c r="K1803" s="3">
        <v>45005.32</v>
      </c>
      <c r="L1803" s="3">
        <f>Table1[[#This Row],[Price Per Unit]]*Table1[[#This Row],[Units Sold]]</f>
        <v>315037.24</v>
      </c>
      <c r="M1803" s="3" t="s">
        <v>148</v>
      </c>
      <c r="N1803" s="3">
        <v>35</v>
      </c>
      <c r="O1803" s="3" t="s">
        <v>20</v>
      </c>
      <c r="P1803" s="3" t="s">
        <v>31</v>
      </c>
      <c r="Q1803" s="4">
        <v>5</v>
      </c>
      <c r="R1803" s="4" t="str">
        <f>IF(Table1[[#This Row],[Customer Ratings]]&gt;=4, "Good",IF(Table1[[#This Row],[Customer Ratings]]=3, "Average","Poor"))</f>
        <v>Good</v>
      </c>
      <c r="S1803" s="3" t="s">
        <v>90</v>
      </c>
    </row>
    <row r="1804" spans="1:19" x14ac:dyDescent="0.25">
      <c r="A1804" s="3">
        <v>1803</v>
      </c>
      <c r="B1804" s="5">
        <f>DATE(Table1[[#This Row],[Year]],Table1[[#This Row],[Month]],Table1[[#This Row],[Day]])</f>
        <v>44991</v>
      </c>
      <c r="C1804" s="3">
        <v>6</v>
      </c>
      <c r="D1804" s="3">
        <v>3</v>
      </c>
      <c r="E1804" s="3">
        <v>2023</v>
      </c>
      <c r="F1804" s="3" t="str">
        <f>"Qtr"&amp; " " &amp;CHOOSE(MONTH(Table1[[#This Row],[Date]]),1,1,1,2,2,2,3,3,3,4,4,4)</f>
        <v>Qtr 1</v>
      </c>
      <c r="G1804" s="3" t="str">
        <f>TEXT(Table1[[#This Row],[Date]],"mmmm")</f>
        <v>March</v>
      </c>
      <c r="H1804" s="3" t="s">
        <v>1081</v>
      </c>
      <c r="I1804" s="3" t="s">
        <v>39</v>
      </c>
      <c r="J1804" s="3">
        <v>6</v>
      </c>
      <c r="K1804" s="3">
        <v>13693.4</v>
      </c>
      <c r="L1804" s="3">
        <f>Table1[[#This Row],[Price Per Unit]]*Table1[[#This Row],[Units Sold]]</f>
        <v>82160.399999999994</v>
      </c>
      <c r="M1804" s="3" t="s">
        <v>776</v>
      </c>
      <c r="N1804" s="3">
        <v>34</v>
      </c>
      <c r="O1804" s="3" t="s">
        <v>125</v>
      </c>
      <c r="P1804" s="3" t="s">
        <v>31</v>
      </c>
      <c r="Q1804" s="4">
        <v>1</v>
      </c>
      <c r="R1804" s="4" t="str">
        <f>IF(Table1[[#This Row],[Customer Ratings]]&gt;=4, "Good",IF(Table1[[#This Row],[Customer Ratings]]=3, "Average","Poor"))</f>
        <v>Poor</v>
      </c>
      <c r="S1804" s="3" t="s">
        <v>42</v>
      </c>
    </row>
    <row r="1805" spans="1:19" x14ac:dyDescent="0.25">
      <c r="A1805" s="3">
        <v>1804</v>
      </c>
      <c r="B1805" s="5">
        <f>DATE(Table1[[#This Row],[Year]],Table1[[#This Row],[Month]],Table1[[#This Row],[Day]])</f>
        <v>44991</v>
      </c>
      <c r="C1805" s="3">
        <v>6</v>
      </c>
      <c r="D1805" s="3">
        <v>3</v>
      </c>
      <c r="E1805" s="3">
        <v>2023</v>
      </c>
      <c r="F1805" s="3" t="str">
        <f>"Qtr"&amp; " " &amp;CHOOSE(MONTH(Table1[[#This Row],[Date]]),1,1,1,2,2,2,3,3,3,4,4,4)</f>
        <v>Qtr 1</v>
      </c>
      <c r="G1805" s="3" t="str">
        <f>TEXT(Table1[[#This Row],[Date]],"mmmm")</f>
        <v>March</v>
      </c>
      <c r="H1805" s="3" t="s">
        <v>1081</v>
      </c>
      <c r="I1805" s="3" t="s">
        <v>28</v>
      </c>
      <c r="J1805" s="3">
        <v>4</v>
      </c>
      <c r="K1805" s="3">
        <v>49324.94</v>
      </c>
      <c r="L1805" s="3">
        <f>Table1[[#This Row],[Price Per Unit]]*Table1[[#This Row],[Units Sold]]</f>
        <v>197299.76</v>
      </c>
      <c r="M1805" s="3" t="s">
        <v>313</v>
      </c>
      <c r="N1805" s="3">
        <v>19</v>
      </c>
      <c r="O1805" s="3" t="s">
        <v>24</v>
      </c>
      <c r="P1805" s="3" t="s">
        <v>21</v>
      </c>
      <c r="Q1805" s="4">
        <v>4</v>
      </c>
      <c r="R1805" s="4" t="str">
        <f>IF(Table1[[#This Row],[Customer Ratings]]&gt;=4, "Good",IF(Table1[[#This Row],[Customer Ratings]]=3, "Average","Poor"))</f>
        <v>Good</v>
      </c>
      <c r="S1805" s="3" t="s">
        <v>87</v>
      </c>
    </row>
    <row r="1806" spans="1:19" x14ac:dyDescent="0.25">
      <c r="A1806" s="3">
        <v>1805</v>
      </c>
      <c r="B1806" s="5">
        <f>DATE(Table1[[#This Row],[Year]],Table1[[#This Row],[Month]],Table1[[#This Row],[Day]])</f>
        <v>44992</v>
      </c>
      <c r="C1806" s="3">
        <v>7</v>
      </c>
      <c r="D1806" s="3">
        <v>3</v>
      </c>
      <c r="E1806" s="3">
        <v>2023</v>
      </c>
      <c r="F1806" s="3" t="str">
        <f>"Qtr"&amp; " " &amp;CHOOSE(MONTH(Table1[[#This Row],[Date]]),1,1,1,2,2,2,3,3,3,4,4,4)</f>
        <v>Qtr 1</v>
      </c>
      <c r="G1806" s="3" t="str">
        <f>TEXT(Table1[[#This Row],[Date]],"mmmm")</f>
        <v>March</v>
      </c>
      <c r="H1806" s="3" t="s">
        <v>1082</v>
      </c>
      <c r="I1806" s="3" t="s">
        <v>33</v>
      </c>
      <c r="J1806" s="3">
        <v>1</v>
      </c>
      <c r="K1806" s="3">
        <v>10495.92</v>
      </c>
      <c r="L1806" s="3">
        <f>Table1[[#This Row],[Price Per Unit]]*Table1[[#This Row],[Units Sold]]</f>
        <v>10495.92</v>
      </c>
      <c r="M1806" s="3" t="s">
        <v>523</v>
      </c>
      <c r="N1806" s="3">
        <v>18</v>
      </c>
      <c r="O1806" s="3" t="s">
        <v>52</v>
      </c>
      <c r="P1806" s="3" t="s">
        <v>31</v>
      </c>
      <c r="Q1806" s="4">
        <v>3</v>
      </c>
      <c r="R1806" s="4" t="str">
        <f>IF(Table1[[#This Row],[Customer Ratings]]&gt;=4, "Good",IF(Table1[[#This Row],[Customer Ratings]]=3, "Average","Poor"))</f>
        <v>Average</v>
      </c>
      <c r="S1806" s="3" t="s">
        <v>36</v>
      </c>
    </row>
    <row r="1807" spans="1:19" x14ac:dyDescent="0.25">
      <c r="A1807" s="3">
        <v>1806</v>
      </c>
      <c r="B1807" s="5">
        <f>DATE(Table1[[#This Row],[Year]],Table1[[#This Row],[Month]],Table1[[#This Row],[Day]])</f>
        <v>44992</v>
      </c>
      <c r="C1807" s="3">
        <v>7</v>
      </c>
      <c r="D1807" s="3">
        <v>3</v>
      </c>
      <c r="E1807" s="3">
        <v>2023</v>
      </c>
      <c r="F1807" s="3" t="str">
        <f>"Qtr"&amp; " " &amp;CHOOSE(MONTH(Table1[[#This Row],[Date]]),1,1,1,2,2,2,3,3,3,4,4,4)</f>
        <v>Qtr 1</v>
      </c>
      <c r="G1807" s="3" t="str">
        <f>TEXT(Table1[[#This Row],[Date]],"mmmm")</f>
        <v>March</v>
      </c>
      <c r="H1807" s="3" t="s">
        <v>1082</v>
      </c>
      <c r="I1807" s="3" t="s">
        <v>39</v>
      </c>
      <c r="J1807" s="3">
        <v>9</v>
      </c>
      <c r="K1807" s="3">
        <v>56797.63</v>
      </c>
      <c r="L1807" s="3">
        <f>Table1[[#This Row],[Price Per Unit]]*Table1[[#This Row],[Units Sold]]</f>
        <v>511178.67</v>
      </c>
      <c r="M1807" s="3" t="s">
        <v>769</v>
      </c>
      <c r="N1807" s="3">
        <v>27</v>
      </c>
      <c r="O1807" s="3" t="s">
        <v>24</v>
      </c>
      <c r="P1807" s="3" t="s">
        <v>45</v>
      </c>
      <c r="Q1807" s="4">
        <v>3</v>
      </c>
      <c r="R1807" s="4" t="str">
        <f>IF(Table1[[#This Row],[Customer Ratings]]&gt;=4, "Good",IF(Table1[[#This Row],[Customer Ratings]]=3, "Average","Poor"))</f>
        <v>Average</v>
      </c>
      <c r="S1807" s="3" t="s">
        <v>90</v>
      </c>
    </row>
    <row r="1808" spans="1:19" x14ac:dyDescent="0.25">
      <c r="A1808" s="3">
        <v>1807</v>
      </c>
      <c r="B1808" s="5">
        <f>DATE(Table1[[#This Row],[Year]],Table1[[#This Row],[Month]],Table1[[#This Row],[Day]])</f>
        <v>44992</v>
      </c>
      <c r="C1808" s="3">
        <v>7</v>
      </c>
      <c r="D1808" s="3">
        <v>3</v>
      </c>
      <c r="E1808" s="3">
        <v>2023</v>
      </c>
      <c r="F1808" s="3" t="str">
        <f>"Qtr"&amp; " " &amp;CHOOSE(MONTH(Table1[[#This Row],[Date]]),1,1,1,2,2,2,3,3,3,4,4,4)</f>
        <v>Qtr 1</v>
      </c>
      <c r="G1808" s="3" t="str">
        <f>TEXT(Table1[[#This Row],[Date]],"mmmm")</f>
        <v>March</v>
      </c>
      <c r="H1808" s="3" t="s">
        <v>1082</v>
      </c>
      <c r="I1808" s="3" t="s">
        <v>13</v>
      </c>
      <c r="J1808" s="3">
        <v>4</v>
      </c>
      <c r="K1808" s="3">
        <v>49998.16</v>
      </c>
      <c r="L1808" s="3">
        <f>Table1[[#This Row],[Price Per Unit]]*Table1[[#This Row],[Units Sold]]</f>
        <v>199992.64</v>
      </c>
      <c r="M1808" s="3" t="s">
        <v>244</v>
      </c>
      <c r="N1808" s="3">
        <v>54</v>
      </c>
      <c r="O1808" s="3" t="s">
        <v>20</v>
      </c>
      <c r="P1808" s="3" t="s">
        <v>45</v>
      </c>
      <c r="Q1808" s="4">
        <v>3</v>
      </c>
      <c r="R1808" s="4" t="str">
        <f>IF(Table1[[#This Row],[Customer Ratings]]&gt;=4, "Good",IF(Table1[[#This Row],[Customer Ratings]]=3, "Average","Poor"))</f>
        <v>Average</v>
      </c>
      <c r="S1808" s="3" t="s">
        <v>72</v>
      </c>
    </row>
    <row r="1809" spans="1:19" x14ac:dyDescent="0.25">
      <c r="A1809" s="3">
        <v>1808</v>
      </c>
      <c r="B1809" s="5">
        <f>DATE(Table1[[#This Row],[Year]],Table1[[#This Row],[Month]],Table1[[#This Row],[Day]])</f>
        <v>44992</v>
      </c>
      <c r="C1809" s="3">
        <v>7</v>
      </c>
      <c r="D1809" s="3">
        <v>3</v>
      </c>
      <c r="E1809" s="3">
        <v>2023</v>
      </c>
      <c r="F1809" s="3" t="str">
        <f>"Qtr"&amp; " " &amp;CHOOSE(MONTH(Table1[[#This Row],[Date]]),1,1,1,2,2,2,3,3,3,4,4,4)</f>
        <v>Qtr 1</v>
      </c>
      <c r="G1809" s="3" t="str">
        <f>TEXT(Table1[[#This Row],[Date]],"mmmm")</f>
        <v>March</v>
      </c>
      <c r="H1809" s="3" t="s">
        <v>1082</v>
      </c>
      <c r="I1809" s="3" t="s">
        <v>39</v>
      </c>
      <c r="J1809" s="3">
        <v>7</v>
      </c>
      <c r="K1809" s="3">
        <v>28527.14</v>
      </c>
      <c r="L1809" s="3">
        <f>Table1[[#This Row],[Price Per Unit]]*Table1[[#This Row],[Units Sold]]</f>
        <v>199689.97999999998</v>
      </c>
      <c r="M1809" s="3" t="s">
        <v>251</v>
      </c>
      <c r="N1809" s="3">
        <v>22</v>
      </c>
      <c r="O1809" s="3" t="s">
        <v>35</v>
      </c>
      <c r="P1809" s="3" t="s">
        <v>31</v>
      </c>
      <c r="Q1809" s="4">
        <v>1</v>
      </c>
      <c r="R1809" s="4" t="str">
        <f>IF(Table1[[#This Row],[Customer Ratings]]&gt;=4, "Good",IF(Table1[[#This Row],[Customer Ratings]]=3, "Average","Poor"))</f>
        <v>Poor</v>
      </c>
      <c r="S1809" s="3" t="s">
        <v>90</v>
      </c>
    </row>
    <row r="1810" spans="1:19" x14ac:dyDescent="0.25">
      <c r="A1810" s="3">
        <v>1809</v>
      </c>
      <c r="B1810" s="5">
        <f>DATE(Table1[[#This Row],[Year]],Table1[[#This Row],[Month]],Table1[[#This Row],[Day]])</f>
        <v>44993</v>
      </c>
      <c r="C1810" s="3">
        <v>8</v>
      </c>
      <c r="D1810" s="3">
        <v>3</v>
      </c>
      <c r="E1810" s="3">
        <v>2023</v>
      </c>
      <c r="F1810" s="3" t="str">
        <f>"Qtr"&amp; " " &amp;CHOOSE(MONTH(Table1[[#This Row],[Date]]),1,1,1,2,2,2,3,3,3,4,4,4)</f>
        <v>Qtr 1</v>
      </c>
      <c r="G1810" s="3" t="str">
        <f>TEXT(Table1[[#This Row],[Date]],"mmmm")</f>
        <v>March</v>
      </c>
      <c r="H1810" s="3" t="s">
        <v>1083</v>
      </c>
      <c r="I1810" s="3" t="s">
        <v>28</v>
      </c>
      <c r="J1810" s="3">
        <v>7</v>
      </c>
      <c r="K1810" s="3">
        <v>27546.51</v>
      </c>
      <c r="L1810" s="3">
        <f>Table1[[#This Row],[Price Per Unit]]*Table1[[#This Row],[Units Sold]]</f>
        <v>192825.56999999998</v>
      </c>
      <c r="M1810" s="3" t="s">
        <v>325</v>
      </c>
      <c r="N1810" s="3">
        <v>29</v>
      </c>
      <c r="O1810" s="3" t="s">
        <v>98</v>
      </c>
      <c r="P1810" s="3" t="s">
        <v>21</v>
      </c>
      <c r="Q1810" s="4">
        <v>5</v>
      </c>
      <c r="R1810" s="4" t="str">
        <f>IF(Table1[[#This Row],[Customer Ratings]]&gt;=4, "Good",IF(Table1[[#This Row],[Customer Ratings]]=3, "Average","Poor"))</f>
        <v>Good</v>
      </c>
      <c r="S1810" s="3" t="s">
        <v>38</v>
      </c>
    </row>
    <row r="1811" spans="1:19" x14ac:dyDescent="0.25">
      <c r="A1811" s="3">
        <v>1810</v>
      </c>
      <c r="B1811" s="5">
        <f>DATE(Table1[[#This Row],[Year]],Table1[[#This Row],[Month]],Table1[[#This Row],[Day]])</f>
        <v>44993</v>
      </c>
      <c r="C1811" s="3">
        <v>8</v>
      </c>
      <c r="D1811" s="3">
        <v>3</v>
      </c>
      <c r="E1811" s="3">
        <v>2023</v>
      </c>
      <c r="F1811" s="3" t="str">
        <f>"Qtr"&amp; " " &amp;CHOOSE(MONTH(Table1[[#This Row],[Date]]),1,1,1,2,2,2,3,3,3,4,4,4)</f>
        <v>Qtr 1</v>
      </c>
      <c r="G1811" s="3" t="str">
        <f>TEXT(Table1[[#This Row],[Date]],"mmmm")</f>
        <v>March</v>
      </c>
      <c r="H1811" s="3" t="s">
        <v>1083</v>
      </c>
      <c r="I1811" s="3" t="s">
        <v>13</v>
      </c>
      <c r="J1811" s="3">
        <v>2</v>
      </c>
      <c r="K1811" s="3">
        <v>57896.38</v>
      </c>
      <c r="L1811" s="3">
        <f>Table1[[#This Row],[Price Per Unit]]*Table1[[#This Row],[Units Sold]]</f>
        <v>115792.76</v>
      </c>
      <c r="M1811" s="3" t="s">
        <v>366</v>
      </c>
      <c r="N1811" s="3">
        <v>53</v>
      </c>
      <c r="O1811" s="3" t="s">
        <v>78</v>
      </c>
      <c r="P1811" s="3" t="s">
        <v>21</v>
      </c>
      <c r="Q1811" s="4">
        <v>5</v>
      </c>
      <c r="R1811" s="4" t="str">
        <f>IF(Table1[[#This Row],[Customer Ratings]]&gt;=4, "Good",IF(Table1[[#This Row],[Customer Ratings]]=3, "Average","Poor"))</f>
        <v>Good</v>
      </c>
      <c r="S1811" s="3" t="s">
        <v>27</v>
      </c>
    </row>
    <row r="1812" spans="1:19" x14ac:dyDescent="0.25">
      <c r="A1812" s="3">
        <v>1811</v>
      </c>
      <c r="B1812" s="5">
        <f>DATE(Table1[[#This Row],[Year]],Table1[[#This Row],[Month]],Table1[[#This Row],[Day]])</f>
        <v>44993</v>
      </c>
      <c r="C1812" s="3">
        <v>8</v>
      </c>
      <c r="D1812" s="3">
        <v>3</v>
      </c>
      <c r="E1812" s="3">
        <v>2023</v>
      </c>
      <c r="F1812" s="3" t="str">
        <f>"Qtr"&amp; " " &amp;CHOOSE(MONTH(Table1[[#This Row],[Date]]),1,1,1,2,2,2,3,3,3,4,4,4)</f>
        <v>Qtr 1</v>
      </c>
      <c r="G1812" s="3" t="str">
        <f>TEXT(Table1[[#This Row],[Date]],"mmmm")</f>
        <v>March</v>
      </c>
      <c r="H1812" s="3" t="s">
        <v>1083</v>
      </c>
      <c r="I1812" s="3" t="s">
        <v>28</v>
      </c>
      <c r="J1812" s="3">
        <v>1</v>
      </c>
      <c r="K1812" s="3">
        <v>57000.2</v>
      </c>
      <c r="L1812" s="3">
        <f>Table1[[#This Row],[Price Per Unit]]*Table1[[#This Row],[Units Sold]]</f>
        <v>57000.2</v>
      </c>
      <c r="M1812" s="3" t="s">
        <v>766</v>
      </c>
      <c r="N1812" s="3">
        <v>48</v>
      </c>
      <c r="O1812" s="3" t="s">
        <v>20</v>
      </c>
      <c r="P1812" s="3" t="s">
        <v>31</v>
      </c>
      <c r="Q1812" s="4">
        <v>5</v>
      </c>
      <c r="R1812" s="4" t="str">
        <f>IF(Table1[[#This Row],[Customer Ratings]]&gt;=4, "Good",IF(Table1[[#This Row],[Customer Ratings]]=3, "Average","Poor"))</f>
        <v>Good</v>
      </c>
      <c r="S1812" s="3" t="s">
        <v>87</v>
      </c>
    </row>
    <row r="1813" spans="1:19" x14ac:dyDescent="0.25">
      <c r="A1813" s="3">
        <v>1812</v>
      </c>
      <c r="B1813" s="5">
        <f>DATE(Table1[[#This Row],[Year]],Table1[[#This Row],[Month]],Table1[[#This Row],[Day]])</f>
        <v>44994</v>
      </c>
      <c r="C1813" s="3">
        <v>9</v>
      </c>
      <c r="D1813" s="3">
        <v>3</v>
      </c>
      <c r="E1813" s="3">
        <v>2023</v>
      </c>
      <c r="F1813" s="3" t="str">
        <f>"Qtr"&amp; " " &amp;CHOOSE(MONTH(Table1[[#This Row],[Date]]),1,1,1,2,2,2,3,3,3,4,4,4)</f>
        <v>Qtr 1</v>
      </c>
      <c r="G1813" s="3" t="str">
        <f>TEXT(Table1[[#This Row],[Date]],"mmmm")</f>
        <v>March</v>
      </c>
      <c r="H1813" s="3" t="s">
        <v>1084</v>
      </c>
      <c r="I1813" s="3" t="s">
        <v>13</v>
      </c>
      <c r="J1813" s="3">
        <v>8</v>
      </c>
      <c r="K1813" s="3">
        <v>31138.14</v>
      </c>
      <c r="L1813" s="3">
        <f>Table1[[#This Row],[Price Per Unit]]*Table1[[#This Row],[Units Sold]]</f>
        <v>249105.12</v>
      </c>
      <c r="M1813" s="3" t="s">
        <v>820</v>
      </c>
      <c r="N1813" s="3">
        <v>55</v>
      </c>
      <c r="O1813" s="3" t="s">
        <v>24</v>
      </c>
      <c r="P1813" s="3" t="s">
        <v>45</v>
      </c>
      <c r="Q1813" s="4">
        <v>5</v>
      </c>
      <c r="R1813" s="4" t="str">
        <f>IF(Table1[[#This Row],[Customer Ratings]]&gt;=4, "Good",IF(Table1[[#This Row],[Customer Ratings]]=3, "Average","Poor"))</f>
        <v>Good</v>
      </c>
      <c r="S1813" s="3" t="s">
        <v>72</v>
      </c>
    </row>
    <row r="1814" spans="1:19" x14ac:dyDescent="0.25">
      <c r="A1814" s="3">
        <v>1813</v>
      </c>
      <c r="B1814" s="5">
        <f>DATE(Table1[[#This Row],[Year]],Table1[[#This Row],[Month]],Table1[[#This Row],[Day]])</f>
        <v>44994</v>
      </c>
      <c r="C1814" s="3">
        <v>9</v>
      </c>
      <c r="D1814" s="3">
        <v>3</v>
      </c>
      <c r="E1814" s="3">
        <v>2023</v>
      </c>
      <c r="F1814" s="3" t="str">
        <f>"Qtr"&amp; " " &amp;CHOOSE(MONTH(Table1[[#This Row],[Date]]),1,1,1,2,2,2,3,3,3,4,4,4)</f>
        <v>Qtr 1</v>
      </c>
      <c r="G1814" s="3" t="str">
        <f>TEXT(Table1[[#This Row],[Date]],"mmmm")</f>
        <v>March</v>
      </c>
      <c r="H1814" s="3" t="s">
        <v>1084</v>
      </c>
      <c r="I1814" s="3" t="s">
        <v>18</v>
      </c>
      <c r="J1814" s="3">
        <v>8</v>
      </c>
      <c r="K1814" s="3">
        <v>27936.86</v>
      </c>
      <c r="L1814" s="3">
        <f>Table1[[#This Row],[Price Per Unit]]*Table1[[#This Row],[Units Sold]]</f>
        <v>223494.88</v>
      </c>
      <c r="M1814" s="3" t="s">
        <v>636</v>
      </c>
      <c r="N1814" s="3">
        <v>26</v>
      </c>
      <c r="O1814" s="3" t="s">
        <v>20</v>
      </c>
      <c r="P1814" s="3" t="s">
        <v>45</v>
      </c>
      <c r="Q1814" s="4">
        <v>4</v>
      </c>
      <c r="R1814" s="4" t="str">
        <f>IF(Table1[[#This Row],[Customer Ratings]]&gt;=4, "Good",IF(Table1[[#This Row],[Customer Ratings]]=3, "Average","Poor"))</f>
        <v>Good</v>
      </c>
      <c r="S1814" s="3" t="s">
        <v>25</v>
      </c>
    </row>
    <row r="1815" spans="1:19" x14ac:dyDescent="0.25">
      <c r="A1815" s="3">
        <v>1814</v>
      </c>
      <c r="B1815" s="5">
        <f>DATE(Table1[[#This Row],[Year]],Table1[[#This Row],[Month]],Table1[[#This Row],[Day]])</f>
        <v>44994</v>
      </c>
      <c r="C1815" s="3">
        <v>9</v>
      </c>
      <c r="D1815" s="3">
        <v>3</v>
      </c>
      <c r="E1815" s="3">
        <v>2023</v>
      </c>
      <c r="F1815" s="3" t="str">
        <f>"Qtr"&amp; " " &amp;CHOOSE(MONTH(Table1[[#This Row],[Date]]),1,1,1,2,2,2,3,3,3,4,4,4)</f>
        <v>Qtr 1</v>
      </c>
      <c r="G1815" s="3" t="str">
        <f>TEXT(Table1[[#This Row],[Date]],"mmmm")</f>
        <v>March</v>
      </c>
      <c r="H1815" s="3" t="s">
        <v>1084</v>
      </c>
      <c r="I1815" s="3" t="s">
        <v>33</v>
      </c>
      <c r="J1815" s="3">
        <v>7</v>
      </c>
      <c r="K1815" s="3">
        <v>43589.49</v>
      </c>
      <c r="L1815" s="3">
        <f>Table1[[#This Row],[Price Per Unit]]*Table1[[#This Row],[Units Sold]]</f>
        <v>305126.43</v>
      </c>
      <c r="M1815" s="3" t="s">
        <v>26</v>
      </c>
      <c r="N1815" s="3">
        <v>43</v>
      </c>
      <c r="O1815" s="3" t="s">
        <v>20</v>
      </c>
      <c r="P1815" s="3" t="s">
        <v>21</v>
      </c>
      <c r="Q1815" s="4">
        <v>3</v>
      </c>
      <c r="R1815" s="4" t="str">
        <f>IF(Table1[[#This Row],[Customer Ratings]]&gt;=4, "Good",IF(Table1[[#This Row],[Customer Ratings]]=3, "Average","Poor"))</f>
        <v>Average</v>
      </c>
      <c r="S1815" s="3" t="s">
        <v>36</v>
      </c>
    </row>
    <row r="1816" spans="1:19" x14ac:dyDescent="0.25">
      <c r="A1816" s="3">
        <v>1815</v>
      </c>
      <c r="B1816" s="5">
        <f>DATE(Table1[[#This Row],[Year]],Table1[[#This Row],[Month]],Table1[[#This Row],[Day]])</f>
        <v>44994</v>
      </c>
      <c r="C1816" s="3">
        <v>9</v>
      </c>
      <c r="D1816" s="3">
        <v>3</v>
      </c>
      <c r="E1816" s="3">
        <v>2023</v>
      </c>
      <c r="F1816" s="3" t="str">
        <f>"Qtr"&amp; " " &amp;CHOOSE(MONTH(Table1[[#This Row],[Date]]),1,1,1,2,2,2,3,3,3,4,4,4)</f>
        <v>Qtr 1</v>
      </c>
      <c r="G1816" s="3" t="str">
        <f>TEXT(Table1[[#This Row],[Date]],"mmmm")</f>
        <v>March</v>
      </c>
      <c r="H1816" s="3" t="s">
        <v>1084</v>
      </c>
      <c r="I1816" s="3" t="s">
        <v>33</v>
      </c>
      <c r="J1816" s="3">
        <v>8</v>
      </c>
      <c r="K1816" s="3">
        <v>10501.94</v>
      </c>
      <c r="L1816" s="3">
        <f>Table1[[#This Row],[Price Per Unit]]*Table1[[#This Row],[Units Sold]]</f>
        <v>84015.52</v>
      </c>
      <c r="M1816" s="3" t="s">
        <v>716</v>
      </c>
      <c r="N1816" s="3">
        <v>32</v>
      </c>
      <c r="O1816" s="3" t="s">
        <v>105</v>
      </c>
      <c r="P1816" s="3" t="s">
        <v>45</v>
      </c>
      <c r="Q1816" s="4">
        <v>4</v>
      </c>
      <c r="R1816" s="4" t="str">
        <f>IF(Table1[[#This Row],[Customer Ratings]]&gt;=4, "Good",IF(Table1[[#This Row],[Customer Ratings]]=3, "Average","Poor"))</f>
        <v>Good</v>
      </c>
      <c r="S1816" s="3" t="s">
        <v>83</v>
      </c>
    </row>
    <row r="1817" spans="1:19" x14ac:dyDescent="0.25">
      <c r="A1817" s="3">
        <v>1816</v>
      </c>
      <c r="B1817" s="5">
        <f>DATE(Table1[[#This Row],[Year]],Table1[[#This Row],[Month]],Table1[[#This Row],[Day]])</f>
        <v>44995</v>
      </c>
      <c r="C1817" s="3">
        <v>10</v>
      </c>
      <c r="D1817" s="3">
        <v>3</v>
      </c>
      <c r="E1817" s="3">
        <v>2023</v>
      </c>
      <c r="F1817" s="3" t="str">
        <f>"Qtr"&amp; " " &amp;CHOOSE(MONTH(Table1[[#This Row],[Date]]),1,1,1,2,2,2,3,3,3,4,4,4)</f>
        <v>Qtr 1</v>
      </c>
      <c r="G1817" s="3" t="str">
        <f>TEXT(Table1[[#This Row],[Date]],"mmmm")</f>
        <v>March</v>
      </c>
      <c r="H1817" s="3" t="s">
        <v>1085</v>
      </c>
      <c r="I1817" s="3" t="s">
        <v>28</v>
      </c>
      <c r="J1817" s="3">
        <v>3</v>
      </c>
      <c r="K1817" s="3">
        <v>14960.02</v>
      </c>
      <c r="L1817" s="3">
        <f>Table1[[#This Row],[Price Per Unit]]*Table1[[#This Row],[Units Sold]]</f>
        <v>44880.06</v>
      </c>
      <c r="M1817" s="3" t="s">
        <v>811</v>
      </c>
      <c r="N1817" s="3">
        <v>33</v>
      </c>
      <c r="O1817" s="3" t="s">
        <v>105</v>
      </c>
      <c r="P1817" s="3" t="s">
        <v>16</v>
      </c>
      <c r="Q1817" s="4">
        <v>3</v>
      </c>
      <c r="R1817" s="4" t="str">
        <f>IF(Table1[[#This Row],[Customer Ratings]]&gt;=4, "Good",IF(Table1[[#This Row],[Customer Ratings]]=3, "Average","Poor"))</f>
        <v>Average</v>
      </c>
      <c r="S1817" s="3" t="s">
        <v>87</v>
      </c>
    </row>
    <row r="1818" spans="1:19" x14ac:dyDescent="0.25">
      <c r="A1818" s="3">
        <v>1817</v>
      </c>
      <c r="B1818" s="5">
        <f>DATE(Table1[[#This Row],[Year]],Table1[[#This Row],[Month]],Table1[[#This Row],[Day]])</f>
        <v>44995</v>
      </c>
      <c r="C1818" s="3">
        <v>10</v>
      </c>
      <c r="D1818" s="3">
        <v>3</v>
      </c>
      <c r="E1818" s="3">
        <v>2023</v>
      </c>
      <c r="F1818" s="3" t="str">
        <f>"Qtr"&amp; " " &amp;CHOOSE(MONTH(Table1[[#This Row],[Date]]),1,1,1,2,2,2,3,3,3,4,4,4)</f>
        <v>Qtr 1</v>
      </c>
      <c r="G1818" s="3" t="str">
        <f>TEXT(Table1[[#This Row],[Date]],"mmmm")</f>
        <v>March</v>
      </c>
      <c r="H1818" s="3" t="s">
        <v>1085</v>
      </c>
      <c r="I1818" s="3" t="s">
        <v>33</v>
      </c>
      <c r="J1818" s="3">
        <v>2</v>
      </c>
      <c r="K1818" s="3">
        <v>17570.18</v>
      </c>
      <c r="L1818" s="3">
        <f>Table1[[#This Row],[Price Per Unit]]*Table1[[#This Row],[Units Sold]]</f>
        <v>35140.36</v>
      </c>
      <c r="M1818" s="3" t="s">
        <v>174</v>
      </c>
      <c r="N1818" s="3">
        <v>30</v>
      </c>
      <c r="O1818" s="3" t="s">
        <v>20</v>
      </c>
      <c r="P1818" s="3" t="s">
        <v>45</v>
      </c>
      <c r="Q1818" s="4">
        <v>1</v>
      </c>
      <c r="R1818" s="4" t="str">
        <f>IF(Table1[[#This Row],[Customer Ratings]]&gt;=4, "Good",IF(Table1[[#This Row],[Customer Ratings]]=3, "Average","Poor"))</f>
        <v>Poor</v>
      </c>
      <c r="S1818" s="3" t="s">
        <v>46</v>
      </c>
    </row>
    <row r="1819" spans="1:19" x14ac:dyDescent="0.25">
      <c r="A1819" s="3">
        <v>1818</v>
      </c>
      <c r="B1819" s="5">
        <f>DATE(Table1[[#This Row],[Year]],Table1[[#This Row],[Month]],Table1[[#This Row],[Day]])</f>
        <v>44995</v>
      </c>
      <c r="C1819" s="3">
        <v>10</v>
      </c>
      <c r="D1819" s="3">
        <v>3</v>
      </c>
      <c r="E1819" s="3">
        <v>2023</v>
      </c>
      <c r="F1819" s="3" t="str">
        <f>"Qtr"&amp; " " &amp;CHOOSE(MONTH(Table1[[#This Row],[Date]]),1,1,1,2,2,2,3,3,3,4,4,4)</f>
        <v>Qtr 1</v>
      </c>
      <c r="G1819" s="3" t="str">
        <f>TEXT(Table1[[#This Row],[Date]],"mmmm")</f>
        <v>March</v>
      </c>
      <c r="H1819" s="3" t="s">
        <v>1085</v>
      </c>
      <c r="I1819" s="3" t="s">
        <v>28</v>
      </c>
      <c r="J1819" s="3">
        <v>7</v>
      </c>
      <c r="K1819" s="3">
        <v>21124.71</v>
      </c>
      <c r="L1819" s="3">
        <f>Table1[[#This Row],[Price Per Unit]]*Table1[[#This Row],[Units Sold]]</f>
        <v>147872.97</v>
      </c>
      <c r="M1819" s="3" t="s">
        <v>730</v>
      </c>
      <c r="N1819" s="3">
        <v>42</v>
      </c>
      <c r="O1819" s="3" t="s">
        <v>20</v>
      </c>
      <c r="P1819" s="3" t="s">
        <v>21</v>
      </c>
      <c r="Q1819" s="4">
        <v>4</v>
      </c>
      <c r="R1819" s="4" t="str">
        <f>IF(Table1[[#This Row],[Customer Ratings]]&gt;=4, "Good",IF(Table1[[#This Row],[Customer Ratings]]=3, "Average","Poor"))</f>
        <v>Good</v>
      </c>
      <c r="S1819" s="3" t="s">
        <v>87</v>
      </c>
    </row>
    <row r="1820" spans="1:19" x14ac:dyDescent="0.25">
      <c r="A1820" s="3">
        <v>1819</v>
      </c>
      <c r="B1820" s="5">
        <f>DATE(Table1[[#This Row],[Year]],Table1[[#This Row],[Month]],Table1[[#This Row],[Day]])</f>
        <v>44995</v>
      </c>
      <c r="C1820" s="3">
        <v>10</v>
      </c>
      <c r="D1820" s="3">
        <v>3</v>
      </c>
      <c r="E1820" s="3">
        <v>2023</v>
      </c>
      <c r="F1820" s="3" t="str">
        <f>"Qtr"&amp; " " &amp;CHOOSE(MONTH(Table1[[#This Row],[Date]]),1,1,1,2,2,2,3,3,3,4,4,4)</f>
        <v>Qtr 1</v>
      </c>
      <c r="G1820" s="3" t="str">
        <f>TEXT(Table1[[#This Row],[Date]],"mmmm")</f>
        <v>March</v>
      </c>
      <c r="H1820" s="3" t="s">
        <v>1085</v>
      </c>
      <c r="I1820" s="3" t="s">
        <v>28</v>
      </c>
      <c r="J1820" s="3">
        <v>8</v>
      </c>
      <c r="K1820" s="3">
        <v>40721.089999999997</v>
      </c>
      <c r="L1820" s="3">
        <f>Table1[[#This Row],[Price Per Unit]]*Table1[[#This Row],[Units Sold]]</f>
        <v>325768.71999999997</v>
      </c>
      <c r="M1820" s="3" t="s">
        <v>428</v>
      </c>
      <c r="N1820" s="3">
        <v>47</v>
      </c>
      <c r="O1820" s="3" t="s">
        <v>20</v>
      </c>
      <c r="P1820" s="3" t="s">
        <v>45</v>
      </c>
      <c r="Q1820" s="4">
        <v>5</v>
      </c>
      <c r="R1820" s="4" t="str">
        <f>IF(Table1[[#This Row],[Customer Ratings]]&gt;=4, "Good",IF(Table1[[#This Row],[Customer Ratings]]=3, "Average","Poor"))</f>
        <v>Good</v>
      </c>
      <c r="S1820" s="3" t="s">
        <v>87</v>
      </c>
    </row>
    <row r="1821" spans="1:19" x14ac:dyDescent="0.25">
      <c r="A1821" s="3">
        <v>1820</v>
      </c>
      <c r="B1821" s="5">
        <f>DATE(Table1[[#This Row],[Year]],Table1[[#This Row],[Month]],Table1[[#This Row],[Day]])</f>
        <v>44996</v>
      </c>
      <c r="C1821" s="3">
        <v>11</v>
      </c>
      <c r="D1821" s="3">
        <v>3</v>
      </c>
      <c r="E1821" s="3">
        <v>2023</v>
      </c>
      <c r="F1821" s="3" t="str">
        <f>"Qtr"&amp; " " &amp;CHOOSE(MONTH(Table1[[#This Row],[Date]]),1,1,1,2,2,2,3,3,3,4,4,4)</f>
        <v>Qtr 1</v>
      </c>
      <c r="G1821" s="3" t="str">
        <f>TEXT(Table1[[#This Row],[Date]],"mmmm")</f>
        <v>March</v>
      </c>
      <c r="H1821" s="3" t="s">
        <v>1079</v>
      </c>
      <c r="I1821" s="3" t="s">
        <v>28</v>
      </c>
      <c r="J1821" s="3">
        <v>1</v>
      </c>
      <c r="K1821" s="3">
        <v>69534.509999999995</v>
      </c>
      <c r="L1821" s="3">
        <f>Table1[[#This Row],[Price Per Unit]]*Table1[[#This Row],[Units Sold]]</f>
        <v>69534.509999999995</v>
      </c>
      <c r="M1821" s="3" t="s">
        <v>712</v>
      </c>
      <c r="N1821" s="3">
        <v>24</v>
      </c>
      <c r="O1821" s="3" t="s">
        <v>24</v>
      </c>
      <c r="P1821" s="3" t="s">
        <v>45</v>
      </c>
      <c r="Q1821" s="4">
        <v>3</v>
      </c>
      <c r="R1821" s="4" t="str">
        <f>IF(Table1[[#This Row],[Customer Ratings]]&gt;=4, "Good",IF(Table1[[#This Row],[Customer Ratings]]=3, "Average","Poor"))</f>
        <v>Average</v>
      </c>
      <c r="S1821" s="3" t="s">
        <v>38</v>
      </c>
    </row>
    <row r="1822" spans="1:19" x14ac:dyDescent="0.25">
      <c r="A1822" s="3">
        <v>1821</v>
      </c>
      <c r="B1822" s="5">
        <f>DATE(Table1[[#This Row],[Year]],Table1[[#This Row],[Month]],Table1[[#This Row],[Day]])</f>
        <v>44996</v>
      </c>
      <c r="C1822" s="3">
        <v>11</v>
      </c>
      <c r="D1822" s="3">
        <v>3</v>
      </c>
      <c r="E1822" s="3">
        <v>2023</v>
      </c>
      <c r="F1822" s="3" t="str">
        <f>"Qtr"&amp; " " &amp;CHOOSE(MONTH(Table1[[#This Row],[Date]]),1,1,1,2,2,2,3,3,3,4,4,4)</f>
        <v>Qtr 1</v>
      </c>
      <c r="G1822" s="3" t="str">
        <f>TEXT(Table1[[#This Row],[Date]],"mmmm")</f>
        <v>March</v>
      </c>
      <c r="H1822" s="3" t="s">
        <v>1079</v>
      </c>
      <c r="I1822" s="3" t="s">
        <v>33</v>
      </c>
      <c r="J1822" s="3">
        <v>9</v>
      </c>
      <c r="K1822" s="3">
        <v>49156.800000000003</v>
      </c>
      <c r="L1822" s="3">
        <f>Table1[[#This Row],[Price Per Unit]]*Table1[[#This Row],[Units Sold]]</f>
        <v>442411.2</v>
      </c>
      <c r="M1822" s="3" t="s">
        <v>914</v>
      </c>
      <c r="N1822" s="3">
        <v>21</v>
      </c>
      <c r="O1822" s="3" t="s">
        <v>20</v>
      </c>
      <c r="P1822" s="3" t="s">
        <v>31</v>
      </c>
      <c r="Q1822" s="4">
        <v>5</v>
      </c>
      <c r="R1822" s="4" t="str">
        <f>IF(Table1[[#This Row],[Customer Ratings]]&gt;=4, "Good",IF(Table1[[#This Row],[Customer Ratings]]=3, "Average","Poor"))</f>
        <v>Good</v>
      </c>
      <c r="S1822" s="3" t="s">
        <v>83</v>
      </c>
    </row>
    <row r="1823" spans="1:19" x14ac:dyDescent="0.25">
      <c r="A1823" s="3">
        <v>1822</v>
      </c>
      <c r="B1823" s="5">
        <f>DATE(Table1[[#This Row],[Year]],Table1[[#This Row],[Month]],Table1[[#This Row],[Day]])</f>
        <v>44996</v>
      </c>
      <c r="C1823" s="3">
        <v>11</v>
      </c>
      <c r="D1823" s="3">
        <v>3</v>
      </c>
      <c r="E1823" s="3">
        <v>2023</v>
      </c>
      <c r="F1823" s="3" t="str">
        <f>"Qtr"&amp; " " &amp;CHOOSE(MONTH(Table1[[#This Row],[Date]]),1,1,1,2,2,2,3,3,3,4,4,4)</f>
        <v>Qtr 1</v>
      </c>
      <c r="G1823" s="3" t="str">
        <f>TEXT(Table1[[#This Row],[Date]],"mmmm")</f>
        <v>March</v>
      </c>
      <c r="H1823" s="3" t="s">
        <v>1079</v>
      </c>
      <c r="I1823" s="3" t="s">
        <v>28</v>
      </c>
      <c r="J1823" s="3">
        <v>4</v>
      </c>
      <c r="K1823" s="3">
        <v>13677.93</v>
      </c>
      <c r="L1823" s="3">
        <f>Table1[[#This Row],[Price Per Unit]]*Table1[[#This Row],[Units Sold]]</f>
        <v>54711.72</v>
      </c>
      <c r="M1823" s="3" t="s">
        <v>456</v>
      </c>
      <c r="N1823" s="3">
        <v>57</v>
      </c>
      <c r="O1823" s="3" t="s">
        <v>81</v>
      </c>
      <c r="P1823" s="3" t="s">
        <v>16</v>
      </c>
      <c r="Q1823" s="4">
        <v>4</v>
      </c>
      <c r="R1823" s="4" t="str">
        <f>IF(Table1[[#This Row],[Customer Ratings]]&gt;=4, "Good",IF(Table1[[#This Row],[Customer Ratings]]=3, "Average","Poor"))</f>
        <v>Good</v>
      </c>
      <c r="S1823" s="3" t="s">
        <v>32</v>
      </c>
    </row>
    <row r="1824" spans="1:19" x14ac:dyDescent="0.25">
      <c r="A1824" s="3">
        <v>1823</v>
      </c>
      <c r="B1824" s="5">
        <f>DATE(Table1[[#This Row],[Year]],Table1[[#This Row],[Month]],Table1[[#This Row],[Day]])</f>
        <v>44996</v>
      </c>
      <c r="C1824" s="3">
        <v>11</v>
      </c>
      <c r="D1824" s="3">
        <v>3</v>
      </c>
      <c r="E1824" s="3">
        <v>2023</v>
      </c>
      <c r="F1824" s="3" t="str">
        <f>"Qtr"&amp; " " &amp;CHOOSE(MONTH(Table1[[#This Row],[Date]]),1,1,1,2,2,2,3,3,3,4,4,4)</f>
        <v>Qtr 1</v>
      </c>
      <c r="G1824" s="3" t="str">
        <f>TEXT(Table1[[#This Row],[Date]],"mmmm")</f>
        <v>March</v>
      </c>
      <c r="H1824" s="3" t="s">
        <v>1079</v>
      </c>
      <c r="I1824" s="3" t="s">
        <v>33</v>
      </c>
      <c r="J1824" s="3">
        <v>4</v>
      </c>
      <c r="K1824" s="3">
        <v>41534.76</v>
      </c>
      <c r="L1824" s="3">
        <f>Table1[[#This Row],[Price Per Unit]]*Table1[[#This Row],[Units Sold]]</f>
        <v>166139.04</v>
      </c>
      <c r="M1824" s="3" t="s">
        <v>414</v>
      </c>
      <c r="N1824" s="3">
        <v>55</v>
      </c>
      <c r="O1824" s="3" t="s">
        <v>54</v>
      </c>
      <c r="P1824" s="3" t="s">
        <v>31</v>
      </c>
      <c r="Q1824" s="4">
        <v>1</v>
      </c>
      <c r="R1824" s="4" t="str">
        <f>IF(Table1[[#This Row],[Customer Ratings]]&gt;=4, "Good",IF(Table1[[#This Row],[Customer Ratings]]=3, "Average","Poor"))</f>
        <v>Poor</v>
      </c>
      <c r="S1824" s="3" t="s">
        <v>46</v>
      </c>
    </row>
    <row r="1825" spans="1:19" x14ac:dyDescent="0.25">
      <c r="A1825" s="3">
        <v>1824</v>
      </c>
      <c r="B1825" s="5">
        <f>DATE(Table1[[#This Row],[Year]],Table1[[#This Row],[Month]],Table1[[#This Row],[Day]])</f>
        <v>44997</v>
      </c>
      <c r="C1825" s="3">
        <v>12</v>
      </c>
      <c r="D1825" s="3">
        <v>3</v>
      </c>
      <c r="E1825" s="3">
        <v>2023</v>
      </c>
      <c r="F1825" s="3" t="str">
        <f>"Qtr"&amp; " " &amp;CHOOSE(MONTH(Table1[[#This Row],[Date]]),1,1,1,2,2,2,3,3,3,4,4,4)</f>
        <v>Qtr 1</v>
      </c>
      <c r="G1825" s="3" t="str">
        <f>TEXT(Table1[[#This Row],[Date]],"mmmm")</f>
        <v>March</v>
      </c>
      <c r="H1825" s="3" t="s">
        <v>1080</v>
      </c>
      <c r="I1825" s="3" t="s">
        <v>28</v>
      </c>
      <c r="J1825" s="3">
        <v>3</v>
      </c>
      <c r="K1825" s="3">
        <v>39798.71</v>
      </c>
      <c r="L1825" s="3">
        <f>Table1[[#This Row],[Price Per Unit]]*Table1[[#This Row],[Units Sold]]</f>
        <v>119396.13</v>
      </c>
      <c r="M1825" s="3" t="s">
        <v>625</v>
      </c>
      <c r="N1825" s="3">
        <v>47</v>
      </c>
      <c r="O1825" s="3" t="s">
        <v>102</v>
      </c>
      <c r="P1825" s="3" t="s">
        <v>45</v>
      </c>
      <c r="Q1825" s="4">
        <v>5</v>
      </c>
      <c r="R1825" s="4" t="str">
        <f>IF(Table1[[#This Row],[Customer Ratings]]&gt;=4, "Good",IF(Table1[[#This Row],[Customer Ratings]]=3, "Average","Poor"))</f>
        <v>Good</v>
      </c>
      <c r="S1825" s="3" t="s">
        <v>38</v>
      </c>
    </row>
    <row r="1826" spans="1:19" x14ac:dyDescent="0.25">
      <c r="A1826" s="3">
        <v>1825</v>
      </c>
      <c r="B1826" s="5">
        <f>DATE(Table1[[#This Row],[Year]],Table1[[#This Row],[Month]],Table1[[#This Row],[Day]])</f>
        <v>44997</v>
      </c>
      <c r="C1826" s="3">
        <v>12</v>
      </c>
      <c r="D1826" s="3">
        <v>3</v>
      </c>
      <c r="E1826" s="3">
        <v>2023</v>
      </c>
      <c r="F1826" s="3" t="str">
        <f>"Qtr"&amp; " " &amp;CHOOSE(MONTH(Table1[[#This Row],[Date]]),1,1,1,2,2,2,3,3,3,4,4,4)</f>
        <v>Qtr 1</v>
      </c>
      <c r="G1826" s="3" t="str">
        <f>TEXT(Table1[[#This Row],[Date]],"mmmm")</f>
        <v>March</v>
      </c>
      <c r="H1826" s="3" t="s">
        <v>1080</v>
      </c>
      <c r="I1826" s="3" t="s">
        <v>39</v>
      </c>
      <c r="J1826" s="3">
        <v>6</v>
      </c>
      <c r="K1826" s="3">
        <v>18650.07</v>
      </c>
      <c r="L1826" s="3">
        <f>Table1[[#This Row],[Price Per Unit]]*Table1[[#This Row],[Units Sold]]</f>
        <v>111900.42</v>
      </c>
      <c r="M1826" s="3" t="s">
        <v>777</v>
      </c>
      <c r="N1826" s="3">
        <v>27</v>
      </c>
      <c r="O1826" s="3" t="s">
        <v>65</v>
      </c>
      <c r="P1826" s="3" t="s">
        <v>45</v>
      </c>
      <c r="Q1826" s="4">
        <v>1</v>
      </c>
      <c r="R1826" s="4" t="str">
        <f>IF(Table1[[#This Row],[Customer Ratings]]&gt;=4, "Good",IF(Table1[[#This Row],[Customer Ratings]]=3, "Average","Poor"))</f>
        <v>Poor</v>
      </c>
      <c r="S1826" s="3" t="s">
        <v>90</v>
      </c>
    </row>
    <row r="1827" spans="1:19" x14ac:dyDescent="0.25">
      <c r="A1827" s="3">
        <v>1826</v>
      </c>
      <c r="B1827" s="5">
        <f>DATE(Table1[[#This Row],[Year]],Table1[[#This Row],[Month]],Table1[[#This Row],[Day]])</f>
        <v>44997</v>
      </c>
      <c r="C1827" s="3">
        <v>12</v>
      </c>
      <c r="D1827" s="3">
        <v>3</v>
      </c>
      <c r="E1827" s="3">
        <v>2023</v>
      </c>
      <c r="F1827" s="3" t="str">
        <f>"Qtr"&amp; " " &amp;CHOOSE(MONTH(Table1[[#This Row],[Date]]),1,1,1,2,2,2,3,3,3,4,4,4)</f>
        <v>Qtr 1</v>
      </c>
      <c r="G1827" s="3" t="str">
        <f>TEXT(Table1[[#This Row],[Date]],"mmmm")</f>
        <v>March</v>
      </c>
      <c r="H1827" s="3" t="s">
        <v>1080</v>
      </c>
      <c r="I1827" s="3" t="s">
        <v>28</v>
      </c>
      <c r="J1827" s="3">
        <v>1</v>
      </c>
      <c r="K1827" s="3">
        <v>65216.34</v>
      </c>
      <c r="L1827" s="3">
        <f>Table1[[#This Row],[Price Per Unit]]*Table1[[#This Row],[Units Sold]]</f>
        <v>65216.34</v>
      </c>
      <c r="M1827" s="3" t="s">
        <v>752</v>
      </c>
      <c r="N1827" s="3">
        <v>47</v>
      </c>
      <c r="O1827" s="3" t="s">
        <v>20</v>
      </c>
      <c r="P1827" s="3" t="s">
        <v>31</v>
      </c>
      <c r="Q1827" s="4">
        <v>3</v>
      </c>
      <c r="R1827" s="4" t="str">
        <f>IF(Table1[[#This Row],[Customer Ratings]]&gt;=4, "Good",IF(Table1[[#This Row],[Customer Ratings]]=3, "Average","Poor"))</f>
        <v>Average</v>
      </c>
      <c r="S1827" s="3" t="s">
        <v>38</v>
      </c>
    </row>
    <row r="1828" spans="1:19" x14ac:dyDescent="0.25">
      <c r="A1828" s="3">
        <v>1827</v>
      </c>
      <c r="B1828" s="5">
        <f>DATE(Table1[[#This Row],[Year]],Table1[[#This Row],[Month]],Table1[[#This Row],[Day]])</f>
        <v>44997</v>
      </c>
      <c r="C1828" s="3">
        <v>12</v>
      </c>
      <c r="D1828" s="3">
        <v>3</v>
      </c>
      <c r="E1828" s="3">
        <v>2023</v>
      </c>
      <c r="F1828" s="3" t="str">
        <f>"Qtr"&amp; " " &amp;CHOOSE(MONTH(Table1[[#This Row],[Date]]),1,1,1,2,2,2,3,3,3,4,4,4)</f>
        <v>Qtr 1</v>
      </c>
      <c r="G1828" s="3" t="str">
        <f>TEXT(Table1[[#This Row],[Date]],"mmmm")</f>
        <v>March</v>
      </c>
      <c r="H1828" s="3" t="s">
        <v>1080</v>
      </c>
      <c r="I1828" s="3" t="s">
        <v>13</v>
      </c>
      <c r="J1828" s="3">
        <v>6</v>
      </c>
      <c r="K1828" s="3">
        <v>36445.910000000003</v>
      </c>
      <c r="L1828" s="3">
        <f>Table1[[#This Row],[Price Per Unit]]*Table1[[#This Row],[Units Sold]]</f>
        <v>218675.46000000002</v>
      </c>
      <c r="M1828" s="3" t="s">
        <v>66</v>
      </c>
      <c r="N1828" s="3">
        <v>56</v>
      </c>
      <c r="O1828" s="3" t="s">
        <v>24</v>
      </c>
      <c r="P1828" s="3" t="s">
        <v>16</v>
      </c>
      <c r="Q1828" s="4">
        <v>4</v>
      </c>
      <c r="R1828" s="4" t="str">
        <f>IF(Table1[[#This Row],[Customer Ratings]]&gt;=4, "Good",IF(Table1[[#This Row],[Customer Ratings]]=3, "Average","Poor"))</f>
        <v>Good</v>
      </c>
      <c r="S1828" s="3" t="s">
        <v>72</v>
      </c>
    </row>
    <row r="1829" spans="1:19" x14ac:dyDescent="0.25">
      <c r="A1829" s="3">
        <v>1828</v>
      </c>
      <c r="B1829" s="5">
        <f>DATE(Table1[[#This Row],[Year]],Table1[[#This Row],[Month]],Table1[[#This Row],[Day]])</f>
        <v>44998</v>
      </c>
      <c r="C1829" s="3">
        <v>13</v>
      </c>
      <c r="D1829" s="3">
        <v>3</v>
      </c>
      <c r="E1829" s="3">
        <v>2023</v>
      </c>
      <c r="F1829" s="3" t="str">
        <f>"Qtr"&amp; " " &amp;CHOOSE(MONTH(Table1[[#This Row],[Date]]),1,1,1,2,2,2,3,3,3,4,4,4)</f>
        <v>Qtr 1</v>
      </c>
      <c r="G1829" s="3" t="str">
        <f>TEXT(Table1[[#This Row],[Date]],"mmmm")</f>
        <v>March</v>
      </c>
      <c r="H1829" s="3" t="s">
        <v>1081</v>
      </c>
      <c r="I1829" s="3" t="s">
        <v>28</v>
      </c>
      <c r="J1829" s="3">
        <v>2</v>
      </c>
      <c r="K1829" s="3">
        <v>69673.55</v>
      </c>
      <c r="L1829" s="3">
        <f>Table1[[#This Row],[Price Per Unit]]*Table1[[#This Row],[Units Sold]]</f>
        <v>139347.1</v>
      </c>
      <c r="M1829" s="3" t="s">
        <v>750</v>
      </c>
      <c r="N1829" s="3">
        <v>24</v>
      </c>
      <c r="O1829" s="3" t="s">
        <v>35</v>
      </c>
      <c r="P1829" s="3" t="s">
        <v>21</v>
      </c>
      <c r="Q1829" s="4">
        <v>1</v>
      </c>
      <c r="R1829" s="4" t="str">
        <f>IF(Table1[[#This Row],[Customer Ratings]]&gt;=4, "Good",IF(Table1[[#This Row],[Customer Ratings]]=3, "Average","Poor"))</f>
        <v>Poor</v>
      </c>
      <c r="S1829" s="3" t="s">
        <v>87</v>
      </c>
    </row>
    <row r="1830" spans="1:19" x14ac:dyDescent="0.25">
      <c r="A1830" s="3">
        <v>1829</v>
      </c>
      <c r="B1830" s="5">
        <f>DATE(Table1[[#This Row],[Year]],Table1[[#This Row],[Month]],Table1[[#This Row],[Day]])</f>
        <v>44998</v>
      </c>
      <c r="C1830" s="3">
        <v>13</v>
      </c>
      <c r="D1830" s="3">
        <v>3</v>
      </c>
      <c r="E1830" s="3">
        <v>2023</v>
      </c>
      <c r="F1830" s="3" t="str">
        <f>"Qtr"&amp; " " &amp;CHOOSE(MONTH(Table1[[#This Row],[Date]]),1,1,1,2,2,2,3,3,3,4,4,4)</f>
        <v>Qtr 1</v>
      </c>
      <c r="G1830" s="3" t="str">
        <f>TEXT(Table1[[#This Row],[Date]],"mmmm")</f>
        <v>March</v>
      </c>
      <c r="H1830" s="3" t="s">
        <v>1081</v>
      </c>
      <c r="I1830" s="3" t="s">
        <v>18</v>
      </c>
      <c r="J1830" s="3">
        <v>9</v>
      </c>
      <c r="K1830" s="3">
        <v>35204.339999999997</v>
      </c>
      <c r="L1830" s="3">
        <f>Table1[[#This Row],[Price Per Unit]]*Table1[[#This Row],[Units Sold]]</f>
        <v>316839.05999999994</v>
      </c>
      <c r="M1830" s="3" t="s">
        <v>915</v>
      </c>
      <c r="N1830" s="3">
        <v>53</v>
      </c>
      <c r="O1830" s="3" t="s">
        <v>35</v>
      </c>
      <c r="P1830" s="3" t="s">
        <v>31</v>
      </c>
      <c r="Q1830" s="4">
        <v>5</v>
      </c>
      <c r="R1830" s="4" t="str">
        <f>IF(Table1[[#This Row],[Customer Ratings]]&gt;=4, "Good",IF(Table1[[#This Row],[Customer Ratings]]=3, "Average","Poor"))</f>
        <v>Good</v>
      </c>
      <c r="S1830" s="3" t="s">
        <v>22</v>
      </c>
    </row>
    <row r="1831" spans="1:19" x14ac:dyDescent="0.25">
      <c r="A1831" s="3">
        <v>1830</v>
      </c>
      <c r="B1831" s="5">
        <f>DATE(Table1[[#This Row],[Year]],Table1[[#This Row],[Month]],Table1[[#This Row],[Day]])</f>
        <v>44998</v>
      </c>
      <c r="C1831" s="3">
        <v>13</v>
      </c>
      <c r="D1831" s="3">
        <v>3</v>
      </c>
      <c r="E1831" s="3">
        <v>2023</v>
      </c>
      <c r="F1831" s="3" t="str">
        <f>"Qtr"&amp; " " &amp;CHOOSE(MONTH(Table1[[#This Row],[Date]]),1,1,1,2,2,2,3,3,3,4,4,4)</f>
        <v>Qtr 1</v>
      </c>
      <c r="G1831" s="3" t="str">
        <f>TEXT(Table1[[#This Row],[Date]],"mmmm")</f>
        <v>March</v>
      </c>
      <c r="H1831" s="3" t="s">
        <v>1081</v>
      </c>
      <c r="I1831" s="3" t="s">
        <v>28</v>
      </c>
      <c r="J1831" s="3">
        <v>2</v>
      </c>
      <c r="K1831" s="3">
        <v>46477.46</v>
      </c>
      <c r="L1831" s="3">
        <f>Table1[[#This Row],[Price Per Unit]]*Table1[[#This Row],[Units Sold]]</f>
        <v>92954.92</v>
      </c>
      <c r="M1831" s="3" t="s">
        <v>584</v>
      </c>
      <c r="N1831" s="3">
        <v>52</v>
      </c>
      <c r="O1831" s="3" t="s">
        <v>24</v>
      </c>
      <c r="P1831" s="3" t="s">
        <v>45</v>
      </c>
      <c r="Q1831" s="4">
        <v>5</v>
      </c>
      <c r="R1831" s="4" t="str">
        <f>IF(Table1[[#This Row],[Customer Ratings]]&gt;=4, "Good",IF(Table1[[#This Row],[Customer Ratings]]=3, "Average","Poor"))</f>
        <v>Good</v>
      </c>
      <c r="S1831" s="3" t="s">
        <v>87</v>
      </c>
    </row>
    <row r="1832" spans="1:19" x14ac:dyDescent="0.25">
      <c r="A1832" s="3">
        <v>1831</v>
      </c>
      <c r="B1832" s="5">
        <f>DATE(Table1[[#This Row],[Year]],Table1[[#This Row],[Month]],Table1[[#This Row],[Day]])</f>
        <v>44998</v>
      </c>
      <c r="C1832" s="3">
        <v>13</v>
      </c>
      <c r="D1832" s="3">
        <v>3</v>
      </c>
      <c r="E1832" s="3">
        <v>2023</v>
      </c>
      <c r="F1832" s="3" t="str">
        <f>"Qtr"&amp; " " &amp;CHOOSE(MONTH(Table1[[#This Row],[Date]]),1,1,1,2,2,2,3,3,3,4,4,4)</f>
        <v>Qtr 1</v>
      </c>
      <c r="G1832" s="3" t="str">
        <f>TEXT(Table1[[#This Row],[Date]],"mmmm")</f>
        <v>March</v>
      </c>
      <c r="H1832" s="3" t="s">
        <v>1081</v>
      </c>
      <c r="I1832" s="3" t="s">
        <v>13</v>
      </c>
      <c r="J1832" s="3">
        <v>7</v>
      </c>
      <c r="K1832" s="3">
        <v>16285.75</v>
      </c>
      <c r="L1832" s="3">
        <f>Table1[[#This Row],[Price Per Unit]]*Table1[[#This Row],[Units Sold]]</f>
        <v>114000.25</v>
      </c>
      <c r="M1832" s="3" t="s">
        <v>233</v>
      </c>
      <c r="N1832" s="3">
        <v>41</v>
      </c>
      <c r="O1832" s="3" t="s">
        <v>30</v>
      </c>
      <c r="P1832" s="3" t="s">
        <v>45</v>
      </c>
      <c r="Q1832" s="4">
        <v>5</v>
      </c>
      <c r="R1832" s="4" t="str">
        <f>IF(Table1[[#This Row],[Customer Ratings]]&gt;=4, "Good",IF(Table1[[#This Row],[Customer Ratings]]=3, "Average","Poor"))</f>
        <v>Good</v>
      </c>
      <c r="S1832" s="3" t="s">
        <v>17</v>
      </c>
    </row>
    <row r="1833" spans="1:19" x14ac:dyDescent="0.25">
      <c r="A1833" s="3">
        <v>1832</v>
      </c>
      <c r="B1833" s="5">
        <f>DATE(Table1[[#This Row],[Year]],Table1[[#This Row],[Month]],Table1[[#This Row],[Day]])</f>
        <v>44999</v>
      </c>
      <c r="C1833" s="3">
        <v>14</v>
      </c>
      <c r="D1833" s="3">
        <v>3</v>
      </c>
      <c r="E1833" s="3">
        <v>2023</v>
      </c>
      <c r="F1833" s="3" t="str">
        <f>"Qtr"&amp; " " &amp;CHOOSE(MONTH(Table1[[#This Row],[Date]]),1,1,1,2,2,2,3,3,3,4,4,4)</f>
        <v>Qtr 1</v>
      </c>
      <c r="G1833" s="3" t="str">
        <f>TEXT(Table1[[#This Row],[Date]],"mmmm")</f>
        <v>March</v>
      </c>
      <c r="H1833" s="3" t="s">
        <v>1082</v>
      </c>
      <c r="I1833" s="3" t="s">
        <v>13</v>
      </c>
      <c r="J1833" s="3">
        <v>1</v>
      </c>
      <c r="K1833" s="3">
        <v>37253.67</v>
      </c>
      <c r="L1833" s="3">
        <f>Table1[[#This Row],[Price Per Unit]]*Table1[[#This Row],[Units Sold]]</f>
        <v>37253.67</v>
      </c>
      <c r="M1833" s="3" t="s">
        <v>755</v>
      </c>
      <c r="N1833" s="3">
        <v>56</v>
      </c>
      <c r="O1833" s="3" t="s">
        <v>102</v>
      </c>
      <c r="P1833" s="3" t="s">
        <v>21</v>
      </c>
      <c r="Q1833" s="4">
        <v>1</v>
      </c>
      <c r="R1833" s="4" t="str">
        <f>IF(Table1[[#This Row],[Customer Ratings]]&gt;=4, "Good",IF(Table1[[#This Row],[Customer Ratings]]=3, "Average","Poor"))</f>
        <v>Poor</v>
      </c>
      <c r="S1833" s="3" t="s">
        <v>17</v>
      </c>
    </row>
    <row r="1834" spans="1:19" x14ac:dyDescent="0.25">
      <c r="A1834" s="3">
        <v>1833</v>
      </c>
      <c r="B1834" s="5">
        <f>DATE(Table1[[#This Row],[Year]],Table1[[#This Row],[Month]],Table1[[#This Row],[Day]])</f>
        <v>44999</v>
      </c>
      <c r="C1834" s="3">
        <v>14</v>
      </c>
      <c r="D1834" s="3">
        <v>3</v>
      </c>
      <c r="E1834" s="3">
        <v>2023</v>
      </c>
      <c r="F1834" s="3" t="str">
        <f>"Qtr"&amp; " " &amp;CHOOSE(MONTH(Table1[[#This Row],[Date]]),1,1,1,2,2,2,3,3,3,4,4,4)</f>
        <v>Qtr 1</v>
      </c>
      <c r="G1834" s="3" t="str">
        <f>TEXT(Table1[[#This Row],[Date]],"mmmm")</f>
        <v>March</v>
      </c>
      <c r="H1834" s="3" t="s">
        <v>1082</v>
      </c>
      <c r="I1834" s="3" t="s">
        <v>33</v>
      </c>
      <c r="J1834" s="3">
        <v>7</v>
      </c>
      <c r="K1834" s="3">
        <v>24325.95</v>
      </c>
      <c r="L1834" s="3">
        <f>Table1[[#This Row],[Price Per Unit]]*Table1[[#This Row],[Units Sold]]</f>
        <v>170281.65</v>
      </c>
      <c r="M1834" s="3" t="s">
        <v>690</v>
      </c>
      <c r="N1834" s="3">
        <v>53</v>
      </c>
      <c r="O1834" s="3" t="s">
        <v>20</v>
      </c>
      <c r="P1834" s="3" t="s">
        <v>45</v>
      </c>
      <c r="Q1834" s="4">
        <v>4</v>
      </c>
      <c r="R1834" s="4" t="str">
        <f>IF(Table1[[#This Row],[Customer Ratings]]&gt;=4, "Good",IF(Table1[[#This Row],[Customer Ratings]]=3, "Average","Poor"))</f>
        <v>Good</v>
      </c>
      <c r="S1834" s="3" t="s">
        <v>46</v>
      </c>
    </row>
    <row r="1835" spans="1:19" x14ac:dyDescent="0.25">
      <c r="A1835" s="3">
        <v>1834</v>
      </c>
      <c r="B1835" s="5">
        <f>DATE(Table1[[#This Row],[Year]],Table1[[#This Row],[Month]],Table1[[#This Row],[Day]])</f>
        <v>44999</v>
      </c>
      <c r="C1835" s="3">
        <v>14</v>
      </c>
      <c r="D1835" s="3">
        <v>3</v>
      </c>
      <c r="E1835" s="3">
        <v>2023</v>
      </c>
      <c r="F1835" s="3" t="str">
        <f>"Qtr"&amp; " " &amp;CHOOSE(MONTH(Table1[[#This Row],[Date]]),1,1,1,2,2,2,3,3,3,4,4,4)</f>
        <v>Qtr 1</v>
      </c>
      <c r="G1835" s="3" t="str">
        <f>TEXT(Table1[[#This Row],[Date]],"mmmm")</f>
        <v>March</v>
      </c>
      <c r="H1835" s="3" t="s">
        <v>1082</v>
      </c>
      <c r="I1835" s="3" t="s">
        <v>39</v>
      </c>
      <c r="J1835" s="3">
        <v>5</v>
      </c>
      <c r="K1835" s="3">
        <v>60133.89</v>
      </c>
      <c r="L1835" s="3">
        <f>Table1[[#This Row],[Price Per Unit]]*Table1[[#This Row],[Units Sold]]</f>
        <v>300669.45</v>
      </c>
      <c r="M1835" s="3" t="s">
        <v>590</v>
      </c>
      <c r="N1835" s="3">
        <v>37</v>
      </c>
      <c r="O1835" s="3" t="s">
        <v>120</v>
      </c>
      <c r="P1835" s="3" t="s">
        <v>45</v>
      </c>
      <c r="Q1835" s="4">
        <v>4</v>
      </c>
      <c r="R1835" s="4" t="str">
        <f>IF(Table1[[#This Row],[Customer Ratings]]&gt;=4, "Good",IF(Table1[[#This Row],[Customer Ratings]]=3, "Average","Poor"))</f>
        <v>Good</v>
      </c>
      <c r="S1835" s="3" t="s">
        <v>90</v>
      </c>
    </row>
    <row r="1836" spans="1:19" x14ac:dyDescent="0.25">
      <c r="A1836" s="3">
        <v>1835</v>
      </c>
      <c r="B1836" s="5">
        <f>DATE(Table1[[#This Row],[Year]],Table1[[#This Row],[Month]],Table1[[#This Row],[Day]])</f>
        <v>45000</v>
      </c>
      <c r="C1836" s="3">
        <v>15</v>
      </c>
      <c r="D1836" s="3">
        <v>3</v>
      </c>
      <c r="E1836" s="3">
        <v>2023</v>
      </c>
      <c r="F1836" s="3" t="str">
        <f>"Qtr"&amp; " " &amp;CHOOSE(MONTH(Table1[[#This Row],[Date]]),1,1,1,2,2,2,3,3,3,4,4,4)</f>
        <v>Qtr 1</v>
      </c>
      <c r="G1836" s="3" t="str">
        <f>TEXT(Table1[[#This Row],[Date]],"mmmm")</f>
        <v>March</v>
      </c>
      <c r="H1836" s="3" t="s">
        <v>1083</v>
      </c>
      <c r="I1836" s="3" t="s">
        <v>28</v>
      </c>
      <c r="J1836" s="3">
        <v>8</v>
      </c>
      <c r="K1836" s="3">
        <v>57035.18</v>
      </c>
      <c r="L1836" s="3">
        <f>Table1[[#This Row],[Price Per Unit]]*Table1[[#This Row],[Units Sold]]</f>
        <v>456281.44</v>
      </c>
      <c r="M1836" s="3" t="s">
        <v>292</v>
      </c>
      <c r="N1836" s="3">
        <v>49</v>
      </c>
      <c r="O1836" s="3" t="s">
        <v>20</v>
      </c>
      <c r="P1836" s="3" t="s">
        <v>21</v>
      </c>
      <c r="Q1836" s="4">
        <v>5</v>
      </c>
      <c r="R1836" s="4" t="str">
        <f>IF(Table1[[#This Row],[Customer Ratings]]&gt;=4, "Good",IF(Table1[[#This Row],[Customer Ratings]]=3, "Average","Poor"))</f>
        <v>Good</v>
      </c>
      <c r="S1836" s="3" t="s">
        <v>38</v>
      </c>
    </row>
    <row r="1837" spans="1:19" x14ac:dyDescent="0.25">
      <c r="A1837" s="3">
        <v>1836</v>
      </c>
      <c r="B1837" s="5">
        <f>DATE(Table1[[#This Row],[Year]],Table1[[#This Row],[Month]],Table1[[#This Row],[Day]])</f>
        <v>45000</v>
      </c>
      <c r="C1837" s="3">
        <v>15</v>
      </c>
      <c r="D1837" s="3">
        <v>3</v>
      </c>
      <c r="E1837" s="3">
        <v>2023</v>
      </c>
      <c r="F1837" s="3" t="str">
        <f>"Qtr"&amp; " " &amp;CHOOSE(MONTH(Table1[[#This Row],[Date]]),1,1,1,2,2,2,3,3,3,4,4,4)</f>
        <v>Qtr 1</v>
      </c>
      <c r="G1837" s="3" t="str">
        <f>TEXT(Table1[[#This Row],[Date]],"mmmm")</f>
        <v>March</v>
      </c>
      <c r="H1837" s="3" t="s">
        <v>1083</v>
      </c>
      <c r="I1837" s="3" t="s">
        <v>33</v>
      </c>
      <c r="J1837" s="3">
        <v>4</v>
      </c>
      <c r="K1837" s="3">
        <v>59450.8</v>
      </c>
      <c r="L1837" s="3">
        <f>Table1[[#This Row],[Price Per Unit]]*Table1[[#This Row],[Units Sold]]</f>
        <v>237803.2</v>
      </c>
      <c r="M1837" s="3" t="s">
        <v>49</v>
      </c>
      <c r="N1837" s="3">
        <v>56</v>
      </c>
      <c r="O1837" s="3" t="s">
        <v>24</v>
      </c>
      <c r="P1837" s="3" t="s">
        <v>45</v>
      </c>
      <c r="Q1837" s="4">
        <v>5</v>
      </c>
      <c r="R1837" s="4" t="str">
        <f>IF(Table1[[#This Row],[Customer Ratings]]&gt;=4, "Good",IF(Table1[[#This Row],[Customer Ratings]]=3, "Average","Poor"))</f>
        <v>Good</v>
      </c>
      <c r="S1837" s="3" t="s">
        <v>46</v>
      </c>
    </row>
    <row r="1838" spans="1:19" x14ac:dyDescent="0.25">
      <c r="A1838" s="3">
        <v>1837</v>
      </c>
      <c r="B1838" s="5">
        <f>DATE(Table1[[#This Row],[Year]],Table1[[#This Row],[Month]],Table1[[#This Row],[Day]])</f>
        <v>45000</v>
      </c>
      <c r="C1838" s="3">
        <v>15</v>
      </c>
      <c r="D1838" s="3">
        <v>3</v>
      </c>
      <c r="E1838" s="3">
        <v>2023</v>
      </c>
      <c r="F1838" s="3" t="str">
        <f>"Qtr"&amp; " " &amp;CHOOSE(MONTH(Table1[[#This Row],[Date]]),1,1,1,2,2,2,3,3,3,4,4,4)</f>
        <v>Qtr 1</v>
      </c>
      <c r="G1838" s="3" t="str">
        <f>TEXT(Table1[[#This Row],[Date]],"mmmm")</f>
        <v>March</v>
      </c>
      <c r="H1838" s="3" t="s">
        <v>1083</v>
      </c>
      <c r="I1838" s="3" t="s">
        <v>39</v>
      </c>
      <c r="J1838" s="3">
        <v>7</v>
      </c>
      <c r="K1838" s="3">
        <v>53416.57</v>
      </c>
      <c r="L1838" s="3">
        <f>Table1[[#This Row],[Price Per Unit]]*Table1[[#This Row],[Units Sold]]</f>
        <v>373915.99</v>
      </c>
      <c r="M1838" s="3" t="s">
        <v>693</v>
      </c>
      <c r="N1838" s="3">
        <v>43</v>
      </c>
      <c r="O1838" s="3" t="s">
        <v>24</v>
      </c>
      <c r="P1838" s="3" t="s">
        <v>45</v>
      </c>
      <c r="Q1838" s="4">
        <v>1</v>
      </c>
      <c r="R1838" s="4" t="str">
        <f>IF(Table1[[#This Row],[Customer Ratings]]&gt;=4, "Good",IF(Table1[[#This Row],[Customer Ratings]]=3, "Average","Poor"))</f>
        <v>Poor</v>
      </c>
      <c r="S1838" s="3" t="s">
        <v>42</v>
      </c>
    </row>
    <row r="1839" spans="1:19" x14ac:dyDescent="0.25">
      <c r="A1839" s="3">
        <v>1838</v>
      </c>
      <c r="B1839" s="5">
        <f>DATE(Table1[[#This Row],[Year]],Table1[[#This Row],[Month]],Table1[[#This Row],[Day]])</f>
        <v>45000</v>
      </c>
      <c r="C1839" s="3">
        <v>15</v>
      </c>
      <c r="D1839" s="3">
        <v>3</v>
      </c>
      <c r="E1839" s="3">
        <v>2023</v>
      </c>
      <c r="F1839" s="3" t="str">
        <f>"Qtr"&amp; " " &amp;CHOOSE(MONTH(Table1[[#This Row],[Date]]),1,1,1,2,2,2,3,3,3,4,4,4)</f>
        <v>Qtr 1</v>
      </c>
      <c r="G1839" s="3" t="str">
        <f>TEXT(Table1[[#This Row],[Date]],"mmmm")</f>
        <v>March</v>
      </c>
      <c r="H1839" s="3" t="s">
        <v>1083</v>
      </c>
      <c r="I1839" s="3" t="s">
        <v>28</v>
      </c>
      <c r="J1839" s="3">
        <v>6</v>
      </c>
      <c r="K1839" s="3">
        <v>59960.99</v>
      </c>
      <c r="L1839" s="3">
        <f>Table1[[#This Row],[Price Per Unit]]*Table1[[#This Row],[Units Sold]]</f>
        <v>359765.94</v>
      </c>
      <c r="M1839" s="3" t="s">
        <v>678</v>
      </c>
      <c r="N1839" s="3">
        <v>43</v>
      </c>
      <c r="O1839" s="3" t="s">
        <v>48</v>
      </c>
      <c r="P1839" s="3" t="s">
        <v>16</v>
      </c>
      <c r="Q1839" s="4">
        <v>5</v>
      </c>
      <c r="R1839" s="4" t="str">
        <f>IF(Table1[[#This Row],[Customer Ratings]]&gt;=4, "Good",IF(Table1[[#This Row],[Customer Ratings]]=3, "Average","Poor"))</f>
        <v>Good</v>
      </c>
      <c r="S1839" s="3" t="s">
        <v>32</v>
      </c>
    </row>
    <row r="1840" spans="1:19" x14ac:dyDescent="0.25">
      <c r="A1840" s="3">
        <v>1839</v>
      </c>
      <c r="B1840" s="5">
        <f>DATE(Table1[[#This Row],[Year]],Table1[[#This Row],[Month]],Table1[[#This Row],[Day]])</f>
        <v>45001</v>
      </c>
      <c r="C1840" s="3">
        <v>16</v>
      </c>
      <c r="D1840" s="3">
        <v>3</v>
      </c>
      <c r="E1840" s="3">
        <v>2023</v>
      </c>
      <c r="F1840" s="3" t="str">
        <f>"Qtr"&amp; " " &amp;CHOOSE(MONTH(Table1[[#This Row],[Date]]),1,1,1,2,2,2,3,3,3,4,4,4)</f>
        <v>Qtr 1</v>
      </c>
      <c r="G1840" s="3" t="str">
        <f>TEXT(Table1[[#This Row],[Date]],"mmmm")</f>
        <v>March</v>
      </c>
      <c r="H1840" s="3" t="s">
        <v>1084</v>
      </c>
      <c r="I1840" s="3" t="s">
        <v>18</v>
      </c>
      <c r="J1840" s="3">
        <v>5</v>
      </c>
      <c r="K1840" s="3">
        <v>22049.73</v>
      </c>
      <c r="L1840" s="3">
        <f>Table1[[#This Row],[Price Per Unit]]*Table1[[#This Row],[Units Sold]]</f>
        <v>110248.65</v>
      </c>
      <c r="M1840" s="3" t="s">
        <v>807</v>
      </c>
      <c r="N1840" s="3">
        <v>53</v>
      </c>
      <c r="O1840" s="3" t="s">
        <v>24</v>
      </c>
      <c r="P1840" s="3" t="s">
        <v>31</v>
      </c>
      <c r="Q1840" s="4">
        <v>1</v>
      </c>
      <c r="R1840" s="4" t="str">
        <f>IF(Table1[[#This Row],[Customer Ratings]]&gt;=4, "Good",IF(Table1[[#This Row],[Customer Ratings]]=3, "Average","Poor"))</f>
        <v>Poor</v>
      </c>
      <c r="S1840" s="3" t="s">
        <v>25</v>
      </c>
    </row>
    <row r="1841" spans="1:19" x14ac:dyDescent="0.25">
      <c r="A1841" s="3">
        <v>1840</v>
      </c>
      <c r="B1841" s="5">
        <f>DATE(Table1[[#This Row],[Year]],Table1[[#This Row],[Month]],Table1[[#This Row],[Day]])</f>
        <v>45001</v>
      </c>
      <c r="C1841" s="3">
        <v>16</v>
      </c>
      <c r="D1841" s="3">
        <v>3</v>
      </c>
      <c r="E1841" s="3">
        <v>2023</v>
      </c>
      <c r="F1841" s="3" t="str">
        <f>"Qtr"&amp; " " &amp;CHOOSE(MONTH(Table1[[#This Row],[Date]]),1,1,1,2,2,2,3,3,3,4,4,4)</f>
        <v>Qtr 1</v>
      </c>
      <c r="G1841" s="3" t="str">
        <f>TEXT(Table1[[#This Row],[Date]],"mmmm")</f>
        <v>March</v>
      </c>
      <c r="H1841" s="3" t="s">
        <v>1084</v>
      </c>
      <c r="I1841" s="3" t="s">
        <v>28</v>
      </c>
      <c r="J1841" s="3">
        <v>4</v>
      </c>
      <c r="K1841" s="3">
        <v>37122.629999999997</v>
      </c>
      <c r="L1841" s="3">
        <f>Table1[[#This Row],[Price Per Unit]]*Table1[[#This Row],[Units Sold]]</f>
        <v>148490.51999999999</v>
      </c>
      <c r="M1841" s="3" t="s">
        <v>688</v>
      </c>
      <c r="N1841" s="3">
        <v>52</v>
      </c>
      <c r="O1841" s="3" t="s">
        <v>20</v>
      </c>
      <c r="P1841" s="3" t="s">
        <v>16</v>
      </c>
      <c r="Q1841" s="4">
        <v>1</v>
      </c>
      <c r="R1841" s="4" t="str">
        <f>IF(Table1[[#This Row],[Customer Ratings]]&gt;=4, "Good",IF(Table1[[#This Row],[Customer Ratings]]=3, "Average","Poor"))</f>
        <v>Poor</v>
      </c>
      <c r="S1841" s="3" t="s">
        <v>87</v>
      </c>
    </row>
    <row r="1842" spans="1:19" x14ac:dyDescent="0.25">
      <c r="A1842" s="3">
        <v>1841</v>
      </c>
      <c r="B1842" s="5">
        <f>DATE(Table1[[#This Row],[Year]],Table1[[#This Row],[Month]],Table1[[#This Row],[Day]])</f>
        <v>45001</v>
      </c>
      <c r="C1842" s="3">
        <v>16</v>
      </c>
      <c r="D1842" s="3">
        <v>3</v>
      </c>
      <c r="E1842" s="3">
        <v>2023</v>
      </c>
      <c r="F1842" s="3" t="str">
        <f>"Qtr"&amp; " " &amp;CHOOSE(MONTH(Table1[[#This Row],[Date]]),1,1,1,2,2,2,3,3,3,4,4,4)</f>
        <v>Qtr 1</v>
      </c>
      <c r="G1842" s="3" t="str">
        <f>TEXT(Table1[[#This Row],[Date]],"mmmm")</f>
        <v>March</v>
      </c>
      <c r="H1842" s="3" t="s">
        <v>1084</v>
      </c>
      <c r="I1842" s="3" t="s">
        <v>13</v>
      </c>
      <c r="J1842" s="3">
        <v>7</v>
      </c>
      <c r="K1842" s="3">
        <v>51510.81</v>
      </c>
      <c r="L1842" s="3">
        <f>Table1[[#This Row],[Price Per Unit]]*Table1[[#This Row],[Units Sold]]</f>
        <v>360575.67</v>
      </c>
      <c r="M1842" s="3" t="s">
        <v>635</v>
      </c>
      <c r="N1842" s="3">
        <v>52</v>
      </c>
      <c r="O1842" s="3" t="s">
        <v>105</v>
      </c>
      <c r="P1842" s="3" t="s">
        <v>16</v>
      </c>
      <c r="Q1842" s="4">
        <v>1</v>
      </c>
      <c r="R1842" s="4" t="str">
        <f>IF(Table1[[#This Row],[Customer Ratings]]&gt;=4, "Good",IF(Table1[[#This Row],[Customer Ratings]]=3, "Average","Poor"))</f>
        <v>Poor</v>
      </c>
      <c r="S1842" s="3" t="s">
        <v>17</v>
      </c>
    </row>
    <row r="1843" spans="1:19" x14ac:dyDescent="0.25">
      <c r="A1843" s="3">
        <v>1842</v>
      </c>
      <c r="B1843" s="5">
        <f>DATE(Table1[[#This Row],[Year]],Table1[[#This Row],[Month]],Table1[[#This Row],[Day]])</f>
        <v>45002</v>
      </c>
      <c r="C1843" s="3">
        <v>17</v>
      </c>
      <c r="D1843" s="3">
        <v>3</v>
      </c>
      <c r="E1843" s="3">
        <v>2023</v>
      </c>
      <c r="F1843" s="3" t="str">
        <f>"Qtr"&amp; " " &amp;CHOOSE(MONTH(Table1[[#This Row],[Date]]),1,1,1,2,2,2,3,3,3,4,4,4)</f>
        <v>Qtr 1</v>
      </c>
      <c r="G1843" s="3" t="str">
        <f>TEXT(Table1[[#This Row],[Date]],"mmmm")</f>
        <v>March</v>
      </c>
      <c r="H1843" s="3" t="s">
        <v>1085</v>
      </c>
      <c r="I1843" s="3" t="s">
        <v>13</v>
      </c>
      <c r="J1843" s="3">
        <v>5</v>
      </c>
      <c r="K1843" s="3">
        <v>48243.55</v>
      </c>
      <c r="L1843" s="3">
        <f>Table1[[#This Row],[Price Per Unit]]*Table1[[#This Row],[Units Sold]]</f>
        <v>241217.75</v>
      </c>
      <c r="M1843" s="3" t="s">
        <v>724</v>
      </c>
      <c r="N1843" s="3">
        <v>29</v>
      </c>
      <c r="O1843" s="3" t="s">
        <v>41</v>
      </c>
      <c r="P1843" s="3" t="s">
        <v>45</v>
      </c>
      <c r="Q1843" s="4">
        <v>5</v>
      </c>
      <c r="R1843" s="4" t="str">
        <f>IF(Table1[[#This Row],[Customer Ratings]]&gt;=4, "Good",IF(Table1[[#This Row],[Customer Ratings]]=3, "Average","Poor"))</f>
        <v>Good</v>
      </c>
      <c r="S1843" s="3" t="s">
        <v>17</v>
      </c>
    </row>
    <row r="1844" spans="1:19" x14ac:dyDescent="0.25">
      <c r="A1844" s="3">
        <v>1843</v>
      </c>
      <c r="B1844" s="5">
        <f>DATE(Table1[[#This Row],[Year]],Table1[[#This Row],[Month]],Table1[[#This Row],[Day]])</f>
        <v>45002</v>
      </c>
      <c r="C1844" s="3">
        <v>17</v>
      </c>
      <c r="D1844" s="3">
        <v>3</v>
      </c>
      <c r="E1844" s="3">
        <v>2023</v>
      </c>
      <c r="F1844" s="3" t="str">
        <f>"Qtr"&amp; " " &amp;CHOOSE(MONTH(Table1[[#This Row],[Date]]),1,1,1,2,2,2,3,3,3,4,4,4)</f>
        <v>Qtr 1</v>
      </c>
      <c r="G1844" s="3" t="str">
        <f>TEXT(Table1[[#This Row],[Date]],"mmmm")</f>
        <v>March</v>
      </c>
      <c r="H1844" s="3" t="s">
        <v>1085</v>
      </c>
      <c r="I1844" s="3" t="s">
        <v>18</v>
      </c>
      <c r="J1844" s="3">
        <v>5</v>
      </c>
      <c r="K1844" s="3">
        <v>52981.27</v>
      </c>
      <c r="L1844" s="3">
        <f>Table1[[#This Row],[Price Per Unit]]*Table1[[#This Row],[Units Sold]]</f>
        <v>264906.34999999998</v>
      </c>
      <c r="M1844" s="3" t="s">
        <v>635</v>
      </c>
      <c r="N1844" s="3">
        <v>50</v>
      </c>
      <c r="O1844" s="3" t="s">
        <v>20</v>
      </c>
      <c r="P1844" s="3" t="s">
        <v>31</v>
      </c>
      <c r="Q1844" s="4">
        <v>5</v>
      </c>
      <c r="R1844" s="4" t="str">
        <f>IF(Table1[[#This Row],[Customer Ratings]]&gt;=4, "Good",IF(Table1[[#This Row],[Customer Ratings]]=3, "Average","Poor"))</f>
        <v>Good</v>
      </c>
      <c r="S1844" s="3" t="s">
        <v>55</v>
      </c>
    </row>
    <row r="1845" spans="1:19" x14ac:dyDescent="0.25">
      <c r="A1845" s="3">
        <v>1844</v>
      </c>
      <c r="B1845" s="5">
        <f>DATE(Table1[[#This Row],[Year]],Table1[[#This Row],[Month]],Table1[[#This Row],[Day]])</f>
        <v>45002</v>
      </c>
      <c r="C1845" s="3">
        <v>17</v>
      </c>
      <c r="D1845" s="3">
        <v>3</v>
      </c>
      <c r="E1845" s="3">
        <v>2023</v>
      </c>
      <c r="F1845" s="3" t="str">
        <f>"Qtr"&amp; " " &amp;CHOOSE(MONTH(Table1[[#This Row],[Date]]),1,1,1,2,2,2,3,3,3,4,4,4)</f>
        <v>Qtr 1</v>
      </c>
      <c r="G1845" s="3" t="str">
        <f>TEXT(Table1[[#This Row],[Date]],"mmmm")</f>
        <v>March</v>
      </c>
      <c r="H1845" s="3" t="s">
        <v>1085</v>
      </c>
      <c r="I1845" s="3" t="s">
        <v>33</v>
      </c>
      <c r="J1845" s="3">
        <v>1</v>
      </c>
      <c r="K1845" s="3">
        <v>23455.5</v>
      </c>
      <c r="L1845" s="3">
        <f>Table1[[#This Row],[Price Per Unit]]*Table1[[#This Row],[Units Sold]]</f>
        <v>23455.5</v>
      </c>
      <c r="M1845" s="3" t="s">
        <v>319</v>
      </c>
      <c r="N1845" s="3">
        <v>53</v>
      </c>
      <c r="O1845" s="3" t="s">
        <v>41</v>
      </c>
      <c r="P1845" s="3" t="s">
        <v>31</v>
      </c>
      <c r="Q1845" s="4">
        <v>5</v>
      </c>
      <c r="R1845" s="4" t="str">
        <f>IF(Table1[[#This Row],[Customer Ratings]]&gt;=4, "Good",IF(Table1[[#This Row],[Customer Ratings]]=3, "Average","Poor"))</f>
        <v>Good</v>
      </c>
      <c r="S1845" s="3" t="s">
        <v>46</v>
      </c>
    </row>
    <row r="1846" spans="1:19" x14ac:dyDescent="0.25">
      <c r="A1846" s="3">
        <v>1845</v>
      </c>
      <c r="B1846" s="5">
        <f>DATE(Table1[[#This Row],[Year]],Table1[[#This Row],[Month]],Table1[[#This Row],[Day]])</f>
        <v>45002</v>
      </c>
      <c r="C1846" s="3">
        <v>17</v>
      </c>
      <c r="D1846" s="3">
        <v>3</v>
      </c>
      <c r="E1846" s="3">
        <v>2023</v>
      </c>
      <c r="F1846" s="3" t="str">
        <f>"Qtr"&amp; " " &amp;CHOOSE(MONTH(Table1[[#This Row],[Date]]),1,1,1,2,2,2,3,3,3,4,4,4)</f>
        <v>Qtr 1</v>
      </c>
      <c r="G1846" s="3" t="str">
        <f>TEXT(Table1[[#This Row],[Date]],"mmmm")</f>
        <v>March</v>
      </c>
      <c r="H1846" s="3" t="s">
        <v>1085</v>
      </c>
      <c r="I1846" s="3" t="s">
        <v>39</v>
      </c>
      <c r="J1846" s="3">
        <v>2</v>
      </c>
      <c r="K1846" s="3">
        <v>15906.08</v>
      </c>
      <c r="L1846" s="3">
        <f>Table1[[#This Row],[Price Per Unit]]*Table1[[#This Row],[Units Sold]]</f>
        <v>31812.16</v>
      </c>
      <c r="M1846" s="3" t="s">
        <v>472</v>
      </c>
      <c r="N1846" s="3">
        <v>31</v>
      </c>
      <c r="O1846" s="3" t="s">
        <v>20</v>
      </c>
      <c r="P1846" s="3" t="s">
        <v>45</v>
      </c>
      <c r="Q1846" s="4">
        <v>3</v>
      </c>
      <c r="R1846" s="4" t="str">
        <f>IF(Table1[[#This Row],[Customer Ratings]]&gt;=4, "Good",IF(Table1[[#This Row],[Customer Ratings]]=3, "Average","Poor"))</f>
        <v>Average</v>
      </c>
      <c r="S1846" s="3" t="s">
        <v>42</v>
      </c>
    </row>
    <row r="1847" spans="1:19" x14ac:dyDescent="0.25">
      <c r="A1847" s="3">
        <v>1846</v>
      </c>
      <c r="B1847" s="5">
        <f>DATE(Table1[[#This Row],[Year]],Table1[[#This Row],[Month]],Table1[[#This Row],[Day]])</f>
        <v>45003</v>
      </c>
      <c r="C1847" s="3">
        <v>18</v>
      </c>
      <c r="D1847" s="3">
        <v>3</v>
      </c>
      <c r="E1847" s="3">
        <v>2023</v>
      </c>
      <c r="F1847" s="3" t="str">
        <f>"Qtr"&amp; " " &amp;CHOOSE(MONTH(Table1[[#This Row],[Date]]),1,1,1,2,2,2,3,3,3,4,4,4)</f>
        <v>Qtr 1</v>
      </c>
      <c r="G1847" s="3" t="str">
        <f>TEXT(Table1[[#This Row],[Date]],"mmmm")</f>
        <v>March</v>
      </c>
      <c r="H1847" s="3" t="s">
        <v>1079</v>
      </c>
      <c r="I1847" s="3" t="s">
        <v>28</v>
      </c>
      <c r="J1847" s="3">
        <v>5</v>
      </c>
      <c r="K1847" s="3">
        <v>65008.39</v>
      </c>
      <c r="L1847" s="3">
        <f>Table1[[#This Row],[Price Per Unit]]*Table1[[#This Row],[Units Sold]]</f>
        <v>325041.95</v>
      </c>
      <c r="M1847" s="3" t="s">
        <v>276</v>
      </c>
      <c r="N1847" s="3">
        <v>50</v>
      </c>
      <c r="O1847" s="3" t="s">
        <v>20</v>
      </c>
      <c r="P1847" s="3" t="s">
        <v>16</v>
      </c>
      <c r="Q1847" s="4">
        <v>5</v>
      </c>
      <c r="R1847" s="4" t="str">
        <f>IF(Table1[[#This Row],[Customer Ratings]]&gt;=4, "Good",IF(Table1[[#This Row],[Customer Ratings]]=3, "Average","Poor"))</f>
        <v>Good</v>
      </c>
      <c r="S1847" s="3" t="s">
        <v>87</v>
      </c>
    </row>
    <row r="1848" spans="1:19" x14ac:dyDescent="0.25">
      <c r="A1848" s="3">
        <v>1847</v>
      </c>
      <c r="B1848" s="5">
        <f>DATE(Table1[[#This Row],[Year]],Table1[[#This Row],[Month]],Table1[[#This Row],[Day]])</f>
        <v>45003</v>
      </c>
      <c r="C1848" s="3">
        <v>18</v>
      </c>
      <c r="D1848" s="3">
        <v>3</v>
      </c>
      <c r="E1848" s="3">
        <v>2023</v>
      </c>
      <c r="F1848" s="3" t="str">
        <f>"Qtr"&amp; " " &amp;CHOOSE(MONTH(Table1[[#This Row],[Date]]),1,1,1,2,2,2,3,3,3,4,4,4)</f>
        <v>Qtr 1</v>
      </c>
      <c r="G1848" s="3" t="str">
        <f>TEXT(Table1[[#This Row],[Date]],"mmmm")</f>
        <v>March</v>
      </c>
      <c r="H1848" s="3" t="s">
        <v>1079</v>
      </c>
      <c r="I1848" s="3" t="s">
        <v>13</v>
      </c>
      <c r="J1848" s="3">
        <v>3</v>
      </c>
      <c r="K1848" s="3">
        <v>43610.31</v>
      </c>
      <c r="L1848" s="3">
        <f>Table1[[#This Row],[Price Per Unit]]*Table1[[#This Row],[Units Sold]]</f>
        <v>130830.93</v>
      </c>
      <c r="M1848" s="3" t="s">
        <v>147</v>
      </c>
      <c r="N1848" s="3">
        <v>41</v>
      </c>
      <c r="O1848" s="3" t="s">
        <v>41</v>
      </c>
      <c r="P1848" s="3" t="s">
        <v>16</v>
      </c>
      <c r="Q1848" s="4">
        <v>5</v>
      </c>
      <c r="R1848" s="4" t="str">
        <f>IF(Table1[[#This Row],[Customer Ratings]]&gt;=4, "Good",IF(Table1[[#This Row],[Customer Ratings]]=3, "Average","Poor"))</f>
        <v>Good</v>
      </c>
      <c r="S1848" s="3" t="s">
        <v>17</v>
      </c>
    </row>
    <row r="1849" spans="1:19" x14ac:dyDescent="0.25">
      <c r="A1849" s="3">
        <v>1848</v>
      </c>
      <c r="B1849" s="5">
        <f>DATE(Table1[[#This Row],[Year]],Table1[[#This Row],[Month]],Table1[[#This Row],[Day]])</f>
        <v>45003</v>
      </c>
      <c r="C1849" s="3">
        <v>18</v>
      </c>
      <c r="D1849" s="3">
        <v>3</v>
      </c>
      <c r="E1849" s="3">
        <v>2023</v>
      </c>
      <c r="F1849" s="3" t="str">
        <f>"Qtr"&amp; " " &amp;CHOOSE(MONTH(Table1[[#This Row],[Date]]),1,1,1,2,2,2,3,3,3,4,4,4)</f>
        <v>Qtr 1</v>
      </c>
      <c r="G1849" s="3" t="str">
        <f>TEXT(Table1[[#This Row],[Date]],"mmmm")</f>
        <v>March</v>
      </c>
      <c r="H1849" s="3" t="s">
        <v>1079</v>
      </c>
      <c r="I1849" s="3" t="s">
        <v>33</v>
      </c>
      <c r="J1849" s="3">
        <v>2</v>
      </c>
      <c r="K1849" s="3">
        <v>19229.560000000001</v>
      </c>
      <c r="L1849" s="3">
        <f>Table1[[#This Row],[Price Per Unit]]*Table1[[#This Row],[Units Sold]]</f>
        <v>38459.120000000003</v>
      </c>
      <c r="M1849" s="3" t="s">
        <v>387</v>
      </c>
      <c r="N1849" s="3">
        <v>32</v>
      </c>
      <c r="O1849" s="3" t="s">
        <v>81</v>
      </c>
      <c r="P1849" s="3" t="s">
        <v>16</v>
      </c>
      <c r="Q1849" s="4">
        <v>3</v>
      </c>
      <c r="R1849" s="4" t="str">
        <f>IF(Table1[[#This Row],[Customer Ratings]]&gt;=4, "Good",IF(Table1[[#This Row],[Customer Ratings]]=3, "Average","Poor"))</f>
        <v>Average</v>
      </c>
      <c r="S1849" s="3" t="s">
        <v>46</v>
      </c>
    </row>
    <row r="1850" spans="1:19" x14ac:dyDescent="0.25">
      <c r="A1850" s="3">
        <v>1849</v>
      </c>
      <c r="B1850" s="5">
        <f>DATE(Table1[[#This Row],[Year]],Table1[[#This Row],[Month]],Table1[[#This Row],[Day]])</f>
        <v>45004</v>
      </c>
      <c r="C1850" s="3">
        <v>19</v>
      </c>
      <c r="D1850" s="3">
        <v>3</v>
      </c>
      <c r="E1850" s="3">
        <v>2023</v>
      </c>
      <c r="F1850" s="3" t="str">
        <f>"Qtr"&amp; " " &amp;CHOOSE(MONTH(Table1[[#This Row],[Date]]),1,1,1,2,2,2,3,3,3,4,4,4)</f>
        <v>Qtr 1</v>
      </c>
      <c r="G1850" s="3" t="str">
        <f>TEXT(Table1[[#This Row],[Date]],"mmmm")</f>
        <v>March</v>
      </c>
      <c r="H1850" s="3" t="s">
        <v>1080</v>
      </c>
      <c r="I1850" s="3" t="s">
        <v>18</v>
      </c>
      <c r="J1850" s="3">
        <v>4</v>
      </c>
      <c r="K1850" s="3">
        <v>57606.19</v>
      </c>
      <c r="L1850" s="3">
        <f>Table1[[#This Row],[Price Per Unit]]*Table1[[#This Row],[Units Sold]]</f>
        <v>230424.76</v>
      </c>
      <c r="M1850" s="3" t="s">
        <v>517</v>
      </c>
      <c r="N1850" s="3">
        <v>48</v>
      </c>
      <c r="O1850" s="3" t="s">
        <v>20</v>
      </c>
      <c r="P1850" s="3" t="s">
        <v>31</v>
      </c>
      <c r="Q1850" s="4">
        <v>1</v>
      </c>
      <c r="R1850" s="4" t="str">
        <f>IF(Table1[[#This Row],[Customer Ratings]]&gt;=4, "Good",IF(Table1[[#This Row],[Customer Ratings]]=3, "Average","Poor"))</f>
        <v>Poor</v>
      </c>
      <c r="S1850" s="3" t="s">
        <v>25</v>
      </c>
    </row>
    <row r="1851" spans="1:19" x14ac:dyDescent="0.25">
      <c r="A1851" s="3">
        <v>1850</v>
      </c>
      <c r="B1851" s="5">
        <f>DATE(Table1[[#This Row],[Year]],Table1[[#This Row],[Month]],Table1[[#This Row],[Day]])</f>
        <v>45004</v>
      </c>
      <c r="C1851" s="3">
        <v>19</v>
      </c>
      <c r="D1851" s="3">
        <v>3</v>
      </c>
      <c r="E1851" s="3">
        <v>2023</v>
      </c>
      <c r="F1851" s="3" t="str">
        <f>"Qtr"&amp; " " &amp;CHOOSE(MONTH(Table1[[#This Row],[Date]]),1,1,1,2,2,2,3,3,3,4,4,4)</f>
        <v>Qtr 1</v>
      </c>
      <c r="G1851" s="3" t="str">
        <f>TEXT(Table1[[#This Row],[Date]],"mmmm")</f>
        <v>March</v>
      </c>
      <c r="H1851" s="3" t="s">
        <v>1080</v>
      </c>
      <c r="I1851" s="3" t="s">
        <v>13</v>
      </c>
      <c r="J1851" s="3">
        <v>4</v>
      </c>
      <c r="K1851" s="3">
        <v>64895.8</v>
      </c>
      <c r="L1851" s="3">
        <f>Table1[[#This Row],[Price Per Unit]]*Table1[[#This Row],[Units Sold]]</f>
        <v>259583.2</v>
      </c>
      <c r="M1851" s="3" t="s">
        <v>67</v>
      </c>
      <c r="N1851" s="3">
        <v>34</v>
      </c>
      <c r="O1851" s="3" t="s">
        <v>15</v>
      </c>
      <c r="P1851" s="3" t="s">
        <v>45</v>
      </c>
      <c r="Q1851" s="4">
        <v>4</v>
      </c>
      <c r="R1851" s="4" t="str">
        <f>IF(Table1[[#This Row],[Customer Ratings]]&gt;=4, "Good",IF(Table1[[#This Row],[Customer Ratings]]=3, "Average","Poor"))</f>
        <v>Good</v>
      </c>
      <c r="S1851" s="3" t="s">
        <v>72</v>
      </c>
    </row>
    <row r="1852" spans="1:19" x14ac:dyDescent="0.25">
      <c r="A1852" s="3">
        <v>1851</v>
      </c>
      <c r="B1852" s="5">
        <f>DATE(Table1[[#This Row],[Year]],Table1[[#This Row],[Month]],Table1[[#This Row],[Day]])</f>
        <v>45004</v>
      </c>
      <c r="C1852" s="3">
        <v>19</v>
      </c>
      <c r="D1852" s="3">
        <v>3</v>
      </c>
      <c r="E1852" s="3">
        <v>2023</v>
      </c>
      <c r="F1852" s="3" t="str">
        <f>"Qtr"&amp; " " &amp;CHOOSE(MONTH(Table1[[#This Row],[Date]]),1,1,1,2,2,2,3,3,3,4,4,4)</f>
        <v>Qtr 1</v>
      </c>
      <c r="G1852" s="3" t="str">
        <f>TEXT(Table1[[#This Row],[Date]],"mmmm")</f>
        <v>March</v>
      </c>
      <c r="H1852" s="3" t="s">
        <v>1080</v>
      </c>
      <c r="I1852" s="3" t="s">
        <v>18</v>
      </c>
      <c r="J1852" s="3">
        <v>4</v>
      </c>
      <c r="K1852" s="3">
        <v>20173.810000000001</v>
      </c>
      <c r="L1852" s="3">
        <f>Table1[[#This Row],[Price Per Unit]]*Table1[[#This Row],[Units Sold]]</f>
        <v>80695.240000000005</v>
      </c>
      <c r="M1852" s="3" t="s">
        <v>318</v>
      </c>
      <c r="N1852" s="3">
        <v>29</v>
      </c>
      <c r="O1852" s="3" t="s">
        <v>48</v>
      </c>
      <c r="P1852" s="3" t="s">
        <v>31</v>
      </c>
      <c r="Q1852" s="4">
        <v>3</v>
      </c>
      <c r="R1852" s="4" t="str">
        <f>IF(Table1[[#This Row],[Customer Ratings]]&gt;=4, "Good",IF(Table1[[#This Row],[Customer Ratings]]=3, "Average","Poor"))</f>
        <v>Average</v>
      </c>
      <c r="S1852" s="3" t="s">
        <v>25</v>
      </c>
    </row>
    <row r="1853" spans="1:19" x14ac:dyDescent="0.25">
      <c r="A1853" s="3">
        <v>1852</v>
      </c>
      <c r="B1853" s="5">
        <f>DATE(Table1[[#This Row],[Year]],Table1[[#This Row],[Month]],Table1[[#This Row],[Day]])</f>
        <v>45005</v>
      </c>
      <c r="C1853" s="3">
        <v>20</v>
      </c>
      <c r="D1853" s="3">
        <v>3</v>
      </c>
      <c r="E1853" s="3">
        <v>2023</v>
      </c>
      <c r="F1853" s="3" t="str">
        <f>"Qtr"&amp; " " &amp;CHOOSE(MONTH(Table1[[#This Row],[Date]]),1,1,1,2,2,2,3,3,3,4,4,4)</f>
        <v>Qtr 1</v>
      </c>
      <c r="G1853" s="3" t="str">
        <f>TEXT(Table1[[#This Row],[Date]],"mmmm")</f>
        <v>March</v>
      </c>
      <c r="H1853" s="3" t="s">
        <v>1081</v>
      </c>
      <c r="I1853" s="3" t="s">
        <v>28</v>
      </c>
      <c r="J1853" s="3">
        <v>4</v>
      </c>
      <c r="K1853" s="3">
        <v>59044.75</v>
      </c>
      <c r="L1853" s="3">
        <f>Table1[[#This Row],[Price Per Unit]]*Table1[[#This Row],[Units Sold]]</f>
        <v>236179</v>
      </c>
      <c r="M1853" s="3" t="s">
        <v>37</v>
      </c>
      <c r="N1853" s="3">
        <v>39</v>
      </c>
      <c r="O1853" s="3" t="s">
        <v>20</v>
      </c>
      <c r="P1853" s="3" t="s">
        <v>16</v>
      </c>
      <c r="Q1853" s="4">
        <v>3</v>
      </c>
      <c r="R1853" s="4" t="str">
        <f>IF(Table1[[#This Row],[Customer Ratings]]&gt;=4, "Good",IF(Table1[[#This Row],[Customer Ratings]]=3, "Average","Poor"))</f>
        <v>Average</v>
      </c>
      <c r="S1853" s="3" t="s">
        <v>87</v>
      </c>
    </row>
    <row r="1854" spans="1:19" x14ac:dyDescent="0.25">
      <c r="A1854" s="3">
        <v>1853</v>
      </c>
      <c r="B1854" s="5">
        <f>DATE(Table1[[#This Row],[Year]],Table1[[#This Row],[Month]],Table1[[#This Row],[Day]])</f>
        <v>45005</v>
      </c>
      <c r="C1854" s="3">
        <v>20</v>
      </c>
      <c r="D1854" s="3">
        <v>3</v>
      </c>
      <c r="E1854" s="3">
        <v>2023</v>
      </c>
      <c r="F1854" s="3" t="str">
        <f>"Qtr"&amp; " " &amp;CHOOSE(MONTH(Table1[[#This Row],[Date]]),1,1,1,2,2,2,3,3,3,4,4,4)</f>
        <v>Qtr 1</v>
      </c>
      <c r="G1854" s="3" t="str">
        <f>TEXT(Table1[[#This Row],[Date]],"mmmm")</f>
        <v>March</v>
      </c>
      <c r="H1854" s="3" t="s">
        <v>1081</v>
      </c>
      <c r="I1854" s="3" t="s">
        <v>39</v>
      </c>
      <c r="J1854" s="3">
        <v>3</v>
      </c>
      <c r="K1854" s="3">
        <v>65993.5</v>
      </c>
      <c r="L1854" s="3">
        <f>Table1[[#This Row],[Price Per Unit]]*Table1[[#This Row],[Units Sold]]</f>
        <v>197980.5</v>
      </c>
      <c r="M1854" s="3" t="s">
        <v>75</v>
      </c>
      <c r="N1854" s="3">
        <v>40</v>
      </c>
      <c r="O1854" s="3" t="s">
        <v>125</v>
      </c>
      <c r="P1854" s="3" t="s">
        <v>31</v>
      </c>
      <c r="Q1854" s="4">
        <v>1</v>
      </c>
      <c r="R1854" s="4" t="str">
        <f>IF(Table1[[#This Row],[Customer Ratings]]&gt;=4, "Good",IF(Table1[[#This Row],[Customer Ratings]]=3, "Average","Poor"))</f>
        <v>Poor</v>
      </c>
      <c r="S1854" s="3" t="s">
        <v>76</v>
      </c>
    </row>
    <row r="1855" spans="1:19" x14ac:dyDescent="0.25">
      <c r="A1855" s="3">
        <v>1854</v>
      </c>
      <c r="B1855" s="5">
        <f>DATE(Table1[[#This Row],[Year]],Table1[[#This Row],[Month]],Table1[[#This Row],[Day]])</f>
        <v>45005</v>
      </c>
      <c r="C1855" s="3">
        <v>20</v>
      </c>
      <c r="D1855" s="3">
        <v>3</v>
      </c>
      <c r="E1855" s="3">
        <v>2023</v>
      </c>
      <c r="F1855" s="3" t="str">
        <f>"Qtr"&amp; " " &amp;CHOOSE(MONTH(Table1[[#This Row],[Date]]),1,1,1,2,2,2,3,3,3,4,4,4)</f>
        <v>Qtr 1</v>
      </c>
      <c r="G1855" s="3" t="str">
        <f>TEXT(Table1[[#This Row],[Date]],"mmmm")</f>
        <v>March</v>
      </c>
      <c r="H1855" s="3" t="s">
        <v>1081</v>
      </c>
      <c r="I1855" s="3" t="s">
        <v>13</v>
      </c>
      <c r="J1855" s="3">
        <v>7</v>
      </c>
      <c r="K1855" s="3">
        <v>66301.7</v>
      </c>
      <c r="L1855" s="3">
        <f>Table1[[#This Row],[Price Per Unit]]*Table1[[#This Row],[Units Sold]]</f>
        <v>464111.89999999997</v>
      </c>
      <c r="M1855" s="3" t="s">
        <v>432</v>
      </c>
      <c r="N1855" s="3">
        <v>43</v>
      </c>
      <c r="O1855" s="3" t="s">
        <v>20</v>
      </c>
      <c r="P1855" s="3" t="s">
        <v>31</v>
      </c>
      <c r="Q1855" s="4">
        <v>5</v>
      </c>
      <c r="R1855" s="4" t="str">
        <f>IF(Table1[[#This Row],[Customer Ratings]]&gt;=4, "Good",IF(Table1[[#This Row],[Customer Ratings]]=3, "Average","Poor"))</f>
        <v>Good</v>
      </c>
      <c r="S1855" s="3" t="s">
        <v>17</v>
      </c>
    </row>
    <row r="1856" spans="1:19" x14ac:dyDescent="0.25">
      <c r="A1856" s="3">
        <v>1855</v>
      </c>
      <c r="B1856" s="5">
        <f>DATE(Table1[[#This Row],[Year]],Table1[[#This Row],[Month]],Table1[[#This Row],[Day]])</f>
        <v>45005</v>
      </c>
      <c r="C1856" s="3">
        <v>20</v>
      </c>
      <c r="D1856" s="3">
        <v>3</v>
      </c>
      <c r="E1856" s="3">
        <v>2023</v>
      </c>
      <c r="F1856" s="3" t="str">
        <f>"Qtr"&amp; " " &amp;CHOOSE(MONTH(Table1[[#This Row],[Date]]),1,1,1,2,2,2,3,3,3,4,4,4)</f>
        <v>Qtr 1</v>
      </c>
      <c r="G1856" s="3" t="str">
        <f>TEXT(Table1[[#This Row],[Date]],"mmmm")</f>
        <v>March</v>
      </c>
      <c r="H1856" s="3" t="s">
        <v>1081</v>
      </c>
      <c r="I1856" s="3" t="s">
        <v>13</v>
      </c>
      <c r="J1856" s="3">
        <v>9</v>
      </c>
      <c r="K1856" s="3">
        <v>64849.39</v>
      </c>
      <c r="L1856" s="3">
        <f>Table1[[#This Row],[Price Per Unit]]*Table1[[#This Row],[Units Sold]]</f>
        <v>583644.51</v>
      </c>
      <c r="M1856" s="3" t="s">
        <v>481</v>
      </c>
      <c r="N1856" s="3">
        <v>31</v>
      </c>
      <c r="O1856" s="3" t="s">
        <v>35</v>
      </c>
      <c r="P1856" s="3" t="s">
        <v>45</v>
      </c>
      <c r="Q1856" s="4">
        <v>5</v>
      </c>
      <c r="R1856" s="4" t="str">
        <f>IF(Table1[[#This Row],[Customer Ratings]]&gt;=4, "Good",IF(Table1[[#This Row],[Customer Ratings]]=3, "Average","Poor"))</f>
        <v>Good</v>
      </c>
      <c r="S1856" s="3" t="s">
        <v>27</v>
      </c>
    </row>
    <row r="1857" spans="1:19" x14ac:dyDescent="0.25">
      <c r="A1857" s="3">
        <v>1856</v>
      </c>
      <c r="B1857" s="5">
        <f>DATE(Table1[[#This Row],[Year]],Table1[[#This Row],[Month]],Table1[[#This Row],[Day]])</f>
        <v>45006</v>
      </c>
      <c r="C1857" s="3">
        <v>21</v>
      </c>
      <c r="D1857" s="3">
        <v>3</v>
      </c>
      <c r="E1857" s="3">
        <v>2023</v>
      </c>
      <c r="F1857" s="3" t="str">
        <f>"Qtr"&amp; " " &amp;CHOOSE(MONTH(Table1[[#This Row],[Date]]),1,1,1,2,2,2,3,3,3,4,4,4)</f>
        <v>Qtr 1</v>
      </c>
      <c r="G1857" s="3" t="str">
        <f>TEXT(Table1[[#This Row],[Date]],"mmmm")</f>
        <v>March</v>
      </c>
      <c r="H1857" s="3" t="s">
        <v>1082</v>
      </c>
      <c r="I1857" s="3" t="s">
        <v>28</v>
      </c>
      <c r="J1857" s="3">
        <v>5</v>
      </c>
      <c r="K1857" s="3">
        <v>42785.26</v>
      </c>
      <c r="L1857" s="3">
        <f>Table1[[#This Row],[Price Per Unit]]*Table1[[#This Row],[Units Sold]]</f>
        <v>213926.30000000002</v>
      </c>
      <c r="M1857" s="3" t="s">
        <v>271</v>
      </c>
      <c r="N1857" s="3">
        <v>29</v>
      </c>
      <c r="O1857" s="3" t="s">
        <v>24</v>
      </c>
      <c r="P1857" s="3" t="s">
        <v>45</v>
      </c>
      <c r="Q1857" s="4">
        <v>3</v>
      </c>
      <c r="R1857" s="4" t="str">
        <f>IF(Table1[[#This Row],[Customer Ratings]]&gt;=4, "Good",IF(Table1[[#This Row],[Customer Ratings]]=3, "Average","Poor"))</f>
        <v>Average</v>
      </c>
      <c r="S1857" s="3" t="s">
        <v>38</v>
      </c>
    </row>
    <row r="1858" spans="1:19" x14ac:dyDescent="0.25">
      <c r="A1858" s="3">
        <v>1857</v>
      </c>
      <c r="B1858" s="5">
        <f>DATE(Table1[[#This Row],[Year]],Table1[[#This Row],[Month]],Table1[[#This Row],[Day]])</f>
        <v>45006</v>
      </c>
      <c r="C1858" s="3">
        <v>21</v>
      </c>
      <c r="D1858" s="3">
        <v>3</v>
      </c>
      <c r="E1858" s="3">
        <v>2023</v>
      </c>
      <c r="F1858" s="3" t="str">
        <f>"Qtr"&amp; " " &amp;CHOOSE(MONTH(Table1[[#This Row],[Date]]),1,1,1,2,2,2,3,3,3,4,4,4)</f>
        <v>Qtr 1</v>
      </c>
      <c r="G1858" s="3" t="str">
        <f>TEXT(Table1[[#This Row],[Date]],"mmmm")</f>
        <v>March</v>
      </c>
      <c r="H1858" s="3" t="s">
        <v>1082</v>
      </c>
      <c r="I1858" s="3" t="s">
        <v>33</v>
      </c>
      <c r="J1858" s="3">
        <v>4</v>
      </c>
      <c r="K1858" s="3">
        <v>31372.68</v>
      </c>
      <c r="L1858" s="3">
        <f>Table1[[#This Row],[Price Per Unit]]*Table1[[#This Row],[Units Sold]]</f>
        <v>125490.72</v>
      </c>
      <c r="M1858" s="3" t="s">
        <v>150</v>
      </c>
      <c r="N1858" s="3">
        <v>21</v>
      </c>
      <c r="O1858" s="3" t="s">
        <v>125</v>
      </c>
      <c r="P1858" s="3" t="s">
        <v>31</v>
      </c>
      <c r="Q1858" s="4">
        <v>5</v>
      </c>
      <c r="R1858" s="4" t="str">
        <f>IF(Table1[[#This Row],[Customer Ratings]]&gt;=4, "Good",IF(Table1[[#This Row],[Customer Ratings]]=3, "Average","Poor"))</f>
        <v>Good</v>
      </c>
      <c r="S1858" s="3" t="s">
        <v>46</v>
      </c>
    </row>
    <row r="1859" spans="1:19" x14ac:dyDescent="0.25">
      <c r="A1859" s="3">
        <v>1858</v>
      </c>
      <c r="B1859" s="5">
        <f>DATE(Table1[[#This Row],[Year]],Table1[[#This Row],[Month]],Table1[[#This Row],[Day]])</f>
        <v>45006</v>
      </c>
      <c r="C1859" s="3">
        <v>21</v>
      </c>
      <c r="D1859" s="3">
        <v>3</v>
      </c>
      <c r="E1859" s="3">
        <v>2023</v>
      </c>
      <c r="F1859" s="3" t="str">
        <f>"Qtr"&amp; " " &amp;CHOOSE(MONTH(Table1[[#This Row],[Date]]),1,1,1,2,2,2,3,3,3,4,4,4)</f>
        <v>Qtr 1</v>
      </c>
      <c r="G1859" s="3" t="str">
        <f>TEXT(Table1[[#This Row],[Date]],"mmmm")</f>
        <v>March</v>
      </c>
      <c r="H1859" s="3" t="s">
        <v>1082</v>
      </c>
      <c r="I1859" s="3" t="s">
        <v>39</v>
      </c>
      <c r="J1859" s="3">
        <v>2</v>
      </c>
      <c r="K1859" s="3">
        <v>10436.370000000001</v>
      </c>
      <c r="L1859" s="3">
        <f>Table1[[#This Row],[Price Per Unit]]*Table1[[#This Row],[Units Sold]]</f>
        <v>20872.740000000002</v>
      </c>
      <c r="M1859" s="3" t="s">
        <v>348</v>
      </c>
      <c r="N1859" s="3">
        <v>30</v>
      </c>
      <c r="O1859" s="3" t="s">
        <v>24</v>
      </c>
      <c r="P1859" s="3" t="s">
        <v>21</v>
      </c>
      <c r="Q1859" s="4">
        <v>3</v>
      </c>
      <c r="R1859" s="4" t="str">
        <f>IF(Table1[[#This Row],[Customer Ratings]]&gt;=4, "Good",IF(Table1[[#This Row],[Customer Ratings]]=3, "Average","Poor"))</f>
        <v>Average</v>
      </c>
      <c r="S1859" s="3" t="s">
        <v>90</v>
      </c>
    </row>
    <row r="1860" spans="1:19" x14ac:dyDescent="0.25">
      <c r="A1860" s="3">
        <v>1859</v>
      </c>
      <c r="B1860" s="5">
        <f>DATE(Table1[[#This Row],[Year]],Table1[[#This Row],[Month]],Table1[[#This Row],[Day]])</f>
        <v>45006</v>
      </c>
      <c r="C1860" s="3">
        <v>21</v>
      </c>
      <c r="D1860" s="3">
        <v>3</v>
      </c>
      <c r="E1860" s="3">
        <v>2023</v>
      </c>
      <c r="F1860" s="3" t="str">
        <f>"Qtr"&amp; " " &amp;CHOOSE(MONTH(Table1[[#This Row],[Date]]),1,1,1,2,2,2,3,3,3,4,4,4)</f>
        <v>Qtr 1</v>
      </c>
      <c r="G1860" s="3" t="str">
        <f>TEXT(Table1[[#This Row],[Date]],"mmmm")</f>
        <v>March</v>
      </c>
      <c r="H1860" s="3" t="s">
        <v>1082</v>
      </c>
      <c r="I1860" s="3" t="s">
        <v>13</v>
      </c>
      <c r="J1860" s="3">
        <v>2</v>
      </c>
      <c r="K1860" s="3">
        <v>13654.73</v>
      </c>
      <c r="L1860" s="3">
        <f>Table1[[#This Row],[Price Per Unit]]*Table1[[#This Row],[Units Sold]]</f>
        <v>27309.46</v>
      </c>
      <c r="M1860" s="3" t="s">
        <v>741</v>
      </c>
      <c r="N1860" s="3">
        <v>35</v>
      </c>
      <c r="O1860" s="3" t="s">
        <v>81</v>
      </c>
      <c r="P1860" s="3" t="s">
        <v>45</v>
      </c>
      <c r="Q1860" s="4">
        <v>4</v>
      </c>
      <c r="R1860" s="4" t="str">
        <f>IF(Table1[[#This Row],[Customer Ratings]]&gt;=4, "Good",IF(Table1[[#This Row],[Customer Ratings]]=3, "Average","Poor"))</f>
        <v>Good</v>
      </c>
      <c r="S1860" s="3" t="s">
        <v>17</v>
      </c>
    </row>
    <row r="1861" spans="1:19" x14ac:dyDescent="0.25">
      <c r="A1861" s="3">
        <v>1860</v>
      </c>
      <c r="B1861" s="5">
        <f>DATE(Table1[[#This Row],[Year]],Table1[[#This Row],[Month]],Table1[[#This Row],[Day]])</f>
        <v>45007</v>
      </c>
      <c r="C1861" s="3">
        <v>22</v>
      </c>
      <c r="D1861" s="3">
        <v>3</v>
      </c>
      <c r="E1861" s="3">
        <v>2023</v>
      </c>
      <c r="F1861" s="3" t="str">
        <f>"Qtr"&amp; " " &amp;CHOOSE(MONTH(Table1[[#This Row],[Date]]),1,1,1,2,2,2,3,3,3,4,4,4)</f>
        <v>Qtr 1</v>
      </c>
      <c r="G1861" s="3" t="str">
        <f>TEXT(Table1[[#This Row],[Date]],"mmmm")</f>
        <v>March</v>
      </c>
      <c r="H1861" s="3" t="s">
        <v>1083</v>
      </c>
      <c r="I1861" s="3" t="s">
        <v>39</v>
      </c>
      <c r="J1861" s="3">
        <v>5</v>
      </c>
      <c r="K1861" s="3">
        <v>35730.339999999997</v>
      </c>
      <c r="L1861" s="3">
        <f>Table1[[#This Row],[Price Per Unit]]*Table1[[#This Row],[Units Sold]]</f>
        <v>178651.69999999998</v>
      </c>
      <c r="M1861" s="3" t="s">
        <v>893</v>
      </c>
      <c r="N1861" s="3">
        <v>45</v>
      </c>
      <c r="O1861" s="3" t="s">
        <v>20</v>
      </c>
      <c r="P1861" s="3" t="s">
        <v>21</v>
      </c>
      <c r="Q1861" s="4">
        <v>4</v>
      </c>
      <c r="R1861" s="4" t="str">
        <f>IF(Table1[[#This Row],[Customer Ratings]]&gt;=4, "Good",IF(Table1[[#This Row],[Customer Ratings]]=3, "Average","Poor"))</f>
        <v>Good</v>
      </c>
      <c r="S1861" s="3" t="s">
        <v>90</v>
      </c>
    </row>
    <row r="1862" spans="1:19" x14ac:dyDescent="0.25">
      <c r="A1862" s="3">
        <v>1861</v>
      </c>
      <c r="B1862" s="5">
        <f>DATE(Table1[[#This Row],[Year]],Table1[[#This Row],[Month]],Table1[[#This Row],[Day]])</f>
        <v>45007</v>
      </c>
      <c r="C1862" s="3">
        <v>22</v>
      </c>
      <c r="D1862" s="3">
        <v>3</v>
      </c>
      <c r="E1862" s="3">
        <v>2023</v>
      </c>
      <c r="F1862" s="3" t="str">
        <f>"Qtr"&amp; " " &amp;CHOOSE(MONTH(Table1[[#This Row],[Date]]),1,1,1,2,2,2,3,3,3,4,4,4)</f>
        <v>Qtr 1</v>
      </c>
      <c r="G1862" s="3" t="str">
        <f>TEXT(Table1[[#This Row],[Date]],"mmmm")</f>
        <v>March</v>
      </c>
      <c r="H1862" s="3" t="s">
        <v>1083</v>
      </c>
      <c r="I1862" s="3" t="s">
        <v>13</v>
      </c>
      <c r="J1862" s="3">
        <v>7</v>
      </c>
      <c r="K1862" s="3">
        <v>33959.57</v>
      </c>
      <c r="L1862" s="3">
        <f>Table1[[#This Row],[Price Per Unit]]*Table1[[#This Row],[Units Sold]]</f>
        <v>237716.99</v>
      </c>
      <c r="M1862" s="3" t="s">
        <v>576</v>
      </c>
      <c r="N1862" s="3">
        <v>55</v>
      </c>
      <c r="O1862" s="3" t="s">
        <v>24</v>
      </c>
      <c r="P1862" s="3" t="s">
        <v>45</v>
      </c>
      <c r="Q1862" s="4">
        <v>1</v>
      </c>
      <c r="R1862" s="4" t="str">
        <f>IF(Table1[[#This Row],[Customer Ratings]]&gt;=4, "Good",IF(Table1[[#This Row],[Customer Ratings]]=3, "Average","Poor"))</f>
        <v>Poor</v>
      </c>
      <c r="S1862" s="3" t="s">
        <v>17</v>
      </c>
    </row>
    <row r="1863" spans="1:19" x14ac:dyDescent="0.25">
      <c r="A1863" s="3">
        <v>1862</v>
      </c>
      <c r="B1863" s="5">
        <f>DATE(Table1[[#This Row],[Year]],Table1[[#This Row],[Month]],Table1[[#This Row],[Day]])</f>
        <v>45007</v>
      </c>
      <c r="C1863" s="3">
        <v>22</v>
      </c>
      <c r="D1863" s="3">
        <v>3</v>
      </c>
      <c r="E1863" s="3">
        <v>2023</v>
      </c>
      <c r="F1863" s="3" t="str">
        <f>"Qtr"&amp; " " &amp;CHOOSE(MONTH(Table1[[#This Row],[Date]]),1,1,1,2,2,2,3,3,3,4,4,4)</f>
        <v>Qtr 1</v>
      </c>
      <c r="G1863" s="3" t="str">
        <f>TEXT(Table1[[#This Row],[Date]],"mmmm")</f>
        <v>March</v>
      </c>
      <c r="H1863" s="3" t="s">
        <v>1083</v>
      </c>
      <c r="I1863" s="3" t="s">
        <v>39</v>
      </c>
      <c r="J1863" s="3">
        <v>9</v>
      </c>
      <c r="K1863" s="3">
        <v>21082.83</v>
      </c>
      <c r="L1863" s="3">
        <f>Table1[[#This Row],[Price Per Unit]]*Table1[[#This Row],[Units Sold]]</f>
        <v>189745.47000000003</v>
      </c>
      <c r="M1863" s="3" t="s">
        <v>916</v>
      </c>
      <c r="N1863" s="3">
        <v>58</v>
      </c>
      <c r="O1863" s="3" t="s">
        <v>48</v>
      </c>
      <c r="P1863" s="3" t="s">
        <v>16</v>
      </c>
      <c r="Q1863" s="4">
        <v>5</v>
      </c>
      <c r="R1863" s="4" t="str">
        <f>IF(Table1[[#This Row],[Customer Ratings]]&gt;=4, "Good",IF(Table1[[#This Row],[Customer Ratings]]=3, "Average","Poor"))</f>
        <v>Good</v>
      </c>
      <c r="S1863" s="3" t="s">
        <v>42</v>
      </c>
    </row>
    <row r="1864" spans="1:19" x14ac:dyDescent="0.25">
      <c r="A1864" s="3">
        <v>1863</v>
      </c>
      <c r="B1864" s="5">
        <f>DATE(Table1[[#This Row],[Year]],Table1[[#This Row],[Month]],Table1[[#This Row],[Day]])</f>
        <v>45007</v>
      </c>
      <c r="C1864" s="3">
        <v>22</v>
      </c>
      <c r="D1864" s="3">
        <v>3</v>
      </c>
      <c r="E1864" s="3">
        <v>2023</v>
      </c>
      <c r="F1864" s="3" t="str">
        <f>"Qtr"&amp; " " &amp;CHOOSE(MONTH(Table1[[#This Row],[Date]]),1,1,1,2,2,2,3,3,3,4,4,4)</f>
        <v>Qtr 1</v>
      </c>
      <c r="G1864" s="3" t="str">
        <f>TEXT(Table1[[#This Row],[Date]],"mmmm")</f>
        <v>March</v>
      </c>
      <c r="H1864" s="3" t="s">
        <v>1083</v>
      </c>
      <c r="I1864" s="3" t="s">
        <v>18</v>
      </c>
      <c r="J1864" s="3">
        <v>7</v>
      </c>
      <c r="K1864" s="3">
        <v>33728.800000000003</v>
      </c>
      <c r="L1864" s="3">
        <f>Table1[[#This Row],[Price Per Unit]]*Table1[[#This Row],[Units Sold]]</f>
        <v>236101.60000000003</v>
      </c>
      <c r="M1864" s="3" t="s">
        <v>428</v>
      </c>
      <c r="N1864" s="3">
        <v>36</v>
      </c>
      <c r="O1864" s="3" t="s">
        <v>20</v>
      </c>
      <c r="P1864" s="3" t="s">
        <v>21</v>
      </c>
      <c r="Q1864" s="4">
        <v>5</v>
      </c>
      <c r="R1864" s="4" t="str">
        <f>IF(Table1[[#This Row],[Customer Ratings]]&gt;=4, "Good",IF(Table1[[#This Row],[Customer Ratings]]=3, "Average","Poor"))</f>
        <v>Good</v>
      </c>
      <c r="S1864" s="3" t="s">
        <v>25</v>
      </c>
    </row>
    <row r="1865" spans="1:19" x14ac:dyDescent="0.25">
      <c r="A1865" s="3">
        <v>1864</v>
      </c>
      <c r="B1865" s="5">
        <f>DATE(Table1[[#This Row],[Year]],Table1[[#This Row],[Month]],Table1[[#This Row],[Day]])</f>
        <v>45008</v>
      </c>
      <c r="C1865" s="3">
        <v>23</v>
      </c>
      <c r="D1865" s="3">
        <v>3</v>
      </c>
      <c r="E1865" s="3">
        <v>2023</v>
      </c>
      <c r="F1865" s="3" t="str">
        <f>"Qtr"&amp; " " &amp;CHOOSE(MONTH(Table1[[#This Row],[Date]]),1,1,1,2,2,2,3,3,3,4,4,4)</f>
        <v>Qtr 1</v>
      </c>
      <c r="G1865" s="3" t="str">
        <f>TEXT(Table1[[#This Row],[Date]],"mmmm")</f>
        <v>March</v>
      </c>
      <c r="H1865" s="3" t="s">
        <v>1084</v>
      </c>
      <c r="I1865" s="3" t="s">
        <v>13</v>
      </c>
      <c r="J1865" s="3">
        <v>5</v>
      </c>
      <c r="K1865" s="3">
        <v>20479</v>
      </c>
      <c r="L1865" s="3">
        <f>Table1[[#This Row],[Price Per Unit]]*Table1[[#This Row],[Units Sold]]</f>
        <v>102395</v>
      </c>
      <c r="M1865" s="3" t="s">
        <v>917</v>
      </c>
      <c r="N1865" s="3">
        <v>55</v>
      </c>
      <c r="O1865" s="3" t="s">
        <v>35</v>
      </c>
      <c r="P1865" s="3" t="s">
        <v>16</v>
      </c>
      <c r="Q1865" s="4">
        <v>5</v>
      </c>
      <c r="R1865" s="4" t="str">
        <f>IF(Table1[[#This Row],[Customer Ratings]]&gt;=4, "Good",IF(Table1[[#This Row],[Customer Ratings]]=3, "Average","Poor"))</f>
        <v>Good</v>
      </c>
      <c r="S1865" s="3" t="s">
        <v>27</v>
      </c>
    </row>
    <row r="1866" spans="1:19" x14ac:dyDescent="0.25">
      <c r="A1866" s="3">
        <v>1865</v>
      </c>
      <c r="B1866" s="5">
        <f>DATE(Table1[[#This Row],[Year]],Table1[[#This Row],[Month]],Table1[[#This Row],[Day]])</f>
        <v>45008</v>
      </c>
      <c r="C1866" s="3">
        <v>23</v>
      </c>
      <c r="D1866" s="3">
        <v>3</v>
      </c>
      <c r="E1866" s="3">
        <v>2023</v>
      </c>
      <c r="F1866" s="3" t="str">
        <f>"Qtr"&amp; " " &amp;CHOOSE(MONTH(Table1[[#This Row],[Date]]),1,1,1,2,2,2,3,3,3,4,4,4)</f>
        <v>Qtr 1</v>
      </c>
      <c r="G1866" s="3" t="str">
        <f>TEXT(Table1[[#This Row],[Date]],"mmmm")</f>
        <v>March</v>
      </c>
      <c r="H1866" s="3" t="s">
        <v>1084</v>
      </c>
      <c r="I1866" s="3" t="s">
        <v>39</v>
      </c>
      <c r="J1866" s="3">
        <v>6</v>
      </c>
      <c r="K1866" s="3">
        <v>60927.48</v>
      </c>
      <c r="L1866" s="3">
        <f>Table1[[#This Row],[Price Per Unit]]*Table1[[#This Row],[Units Sold]]</f>
        <v>365564.88</v>
      </c>
      <c r="M1866" s="3" t="s">
        <v>658</v>
      </c>
      <c r="N1866" s="3">
        <v>20</v>
      </c>
      <c r="O1866" s="3" t="s">
        <v>52</v>
      </c>
      <c r="P1866" s="3" t="s">
        <v>16</v>
      </c>
      <c r="Q1866" s="4">
        <v>5</v>
      </c>
      <c r="R1866" s="4" t="str">
        <f>IF(Table1[[#This Row],[Customer Ratings]]&gt;=4, "Good",IF(Table1[[#This Row],[Customer Ratings]]=3, "Average","Poor"))</f>
        <v>Good</v>
      </c>
      <c r="S1866" s="3" t="s">
        <v>90</v>
      </c>
    </row>
    <row r="1867" spans="1:19" x14ac:dyDescent="0.25">
      <c r="A1867" s="3">
        <v>1866</v>
      </c>
      <c r="B1867" s="5">
        <f>DATE(Table1[[#This Row],[Year]],Table1[[#This Row],[Month]],Table1[[#This Row],[Day]])</f>
        <v>45008</v>
      </c>
      <c r="C1867" s="3">
        <v>23</v>
      </c>
      <c r="D1867" s="3">
        <v>3</v>
      </c>
      <c r="E1867" s="3">
        <v>2023</v>
      </c>
      <c r="F1867" s="3" t="str">
        <f>"Qtr"&amp; " " &amp;CHOOSE(MONTH(Table1[[#This Row],[Date]]),1,1,1,2,2,2,3,3,3,4,4,4)</f>
        <v>Qtr 1</v>
      </c>
      <c r="G1867" s="3" t="str">
        <f>TEXT(Table1[[#This Row],[Date]],"mmmm")</f>
        <v>March</v>
      </c>
      <c r="H1867" s="3" t="s">
        <v>1084</v>
      </c>
      <c r="I1867" s="3" t="s">
        <v>33</v>
      </c>
      <c r="J1867" s="3">
        <v>3</v>
      </c>
      <c r="K1867" s="3">
        <v>27891.69</v>
      </c>
      <c r="L1867" s="3">
        <f>Table1[[#This Row],[Price Per Unit]]*Table1[[#This Row],[Units Sold]]</f>
        <v>83675.069999999992</v>
      </c>
      <c r="M1867" s="3" t="s">
        <v>647</v>
      </c>
      <c r="N1867" s="3">
        <v>36</v>
      </c>
      <c r="O1867" s="3" t="s">
        <v>105</v>
      </c>
      <c r="P1867" s="3" t="s">
        <v>31</v>
      </c>
      <c r="Q1867" s="4">
        <v>4</v>
      </c>
      <c r="R1867" s="4" t="str">
        <f>IF(Table1[[#This Row],[Customer Ratings]]&gt;=4, "Good",IF(Table1[[#This Row],[Customer Ratings]]=3, "Average","Poor"))</f>
        <v>Good</v>
      </c>
      <c r="S1867" s="3" t="s">
        <v>46</v>
      </c>
    </row>
    <row r="1868" spans="1:19" x14ac:dyDescent="0.25">
      <c r="A1868" s="3">
        <v>1867</v>
      </c>
      <c r="B1868" s="5">
        <f>DATE(Table1[[#This Row],[Year]],Table1[[#This Row],[Month]],Table1[[#This Row],[Day]])</f>
        <v>45009</v>
      </c>
      <c r="C1868" s="3">
        <v>24</v>
      </c>
      <c r="D1868" s="3">
        <v>3</v>
      </c>
      <c r="E1868" s="3">
        <v>2023</v>
      </c>
      <c r="F1868" s="3" t="str">
        <f>"Qtr"&amp; " " &amp;CHOOSE(MONTH(Table1[[#This Row],[Date]]),1,1,1,2,2,2,3,3,3,4,4,4)</f>
        <v>Qtr 1</v>
      </c>
      <c r="G1868" s="3" t="str">
        <f>TEXT(Table1[[#This Row],[Date]],"mmmm")</f>
        <v>March</v>
      </c>
      <c r="H1868" s="3" t="s">
        <v>1085</v>
      </c>
      <c r="I1868" s="3" t="s">
        <v>18</v>
      </c>
      <c r="J1868" s="3">
        <v>5</v>
      </c>
      <c r="K1868" s="3">
        <v>45913.86</v>
      </c>
      <c r="L1868" s="3">
        <f>Table1[[#This Row],[Price Per Unit]]*Table1[[#This Row],[Units Sold]]</f>
        <v>229569.3</v>
      </c>
      <c r="M1868" s="3" t="s">
        <v>918</v>
      </c>
      <c r="N1868" s="3">
        <v>37</v>
      </c>
      <c r="O1868" s="3" t="s">
        <v>102</v>
      </c>
      <c r="P1868" s="3" t="s">
        <v>16</v>
      </c>
      <c r="Q1868" s="4">
        <v>1</v>
      </c>
      <c r="R1868" s="4" t="str">
        <f>IF(Table1[[#This Row],[Customer Ratings]]&gt;=4, "Good",IF(Table1[[#This Row],[Customer Ratings]]=3, "Average","Poor"))</f>
        <v>Poor</v>
      </c>
      <c r="S1868" s="3" t="s">
        <v>25</v>
      </c>
    </row>
    <row r="1869" spans="1:19" x14ac:dyDescent="0.25">
      <c r="A1869" s="3">
        <v>1868</v>
      </c>
      <c r="B1869" s="5">
        <f>DATE(Table1[[#This Row],[Year]],Table1[[#This Row],[Month]],Table1[[#This Row],[Day]])</f>
        <v>45009</v>
      </c>
      <c r="C1869" s="3">
        <v>24</v>
      </c>
      <c r="D1869" s="3">
        <v>3</v>
      </c>
      <c r="E1869" s="3">
        <v>2023</v>
      </c>
      <c r="F1869" s="3" t="str">
        <f>"Qtr"&amp; " " &amp;CHOOSE(MONTH(Table1[[#This Row],[Date]]),1,1,1,2,2,2,3,3,3,4,4,4)</f>
        <v>Qtr 1</v>
      </c>
      <c r="G1869" s="3" t="str">
        <f>TEXT(Table1[[#This Row],[Date]],"mmmm")</f>
        <v>March</v>
      </c>
      <c r="H1869" s="3" t="s">
        <v>1085</v>
      </c>
      <c r="I1869" s="3" t="s">
        <v>18</v>
      </c>
      <c r="J1869" s="3">
        <v>8</v>
      </c>
      <c r="K1869" s="3">
        <v>40170.58</v>
      </c>
      <c r="L1869" s="3">
        <f>Table1[[#This Row],[Price Per Unit]]*Table1[[#This Row],[Units Sold]]</f>
        <v>321364.64</v>
      </c>
      <c r="M1869" s="3" t="s">
        <v>893</v>
      </c>
      <c r="N1869" s="3">
        <v>42</v>
      </c>
      <c r="O1869" s="3" t="s">
        <v>20</v>
      </c>
      <c r="P1869" s="3" t="s">
        <v>16</v>
      </c>
      <c r="Q1869" s="4">
        <v>4</v>
      </c>
      <c r="R1869" s="4" t="str">
        <f>IF(Table1[[#This Row],[Customer Ratings]]&gt;=4, "Good",IF(Table1[[#This Row],[Customer Ratings]]=3, "Average","Poor"))</f>
        <v>Good</v>
      </c>
      <c r="S1869" s="3" t="s">
        <v>55</v>
      </c>
    </row>
    <row r="1870" spans="1:19" x14ac:dyDescent="0.25">
      <c r="A1870" s="3">
        <v>1869</v>
      </c>
      <c r="B1870" s="5">
        <f>DATE(Table1[[#This Row],[Year]],Table1[[#This Row],[Month]],Table1[[#This Row],[Day]])</f>
        <v>45009</v>
      </c>
      <c r="C1870" s="3">
        <v>24</v>
      </c>
      <c r="D1870" s="3">
        <v>3</v>
      </c>
      <c r="E1870" s="3">
        <v>2023</v>
      </c>
      <c r="F1870" s="3" t="str">
        <f>"Qtr"&amp; " " &amp;CHOOSE(MONTH(Table1[[#This Row],[Date]]),1,1,1,2,2,2,3,3,3,4,4,4)</f>
        <v>Qtr 1</v>
      </c>
      <c r="G1870" s="3" t="str">
        <f>TEXT(Table1[[#This Row],[Date]],"mmmm")</f>
        <v>March</v>
      </c>
      <c r="H1870" s="3" t="s">
        <v>1085</v>
      </c>
      <c r="I1870" s="3" t="s">
        <v>33</v>
      </c>
      <c r="J1870" s="3">
        <v>1</v>
      </c>
      <c r="K1870" s="3">
        <v>13112.92</v>
      </c>
      <c r="L1870" s="3">
        <f>Table1[[#This Row],[Price Per Unit]]*Table1[[#This Row],[Units Sold]]</f>
        <v>13112.92</v>
      </c>
      <c r="M1870" s="3" t="s">
        <v>620</v>
      </c>
      <c r="N1870" s="3">
        <v>28</v>
      </c>
      <c r="O1870" s="3" t="s">
        <v>20</v>
      </c>
      <c r="P1870" s="3" t="s">
        <v>16</v>
      </c>
      <c r="Q1870" s="4">
        <v>3</v>
      </c>
      <c r="R1870" s="4" t="str">
        <f>IF(Table1[[#This Row],[Customer Ratings]]&gt;=4, "Good",IF(Table1[[#This Row],[Customer Ratings]]=3, "Average","Poor"))</f>
        <v>Average</v>
      </c>
      <c r="S1870" s="3" t="s">
        <v>46</v>
      </c>
    </row>
    <row r="1871" spans="1:19" x14ac:dyDescent="0.25">
      <c r="A1871" s="3">
        <v>1870</v>
      </c>
      <c r="B1871" s="5">
        <f>DATE(Table1[[#This Row],[Year]],Table1[[#This Row],[Month]],Table1[[#This Row],[Day]])</f>
        <v>45009</v>
      </c>
      <c r="C1871" s="3">
        <v>24</v>
      </c>
      <c r="D1871" s="3">
        <v>3</v>
      </c>
      <c r="E1871" s="3">
        <v>2023</v>
      </c>
      <c r="F1871" s="3" t="str">
        <f>"Qtr"&amp; " " &amp;CHOOSE(MONTH(Table1[[#This Row],[Date]]),1,1,1,2,2,2,3,3,3,4,4,4)</f>
        <v>Qtr 1</v>
      </c>
      <c r="G1871" s="3" t="str">
        <f>TEXT(Table1[[#This Row],[Date]],"mmmm")</f>
        <v>March</v>
      </c>
      <c r="H1871" s="3" t="s">
        <v>1085</v>
      </c>
      <c r="I1871" s="3" t="s">
        <v>39</v>
      </c>
      <c r="J1871" s="3">
        <v>1</v>
      </c>
      <c r="K1871" s="3">
        <v>66534.02</v>
      </c>
      <c r="L1871" s="3">
        <f>Table1[[#This Row],[Price Per Unit]]*Table1[[#This Row],[Units Sold]]</f>
        <v>66534.02</v>
      </c>
      <c r="M1871" s="3" t="s">
        <v>733</v>
      </c>
      <c r="N1871" s="3">
        <v>34</v>
      </c>
      <c r="O1871" s="3" t="s">
        <v>125</v>
      </c>
      <c r="P1871" s="3" t="s">
        <v>16</v>
      </c>
      <c r="Q1871" s="4">
        <v>5</v>
      </c>
      <c r="R1871" s="4" t="str">
        <f>IF(Table1[[#This Row],[Customer Ratings]]&gt;=4, "Good",IF(Table1[[#This Row],[Customer Ratings]]=3, "Average","Poor"))</f>
        <v>Good</v>
      </c>
      <c r="S1871" s="3" t="s">
        <v>90</v>
      </c>
    </row>
    <row r="1872" spans="1:19" x14ac:dyDescent="0.25">
      <c r="A1872" s="3">
        <v>1871</v>
      </c>
      <c r="B1872" s="5">
        <f>DATE(Table1[[#This Row],[Year]],Table1[[#This Row],[Month]],Table1[[#This Row],[Day]])</f>
        <v>45010</v>
      </c>
      <c r="C1872" s="3">
        <v>25</v>
      </c>
      <c r="D1872" s="3">
        <v>3</v>
      </c>
      <c r="E1872" s="3">
        <v>2023</v>
      </c>
      <c r="F1872" s="3" t="str">
        <f>"Qtr"&amp; " " &amp;CHOOSE(MONTH(Table1[[#This Row],[Date]]),1,1,1,2,2,2,3,3,3,4,4,4)</f>
        <v>Qtr 1</v>
      </c>
      <c r="G1872" s="3" t="str">
        <f>TEXT(Table1[[#This Row],[Date]],"mmmm")</f>
        <v>March</v>
      </c>
      <c r="H1872" s="3" t="s">
        <v>1079</v>
      </c>
      <c r="I1872" s="3" t="s">
        <v>28</v>
      </c>
      <c r="J1872" s="3">
        <v>7</v>
      </c>
      <c r="K1872" s="3">
        <v>41633.56</v>
      </c>
      <c r="L1872" s="3">
        <f>Table1[[#This Row],[Price Per Unit]]*Table1[[#This Row],[Units Sold]]</f>
        <v>291434.92</v>
      </c>
      <c r="M1872" s="3" t="s">
        <v>919</v>
      </c>
      <c r="N1872" s="3">
        <v>52</v>
      </c>
      <c r="O1872" s="3" t="s">
        <v>137</v>
      </c>
      <c r="P1872" s="3" t="s">
        <v>31</v>
      </c>
      <c r="Q1872" s="4">
        <v>5</v>
      </c>
      <c r="R1872" s="4" t="str">
        <f>IF(Table1[[#This Row],[Customer Ratings]]&gt;=4, "Good",IF(Table1[[#This Row],[Customer Ratings]]=3, "Average","Poor"))</f>
        <v>Good</v>
      </c>
      <c r="S1872" s="3" t="s">
        <v>38</v>
      </c>
    </row>
    <row r="1873" spans="1:19" x14ac:dyDescent="0.25">
      <c r="A1873" s="3">
        <v>1872</v>
      </c>
      <c r="B1873" s="5">
        <f>DATE(Table1[[#This Row],[Year]],Table1[[#This Row],[Month]],Table1[[#This Row],[Day]])</f>
        <v>45010</v>
      </c>
      <c r="C1873" s="3">
        <v>25</v>
      </c>
      <c r="D1873" s="3">
        <v>3</v>
      </c>
      <c r="E1873" s="3">
        <v>2023</v>
      </c>
      <c r="F1873" s="3" t="str">
        <f>"Qtr"&amp; " " &amp;CHOOSE(MONTH(Table1[[#This Row],[Date]]),1,1,1,2,2,2,3,3,3,4,4,4)</f>
        <v>Qtr 1</v>
      </c>
      <c r="G1873" s="3" t="str">
        <f>TEXT(Table1[[#This Row],[Date]],"mmmm")</f>
        <v>March</v>
      </c>
      <c r="H1873" s="3" t="s">
        <v>1079</v>
      </c>
      <c r="I1873" s="3" t="s">
        <v>33</v>
      </c>
      <c r="J1873" s="3">
        <v>5</v>
      </c>
      <c r="K1873" s="3">
        <v>29503.46</v>
      </c>
      <c r="L1873" s="3">
        <f>Table1[[#This Row],[Price Per Unit]]*Table1[[#This Row],[Units Sold]]</f>
        <v>147517.29999999999</v>
      </c>
      <c r="M1873" s="3" t="s">
        <v>232</v>
      </c>
      <c r="N1873" s="3">
        <v>31</v>
      </c>
      <c r="O1873" s="3" t="s">
        <v>24</v>
      </c>
      <c r="P1873" s="3" t="s">
        <v>31</v>
      </c>
      <c r="Q1873" s="4">
        <v>5</v>
      </c>
      <c r="R1873" s="4" t="str">
        <f>IF(Table1[[#This Row],[Customer Ratings]]&gt;=4, "Good",IF(Table1[[#This Row],[Customer Ratings]]=3, "Average","Poor"))</f>
        <v>Good</v>
      </c>
      <c r="S1873" s="3" t="s">
        <v>46</v>
      </c>
    </row>
    <row r="1874" spans="1:19" x14ac:dyDescent="0.25">
      <c r="A1874" s="3">
        <v>1873</v>
      </c>
      <c r="B1874" s="5">
        <f>DATE(Table1[[#This Row],[Year]],Table1[[#This Row],[Month]],Table1[[#This Row],[Day]])</f>
        <v>45010</v>
      </c>
      <c r="C1874" s="3">
        <v>25</v>
      </c>
      <c r="D1874" s="3">
        <v>3</v>
      </c>
      <c r="E1874" s="3">
        <v>2023</v>
      </c>
      <c r="F1874" s="3" t="str">
        <f>"Qtr"&amp; " " &amp;CHOOSE(MONTH(Table1[[#This Row],[Date]]),1,1,1,2,2,2,3,3,3,4,4,4)</f>
        <v>Qtr 1</v>
      </c>
      <c r="G1874" s="3" t="str">
        <f>TEXT(Table1[[#This Row],[Date]],"mmmm")</f>
        <v>March</v>
      </c>
      <c r="H1874" s="3" t="s">
        <v>1079</v>
      </c>
      <c r="I1874" s="3" t="s">
        <v>39</v>
      </c>
      <c r="J1874" s="3">
        <v>5</v>
      </c>
      <c r="K1874" s="3">
        <v>19487.59</v>
      </c>
      <c r="L1874" s="3">
        <f>Table1[[#This Row],[Price Per Unit]]*Table1[[#This Row],[Units Sold]]</f>
        <v>97437.95</v>
      </c>
      <c r="M1874" s="3" t="s">
        <v>913</v>
      </c>
      <c r="N1874" s="3">
        <v>56</v>
      </c>
      <c r="O1874" s="3" t="s">
        <v>15</v>
      </c>
      <c r="P1874" s="3" t="s">
        <v>16</v>
      </c>
      <c r="Q1874" s="4">
        <v>3</v>
      </c>
      <c r="R1874" s="4" t="str">
        <f>IF(Table1[[#This Row],[Customer Ratings]]&gt;=4, "Good",IF(Table1[[#This Row],[Customer Ratings]]=3, "Average","Poor"))</f>
        <v>Average</v>
      </c>
      <c r="S1874" s="3" t="s">
        <v>76</v>
      </c>
    </row>
    <row r="1875" spans="1:19" x14ac:dyDescent="0.25">
      <c r="A1875" s="3">
        <v>1874</v>
      </c>
      <c r="B1875" s="5">
        <f>DATE(Table1[[#This Row],[Year]],Table1[[#This Row],[Month]],Table1[[#This Row],[Day]])</f>
        <v>45011</v>
      </c>
      <c r="C1875" s="3">
        <v>26</v>
      </c>
      <c r="D1875" s="3">
        <v>3</v>
      </c>
      <c r="E1875" s="3">
        <v>2023</v>
      </c>
      <c r="F1875" s="3" t="str">
        <f>"Qtr"&amp; " " &amp;CHOOSE(MONTH(Table1[[#This Row],[Date]]),1,1,1,2,2,2,3,3,3,4,4,4)</f>
        <v>Qtr 1</v>
      </c>
      <c r="G1875" s="3" t="str">
        <f>TEXT(Table1[[#This Row],[Date]],"mmmm")</f>
        <v>March</v>
      </c>
      <c r="H1875" s="3" t="s">
        <v>1080</v>
      </c>
      <c r="I1875" s="3" t="s">
        <v>33</v>
      </c>
      <c r="J1875" s="3">
        <v>1</v>
      </c>
      <c r="K1875" s="3">
        <v>30311.599999999999</v>
      </c>
      <c r="L1875" s="3">
        <f>Table1[[#This Row],[Price Per Unit]]*Table1[[#This Row],[Units Sold]]</f>
        <v>30311.599999999999</v>
      </c>
      <c r="M1875" s="3" t="s">
        <v>763</v>
      </c>
      <c r="N1875" s="3">
        <v>36</v>
      </c>
      <c r="O1875" s="3" t="s">
        <v>20</v>
      </c>
      <c r="P1875" s="3" t="s">
        <v>21</v>
      </c>
      <c r="Q1875" s="4">
        <v>5</v>
      </c>
      <c r="R1875" s="4" t="str">
        <f>IF(Table1[[#This Row],[Customer Ratings]]&gt;=4, "Good",IF(Table1[[#This Row],[Customer Ratings]]=3, "Average","Poor"))</f>
        <v>Good</v>
      </c>
      <c r="S1875" s="3" t="s">
        <v>46</v>
      </c>
    </row>
    <row r="1876" spans="1:19" x14ac:dyDescent="0.25">
      <c r="A1876" s="3">
        <v>1875</v>
      </c>
      <c r="B1876" s="5">
        <f>DATE(Table1[[#This Row],[Year]],Table1[[#This Row],[Month]],Table1[[#This Row],[Day]])</f>
        <v>45011</v>
      </c>
      <c r="C1876" s="3">
        <v>26</v>
      </c>
      <c r="D1876" s="3">
        <v>3</v>
      </c>
      <c r="E1876" s="3">
        <v>2023</v>
      </c>
      <c r="F1876" s="3" t="str">
        <f>"Qtr"&amp; " " &amp;CHOOSE(MONTH(Table1[[#This Row],[Date]]),1,1,1,2,2,2,3,3,3,4,4,4)</f>
        <v>Qtr 1</v>
      </c>
      <c r="G1876" s="3" t="str">
        <f>TEXT(Table1[[#This Row],[Date]],"mmmm")</f>
        <v>March</v>
      </c>
      <c r="H1876" s="3" t="s">
        <v>1080</v>
      </c>
      <c r="I1876" s="3" t="s">
        <v>33</v>
      </c>
      <c r="J1876" s="3">
        <v>9</v>
      </c>
      <c r="K1876" s="3">
        <v>11230.7</v>
      </c>
      <c r="L1876" s="3">
        <f>Table1[[#This Row],[Price Per Unit]]*Table1[[#This Row],[Units Sold]]</f>
        <v>101076.3</v>
      </c>
      <c r="M1876" s="3" t="s">
        <v>673</v>
      </c>
      <c r="N1876" s="3">
        <v>20</v>
      </c>
      <c r="O1876" s="3" t="s">
        <v>20</v>
      </c>
      <c r="P1876" s="3" t="s">
        <v>45</v>
      </c>
      <c r="Q1876" s="4">
        <v>5</v>
      </c>
      <c r="R1876" s="4" t="str">
        <f>IF(Table1[[#This Row],[Customer Ratings]]&gt;=4, "Good",IF(Table1[[#This Row],[Customer Ratings]]=3, "Average","Poor"))</f>
        <v>Good</v>
      </c>
      <c r="S1876" s="3" t="s">
        <v>46</v>
      </c>
    </row>
    <row r="1877" spans="1:19" x14ac:dyDescent="0.25">
      <c r="A1877" s="3">
        <v>1876</v>
      </c>
      <c r="B1877" s="5">
        <f>DATE(Table1[[#This Row],[Year]],Table1[[#This Row],[Month]],Table1[[#This Row],[Day]])</f>
        <v>45011</v>
      </c>
      <c r="C1877" s="3">
        <v>26</v>
      </c>
      <c r="D1877" s="3">
        <v>3</v>
      </c>
      <c r="E1877" s="3">
        <v>2023</v>
      </c>
      <c r="F1877" s="3" t="str">
        <f>"Qtr"&amp; " " &amp;CHOOSE(MONTH(Table1[[#This Row],[Date]]),1,1,1,2,2,2,3,3,3,4,4,4)</f>
        <v>Qtr 1</v>
      </c>
      <c r="G1877" s="3" t="str">
        <f>TEXT(Table1[[#This Row],[Date]],"mmmm")</f>
        <v>March</v>
      </c>
      <c r="H1877" s="3" t="s">
        <v>1080</v>
      </c>
      <c r="I1877" s="3" t="s">
        <v>13</v>
      </c>
      <c r="J1877" s="3">
        <v>1</v>
      </c>
      <c r="K1877" s="3">
        <v>31813.49</v>
      </c>
      <c r="L1877" s="3">
        <f>Table1[[#This Row],[Price Per Unit]]*Table1[[#This Row],[Units Sold]]</f>
        <v>31813.49</v>
      </c>
      <c r="M1877" s="3" t="s">
        <v>696</v>
      </c>
      <c r="N1877" s="3">
        <v>51</v>
      </c>
      <c r="O1877" s="3" t="s">
        <v>41</v>
      </c>
      <c r="P1877" s="3" t="s">
        <v>21</v>
      </c>
      <c r="Q1877" s="4">
        <v>5</v>
      </c>
      <c r="R1877" s="4" t="str">
        <f>IF(Table1[[#This Row],[Customer Ratings]]&gt;=4, "Good",IF(Table1[[#This Row],[Customer Ratings]]=3, "Average","Poor"))</f>
        <v>Good</v>
      </c>
      <c r="S1877" s="3" t="s">
        <v>17</v>
      </c>
    </row>
    <row r="1878" spans="1:19" x14ac:dyDescent="0.25">
      <c r="A1878" s="3">
        <v>1877</v>
      </c>
      <c r="B1878" s="5">
        <f>DATE(Table1[[#This Row],[Year]],Table1[[#This Row],[Month]],Table1[[#This Row],[Day]])</f>
        <v>45012</v>
      </c>
      <c r="C1878" s="3">
        <v>27</v>
      </c>
      <c r="D1878" s="3">
        <v>3</v>
      </c>
      <c r="E1878" s="3">
        <v>2023</v>
      </c>
      <c r="F1878" s="3" t="str">
        <f>"Qtr"&amp; " " &amp;CHOOSE(MONTH(Table1[[#This Row],[Date]]),1,1,1,2,2,2,3,3,3,4,4,4)</f>
        <v>Qtr 1</v>
      </c>
      <c r="G1878" s="3" t="str">
        <f>TEXT(Table1[[#This Row],[Date]],"mmmm")</f>
        <v>March</v>
      </c>
      <c r="H1878" s="3" t="s">
        <v>1081</v>
      </c>
      <c r="I1878" s="3" t="s">
        <v>39</v>
      </c>
      <c r="J1878" s="3">
        <v>5</v>
      </c>
      <c r="K1878" s="3">
        <v>41889.160000000003</v>
      </c>
      <c r="L1878" s="3">
        <f>Table1[[#This Row],[Price Per Unit]]*Table1[[#This Row],[Units Sold]]</f>
        <v>209445.80000000002</v>
      </c>
      <c r="M1878" s="3" t="s">
        <v>268</v>
      </c>
      <c r="N1878" s="3">
        <v>58</v>
      </c>
      <c r="O1878" s="3" t="s">
        <v>65</v>
      </c>
      <c r="P1878" s="3" t="s">
        <v>16</v>
      </c>
      <c r="Q1878" s="4">
        <v>3</v>
      </c>
      <c r="R1878" s="4" t="str">
        <f>IF(Table1[[#This Row],[Customer Ratings]]&gt;=4, "Good",IF(Table1[[#This Row],[Customer Ratings]]=3, "Average","Poor"))</f>
        <v>Average</v>
      </c>
      <c r="S1878" s="3" t="s">
        <v>76</v>
      </c>
    </row>
    <row r="1879" spans="1:19" x14ac:dyDescent="0.25">
      <c r="A1879" s="3">
        <v>1878</v>
      </c>
      <c r="B1879" s="5">
        <f>DATE(Table1[[#This Row],[Year]],Table1[[#This Row],[Month]],Table1[[#This Row],[Day]])</f>
        <v>45012</v>
      </c>
      <c r="C1879" s="3">
        <v>27</v>
      </c>
      <c r="D1879" s="3">
        <v>3</v>
      </c>
      <c r="E1879" s="3">
        <v>2023</v>
      </c>
      <c r="F1879" s="3" t="str">
        <f>"Qtr"&amp; " " &amp;CHOOSE(MONTH(Table1[[#This Row],[Date]]),1,1,1,2,2,2,3,3,3,4,4,4)</f>
        <v>Qtr 1</v>
      </c>
      <c r="G1879" s="3" t="str">
        <f>TEXT(Table1[[#This Row],[Date]],"mmmm")</f>
        <v>March</v>
      </c>
      <c r="H1879" s="3" t="s">
        <v>1081</v>
      </c>
      <c r="I1879" s="3" t="s">
        <v>28</v>
      </c>
      <c r="J1879" s="3">
        <v>9</v>
      </c>
      <c r="K1879" s="3">
        <v>62311.97</v>
      </c>
      <c r="L1879" s="3">
        <f>Table1[[#This Row],[Price Per Unit]]*Table1[[#This Row],[Units Sold]]</f>
        <v>560807.73</v>
      </c>
      <c r="M1879" s="3" t="s">
        <v>131</v>
      </c>
      <c r="N1879" s="3">
        <v>39</v>
      </c>
      <c r="O1879" s="3" t="s">
        <v>24</v>
      </c>
      <c r="P1879" s="3" t="s">
        <v>31</v>
      </c>
      <c r="Q1879" s="4">
        <v>5</v>
      </c>
      <c r="R1879" s="4" t="str">
        <f>IF(Table1[[#This Row],[Customer Ratings]]&gt;=4, "Good",IF(Table1[[#This Row],[Customer Ratings]]=3, "Average","Poor"))</f>
        <v>Good</v>
      </c>
      <c r="S1879" s="3" t="s">
        <v>38</v>
      </c>
    </row>
    <row r="1880" spans="1:19" x14ac:dyDescent="0.25">
      <c r="A1880" s="3">
        <v>1879</v>
      </c>
      <c r="B1880" s="5">
        <f>DATE(Table1[[#This Row],[Year]],Table1[[#This Row],[Month]],Table1[[#This Row],[Day]])</f>
        <v>45012</v>
      </c>
      <c r="C1880" s="3">
        <v>27</v>
      </c>
      <c r="D1880" s="3">
        <v>3</v>
      </c>
      <c r="E1880" s="3">
        <v>2023</v>
      </c>
      <c r="F1880" s="3" t="str">
        <f>"Qtr"&amp; " " &amp;CHOOSE(MONTH(Table1[[#This Row],[Date]]),1,1,1,2,2,2,3,3,3,4,4,4)</f>
        <v>Qtr 1</v>
      </c>
      <c r="G1880" s="3" t="str">
        <f>TEXT(Table1[[#This Row],[Date]],"mmmm")</f>
        <v>March</v>
      </c>
      <c r="H1880" s="3" t="s">
        <v>1081</v>
      </c>
      <c r="I1880" s="3" t="s">
        <v>13</v>
      </c>
      <c r="J1880" s="3">
        <v>4</v>
      </c>
      <c r="K1880" s="3">
        <v>51242.47</v>
      </c>
      <c r="L1880" s="3">
        <f>Table1[[#This Row],[Price Per Unit]]*Table1[[#This Row],[Units Sold]]</f>
        <v>204969.88</v>
      </c>
      <c r="M1880" s="3" t="s">
        <v>920</v>
      </c>
      <c r="N1880" s="3">
        <v>55</v>
      </c>
      <c r="O1880" s="3" t="s">
        <v>35</v>
      </c>
      <c r="P1880" s="3" t="s">
        <v>16</v>
      </c>
      <c r="Q1880" s="4">
        <v>5</v>
      </c>
      <c r="R1880" s="4" t="str">
        <f>IF(Table1[[#This Row],[Customer Ratings]]&gt;=4, "Good",IF(Table1[[#This Row],[Customer Ratings]]=3, "Average","Poor"))</f>
        <v>Good</v>
      </c>
      <c r="S1880" s="3" t="s">
        <v>27</v>
      </c>
    </row>
    <row r="1881" spans="1:19" x14ac:dyDescent="0.25">
      <c r="A1881" s="3">
        <v>1880</v>
      </c>
      <c r="B1881" s="5">
        <f>DATE(Table1[[#This Row],[Year]],Table1[[#This Row],[Month]],Table1[[#This Row],[Day]])</f>
        <v>45013</v>
      </c>
      <c r="C1881" s="3">
        <v>28</v>
      </c>
      <c r="D1881" s="3">
        <v>3</v>
      </c>
      <c r="E1881" s="3">
        <v>2023</v>
      </c>
      <c r="F1881" s="3" t="str">
        <f>"Qtr"&amp; " " &amp;CHOOSE(MONTH(Table1[[#This Row],[Date]]),1,1,1,2,2,2,3,3,3,4,4,4)</f>
        <v>Qtr 1</v>
      </c>
      <c r="G1881" s="3" t="str">
        <f>TEXT(Table1[[#This Row],[Date]],"mmmm")</f>
        <v>March</v>
      </c>
      <c r="H1881" s="3" t="s">
        <v>1082</v>
      </c>
      <c r="I1881" s="3" t="s">
        <v>33</v>
      </c>
      <c r="J1881" s="3">
        <v>8</v>
      </c>
      <c r="K1881" s="3">
        <v>16694.939999999999</v>
      </c>
      <c r="L1881" s="3">
        <f>Table1[[#This Row],[Price Per Unit]]*Table1[[#This Row],[Units Sold]]</f>
        <v>133559.51999999999</v>
      </c>
      <c r="M1881" s="3" t="s">
        <v>183</v>
      </c>
      <c r="N1881" s="3">
        <v>44</v>
      </c>
      <c r="O1881" s="3" t="s">
        <v>48</v>
      </c>
      <c r="P1881" s="3" t="s">
        <v>16</v>
      </c>
      <c r="Q1881" s="4">
        <v>5</v>
      </c>
      <c r="R1881" s="4" t="str">
        <f>IF(Table1[[#This Row],[Customer Ratings]]&gt;=4, "Good",IF(Table1[[#This Row],[Customer Ratings]]=3, "Average","Poor"))</f>
        <v>Good</v>
      </c>
      <c r="S1881" s="3" t="s">
        <v>46</v>
      </c>
    </row>
    <row r="1882" spans="1:19" x14ac:dyDescent="0.25">
      <c r="A1882" s="3">
        <v>1881</v>
      </c>
      <c r="B1882" s="5">
        <f>DATE(Table1[[#This Row],[Year]],Table1[[#This Row],[Month]],Table1[[#This Row],[Day]])</f>
        <v>45013</v>
      </c>
      <c r="C1882" s="3">
        <v>28</v>
      </c>
      <c r="D1882" s="3">
        <v>3</v>
      </c>
      <c r="E1882" s="3">
        <v>2023</v>
      </c>
      <c r="F1882" s="3" t="str">
        <f>"Qtr"&amp; " " &amp;CHOOSE(MONTH(Table1[[#This Row],[Date]]),1,1,1,2,2,2,3,3,3,4,4,4)</f>
        <v>Qtr 1</v>
      </c>
      <c r="G1882" s="3" t="str">
        <f>TEXT(Table1[[#This Row],[Date]],"mmmm")</f>
        <v>March</v>
      </c>
      <c r="H1882" s="3" t="s">
        <v>1082</v>
      </c>
      <c r="I1882" s="3" t="s">
        <v>33</v>
      </c>
      <c r="J1882" s="3">
        <v>6</v>
      </c>
      <c r="K1882" s="3">
        <v>18864.78</v>
      </c>
      <c r="L1882" s="3">
        <f>Table1[[#This Row],[Price Per Unit]]*Table1[[#This Row],[Units Sold]]</f>
        <v>113188.68</v>
      </c>
      <c r="M1882" s="3" t="s">
        <v>787</v>
      </c>
      <c r="N1882" s="3">
        <v>38</v>
      </c>
      <c r="O1882" s="3" t="s">
        <v>30</v>
      </c>
      <c r="P1882" s="3" t="s">
        <v>31</v>
      </c>
      <c r="Q1882" s="4">
        <v>3</v>
      </c>
      <c r="R1882" s="4" t="str">
        <f>IF(Table1[[#This Row],[Customer Ratings]]&gt;=4, "Good",IF(Table1[[#This Row],[Customer Ratings]]=3, "Average","Poor"))</f>
        <v>Average</v>
      </c>
      <c r="S1882" s="3" t="s">
        <v>36</v>
      </c>
    </row>
    <row r="1883" spans="1:19" x14ac:dyDescent="0.25">
      <c r="A1883" s="3">
        <v>1882</v>
      </c>
      <c r="B1883" s="5">
        <f>DATE(Table1[[#This Row],[Year]],Table1[[#This Row],[Month]],Table1[[#This Row],[Day]])</f>
        <v>45013</v>
      </c>
      <c r="C1883" s="3">
        <v>28</v>
      </c>
      <c r="D1883" s="3">
        <v>3</v>
      </c>
      <c r="E1883" s="3">
        <v>2023</v>
      </c>
      <c r="F1883" s="3" t="str">
        <f>"Qtr"&amp; " " &amp;CHOOSE(MONTH(Table1[[#This Row],[Date]]),1,1,1,2,2,2,3,3,3,4,4,4)</f>
        <v>Qtr 1</v>
      </c>
      <c r="G1883" s="3" t="str">
        <f>TEXT(Table1[[#This Row],[Date]],"mmmm")</f>
        <v>March</v>
      </c>
      <c r="H1883" s="3" t="s">
        <v>1082</v>
      </c>
      <c r="I1883" s="3" t="s">
        <v>33</v>
      </c>
      <c r="J1883" s="3">
        <v>3</v>
      </c>
      <c r="K1883" s="3">
        <v>35687.4</v>
      </c>
      <c r="L1883" s="3">
        <f>Table1[[#This Row],[Price Per Unit]]*Table1[[#This Row],[Units Sold]]</f>
        <v>107062.20000000001</v>
      </c>
      <c r="M1883" s="3" t="s">
        <v>721</v>
      </c>
      <c r="N1883" s="3">
        <v>58</v>
      </c>
      <c r="O1883" s="3" t="s">
        <v>24</v>
      </c>
      <c r="P1883" s="3" t="s">
        <v>21</v>
      </c>
      <c r="Q1883" s="4">
        <v>3</v>
      </c>
      <c r="R1883" s="4" t="str">
        <f>IF(Table1[[#This Row],[Customer Ratings]]&gt;=4, "Good",IF(Table1[[#This Row],[Customer Ratings]]=3, "Average","Poor"))</f>
        <v>Average</v>
      </c>
      <c r="S1883" s="3" t="s">
        <v>36</v>
      </c>
    </row>
    <row r="1884" spans="1:19" x14ac:dyDescent="0.25">
      <c r="A1884" s="3">
        <v>1883</v>
      </c>
      <c r="B1884" s="5">
        <f>DATE(Table1[[#This Row],[Year]],Table1[[#This Row],[Month]],Table1[[#This Row],[Day]])</f>
        <v>45013</v>
      </c>
      <c r="C1884" s="3">
        <v>28</v>
      </c>
      <c r="D1884" s="3">
        <v>3</v>
      </c>
      <c r="E1884" s="3">
        <v>2023</v>
      </c>
      <c r="F1884" s="3" t="str">
        <f>"Qtr"&amp; " " &amp;CHOOSE(MONTH(Table1[[#This Row],[Date]]),1,1,1,2,2,2,3,3,3,4,4,4)</f>
        <v>Qtr 1</v>
      </c>
      <c r="G1884" s="3" t="str">
        <f>TEXT(Table1[[#This Row],[Date]],"mmmm")</f>
        <v>March</v>
      </c>
      <c r="H1884" s="3" t="s">
        <v>1082</v>
      </c>
      <c r="I1884" s="3" t="s">
        <v>39</v>
      </c>
      <c r="J1884" s="3">
        <v>4</v>
      </c>
      <c r="K1884" s="3">
        <v>21742.47</v>
      </c>
      <c r="L1884" s="3">
        <f>Table1[[#This Row],[Price Per Unit]]*Table1[[#This Row],[Units Sold]]</f>
        <v>86969.88</v>
      </c>
      <c r="M1884" s="3" t="s">
        <v>174</v>
      </c>
      <c r="N1884" s="3">
        <v>48</v>
      </c>
      <c r="O1884" s="3" t="s">
        <v>137</v>
      </c>
      <c r="P1884" s="3" t="s">
        <v>45</v>
      </c>
      <c r="Q1884" s="4">
        <v>4</v>
      </c>
      <c r="R1884" s="4" t="str">
        <f>IF(Table1[[#This Row],[Customer Ratings]]&gt;=4, "Good",IF(Table1[[#This Row],[Customer Ratings]]=3, "Average","Poor"))</f>
        <v>Good</v>
      </c>
      <c r="S1884" s="3" t="s">
        <v>90</v>
      </c>
    </row>
    <row r="1885" spans="1:19" x14ac:dyDescent="0.25">
      <c r="A1885" s="3">
        <v>1884</v>
      </c>
      <c r="B1885" s="5">
        <f>DATE(Table1[[#This Row],[Year]],Table1[[#This Row],[Month]],Table1[[#This Row],[Day]])</f>
        <v>45014</v>
      </c>
      <c r="C1885" s="3">
        <v>29</v>
      </c>
      <c r="D1885" s="3">
        <v>3</v>
      </c>
      <c r="E1885" s="3">
        <v>2023</v>
      </c>
      <c r="F1885" s="3" t="str">
        <f>"Qtr"&amp; " " &amp;CHOOSE(MONTH(Table1[[#This Row],[Date]]),1,1,1,2,2,2,3,3,3,4,4,4)</f>
        <v>Qtr 1</v>
      </c>
      <c r="G1885" s="3" t="str">
        <f>TEXT(Table1[[#This Row],[Date]],"mmmm")</f>
        <v>March</v>
      </c>
      <c r="H1885" s="3" t="s">
        <v>1083</v>
      </c>
      <c r="I1885" s="3" t="s">
        <v>39</v>
      </c>
      <c r="J1885" s="3">
        <v>2</v>
      </c>
      <c r="K1885" s="3">
        <v>11670.99</v>
      </c>
      <c r="L1885" s="3">
        <f>Table1[[#This Row],[Price Per Unit]]*Table1[[#This Row],[Units Sold]]</f>
        <v>23341.98</v>
      </c>
      <c r="M1885" s="3" t="s">
        <v>426</v>
      </c>
      <c r="N1885" s="3">
        <v>44</v>
      </c>
      <c r="O1885" s="3" t="s">
        <v>102</v>
      </c>
      <c r="P1885" s="3" t="s">
        <v>16</v>
      </c>
      <c r="Q1885" s="4">
        <v>5</v>
      </c>
      <c r="R1885" s="4" t="str">
        <f>IF(Table1[[#This Row],[Customer Ratings]]&gt;=4, "Good",IF(Table1[[#This Row],[Customer Ratings]]=3, "Average","Poor"))</f>
        <v>Good</v>
      </c>
      <c r="S1885" s="3" t="s">
        <v>90</v>
      </c>
    </row>
    <row r="1886" spans="1:19" x14ac:dyDescent="0.25">
      <c r="A1886" s="3">
        <v>1885</v>
      </c>
      <c r="B1886" s="5">
        <f>DATE(Table1[[#This Row],[Year]],Table1[[#This Row],[Month]],Table1[[#This Row],[Day]])</f>
        <v>45014</v>
      </c>
      <c r="C1886" s="3">
        <v>29</v>
      </c>
      <c r="D1886" s="3">
        <v>3</v>
      </c>
      <c r="E1886" s="3">
        <v>2023</v>
      </c>
      <c r="F1886" s="3" t="str">
        <f>"Qtr"&amp; " " &amp;CHOOSE(MONTH(Table1[[#This Row],[Date]]),1,1,1,2,2,2,3,3,3,4,4,4)</f>
        <v>Qtr 1</v>
      </c>
      <c r="G1886" s="3" t="str">
        <f>TEXT(Table1[[#This Row],[Date]],"mmmm")</f>
        <v>March</v>
      </c>
      <c r="H1886" s="3" t="s">
        <v>1083</v>
      </c>
      <c r="I1886" s="3" t="s">
        <v>13</v>
      </c>
      <c r="J1886" s="3">
        <v>1</v>
      </c>
      <c r="K1886" s="3">
        <v>58300.89</v>
      </c>
      <c r="L1886" s="3">
        <f>Table1[[#This Row],[Price Per Unit]]*Table1[[#This Row],[Units Sold]]</f>
        <v>58300.89</v>
      </c>
      <c r="M1886" s="3" t="s">
        <v>259</v>
      </c>
      <c r="N1886" s="3">
        <v>54</v>
      </c>
      <c r="O1886" s="3" t="s">
        <v>102</v>
      </c>
      <c r="P1886" s="3" t="s">
        <v>31</v>
      </c>
      <c r="Q1886" s="4">
        <v>3</v>
      </c>
      <c r="R1886" s="4" t="str">
        <f>IF(Table1[[#This Row],[Customer Ratings]]&gt;=4, "Good",IF(Table1[[#This Row],[Customer Ratings]]=3, "Average","Poor"))</f>
        <v>Average</v>
      </c>
      <c r="S1886" s="3" t="s">
        <v>17</v>
      </c>
    </row>
    <row r="1887" spans="1:19" x14ac:dyDescent="0.25">
      <c r="A1887" s="3">
        <v>1886</v>
      </c>
      <c r="B1887" s="5">
        <f>DATE(Table1[[#This Row],[Year]],Table1[[#This Row],[Month]],Table1[[#This Row],[Day]])</f>
        <v>45014</v>
      </c>
      <c r="C1887" s="3">
        <v>29</v>
      </c>
      <c r="D1887" s="3">
        <v>3</v>
      </c>
      <c r="E1887" s="3">
        <v>2023</v>
      </c>
      <c r="F1887" s="3" t="str">
        <f>"Qtr"&amp; " " &amp;CHOOSE(MONTH(Table1[[#This Row],[Date]]),1,1,1,2,2,2,3,3,3,4,4,4)</f>
        <v>Qtr 1</v>
      </c>
      <c r="G1887" s="3" t="str">
        <f>TEXT(Table1[[#This Row],[Date]],"mmmm")</f>
        <v>March</v>
      </c>
      <c r="H1887" s="3" t="s">
        <v>1083</v>
      </c>
      <c r="I1887" s="3" t="s">
        <v>28</v>
      </c>
      <c r="J1887" s="3">
        <v>8</v>
      </c>
      <c r="K1887" s="3">
        <v>11171.35</v>
      </c>
      <c r="L1887" s="3">
        <f>Table1[[#This Row],[Price Per Unit]]*Table1[[#This Row],[Units Sold]]</f>
        <v>89370.8</v>
      </c>
      <c r="M1887" s="3" t="s">
        <v>600</v>
      </c>
      <c r="N1887" s="3">
        <v>19</v>
      </c>
      <c r="O1887" s="3" t="s">
        <v>24</v>
      </c>
      <c r="P1887" s="3" t="s">
        <v>45</v>
      </c>
      <c r="Q1887" s="4">
        <v>5</v>
      </c>
      <c r="R1887" s="4" t="str">
        <f>IF(Table1[[#This Row],[Customer Ratings]]&gt;=4, "Good",IF(Table1[[#This Row],[Customer Ratings]]=3, "Average","Poor"))</f>
        <v>Good</v>
      </c>
      <c r="S1887" s="3" t="s">
        <v>32</v>
      </c>
    </row>
    <row r="1888" spans="1:19" x14ac:dyDescent="0.25">
      <c r="A1888" s="3">
        <v>1887</v>
      </c>
      <c r="B1888" s="5">
        <f>DATE(Table1[[#This Row],[Year]],Table1[[#This Row],[Month]],Table1[[#This Row],[Day]])</f>
        <v>45014</v>
      </c>
      <c r="C1888" s="3">
        <v>29</v>
      </c>
      <c r="D1888" s="3">
        <v>3</v>
      </c>
      <c r="E1888" s="3">
        <v>2023</v>
      </c>
      <c r="F1888" s="3" t="str">
        <f>"Qtr"&amp; " " &amp;CHOOSE(MONTH(Table1[[#This Row],[Date]]),1,1,1,2,2,2,3,3,3,4,4,4)</f>
        <v>Qtr 1</v>
      </c>
      <c r="G1888" s="3" t="str">
        <f>TEXT(Table1[[#This Row],[Date]],"mmmm")</f>
        <v>March</v>
      </c>
      <c r="H1888" s="3" t="s">
        <v>1083</v>
      </c>
      <c r="I1888" s="3" t="s">
        <v>13</v>
      </c>
      <c r="J1888" s="3">
        <v>1</v>
      </c>
      <c r="K1888" s="3">
        <v>59841.38</v>
      </c>
      <c r="L1888" s="3">
        <f>Table1[[#This Row],[Price Per Unit]]*Table1[[#This Row],[Units Sold]]</f>
        <v>59841.38</v>
      </c>
      <c r="M1888" s="3" t="s">
        <v>911</v>
      </c>
      <c r="N1888" s="3">
        <v>26</v>
      </c>
      <c r="O1888" s="3" t="s">
        <v>48</v>
      </c>
      <c r="P1888" s="3" t="s">
        <v>45</v>
      </c>
      <c r="Q1888" s="4">
        <v>1</v>
      </c>
      <c r="R1888" s="4" t="str">
        <f>IF(Table1[[#This Row],[Customer Ratings]]&gt;=4, "Good",IF(Table1[[#This Row],[Customer Ratings]]=3, "Average","Poor"))</f>
        <v>Poor</v>
      </c>
      <c r="S1888" s="3" t="s">
        <v>27</v>
      </c>
    </row>
    <row r="1889" spans="1:19" x14ac:dyDescent="0.25">
      <c r="A1889" s="3">
        <v>1888</v>
      </c>
      <c r="B1889" s="5">
        <f>DATE(Table1[[#This Row],[Year]],Table1[[#This Row],[Month]],Table1[[#This Row],[Day]])</f>
        <v>45015</v>
      </c>
      <c r="C1889" s="3">
        <v>30</v>
      </c>
      <c r="D1889" s="3">
        <v>3</v>
      </c>
      <c r="E1889" s="3">
        <v>2023</v>
      </c>
      <c r="F1889" s="3" t="str">
        <f>"Qtr"&amp; " " &amp;CHOOSE(MONTH(Table1[[#This Row],[Date]]),1,1,1,2,2,2,3,3,3,4,4,4)</f>
        <v>Qtr 1</v>
      </c>
      <c r="G1889" s="3" t="str">
        <f>TEXT(Table1[[#This Row],[Date]],"mmmm")</f>
        <v>March</v>
      </c>
      <c r="H1889" s="3" t="s">
        <v>1084</v>
      </c>
      <c r="I1889" s="3" t="s">
        <v>18</v>
      </c>
      <c r="J1889" s="3">
        <v>1</v>
      </c>
      <c r="K1889" s="3">
        <v>18646.240000000002</v>
      </c>
      <c r="L1889" s="3">
        <f>Table1[[#This Row],[Price Per Unit]]*Table1[[#This Row],[Units Sold]]</f>
        <v>18646.240000000002</v>
      </c>
      <c r="M1889" s="3" t="s">
        <v>880</v>
      </c>
      <c r="N1889" s="3">
        <v>36</v>
      </c>
      <c r="O1889" s="3" t="s">
        <v>54</v>
      </c>
      <c r="P1889" s="3" t="s">
        <v>45</v>
      </c>
      <c r="Q1889" s="4">
        <v>5</v>
      </c>
      <c r="R1889" s="4" t="str">
        <f>IF(Table1[[#This Row],[Customer Ratings]]&gt;=4, "Good",IF(Table1[[#This Row],[Customer Ratings]]=3, "Average","Poor"))</f>
        <v>Good</v>
      </c>
      <c r="S1889" s="3" t="s">
        <v>55</v>
      </c>
    </row>
    <row r="1890" spans="1:19" x14ac:dyDescent="0.25">
      <c r="A1890" s="3">
        <v>1889</v>
      </c>
      <c r="B1890" s="5">
        <f>DATE(Table1[[#This Row],[Year]],Table1[[#This Row],[Month]],Table1[[#This Row],[Day]])</f>
        <v>45015</v>
      </c>
      <c r="C1890" s="3">
        <v>30</v>
      </c>
      <c r="D1890" s="3">
        <v>3</v>
      </c>
      <c r="E1890" s="3">
        <v>2023</v>
      </c>
      <c r="F1890" s="3" t="str">
        <f>"Qtr"&amp; " " &amp;CHOOSE(MONTH(Table1[[#This Row],[Date]]),1,1,1,2,2,2,3,3,3,4,4,4)</f>
        <v>Qtr 1</v>
      </c>
      <c r="G1890" s="3" t="str">
        <f>TEXT(Table1[[#This Row],[Date]],"mmmm")</f>
        <v>March</v>
      </c>
      <c r="H1890" s="3" t="s">
        <v>1084</v>
      </c>
      <c r="I1890" s="3" t="s">
        <v>33</v>
      </c>
      <c r="J1890" s="3">
        <v>4</v>
      </c>
      <c r="K1890" s="3">
        <v>68480.7</v>
      </c>
      <c r="L1890" s="3">
        <f>Table1[[#This Row],[Price Per Unit]]*Table1[[#This Row],[Units Sold]]</f>
        <v>273922.8</v>
      </c>
      <c r="M1890" s="3" t="s">
        <v>854</v>
      </c>
      <c r="N1890" s="3">
        <v>59</v>
      </c>
      <c r="O1890" s="3" t="s">
        <v>20</v>
      </c>
      <c r="P1890" s="3" t="s">
        <v>31</v>
      </c>
      <c r="Q1890" s="4">
        <v>5</v>
      </c>
      <c r="R1890" s="4" t="str">
        <f>IF(Table1[[#This Row],[Customer Ratings]]&gt;=4, "Good",IF(Table1[[#This Row],[Customer Ratings]]=3, "Average","Poor"))</f>
        <v>Good</v>
      </c>
      <c r="S1890" s="3" t="s">
        <v>83</v>
      </c>
    </row>
    <row r="1891" spans="1:19" x14ac:dyDescent="0.25">
      <c r="A1891" s="3">
        <v>1890</v>
      </c>
      <c r="B1891" s="5">
        <f>DATE(Table1[[#This Row],[Year]],Table1[[#This Row],[Month]],Table1[[#This Row],[Day]])</f>
        <v>45015</v>
      </c>
      <c r="C1891" s="3">
        <v>30</v>
      </c>
      <c r="D1891" s="3">
        <v>3</v>
      </c>
      <c r="E1891" s="3">
        <v>2023</v>
      </c>
      <c r="F1891" s="3" t="str">
        <f>"Qtr"&amp; " " &amp;CHOOSE(MONTH(Table1[[#This Row],[Date]]),1,1,1,2,2,2,3,3,3,4,4,4)</f>
        <v>Qtr 1</v>
      </c>
      <c r="G1891" s="3" t="str">
        <f>TEXT(Table1[[#This Row],[Date]],"mmmm")</f>
        <v>March</v>
      </c>
      <c r="H1891" s="3" t="s">
        <v>1084</v>
      </c>
      <c r="I1891" s="3" t="s">
        <v>33</v>
      </c>
      <c r="J1891" s="3">
        <v>6</v>
      </c>
      <c r="K1891" s="3">
        <v>46232.43</v>
      </c>
      <c r="L1891" s="3">
        <f>Table1[[#This Row],[Price Per Unit]]*Table1[[#This Row],[Units Sold]]</f>
        <v>277394.58</v>
      </c>
      <c r="M1891" s="3" t="s">
        <v>663</v>
      </c>
      <c r="N1891" s="3">
        <v>53</v>
      </c>
      <c r="O1891" s="3" t="s">
        <v>24</v>
      </c>
      <c r="P1891" s="3" t="s">
        <v>16</v>
      </c>
      <c r="Q1891" s="4">
        <v>5</v>
      </c>
      <c r="R1891" s="4" t="str">
        <f>IF(Table1[[#This Row],[Customer Ratings]]&gt;=4, "Good",IF(Table1[[#This Row],[Customer Ratings]]=3, "Average","Poor"))</f>
        <v>Good</v>
      </c>
      <c r="S1891" s="3" t="s">
        <v>46</v>
      </c>
    </row>
    <row r="1892" spans="1:19" x14ac:dyDescent="0.25">
      <c r="A1892" s="3">
        <v>1891</v>
      </c>
      <c r="B1892" s="5">
        <f>DATE(Table1[[#This Row],[Year]],Table1[[#This Row],[Month]],Table1[[#This Row],[Day]])</f>
        <v>45016</v>
      </c>
      <c r="C1892" s="3">
        <v>31</v>
      </c>
      <c r="D1892" s="3">
        <v>3</v>
      </c>
      <c r="E1892" s="3">
        <v>2023</v>
      </c>
      <c r="F1892" s="3" t="str">
        <f>"Qtr"&amp; " " &amp;CHOOSE(MONTH(Table1[[#This Row],[Date]]),1,1,1,2,2,2,3,3,3,4,4,4)</f>
        <v>Qtr 1</v>
      </c>
      <c r="G1892" s="3" t="str">
        <f>TEXT(Table1[[#This Row],[Date]],"mmmm")</f>
        <v>March</v>
      </c>
      <c r="H1892" s="3" t="s">
        <v>1085</v>
      </c>
      <c r="I1892" s="3" t="s">
        <v>33</v>
      </c>
      <c r="J1892" s="3">
        <v>9</v>
      </c>
      <c r="K1892" s="3">
        <v>54098.98</v>
      </c>
      <c r="L1892" s="3">
        <f>Table1[[#This Row],[Price Per Unit]]*Table1[[#This Row],[Units Sold]]</f>
        <v>486890.82</v>
      </c>
      <c r="M1892" s="3" t="s">
        <v>314</v>
      </c>
      <c r="N1892" s="3">
        <v>27</v>
      </c>
      <c r="O1892" s="3" t="s">
        <v>24</v>
      </c>
      <c r="P1892" s="3" t="s">
        <v>31</v>
      </c>
      <c r="Q1892" s="4">
        <v>5</v>
      </c>
      <c r="R1892" s="4" t="str">
        <f>IF(Table1[[#This Row],[Customer Ratings]]&gt;=4, "Good",IF(Table1[[#This Row],[Customer Ratings]]=3, "Average","Poor"))</f>
        <v>Good</v>
      </c>
      <c r="S1892" s="3" t="s">
        <v>83</v>
      </c>
    </row>
    <row r="1893" spans="1:19" x14ac:dyDescent="0.25">
      <c r="A1893" s="3">
        <v>1892</v>
      </c>
      <c r="B1893" s="5">
        <f>DATE(Table1[[#This Row],[Year]],Table1[[#This Row],[Month]],Table1[[#This Row],[Day]])</f>
        <v>45016</v>
      </c>
      <c r="C1893" s="3">
        <v>31</v>
      </c>
      <c r="D1893" s="3">
        <v>3</v>
      </c>
      <c r="E1893" s="3">
        <v>2023</v>
      </c>
      <c r="F1893" s="3" t="str">
        <f>"Qtr"&amp; " " &amp;CHOOSE(MONTH(Table1[[#This Row],[Date]]),1,1,1,2,2,2,3,3,3,4,4,4)</f>
        <v>Qtr 1</v>
      </c>
      <c r="G1893" s="3" t="str">
        <f>TEXT(Table1[[#This Row],[Date]],"mmmm")</f>
        <v>March</v>
      </c>
      <c r="H1893" s="3" t="s">
        <v>1085</v>
      </c>
      <c r="I1893" s="3" t="s">
        <v>13</v>
      </c>
      <c r="J1893" s="3">
        <v>1</v>
      </c>
      <c r="K1893" s="3">
        <v>16629.02</v>
      </c>
      <c r="L1893" s="3">
        <f>Table1[[#This Row],[Price Per Unit]]*Table1[[#This Row],[Units Sold]]</f>
        <v>16629.02</v>
      </c>
      <c r="M1893" s="3" t="s">
        <v>526</v>
      </c>
      <c r="N1893" s="3">
        <v>57</v>
      </c>
      <c r="O1893" s="3" t="s">
        <v>24</v>
      </c>
      <c r="P1893" s="3" t="s">
        <v>16</v>
      </c>
      <c r="Q1893" s="4">
        <v>5</v>
      </c>
      <c r="R1893" s="4" t="str">
        <f>IF(Table1[[#This Row],[Customer Ratings]]&gt;=4, "Good",IF(Table1[[#This Row],[Customer Ratings]]=3, "Average","Poor"))</f>
        <v>Good</v>
      </c>
      <c r="S1893" s="3" t="s">
        <v>27</v>
      </c>
    </row>
    <row r="1894" spans="1:19" x14ac:dyDescent="0.25">
      <c r="A1894" s="3">
        <v>1893</v>
      </c>
      <c r="B1894" s="5">
        <f>DATE(Table1[[#This Row],[Year]],Table1[[#This Row],[Month]],Table1[[#This Row],[Day]])</f>
        <v>45016</v>
      </c>
      <c r="C1894" s="3">
        <v>31</v>
      </c>
      <c r="D1894" s="3">
        <v>3</v>
      </c>
      <c r="E1894" s="3">
        <v>2023</v>
      </c>
      <c r="F1894" s="3" t="str">
        <f>"Qtr"&amp; " " &amp;CHOOSE(MONTH(Table1[[#This Row],[Date]]),1,1,1,2,2,2,3,3,3,4,4,4)</f>
        <v>Qtr 1</v>
      </c>
      <c r="G1894" s="3" t="str">
        <f>TEXT(Table1[[#This Row],[Date]],"mmmm")</f>
        <v>March</v>
      </c>
      <c r="H1894" s="3" t="s">
        <v>1085</v>
      </c>
      <c r="I1894" s="3" t="s">
        <v>13</v>
      </c>
      <c r="J1894" s="3">
        <v>7</v>
      </c>
      <c r="K1894" s="3">
        <v>61726.239999999998</v>
      </c>
      <c r="L1894" s="3">
        <f>Table1[[#This Row],[Price Per Unit]]*Table1[[#This Row],[Units Sold]]</f>
        <v>432083.68</v>
      </c>
      <c r="M1894" s="3" t="s">
        <v>871</v>
      </c>
      <c r="N1894" s="3">
        <v>56</v>
      </c>
      <c r="O1894" s="3" t="s">
        <v>102</v>
      </c>
      <c r="P1894" s="3" t="s">
        <v>21</v>
      </c>
      <c r="Q1894" s="4">
        <v>1</v>
      </c>
      <c r="R1894" s="4" t="str">
        <f>IF(Table1[[#This Row],[Customer Ratings]]&gt;=4, "Good",IF(Table1[[#This Row],[Customer Ratings]]=3, "Average","Poor"))</f>
        <v>Poor</v>
      </c>
      <c r="S1894" s="3" t="s">
        <v>27</v>
      </c>
    </row>
    <row r="1895" spans="1:19" x14ac:dyDescent="0.25">
      <c r="A1895" s="3">
        <v>1894</v>
      </c>
      <c r="B1895" s="5">
        <f>DATE(Table1[[#This Row],[Year]],Table1[[#This Row],[Month]],Table1[[#This Row],[Day]])</f>
        <v>45017</v>
      </c>
      <c r="C1895" s="3">
        <v>1</v>
      </c>
      <c r="D1895" s="3">
        <v>4</v>
      </c>
      <c r="E1895" s="3">
        <v>2023</v>
      </c>
      <c r="F1895" s="3" t="str">
        <f>"Qtr"&amp; " " &amp;CHOOSE(MONTH(Table1[[#This Row],[Date]]),1,1,1,2,2,2,3,3,3,4,4,4)</f>
        <v>Qtr 2</v>
      </c>
      <c r="G1895" s="3" t="str">
        <f>TEXT(Table1[[#This Row],[Date]],"mmmm")</f>
        <v>April</v>
      </c>
      <c r="H1895" s="3" t="s">
        <v>1079</v>
      </c>
      <c r="I1895" s="3" t="s">
        <v>33</v>
      </c>
      <c r="J1895" s="3">
        <v>5</v>
      </c>
      <c r="K1895" s="3">
        <v>60351.54</v>
      </c>
      <c r="L1895" s="3">
        <f>Table1[[#This Row],[Price Per Unit]]*Table1[[#This Row],[Units Sold]]</f>
        <v>301757.7</v>
      </c>
      <c r="M1895" s="3" t="s">
        <v>742</v>
      </c>
      <c r="N1895" s="3">
        <v>24</v>
      </c>
      <c r="O1895" s="3" t="s">
        <v>102</v>
      </c>
      <c r="P1895" s="3" t="s">
        <v>45</v>
      </c>
      <c r="Q1895" s="4">
        <v>5</v>
      </c>
      <c r="R1895" s="4" t="str">
        <f>IF(Table1[[#This Row],[Customer Ratings]]&gt;=4, "Good",IF(Table1[[#This Row],[Customer Ratings]]=3, "Average","Poor"))</f>
        <v>Good</v>
      </c>
      <c r="S1895" s="3" t="s">
        <v>36</v>
      </c>
    </row>
    <row r="1896" spans="1:19" x14ac:dyDescent="0.25">
      <c r="A1896" s="3">
        <v>1895</v>
      </c>
      <c r="B1896" s="5">
        <f>DATE(Table1[[#This Row],[Year]],Table1[[#This Row],[Month]],Table1[[#This Row],[Day]])</f>
        <v>45017</v>
      </c>
      <c r="C1896" s="3">
        <v>1</v>
      </c>
      <c r="D1896" s="3">
        <v>4</v>
      </c>
      <c r="E1896" s="3">
        <v>2023</v>
      </c>
      <c r="F1896" s="3" t="str">
        <f>"Qtr"&amp; " " &amp;CHOOSE(MONTH(Table1[[#This Row],[Date]]),1,1,1,2,2,2,3,3,3,4,4,4)</f>
        <v>Qtr 2</v>
      </c>
      <c r="G1896" s="3" t="str">
        <f>TEXT(Table1[[#This Row],[Date]],"mmmm")</f>
        <v>April</v>
      </c>
      <c r="H1896" s="3" t="s">
        <v>1079</v>
      </c>
      <c r="I1896" s="3" t="s">
        <v>13</v>
      </c>
      <c r="J1896" s="3">
        <v>8</v>
      </c>
      <c r="K1896" s="3">
        <v>49179.56</v>
      </c>
      <c r="L1896" s="3">
        <f>Table1[[#This Row],[Price Per Unit]]*Table1[[#This Row],[Units Sold]]</f>
        <v>393436.48</v>
      </c>
      <c r="M1896" s="3" t="s">
        <v>921</v>
      </c>
      <c r="N1896" s="3">
        <v>21</v>
      </c>
      <c r="O1896" s="3" t="s">
        <v>81</v>
      </c>
      <c r="P1896" s="3" t="s">
        <v>16</v>
      </c>
      <c r="Q1896" s="4">
        <v>5</v>
      </c>
      <c r="R1896" s="4" t="str">
        <f>IF(Table1[[#This Row],[Customer Ratings]]&gt;=4, "Good",IF(Table1[[#This Row],[Customer Ratings]]=3, "Average","Poor"))</f>
        <v>Good</v>
      </c>
      <c r="S1896" s="3" t="s">
        <v>27</v>
      </c>
    </row>
    <row r="1897" spans="1:19" x14ac:dyDescent="0.25">
      <c r="A1897" s="3">
        <v>1896</v>
      </c>
      <c r="B1897" s="5">
        <f>DATE(Table1[[#This Row],[Year]],Table1[[#This Row],[Month]],Table1[[#This Row],[Day]])</f>
        <v>45017</v>
      </c>
      <c r="C1897" s="3">
        <v>1</v>
      </c>
      <c r="D1897" s="3">
        <v>4</v>
      </c>
      <c r="E1897" s="3">
        <v>2023</v>
      </c>
      <c r="F1897" s="3" t="str">
        <f>"Qtr"&amp; " " &amp;CHOOSE(MONTH(Table1[[#This Row],[Date]]),1,1,1,2,2,2,3,3,3,4,4,4)</f>
        <v>Qtr 2</v>
      </c>
      <c r="G1897" s="3" t="str">
        <f>TEXT(Table1[[#This Row],[Date]],"mmmm")</f>
        <v>April</v>
      </c>
      <c r="H1897" s="3" t="s">
        <v>1079</v>
      </c>
      <c r="I1897" s="3" t="s">
        <v>39</v>
      </c>
      <c r="J1897" s="3">
        <v>7</v>
      </c>
      <c r="K1897" s="3">
        <v>40136.49</v>
      </c>
      <c r="L1897" s="3">
        <f>Table1[[#This Row],[Price Per Unit]]*Table1[[#This Row],[Units Sold]]</f>
        <v>280955.43</v>
      </c>
      <c r="M1897" s="3" t="s">
        <v>307</v>
      </c>
      <c r="N1897" s="3">
        <v>32</v>
      </c>
      <c r="O1897" s="3" t="s">
        <v>41</v>
      </c>
      <c r="P1897" s="3" t="s">
        <v>21</v>
      </c>
      <c r="Q1897" s="4">
        <v>3</v>
      </c>
      <c r="R1897" s="4" t="str">
        <f>IF(Table1[[#This Row],[Customer Ratings]]&gt;=4, "Good",IF(Table1[[#This Row],[Customer Ratings]]=3, "Average","Poor"))</f>
        <v>Average</v>
      </c>
      <c r="S1897" s="3" t="s">
        <v>76</v>
      </c>
    </row>
    <row r="1898" spans="1:19" x14ac:dyDescent="0.25">
      <c r="A1898" s="3">
        <v>1897</v>
      </c>
      <c r="B1898" s="5">
        <f>DATE(Table1[[#This Row],[Year]],Table1[[#This Row],[Month]],Table1[[#This Row],[Day]])</f>
        <v>45017</v>
      </c>
      <c r="C1898" s="3">
        <v>1</v>
      </c>
      <c r="D1898" s="3">
        <v>4</v>
      </c>
      <c r="E1898" s="3">
        <v>2023</v>
      </c>
      <c r="F1898" s="3" t="str">
        <f>"Qtr"&amp; " " &amp;CHOOSE(MONTH(Table1[[#This Row],[Date]]),1,1,1,2,2,2,3,3,3,4,4,4)</f>
        <v>Qtr 2</v>
      </c>
      <c r="G1898" s="3" t="str">
        <f>TEXT(Table1[[#This Row],[Date]],"mmmm")</f>
        <v>April</v>
      </c>
      <c r="H1898" s="3" t="s">
        <v>1079</v>
      </c>
      <c r="I1898" s="3" t="s">
        <v>39</v>
      </c>
      <c r="J1898" s="3">
        <v>4</v>
      </c>
      <c r="K1898" s="3">
        <v>53289.35</v>
      </c>
      <c r="L1898" s="3">
        <f>Table1[[#This Row],[Price Per Unit]]*Table1[[#This Row],[Units Sold]]</f>
        <v>213157.4</v>
      </c>
      <c r="M1898" s="3" t="s">
        <v>922</v>
      </c>
      <c r="N1898" s="3">
        <v>29</v>
      </c>
      <c r="O1898" s="3" t="s">
        <v>105</v>
      </c>
      <c r="P1898" s="3" t="s">
        <v>31</v>
      </c>
      <c r="Q1898" s="4">
        <v>5</v>
      </c>
      <c r="R1898" s="4" t="str">
        <f>IF(Table1[[#This Row],[Customer Ratings]]&gt;=4, "Good",IF(Table1[[#This Row],[Customer Ratings]]=3, "Average","Poor"))</f>
        <v>Good</v>
      </c>
      <c r="S1898" s="3" t="s">
        <v>42</v>
      </c>
    </row>
    <row r="1899" spans="1:19" x14ac:dyDescent="0.25">
      <c r="A1899" s="3">
        <v>1898</v>
      </c>
      <c r="B1899" s="5">
        <f>DATE(Table1[[#This Row],[Year]],Table1[[#This Row],[Month]],Table1[[#This Row],[Day]])</f>
        <v>45018</v>
      </c>
      <c r="C1899" s="3">
        <v>2</v>
      </c>
      <c r="D1899" s="3">
        <v>4</v>
      </c>
      <c r="E1899" s="3">
        <v>2023</v>
      </c>
      <c r="F1899" s="3" t="str">
        <f>"Qtr"&amp; " " &amp;CHOOSE(MONTH(Table1[[#This Row],[Date]]),1,1,1,2,2,2,3,3,3,4,4,4)</f>
        <v>Qtr 2</v>
      </c>
      <c r="G1899" s="3" t="str">
        <f>TEXT(Table1[[#This Row],[Date]],"mmmm")</f>
        <v>April</v>
      </c>
      <c r="H1899" s="3" t="s">
        <v>1080</v>
      </c>
      <c r="I1899" s="3" t="s">
        <v>13</v>
      </c>
      <c r="J1899" s="3">
        <v>4</v>
      </c>
      <c r="K1899" s="3">
        <v>10355.69</v>
      </c>
      <c r="L1899" s="3">
        <f>Table1[[#This Row],[Price Per Unit]]*Table1[[#This Row],[Units Sold]]</f>
        <v>41422.76</v>
      </c>
      <c r="M1899" s="3" t="s">
        <v>212</v>
      </c>
      <c r="N1899" s="3">
        <v>23</v>
      </c>
      <c r="O1899" s="3" t="s">
        <v>20</v>
      </c>
      <c r="P1899" s="3" t="s">
        <v>45</v>
      </c>
      <c r="Q1899" s="4">
        <v>5</v>
      </c>
      <c r="R1899" s="4" t="str">
        <f>IF(Table1[[#This Row],[Customer Ratings]]&gt;=4, "Good",IF(Table1[[#This Row],[Customer Ratings]]=3, "Average","Poor"))</f>
        <v>Good</v>
      </c>
      <c r="S1899" s="3" t="s">
        <v>27</v>
      </c>
    </row>
    <row r="1900" spans="1:19" x14ac:dyDescent="0.25">
      <c r="A1900" s="3">
        <v>1899</v>
      </c>
      <c r="B1900" s="5">
        <f>DATE(Table1[[#This Row],[Year]],Table1[[#This Row],[Month]],Table1[[#This Row],[Day]])</f>
        <v>45018</v>
      </c>
      <c r="C1900" s="3">
        <v>2</v>
      </c>
      <c r="D1900" s="3">
        <v>4</v>
      </c>
      <c r="E1900" s="3">
        <v>2023</v>
      </c>
      <c r="F1900" s="3" t="str">
        <f>"Qtr"&amp; " " &amp;CHOOSE(MONTH(Table1[[#This Row],[Date]]),1,1,1,2,2,2,3,3,3,4,4,4)</f>
        <v>Qtr 2</v>
      </c>
      <c r="G1900" s="3" t="str">
        <f>TEXT(Table1[[#This Row],[Date]],"mmmm")</f>
        <v>April</v>
      </c>
      <c r="H1900" s="3" t="s">
        <v>1080</v>
      </c>
      <c r="I1900" s="3" t="s">
        <v>33</v>
      </c>
      <c r="J1900" s="3">
        <v>6</v>
      </c>
      <c r="K1900" s="3">
        <v>45546.45</v>
      </c>
      <c r="L1900" s="3">
        <f>Table1[[#This Row],[Price Per Unit]]*Table1[[#This Row],[Units Sold]]</f>
        <v>273278.69999999995</v>
      </c>
      <c r="M1900" s="3" t="s">
        <v>223</v>
      </c>
      <c r="N1900" s="3">
        <v>26</v>
      </c>
      <c r="O1900" s="3" t="s">
        <v>35</v>
      </c>
      <c r="P1900" s="3" t="s">
        <v>16</v>
      </c>
      <c r="Q1900" s="4">
        <v>5</v>
      </c>
      <c r="R1900" s="4" t="str">
        <f>IF(Table1[[#This Row],[Customer Ratings]]&gt;=4, "Good",IF(Table1[[#This Row],[Customer Ratings]]=3, "Average","Poor"))</f>
        <v>Good</v>
      </c>
      <c r="S1900" s="3" t="s">
        <v>46</v>
      </c>
    </row>
    <row r="1901" spans="1:19" x14ac:dyDescent="0.25">
      <c r="A1901" s="3">
        <v>1900</v>
      </c>
      <c r="B1901" s="5">
        <f>DATE(Table1[[#This Row],[Year]],Table1[[#This Row],[Month]],Table1[[#This Row],[Day]])</f>
        <v>45018</v>
      </c>
      <c r="C1901" s="3">
        <v>2</v>
      </c>
      <c r="D1901" s="3">
        <v>4</v>
      </c>
      <c r="E1901" s="3">
        <v>2023</v>
      </c>
      <c r="F1901" s="3" t="str">
        <f>"Qtr"&amp; " " &amp;CHOOSE(MONTH(Table1[[#This Row],[Date]]),1,1,1,2,2,2,3,3,3,4,4,4)</f>
        <v>Qtr 2</v>
      </c>
      <c r="G1901" s="3" t="str">
        <f>TEXT(Table1[[#This Row],[Date]],"mmmm")</f>
        <v>April</v>
      </c>
      <c r="H1901" s="3" t="s">
        <v>1080</v>
      </c>
      <c r="I1901" s="3" t="s">
        <v>13</v>
      </c>
      <c r="J1901" s="3">
        <v>6</v>
      </c>
      <c r="K1901" s="3">
        <v>60844.37</v>
      </c>
      <c r="L1901" s="3">
        <f>Table1[[#This Row],[Price Per Unit]]*Table1[[#This Row],[Units Sold]]</f>
        <v>365066.22000000003</v>
      </c>
      <c r="M1901" s="3" t="s">
        <v>263</v>
      </c>
      <c r="N1901" s="3">
        <v>52</v>
      </c>
      <c r="O1901" s="3" t="s">
        <v>20</v>
      </c>
      <c r="P1901" s="3" t="s">
        <v>45</v>
      </c>
      <c r="Q1901" s="4">
        <v>5</v>
      </c>
      <c r="R1901" s="4" t="str">
        <f>IF(Table1[[#This Row],[Customer Ratings]]&gt;=4, "Good",IF(Table1[[#This Row],[Customer Ratings]]=3, "Average","Poor"))</f>
        <v>Good</v>
      </c>
      <c r="S1901" s="3" t="s">
        <v>27</v>
      </c>
    </row>
    <row r="1902" spans="1:19" x14ac:dyDescent="0.25">
      <c r="A1902" s="3">
        <v>1901</v>
      </c>
      <c r="B1902" s="5">
        <f>DATE(Table1[[#This Row],[Year]],Table1[[#This Row],[Month]],Table1[[#This Row],[Day]])</f>
        <v>45019</v>
      </c>
      <c r="C1902" s="3">
        <v>3</v>
      </c>
      <c r="D1902" s="3">
        <v>4</v>
      </c>
      <c r="E1902" s="3">
        <v>2023</v>
      </c>
      <c r="F1902" s="3" t="str">
        <f>"Qtr"&amp; " " &amp;CHOOSE(MONTH(Table1[[#This Row],[Date]]),1,1,1,2,2,2,3,3,3,4,4,4)</f>
        <v>Qtr 2</v>
      </c>
      <c r="G1902" s="3" t="str">
        <f>TEXT(Table1[[#This Row],[Date]],"mmmm")</f>
        <v>April</v>
      </c>
      <c r="H1902" s="3" t="s">
        <v>1081</v>
      </c>
      <c r="I1902" s="3" t="s">
        <v>13</v>
      </c>
      <c r="J1902" s="3">
        <v>9</v>
      </c>
      <c r="K1902" s="3">
        <v>31413.99</v>
      </c>
      <c r="L1902" s="3">
        <f>Table1[[#This Row],[Price Per Unit]]*Table1[[#This Row],[Units Sold]]</f>
        <v>282725.91000000003</v>
      </c>
      <c r="M1902" s="3" t="s">
        <v>683</v>
      </c>
      <c r="N1902" s="3">
        <v>25</v>
      </c>
      <c r="O1902" s="3" t="s">
        <v>20</v>
      </c>
      <c r="P1902" s="3" t="s">
        <v>45</v>
      </c>
      <c r="Q1902" s="4">
        <v>5</v>
      </c>
      <c r="R1902" s="4" t="str">
        <f>IF(Table1[[#This Row],[Customer Ratings]]&gt;=4, "Good",IF(Table1[[#This Row],[Customer Ratings]]=3, "Average","Poor"))</f>
        <v>Good</v>
      </c>
      <c r="S1902" s="3" t="s">
        <v>17</v>
      </c>
    </row>
    <row r="1903" spans="1:19" x14ac:dyDescent="0.25">
      <c r="A1903" s="3">
        <v>1902</v>
      </c>
      <c r="B1903" s="5">
        <f>DATE(Table1[[#This Row],[Year]],Table1[[#This Row],[Month]],Table1[[#This Row],[Day]])</f>
        <v>45019</v>
      </c>
      <c r="C1903" s="3">
        <v>3</v>
      </c>
      <c r="D1903" s="3">
        <v>4</v>
      </c>
      <c r="E1903" s="3">
        <v>2023</v>
      </c>
      <c r="F1903" s="3" t="str">
        <f>"Qtr"&amp; " " &amp;CHOOSE(MONTH(Table1[[#This Row],[Date]]),1,1,1,2,2,2,3,3,3,4,4,4)</f>
        <v>Qtr 2</v>
      </c>
      <c r="G1903" s="3" t="str">
        <f>TEXT(Table1[[#This Row],[Date]],"mmmm")</f>
        <v>April</v>
      </c>
      <c r="H1903" s="3" t="s">
        <v>1081</v>
      </c>
      <c r="I1903" s="3" t="s">
        <v>13</v>
      </c>
      <c r="J1903" s="3">
        <v>5</v>
      </c>
      <c r="K1903" s="3">
        <v>16497.36</v>
      </c>
      <c r="L1903" s="3">
        <f>Table1[[#This Row],[Price Per Unit]]*Table1[[#This Row],[Units Sold]]</f>
        <v>82486.8</v>
      </c>
      <c r="M1903" s="3" t="s">
        <v>156</v>
      </c>
      <c r="N1903" s="3">
        <v>24</v>
      </c>
      <c r="O1903" s="3" t="s">
        <v>24</v>
      </c>
      <c r="P1903" s="3" t="s">
        <v>45</v>
      </c>
      <c r="Q1903" s="4">
        <v>5</v>
      </c>
      <c r="R1903" s="4" t="str">
        <f>IF(Table1[[#This Row],[Customer Ratings]]&gt;=4, "Good",IF(Table1[[#This Row],[Customer Ratings]]=3, "Average","Poor"))</f>
        <v>Good</v>
      </c>
      <c r="S1903" s="3" t="s">
        <v>72</v>
      </c>
    </row>
    <row r="1904" spans="1:19" x14ac:dyDescent="0.25">
      <c r="A1904" s="3">
        <v>1903</v>
      </c>
      <c r="B1904" s="5">
        <f>DATE(Table1[[#This Row],[Year]],Table1[[#This Row],[Month]],Table1[[#This Row],[Day]])</f>
        <v>45019</v>
      </c>
      <c r="C1904" s="3">
        <v>3</v>
      </c>
      <c r="D1904" s="3">
        <v>4</v>
      </c>
      <c r="E1904" s="3">
        <v>2023</v>
      </c>
      <c r="F1904" s="3" t="str">
        <f>"Qtr"&amp; " " &amp;CHOOSE(MONTH(Table1[[#This Row],[Date]]),1,1,1,2,2,2,3,3,3,4,4,4)</f>
        <v>Qtr 2</v>
      </c>
      <c r="G1904" s="3" t="str">
        <f>TEXT(Table1[[#This Row],[Date]],"mmmm")</f>
        <v>April</v>
      </c>
      <c r="H1904" s="3" t="s">
        <v>1081</v>
      </c>
      <c r="I1904" s="3" t="s">
        <v>18</v>
      </c>
      <c r="J1904" s="3">
        <v>8</v>
      </c>
      <c r="K1904" s="3">
        <v>35252.629999999997</v>
      </c>
      <c r="L1904" s="3">
        <f>Table1[[#This Row],[Price Per Unit]]*Table1[[#This Row],[Units Sold]]</f>
        <v>282021.03999999998</v>
      </c>
      <c r="M1904" s="3" t="s">
        <v>629</v>
      </c>
      <c r="N1904" s="3">
        <v>21</v>
      </c>
      <c r="O1904" s="3" t="s">
        <v>81</v>
      </c>
      <c r="P1904" s="3" t="s">
        <v>31</v>
      </c>
      <c r="Q1904" s="4">
        <v>5</v>
      </c>
      <c r="R1904" s="4" t="str">
        <f>IF(Table1[[#This Row],[Customer Ratings]]&gt;=4, "Good",IF(Table1[[#This Row],[Customer Ratings]]=3, "Average","Poor"))</f>
        <v>Good</v>
      </c>
      <c r="S1904" s="3" t="s">
        <v>55</v>
      </c>
    </row>
    <row r="1905" spans="1:19" x14ac:dyDescent="0.25">
      <c r="A1905" s="3">
        <v>1904</v>
      </c>
      <c r="B1905" s="5">
        <f>DATE(Table1[[#This Row],[Year]],Table1[[#This Row],[Month]],Table1[[#This Row],[Day]])</f>
        <v>45019</v>
      </c>
      <c r="C1905" s="3">
        <v>3</v>
      </c>
      <c r="D1905" s="3">
        <v>4</v>
      </c>
      <c r="E1905" s="3">
        <v>2023</v>
      </c>
      <c r="F1905" s="3" t="str">
        <f>"Qtr"&amp; " " &amp;CHOOSE(MONTH(Table1[[#This Row],[Date]]),1,1,1,2,2,2,3,3,3,4,4,4)</f>
        <v>Qtr 2</v>
      </c>
      <c r="G1905" s="3" t="str">
        <f>TEXT(Table1[[#This Row],[Date]],"mmmm")</f>
        <v>April</v>
      </c>
      <c r="H1905" s="3" t="s">
        <v>1081</v>
      </c>
      <c r="I1905" s="3" t="s">
        <v>39</v>
      </c>
      <c r="J1905" s="3">
        <v>5</v>
      </c>
      <c r="K1905" s="3">
        <v>53626.27</v>
      </c>
      <c r="L1905" s="3">
        <f>Table1[[#This Row],[Price Per Unit]]*Table1[[#This Row],[Units Sold]]</f>
        <v>268131.34999999998</v>
      </c>
      <c r="M1905" s="3" t="s">
        <v>789</v>
      </c>
      <c r="N1905" s="3">
        <v>30</v>
      </c>
      <c r="O1905" s="3" t="s">
        <v>20</v>
      </c>
      <c r="P1905" s="3" t="s">
        <v>45</v>
      </c>
      <c r="Q1905" s="4">
        <v>5</v>
      </c>
      <c r="R1905" s="4" t="str">
        <f>IF(Table1[[#This Row],[Customer Ratings]]&gt;=4, "Good",IF(Table1[[#This Row],[Customer Ratings]]=3, "Average","Poor"))</f>
        <v>Good</v>
      </c>
      <c r="S1905" s="3" t="s">
        <v>76</v>
      </c>
    </row>
    <row r="1906" spans="1:19" x14ac:dyDescent="0.25">
      <c r="A1906" s="3">
        <v>1905</v>
      </c>
      <c r="B1906" s="5">
        <f>DATE(Table1[[#This Row],[Year]],Table1[[#This Row],[Month]],Table1[[#This Row],[Day]])</f>
        <v>45020</v>
      </c>
      <c r="C1906" s="3">
        <v>4</v>
      </c>
      <c r="D1906" s="3">
        <v>4</v>
      </c>
      <c r="E1906" s="3">
        <v>2023</v>
      </c>
      <c r="F1906" s="3" t="str">
        <f>"Qtr"&amp; " " &amp;CHOOSE(MONTH(Table1[[#This Row],[Date]]),1,1,1,2,2,2,3,3,3,4,4,4)</f>
        <v>Qtr 2</v>
      </c>
      <c r="G1906" s="3" t="str">
        <f>TEXT(Table1[[#This Row],[Date]],"mmmm")</f>
        <v>April</v>
      </c>
      <c r="H1906" s="3" t="s">
        <v>1082</v>
      </c>
      <c r="I1906" s="3" t="s">
        <v>28</v>
      </c>
      <c r="J1906" s="3">
        <v>2</v>
      </c>
      <c r="K1906" s="3">
        <v>16438.07</v>
      </c>
      <c r="L1906" s="3">
        <f>Table1[[#This Row],[Price Per Unit]]*Table1[[#This Row],[Units Sold]]</f>
        <v>32876.14</v>
      </c>
      <c r="M1906" s="3" t="s">
        <v>628</v>
      </c>
      <c r="N1906" s="3">
        <v>36</v>
      </c>
      <c r="O1906" s="3" t="s">
        <v>48</v>
      </c>
      <c r="P1906" s="3" t="s">
        <v>16</v>
      </c>
      <c r="Q1906" s="4">
        <v>5</v>
      </c>
      <c r="R1906" s="4" t="str">
        <f>IF(Table1[[#This Row],[Customer Ratings]]&gt;=4, "Good",IF(Table1[[#This Row],[Customer Ratings]]=3, "Average","Poor"))</f>
        <v>Good</v>
      </c>
      <c r="S1906" s="3" t="s">
        <v>87</v>
      </c>
    </row>
    <row r="1907" spans="1:19" x14ac:dyDescent="0.25">
      <c r="A1907" s="3">
        <v>1906</v>
      </c>
      <c r="B1907" s="5">
        <f>DATE(Table1[[#This Row],[Year]],Table1[[#This Row],[Month]],Table1[[#This Row],[Day]])</f>
        <v>45020</v>
      </c>
      <c r="C1907" s="3">
        <v>4</v>
      </c>
      <c r="D1907" s="3">
        <v>4</v>
      </c>
      <c r="E1907" s="3">
        <v>2023</v>
      </c>
      <c r="F1907" s="3" t="str">
        <f>"Qtr"&amp; " " &amp;CHOOSE(MONTH(Table1[[#This Row],[Date]]),1,1,1,2,2,2,3,3,3,4,4,4)</f>
        <v>Qtr 2</v>
      </c>
      <c r="G1907" s="3" t="str">
        <f>TEXT(Table1[[#This Row],[Date]],"mmmm")</f>
        <v>April</v>
      </c>
      <c r="H1907" s="3" t="s">
        <v>1082</v>
      </c>
      <c r="I1907" s="3" t="s">
        <v>28</v>
      </c>
      <c r="J1907" s="3">
        <v>6</v>
      </c>
      <c r="K1907" s="3">
        <v>22362.91</v>
      </c>
      <c r="L1907" s="3">
        <f>Table1[[#This Row],[Price Per Unit]]*Table1[[#This Row],[Units Sold]]</f>
        <v>134177.46</v>
      </c>
      <c r="M1907" s="3" t="s">
        <v>254</v>
      </c>
      <c r="N1907" s="3">
        <v>24</v>
      </c>
      <c r="O1907" s="3" t="s">
        <v>20</v>
      </c>
      <c r="P1907" s="3" t="s">
        <v>31</v>
      </c>
      <c r="Q1907" s="4">
        <v>1</v>
      </c>
      <c r="R1907" s="4" t="str">
        <f>IF(Table1[[#This Row],[Customer Ratings]]&gt;=4, "Good",IF(Table1[[#This Row],[Customer Ratings]]=3, "Average","Poor"))</f>
        <v>Poor</v>
      </c>
      <c r="S1907" s="3" t="s">
        <v>87</v>
      </c>
    </row>
    <row r="1908" spans="1:19" x14ac:dyDescent="0.25">
      <c r="A1908" s="3">
        <v>1907</v>
      </c>
      <c r="B1908" s="5">
        <f>DATE(Table1[[#This Row],[Year]],Table1[[#This Row],[Month]],Table1[[#This Row],[Day]])</f>
        <v>45020</v>
      </c>
      <c r="C1908" s="3">
        <v>4</v>
      </c>
      <c r="D1908" s="3">
        <v>4</v>
      </c>
      <c r="E1908" s="3">
        <v>2023</v>
      </c>
      <c r="F1908" s="3" t="str">
        <f>"Qtr"&amp; " " &amp;CHOOSE(MONTH(Table1[[#This Row],[Date]]),1,1,1,2,2,2,3,3,3,4,4,4)</f>
        <v>Qtr 2</v>
      </c>
      <c r="G1908" s="3" t="str">
        <f>TEXT(Table1[[#This Row],[Date]],"mmmm")</f>
        <v>April</v>
      </c>
      <c r="H1908" s="3" t="s">
        <v>1082</v>
      </c>
      <c r="I1908" s="3" t="s">
        <v>18</v>
      </c>
      <c r="J1908" s="3">
        <v>9</v>
      </c>
      <c r="K1908" s="3">
        <v>18853.11</v>
      </c>
      <c r="L1908" s="3">
        <f>Table1[[#This Row],[Price Per Unit]]*Table1[[#This Row],[Units Sold]]</f>
        <v>169677.99</v>
      </c>
      <c r="M1908" s="3" t="s">
        <v>627</v>
      </c>
      <c r="N1908" s="3">
        <v>27</v>
      </c>
      <c r="O1908" s="3" t="s">
        <v>24</v>
      </c>
      <c r="P1908" s="3" t="s">
        <v>21</v>
      </c>
      <c r="Q1908" s="4">
        <v>4</v>
      </c>
      <c r="R1908" s="4" t="str">
        <f>IF(Table1[[#This Row],[Customer Ratings]]&gt;=4, "Good",IF(Table1[[#This Row],[Customer Ratings]]=3, "Average","Poor"))</f>
        <v>Good</v>
      </c>
      <c r="S1908" s="3" t="s">
        <v>55</v>
      </c>
    </row>
    <row r="1909" spans="1:19" x14ac:dyDescent="0.25">
      <c r="A1909" s="3">
        <v>1908</v>
      </c>
      <c r="B1909" s="5">
        <f>DATE(Table1[[#This Row],[Year]],Table1[[#This Row],[Month]],Table1[[#This Row],[Day]])</f>
        <v>45021</v>
      </c>
      <c r="C1909" s="3">
        <v>5</v>
      </c>
      <c r="D1909" s="3">
        <v>4</v>
      </c>
      <c r="E1909" s="3">
        <v>2023</v>
      </c>
      <c r="F1909" s="3" t="str">
        <f>"Qtr"&amp; " " &amp;CHOOSE(MONTH(Table1[[#This Row],[Date]]),1,1,1,2,2,2,3,3,3,4,4,4)</f>
        <v>Qtr 2</v>
      </c>
      <c r="G1909" s="3" t="str">
        <f>TEXT(Table1[[#This Row],[Date]],"mmmm")</f>
        <v>April</v>
      </c>
      <c r="H1909" s="3" t="s">
        <v>1083</v>
      </c>
      <c r="I1909" s="3" t="s">
        <v>13</v>
      </c>
      <c r="J1909" s="3">
        <v>3</v>
      </c>
      <c r="K1909" s="3">
        <v>57816.87</v>
      </c>
      <c r="L1909" s="3">
        <f>Table1[[#This Row],[Price Per Unit]]*Table1[[#This Row],[Units Sold]]</f>
        <v>173450.61000000002</v>
      </c>
      <c r="M1909" s="3" t="s">
        <v>791</v>
      </c>
      <c r="N1909" s="3">
        <v>42</v>
      </c>
      <c r="O1909" s="3" t="s">
        <v>24</v>
      </c>
      <c r="P1909" s="3" t="s">
        <v>16</v>
      </c>
      <c r="Q1909" s="4">
        <v>4</v>
      </c>
      <c r="R1909" s="4" t="str">
        <f>IF(Table1[[#This Row],[Customer Ratings]]&gt;=4, "Good",IF(Table1[[#This Row],[Customer Ratings]]=3, "Average","Poor"))</f>
        <v>Good</v>
      </c>
      <c r="S1909" s="3" t="s">
        <v>17</v>
      </c>
    </row>
    <row r="1910" spans="1:19" x14ac:dyDescent="0.25">
      <c r="A1910" s="3">
        <v>1909</v>
      </c>
      <c r="B1910" s="5">
        <f>DATE(Table1[[#This Row],[Year]],Table1[[#This Row],[Month]],Table1[[#This Row],[Day]])</f>
        <v>45021</v>
      </c>
      <c r="C1910" s="3">
        <v>5</v>
      </c>
      <c r="D1910" s="3">
        <v>4</v>
      </c>
      <c r="E1910" s="3">
        <v>2023</v>
      </c>
      <c r="F1910" s="3" t="str">
        <f>"Qtr"&amp; " " &amp;CHOOSE(MONTH(Table1[[#This Row],[Date]]),1,1,1,2,2,2,3,3,3,4,4,4)</f>
        <v>Qtr 2</v>
      </c>
      <c r="G1910" s="3" t="str">
        <f>TEXT(Table1[[#This Row],[Date]],"mmmm")</f>
        <v>April</v>
      </c>
      <c r="H1910" s="3" t="s">
        <v>1083</v>
      </c>
      <c r="I1910" s="3" t="s">
        <v>18</v>
      </c>
      <c r="J1910" s="3">
        <v>1</v>
      </c>
      <c r="K1910" s="3">
        <v>13773.56</v>
      </c>
      <c r="L1910" s="3">
        <f>Table1[[#This Row],[Price Per Unit]]*Table1[[#This Row],[Units Sold]]</f>
        <v>13773.56</v>
      </c>
      <c r="M1910" s="3" t="s">
        <v>272</v>
      </c>
      <c r="N1910" s="3">
        <v>52</v>
      </c>
      <c r="O1910" s="3" t="s">
        <v>20</v>
      </c>
      <c r="P1910" s="3" t="s">
        <v>31</v>
      </c>
      <c r="Q1910" s="4">
        <v>4</v>
      </c>
      <c r="R1910" s="4" t="str">
        <f>IF(Table1[[#This Row],[Customer Ratings]]&gt;=4, "Good",IF(Table1[[#This Row],[Customer Ratings]]=3, "Average","Poor"))</f>
        <v>Good</v>
      </c>
      <c r="S1910" s="3" t="s">
        <v>25</v>
      </c>
    </row>
    <row r="1911" spans="1:19" x14ac:dyDescent="0.25">
      <c r="A1911" s="3">
        <v>1910</v>
      </c>
      <c r="B1911" s="5">
        <f>DATE(Table1[[#This Row],[Year]],Table1[[#This Row],[Month]],Table1[[#This Row],[Day]])</f>
        <v>45021</v>
      </c>
      <c r="C1911" s="3">
        <v>5</v>
      </c>
      <c r="D1911" s="3">
        <v>4</v>
      </c>
      <c r="E1911" s="3">
        <v>2023</v>
      </c>
      <c r="F1911" s="3" t="str">
        <f>"Qtr"&amp; " " &amp;CHOOSE(MONTH(Table1[[#This Row],[Date]]),1,1,1,2,2,2,3,3,3,4,4,4)</f>
        <v>Qtr 2</v>
      </c>
      <c r="G1911" s="3" t="str">
        <f>TEXT(Table1[[#This Row],[Date]],"mmmm")</f>
        <v>April</v>
      </c>
      <c r="H1911" s="3" t="s">
        <v>1083</v>
      </c>
      <c r="I1911" s="3" t="s">
        <v>18</v>
      </c>
      <c r="J1911" s="3">
        <v>1</v>
      </c>
      <c r="K1911" s="3">
        <v>51195.19</v>
      </c>
      <c r="L1911" s="3">
        <f>Table1[[#This Row],[Price Per Unit]]*Table1[[#This Row],[Units Sold]]</f>
        <v>51195.19</v>
      </c>
      <c r="M1911" s="3" t="s">
        <v>68</v>
      </c>
      <c r="N1911" s="3">
        <v>42</v>
      </c>
      <c r="O1911" s="3" t="s">
        <v>20</v>
      </c>
      <c r="P1911" s="3" t="s">
        <v>16</v>
      </c>
      <c r="Q1911" s="4">
        <v>4</v>
      </c>
      <c r="R1911" s="4" t="str">
        <f>IF(Table1[[#This Row],[Customer Ratings]]&gt;=4, "Good",IF(Table1[[#This Row],[Customer Ratings]]=3, "Average","Poor"))</f>
        <v>Good</v>
      </c>
      <c r="S1911" s="3" t="s">
        <v>55</v>
      </c>
    </row>
    <row r="1912" spans="1:19" x14ac:dyDescent="0.25">
      <c r="A1912" s="3">
        <v>1911</v>
      </c>
      <c r="B1912" s="5">
        <f>DATE(Table1[[#This Row],[Year]],Table1[[#This Row],[Month]],Table1[[#This Row],[Day]])</f>
        <v>45021</v>
      </c>
      <c r="C1912" s="3">
        <v>5</v>
      </c>
      <c r="D1912" s="3">
        <v>4</v>
      </c>
      <c r="E1912" s="3">
        <v>2023</v>
      </c>
      <c r="F1912" s="3" t="str">
        <f>"Qtr"&amp; " " &amp;CHOOSE(MONTH(Table1[[#This Row],[Date]]),1,1,1,2,2,2,3,3,3,4,4,4)</f>
        <v>Qtr 2</v>
      </c>
      <c r="G1912" s="3" t="str">
        <f>TEXT(Table1[[#This Row],[Date]],"mmmm")</f>
        <v>April</v>
      </c>
      <c r="H1912" s="3" t="s">
        <v>1083</v>
      </c>
      <c r="I1912" s="3" t="s">
        <v>33</v>
      </c>
      <c r="J1912" s="3">
        <v>3</v>
      </c>
      <c r="K1912" s="3">
        <v>31987.42</v>
      </c>
      <c r="L1912" s="3">
        <f>Table1[[#This Row],[Price Per Unit]]*Table1[[#This Row],[Units Sold]]</f>
        <v>95962.26</v>
      </c>
      <c r="M1912" s="3" t="s">
        <v>811</v>
      </c>
      <c r="N1912" s="3">
        <v>46</v>
      </c>
      <c r="O1912" s="3" t="s">
        <v>24</v>
      </c>
      <c r="P1912" s="3" t="s">
        <v>16</v>
      </c>
      <c r="Q1912" s="4">
        <v>1</v>
      </c>
      <c r="R1912" s="4" t="str">
        <f>IF(Table1[[#This Row],[Customer Ratings]]&gt;=4, "Good",IF(Table1[[#This Row],[Customer Ratings]]=3, "Average","Poor"))</f>
        <v>Poor</v>
      </c>
      <c r="S1912" s="3" t="s">
        <v>83</v>
      </c>
    </row>
    <row r="1913" spans="1:19" x14ac:dyDescent="0.25">
      <c r="A1913" s="3">
        <v>1912</v>
      </c>
      <c r="B1913" s="5">
        <f>DATE(Table1[[#This Row],[Year]],Table1[[#This Row],[Month]],Table1[[#This Row],[Day]])</f>
        <v>45022</v>
      </c>
      <c r="C1913" s="3">
        <v>6</v>
      </c>
      <c r="D1913" s="3">
        <v>4</v>
      </c>
      <c r="E1913" s="3">
        <v>2023</v>
      </c>
      <c r="F1913" s="3" t="str">
        <f>"Qtr"&amp; " " &amp;CHOOSE(MONTH(Table1[[#This Row],[Date]]),1,1,1,2,2,2,3,3,3,4,4,4)</f>
        <v>Qtr 2</v>
      </c>
      <c r="G1913" s="3" t="str">
        <f>TEXT(Table1[[#This Row],[Date]],"mmmm")</f>
        <v>April</v>
      </c>
      <c r="H1913" s="3" t="s">
        <v>1084</v>
      </c>
      <c r="I1913" s="3" t="s">
        <v>39</v>
      </c>
      <c r="J1913" s="3">
        <v>5</v>
      </c>
      <c r="K1913" s="3">
        <v>55347.47</v>
      </c>
      <c r="L1913" s="3">
        <f>Table1[[#This Row],[Price Per Unit]]*Table1[[#This Row],[Units Sold]]</f>
        <v>276737.34999999998</v>
      </c>
      <c r="M1913" s="3" t="s">
        <v>43</v>
      </c>
      <c r="N1913" s="3">
        <v>29</v>
      </c>
      <c r="O1913" s="3" t="s">
        <v>30</v>
      </c>
      <c r="P1913" s="3" t="s">
        <v>21</v>
      </c>
      <c r="Q1913" s="4">
        <v>1</v>
      </c>
      <c r="R1913" s="4" t="str">
        <f>IF(Table1[[#This Row],[Customer Ratings]]&gt;=4, "Good",IF(Table1[[#This Row],[Customer Ratings]]=3, "Average","Poor"))</f>
        <v>Poor</v>
      </c>
      <c r="S1913" s="3" t="s">
        <v>90</v>
      </c>
    </row>
    <row r="1914" spans="1:19" x14ac:dyDescent="0.25">
      <c r="A1914" s="3">
        <v>1913</v>
      </c>
      <c r="B1914" s="5">
        <f>DATE(Table1[[#This Row],[Year]],Table1[[#This Row],[Month]],Table1[[#This Row],[Day]])</f>
        <v>45022</v>
      </c>
      <c r="C1914" s="3">
        <v>6</v>
      </c>
      <c r="D1914" s="3">
        <v>4</v>
      </c>
      <c r="E1914" s="3">
        <v>2023</v>
      </c>
      <c r="F1914" s="3" t="str">
        <f>"Qtr"&amp; " " &amp;CHOOSE(MONTH(Table1[[#This Row],[Date]]),1,1,1,2,2,2,3,3,3,4,4,4)</f>
        <v>Qtr 2</v>
      </c>
      <c r="G1914" s="3" t="str">
        <f>TEXT(Table1[[#This Row],[Date]],"mmmm")</f>
        <v>April</v>
      </c>
      <c r="H1914" s="3" t="s">
        <v>1084</v>
      </c>
      <c r="I1914" s="3" t="s">
        <v>28</v>
      </c>
      <c r="J1914" s="3">
        <v>3</v>
      </c>
      <c r="K1914" s="3">
        <v>67863.009999999995</v>
      </c>
      <c r="L1914" s="3">
        <f>Table1[[#This Row],[Price Per Unit]]*Table1[[#This Row],[Units Sold]]</f>
        <v>203589.02999999997</v>
      </c>
      <c r="M1914" s="3" t="s">
        <v>897</v>
      </c>
      <c r="N1914" s="3">
        <v>57</v>
      </c>
      <c r="O1914" s="3" t="s">
        <v>24</v>
      </c>
      <c r="P1914" s="3" t="s">
        <v>31</v>
      </c>
      <c r="Q1914" s="4">
        <v>5</v>
      </c>
      <c r="R1914" s="4" t="str">
        <f>IF(Table1[[#This Row],[Customer Ratings]]&gt;=4, "Good",IF(Table1[[#This Row],[Customer Ratings]]=3, "Average","Poor"))</f>
        <v>Good</v>
      </c>
      <c r="S1914" s="3" t="s">
        <v>87</v>
      </c>
    </row>
    <row r="1915" spans="1:19" x14ac:dyDescent="0.25">
      <c r="A1915" s="3">
        <v>1914</v>
      </c>
      <c r="B1915" s="5">
        <f>DATE(Table1[[#This Row],[Year]],Table1[[#This Row],[Month]],Table1[[#This Row],[Day]])</f>
        <v>45022</v>
      </c>
      <c r="C1915" s="3">
        <v>6</v>
      </c>
      <c r="D1915" s="3">
        <v>4</v>
      </c>
      <c r="E1915" s="3">
        <v>2023</v>
      </c>
      <c r="F1915" s="3" t="str">
        <f>"Qtr"&amp; " " &amp;CHOOSE(MONTH(Table1[[#This Row],[Date]]),1,1,1,2,2,2,3,3,3,4,4,4)</f>
        <v>Qtr 2</v>
      </c>
      <c r="G1915" s="3" t="str">
        <f>TEXT(Table1[[#This Row],[Date]],"mmmm")</f>
        <v>April</v>
      </c>
      <c r="H1915" s="3" t="s">
        <v>1084</v>
      </c>
      <c r="I1915" s="3" t="s">
        <v>13</v>
      </c>
      <c r="J1915" s="3">
        <v>9</v>
      </c>
      <c r="K1915" s="3">
        <v>16872.72</v>
      </c>
      <c r="L1915" s="3">
        <f>Table1[[#This Row],[Price Per Unit]]*Table1[[#This Row],[Units Sold]]</f>
        <v>151854.48000000001</v>
      </c>
      <c r="M1915" s="3" t="s">
        <v>547</v>
      </c>
      <c r="N1915" s="3">
        <v>29</v>
      </c>
      <c r="O1915" s="3" t="s">
        <v>58</v>
      </c>
      <c r="P1915" s="3" t="s">
        <v>45</v>
      </c>
      <c r="Q1915" s="4">
        <v>1</v>
      </c>
      <c r="R1915" s="4" t="str">
        <f>IF(Table1[[#This Row],[Customer Ratings]]&gt;=4, "Good",IF(Table1[[#This Row],[Customer Ratings]]=3, "Average","Poor"))</f>
        <v>Poor</v>
      </c>
      <c r="S1915" s="3" t="s">
        <v>27</v>
      </c>
    </row>
    <row r="1916" spans="1:19" x14ac:dyDescent="0.25">
      <c r="A1916" s="3">
        <v>1915</v>
      </c>
      <c r="B1916" s="5">
        <f>DATE(Table1[[#This Row],[Year]],Table1[[#This Row],[Month]],Table1[[#This Row],[Day]])</f>
        <v>45023</v>
      </c>
      <c r="C1916" s="3">
        <v>7</v>
      </c>
      <c r="D1916" s="3">
        <v>4</v>
      </c>
      <c r="E1916" s="3">
        <v>2023</v>
      </c>
      <c r="F1916" s="3" t="str">
        <f>"Qtr"&amp; " " &amp;CHOOSE(MONTH(Table1[[#This Row],[Date]]),1,1,1,2,2,2,3,3,3,4,4,4)</f>
        <v>Qtr 2</v>
      </c>
      <c r="G1916" s="3" t="str">
        <f>TEXT(Table1[[#This Row],[Date]],"mmmm")</f>
        <v>April</v>
      </c>
      <c r="H1916" s="3" t="s">
        <v>1085</v>
      </c>
      <c r="I1916" s="3" t="s">
        <v>28</v>
      </c>
      <c r="J1916" s="3">
        <v>8</v>
      </c>
      <c r="K1916" s="3">
        <v>28863.1</v>
      </c>
      <c r="L1916" s="3">
        <f>Table1[[#This Row],[Price Per Unit]]*Table1[[#This Row],[Units Sold]]</f>
        <v>230904.8</v>
      </c>
      <c r="M1916" s="3" t="s">
        <v>586</v>
      </c>
      <c r="N1916" s="3">
        <v>23</v>
      </c>
      <c r="O1916" s="3" t="s">
        <v>30</v>
      </c>
      <c r="P1916" s="3" t="s">
        <v>16</v>
      </c>
      <c r="Q1916" s="4">
        <v>4</v>
      </c>
      <c r="R1916" s="4" t="str">
        <f>IF(Table1[[#This Row],[Customer Ratings]]&gt;=4, "Good",IF(Table1[[#This Row],[Customer Ratings]]=3, "Average","Poor"))</f>
        <v>Good</v>
      </c>
      <c r="S1916" s="3" t="s">
        <v>87</v>
      </c>
    </row>
    <row r="1917" spans="1:19" x14ac:dyDescent="0.25">
      <c r="A1917" s="3">
        <v>1916</v>
      </c>
      <c r="B1917" s="5">
        <f>DATE(Table1[[#This Row],[Year]],Table1[[#This Row],[Month]],Table1[[#This Row],[Day]])</f>
        <v>45023</v>
      </c>
      <c r="C1917" s="3">
        <v>7</v>
      </c>
      <c r="D1917" s="3">
        <v>4</v>
      </c>
      <c r="E1917" s="3">
        <v>2023</v>
      </c>
      <c r="F1917" s="3" t="str">
        <f>"Qtr"&amp; " " &amp;CHOOSE(MONTH(Table1[[#This Row],[Date]]),1,1,1,2,2,2,3,3,3,4,4,4)</f>
        <v>Qtr 2</v>
      </c>
      <c r="G1917" s="3" t="str">
        <f>TEXT(Table1[[#This Row],[Date]],"mmmm")</f>
        <v>April</v>
      </c>
      <c r="H1917" s="3" t="s">
        <v>1085</v>
      </c>
      <c r="I1917" s="3" t="s">
        <v>28</v>
      </c>
      <c r="J1917" s="3">
        <v>3</v>
      </c>
      <c r="K1917" s="3">
        <v>58607.53</v>
      </c>
      <c r="L1917" s="3">
        <f>Table1[[#This Row],[Price Per Unit]]*Table1[[#This Row],[Units Sold]]</f>
        <v>175822.59</v>
      </c>
      <c r="M1917" s="3" t="s">
        <v>156</v>
      </c>
      <c r="N1917" s="3">
        <v>27</v>
      </c>
      <c r="O1917" s="3" t="s">
        <v>20</v>
      </c>
      <c r="P1917" s="3" t="s">
        <v>16</v>
      </c>
      <c r="Q1917" s="4">
        <v>4</v>
      </c>
      <c r="R1917" s="4" t="str">
        <f>IF(Table1[[#This Row],[Customer Ratings]]&gt;=4, "Good",IF(Table1[[#This Row],[Customer Ratings]]=3, "Average","Poor"))</f>
        <v>Good</v>
      </c>
      <c r="S1917" s="3" t="s">
        <v>87</v>
      </c>
    </row>
    <row r="1918" spans="1:19" x14ac:dyDescent="0.25">
      <c r="A1918" s="3">
        <v>1917</v>
      </c>
      <c r="B1918" s="5">
        <f>DATE(Table1[[#This Row],[Year]],Table1[[#This Row],[Month]],Table1[[#This Row],[Day]])</f>
        <v>45023</v>
      </c>
      <c r="C1918" s="3">
        <v>7</v>
      </c>
      <c r="D1918" s="3">
        <v>4</v>
      </c>
      <c r="E1918" s="3">
        <v>2023</v>
      </c>
      <c r="F1918" s="3" t="str">
        <f>"Qtr"&amp; " " &amp;CHOOSE(MONTH(Table1[[#This Row],[Date]]),1,1,1,2,2,2,3,3,3,4,4,4)</f>
        <v>Qtr 2</v>
      </c>
      <c r="G1918" s="3" t="str">
        <f>TEXT(Table1[[#This Row],[Date]],"mmmm")</f>
        <v>April</v>
      </c>
      <c r="H1918" s="3" t="s">
        <v>1085</v>
      </c>
      <c r="I1918" s="3" t="s">
        <v>39</v>
      </c>
      <c r="J1918" s="3">
        <v>9</v>
      </c>
      <c r="K1918" s="3">
        <v>25969.5</v>
      </c>
      <c r="L1918" s="3">
        <f>Table1[[#This Row],[Price Per Unit]]*Table1[[#This Row],[Units Sold]]</f>
        <v>233725.5</v>
      </c>
      <c r="M1918" s="3" t="s">
        <v>494</v>
      </c>
      <c r="N1918" s="3">
        <v>19</v>
      </c>
      <c r="O1918" s="3" t="s">
        <v>15</v>
      </c>
      <c r="P1918" s="3" t="s">
        <v>16</v>
      </c>
      <c r="Q1918" s="4">
        <v>5</v>
      </c>
      <c r="R1918" s="4" t="str">
        <f>IF(Table1[[#This Row],[Customer Ratings]]&gt;=4, "Good",IF(Table1[[#This Row],[Customer Ratings]]=3, "Average","Poor"))</f>
        <v>Good</v>
      </c>
      <c r="S1918" s="3" t="s">
        <v>90</v>
      </c>
    </row>
    <row r="1919" spans="1:19" x14ac:dyDescent="0.25">
      <c r="A1919" s="3">
        <v>1918</v>
      </c>
      <c r="B1919" s="5">
        <f>DATE(Table1[[#This Row],[Year]],Table1[[#This Row],[Month]],Table1[[#This Row],[Day]])</f>
        <v>45023</v>
      </c>
      <c r="C1919" s="3">
        <v>7</v>
      </c>
      <c r="D1919" s="3">
        <v>4</v>
      </c>
      <c r="E1919" s="3">
        <v>2023</v>
      </c>
      <c r="F1919" s="3" t="str">
        <f>"Qtr"&amp; " " &amp;CHOOSE(MONTH(Table1[[#This Row],[Date]]),1,1,1,2,2,2,3,3,3,4,4,4)</f>
        <v>Qtr 2</v>
      </c>
      <c r="G1919" s="3" t="str">
        <f>TEXT(Table1[[#This Row],[Date]],"mmmm")</f>
        <v>April</v>
      </c>
      <c r="H1919" s="3" t="s">
        <v>1085</v>
      </c>
      <c r="I1919" s="3" t="s">
        <v>28</v>
      </c>
      <c r="J1919" s="3">
        <v>6</v>
      </c>
      <c r="K1919" s="3">
        <v>22907.24</v>
      </c>
      <c r="L1919" s="3">
        <f>Table1[[#This Row],[Price Per Unit]]*Table1[[#This Row],[Units Sold]]</f>
        <v>137443.44</v>
      </c>
      <c r="M1919" s="3" t="s">
        <v>923</v>
      </c>
      <c r="N1919" s="3">
        <v>42</v>
      </c>
      <c r="O1919" s="3" t="s">
        <v>15</v>
      </c>
      <c r="P1919" s="3" t="s">
        <v>16</v>
      </c>
      <c r="Q1919" s="4">
        <v>5</v>
      </c>
      <c r="R1919" s="4" t="str">
        <f>IF(Table1[[#This Row],[Customer Ratings]]&gt;=4, "Good",IF(Table1[[#This Row],[Customer Ratings]]=3, "Average","Poor"))</f>
        <v>Good</v>
      </c>
      <c r="S1919" s="3" t="s">
        <v>87</v>
      </c>
    </row>
    <row r="1920" spans="1:19" x14ac:dyDescent="0.25">
      <c r="A1920" s="3">
        <v>1919</v>
      </c>
      <c r="B1920" s="5">
        <f>DATE(Table1[[#This Row],[Year]],Table1[[#This Row],[Month]],Table1[[#This Row],[Day]])</f>
        <v>45024</v>
      </c>
      <c r="C1920" s="3">
        <v>8</v>
      </c>
      <c r="D1920" s="3">
        <v>4</v>
      </c>
      <c r="E1920" s="3">
        <v>2023</v>
      </c>
      <c r="F1920" s="3" t="str">
        <f>"Qtr"&amp; " " &amp;CHOOSE(MONTH(Table1[[#This Row],[Date]]),1,1,1,2,2,2,3,3,3,4,4,4)</f>
        <v>Qtr 2</v>
      </c>
      <c r="G1920" s="3" t="str">
        <f>TEXT(Table1[[#This Row],[Date]],"mmmm")</f>
        <v>April</v>
      </c>
      <c r="H1920" s="3" t="s">
        <v>1079</v>
      </c>
      <c r="I1920" s="3" t="s">
        <v>28</v>
      </c>
      <c r="J1920" s="3">
        <v>7</v>
      </c>
      <c r="K1920" s="3">
        <v>59522.68</v>
      </c>
      <c r="L1920" s="3">
        <f>Table1[[#This Row],[Price Per Unit]]*Table1[[#This Row],[Units Sold]]</f>
        <v>416658.76</v>
      </c>
      <c r="M1920" s="3" t="s">
        <v>419</v>
      </c>
      <c r="N1920" s="3">
        <v>24</v>
      </c>
      <c r="O1920" s="3" t="s">
        <v>120</v>
      </c>
      <c r="P1920" s="3" t="s">
        <v>16</v>
      </c>
      <c r="Q1920" s="4">
        <v>4</v>
      </c>
      <c r="R1920" s="4" t="str">
        <f>IF(Table1[[#This Row],[Customer Ratings]]&gt;=4, "Good",IF(Table1[[#This Row],[Customer Ratings]]=3, "Average","Poor"))</f>
        <v>Good</v>
      </c>
      <c r="S1920" s="3" t="s">
        <v>38</v>
      </c>
    </row>
    <row r="1921" spans="1:19" x14ac:dyDescent="0.25">
      <c r="A1921" s="3">
        <v>1920</v>
      </c>
      <c r="B1921" s="5">
        <f>DATE(Table1[[#This Row],[Year]],Table1[[#This Row],[Month]],Table1[[#This Row],[Day]])</f>
        <v>45024</v>
      </c>
      <c r="C1921" s="3">
        <v>8</v>
      </c>
      <c r="D1921" s="3">
        <v>4</v>
      </c>
      <c r="E1921" s="3">
        <v>2023</v>
      </c>
      <c r="F1921" s="3" t="str">
        <f>"Qtr"&amp; " " &amp;CHOOSE(MONTH(Table1[[#This Row],[Date]]),1,1,1,2,2,2,3,3,3,4,4,4)</f>
        <v>Qtr 2</v>
      </c>
      <c r="G1921" s="3" t="str">
        <f>TEXT(Table1[[#This Row],[Date]],"mmmm")</f>
        <v>April</v>
      </c>
      <c r="H1921" s="3" t="s">
        <v>1079</v>
      </c>
      <c r="I1921" s="3" t="s">
        <v>18</v>
      </c>
      <c r="J1921" s="3">
        <v>4</v>
      </c>
      <c r="K1921" s="3">
        <v>69224.94</v>
      </c>
      <c r="L1921" s="3">
        <f>Table1[[#This Row],[Price Per Unit]]*Table1[[#This Row],[Units Sold]]</f>
        <v>276899.76</v>
      </c>
      <c r="M1921" s="3" t="s">
        <v>835</v>
      </c>
      <c r="N1921" s="3">
        <v>57</v>
      </c>
      <c r="O1921" s="3" t="s">
        <v>78</v>
      </c>
      <c r="P1921" s="3" t="s">
        <v>31</v>
      </c>
      <c r="Q1921" s="4">
        <v>4</v>
      </c>
      <c r="R1921" s="4" t="str">
        <f>IF(Table1[[#This Row],[Customer Ratings]]&gt;=4, "Good",IF(Table1[[#This Row],[Customer Ratings]]=3, "Average","Poor"))</f>
        <v>Good</v>
      </c>
      <c r="S1921" s="3" t="s">
        <v>22</v>
      </c>
    </row>
    <row r="1922" spans="1:19" x14ac:dyDescent="0.25">
      <c r="A1922" s="3">
        <v>1921</v>
      </c>
      <c r="B1922" s="5">
        <f>DATE(Table1[[#This Row],[Year]],Table1[[#This Row],[Month]],Table1[[#This Row],[Day]])</f>
        <v>45024</v>
      </c>
      <c r="C1922" s="3">
        <v>8</v>
      </c>
      <c r="D1922" s="3">
        <v>4</v>
      </c>
      <c r="E1922" s="3">
        <v>2023</v>
      </c>
      <c r="F1922" s="3" t="str">
        <f>"Qtr"&amp; " " &amp;CHOOSE(MONTH(Table1[[#This Row],[Date]]),1,1,1,2,2,2,3,3,3,4,4,4)</f>
        <v>Qtr 2</v>
      </c>
      <c r="G1922" s="3" t="str">
        <f>TEXT(Table1[[#This Row],[Date]],"mmmm")</f>
        <v>April</v>
      </c>
      <c r="H1922" s="3" t="s">
        <v>1079</v>
      </c>
      <c r="I1922" s="3" t="s">
        <v>39</v>
      </c>
      <c r="J1922" s="3">
        <v>4</v>
      </c>
      <c r="K1922" s="3">
        <v>43412.84</v>
      </c>
      <c r="L1922" s="3">
        <f>Table1[[#This Row],[Price Per Unit]]*Table1[[#This Row],[Units Sold]]</f>
        <v>173651.36</v>
      </c>
      <c r="M1922" s="3" t="s">
        <v>583</v>
      </c>
      <c r="N1922" s="3">
        <v>40</v>
      </c>
      <c r="O1922" s="3" t="s">
        <v>15</v>
      </c>
      <c r="P1922" s="3" t="s">
        <v>16</v>
      </c>
      <c r="Q1922" s="4">
        <v>4</v>
      </c>
      <c r="R1922" s="4" t="str">
        <f>IF(Table1[[#This Row],[Customer Ratings]]&gt;=4, "Good",IF(Table1[[#This Row],[Customer Ratings]]=3, "Average","Poor"))</f>
        <v>Good</v>
      </c>
      <c r="S1922" s="3" t="s">
        <v>90</v>
      </c>
    </row>
    <row r="1923" spans="1:19" x14ac:dyDescent="0.25">
      <c r="A1923" s="3">
        <v>1922</v>
      </c>
      <c r="B1923" s="5">
        <f>DATE(Table1[[#This Row],[Year]],Table1[[#This Row],[Month]],Table1[[#This Row],[Day]])</f>
        <v>45025</v>
      </c>
      <c r="C1923" s="3">
        <v>9</v>
      </c>
      <c r="D1923" s="3">
        <v>4</v>
      </c>
      <c r="E1923" s="3">
        <v>2023</v>
      </c>
      <c r="F1923" s="3" t="str">
        <f>"Qtr"&amp; " " &amp;CHOOSE(MONTH(Table1[[#This Row],[Date]]),1,1,1,2,2,2,3,3,3,4,4,4)</f>
        <v>Qtr 2</v>
      </c>
      <c r="G1923" s="3" t="str">
        <f>TEXT(Table1[[#This Row],[Date]],"mmmm")</f>
        <v>April</v>
      </c>
      <c r="H1923" s="3" t="s">
        <v>1080</v>
      </c>
      <c r="I1923" s="3" t="s">
        <v>33</v>
      </c>
      <c r="J1923" s="3">
        <v>2</v>
      </c>
      <c r="K1923" s="3">
        <v>26682.92</v>
      </c>
      <c r="L1923" s="3">
        <f>Table1[[#This Row],[Price Per Unit]]*Table1[[#This Row],[Units Sold]]</f>
        <v>53365.84</v>
      </c>
      <c r="M1923" s="3" t="s">
        <v>440</v>
      </c>
      <c r="N1923" s="3">
        <v>28</v>
      </c>
      <c r="O1923" s="3" t="s">
        <v>125</v>
      </c>
      <c r="P1923" s="3" t="s">
        <v>16</v>
      </c>
      <c r="Q1923" s="4">
        <v>1</v>
      </c>
      <c r="R1923" s="4" t="str">
        <f>IF(Table1[[#This Row],[Customer Ratings]]&gt;=4, "Good",IF(Table1[[#This Row],[Customer Ratings]]=3, "Average","Poor"))</f>
        <v>Poor</v>
      </c>
      <c r="S1923" s="3" t="s">
        <v>36</v>
      </c>
    </row>
    <row r="1924" spans="1:19" x14ac:dyDescent="0.25">
      <c r="A1924" s="3">
        <v>1923</v>
      </c>
      <c r="B1924" s="5">
        <f>DATE(Table1[[#This Row],[Year]],Table1[[#This Row],[Month]],Table1[[#This Row],[Day]])</f>
        <v>45025</v>
      </c>
      <c r="C1924" s="3">
        <v>9</v>
      </c>
      <c r="D1924" s="3">
        <v>4</v>
      </c>
      <c r="E1924" s="3">
        <v>2023</v>
      </c>
      <c r="F1924" s="3" t="str">
        <f>"Qtr"&amp; " " &amp;CHOOSE(MONTH(Table1[[#This Row],[Date]]),1,1,1,2,2,2,3,3,3,4,4,4)</f>
        <v>Qtr 2</v>
      </c>
      <c r="G1924" s="3" t="str">
        <f>TEXT(Table1[[#This Row],[Date]],"mmmm")</f>
        <v>April</v>
      </c>
      <c r="H1924" s="3" t="s">
        <v>1080</v>
      </c>
      <c r="I1924" s="3" t="s">
        <v>13</v>
      </c>
      <c r="J1924" s="3">
        <v>5</v>
      </c>
      <c r="K1924" s="3">
        <v>33913.96</v>
      </c>
      <c r="L1924" s="3">
        <f>Table1[[#This Row],[Price Per Unit]]*Table1[[#This Row],[Units Sold]]</f>
        <v>169569.8</v>
      </c>
      <c r="M1924" s="3" t="s">
        <v>785</v>
      </c>
      <c r="N1924" s="3">
        <v>53</v>
      </c>
      <c r="O1924" s="3" t="s">
        <v>20</v>
      </c>
      <c r="P1924" s="3" t="s">
        <v>16</v>
      </c>
      <c r="Q1924" s="4">
        <v>5</v>
      </c>
      <c r="R1924" s="4" t="str">
        <f>IF(Table1[[#This Row],[Customer Ratings]]&gt;=4, "Good",IF(Table1[[#This Row],[Customer Ratings]]=3, "Average","Poor"))</f>
        <v>Good</v>
      </c>
      <c r="S1924" s="3" t="s">
        <v>27</v>
      </c>
    </row>
    <row r="1925" spans="1:19" x14ac:dyDescent="0.25">
      <c r="A1925" s="3">
        <v>1924</v>
      </c>
      <c r="B1925" s="5">
        <f>DATE(Table1[[#This Row],[Year]],Table1[[#This Row],[Month]],Table1[[#This Row],[Day]])</f>
        <v>45025</v>
      </c>
      <c r="C1925" s="3">
        <v>9</v>
      </c>
      <c r="D1925" s="3">
        <v>4</v>
      </c>
      <c r="E1925" s="3">
        <v>2023</v>
      </c>
      <c r="F1925" s="3" t="str">
        <f>"Qtr"&amp; " " &amp;CHOOSE(MONTH(Table1[[#This Row],[Date]]),1,1,1,2,2,2,3,3,3,4,4,4)</f>
        <v>Qtr 2</v>
      </c>
      <c r="G1925" s="3" t="str">
        <f>TEXT(Table1[[#This Row],[Date]],"mmmm")</f>
        <v>April</v>
      </c>
      <c r="H1925" s="3" t="s">
        <v>1080</v>
      </c>
      <c r="I1925" s="3" t="s">
        <v>28</v>
      </c>
      <c r="J1925" s="3">
        <v>8</v>
      </c>
      <c r="K1925" s="3">
        <v>20207.82</v>
      </c>
      <c r="L1925" s="3">
        <f>Table1[[#This Row],[Price Per Unit]]*Table1[[#This Row],[Units Sold]]</f>
        <v>161662.56</v>
      </c>
      <c r="M1925" s="3" t="s">
        <v>347</v>
      </c>
      <c r="N1925" s="3">
        <v>40</v>
      </c>
      <c r="O1925" s="3" t="s">
        <v>20</v>
      </c>
      <c r="P1925" s="3" t="s">
        <v>45</v>
      </c>
      <c r="Q1925" s="4">
        <v>5</v>
      </c>
      <c r="R1925" s="4" t="str">
        <f>IF(Table1[[#This Row],[Customer Ratings]]&gt;=4, "Good",IF(Table1[[#This Row],[Customer Ratings]]=3, "Average","Poor"))</f>
        <v>Good</v>
      </c>
      <c r="S1925" s="3" t="s">
        <v>87</v>
      </c>
    </row>
    <row r="1926" spans="1:19" x14ac:dyDescent="0.25">
      <c r="A1926" s="3">
        <v>1925</v>
      </c>
      <c r="B1926" s="5">
        <f>DATE(Table1[[#This Row],[Year]],Table1[[#This Row],[Month]],Table1[[#This Row],[Day]])</f>
        <v>45025</v>
      </c>
      <c r="C1926" s="3">
        <v>9</v>
      </c>
      <c r="D1926" s="3">
        <v>4</v>
      </c>
      <c r="E1926" s="3">
        <v>2023</v>
      </c>
      <c r="F1926" s="3" t="str">
        <f>"Qtr"&amp; " " &amp;CHOOSE(MONTH(Table1[[#This Row],[Date]]),1,1,1,2,2,2,3,3,3,4,4,4)</f>
        <v>Qtr 2</v>
      </c>
      <c r="G1926" s="3" t="str">
        <f>TEXT(Table1[[#This Row],[Date]],"mmmm")</f>
        <v>April</v>
      </c>
      <c r="H1926" s="3" t="s">
        <v>1080</v>
      </c>
      <c r="I1926" s="3" t="s">
        <v>13</v>
      </c>
      <c r="J1926" s="3">
        <v>7</v>
      </c>
      <c r="K1926" s="3">
        <v>55713.24</v>
      </c>
      <c r="L1926" s="3">
        <f>Table1[[#This Row],[Price Per Unit]]*Table1[[#This Row],[Units Sold]]</f>
        <v>389992.68</v>
      </c>
      <c r="M1926" s="3" t="s">
        <v>209</v>
      </c>
      <c r="N1926" s="3">
        <v>24</v>
      </c>
      <c r="O1926" s="3" t="s">
        <v>78</v>
      </c>
      <c r="P1926" s="3" t="s">
        <v>45</v>
      </c>
      <c r="Q1926" s="4">
        <v>4</v>
      </c>
      <c r="R1926" s="4" t="str">
        <f>IF(Table1[[#This Row],[Customer Ratings]]&gt;=4, "Good",IF(Table1[[#This Row],[Customer Ratings]]=3, "Average","Poor"))</f>
        <v>Good</v>
      </c>
      <c r="S1926" s="3" t="s">
        <v>17</v>
      </c>
    </row>
    <row r="1927" spans="1:19" x14ac:dyDescent="0.25">
      <c r="A1927" s="3">
        <v>1926</v>
      </c>
      <c r="B1927" s="5">
        <f>DATE(Table1[[#This Row],[Year]],Table1[[#This Row],[Month]],Table1[[#This Row],[Day]])</f>
        <v>45026</v>
      </c>
      <c r="C1927" s="3">
        <v>10</v>
      </c>
      <c r="D1927" s="3">
        <v>4</v>
      </c>
      <c r="E1927" s="3">
        <v>2023</v>
      </c>
      <c r="F1927" s="3" t="str">
        <f>"Qtr"&amp; " " &amp;CHOOSE(MONTH(Table1[[#This Row],[Date]]),1,1,1,2,2,2,3,3,3,4,4,4)</f>
        <v>Qtr 2</v>
      </c>
      <c r="G1927" s="3" t="str">
        <f>TEXT(Table1[[#This Row],[Date]],"mmmm")</f>
        <v>April</v>
      </c>
      <c r="H1927" s="3" t="s">
        <v>1081</v>
      </c>
      <c r="I1927" s="3" t="s">
        <v>33</v>
      </c>
      <c r="J1927" s="3">
        <v>7</v>
      </c>
      <c r="K1927" s="3">
        <v>56408.44</v>
      </c>
      <c r="L1927" s="3">
        <f>Table1[[#This Row],[Price Per Unit]]*Table1[[#This Row],[Units Sold]]</f>
        <v>394859.08</v>
      </c>
      <c r="M1927" s="3" t="s">
        <v>173</v>
      </c>
      <c r="N1927" s="3">
        <v>44</v>
      </c>
      <c r="O1927" s="3" t="s">
        <v>24</v>
      </c>
      <c r="P1927" s="3" t="s">
        <v>31</v>
      </c>
      <c r="Q1927" s="4">
        <v>5</v>
      </c>
      <c r="R1927" s="4" t="str">
        <f>IF(Table1[[#This Row],[Customer Ratings]]&gt;=4, "Good",IF(Table1[[#This Row],[Customer Ratings]]=3, "Average","Poor"))</f>
        <v>Good</v>
      </c>
      <c r="S1927" s="3" t="s">
        <v>83</v>
      </c>
    </row>
    <row r="1928" spans="1:19" x14ac:dyDescent="0.25">
      <c r="A1928" s="3">
        <v>1927</v>
      </c>
      <c r="B1928" s="5">
        <f>DATE(Table1[[#This Row],[Year]],Table1[[#This Row],[Month]],Table1[[#This Row],[Day]])</f>
        <v>45026</v>
      </c>
      <c r="C1928" s="3">
        <v>10</v>
      </c>
      <c r="D1928" s="3">
        <v>4</v>
      </c>
      <c r="E1928" s="3">
        <v>2023</v>
      </c>
      <c r="F1928" s="3" t="str">
        <f>"Qtr"&amp; " " &amp;CHOOSE(MONTH(Table1[[#This Row],[Date]]),1,1,1,2,2,2,3,3,3,4,4,4)</f>
        <v>Qtr 2</v>
      </c>
      <c r="G1928" s="3" t="str">
        <f>TEXT(Table1[[#This Row],[Date]],"mmmm")</f>
        <v>April</v>
      </c>
      <c r="H1928" s="3" t="s">
        <v>1081</v>
      </c>
      <c r="I1928" s="3" t="s">
        <v>13</v>
      </c>
      <c r="J1928" s="3">
        <v>6</v>
      </c>
      <c r="K1928" s="3">
        <v>62507.26</v>
      </c>
      <c r="L1928" s="3">
        <f>Table1[[#This Row],[Price Per Unit]]*Table1[[#This Row],[Units Sold]]</f>
        <v>375043.56</v>
      </c>
      <c r="M1928" s="3" t="s">
        <v>625</v>
      </c>
      <c r="N1928" s="3">
        <v>30</v>
      </c>
      <c r="O1928" s="3" t="s">
        <v>58</v>
      </c>
      <c r="P1928" s="3" t="s">
        <v>16</v>
      </c>
      <c r="Q1928" s="4">
        <v>4</v>
      </c>
      <c r="R1928" s="4" t="str">
        <f>IF(Table1[[#This Row],[Customer Ratings]]&gt;=4, "Good",IF(Table1[[#This Row],[Customer Ratings]]=3, "Average","Poor"))</f>
        <v>Good</v>
      </c>
      <c r="S1928" s="3" t="s">
        <v>27</v>
      </c>
    </row>
    <row r="1929" spans="1:19" x14ac:dyDescent="0.25">
      <c r="A1929" s="3">
        <v>1928</v>
      </c>
      <c r="B1929" s="5">
        <f>DATE(Table1[[#This Row],[Year]],Table1[[#This Row],[Month]],Table1[[#This Row],[Day]])</f>
        <v>45026</v>
      </c>
      <c r="C1929" s="3">
        <v>10</v>
      </c>
      <c r="D1929" s="3">
        <v>4</v>
      </c>
      <c r="E1929" s="3">
        <v>2023</v>
      </c>
      <c r="F1929" s="3" t="str">
        <f>"Qtr"&amp; " " &amp;CHOOSE(MONTH(Table1[[#This Row],[Date]]),1,1,1,2,2,2,3,3,3,4,4,4)</f>
        <v>Qtr 2</v>
      </c>
      <c r="G1929" s="3" t="str">
        <f>TEXT(Table1[[#This Row],[Date]],"mmmm")</f>
        <v>April</v>
      </c>
      <c r="H1929" s="3" t="s">
        <v>1081</v>
      </c>
      <c r="I1929" s="3" t="s">
        <v>33</v>
      </c>
      <c r="J1929" s="3">
        <v>3</v>
      </c>
      <c r="K1929" s="3">
        <v>11596.15</v>
      </c>
      <c r="L1929" s="3">
        <f>Table1[[#This Row],[Price Per Unit]]*Table1[[#This Row],[Units Sold]]</f>
        <v>34788.449999999997</v>
      </c>
      <c r="M1929" s="3" t="s">
        <v>924</v>
      </c>
      <c r="N1929" s="3">
        <v>34</v>
      </c>
      <c r="O1929" s="3" t="s">
        <v>48</v>
      </c>
      <c r="P1929" s="3" t="s">
        <v>16</v>
      </c>
      <c r="Q1929" s="4">
        <v>1</v>
      </c>
      <c r="R1929" s="4" t="str">
        <f>IF(Table1[[#This Row],[Customer Ratings]]&gt;=4, "Good",IF(Table1[[#This Row],[Customer Ratings]]=3, "Average","Poor"))</f>
        <v>Poor</v>
      </c>
      <c r="S1929" s="3" t="s">
        <v>36</v>
      </c>
    </row>
    <row r="1930" spans="1:19" x14ac:dyDescent="0.25">
      <c r="A1930" s="3">
        <v>1929</v>
      </c>
      <c r="B1930" s="5">
        <f>DATE(Table1[[#This Row],[Year]],Table1[[#This Row],[Month]],Table1[[#This Row],[Day]])</f>
        <v>45026</v>
      </c>
      <c r="C1930" s="3">
        <v>10</v>
      </c>
      <c r="D1930" s="3">
        <v>4</v>
      </c>
      <c r="E1930" s="3">
        <v>2023</v>
      </c>
      <c r="F1930" s="3" t="str">
        <f>"Qtr"&amp; " " &amp;CHOOSE(MONTH(Table1[[#This Row],[Date]]),1,1,1,2,2,2,3,3,3,4,4,4)</f>
        <v>Qtr 2</v>
      </c>
      <c r="G1930" s="3" t="str">
        <f>TEXT(Table1[[#This Row],[Date]],"mmmm")</f>
        <v>April</v>
      </c>
      <c r="H1930" s="3" t="s">
        <v>1081</v>
      </c>
      <c r="I1930" s="3" t="s">
        <v>18</v>
      </c>
      <c r="J1930" s="3">
        <v>5</v>
      </c>
      <c r="K1930" s="3">
        <v>43718.879999999997</v>
      </c>
      <c r="L1930" s="3">
        <f>Table1[[#This Row],[Price Per Unit]]*Table1[[#This Row],[Units Sold]]</f>
        <v>218594.4</v>
      </c>
      <c r="M1930" s="3" t="s">
        <v>798</v>
      </c>
      <c r="N1930" s="3">
        <v>49</v>
      </c>
      <c r="O1930" s="3" t="s">
        <v>137</v>
      </c>
      <c r="P1930" s="3" t="s">
        <v>21</v>
      </c>
      <c r="Q1930" s="4">
        <v>4</v>
      </c>
      <c r="R1930" s="4" t="str">
        <f>IF(Table1[[#This Row],[Customer Ratings]]&gt;=4, "Good",IF(Table1[[#This Row],[Customer Ratings]]=3, "Average","Poor"))</f>
        <v>Good</v>
      </c>
      <c r="S1930" s="3" t="s">
        <v>22</v>
      </c>
    </row>
    <row r="1931" spans="1:19" x14ac:dyDescent="0.25">
      <c r="A1931" s="3">
        <v>1930</v>
      </c>
      <c r="B1931" s="5">
        <f>DATE(Table1[[#This Row],[Year]],Table1[[#This Row],[Month]],Table1[[#This Row],[Day]])</f>
        <v>45027</v>
      </c>
      <c r="C1931" s="3">
        <v>11</v>
      </c>
      <c r="D1931" s="3">
        <v>4</v>
      </c>
      <c r="E1931" s="3">
        <v>2023</v>
      </c>
      <c r="F1931" s="3" t="str">
        <f>"Qtr"&amp; " " &amp;CHOOSE(MONTH(Table1[[#This Row],[Date]]),1,1,1,2,2,2,3,3,3,4,4,4)</f>
        <v>Qtr 2</v>
      </c>
      <c r="G1931" s="3" t="str">
        <f>TEXT(Table1[[#This Row],[Date]],"mmmm")</f>
        <v>April</v>
      </c>
      <c r="H1931" s="3" t="s">
        <v>1082</v>
      </c>
      <c r="I1931" s="3" t="s">
        <v>28</v>
      </c>
      <c r="J1931" s="3">
        <v>1</v>
      </c>
      <c r="K1931" s="3">
        <v>22855.33</v>
      </c>
      <c r="L1931" s="3">
        <f>Table1[[#This Row],[Price Per Unit]]*Table1[[#This Row],[Units Sold]]</f>
        <v>22855.33</v>
      </c>
      <c r="M1931" s="3" t="s">
        <v>925</v>
      </c>
      <c r="N1931" s="3">
        <v>43</v>
      </c>
      <c r="O1931" s="3" t="s">
        <v>52</v>
      </c>
      <c r="P1931" s="3" t="s">
        <v>45</v>
      </c>
      <c r="Q1931" s="4">
        <v>2</v>
      </c>
      <c r="R1931" s="4" t="str">
        <f>IF(Table1[[#This Row],[Customer Ratings]]&gt;=4, "Good",IF(Table1[[#This Row],[Customer Ratings]]=3, "Average","Poor"))</f>
        <v>Poor</v>
      </c>
      <c r="S1931" s="3" t="s">
        <v>38</v>
      </c>
    </row>
    <row r="1932" spans="1:19" x14ac:dyDescent="0.25">
      <c r="A1932" s="3">
        <v>1931</v>
      </c>
      <c r="B1932" s="5">
        <f>DATE(Table1[[#This Row],[Year]],Table1[[#This Row],[Month]],Table1[[#This Row],[Day]])</f>
        <v>45027</v>
      </c>
      <c r="C1932" s="3">
        <v>11</v>
      </c>
      <c r="D1932" s="3">
        <v>4</v>
      </c>
      <c r="E1932" s="3">
        <v>2023</v>
      </c>
      <c r="F1932" s="3" t="str">
        <f>"Qtr"&amp; " " &amp;CHOOSE(MONTH(Table1[[#This Row],[Date]]),1,1,1,2,2,2,3,3,3,4,4,4)</f>
        <v>Qtr 2</v>
      </c>
      <c r="G1932" s="3" t="str">
        <f>TEXT(Table1[[#This Row],[Date]],"mmmm")</f>
        <v>April</v>
      </c>
      <c r="H1932" s="3" t="s">
        <v>1082</v>
      </c>
      <c r="I1932" s="3" t="s">
        <v>33</v>
      </c>
      <c r="J1932" s="3">
        <v>7</v>
      </c>
      <c r="K1932" s="3">
        <v>30452.98</v>
      </c>
      <c r="L1932" s="3">
        <f>Table1[[#This Row],[Price Per Unit]]*Table1[[#This Row],[Units Sold]]</f>
        <v>213170.86</v>
      </c>
      <c r="M1932" s="3" t="s">
        <v>662</v>
      </c>
      <c r="N1932" s="3">
        <v>39</v>
      </c>
      <c r="O1932" s="3" t="s">
        <v>102</v>
      </c>
      <c r="P1932" s="3" t="s">
        <v>21</v>
      </c>
      <c r="Q1932" s="4">
        <v>2</v>
      </c>
      <c r="R1932" s="4" t="str">
        <f>IF(Table1[[#This Row],[Customer Ratings]]&gt;=4, "Good",IF(Table1[[#This Row],[Customer Ratings]]=3, "Average","Poor"))</f>
        <v>Poor</v>
      </c>
      <c r="S1932" s="3" t="s">
        <v>36</v>
      </c>
    </row>
    <row r="1933" spans="1:19" x14ac:dyDescent="0.25">
      <c r="A1933" s="3">
        <v>1932</v>
      </c>
      <c r="B1933" s="5">
        <f>DATE(Table1[[#This Row],[Year]],Table1[[#This Row],[Month]],Table1[[#This Row],[Day]])</f>
        <v>45027</v>
      </c>
      <c r="C1933" s="3">
        <v>11</v>
      </c>
      <c r="D1933" s="3">
        <v>4</v>
      </c>
      <c r="E1933" s="3">
        <v>2023</v>
      </c>
      <c r="F1933" s="3" t="str">
        <f>"Qtr"&amp; " " &amp;CHOOSE(MONTH(Table1[[#This Row],[Date]]),1,1,1,2,2,2,3,3,3,4,4,4)</f>
        <v>Qtr 2</v>
      </c>
      <c r="G1933" s="3" t="str">
        <f>TEXT(Table1[[#This Row],[Date]],"mmmm")</f>
        <v>April</v>
      </c>
      <c r="H1933" s="3" t="s">
        <v>1082</v>
      </c>
      <c r="I1933" s="3" t="s">
        <v>13</v>
      </c>
      <c r="J1933" s="3">
        <v>9</v>
      </c>
      <c r="K1933" s="3">
        <v>57097.34</v>
      </c>
      <c r="L1933" s="3">
        <f>Table1[[#This Row],[Price Per Unit]]*Table1[[#This Row],[Units Sold]]</f>
        <v>513876.05999999994</v>
      </c>
      <c r="M1933" s="3" t="s">
        <v>302</v>
      </c>
      <c r="N1933" s="3">
        <v>30</v>
      </c>
      <c r="O1933" s="3" t="s">
        <v>30</v>
      </c>
      <c r="P1933" s="3" t="s">
        <v>16</v>
      </c>
      <c r="Q1933" s="4">
        <v>4</v>
      </c>
      <c r="R1933" s="4" t="str">
        <f>IF(Table1[[#This Row],[Customer Ratings]]&gt;=4, "Good",IF(Table1[[#This Row],[Customer Ratings]]=3, "Average","Poor"))</f>
        <v>Good</v>
      </c>
      <c r="S1933" s="3" t="s">
        <v>72</v>
      </c>
    </row>
    <row r="1934" spans="1:19" x14ac:dyDescent="0.25">
      <c r="A1934" s="3">
        <v>1933</v>
      </c>
      <c r="B1934" s="5">
        <f>DATE(Table1[[#This Row],[Year]],Table1[[#This Row],[Month]],Table1[[#This Row],[Day]])</f>
        <v>45028</v>
      </c>
      <c r="C1934" s="3">
        <v>12</v>
      </c>
      <c r="D1934" s="3">
        <v>4</v>
      </c>
      <c r="E1934" s="3">
        <v>2023</v>
      </c>
      <c r="F1934" s="3" t="str">
        <f>"Qtr"&amp; " " &amp;CHOOSE(MONTH(Table1[[#This Row],[Date]]),1,1,1,2,2,2,3,3,3,4,4,4)</f>
        <v>Qtr 2</v>
      </c>
      <c r="G1934" s="3" t="str">
        <f>TEXT(Table1[[#This Row],[Date]],"mmmm")</f>
        <v>April</v>
      </c>
      <c r="H1934" s="3" t="s">
        <v>1083</v>
      </c>
      <c r="I1934" s="3" t="s">
        <v>28</v>
      </c>
      <c r="J1934" s="3">
        <v>1</v>
      </c>
      <c r="K1934" s="3">
        <v>21522.02</v>
      </c>
      <c r="L1934" s="3">
        <f>Table1[[#This Row],[Price Per Unit]]*Table1[[#This Row],[Units Sold]]</f>
        <v>21522.02</v>
      </c>
      <c r="M1934" s="3" t="s">
        <v>576</v>
      </c>
      <c r="N1934" s="3">
        <v>29</v>
      </c>
      <c r="O1934" s="3" t="s">
        <v>20</v>
      </c>
      <c r="P1934" s="3" t="s">
        <v>16</v>
      </c>
      <c r="Q1934" s="4">
        <v>2</v>
      </c>
      <c r="R1934" s="4" t="str">
        <f>IF(Table1[[#This Row],[Customer Ratings]]&gt;=4, "Good",IF(Table1[[#This Row],[Customer Ratings]]=3, "Average","Poor"))</f>
        <v>Poor</v>
      </c>
      <c r="S1934" s="3" t="s">
        <v>38</v>
      </c>
    </row>
    <row r="1935" spans="1:19" x14ac:dyDescent="0.25">
      <c r="A1935" s="3">
        <v>1934</v>
      </c>
      <c r="B1935" s="5">
        <f>DATE(Table1[[#This Row],[Year]],Table1[[#This Row],[Month]],Table1[[#This Row],[Day]])</f>
        <v>45028</v>
      </c>
      <c r="C1935" s="3">
        <v>12</v>
      </c>
      <c r="D1935" s="3">
        <v>4</v>
      </c>
      <c r="E1935" s="3">
        <v>2023</v>
      </c>
      <c r="F1935" s="3" t="str">
        <f>"Qtr"&amp; " " &amp;CHOOSE(MONTH(Table1[[#This Row],[Date]]),1,1,1,2,2,2,3,3,3,4,4,4)</f>
        <v>Qtr 2</v>
      </c>
      <c r="G1935" s="3" t="str">
        <f>TEXT(Table1[[#This Row],[Date]],"mmmm")</f>
        <v>April</v>
      </c>
      <c r="H1935" s="3" t="s">
        <v>1083</v>
      </c>
      <c r="I1935" s="3" t="s">
        <v>18</v>
      </c>
      <c r="J1935" s="3">
        <v>2</v>
      </c>
      <c r="K1935" s="3">
        <v>48300.51</v>
      </c>
      <c r="L1935" s="3">
        <f>Table1[[#This Row],[Price Per Unit]]*Table1[[#This Row],[Units Sold]]</f>
        <v>96601.02</v>
      </c>
      <c r="M1935" s="3" t="s">
        <v>748</v>
      </c>
      <c r="N1935" s="3">
        <v>24</v>
      </c>
      <c r="O1935" s="3" t="s">
        <v>41</v>
      </c>
      <c r="P1935" s="3" t="s">
        <v>21</v>
      </c>
      <c r="Q1935" s="4">
        <v>2</v>
      </c>
      <c r="R1935" s="4" t="str">
        <f>IF(Table1[[#This Row],[Customer Ratings]]&gt;=4, "Good",IF(Table1[[#This Row],[Customer Ratings]]=3, "Average","Poor"))</f>
        <v>Poor</v>
      </c>
      <c r="S1935" s="3" t="s">
        <v>22</v>
      </c>
    </row>
    <row r="1936" spans="1:19" x14ac:dyDescent="0.25">
      <c r="A1936" s="3">
        <v>1935</v>
      </c>
      <c r="B1936" s="5">
        <f>DATE(Table1[[#This Row],[Year]],Table1[[#This Row],[Month]],Table1[[#This Row],[Day]])</f>
        <v>45028</v>
      </c>
      <c r="C1936" s="3">
        <v>12</v>
      </c>
      <c r="D1936" s="3">
        <v>4</v>
      </c>
      <c r="E1936" s="3">
        <v>2023</v>
      </c>
      <c r="F1936" s="3" t="str">
        <f>"Qtr"&amp; " " &amp;CHOOSE(MONTH(Table1[[#This Row],[Date]]),1,1,1,2,2,2,3,3,3,4,4,4)</f>
        <v>Qtr 2</v>
      </c>
      <c r="G1936" s="3" t="str">
        <f>TEXT(Table1[[#This Row],[Date]],"mmmm")</f>
        <v>April</v>
      </c>
      <c r="H1936" s="3" t="s">
        <v>1083</v>
      </c>
      <c r="I1936" s="3" t="s">
        <v>28</v>
      </c>
      <c r="J1936" s="3">
        <v>3</v>
      </c>
      <c r="K1936" s="3">
        <v>49273.97</v>
      </c>
      <c r="L1936" s="3">
        <f>Table1[[#This Row],[Price Per Unit]]*Table1[[#This Row],[Units Sold]]</f>
        <v>147821.91</v>
      </c>
      <c r="M1936" s="3" t="s">
        <v>722</v>
      </c>
      <c r="N1936" s="3">
        <v>18</v>
      </c>
      <c r="O1936" s="3" t="s">
        <v>41</v>
      </c>
      <c r="P1936" s="3" t="s">
        <v>31</v>
      </c>
      <c r="Q1936" s="4">
        <v>5</v>
      </c>
      <c r="R1936" s="4" t="str">
        <f>IF(Table1[[#This Row],[Customer Ratings]]&gt;=4, "Good",IF(Table1[[#This Row],[Customer Ratings]]=3, "Average","Poor"))</f>
        <v>Good</v>
      </c>
      <c r="S1936" s="3" t="s">
        <v>32</v>
      </c>
    </row>
    <row r="1937" spans="1:19" x14ac:dyDescent="0.25">
      <c r="A1937" s="3">
        <v>1936</v>
      </c>
      <c r="B1937" s="5">
        <f>DATE(Table1[[#This Row],[Year]],Table1[[#This Row],[Month]],Table1[[#This Row],[Day]])</f>
        <v>45029</v>
      </c>
      <c r="C1937" s="3">
        <v>13</v>
      </c>
      <c r="D1937" s="3">
        <v>4</v>
      </c>
      <c r="E1937" s="3">
        <v>2023</v>
      </c>
      <c r="F1937" s="3" t="str">
        <f>"Qtr"&amp; " " &amp;CHOOSE(MONTH(Table1[[#This Row],[Date]]),1,1,1,2,2,2,3,3,3,4,4,4)</f>
        <v>Qtr 2</v>
      </c>
      <c r="G1937" s="3" t="str">
        <f>TEXT(Table1[[#This Row],[Date]],"mmmm")</f>
        <v>April</v>
      </c>
      <c r="H1937" s="3" t="s">
        <v>1084</v>
      </c>
      <c r="I1937" s="3" t="s">
        <v>33</v>
      </c>
      <c r="J1937" s="3">
        <v>3</v>
      </c>
      <c r="K1937" s="3">
        <v>67245.63</v>
      </c>
      <c r="L1937" s="3">
        <f>Table1[[#This Row],[Price Per Unit]]*Table1[[#This Row],[Units Sold]]</f>
        <v>201736.89</v>
      </c>
      <c r="M1937" s="3" t="s">
        <v>774</v>
      </c>
      <c r="N1937" s="3">
        <v>50</v>
      </c>
      <c r="O1937" s="3" t="s">
        <v>20</v>
      </c>
      <c r="P1937" s="3" t="s">
        <v>31</v>
      </c>
      <c r="Q1937" s="4">
        <v>1</v>
      </c>
      <c r="R1937" s="4" t="str">
        <f>IF(Table1[[#This Row],[Customer Ratings]]&gt;=4, "Good",IF(Table1[[#This Row],[Customer Ratings]]=3, "Average","Poor"))</f>
        <v>Poor</v>
      </c>
      <c r="S1937" s="3" t="s">
        <v>36</v>
      </c>
    </row>
    <row r="1938" spans="1:19" x14ac:dyDescent="0.25">
      <c r="A1938" s="3">
        <v>1937</v>
      </c>
      <c r="B1938" s="5">
        <f>DATE(Table1[[#This Row],[Year]],Table1[[#This Row],[Month]],Table1[[#This Row],[Day]])</f>
        <v>45029</v>
      </c>
      <c r="C1938" s="3">
        <v>13</v>
      </c>
      <c r="D1938" s="3">
        <v>4</v>
      </c>
      <c r="E1938" s="3">
        <v>2023</v>
      </c>
      <c r="F1938" s="3" t="str">
        <f>"Qtr"&amp; " " &amp;CHOOSE(MONTH(Table1[[#This Row],[Date]]),1,1,1,2,2,2,3,3,3,4,4,4)</f>
        <v>Qtr 2</v>
      </c>
      <c r="G1938" s="3" t="str">
        <f>TEXT(Table1[[#This Row],[Date]],"mmmm")</f>
        <v>April</v>
      </c>
      <c r="H1938" s="3" t="s">
        <v>1084</v>
      </c>
      <c r="I1938" s="3" t="s">
        <v>18</v>
      </c>
      <c r="J1938" s="3">
        <v>8</v>
      </c>
      <c r="K1938" s="3">
        <v>56509.66</v>
      </c>
      <c r="L1938" s="3">
        <f>Table1[[#This Row],[Price Per Unit]]*Table1[[#This Row],[Units Sold]]</f>
        <v>452077.28</v>
      </c>
      <c r="M1938" s="3" t="s">
        <v>265</v>
      </c>
      <c r="N1938" s="3">
        <v>31</v>
      </c>
      <c r="O1938" s="3" t="s">
        <v>81</v>
      </c>
      <c r="P1938" s="3" t="s">
        <v>21</v>
      </c>
      <c r="Q1938" s="4">
        <v>5</v>
      </c>
      <c r="R1938" s="4" t="str">
        <f>IF(Table1[[#This Row],[Customer Ratings]]&gt;=4, "Good",IF(Table1[[#This Row],[Customer Ratings]]=3, "Average","Poor"))</f>
        <v>Good</v>
      </c>
      <c r="S1938" s="3" t="s">
        <v>22</v>
      </c>
    </row>
    <row r="1939" spans="1:19" x14ac:dyDescent="0.25">
      <c r="A1939" s="3">
        <v>1938</v>
      </c>
      <c r="B1939" s="5">
        <f>DATE(Table1[[#This Row],[Year]],Table1[[#This Row],[Month]],Table1[[#This Row],[Day]])</f>
        <v>45029</v>
      </c>
      <c r="C1939" s="3">
        <v>13</v>
      </c>
      <c r="D1939" s="3">
        <v>4</v>
      </c>
      <c r="E1939" s="3">
        <v>2023</v>
      </c>
      <c r="F1939" s="3" t="str">
        <f>"Qtr"&amp; " " &amp;CHOOSE(MONTH(Table1[[#This Row],[Date]]),1,1,1,2,2,2,3,3,3,4,4,4)</f>
        <v>Qtr 2</v>
      </c>
      <c r="G1939" s="3" t="str">
        <f>TEXT(Table1[[#This Row],[Date]],"mmmm")</f>
        <v>April</v>
      </c>
      <c r="H1939" s="3" t="s">
        <v>1084</v>
      </c>
      <c r="I1939" s="3" t="s">
        <v>13</v>
      </c>
      <c r="J1939" s="3">
        <v>7</v>
      </c>
      <c r="K1939" s="3">
        <v>58218.11</v>
      </c>
      <c r="L1939" s="3">
        <f>Table1[[#This Row],[Price Per Unit]]*Table1[[#This Row],[Units Sold]]</f>
        <v>407526.77</v>
      </c>
      <c r="M1939" s="3" t="s">
        <v>653</v>
      </c>
      <c r="N1939" s="3">
        <v>58</v>
      </c>
      <c r="O1939" s="3" t="s">
        <v>105</v>
      </c>
      <c r="P1939" s="3" t="s">
        <v>16</v>
      </c>
      <c r="Q1939" s="4">
        <v>1</v>
      </c>
      <c r="R1939" s="4" t="str">
        <f>IF(Table1[[#This Row],[Customer Ratings]]&gt;=4, "Good",IF(Table1[[#This Row],[Customer Ratings]]=3, "Average","Poor"))</f>
        <v>Poor</v>
      </c>
      <c r="S1939" s="3" t="s">
        <v>17</v>
      </c>
    </row>
    <row r="1940" spans="1:19" x14ac:dyDescent="0.25">
      <c r="A1940" s="3">
        <v>1939</v>
      </c>
      <c r="B1940" s="5">
        <f>DATE(Table1[[#This Row],[Year]],Table1[[#This Row],[Month]],Table1[[#This Row],[Day]])</f>
        <v>45029</v>
      </c>
      <c r="C1940" s="3">
        <v>13</v>
      </c>
      <c r="D1940" s="3">
        <v>4</v>
      </c>
      <c r="E1940" s="3">
        <v>2023</v>
      </c>
      <c r="F1940" s="3" t="str">
        <f>"Qtr"&amp; " " &amp;CHOOSE(MONTH(Table1[[#This Row],[Date]]),1,1,1,2,2,2,3,3,3,4,4,4)</f>
        <v>Qtr 2</v>
      </c>
      <c r="G1940" s="3" t="str">
        <f>TEXT(Table1[[#This Row],[Date]],"mmmm")</f>
        <v>April</v>
      </c>
      <c r="H1940" s="3" t="s">
        <v>1084</v>
      </c>
      <c r="I1940" s="3" t="s">
        <v>18</v>
      </c>
      <c r="J1940" s="3">
        <v>6</v>
      </c>
      <c r="K1940" s="3">
        <v>41896.04</v>
      </c>
      <c r="L1940" s="3">
        <f>Table1[[#This Row],[Price Per Unit]]*Table1[[#This Row],[Units Sold]]</f>
        <v>251376.24</v>
      </c>
      <c r="M1940" s="3" t="s">
        <v>306</v>
      </c>
      <c r="N1940" s="3">
        <v>34</v>
      </c>
      <c r="O1940" s="3" t="s">
        <v>20</v>
      </c>
      <c r="P1940" s="3" t="s">
        <v>21</v>
      </c>
      <c r="Q1940" s="4">
        <v>1</v>
      </c>
      <c r="R1940" s="4" t="str">
        <f>IF(Table1[[#This Row],[Customer Ratings]]&gt;=4, "Good",IF(Table1[[#This Row],[Customer Ratings]]=3, "Average","Poor"))</f>
        <v>Poor</v>
      </c>
      <c r="S1940" s="3" t="s">
        <v>55</v>
      </c>
    </row>
    <row r="1941" spans="1:19" x14ac:dyDescent="0.25">
      <c r="A1941" s="3">
        <v>1940</v>
      </c>
      <c r="B1941" s="5">
        <f>DATE(Table1[[#This Row],[Year]],Table1[[#This Row],[Month]],Table1[[#This Row],[Day]])</f>
        <v>45030</v>
      </c>
      <c r="C1941" s="3">
        <v>14</v>
      </c>
      <c r="D1941" s="3">
        <v>4</v>
      </c>
      <c r="E1941" s="3">
        <v>2023</v>
      </c>
      <c r="F1941" s="3" t="str">
        <f>"Qtr"&amp; " " &amp;CHOOSE(MONTH(Table1[[#This Row],[Date]]),1,1,1,2,2,2,3,3,3,4,4,4)</f>
        <v>Qtr 2</v>
      </c>
      <c r="G1941" s="3" t="str">
        <f>TEXT(Table1[[#This Row],[Date]],"mmmm")</f>
        <v>April</v>
      </c>
      <c r="H1941" s="3" t="s">
        <v>1085</v>
      </c>
      <c r="I1941" s="3" t="s">
        <v>18</v>
      </c>
      <c r="J1941" s="3">
        <v>4</v>
      </c>
      <c r="K1941" s="3">
        <v>21206.85</v>
      </c>
      <c r="L1941" s="3">
        <f>Table1[[#This Row],[Price Per Unit]]*Table1[[#This Row],[Units Sold]]</f>
        <v>84827.4</v>
      </c>
      <c r="M1941" s="3" t="s">
        <v>189</v>
      </c>
      <c r="N1941" s="3">
        <v>21</v>
      </c>
      <c r="O1941" s="3" t="s">
        <v>52</v>
      </c>
      <c r="P1941" s="3" t="s">
        <v>45</v>
      </c>
      <c r="Q1941" s="4">
        <v>5</v>
      </c>
      <c r="R1941" s="4" t="str">
        <f>IF(Table1[[#This Row],[Customer Ratings]]&gt;=4, "Good",IF(Table1[[#This Row],[Customer Ratings]]=3, "Average","Poor"))</f>
        <v>Good</v>
      </c>
      <c r="S1941" s="3" t="s">
        <v>22</v>
      </c>
    </row>
    <row r="1942" spans="1:19" x14ac:dyDescent="0.25">
      <c r="A1942" s="3">
        <v>1941</v>
      </c>
      <c r="B1942" s="5">
        <f>DATE(Table1[[#This Row],[Year]],Table1[[#This Row],[Month]],Table1[[#This Row],[Day]])</f>
        <v>45030</v>
      </c>
      <c r="C1942" s="3">
        <v>14</v>
      </c>
      <c r="D1942" s="3">
        <v>4</v>
      </c>
      <c r="E1942" s="3">
        <v>2023</v>
      </c>
      <c r="F1942" s="3" t="str">
        <f>"Qtr"&amp; " " &amp;CHOOSE(MONTH(Table1[[#This Row],[Date]]),1,1,1,2,2,2,3,3,3,4,4,4)</f>
        <v>Qtr 2</v>
      </c>
      <c r="G1942" s="3" t="str">
        <f>TEXT(Table1[[#This Row],[Date]],"mmmm")</f>
        <v>April</v>
      </c>
      <c r="H1942" s="3" t="s">
        <v>1085</v>
      </c>
      <c r="I1942" s="3" t="s">
        <v>39</v>
      </c>
      <c r="J1942" s="3">
        <v>9</v>
      </c>
      <c r="K1942" s="3">
        <v>35533.800000000003</v>
      </c>
      <c r="L1942" s="3">
        <f>Table1[[#This Row],[Price Per Unit]]*Table1[[#This Row],[Units Sold]]</f>
        <v>319804.2</v>
      </c>
      <c r="M1942" s="3" t="s">
        <v>127</v>
      </c>
      <c r="N1942" s="3">
        <v>56</v>
      </c>
      <c r="O1942" s="3" t="s">
        <v>20</v>
      </c>
      <c r="P1942" s="3" t="s">
        <v>31</v>
      </c>
      <c r="Q1942" s="4">
        <v>4</v>
      </c>
      <c r="R1942" s="4" t="str">
        <f>IF(Table1[[#This Row],[Customer Ratings]]&gt;=4, "Good",IF(Table1[[#This Row],[Customer Ratings]]=3, "Average","Poor"))</f>
        <v>Good</v>
      </c>
      <c r="S1942" s="3" t="s">
        <v>90</v>
      </c>
    </row>
    <row r="1943" spans="1:19" x14ac:dyDescent="0.25">
      <c r="A1943" s="3">
        <v>1942</v>
      </c>
      <c r="B1943" s="5">
        <f>DATE(Table1[[#This Row],[Year]],Table1[[#This Row],[Month]],Table1[[#This Row],[Day]])</f>
        <v>45030</v>
      </c>
      <c r="C1943" s="3">
        <v>14</v>
      </c>
      <c r="D1943" s="3">
        <v>4</v>
      </c>
      <c r="E1943" s="3">
        <v>2023</v>
      </c>
      <c r="F1943" s="3" t="str">
        <f>"Qtr"&amp; " " &amp;CHOOSE(MONTH(Table1[[#This Row],[Date]]),1,1,1,2,2,2,3,3,3,4,4,4)</f>
        <v>Qtr 2</v>
      </c>
      <c r="G1943" s="3" t="str">
        <f>TEXT(Table1[[#This Row],[Date]],"mmmm")</f>
        <v>April</v>
      </c>
      <c r="H1943" s="3" t="s">
        <v>1085</v>
      </c>
      <c r="I1943" s="3" t="s">
        <v>18</v>
      </c>
      <c r="J1943" s="3">
        <v>1</v>
      </c>
      <c r="K1943" s="3">
        <v>42969.37</v>
      </c>
      <c r="L1943" s="3">
        <f>Table1[[#This Row],[Price Per Unit]]*Table1[[#This Row],[Units Sold]]</f>
        <v>42969.37</v>
      </c>
      <c r="M1943" s="3" t="s">
        <v>926</v>
      </c>
      <c r="N1943" s="3">
        <v>18</v>
      </c>
      <c r="O1943" s="3" t="s">
        <v>65</v>
      </c>
      <c r="P1943" s="3" t="s">
        <v>21</v>
      </c>
      <c r="Q1943" s="4">
        <v>2</v>
      </c>
      <c r="R1943" s="4" t="str">
        <f>IF(Table1[[#This Row],[Customer Ratings]]&gt;=4, "Good",IF(Table1[[#This Row],[Customer Ratings]]=3, "Average","Poor"))</f>
        <v>Poor</v>
      </c>
      <c r="S1943" s="3" t="s">
        <v>25</v>
      </c>
    </row>
    <row r="1944" spans="1:19" x14ac:dyDescent="0.25">
      <c r="A1944" s="3">
        <v>1943</v>
      </c>
      <c r="B1944" s="5">
        <f>DATE(Table1[[#This Row],[Year]],Table1[[#This Row],[Month]],Table1[[#This Row],[Day]])</f>
        <v>45031</v>
      </c>
      <c r="C1944" s="3">
        <v>15</v>
      </c>
      <c r="D1944" s="3">
        <v>4</v>
      </c>
      <c r="E1944" s="3">
        <v>2023</v>
      </c>
      <c r="F1944" s="3" t="str">
        <f>"Qtr"&amp; " " &amp;CHOOSE(MONTH(Table1[[#This Row],[Date]]),1,1,1,2,2,2,3,3,3,4,4,4)</f>
        <v>Qtr 2</v>
      </c>
      <c r="G1944" s="3" t="str">
        <f>TEXT(Table1[[#This Row],[Date]],"mmmm")</f>
        <v>April</v>
      </c>
      <c r="H1944" s="3" t="s">
        <v>1079</v>
      </c>
      <c r="I1944" s="3" t="s">
        <v>18</v>
      </c>
      <c r="J1944" s="3">
        <v>2</v>
      </c>
      <c r="K1944" s="3">
        <v>50705.16</v>
      </c>
      <c r="L1944" s="3">
        <f>Table1[[#This Row],[Price Per Unit]]*Table1[[#This Row],[Units Sold]]</f>
        <v>101410.32</v>
      </c>
      <c r="M1944" s="3" t="s">
        <v>651</v>
      </c>
      <c r="N1944" s="3">
        <v>58</v>
      </c>
      <c r="O1944" s="3" t="s">
        <v>65</v>
      </c>
      <c r="P1944" s="3" t="s">
        <v>31</v>
      </c>
      <c r="Q1944" s="4">
        <v>4</v>
      </c>
      <c r="R1944" s="4" t="str">
        <f>IF(Table1[[#This Row],[Customer Ratings]]&gt;=4, "Good",IF(Table1[[#This Row],[Customer Ratings]]=3, "Average","Poor"))</f>
        <v>Good</v>
      </c>
      <c r="S1944" s="3" t="s">
        <v>55</v>
      </c>
    </row>
    <row r="1945" spans="1:19" x14ac:dyDescent="0.25">
      <c r="A1945" s="3">
        <v>1944</v>
      </c>
      <c r="B1945" s="5">
        <f>DATE(Table1[[#This Row],[Year]],Table1[[#This Row],[Month]],Table1[[#This Row],[Day]])</f>
        <v>45031</v>
      </c>
      <c r="C1945" s="3">
        <v>15</v>
      </c>
      <c r="D1945" s="3">
        <v>4</v>
      </c>
      <c r="E1945" s="3">
        <v>2023</v>
      </c>
      <c r="F1945" s="3" t="str">
        <f>"Qtr"&amp; " " &amp;CHOOSE(MONTH(Table1[[#This Row],[Date]]),1,1,1,2,2,2,3,3,3,4,4,4)</f>
        <v>Qtr 2</v>
      </c>
      <c r="G1945" s="3" t="str">
        <f>TEXT(Table1[[#This Row],[Date]],"mmmm")</f>
        <v>April</v>
      </c>
      <c r="H1945" s="3" t="s">
        <v>1079</v>
      </c>
      <c r="I1945" s="3" t="s">
        <v>28</v>
      </c>
      <c r="J1945" s="3">
        <v>4</v>
      </c>
      <c r="K1945" s="3">
        <v>46462.55</v>
      </c>
      <c r="L1945" s="3">
        <f>Table1[[#This Row],[Price Per Unit]]*Table1[[#This Row],[Units Sold]]</f>
        <v>185850.2</v>
      </c>
      <c r="M1945" s="3" t="s">
        <v>148</v>
      </c>
      <c r="N1945" s="3">
        <v>41</v>
      </c>
      <c r="O1945" s="3" t="s">
        <v>120</v>
      </c>
      <c r="P1945" s="3" t="s">
        <v>45</v>
      </c>
      <c r="Q1945" s="4">
        <v>5</v>
      </c>
      <c r="R1945" s="4" t="str">
        <f>IF(Table1[[#This Row],[Customer Ratings]]&gt;=4, "Good",IF(Table1[[#This Row],[Customer Ratings]]=3, "Average","Poor"))</f>
        <v>Good</v>
      </c>
      <c r="S1945" s="3" t="s">
        <v>38</v>
      </c>
    </row>
    <row r="1946" spans="1:19" x14ac:dyDescent="0.25">
      <c r="A1946" s="3">
        <v>1945</v>
      </c>
      <c r="B1946" s="5">
        <f>DATE(Table1[[#This Row],[Year]],Table1[[#This Row],[Month]],Table1[[#This Row],[Day]])</f>
        <v>45031</v>
      </c>
      <c r="C1946" s="3">
        <v>15</v>
      </c>
      <c r="D1946" s="3">
        <v>4</v>
      </c>
      <c r="E1946" s="3">
        <v>2023</v>
      </c>
      <c r="F1946" s="3" t="str">
        <f>"Qtr"&amp; " " &amp;CHOOSE(MONTH(Table1[[#This Row],[Date]]),1,1,1,2,2,2,3,3,3,4,4,4)</f>
        <v>Qtr 2</v>
      </c>
      <c r="G1946" s="3" t="str">
        <f>TEXT(Table1[[#This Row],[Date]],"mmmm")</f>
        <v>April</v>
      </c>
      <c r="H1946" s="3" t="s">
        <v>1079</v>
      </c>
      <c r="I1946" s="3" t="s">
        <v>13</v>
      </c>
      <c r="J1946" s="3">
        <v>3</v>
      </c>
      <c r="K1946" s="3">
        <v>33638.67</v>
      </c>
      <c r="L1946" s="3">
        <f>Table1[[#This Row],[Price Per Unit]]*Table1[[#This Row],[Units Sold]]</f>
        <v>100916.01</v>
      </c>
      <c r="M1946" s="3" t="s">
        <v>583</v>
      </c>
      <c r="N1946" s="3">
        <v>51</v>
      </c>
      <c r="O1946" s="3" t="s">
        <v>48</v>
      </c>
      <c r="P1946" s="3" t="s">
        <v>16</v>
      </c>
      <c r="Q1946" s="4">
        <v>5</v>
      </c>
      <c r="R1946" s="4" t="str">
        <f>IF(Table1[[#This Row],[Customer Ratings]]&gt;=4, "Good",IF(Table1[[#This Row],[Customer Ratings]]=3, "Average","Poor"))</f>
        <v>Good</v>
      </c>
      <c r="S1946" s="3" t="s">
        <v>72</v>
      </c>
    </row>
    <row r="1947" spans="1:19" x14ac:dyDescent="0.25">
      <c r="A1947" s="3">
        <v>1946</v>
      </c>
      <c r="B1947" s="5">
        <f>DATE(Table1[[#This Row],[Year]],Table1[[#This Row],[Month]],Table1[[#This Row],[Day]])</f>
        <v>45031</v>
      </c>
      <c r="C1947" s="3">
        <v>15</v>
      </c>
      <c r="D1947" s="3">
        <v>4</v>
      </c>
      <c r="E1947" s="3">
        <v>2023</v>
      </c>
      <c r="F1947" s="3" t="str">
        <f>"Qtr"&amp; " " &amp;CHOOSE(MONTH(Table1[[#This Row],[Date]]),1,1,1,2,2,2,3,3,3,4,4,4)</f>
        <v>Qtr 2</v>
      </c>
      <c r="G1947" s="3" t="str">
        <f>TEXT(Table1[[#This Row],[Date]],"mmmm")</f>
        <v>April</v>
      </c>
      <c r="H1947" s="3" t="s">
        <v>1079</v>
      </c>
      <c r="I1947" s="3" t="s">
        <v>28</v>
      </c>
      <c r="J1947" s="3">
        <v>1</v>
      </c>
      <c r="K1947" s="3">
        <v>25918.79</v>
      </c>
      <c r="L1947" s="3">
        <f>Table1[[#This Row],[Price Per Unit]]*Table1[[#This Row],[Units Sold]]</f>
        <v>25918.79</v>
      </c>
      <c r="M1947" s="3" t="s">
        <v>883</v>
      </c>
      <c r="N1947" s="3">
        <v>51</v>
      </c>
      <c r="O1947" s="3" t="s">
        <v>78</v>
      </c>
      <c r="P1947" s="3" t="s">
        <v>16</v>
      </c>
      <c r="Q1947" s="4">
        <v>4</v>
      </c>
      <c r="R1947" s="4" t="str">
        <f>IF(Table1[[#This Row],[Customer Ratings]]&gt;=4, "Good",IF(Table1[[#This Row],[Customer Ratings]]=3, "Average","Poor"))</f>
        <v>Good</v>
      </c>
      <c r="S1947" s="3" t="s">
        <v>38</v>
      </c>
    </row>
    <row r="1948" spans="1:19" x14ac:dyDescent="0.25">
      <c r="A1948" s="3">
        <v>1947</v>
      </c>
      <c r="B1948" s="5">
        <f>DATE(Table1[[#This Row],[Year]],Table1[[#This Row],[Month]],Table1[[#This Row],[Day]])</f>
        <v>45032</v>
      </c>
      <c r="C1948" s="3">
        <v>16</v>
      </c>
      <c r="D1948" s="3">
        <v>4</v>
      </c>
      <c r="E1948" s="3">
        <v>2023</v>
      </c>
      <c r="F1948" s="3" t="str">
        <f>"Qtr"&amp; " " &amp;CHOOSE(MONTH(Table1[[#This Row],[Date]]),1,1,1,2,2,2,3,3,3,4,4,4)</f>
        <v>Qtr 2</v>
      </c>
      <c r="G1948" s="3" t="str">
        <f>TEXT(Table1[[#This Row],[Date]],"mmmm")</f>
        <v>April</v>
      </c>
      <c r="H1948" s="3" t="s">
        <v>1080</v>
      </c>
      <c r="I1948" s="3" t="s">
        <v>28</v>
      </c>
      <c r="J1948" s="3">
        <v>5</v>
      </c>
      <c r="K1948" s="3">
        <v>20093.849999999999</v>
      </c>
      <c r="L1948" s="3">
        <f>Table1[[#This Row],[Price Per Unit]]*Table1[[#This Row],[Units Sold]]</f>
        <v>100469.25</v>
      </c>
      <c r="M1948" s="3" t="s">
        <v>88</v>
      </c>
      <c r="N1948" s="3">
        <v>41</v>
      </c>
      <c r="O1948" s="3" t="s">
        <v>20</v>
      </c>
      <c r="P1948" s="3" t="s">
        <v>16</v>
      </c>
      <c r="Q1948" s="4">
        <v>2</v>
      </c>
      <c r="R1948" s="4" t="str">
        <f>IF(Table1[[#This Row],[Customer Ratings]]&gt;=4, "Good",IF(Table1[[#This Row],[Customer Ratings]]=3, "Average","Poor"))</f>
        <v>Poor</v>
      </c>
      <c r="S1948" s="3" t="s">
        <v>38</v>
      </c>
    </row>
    <row r="1949" spans="1:19" x14ac:dyDescent="0.25">
      <c r="A1949" s="3">
        <v>1948</v>
      </c>
      <c r="B1949" s="5">
        <f>DATE(Table1[[#This Row],[Year]],Table1[[#This Row],[Month]],Table1[[#This Row],[Day]])</f>
        <v>45032</v>
      </c>
      <c r="C1949" s="3">
        <v>16</v>
      </c>
      <c r="D1949" s="3">
        <v>4</v>
      </c>
      <c r="E1949" s="3">
        <v>2023</v>
      </c>
      <c r="F1949" s="3" t="str">
        <f>"Qtr"&amp; " " &amp;CHOOSE(MONTH(Table1[[#This Row],[Date]]),1,1,1,2,2,2,3,3,3,4,4,4)</f>
        <v>Qtr 2</v>
      </c>
      <c r="G1949" s="3" t="str">
        <f>TEXT(Table1[[#This Row],[Date]],"mmmm")</f>
        <v>April</v>
      </c>
      <c r="H1949" s="3" t="s">
        <v>1080</v>
      </c>
      <c r="I1949" s="3" t="s">
        <v>33</v>
      </c>
      <c r="J1949" s="3">
        <v>7</v>
      </c>
      <c r="K1949" s="3">
        <v>51630.720000000001</v>
      </c>
      <c r="L1949" s="3">
        <f>Table1[[#This Row],[Price Per Unit]]*Table1[[#This Row],[Units Sold]]</f>
        <v>361415.04000000004</v>
      </c>
      <c r="M1949" s="3" t="s">
        <v>774</v>
      </c>
      <c r="N1949" s="3">
        <v>32</v>
      </c>
      <c r="O1949" s="3" t="s">
        <v>15</v>
      </c>
      <c r="P1949" s="3" t="s">
        <v>31</v>
      </c>
      <c r="Q1949" s="4">
        <v>5</v>
      </c>
      <c r="R1949" s="4" t="str">
        <f>IF(Table1[[#This Row],[Customer Ratings]]&gt;=4, "Good",IF(Table1[[#This Row],[Customer Ratings]]=3, "Average","Poor"))</f>
        <v>Good</v>
      </c>
      <c r="S1949" s="3" t="s">
        <v>83</v>
      </c>
    </row>
    <row r="1950" spans="1:19" x14ac:dyDescent="0.25">
      <c r="A1950" s="3">
        <v>1949</v>
      </c>
      <c r="B1950" s="5">
        <f>DATE(Table1[[#This Row],[Year]],Table1[[#This Row],[Month]],Table1[[#This Row],[Day]])</f>
        <v>45032</v>
      </c>
      <c r="C1950" s="3">
        <v>16</v>
      </c>
      <c r="D1950" s="3">
        <v>4</v>
      </c>
      <c r="E1950" s="3">
        <v>2023</v>
      </c>
      <c r="F1950" s="3" t="str">
        <f>"Qtr"&amp; " " &amp;CHOOSE(MONTH(Table1[[#This Row],[Date]]),1,1,1,2,2,2,3,3,3,4,4,4)</f>
        <v>Qtr 2</v>
      </c>
      <c r="G1950" s="3" t="str">
        <f>TEXT(Table1[[#This Row],[Date]],"mmmm")</f>
        <v>April</v>
      </c>
      <c r="H1950" s="3" t="s">
        <v>1080</v>
      </c>
      <c r="I1950" s="3" t="s">
        <v>28</v>
      </c>
      <c r="J1950" s="3">
        <v>2</v>
      </c>
      <c r="K1950" s="3">
        <v>48723.92</v>
      </c>
      <c r="L1950" s="3">
        <f>Table1[[#This Row],[Price Per Unit]]*Table1[[#This Row],[Units Sold]]</f>
        <v>97447.84</v>
      </c>
      <c r="M1950" s="3" t="s">
        <v>927</v>
      </c>
      <c r="N1950" s="3">
        <v>34</v>
      </c>
      <c r="O1950" s="3" t="s">
        <v>30</v>
      </c>
      <c r="P1950" s="3" t="s">
        <v>45</v>
      </c>
      <c r="Q1950" s="4">
        <v>4</v>
      </c>
      <c r="R1950" s="4" t="str">
        <f>IF(Table1[[#This Row],[Customer Ratings]]&gt;=4, "Good",IF(Table1[[#This Row],[Customer Ratings]]=3, "Average","Poor"))</f>
        <v>Good</v>
      </c>
      <c r="S1950" s="3" t="s">
        <v>32</v>
      </c>
    </row>
    <row r="1951" spans="1:19" x14ac:dyDescent="0.25">
      <c r="A1951" s="3">
        <v>1950</v>
      </c>
      <c r="B1951" s="5">
        <f>DATE(Table1[[#This Row],[Year]],Table1[[#This Row],[Month]],Table1[[#This Row],[Day]])</f>
        <v>45033</v>
      </c>
      <c r="C1951" s="3">
        <v>17</v>
      </c>
      <c r="D1951" s="3">
        <v>4</v>
      </c>
      <c r="E1951" s="3">
        <v>2023</v>
      </c>
      <c r="F1951" s="3" t="str">
        <f>"Qtr"&amp; " " &amp;CHOOSE(MONTH(Table1[[#This Row],[Date]]),1,1,1,2,2,2,3,3,3,4,4,4)</f>
        <v>Qtr 2</v>
      </c>
      <c r="G1951" s="3" t="str">
        <f>TEXT(Table1[[#This Row],[Date]],"mmmm")</f>
        <v>April</v>
      </c>
      <c r="H1951" s="3" t="s">
        <v>1081</v>
      </c>
      <c r="I1951" s="3" t="s">
        <v>39</v>
      </c>
      <c r="J1951" s="3">
        <v>5</v>
      </c>
      <c r="K1951" s="3">
        <v>51242.35</v>
      </c>
      <c r="L1951" s="3">
        <f>Table1[[#This Row],[Price Per Unit]]*Table1[[#This Row],[Units Sold]]</f>
        <v>256211.75</v>
      </c>
      <c r="M1951" s="3" t="s">
        <v>82</v>
      </c>
      <c r="N1951" s="3">
        <v>30</v>
      </c>
      <c r="O1951" s="3" t="s">
        <v>24</v>
      </c>
      <c r="P1951" s="3" t="s">
        <v>21</v>
      </c>
      <c r="Q1951" s="4">
        <v>2</v>
      </c>
      <c r="R1951" s="4" t="str">
        <f>IF(Table1[[#This Row],[Customer Ratings]]&gt;=4, "Good",IF(Table1[[#This Row],[Customer Ratings]]=3, "Average","Poor"))</f>
        <v>Poor</v>
      </c>
      <c r="S1951" s="3" t="s">
        <v>42</v>
      </c>
    </row>
    <row r="1952" spans="1:19" x14ac:dyDescent="0.25">
      <c r="A1952" s="3">
        <v>1951</v>
      </c>
      <c r="B1952" s="5">
        <f>DATE(Table1[[#This Row],[Year]],Table1[[#This Row],[Month]],Table1[[#This Row],[Day]])</f>
        <v>45033</v>
      </c>
      <c r="C1952" s="3">
        <v>17</v>
      </c>
      <c r="D1952" s="3">
        <v>4</v>
      </c>
      <c r="E1952" s="3">
        <v>2023</v>
      </c>
      <c r="F1952" s="3" t="str">
        <f>"Qtr"&amp; " " &amp;CHOOSE(MONTH(Table1[[#This Row],[Date]]),1,1,1,2,2,2,3,3,3,4,4,4)</f>
        <v>Qtr 2</v>
      </c>
      <c r="G1952" s="3" t="str">
        <f>TEXT(Table1[[#This Row],[Date]],"mmmm")</f>
        <v>April</v>
      </c>
      <c r="H1952" s="3" t="s">
        <v>1081</v>
      </c>
      <c r="I1952" s="3" t="s">
        <v>39</v>
      </c>
      <c r="J1952" s="3">
        <v>6</v>
      </c>
      <c r="K1952" s="3">
        <v>32351.65</v>
      </c>
      <c r="L1952" s="3">
        <f>Table1[[#This Row],[Price Per Unit]]*Table1[[#This Row],[Units Sold]]</f>
        <v>194109.90000000002</v>
      </c>
      <c r="M1952" s="3" t="s">
        <v>95</v>
      </c>
      <c r="N1952" s="3">
        <v>24</v>
      </c>
      <c r="O1952" s="3" t="s">
        <v>58</v>
      </c>
      <c r="P1952" s="3" t="s">
        <v>16</v>
      </c>
      <c r="Q1952" s="4">
        <v>5</v>
      </c>
      <c r="R1952" s="4" t="str">
        <f>IF(Table1[[#This Row],[Customer Ratings]]&gt;=4, "Good",IF(Table1[[#This Row],[Customer Ratings]]=3, "Average","Poor"))</f>
        <v>Good</v>
      </c>
      <c r="S1952" s="3" t="s">
        <v>90</v>
      </c>
    </row>
    <row r="1953" spans="1:19" x14ac:dyDescent="0.25">
      <c r="A1953" s="3">
        <v>1952</v>
      </c>
      <c r="B1953" s="5">
        <f>DATE(Table1[[#This Row],[Year]],Table1[[#This Row],[Month]],Table1[[#This Row],[Day]])</f>
        <v>45033</v>
      </c>
      <c r="C1953" s="3">
        <v>17</v>
      </c>
      <c r="D1953" s="3">
        <v>4</v>
      </c>
      <c r="E1953" s="3">
        <v>2023</v>
      </c>
      <c r="F1953" s="3" t="str">
        <f>"Qtr"&amp; " " &amp;CHOOSE(MONTH(Table1[[#This Row],[Date]]),1,1,1,2,2,2,3,3,3,4,4,4)</f>
        <v>Qtr 2</v>
      </c>
      <c r="G1953" s="3" t="str">
        <f>TEXT(Table1[[#This Row],[Date]],"mmmm")</f>
        <v>April</v>
      </c>
      <c r="H1953" s="3" t="s">
        <v>1081</v>
      </c>
      <c r="I1953" s="3" t="s">
        <v>33</v>
      </c>
      <c r="J1953" s="3">
        <v>7</v>
      </c>
      <c r="K1953" s="3">
        <v>25744.47</v>
      </c>
      <c r="L1953" s="3">
        <f>Table1[[#This Row],[Price Per Unit]]*Table1[[#This Row],[Units Sold]]</f>
        <v>180211.29</v>
      </c>
      <c r="M1953" s="3" t="s">
        <v>363</v>
      </c>
      <c r="N1953" s="3">
        <v>26</v>
      </c>
      <c r="O1953" s="3" t="s">
        <v>81</v>
      </c>
      <c r="P1953" s="3" t="s">
        <v>31</v>
      </c>
      <c r="Q1953" s="4">
        <v>5</v>
      </c>
      <c r="R1953" s="4" t="str">
        <f>IF(Table1[[#This Row],[Customer Ratings]]&gt;=4, "Good",IF(Table1[[#This Row],[Customer Ratings]]=3, "Average","Poor"))</f>
        <v>Good</v>
      </c>
      <c r="S1953" s="3" t="s">
        <v>46</v>
      </c>
    </row>
    <row r="1954" spans="1:19" x14ac:dyDescent="0.25">
      <c r="A1954" s="3">
        <v>1953</v>
      </c>
      <c r="B1954" s="5">
        <f>DATE(Table1[[#This Row],[Year]],Table1[[#This Row],[Month]],Table1[[#This Row],[Day]])</f>
        <v>45033</v>
      </c>
      <c r="C1954" s="3">
        <v>17</v>
      </c>
      <c r="D1954" s="3">
        <v>4</v>
      </c>
      <c r="E1954" s="3">
        <v>2023</v>
      </c>
      <c r="F1954" s="3" t="str">
        <f>"Qtr"&amp; " " &amp;CHOOSE(MONTH(Table1[[#This Row],[Date]]),1,1,1,2,2,2,3,3,3,4,4,4)</f>
        <v>Qtr 2</v>
      </c>
      <c r="G1954" s="3" t="str">
        <f>TEXT(Table1[[#This Row],[Date]],"mmmm")</f>
        <v>April</v>
      </c>
      <c r="H1954" s="3" t="s">
        <v>1081</v>
      </c>
      <c r="I1954" s="3" t="s">
        <v>13</v>
      </c>
      <c r="J1954" s="3">
        <v>1</v>
      </c>
      <c r="K1954" s="3">
        <v>55583.28</v>
      </c>
      <c r="L1954" s="3">
        <f>Table1[[#This Row],[Price Per Unit]]*Table1[[#This Row],[Units Sold]]</f>
        <v>55583.28</v>
      </c>
      <c r="M1954" s="3" t="s">
        <v>800</v>
      </c>
      <c r="N1954" s="3">
        <v>52</v>
      </c>
      <c r="O1954" s="3" t="s">
        <v>20</v>
      </c>
      <c r="P1954" s="3" t="s">
        <v>16</v>
      </c>
      <c r="Q1954" s="4">
        <v>1</v>
      </c>
      <c r="R1954" s="4" t="str">
        <f>IF(Table1[[#This Row],[Customer Ratings]]&gt;=4, "Good",IF(Table1[[#This Row],[Customer Ratings]]=3, "Average","Poor"))</f>
        <v>Poor</v>
      </c>
      <c r="S1954" s="3" t="s">
        <v>27</v>
      </c>
    </row>
    <row r="1955" spans="1:19" x14ac:dyDescent="0.25">
      <c r="A1955" s="3">
        <v>1954</v>
      </c>
      <c r="B1955" s="5">
        <f>DATE(Table1[[#This Row],[Year]],Table1[[#This Row],[Month]],Table1[[#This Row],[Day]])</f>
        <v>45034</v>
      </c>
      <c r="C1955" s="3">
        <v>18</v>
      </c>
      <c r="D1955" s="3">
        <v>4</v>
      </c>
      <c r="E1955" s="3">
        <v>2023</v>
      </c>
      <c r="F1955" s="3" t="str">
        <f>"Qtr"&amp; " " &amp;CHOOSE(MONTH(Table1[[#This Row],[Date]]),1,1,1,2,2,2,3,3,3,4,4,4)</f>
        <v>Qtr 2</v>
      </c>
      <c r="G1955" s="3" t="str">
        <f>TEXT(Table1[[#This Row],[Date]],"mmmm")</f>
        <v>April</v>
      </c>
      <c r="H1955" s="3" t="s">
        <v>1082</v>
      </c>
      <c r="I1955" s="3" t="s">
        <v>13</v>
      </c>
      <c r="J1955" s="3">
        <v>7</v>
      </c>
      <c r="K1955" s="3">
        <v>56418.84</v>
      </c>
      <c r="L1955" s="3">
        <f>Table1[[#This Row],[Price Per Unit]]*Table1[[#This Row],[Units Sold]]</f>
        <v>394931.88</v>
      </c>
      <c r="M1955" s="3" t="s">
        <v>135</v>
      </c>
      <c r="N1955" s="3">
        <v>40</v>
      </c>
      <c r="O1955" s="3" t="s">
        <v>58</v>
      </c>
      <c r="P1955" s="3" t="s">
        <v>45</v>
      </c>
      <c r="Q1955" s="4">
        <v>1</v>
      </c>
      <c r="R1955" s="4" t="str">
        <f>IF(Table1[[#This Row],[Customer Ratings]]&gt;=4, "Good",IF(Table1[[#This Row],[Customer Ratings]]=3, "Average","Poor"))</f>
        <v>Poor</v>
      </c>
      <c r="S1955" s="3" t="s">
        <v>17</v>
      </c>
    </row>
    <row r="1956" spans="1:19" x14ac:dyDescent="0.25">
      <c r="A1956" s="3">
        <v>1955</v>
      </c>
      <c r="B1956" s="5">
        <f>DATE(Table1[[#This Row],[Year]],Table1[[#This Row],[Month]],Table1[[#This Row],[Day]])</f>
        <v>45034</v>
      </c>
      <c r="C1956" s="3">
        <v>18</v>
      </c>
      <c r="D1956" s="3">
        <v>4</v>
      </c>
      <c r="E1956" s="3">
        <v>2023</v>
      </c>
      <c r="F1956" s="3" t="str">
        <f>"Qtr"&amp; " " &amp;CHOOSE(MONTH(Table1[[#This Row],[Date]]),1,1,1,2,2,2,3,3,3,4,4,4)</f>
        <v>Qtr 2</v>
      </c>
      <c r="G1956" s="3" t="str">
        <f>TEXT(Table1[[#This Row],[Date]],"mmmm")</f>
        <v>April</v>
      </c>
      <c r="H1956" s="3" t="s">
        <v>1082</v>
      </c>
      <c r="I1956" s="3" t="s">
        <v>28</v>
      </c>
      <c r="J1956" s="3">
        <v>4</v>
      </c>
      <c r="K1956" s="3">
        <v>37336.980000000003</v>
      </c>
      <c r="L1956" s="3">
        <f>Table1[[#This Row],[Price Per Unit]]*Table1[[#This Row],[Units Sold]]</f>
        <v>149347.92000000001</v>
      </c>
      <c r="M1956" s="3" t="s">
        <v>784</v>
      </c>
      <c r="N1956" s="3">
        <v>56</v>
      </c>
      <c r="O1956" s="3" t="s">
        <v>98</v>
      </c>
      <c r="P1956" s="3" t="s">
        <v>21</v>
      </c>
      <c r="Q1956" s="4">
        <v>5</v>
      </c>
      <c r="R1956" s="4" t="str">
        <f>IF(Table1[[#This Row],[Customer Ratings]]&gt;=4, "Good",IF(Table1[[#This Row],[Customer Ratings]]=3, "Average","Poor"))</f>
        <v>Good</v>
      </c>
      <c r="S1956" s="3" t="s">
        <v>32</v>
      </c>
    </row>
    <row r="1957" spans="1:19" x14ac:dyDescent="0.25">
      <c r="A1957" s="3">
        <v>1956</v>
      </c>
      <c r="B1957" s="5">
        <f>DATE(Table1[[#This Row],[Year]],Table1[[#This Row],[Month]],Table1[[#This Row],[Day]])</f>
        <v>45034</v>
      </c>
      <c r="C1957" s="3">
        <v>18</v>
      </c>
      <c r="D1957" s="3">
        <v>4</v>
      </c>
      <c r="E1957" s="3">
        <v>2023</v>
      </c>
      <c r="F1957" s="3" t="str">
        <f>"Qtr"&amp; " " &amp;CHOOSE(MONTH(Table1[[#This Row],[Date]]),1,1,1,2,2,2,3,3,3,4,4,4)</f>
        <v>Qtr 2</v>
      </c>
      <c r="G1957" s="3" t="str">
        <f>TEXT(Table1[[#This Row],[Date]],"mmmm")</f>
        <v>April</v>
      </c>
      <c r="H1957" s="3" t="s">
        <v>1082</v>
      </c>
      <c r="I1957" s="3" t="s">
        <v>28</v>
      </c>
      <c r="J1957" s="3">
        <v>8</v>
      </c>
      <c r="K1957" s="3">
        <v>46714.25</v>
      </c>
      <c r="L1957" s="3">
        <f>Table1[[#This Row],[Price Per Unit]]*Table1[[#This Row],[Units Sold]]</f>
        <v>373714</v>
      </c>
      <c r="M1957" s="3" t="s">
        <v>307</v>
      </c>
      <c r="N1957" s="3">
        <v>40</v>
      </c>
      <c r="O1957" s="3" t="s">
        <v>41</v>
      </c>
      <c r="P1957" s="3" t="s">
        <v>16</v>
      </c>
      <c r="Q1957" s="4">
        <v>4</v>
      </c>
      <c r="R1957" s="4" t="str">
        <f>IF(Table1[[#This Row],[Customer Ratings]]&gt;=4, "Good",IF(Table1[[#This Row],[Customer Ratings]]=3, "Average","Poor"))</f>
        <v>Good</v>
      </c>
      <c r="S1957" s="3" t="s">
        <v>87</v>
      </c>
    </row>
    <row r="1958" spans="1:19" x14ac:dyDescent="0.25">
      <c r="A1958" s="3">
        <v>1957</v>
      </c>
      <c r="B1958" s="5">
        <f>DATE(Table1[[#This Row],[Year]],Table1[[#This Row],[Month]],Table1[[#This Row],[Day]])</f>
        <v>45034</v>
      </c>
      <c r="C1958" s="3">
        <v>18</v>
      </c>
      <c r="D1958" s="3">
        <v>4</v>
      </c>
      <c r="E1958" s="3">
        <v>2023</v>
      </c>
      <c r="F1958" s="3" t="str">
        <f>"Qtr"&amp; " " &amp;CHOOSE(MONTH(Table1[[#This Row],[Date]]),1,1,1,2,2,2,3,3,3,4,4,4)</f>
        <v>Qtr 2</v>
      </c>
      <c r="G1958" s="3" t="str">
        <f>TEXT(Table1[[#This Row],[Date]],"mmmm")</f>
        <v>April</v>
      </c>
      <c r="H1958" s="3" t="s">
        <v>1082</v>
      </c>
      <c r="I1958" s="3" t="s">
        <v>28</v>
      </c>
      <c r="J1958" s="3">
        <v>4</v>
      </c>
      <c r="K1958" s="3">
        <v>32411.18</v>
      </c>
      <c r="L1958" s="3">
        <f>Table1[[#This Row],[Price Per Unit]]*Table1[[#This Row],[Units Sold]]</f>
        <v>129644.72</v>
      </c>
      <c r="M1958" s="3" t="s">
        <v>365</v>
      </c>
      <c r="N1958" s="3">
        <v>43</v>
      </c>
      <c r="O1958" s="3" t="s">
        <v>125</v>
      </c>
      <c r="P1958" s="3" t="s">
        <v>45</v>
      </c>
      <c r="Q1958" s="4">
        <v>1</v>
      </c>
      <c r="R1958" s="4" t="str">
        <f>IF(Table1[[#This Row],[Customer Ratings]]&gt;=4, "Good",IF(Table1[[#This Row],[Customer Ratings]]=3, "Average","Poor"))</f>
        <v>Poor</v>
      </c>
      <c r="S1958" s="3" t="s">
        <v>38</v>
      </c>
    </row>
    <row r="1959" spans="1:19" x14ac:dyDescent="0.25">
      <c r="A1959" s="3">
        <v>1958</v>
      </c>
      <c r="B1959" s="5">
        <f>DATE(Table1[[#This Row],[Year]],Table1[[#This Row],[Month]],Table1[[#This Row],[Day]])</f>
        <v>45035</v>
      </c>
      <c r="C1959" s="3">
        <v>19</v>
      </c>
      <c r="D1959" s="3">
        <v>4</v>
      </c>
      <c r="E1959" s="3">
        <v>2023</v>
      </c>
      <c r="F1959" s="3" t="str">
        <f>"Qtr"&amp; " " &amp;CHOOSE(MONTH(Table1[[#This Row],[Date]]),1,1,1,2,2,2,3,3,3,4,4,4)</f>
        <v>Qtr 2</v>
      </c>
      <c r="G1959" s="3" t="str">
        <f>TEXT(Table1[[#This Row],[Date]],"mmmm")</f>
        <v>April</v>
      </c>
      <c r="H1959" s="3" t="s">
        <v>1083</v>
      </c>
      <c r="I1959" s="3" t="s">
        <v>13</v>
      </c>
      <c r="J1959" s="3">
        <v>6</v>
      </c>
      <c r="K1959" s="3">
        <v>52116.83</v>
      </c>
      <c r="L1959" s="3">
        <f>Table1[[#This Row],[Price Per Unit]]*Table1[[#This Row],[Units Sold]]</f>
        <v>312700.98</v>
      </c>
      <c r="M1959" s="3" t="s">
        <v>161</v>
      </c>
      <c r="N1959" s="3">
        <v>18</v>
      </c>
      <c r="O1959" s="3" t="s">
        <v>24</v>
      </c>
      <c r="P1959" s="3" t="s">
        <v>31</v>
      </c>
      <c r="Q1959" s="4">
        <v>5</v>
      </c>
      <c r="R1959" s="4" t="str">
        <f>IF(Table1[[#This Row],[Customer Ratings]]&gt;=4, "Good",IF(Table1[[#This Row],[Customer Ratings]]=3, "Average","Poor"))</f>
        <v>Good</v>
      </c>
      <c r="S1959" s="3" t="s">
        <v>17</v>
      </c>
    </row>
    <row r="1960" spans="1:19" x14ac:dyDescent="0.25">
      <c r="A1960" s="3">
        <v>1959</v>
      </c>
      <c r="B1960" s="5">
        <f>DATE(Table1[[#This Row],[Year]],Table1[[#This Row],[Month]],Table1[[#This Row],[Day]])</f>
        <v>45035</v>
      </c>
      <c r="C1960" s="3">
        <v>19</v>
      </c>
      <c r="D1960" s="3">
        <v>4</v>
      </c>
      <c r="E1960" s="3">
        <v>2023</v>
      </c>
      <c r="F1960" s="3" t="str">
        <f>"Qtr"&amp; " " &amp;CHOOSE(MONTH(Table1[[#This Row],[Date]]),1,1,1,2,2,2,3,3,3,4,4,4)</f>
        <v>Qtr 2</v>
      </c>
      <c r="G1960" s="3" t="str">
        <f>TEXT(Table1[[#This Row],[Date]],"mmmm")</f>
        <v>April</v>
      </c>
      <c r="H1960" s="3" t="s">
        <v>1083</v>
      </c>
      <c r="I1960" s="3" t="s">
        <v>18</v>
      </c>
      <c r="J1960" s="3">
        <v>9</v>
      </c>
      <c r="K1960" s="3">
        <v>60143.3</v>
      </c>
      <c r="L1960" s="3">
        <f>Table1[[#This Row],[Price Per Unit]]*Table1[[#This Row],[Units Sold]]</f>
        <v>541289.70000000007</v>
      </c>
      <c r="M1960" s="3" t="s">
        <v>788</v>
      </c>
      <c r="N1960" s="3">
        <v>31</v>
      </c>
      <c r="O1960" s="3" t="s">
        <v>35</v>
      </c>
      <c r="P1960" s="3" t="s">
        <v>45</v>
      </c>
      <c r="Q1960" s="4">
        <v>2</v>
      </c>
      <c r="R1960" s="4" t="str">
        <f>IF(Table1[[#This Row],[Customer Ratings]]&gt;=4, "Good",IF(Table1[[#This Row],[Customer Ratings]]=3, "Average","Poor"))</f>
        <v>Poor</v>
      </c>
      <c r="S1960" s="3" t="s">
        <v>25</v>
      </c>
    </row>
    <row r="1961" spans="1:19" x14ac:dyDescent="0.25">
      <c r="A1961" s="3">
        <v>1960</v>
      </c>
      <c r="B1961" s="5">
        <f>DATE(Table1[[#This Row],[Year]],Table1[[#This Row],[Month]],Table1[[#This Row],[Day]])</f>
        <v>45035</v>
      </c>
      <c r="C1961" s="3">
        <v>19</v>
      </c>
      <c r="D1961" s="3">
        <v>4</v>
      </c>
      <c r="E1961" s="3">
        <v>2023</v>
      </c>
      <c r="F1961" s="3" t="str">
        <f>"Qtr"&amp; " " &amp;CHOOSE(MONTH(Table1[[#This Row],[Date]]),1,1,1,2,2,2,3,3,3,4,4,4)</f>
        <v>Qtr 2</v>
      </c>
      <c r="G1961" s="3" t="str">
        <f>TEXT(Table1[[#This Row],[Date]],"mmmm")</f>
        <v>April</v>
      </c>
      <c r="H1961" s="3" t="s">
        <v>1083</v>
      </c>
      <c r="I1961" s="3" t="s">
        <v>39</v>
      </c>
      <c r="J1961" s="3">
        <v>5</v>
      </c>
      <c r="K1961" s="3">
        <v>51294</v>
      </c>
      <c r="L1961" s="3">
        <f>Table1[[#This Row],[Price Per Unit]]*Table1[[#This Row],[Units Sold]]</f>
        <v>256470</v>
      </c>
      <c r="M1961" s="3" t="s">
        <v>365</v>
      </c>
      <c r="N1961" s="3">
        <v>49</v>
      </c>
      <c r="O1961" s="3" t="s">
        <v>137</v>
      </c>
      <c r="P1961" s="3" t="s">
        <v>31</v>
      </c>
      <c r="Q1961" s="4">
        <v>4</v>
      </c>
      <c r="R1961" s="4" t="str">
        <f>IF(Table1[[#This Row],[Customer Ratings]]&gt;=4, "Good",IF(Table1[[#This Row],[Customer Ratings]]=3, "Average","Poor"))</f>
        <v>Good</v>
      </c>
      <c r="S1961" s="3" t="s">
        <v>76</v>
      </c>
    </row>
    <row r="1962" spans="1:19" x14ac:dyDescent="0.25">
      <c r="A1962" s="3">
        <v>1961</v>
      </c>
      <c r="B1962" s="5">
        <f>DATE(Table1[[#This Row],[Year]],Table1[[#This Row],[Month]],Table1[[#This Row],[Day]])</f>
        <v>45035</v>
      </c>
      <c r="C1962" s="3">
        <v>19</v>
      </c>
      <c r="D1962" s="3">
        <v>4</v>
      </c>
      <c r="E1962" s="3">
        <v>2023</v>
      </c>
      <c r="F1962" s="3" t="str">
        <f>"Qtr"&amp; " " &amp;CHOOSE(MONTH(Table1[[#This Row],[Date]]),1,1,1,2,2,2,3,3,3,4,4,4)</f>
        <v>Qtr 2</v>
      </c>
      <c r="G1962" s="3" t="str">
        <f>TEXT(Table1[[#This Row],[Date]],"mmmm")</f>
        <v>April</v>
      </c>
      <c r="H1962" s="3" t="s">
        <v>1083</v>
      </c>
      <c r="I1962" s="3" t="s">
        <v>18</v>
      </c>
      <c r="J1962" s="3">
        <v>4</v>
      </c>
      <c r="K1962" s="3">
        <v>40754.959999999999</v>
      </c>
      <c r="L1962" s="3">
        <f>Table1[[#This Row],[Price Per Unit]]*Table1[[#This Row],[Units Sold]]</f>
        <v>163019.84</v>
      </c>
      <c r="M1962" s="3" t="s">
        <v>928</v>
      </c>
      <c r="N1962" s="3">
        <v>27</v>
      </c>
      <c r="O1962" s="3" t="s">
        <v>24</v>
      </c>
      <c r="P1962" s="3" t="s">
        <v>16</v>
      </c>
      <c r="Q1962" s="4">
        <v>1</v>
      </c>
      <c r="R1962" s="4" t="str">
        <f>IF(Table1[[#This Row],[Customer Ratings]]&gt;=4, "Good",IF(Table1[[#This Row],[Customer Ratings]]=3, "Average","Poor"))</f>
        <v>Poor</v>
      </c>
      <c r="S1962" s="3" t="s">
        <v>55</v>
      </c>
    </row>
    <row r="1963" spans="1:19" x14ac:dyDescent="0.25">
      <c r="A1963" s="3">
        <v>1962</v>
      </c>
      <c r="B1963" s="5">
        <f>DATE(Table1[[#This Row],[Year]],Table1[[#This Row],[Month]],Table1[[#This Row],[Day]])</f>
        <v>45036</v>
      </c>
      <c r="C1963" s="3">
        <v>20</v>
      </c>
      <c r="D1963" s="3">
        <v>4</v>
      </c>
      <c r="E1963" s="3">
        <v>2023</v>
      </c>
      <c r="F1963" s="3" t="str">
        <f>"Qtr"&amp; " " &amp;CHOOSE(MONTH(Table1[[#This Row],[Date]]),1,1,1,2,2,2,3,3,3,4,4,4)</f>
        <v>Qtr 2</v>
      </c>
      <c r="G1963" s="3" t="str">
        <f>TEXT(Table1[[#This Row],[Date]],"mmmm")</f>
        <v>April</v>
      </c>
      <c r="H1963" s="3" t="s">
        <v>1084</v>
      </c>
      <c r="I1963" s="3" t="s">
        <v>18</v>
      </c>
      <c r="J1963" s="3">
        <v>8</v>
      </c>
      <c r="K1963" s="3">
        <v>37519.480000000003</v>
      </c>
      <c r="L1963" s="3">
        <f>Table1[[#This Row],[Price Per Unit]]*Table1[[#This Row],[Units Sold]]</f>
        <v>300155.84000000003</v>
      </c>
      <c r="M1963" s="3" t="s">
        <v>216</v>
      </c>
      <c r="N1963" s="3">
        <v>18</v>
      </c>
      <c r="O1963" s="3" t="s">
        <v>30</v>
      </c>
      <c r="P1963" s="3" t="s">
        <v>16</v>
      </c>
      <c r="Q1963" s="4">
        <v>5</v>
      </c>
      <c r="R1963" s="4" t="str">
        <f>IF(Table1[[#This Row],[Customer Ratings]]&gt;=4, "Good",IF(Table1[[#This Row],[Customer Ratings]]=3, "Average","Poor"))</f>
        <v>Good</v>
      </c>
      <c r="S1963" s="3" t="s">
        <v>22</v>
      </c>
    </row>
    <row r="1964" spans="1:19" x14ac:dyDescent="0.25">
      <c r="A1964" s="3">
        <v>1963</v>
      </c>
      <c r="B1964" s="5">
        <f>DATE(Table1[[#This Row],[Year]],Table1[[#This Row],[Month]],Table1[[#This Row],[Day]])</f>
        <v>45036</v>
      </c>
      <c r="C1964" s="3">
        <v>20</v>
      </c>
      <c r="D1964" s="3">
        <v>4</v>
      </c>
      <c r="E1964" s="3">
        <v>2023</v>
      </c>
      <c r="F1964" s="3" t="str">
        <f>"Qtr"&amp; " " &amp;CHOOSE(MONTH(Table1[[#This Row],[Date]]),1,1,1,2,2,2,3,3,3,4,4,4)</f>
        <v>Qtr 2</v>
      </c>
      <c r="G1964" s="3" t="str">
        <f>TEXT(Table1[[#This Row],[Date]],"mmmm")</f>
        <v>April</v>
      </c>
      <c r="H1964" s="3" t="s">
        <v>1084</v>
      </c>
      <c r="I1964" s="3" t="s">
        <v>13</v>
      </c>
      <c r="J1964" s="3">
        <v>9</v>
      </c>
      <c r="K1964" s="3">
        <v>48539.18</v>
      </c>
      <c r="L1964" s="3">
        <f>Table1[[#This Row],[Price Per Unit]]*Table1[[#This Row],[Units Sold]]</f>
        <v>436852.62</v>
      </c>
      <c r="M1964" s="3" t="s">
        <v>51</v>
      </c>
      <c r="N1964" s="3">
        <v>22</v>
      </c>
      <c r="O1964" s="3" t="s">
        <v>35</v>
      </c>
      <c r="P1964" s="3" t="s">
        <v>45</v>
      </c>
      <c r="Q1964" s="4">
        <v>1</v>
      </c>
      <c r="R1964" s="4" t="str">
        <f>IF(Table1[[#This Row],[Customer Ratings]]&gt;=4, "Good",IF(Table1[[#This Row],[Customer Ratings]]=3, "Average","Poor"))</f>
        <v>Poor</v>
      </c>
      <c r="S1964" s="3" t="s">
        <v>72</v>
      </c>
    </row>
    <row r="1965" spans="1:19" x14ac:dyDescent="0.25">
      <c r="A1965" s="3">
        <v>1964</v>
      </c>
      <c r="B1965" s="5">
        <f>DATE(Table1[[#This Row],[Year]],Table1[[#This Row],[Month]],Table1[[#This Row],[Day]])</f>
        <v>45036</v>
      </c>
      <c r="C1965" s="3">
        <v>20</v>
      </c>
      <c r="D1965" s="3">
        <v>4</v>
      </c>
      <c r="E1965" s="3">
        <v>2023</v>
      </c>
      <c r="F1965" s="3" t="str">
        <f>"Qtr"&amp; " " &amp;CHOOSE(MONTH(Table1[[#This Row],[Date]]),1,1,1,2,2,2,3,3,3,4,4,4)</f>
        <v>Qtr 2</v>
      </c>
      <c r="G1965" s="3" t="str">
        <f>TEXT(Table1[[#This Row],[Date]],"mmmm")</f>
        <v>April</v>
      </c>
      <c r="H1965" s="3" t="s">
        <v>1084</v>
      </c>
      <c r="I1965" s="3" t="s">
        <v>18</v>
      </c>
      <c r="J1965" s="3">
        <v>4</v>
      </c>
      <c r="K1965" s="3">
        <v>50788.65</v>
      </c>
      <c r="L1965" s="3">
        <f>Table1[[#This Row],[Price Per Unit]]*Table1[[#This Row],[Units Sold]]</f>
        <v>203154.6</v>
      </c>
      <c r="M1965" s="3" t="s">
        <v>738</v>
      </c>
      <c r="N1965" s="3">
        <v>20</v>
      </c>
      <c r="O1965" s="3" t="s">
        <v>15</v>
      </c>
      <c r="P1965" s="3" t="s">
        <v>31</v>
      </c>
      <c r="Q1965" s="4">
        <v>2</v>
      </c>
      <c r="R1965" s="4" t="str">
        <f>IF(Table1[[#This Row],[Customer Ratings]]&gt;=4, "Good",IF(Table1[[#This Row],[Customer Ratings]]=3, "Average","Poor"))</f>
        <v>Poor</v>
      </c>
      <c r="S1965" s="3" t="s">
        <v>22</v>
      </c>
    </row>
    <row r="1966" spans="1:19" x14ac:dyDescent="0.25">
      <c r="A1966" s="3">
        <v>1965</v>
      </c>
      <c r="B1966" s="5">
        <f>DATE(Table1[[#This Row],[Year]],Table1[[#This Row],[Month]],Table1[[#This Row],[Day]])</f>
        <v>45036</v>
      </c>
      <c r="C1966" s="3">
        <v>20</v>
      </c>
      <c r="D1966" s="3">
        <v>4</v>
      </c>
      <c r="E1966" s="3">
        <v>2023</v>
      </c>
      <c r="F1966" s="3" t="str">
        <f>"Qtr"&amp; " " &amp;CHOOSE(MONTH(Table1[[#This Row],[Date]]),1,1,1,2,2,2,3,3,3,4,4,4)</f>
        <v>Qtr 2</v>
      </c>
      <c r="G1966" s="3" t="str">
        <f>TEXT(Table1[[#This Row],[Date]],"mmmm")</f>
        <v>April</v>
      </c>
      <c r="H1966" s="3" t="s">
        <v>1084</v>
      </c>
      <c r="I1966" s="3" t="s">
        <v>33</v>
      </c>
      <c r="J1966" s="3">
        <v>3</v>
      </c>
      <c r="K1966" s="3">
        <v>43523.77</v>
      </c>
      <c r="L1966" s="3">
        <f>Table1[[#This Row],[Price Per Unit]]*Table1[[#This Row],[Units Sold]]</f>
        <v>130571.31</v>
      </c>
      <c r="M1966" s="3" t="s">
        <v>433</v>
      </c>
      <c r="N1966" s="3">
        <v>44</v>
      </c>
      <c r="O1966" s="3" t="s">
        <v>24</v>
      </c>
      <c r="P1966" s="3" t="s">
        <v>45</v>
      </c>
      <c r="Q1966" s="4">
        <v>4</v>
      </c>
      <c r="R1966" s="4" t="str">
        <f>IF(Table1[[#This Row],[Customer Ratings]]&gt;=4, "Good",IF(Table1[[#This Row],[Customer Ratings]]=3, "Average","Poor"))</f>
        <v>Good</v>
      </c>
      <c r="S1966" s="3" t="s">
        <v>46</v>
      </c>
    </row>
    <row r="1967" spans="1:19" x14ac:dyDescent="0.25">
      <c r="A1967" s="3">
        <v>1966</v>
      </c>
      <c r="B1967" s="5">
        <f>DATE(Table1[[#This Row],[Year]],Table1[[#This Row],[Month]],Table1[[#This Row],[Day]])</f>
        <v>45037</v>
      </c>
      <c r="C1967" s="3">
        <v>21</v>
      </c>
      <c r="D1967" s="3">
        <v>4</v>
      </c>
      <c r="E1967" s="3">
        <v>2023</v>
      </c>
      <c r="F1967" s="3" t="str">
        <f>"Qtr"&amp; " " &amp;CHOOSE(MONTH(Table1[[#This Row],[Date]]),1,1,1,2,2,2,3,3,3,4,4,4)</f>
        <v>Qtr 2</v>
      </c>
      <c r="G1967" s="3" t="str">
        <f>TEXT(Table1[[#This Row],[Date]],"mmmm")</f>
        <v>April</v>
      </c>
      <c r="H1967" s="3" t="s">
        <v>1085</v>
      </c>
      <c r="I1967" s="3" t="s">
        <v>28</v>
      </c>
      <c r="J1967" s="3">
        <v>8</v>
      </c>
      <c r="K1967" s="3">
        <v>47496.54</v>
      </c>
      <c r="L1967" s="3">
        <f>Table1[[#This Row],[Price Per Unit]]*Table1[[#This Row],[Units Sold]]</f>
        <v>379972.32</v>
      </c>
      <c r="M1967" s="3" t="s">
        <v>929</v>
      </c>
      <c r="N1967" s="3">
        <v>39</v>
      </c>
      <c r="O1967" s="3" t="s">
        <v>35</v>
      </c>
      <c r="P1967" s="3" t="s">
        <v>45</v>
      </c>
      <c r="Q1967" s="4">
        <v>5</v>
      </c>
      <c r="R1967" s="4" t="str">
        <f>IF(Table1[[#This Row],[Customer Ratings]]&gt;=4, "Good",IF(Table1[[#This Row],[Customer Ratings]]=3, "Average","Poor"))</f>
        <v>Good</v>
      </c>
      <c r="S1967" s="3" t="s">
        <v>38</v>
      </c>
    </row>
    <row r="1968" spans="1:19" x14ac:dyDescent="0.25">
      <c r="A1968" s="3">
        <v>1967</v>
      </c>
      <c r="B1968" s="5">
        <f>DATE(Table1[[#This Row],[Year]],Table1[[#This Row],[Month]],Table1[[#This Row],[Day]])</f>
        <v>45037</v>
      </c>
      <c r="C1968" s="3">
        <v>21</v>
      </c>
      <c r="D1968" s="3">
        <v>4</v>
      </c>
      <c r="E1968" s="3">
        <v>2023</v>
      </c>
      <c r="F1968" s="3" t="str">
        <f>"Qtr"&amp; " " &amp;CHOOSE(MONTH(Table1[[#This Row],[Date]]),1,1,1,2,2,2,3,3,3,4,4,4)</f>
        <v>Qtr 2</v>
      </c>
      <c r="G1968" s="3" t="str">
        <f>TEXT(Table1[[#This Row],[Date]],"mmmm")</f>
        <v>April</v>
      </c>
      <c r="H1968" s="3" t="s">
        <v>1085</v>
      </c>
      <c r="I1968" s="3" t="s">
        <v>33</v>
      </c>
      <c r="J1968" s="3">
        <v>5</v>
      </c>
      <c r="K1968" s="3">
        <v>15795.32</v>
      </c>
      <c r="L1968" s="3">
        <f>Table1[[#This Row],[Price Per Unit]]*Table1[[#This Row],[Units Sold]]</f>
        <v>78976.600000000006</v>
      </c>
      <c r="M1968" s="3" t="s">
        <v>152</v>
      </c>
      <c r="N1968" s="3">
        <v>35</v>
      </c>
      <c r="O1968" s="3" t="s">
        <v>30</v>
      </c>
      <c r="P1968" s="3" t="s">
        <v>16</v>
      </c>
      <c r="Q1968" s="4">
        <v>2</v>
      </c>
      <c r="R1968" s="4" t="str">
        <f>IF(Table1[[#This Row],[Customer Ratings]]&gt;=4, "Good",IF(Table1[[#This Row],[Customer Ratings]]=3, "Average","Poor"))</f>
        <v>Poor</v>
      </c>
      <c r="S1968" s="3" t="s">
        <v>83</v>
      </c>
    </row>
    <row r="1969" spans="1:19" x14ac:dyDescent="0.25">
      <c r="A1969" s="3">
        <v>1968</v>
      </c>
      <c r="B1969" s="5">
        <f>DATE(Table1[[#This Row],[Year]],Table1[[#This Row],[Month]],Table1[[#This Row],[Day]])</f>
        <v>45037</v>
      </c>
      <c r="C1969" s="3">
        <v>21</v>
      </c>
      <c r="D1969" s="3">
        <v>4</v>
      </c>
      <c r="E1969" s="3">
        <v>2023</v>
      </c>
      <c r="F1969" s="3" t="str">
        <f>"Qtr"&amp; " " &amp;CHOOSE(MONTH(Table1[[#This Row],[Date]]),1,1,1,2,2,2,3,3,3,4,4,4)</f>
        <v>Qtr 2</v>
      </c>
      <c r="G1969" s="3" t="str">
        <f>TEXT(Table1[[#This Row],[Date]],"mmmm")</f>
        <v>April</v>
      </c>
      <c r="H1969" s="3" t="s">
        <v>1085</v>
      </c>
      <c r="I1969" s="3" t="s">
        <v>39</v>
      </c>
      <c r="J1969" s="3">
        <v>2</v>
      </c>
      <c r="K1969" s="3">
        <v>67105.929999999993</v>
      </c>
      <c r="L1969" s="3">
        <f>Table1[[#This Row],[Price Per Unit]]*Table1[[#This Row],[Units Sold]]</f>
        <v>134211.85999999999</v>
      </c>
      <c r="M1969" s="3" t="s">
        <v>131</v>
      </c>
      <c r="N1969" s="3">
        <v>33</v>
      </c>
      <c r="O1969" s="3" t="s">
        <v>24</v>
      </c>
      <c r="P1969" s="3" t="s">
        <v>16</v>
      </c>
      <c r="Q1969" s="4">
        <v>4</v>
      </c>
      <c r="R1969" s="4" t="str">
        <f>IF(Table1[[#This Row],[Customer Ratings]]&gt;=4, "Good",IF(Table1[[#This Row],[Customer Ratings]]=3, "Average","Poor"))</f>
        <v>Good</v>
      </c>
      <c r="S1969" s="3" t="s">
        <v>90</v>
      </c>
    </row>
    <row r="1970" spans="1:19" x14ac:dyDescent="0.25">
      <c r="A1970" s="3">
        <v>1969</v>
      </c>
      <c r="B1970" s="5">
        <f>DATE(Table1[[#This Row],[Year]],Table1[[#This Row],[Month]],Table1[[#This Row],[Day]])</f>
        <v>45037</v>
      </c>
      <c r="C1970" s="3">
        <v>21</v>
      </c>
      <c r="D1970" s="3">
        <v>4</v>
      </c>
      <c r="E1970" s="3">
        <v>2023</v>
      </c>
      <c r="F1970" s="3" t="str">
        <f>"Qtr"&amp; " " &amp;CHOOSE(MONTH(Table1[[#This Row],[Date]]),1,1,1,2,2,2,3,3,3,4,4,4)</f>
        <v>Qtr 2</v>
      </c>
      <c r="G1970" s="3" t="str">
        <f>TEXT(Table1[[#This Row],[Date]],"mmmm")</f>
        <v>April</v>
      </c>
      <c r="H1970" s="3" t="s">
        <v>1085</v>
      </c>
      <c r="I1970" s="3" t="s">
        <v>28</v>
      </c>
      <c r="J1970" s="3">
        <v>9</v>
      </c>
      <c r="K1970" s="3">
        <v>57446.38</v>
      </c>
      <c r="L1970" s="3">
        <f>Table1[[#This Row],[Price Per Unit]]*Table1[[#This Row],[Units Sold]]</f>
        <v>517017.42</v>
      </c>
      <c r="M1970" s="3" t="s">
        <v>117</v>
      </c>
      <c r="N1970" s="3">
        <v>19</v>
      </c>
      <c r="O1970" s="3" t="s">
        <v>24</v>
      </c>
      <c r="P1970" s="3" t="s">
        <v>16</v>
      </c>
      <c r="Q1970" s="4">
        <v>5</v>
      </c>
      <c r="R1970" s="4" t="str">
        <f>IF(Table1[[#This Row],[Customer Ratings]]&gt;=4, "Good",IF(Table1[[#This Row],[Customer Ratings]]=3, "Average","Poor"))</f>
        <v>Good</v>
      </c>
      <c r="S1970" s="3" t="s">
        <v>38</v>
      </c>
    </row>
    <row r="1971" spans="1:19" x14ac:dyDescent="0.25">
      <c r="A1971" s="3">
        <v>1970</v>
      </c>
      <c r="B1971" s="5">
        <f>DATE(Table1[[#This Row],[Year]],Table1[[#This Row],[Month]],Table1[[#This Row],[Day]])</f>
        <v>45038</v>
      </c>
      <c r="C1971" s="3">
        <v>22</v>
      </c>
      <c r="D1971" s="3">
        <v>4</v>
      </c>
      <c r="E1971" s="3">
        <v>2023</v>
      </c>
      <c r="F1971" s="3" t="str">
        <f>"Qtr"&amp; " " &amp;CHOOSE(MONTH(Table1[[#This Row],[Date]]),1,1,1,2,2,2,3,3,3,4,4,4)</f>
        <v>Qtr 2</v>
      </c>
      <c r="G1971" s="3" t="str">
        <f>TEXT(Table1[[#This Row],[Date]],"mmmm")</f>
        <v>April</v>
      </c>
      <c r="H1971" s="3" t="s">
        <v>1079</v>
      </c>
      <c r="I1971" s="3" t="s">
        <v>18</v>
      </c>
      <c r="J1971" s="3">
        <v>3</v>
      </c>
      <c r="K1971" s="3">
        <v>32435.67</v>
      </c>
      <c r="L1971" s="3">
        <f>Table1[[#This Row],[Price Per Unit]]*Table1[[#This Row],[Units Sold]]</f>
        <v>97307.01</v>
      </c>
      <c r="M1971" s="3" t="s">
        <v>530</v>
      </c>
      <c r="N1971" s="3">
        <v>30</v>
      </c>
      <c r="O1971" s="3" t="s">
        <v>58</v>
      </c>
      <c r="P1971" s="3" t="s">
        <v>45</v>
      </c>
      <c r="Q1971" s="4">
        <v>4</v>
      </c>
      <c r="R1971" s="4" t="str">
        <f>IF(Table1[[#This Row],[Customer Ratings]]&gt;=4, "Good",IF(Table1[[#This Row],[Customer Ratings]]=3, "Average","Poor"))</f>
        <v>Good</v>
      </c>
      <c r="S1971" s="3" t="s">
        <v>22</v>
      </c>
    </row>
    <row r="1972" spans="1:19" x14ac:dyDescent="0.25">
      <c r="A1972" s="3">
        <v>1971</v>
      </c>
      <c r="B1972" s="5">
        <f>DATE(Table1[[#This Row],[Year]],Table1[[#This Row],[Month]],Table1[[#This Row],[Day]])</f>
        <v>45038</v>
      </c>
      <c r="C1972" s="3">
        <v>22</v>
      </c>
      <c r="D1972" s="3">
        <v>4</v>
      </c>
      <c r="E1972" s="3">
        <v>2023</v>
      </c>
      <c r="F1972" s="3" t="str">
        <f>"Qtr"&amp; " " &amp;CHOOSE(MONTH(Table1[[#This Row],[Date]]),1,1,1,2,2,2,3,3,3,4,4,4)</f>
        <v>Qtr 2</v>
      </c>
      <c r="G1972" s="3" t="str">
        <f>TEXT(Table1[[#This Row],[Date]],"mmmm")</f>
        <v>April</v>
      </c>
      <c r="H1972" s="3" t="s">
        <v>1079</v>
      </c>
      <c r="I1972" s="3" t="s">
        <v>39</v>
      </c>
      <c r="J1972" s="3">
        <v>2</v>
      </c>
      <c r="K1972" s="3">
        <v>43768.76</v>
      </c>
      <c r="L1972" s="3">
        <f>Table1[[#This Row],[Price Per Unit]]*Table1[[#This Row],[Units Sold]]</f>
        <v>87537.52</v>
      </c>
      <c r="M1972" s="3" t="s">
        <v>113</v>
      </c>
      <c r="N1972" s="3">
        <v>33</v>
      </c>
      <c r="O1972" s="3" t="s">
        <v>102</v>
      </c>
      <c r="P1972" s="3" t="s">
        <v>45</v>
      </c>
      <c r="Q1972" s="4">
        <v>4</v>
      </c>
      <c r="R1972" s="4" t="str">
        <f>IF(Table1[[#This Row],[Customer Ratings]]&gt;=4, "Good",IF(Table1[[#This Row],[Customer Ratings]]=3, "Average","Poor"))</f>
        <v>Good</v>
      </c>
      <c r="S1972" s="3" t="s">
        <v>76</v>
      </c>
    </row>
    <row r="1973" spans="1:19" x14ac:dyDescent="0.25">
      <c r="A1973" s="3">
        <v>1972</v>
      </c>
      <c r="B1973" s="5">
        <f>DATE(Table1[[#This Row],[Year]],Table1[[#This Row],[Month]],Table1[[#This Row],[Day]])</f>
        <v>45038</v>
      </c>
      <c r="C1973" s="3">
        <v>22</v>
      </c>
      <c r="D1973" s="3">
        <v>4</v>
      </c>
      <c r="E1973" s="3">
        <v>2023</v>
      </c>
      <c r="F1973" s="3" t="str">
        <f>"Qtr"&amp; " " &amp;CHOOSE(MONTH(Table1[[#This Row],[Date]]),1,1,1,2,2,2,3,3,3,4,4,4)</f>
        <v>Qtr 2</v>
      </c>
      <c r="G1973" s="3" t="str">
        <f>TEXT(Table1[[#This Row],[Date]],"mmmm")</f>
        <v>April</v>
      </c>
      <c r="H1973" s="3" t="s">
        <v>1079</v>
      </c>
      <c r="I1973" s="3" t="s">
        <v>28</v>
      </c>
      <c r="J1973" s="3">
        <v>1</v>
      </c>
      <c r="K1973" s="3">
        <v>12839.47</v>
      </c>
      <c r="L1973" s="3">
        <f>Table1[[#This Row],[Price Per Unit]]*Table1[[#This Row],[Units Sold]]</f>
        <v>12839.47</v>
      </c>
      <c r="M1973" s="3" t="s">
        <v>266</v>
      </c>
      <c r="N1973" s="3">
        <v>25</v>
      </c>
      <c r="O1973" s="3" t="s">
        <v>52</v>
      </c>
      <c r="P1973" s="3" t="s">
        <v>21</v>
      </c>
      <c r="Q1973" s="4">
        <v>5</v>
      </c>
      <c r="R1973" s="4" t="str">
        <f>IF(Table1[[#This Row],[Customer Ratings]]&gt;=4, "Good",IF(Table1[[#This Row],[Customer Ratings]]=3, "Average","Poor"))</f>
        <v>Good</v>
      </c>
      <c r="S1973" s="3" t="s">
        <v>87</v>
      </c>
    </row>
    <row r="1974" spans="1:19" x14ac:dyDescent="0.25">
      <c r="A1974" s="3">
        <v>1973</v>
      </c>
      <c r="B1974" s="5">
        <f>DATE(Table1[[#This Row],[Year]],Table1[[#This Row],[Month]],Table1[[#This Row],[Day]])</f>
        <v>45038</v>
      </c>
      <c r="C1974" s="3">
        <v>22</v>
      </c>
      <c r="D1974" s="3">
        <v>4</v>
      </c>
      <c r="E1974" s="3">
        <v>2023</v>
      </c>
      <c r="F1974" s="3" t="str">
        <f>"Qtr"&amp; " " &amp;CHOOSE(MONTH(Table1[[#This Row],[Date]]),1,1,1,2,2,2,3,3,3,4,4,4)</f>
        <v>Qtr 2</v>
      </c>
      <c r="G1974" s="3" t="str">
        <f>TEXT(Table1[[#This Row],[Date]],"mmmm")</f>
        <v>April</v>
      </c>
      <c r="H1974" s="3" t="s">
        <v>1079</v>
      </c>
      <c r="I1974" s="3" t="s">
        <v>18</v>
      </c>
      <c r="J1974" s="3">
        <v>8</v>
      </c>
      <c r="K1974" s="3">
        <v>12473.67</v>
      </c>
      <c r="L1974" s="3">
        <f>Table1[[#This Row],[Price Per Unit]]*Table1[[#This Row],[Units Sold]]</f>
        <v>99789.36</v>
      </c>
      <c r="M1974" s="3" t="s">
        <v>795</v>
      </c>
      <c r="N1974" s="3">
        <v>25</v>
      </c>
      <c r="O1974" s="3" t="s">
        <v>120</v>
      </c>
      <c r="P1974" s="3" t="s">
        <v>21</v>
      </c>
      <c r="Q1974" s="4">
        <v>5</v>
      </c>
      <c r="R1974" s="4" t="str">
        <f>IF(Table1[[#This Row],[Customer Ratings]]&gt;=4, "Good",IF(Table1[[#This Row],[Customer Ratings]]=3, "Average","Poor"))</f>
        <v>Good</v>
      </c>
      <c r="S1974" s="3" t="s">
        <v>22</v>
      </c>
    </row>
    <row r="1975" spans="1:19" x14ac:dyDescent="0.25">
      <c r="A1975" s="3">
        <v>1974</v>
      </c>
      <c r="B1975" s="5">
        <f>DATE(Table1[[#This Row],[Year]],Table1[[#This Row],[Month]],Table1[[#This Row],[Day]])</f>
        <v>45039</v>
      </c>
      <c r="C1975" s="3">
        <v>23</v>
      </c>
      <c r="D1975" s="3">
        <v>4</v>
      </c>
      <c r="E1975" s="3">
        <v>2023</v>
      </c>
      <c r="F1975" s="3" t="str">
        <f>"Qtr"&amp; " " &amp;CHOOSE(MONTH(Table1[[#This Row],[Date]]),1,1,1,2,2,2,3,3,3,4,4,4)</f>
        <v>Qtr 2</v>
      </c>
      <c r="G1975" s="3" t="str">
        <f>TEXT(Table1[[#This Row],[Date]],"mmmm")</f>
        <v>April</v>
      </c>
      <c r="H1975" s="3" t="s">
        <v>1080</v>
      </c>
      <c r="I1975" s="3" t="s">
        <v>33</v>
      </c>
      <c r="J1975" s="3">
        <v>3</v>
      </c>
      <c r="K1975" s="3">
        <v>25047.9</v>
      </c>
      <c r="L1975" s="3">
        <f>Table1[[#This Row],[Price Per Unit]]*Table1[[#This Row],[Units Sold]]</f>
        <v>75143.700000000012</v>
      </c>
      <c r="M1975" s="3" t="s">
        <v>745</v>
      </c>
      <c r="N1975" s="3">
        <v>27</v>
      </c>
      <c r="O1975" s="3" t="s">
        <v>52</v>
      </c>
      <c r="P1975" s="3" t="s">
        <v>45</v>
      </c>
      <c r="Q1975" s="4">
        <v>2</v>
      </c>
      <c r="R1975" s="4" t="str">
        <f>IF(Table1[[#This Row],[Customer Ratings]]&gt;=4, "Good",IF(Table1[[#This Row],[Customer Ratings]]=3, "Average","Poor"))</f>
        <v>Poor</v>
      </c>
      <c r="S1975" s="3" t="s">
        <v>83</v>
      </c>
    </row>
    <row r="1976" spans="1:19" x14ac:dyDescent="0.25">
      <c r="A1976" s="3">
        <v>1975</v>
      </c>
      <c r="B1976" s="5">
        <f>DATE(Table1[[#This Row],[Year]],Table1[[#This Row],[Month]],Table1[[#This Row],[Day]])</f>
        <v>45039</v>
      </c>
      <c r="C1976" s="3">
        <v>23</v>
      </c>
      <c r="D1976" s="3">
        <v>4</v>
      </c>
      <c r="E1976" s="3">
        <v>2023</v>
      </c>
      <c r="F1976" s="3" t="str">
        <f>"Qtr"&amp; " " &amp;CHOOSE(MONTH(Table1[[#This Row],[Date]]),1,1,1,2,2,2,3,3,3,4,4,4)</f>
        <v>Qtr 2</v>
      </c>
      <c r="G1976" s="3" t="str">
        <f>TEXT(Table1[[#This Row],[Date]],"mmmm")</f>
        <v>April</v>
      </c>
      <c r="H1976" s="3" t="s">
        <v>1080</v>
      </c>
      <c r="I1976" s="3" t="s">
        <v>28</v>
      </c>
      <c r="J1976" s="3">
        <v>7</v>
      </c>
      <c r="K1976" s="3">
        <v>51382.1</v>
      </c>
      <c r="L1976" s="3">
        <f>Table1[[#This Row],[Price Per Unit]]*Table1[[#This Row],[Units Sold]]</f>
        <v>359674.7</v>
      </c>
      <c r="M1976" s="3" t="s">
        <v>319</v>
      </c>
      <c r="N1976" s="3">
        <v>50</v>
      </c>
      <c r="O1976" s="3" t="s">
        <v>137</v>
      </c>
      <c r="P1976" s="3" t="s">
        <v>21</v>
      </c>
      <c r="Q1976" s="4">
        <v>1</v>
      </c>
      <c r="R1976" s="4" t="str">
        <f>IF(Table1[[#This Row],[Customer Ratings]]&gt;=4, "Good",IF(Table1[[#This Row],[Customer Ratings]]=3, "Average","Poor"))</f>
        <v>Poor</v>
      </c>
      <c r="S1976" s="3" t="s">
        <v>38</v>
      </c>
    </row>
    <row r="1977" spans="1:19" x14ac:dyDescent="0.25">
      <c r="A1977" s="3">
        <v>1976</v>
      </c>
      <c r="B1977" s="5">
        <f>DATE(Table1[[#This Row],[Year]],Table1[[#This Row],[Month]],Table1[[#This Row],[Day]])</f>
        <v>45039</v>
      </c>
      <c r="C1977" s="3">
        <v>23</v>
      </c>
      <c r="D1977" s="3">
        <v>4</v>
      </c>
      <c r="E1977" s="3">
        <v>2023</v>
      </c>
      <c r="F1977" s="3" t="str">
        <f>"Qtr"&amp; " " &amp;CHOOSE(MONTH(Table1[[#This Row],[Date]]),1,1,1,2,2,2,3,3,3,4,4,4)</f>
        <v>Qtr 2</v>
      </c>
      <c r="G1977" s="3" t="str">
        <f>TEXT(Table1[[#This Row],[Date]],"mmmm")</f>
        <v>April</v>
      </c>
      <c r="H1977" s="3" t="s">
        <v>1080</v>
      </c>
      <c r="I1977" s="3" t="s">
        <v>18</v>
      </c>
      <c r="J1977" s="3">
        <v>1</v>
      </c>
      <c r="K1977" s="3">
        <v>61128.86</v>
      </c>
      <c r="L1977" s="3">
        <f>Table1[[#This Row],[Price Per Unit]]*Table1[[#This Row],[Units Sold]]</f>
        <v>61128.86</v>
      </c>
      <c r="M1977" s="3" t="s">
        <v>903</v>
      </c>
      <c r="N1977" s="3">
        <v>48</v>
      </c>
      <c r="O1977" s="3" t="s">
        <v>52</v>
      </c>
      <c r="P1977" s="3" t="s">
        <v>45</v>
      </c>
      <c r="Q1977" s="4">
        <v>5</v>
      </c>
      <c r="R1977" s="4" t="str">
        <f>IF(Table1[[#This Row],[Customer Ratings]]&gt;=4, "Good",IF(Table1[[#This Row],[Customer Ratings]]=3, "Average","Poor"))</f>
        <v>Good</v>
      </c>
      <c r="S1977" s="3" t="s">
        <v>25</v>
      </c>
    </row>
    <row r="1978" spans="1:19" x14ac:dyDescent="0.25">
      <c r="A1978" s="3">
        <v>1977</v>
      </c>
      <c r="B1978" s="5">
        <f>DATE(Table1[[#This Row],[Year]],Table1[[#This Row],[Month]],Table1[[#This Row],[Day]])</f>
        <v>45040</v>
      </c>
      <c r="C1978" s="3">
        <v>24</v>
      </c>
      <c r="D1978" s="3">
        <v>4</v>
      </c>
      <c r="E1978" s="3">
        <v>2023</v>
      </c>
      <c r="F1978" s="3" t="str">
        <f>"Qtr"&amp; " " &amp;CHOOSE(MONTH(Table1[[#This Row],[Date]]),1,1,1,2,2,2,3,3,3,4,4,4)</f>
        <v>Qtr 2</v>
      </c>
      <c r="G1978" s="3" t="str">
        <f>TEXT(Table1[[#This Row],[Date]],"mmmm")</f>
        <v>April</v>
      </c>
      <c r="H1978" s="3" t="s">
        <v>1081</v>
      </c>
      <c r="I1978" s="3" t="s">
        <v>33</v>
      </c>
      <c r="J1978" s="3">
        <v>1</v>
      </c>
      <c r="K1978" s="3">
        <v>43551.15</v>
      </c>
      <c r="L1978" s="3">
        <f>Table1[[#This Row],[Price Per Unit]]*Table1[[#This Row],[Units Sold]]</f>
        <v>43551.15</v>
      </c>
      <c r="M1978" s="3" t="s">
        <v>888</v>
      </c>
      <c r="N1978" s="3">
        <v>29</v>
      </c>
      <c r="O1978" s="3" t="s">
        <v>20</v>
      </c>
      <c r="P1978" s="3" t="s">
        <v>16</v>
      </c>
      <c r="Q1978" s="4">
        <v>4</v>
      </c>
      <c r="R1978" s="4" t="str">
        <f>IF(Table1[[#This Row],[Customer Ratings]]&gt;=4, "Good",IF(Table1[[#This Row],[Customer Ratings]]=3, "Average","Poor"))</f>
        <v>Good</v>
      </c>
      <c r="S1978" s="3" t="s">
        <v>46</v>
      </c>
    </row>
    <row r="1979" spans="1:19" x14ac:dyDescent="0.25">
      <c r="A1979" s="3">
        <v>1978</v>
      </c>
      <c r="B1979" s="5">
        <f>DATE(Table1[[#This Row],[Year]],Table1[[#This Row],[Month]],Table1[[#This Row],[Day]])</f>
        <v>45040</v>
      </c>
      <c r="C1979" s="3">
        <v>24</v>
      </c>
      <c r="D1979" s="3">
        <v>4</v>
      </c>
      <c r="E1979" s="3">
        <v>2023</v>
      </c>
      <c r="F1979" s="3" t="str">
        <f>"Qtr"&amp; " " &amp;CHOOSE(MONTH(Table1[[#This Row],[Date]]),1,1,1,2,2,2,3,3,3,4,4,4)</f>
        <v>Qtr 2</v>
      </c>
      <c r="G1979" s="3" t="str">
        <f>TEXT(Table1[[#This Row],[Date]],"mmmm")</f>
        <v>April</v>
      </c>
      <c r="H1979" s="3" t="s">
        <v>1081</v>
      </c>
      <c r="I1979" s="3" t="s">
        <v>39</v>
      </c>
      <c r="J1979" s="3">
        <v>9</v>
      </c>
      <c r="K1979" s="3">
        <v>41927.96</v>
      </c>
      <c r="L1979" s="3">
        <f>Table1[[#This Row],[Price Per Unit]]*Table1[[#This Row],[Units Sold]]</f>
        <v>377351.64</v>
      </c>
      <c r="M1979" s="3" t="s">
        <v>782</v>
      </c>
      <c r="N1979" s="3">
        <v>26</v>
      </c>
      <c r="O1979" s="3" t="s">
        <v>20</v>
      </c>
      <c r="P1979" s="3" t="s">
        <v>31</v>
      </c>
      <c r="Q1979" s="4">
        <v>5</v>
      </c>
      <c r="R1979" s="4" t="str">
        <f>IF(Table1[[#This Row],[Customer Ratings]]&gt;=4, "Good",IF(Table1[[#This Row],[Customer Ratings]]=3, "Average","Poor"))</f>
        <v>Good</v>
      </c>
      <c r="S1979" s="3" t="s">
        <v>76</v>
      </c>
    </row>
    <row r="1980" spans="1:19" x14ac:dyDescent="0.25">
      <c r="A1980" s="3">
        <v>1979</v>
      </c>
      <c r="B1980" s="5">
        <f>DATE(Table1[[#This Row],[Year]],Table1[[#This Row],[Month]],Table1[[#This Row],[Day]])</f>
        <v>45040</v>
      </c>
      <c r="C1980" s="3">
        <v>24</v>
      </c>
      <c r="D1980" s="3">
        <v>4</v>
      </c>
      <c r="E1980" s="3">
        <v>2023</v>
      </c>
      <c r="F1980" s="3" t="str">
        <f>"Qtr"&amp; " " &amp;CHOOSE(MONTH(Table1[[#This Row],[Date]]),1,1,1,2,2,2,3,3,3,4,4,4)</f>
        <v>Qtr 2</v>
      </c>
      <c r="G1980" s="3" t="str">
        <f>TEXT(Table1[[#This Row],[Date]],"mmmm")</f>
        <v>April</v>
      </c>
      <c r="H1980" s="3" t="s">
        <v>1081</v>
      </c>
      <c r="I1980" s="3" t="s">
        <v>39</v>
      </c>
      <c r="J1980" s="3">
        <v>8</v>
      </c>
      <c r="K1980" s="3">
        <v>34138.57</v>
      </c>
      <c r="L1980" s="3">
        <f>Table1[[#This Row],[Price Per Unit]]*Table1[[#This Row],[Units Sold]]</f>
        <v>273108.56</v>
      </c>
      <c r="M1980" s="3" t="s">
        <v>495</v>
      </c>
      <c r="N1980" s="3">
        <v>54</v>
      </c>
      <c r="O1980" s="3" t="s">
        <v>15</v>
      </c>
      <c r="P1980" s="3" t="s">
        <v>16</v>
      </c>
      <c r="Q1980" s="4">
        <v>5</v>
      </c>
      <c r="R1980" s="4" t="str">
        <f>IF(Table1[[#This Row],[Customer Ratings]]&gt;=4, "Good",IF(Table1[[#This Row],[Customer Ratings]]=3, "Average","Poor"))</f>
        <v>Good</v>
      </c>
      <c r="S1980" s="3" t="s">
        <v>42</v>
      </c>
    </row>
    <row r="1981" spans="1:19" x14ac:dyDescent="0.25">
      <c r="A1981" s="3">
        <v>1980</v>
      </c>
      <c r="B1981" s="5">
        <f>DATE(Table1[[#This Row],[Year]],Table1[[#This Row],[Month]],Table1[[#This Row],[Day]])</f>
        <v>45041</v>
      </c>
      <c r="C1981" s="3">
        <v>25</v>
      </c>
      <c r="D1981" s="3">
        <v>4</v>
      </c>
      <c r="E1981" s="3">
        <v>2023</v>
      </c>
      <c r="F1981" s="3" t="str">
        <f>"Qtr"&amp; " " &amp;CHOOSE(MONTH(Table1[[#This Row],[Date]]),1,1,1,2,2,2,3,3,3,4,4,4)</f>
        <v>Qtr 2</v>
      </c>
      <c r="G1981" s="3" t="str">
        <f>TEXT(Table1[[#This Row],[Date]],"mmmm")</f>
        <v>April</v>
      </c>
      <c r="H1981" s="3" t="s">
        <v>1082</v>
      </c>
      <c r="I1981" s="3" t="s">
        <v>39</v>
      </c>
      <c r="J1981" s="3">
        <v>3</v>
      </c>
      <c r="K1981" s="3">
        <v>19695.88</v>
      </c>
      <c r="L1981" s="3">
        <f>Table1[[#This Row],[Price Per Unit]]*Table1[[#This Row],[Units Sold]]</f>
        <v>59087.64</v>
      </c>
      <c r="M1981" s="3" t="s">
        <v>884</v>
      </c>
      <c r="N1981" s="3">
        <v>26</v>
      </c>
      <c r="O1981" s="3" t="s">
        <v>78</v>
      </c>
      <c r="P1981" s="3" t="s">
        <v>45</v>
      </c>
      <c r="Q1981" s="4">
        <v>5</v>
      </c>
      <c r="R1981" s="4" t="str">
        <f>IF(Table1[[#This Row],[Customer Ratings]]&gt;=4, "Good",IF(Table1[[#This Row],[Customer Ratings]]=3, "Average","Poor"))</f>
        <v>Good</v>
      </c>
      <c r="S1981" s="3" t="s">
        <v>42</v>
      </c>
    </row>
    <row r="1982" spans="1:19" x14ac:dyDescent="0.25">
      <c r="A1982" s="3">
        <v>1981</v>
      </c>
      <c r="B1982" s="5">
        <f>DATE(Table1[[#This Row],[Year]],Table1[[#This Row],[Month]],Table1[[#This Row],[Day]])</f>
        <v>45041</v>
      </c>
      <c r="C1982" s="3">
        <v>25</v>
      </c>
      <c r="D1982" s="3">
        <v>4</v>
      </c>
      <c r="E1982" s="3">
        <v>2023</v>
      </c>
      <c r="F1982" s="3" t="str">
        <f>"Qtr"&amp; " " &amp;CHOOSE(MONTH(Table1[[#This Row],[Date]]),1,1,1,2,2,2,3,3,3,4,4,4)</f>
        <v>Qtr 2</v>
      </c>
      <c r="G1982" s="3" t="str">
        <f>TEXT(Table1[[#This Row],[Date]],"mmmm")</f>
        <v>April</v>
      </c>
      <c r="H1982" s="3" t="s">
        <v>1082</v>
      </c>
      <c r="I1982" s="3" t="s">
        <v>39</v>
      </c>
      <c r="J1982" s="3">
        <v>6</v>
      </c>
      <c r="K1982" s="3">
        <v>17101.25</v>
      </c>
      <c r="L1982" s="3">
        <f>Table1[[#This Row],[Price Per Unit]]*Table1[[#This Row],[Units Sold]]</f>
        <v>102607.5</v>
      </c>
      <c r="M1982" s="3" t="s">
        <v>57</v>
      </c>
      <c r="N1982" s="3">
        <v>35</v>
      </c>
      <c r="O1982" s="3" t="s">
        <v>20</v>
      </c>
      <c r="P1982" s="3" t="s">
        <v>16</v>
      </c>
      <c r="Q1982" s="4">
        <v>5</v>
      </c>
      <c r="R1982" s="4" t="str">
        <f>IF(Table1[[#This Row],[Customer Ratings]]&gt;=4, "Good",IF(Table1[[#This Row],[Customer Ratings]]=3, "Average","Poor"))</f>
        <v>Good</v>
      </c>
      <c r="S1982" s="3" t="s">
        <v>76</v>
      </c>
    </row>
    <row r="1983" spans="1:19" x14ac:dyDescent="0.25">
      <c r="A1983" s="3">
        <v>1982</v>
      </c>
      <c r="B1983" s="5">
        <f>DATE(Table1[[#This Row],[Year]],Table1[[#This Row],[Month]],Table1[[#This Row],[Day]])</f>
        <v>45041</v>
      </c>
      <c r="C1983" s="3">
        <v>25</v>
      </c>
      <c r="D1983" s="3">
        <v>4</v>
      </c>
      <c r="E1983" s="3">
        <v>2023</v>
      </c>
      <c r="F1983" s="3" t="str">
        <f>"Qtr"&amp; " " &amp;CHOOSE(MONTH(Table1[[#This Row],[Date]]),1,1,1,2,2,2,3,3,3,4,4,4)</f>
        <v>Qtr 2</v>
      </c>
      <c r="G1983" s="3" t="str">
        <f>TEXT(Table1[[#This Row],[Date]],"mmmm")</f>
        <v>April</v>
      </c>
      <c r="H1983" s="3" t="s">
        <v>1082</v>
      </c>
      <c r="I1983" s="3" t="s">
        <v>13</v>
      </c>
      <c r="J1983" s="3">
        <v>3</v>
      </c>
      <c r="K1983" s="3">
        <v>55640.79</v>
      </c>
      <c r="L1983" s="3">
        <f>Table1[[#This Row],[Price Per Unit]]*Table1[[#This Row],[Units Sold]]</f>
        <v>166922.37</v>
      </c>
      <c r="M1983" s="3" t="s">
        <v>179</v>
      </c>
      <c r="N1983" s="3">
        <v>47</v>
      </c>
      <c r="O1983" s="3" t="s">
        <v>20</v>
      </c>
      <c r="P1983" s="3" t="s">
        <v>45</v>
      </c>
      <c r="Q1983" s="4">
        <v>4</v>
      </c>
      <c r="R1983" s="4" t="str">
        <f>IF(Table1[[#This Row],[Customer Ratings]]&gt;=4, "Good",IF(Table1[[#This Row],[Customer Ratings]]=3, "Average","Poor"))</f>
        <v>Good</v>
      </c>
      <c r="S1983" s="3" t="s">
        <v>27</v>
      </c>
    </row>
    <row r="1984" spans="1:19" x14ac:dyDescent="0.25">
      <c r="A1984" s="3">
        <v>1983</v>
      </c>
      <c r="B1984" s="5">
        <f>DATE(Table1[[#This Row],[Year]],Table1[[#This Row],[Month]],Table1[[#This Row],[Day]])</f>
        <v>45042</v>
      </c>
      <c r="C1984" s="3">
        <v>26</v>
      </c>
      <c r="D1984" s="3">
        <v>4</v>
      </c>
      <c r="E1984" s="3">
        <v>2023</v>
      </c>
      <c r="F1984" s="3" t="str">
        <f>"Qtr"&amp; " " &amp;CHOOSE(MONTH(Table1[[#This Row],[Date]]),1,1,1,2,2,2,3,3,3,4,4,4)</f>
        <v>Qtr 2</v>
      </c>
      <c r="G1984" s="3" t="str">
        <f>TEXT(Table1[[#This Row],[Date]],"mmmm")</f>
        <v>April</v>
      </c>
      <c r="H1984" s="3" t="s">
        <v>1083</v>
      </c>
      <c r="I1984" s="3" t="s">
        <v>28</v>
      </c>
      <c r="J1984" s="3">
        <v>4</v>
      </c>
      <c r="K1984" s="3">
        <v>65650.210000000006</v>
      </c>
      <c r="L1984" s="3">
        <f>Table1[[#This Row],[Price Per Unit]]*Table1[[#This Row],[Units Sold]]</f>
        <v>262600.84000000003</v>
      </c>
      <c r="M1984" s="3" t="s">
        <v>332</v>
      </c>
      <c r="N1984" s="3">
        <v>49</v>
      </c>
      <c r="O1984" s="3" t="s">
        <v>98</v>
      </c>
      <c r="P1984" s="3" t="s">
        <v>45</v>
      </c>
      <c r="Q1984" s="4">
        <v>2</v>
      </c>
      <c r="R1984" s="4" t="str">
        <f>IF(Table1[[#This Row],[Customer Ratings]]&gt;=4, "Good",IF(Table1[[#This Row],[Customer Ratings]]=3, "Average","Poor"))</f>
        <v>Poor</v>
      </c>
      <c r="S1984" s="3" t="s">
        <v>32</v>
      </c>
    </row>
    <row r="1985" spans="1:19" x14ac:dyDescent="0.25">
      <c r="A1985" s="3">
        <v>1984</v>
      </c>
      <c r="B1985" s="5">
        <f>DATE(Table1[[#This Row],[Year]],Table1[[#This Row],[Month]],Table1[[#This Row],[Day]])</f>
        <v>45042</v>
      </c>
      <c r="C1985" s="3">
        <v>26</v>
      </c>
      <c r="D1985" s="3">
        <v>4</v>
      </c>
      <c r="E1985" s="3">
        <v>2023</v>
      </c>
      <c r="F1985" s="3" t="str">
        <f>"Qtr"&amp; " " &amp;CHOOSE(MONTH(Table1[[#This Row],[Date]]),1,1,1,2,2,2,3,3,3,4,4,4)</f>
        <v>Qtr 2</v>
      </c>
      <c r="G1985" s="3" t="str">
        <f>TEXT(Table1[[#This Row],[Date]],"mmmm")</f>
        <v>April</v>
      </c>
      <c r="H1985" s="3" t="s">
        <v>1083</v>
      </c>
      <c r="I1985" s="3" t="s">
        <v>28</v>
      </c>
      <c r="J1985" s="3">
        <v>1</v>
      </c>
      <c r="K1985" s="3">
        <v>37496.99</v>
      </c>
      <c r="L1985" s="3">
        <f>Table1[[#This Row],[Price Per Unit]]*Table1[[#This Row],[Units Sold]]</f>
        <v>37496.99</v>
      </c>
      <c r="M1985" s="3" t="s">
        <v>394</v>
      </c>
      <c r="N1985" s="3">
        <v>57</v>
      </c>
      <c r="O1985" s="3" t="s">
        <v>20</v>
      </c>
      <c r="P1985" s="3" t="s">
        <v>21</v>
      </c>
      <c r="Q1985" s="4">
        <v>1</v>
      </c>
      <c r="R1985" s="4" t="str">
        <f>IF(Table1[[#This Row],[Customer Ratings]]&gt;=4, "Good",IF(Table1[[#This Row],[Customer Ratings]]=3, "Average","Poor"))</f>
        <v>Poor</v>
      </c>
      <c r="S1985" s="3" t="s">
        <v>87</v>
      </c>
    </row>
    <row r="1986" spans="1:19" x14ac:dyDescent="0.25">
      <c r="A1986" s="3">
        <v>1985</v>
      </c>
      <c r="B1986" s="5">
        <f>DATE(Table1[[#This Row],[Year]],Table1[[#This Row],[Month]],Table1[[#This Row],[Day]])</f>
        <v>45042</v>
      </c>
      <c r="C1986" s="3">
        <v>26</v>
      </c>
      <c r="D1986" s="3">
        <v>4</v>
      </c>
      <c r="E1986" s="3">
        <v>2023</v>
      </c>
      <c r="F1986" s="3" t="str">
        <f>"Qtr"&amp; " " &amp;CHOOSE(MONTH(Table1[[#This Row],[Date]]),1,1,1,2,2,2,3,3,3,4,4,4)</f>
        <v>Qtr 2</v>
      </c>
      <c r="G1986" s="3" t="str">
        <f>TEXT(Table1[[#This Row],[Date]],"mmmm")</f>
        <v>April</v>
      </c>
      <c r="H1986" s="3" t="s">
        <v>1083</v>
      </c>
      <c r="I1986" s="3" t="s">
        <v>13</v>
      </c>
      <c r="J1986" s="3">
        <v>5</v>
      </c>
      <c r="K1986" s="3">
        <v>49566.74</v>
      </c>
      <c r="L1986" s="3">
        <f>Table1[[#This Row],[Price Per Unit]]*Table1[[#This Row],[Units Sold]]</f>
        <v>247833.69999999998</v>
      </c>
      <c r="M1986" s="3" t="s">
        <v>456</v>
      </c>
      <c r="N1986" s="3">
        <v>40</v>
      </c>
      <c r="O1986" s="3" t="s">
        <v>65</v>
      </c>
      <c r="P1986" s="3" t="s">
        <v>45</v>
      </c>
      <c r="Q1986" s="4">
        <v>4</v>
      </c>
      <c r="R1986" s="4" t="str">
        <f>IF(Table1[[#This Row],[Customer Ratings]]&gt;=4, "Good",IF(Table1[[#This Row],[Customer Ratings]]=3, "Average","Poor"))</f>
        <v>Good</v>
      </c>
      <c r="S1986" s="3" t="s">
        <v>27</v>
      </c>
    </row>
    <row r="1987" spans="1:19" x14ac:dyDescent="0.25">
      <c r="A1987" s="3">
        <v>1986</v>
      </c>
      <c r="B1987" s="5">
        <f>DATE(Table1[[#This Row],[Year]],Table1[[#This Row],[Month]],Table1[[#This Row],[Day]])</f>
        <v>45042</v>
      </c>
      <c r="C1987" s="3">
        <v>26</v>
      </c>
      <c r="D1987" s="3">
        <v>4</v>
      </c>
      <c r="E1987" s="3">
        <v>2023</v>
      </c>
      <c r="F1987" s="3" t="str">
        <f>"Qtr"&amp; " " &amp;CHOOSE(MONTH(Table1[[#This Row],[Date]]),1,1,1,2,2,2,3,3,3,4,4,4)</f>
        <v>Qtr 2</v>
      </c>
      <c r="G1987" s="3" t="str">
        <f>TEXT(Table1[[#This Row],[Date]],"mmmm")</f>
        <v>April</v>
      </c>
      <c r="H1987" s="3" t="s">
        <v>1083</v>
      </c>
      <c r="I1987" s="3" t="s">
        <v>18</v>
      </c>
      <c r="J1987" s="3">
        <v>1</v>
      </c>
      <c r="K1987" s="3">
        <v>64867.46</v>
      </c>
      <c r="L1987" s="3">
        <f>Table1[[#This Row],[Price Per Unit]]*Table1[[#This Row],[Units Sold]]</f>
        <v>64867.46</v>
      </c>
      <c r="M1987" s="3" t="s">
        <v>298</v>
      </c>
      <c r="N1987" s="3">
        <v>28</v>
      </c>
      <c r="O1987" s="3" t="s">
        <v>120</v>
      </c>
      <c r="P1987" s="3" t="s">
        <v>31</v>
      </c>
      <c r="Q1987" s="4">
        <v>4</v>
      </c>
      <c r="R1987" s="4" t="str">
        <f>IF(Table1[[#This Row],[Customer Ratings]]&gt;=4, "Good",IF(Table1[[#This Row],[Customer Ratings]]=3, "Average","Poor"))</f>
        <v>Good</v>
      </c>
      <c r="S1987" s="3" t="s">
        <v>22</v>
      </c>
    </row>
    <row r="1988" spans="1:19" x14ac:dyDescent="0.25">
      <c r="A1988" s="3">
        <v>1987</v>
      </c>
      <c r="B1988" s="5">
        <f>DATE(Table1[[#This Row],[Year]],Table1[[#This Row],[Month]],Table1[[#This Row],[Day]])</f>
        <v>45043</v>
      </c>
      <c r="C1988" s="3">
        <v>27</v>
      </c>
      <c r="D1988" s="3">
        <v>4</v>
      </c>
      <c r="E1988" s="3">
        <v>2023</v>
      </c>
      <c r="F1988" s="3" t="str">
        <f>"Qtr"&amp; " " &amp;CHOOSE(MONTH(Table1[[#This Row],[Date]]),1,1,1,2,2,2,3,3,3,4,4,4)</f>
        <v>Qtr 2</v>
      </c>
      <c r="G1988" s="3" t="str">
        <f>TEXT(Table1[[#This Row],[Date]],"mmmm")</f>
        <v>April</v>
      </c>
      <c r="H1988" s="3" t="s">
        <v>1084</v>
      </c>
      <c r="I1988" s="3" t="s">
        <v>18</v>
      </c>
      <c r="J1988" s="3">
        <v>1</v>
      </c>
      <c r="K1988" s="3">
        <v>15406.82</v>
      </c>
      <c r="L1988" s="3">
        <f>Table1[[#This Row],[Price Per Unit]]*Table1[[#This Row],[Units Sold]]</f>
        <v>15406.82</v>
      </c>
      <c r="M1988" s="3" t="s">
        <v>462</v>
      </c>
      <c r="N1988" s="3">
        <v>37</v>
      </c>
      <c r="O1988" s="3" t="s">
        <v>20</v>
      </c>
      <c r="P1988" s="3" t="s">
        <v>21</v>
      </c>
      <c r="Q1988" s="4">
        <v>4</v>
      </c>
      <c r="R1988" s="4" t="str">
        <f>IF(Table1[[#This Row],[Customer Ratings]]&gt;=4, "Good",IF(Table1[[#This Row],[Customer Ratings]]=3, "Average","Poor"))</f>
        <v>Good</v>
      </c>
      <c r="S1988" s="3" t="s">
        <v>25</v>
      </c>
    </row>
    <row r="1989" spans="1:19" x14ac:dyDescent="0.25">
      <c r="A1989" s="3">
        <v>1988</v>
      </c>
      <c r="B1989" s="5">
        <f>DATE(Table1[[#This Row],[Year]],Table1[[#This Row],[Month]],Table1[[#This Row],[Day]])</f>
        <v>45043</v>
      </c>
      <c r="C1989" s="3">
        <v>27</v>
      </c>
      <c r="D1989" s="3">
        <v>4</v>
      </c>
      <c r="E1989" s="3">
        <v>2023</v>
      </c>
      <c r="F1989" s="3" t="str">
        <f>"Qtr"&amp; " " &amp;CHOOSE(MONTH(Table1[[#This Row],[Date]]),1,1,1,2,2,2,3,3,3,4,4,4)</f>
        <v>Qtr 2</v>
      </c>
      <c r="G1989" s="3" t="str">
        <f>TEXT(Table1[[#This Row],[Date]],"mmmm")</f>
        <v>April</v>
      </c>
      <c r="H1989" s="3" t="s">
        <v>1084</v>
      </c>
      <c r="I1989" s="3" t="s">
        <v>39</v>
      </c>
      <c r="J1989" s="3">
        <v>7</v>
      </c>
      <c r="K1989" s="3">
        <v>56228.89</v>
      </c>
      <c r="L1989" s="3">
        <f>Table1[[#This Row],[Price Per Unit]]*Table1[[#This Row],[Units Sold]]</f>
        <v>393602.23</v>
      </c>
      <c r="M1989" s="3" t="s">
        <v>288</v>
      </c>
      <c r="N1989" s="3">
        <v>36</v>
      </c>
      <c r="O1989" s="3" t="s">
        <v>24</v>
      </c>
      <c r="P1989" s="3" t="s">
        <v>31</v>
      </c>
      <c r="Q1989" s="4">
        <v>1</v>
      </c>
      <c r="R1989" s="4" t="str">
        <f>IF(Table1[[#This Row],[Customer Ratings]]&gt;=4, "Good",IF(Table1[[#This Row],[Customer Ratings]]=3, "Average","Poor"))</f>
        <v>Poor</v>
      </c>
      <c r="S1989" s="3" t="s">
        <v>42</v>
      </c>
    </row>
    <row r="1990" spans="1:19" x14ac:dyDescent="0.25">
      <c r="A1990" s="3">
        <v>1989</v>
      </c>
      <c r="B1990" s="5">
        <f>DATE(Table1[[#This Row],[Year]],Table1[[#This Row],[Month]],Table1[[#This Row],[Day]])</f>
        <v>45043</v>
      </c>
      <c r="C1990" s="3">
        <v>27</v>
      </c>
      <c r="D1990" s="3">
        <v>4</v>
      </c>
      <c r="E1990" s="3">
        <v>2023</v>
      </c>
      <c r="F1990" s="3" t="str">
        <f>"Qtr"&amp; " " &amp;CHOOSE(MONTH(Table1[[#This Row],[Date]]),1,1,1,2,2,2,3,3,3,4,4,4)</f>
        <v>Qtr 2</v>
      </c>
      <c r="G1990" s="3" t="str">
        <f>TEXT(Table1[[#This Row],[Date]],"mmmm")</f>
        <v>April</v>
      </c>
      <c r="H1990" s="3" t="s">
        <v>1084</v>
      </c>
      <c r="I1990" s="3" t="s">
        <v>33</v>
      </c>
      <c r="J1990" s="3">
        <v>6</v>
      </c>
      <c r="K1990" s="3">
        <v>47009.01</v>
      </c>
      <c r="L1990" s="3">
        <f>Table1[[#This Row],[Price Per Unit]]*Table1[[#This Row],[Units Sold]]</f>
        <v>282054.06</v>
      </c>
      <c r="M1990" s="3" t="s">
        <v>547</v>
      </c>
      <c r="N1990" s="3">
        <v>53</v>
      </c>
      <c r="O1990" s="3" t="s">
        <v>81</v>
      </c>
      <c r="P1990" s="3" t="s">
        <v>45</v>
      </c>
      <c r="Q1990" s="4">
        <v>2</v>
      </c>
      <c r="R1990" s="4" t="str">
        <f>IF(Table1[[#This Row],[Customer Ratings]]&gt;=4, "Good",IF(Table1[[#This Row],[Customer Ratings]]=3, "Average","Poor"))</f>
        <v>Poor</v>
      </c>
      <c r="S1990" s="3" t="s">
        <v>46</v>
      </c>
    </row>
    <row r="1991" spans="1:19" x14ac:dyDescent="0.25">
      <c r="A1991" s="3">
        <v>1990</v>
      </c>
      <c r="B1991" s="5">
        <f>DATE(Table1[[#This Row],[Year]],Table1[[#This Row],[Month]],Table1[[#This Row],[Day]])</f>
        <v>45043</v>
      </c>
      <c r="C1991" s="3">
        <v>27</v>
      </c>
      <c r="D1991" s="3">
        <v>4</v>
      </c>
      <c r="E1991" s="3">
        <v>2023</v>
      </c>
      <c r="F1991" s="3" t="str">
        <f>"Qtr"&amp; " " &amp;CHOOSE(MONTH(Table1[[#This Row],[Date]]),1,1,1,2,2,2,3,3,3,4,4,4)</f>
        <v>Qtr 2</v>
      </c>
      <c r="G1991" s="3" t="str">
        <f>TEXT(Table1[[#This Row],[Date]],"mmmm")</f>
        <v>April</v>
      </c>
      <c r="H1991" s="3" t="s">
        <v>1084</v>
      </c>
      <c r="I1991" s="3" t="s">
        <v>18</v>
      </c>
      <c r="J1991" s="3">
        <v>2</v>
      </c>
      <c r="K1991" s="3">
        <v>45918.23</v>
      </c>
      <c r="L1991" s="3">
        <f>Table1[[#This Row],[Price Per Unit]]*Table1[[#This Row],[Units Sold]]</f>
        <v>91836.46</v>
      </c>
      <c r="M1991" s="3" t="s">
        <v>930</v>
      </c>
      <c r="N1991" s="3">
        <v>43</v>
      </c>
      <c r="O1991" s="3" t="s">
        <v>20</v>
      </c>
      <c r="P1991" s="3" t="s">
        <v>16</v>
      </c>
      <c r="Q1991" s="4">
        <v>2</v>
      </c>
      <c r="R1991" s="4" t="str">
        <f>IF(Table1[[#This Row],[Customer Ratings]]&gt;=4, "Good",IF(Table1[[#This Row],[Customer Ratings]]=3, "Average","Poor"))</f>
        <v>Poor</v>
      </c>
      <c r="S1991" s="3" t="s">
        <v>22</v>
      </c>
    </row>
    <row r="1992" spans="1:19" x14ac:dyDescent="0.25">
      <c r="A1992" s="3">
        <v>1991</v>
      </c>
      <c r="B1992" s="5">
        <f>DATE(Table1[[#This Row],[Year]],Table1[[#This Row],[Month]],Table1[[#This Row],[Day]])</f>
        <v>45044</v>
      </c>
      <c r="C1992" s="3">
        <v>28</v>
      </c>
      <c r="D1992" s="3">
        <v>4</v>
      </c>
      <c r="E1992" s="3">
        <v>2023</v>
      </c>
      <c r="F1992" s="3" t="str">
        <f>"Qtr"&amp; " " &amp;CHOOSE(MONTH(Table1[[#This Row],[Date]]),1,1,1,2,2,2,3,3,3,4,4,4)</f>
        <v>Qtr 2</v>
      </c>
      <c r="G1992" s="3" t="str">
        <f>TEXT(Table1[[#This Row],[Date]],"mmmm")</f>
        <v>April</v>
      </c>
      <c r="H1992" s="3" t="s">
        <v>1085</v>
      </c>
      <c r="I1992" s="3" t="s">
        <v>33</v>
      </c>
      <c r="J1992" s="3">
        <v>2</v>
      </c>
      <c r="K1992" s="3">
        <v>27552.43</v>
      </c>
      <c r="L1992" s="3">
        <f>Table1[[#This Row],[Price Per Unit]]*Table1[[#This Row],[Units Sold]]</f>
        <v>55104.86</v>
      </c>
      <c r="M1992" s="3" t="s">
        <v>438</v>
      </c>
      <c r="N1992" s="3">
        <v>27</v>
      </c>
      <c r="O1992" s="3" t="s">
        <v>20</v>
      </c>
      <c r="P1992" s="3" t="s">
        <v>45</v>
      </c>
      <c r="Q1992" s="4">
        <v>4</v>
      </c>
      <c r="R1992" s="4" t="str">
        <f>IF(Table1[[#This Row],[Customer Ratings]]&gt;=4, "Good",IF(Table1[[#This Row],[Customer Ratings]]=3, "Average","Poor"))</f>
        <v>Good</v>
      </c>
      <c r="S1992" s="3" t="s">
        <v>46</v>
      </c>
    </row>
    <row r="1993" spans="1:19" x14ac:dyDescent="0.25">
      <c r="A1993" s="3">
        <v>1992</v>
      </c>
      <c r="B1993" s="5">
        <f>DATE(Table1[[#This Row],[Year]],Table1[[#This Row],[Month]],Table1[[#This Row],[Day]])</f>
        <v>45044</v>
      </c>
      <c r="C1993" s="3">
        <v>28</v>
      </c>
      <c r="D1993" s="3">
        <v>4</v>
      </c>
      <c r="E1993" s="3">
        <v>2023</v>
      </c>
      <c r="F1993" s="3" t="str">
        <f>"Qtr"&amp; " " &amp;CHOOSE(MONTH(Table1[[#This Row],[Date]]),1,1,1,2,2,2,3,3,3,4,4,4)</f>
        <v>Qtr 2</v>
      </c>
      <c r="G1993" s="3" t="str">
        <f>TEXT(Table1[[#This Row],[Date]],"mmmm")</f>
        <v>April</v>
      </c>
      <c r="H1993" s="3" t="s">
        <v>1085</v>
      </c>
      <c r="I1993" s="3" t="s">
        <v>28</v>
      </c>
      <c r="J1993" s="3">
        <v>7</v>
      </c>
      <c r="K1993" s="3">
        <v>51033.599999999999</v>
      </c>
      <c r="L1993" s="3">
        <f>Table1[[#This Row],[Price Per Unit]]*Table1[[#This Row],[Units Sold]]</f>
        <v>357235.20000000001</v>
      </c>
      <c r="M1993" s="3" t="s">
        <v>842</v>
      </c>
      <c r="N1993" s="3">
        <v>41</v>
      </c>
      <c r="O1993" s="3" t="s">
        <v>20</v>
      </c>
      <c r="P1993" s="3" t="s">
        <v>45</v>
      </c>
      <c r="Q1993" s="4">
        <v>4</v>
      </c>
      <c r="R1993" s="4" t="str">
        <f>IF(Table1[[#This Row],[Customer Ratings]]&gt;=4, "Good",IF(Table1[[#This Row],[Customer Ratings]]=3, "Average","Poor"))</f>
        <v>Good</v>
      </c>
      <c r="S1993" s="3" t="s">
        <v>87</v>
      </c>
    </row>
    <row r="1994" spans="1:19" x14ac:dyDescent="0.25">
      <c r="A1994" s="3">
        <v>1993</v>
      </c>
      <c r="B1994" s="5">
        <f>DATE(Table1[[#This Row],[Year]],Table1[[#This Row],[Month]],Table1[[#This Row],[Day]])</f>
        <v>45044</v>
      </c>
      <c r="C1994" s="3">
        <v>28</v>
      </c>
      <c r="D1994" s="3">
        <v>4</v>
      </c>
      <c r="E1994" s="3">
        <v>2023</v>
      </c>
      <c r="F1994" s="3" t="str">
        <f>"Qtr"&amp; " " &amp;CHOOSE(MONTH(Table1[[#This Row],[Date]]),1,1,1,2,2,2,3,3,3,4,4,4)</f>
        <v>Qtr 2</v>
      </c>
      <c r="G1994" s="3" t="str">
        <f>TEXT(Table1[[#This Row],[Date]],"mmmm")</f>
        <v>April</v>
      </c>
      <c r="H1994" s="3" t="s">
        <v>1085</v>
      </c>
      <c r="I1994" s="3" t="s">
        <v>33</v>
      </c>
      <c r="J1994" s="3">
        <v>1</v>
      </c>
      <c r="K1994" s="3">
        <v>57687.87</v>
      </c>
      <c r="L1994" s="3">
        <f>Table1[[#This Row],[Price Per Unit]]*Table1[[#This Row],[Units Sold]]</f>
        <v>57687.87</v>
      </c>
      <c r="M1994" s="3" t="s">
        <v>402</v>
      </c>
      <c r="N1994" s="3">
        <v>30</v>
      </c>
      <c r="O1994" s="3" t="s">
        <v>54</v>
      </c>
      <c r="P1994" s="3" t="s">
        <v>16</v>
      </c>
      <c r="Q1994" s="4">
        <v>4</v>
      </c>
      <c r="R1994" s="4" t="str">
        <f>IF(Table1[[#This Row],[Customer Ratings]]&gt;=4, "Good",IF(Table1[[#This Row],[Customer Ratings]]=3, "Average","Poor"))</f>
        <v>Good</v>
      </c>
      <c r="S1994" s="3" t="s">
        <v>46</v>
      </c>
    </row>
    <row r="1995" spans="1:19" x14ac:dyDescent="0.25">
      <c r="A1995" s="3">
        <v>1994</v>
      </c>
      <c r="B1995" s="5">
        <f>DATE(Table1[[#This Row],[Year]],Table1[[#This Row],[Month]],Table1[[#This Row],[Day]])</f>
        <v>45044</v>
      </c>
      <c r="C1995" s="3">
        <v>28</v>
      </c>
      <c r="D1995" s="3">
        <v>4</v>
      </c>
      <c r="E1995" s="3">
        <v>2023</v>
      </c>
      <c r="F1995" s="3" t="str">
        <f>"Qtr"&amp; " " &amp;CHOOSE(MONTH(Table1[[#This Row],[Date]]),1,1,1,2,2,2,3,3,3,4,4,4)</f>
        <v>Qtr 2</v>
      </c>
      <c r="G1995" s="3" t="str">
        <f>TEXT(Table1[[#This Row],[Date]],"mmmm")</f>
        <v>April</v>
      </c>
      <c r="H1995" s="3" t="s">
        <v>1085</v>
      </c>
      <c r="I1995" s="3" t="s">
        <v>28</v>
      </c>
      <c r="J1995" s="3">
        <v>2</v>
      </c>
      <c r="K1995" s="3">
        <v>16771.490000000002</v>
      </c>
      <c r="L1995" s="3">
        <f>Table1[[#This Row],[Price Per Unit]]*Table1[[#This Row],[Units Sold]]</f>
        <v>33542.980000000003</v>
      </c>
      <c r="M1995" s="3" t="s">
        <v>931</v>
      </c>
      <c r="N1995" s="3">
        <v>51</v>
      </c>
      <c r="O1995" s="3" t="s">
        <v>20</v>
      </c>
      <c r="P1995" s="3" t="s">
        <v>16</v>
      </c>
      <c r="Q1995" s="4">
        <v>2</v>
      </c>
      <c r="R1995" s="4" t="str">
        <f>IF(Table1[[#This Row],[Customer Ratings]]&gt;=4, "Good",IF(Table1[[#This Row],[Customer Ratings]]=3, "Average","Poor"))</f>
        <v>Poor</v>
      </c>
      <c r="S1995" s="3" t="s">
        <v>38</v>
      </c>
    </row>
    <row r="1996" spans="1:19" x14ac:dyDescent="0.25">
      <c r="A1996" s="3">
        <v>1995</v>
      </c>
      <c r="B1996" s="5">
        <f>DATE(Table1[[#This Row],[Year]],Table1[[#This Row],[Month]],Table1[[#This Row],[Day]])</f>
        <v>45045</v>
      </c>
      <c r="C1996" s="3">
        <v>29</v>
      </c>
      <c r="D1996" s="3">
        <v>4</v>
      </c>
      <c r="E1996" s="3">
        <v>2023</v>
      </c>
      <c r="F1996" s="3" t="str">
        <f>"Qtr"&amp; " " &amp;CHOOSE(MONTH(Table1[[#This Row],[Date]]),1,1,1,2,2,2,3,3,3,4,4,4)</f>
        <v>Qtr 2</v>
      </c>
      <c r="G1996" s="3" t="str">
        <f>TEXT(Table1[[#This Row],[Date]],"mmmm")</f>
        <v>April</v>
      </c>
      <c r="H1996" s="3" t="s">
        <v>1079</v>
      </c>
      <c r="I1996" s="3" t="s">
        <v>13</v>
      </c>
      <c r="J1996" s="3">
        <v>8</v>
      </c>
      <c r="K1996" s="3">
        <v>42011.29</v>
      </c>
      <c r="L1996" s="3">
        <f>Table1[[#This Row],[Price Per Unit]]*Table1[[#This Row],[Units Sold]]</f>
        <v>336090.32</v>
      </c>
      <c r="M1996" s="3" t="s">
        <v>435</v>
      </c>
      <c r="N1996" s="3">
        <v>46</v>
      </c>
      <c r="O1996" s="3" t="s">
        <v>58</v>
      </c>
      <c r="P1996" s="3" t="s">
        <v>31</v>
      </c>
      <c r="Q1996" s="4">
        <v>2</v>
      </c>
      <c r="R1996" s="4" t="str">
        <f>IF(Table1[[#This Row],[Customer Ratings]]&gt;=4, "Good",IF(Table1[[#This Row],[Customer Ratings]]=3, "Average","Poor"))</f>
        <v>Poor</v>
      </c>
      <c r="S1996" s="3" t="s">
        <v>17</v>
      </c>
    </row>
    <row r="1997" spans="1:19" x14ac:dyDescent="0.25">
      <c r="A1997" s="3">
        <v>1996</v>
      </c>
      <c r="B1997" s="5">
        <f>DATE(Table1[[#This Row],[Year]],Table1[[#This Row],[Month]],Table1[[#This Row],[Day]])</f>
        <v>45045</v>
      </c>
      <c r="C1997" s="3">
        <v>29</v>
      </c>
      <c r="D1997" s="3">
        <v>4</v>
      </c>
      <c r="E1997" s="3">
        <v>2023</v>
      </c>
      <c r="F1997" s="3" t="str">
        <f>"Qtr"&amp; " " &amp;CHOOSE(MONTH(Table1[[#This Row],[Date]]),1,1,1,2,2,2,3,3,3,4,4,4)</f>
        <v>Qtr 2</v>
      </c>
      <c r="G1997" s="3" t="str">
        <f>TEXT(Table1[[#This Row],[Date]],"mmmm")</f>
        <v>April</v>
      </c>
      <c r="H1997" s="3" t="s">
        <v>1079</v>
      </c>
      <c r="I1997" s="3" t="s">
        <v>13</v>
      </c>
      <c r="J1997" s="3">
        <v>6</v>
      </c>
      <c r="K1997" s="3">
        <v>16075.91</v>
      </c>
      <c r="L1997" s="3">
        <f>Table1[[#This Row],[Price Per Unit]]*Table1[[#This Row],[Units Sold]]</f>
        <v>96455.459999999992</v>
      </c>
      <c r="M1997" s="3" t="s">
        <v>156</v>
      </c>
      <c r="N1997" s="3">
        <v>53</v>
      </c>
      <c r="O1997" s="3" t="s">
        <v>58</v>
      </c>
      <c r="P1997" s="3" t="s">
        <v>21</v>
      </c>
      <c r="Q1997" s="4">
        <v>2</v>
      </c>
      <c r="R1997" s="4" t="str">
        <f>IF(Table1[[#This Row],[Customer Ratings]]&gt;=4, "Good",IF(Table1[[#This Row],[Customer Ratings]]=3, "Average","Poor"))</f>
        <v>Poor</v>
      </c>
      <c r="S1997" s="3" t="s">
        <v>17</v>
      </c>
    </row>
    <row r="1998" spans="1:19" x14ac:dyDescent="0.25">
      <c r="A1998" s="3">
        <v>1997</v>
      </c>
      <c r="B1998" s="5">
        <f>DATE(Table1[[#This Row],[Year]],Table1[[#This Row],[Month]],Table1[[#This Row],[Day]])</f>
        <v>45045</v>
      </c>
      <c r="C1998" s="3">
        <v>29</v>
      </c>
      <c r="D1998" s="3">
        <v>4</v>
      </c>
      <c r="E1998" s="3">
        <v>2023</v>
      </c>
      <c r="F1998" s="3" t="str">
        <f>"Qtr"&amp; " " &amp;CHOOSE(MONTH(Table1[[#This Row],[Date]]),1,1,1,2,2,2,3,3,3,4,4,4)</f>
        <v>Qtr 2</v>
      </c>
      <c r="G1998" s="3" t="str">
        <f>TEXT(Table1[[#This Row],[Date]],"mmmm")</f>
        <v>April</v>
      </c>
      <c r="H1998" s="3" t="s">
        <v>1079</v>
      </c>
      <c r="I1998" s="3" t="s">
        <v>39</v>
      </c>
      <c r="J1998" s="3">
        <v>2</v>
      </c>
      <c r="K1998" s="3">
        <v>62354.44</v>
      </c>
      <c r="L1998" s="3">
        <f>Table1[[#This Row],[Price Per Unit]]*Table1[[#This Row],[Units Sold]]</f>
        <v>124708.88</v>
      </c>
      <c r="M1998" s="3" t="s">
        <v>591</v>
      </c>
      <c r="N1998" s="3">
        <v>24</v>
      </c>
      <c r="O1998" s="3" t="s">
        <v>24</v>
      </c>
      <c r="P1998" s="3" t="s">
        <v>21</v>
      </c>
      <c r="Q1998" s="4">
        <v>4</v>
      </c>
      <c r="R1998" s="4" t="str">
        <f>IF(Table1[[#This Row],[Customer Ratings]]&gt;=4, "Good",IF(Table1[[#This Row],[Customer Ratings]]=3, "Average","Poor"))</f>
        <v>Good</v>
      </c>
      <c r="S1998" s="3" t="s">
        <v>90</v>
      </c>
    </row>
    <row r="1999" spans="1:19" x14ac:dyDescent="0.25">
      <c r="A1999" s="3">
        <v>1998</v>
      </c>
      <c r="B1999" s="5">
        <f>DATE(Table1[[#This Row],[Year]],Table1[[#This Row],[Month]],Table1[[#This Row],[Day]])</f>
        <v>45045</v>
      </c>
      <c r="C1999" s="3">
        <v>29</v>
      </c>
      <c r="D1999" s="3">
        <v>4</v>
      </c>
      <c r="E1999" s="3">
        <v>2023</v>
      </c>
      <c r="F1999" s="3" t="str">
        <f>"Qtr"&amp; " " &amp;CHOOSE(MONTH(Table1[[#This Row],[Date]]),1,1,1,2,2,2,3,3,3,4,4,4)</f>
        <v>Qtr 2</v>
      </c>
      <c r="G1999" s="3" t="str">
        <f>TEXT(Table1[[#This Row],[Date]],"mmmm")</f>
        <v>April</v>
      </c>
      <c r="H1999" s="3" t="s">
        <v>1079</v>
      </c>
      <c r="I1999" s="3" t="s">
        <v>18</v>
      </c>
      <c r="J1999" s="3">
        <v>7</v>
      </c>
      <c r="K1999" s="3">
        <v>40458.199999999997</v>
      </c>
      <c r="L1999" s="3">
        <f>Table1[[#This Row],[Price Per Unit]]*Table1[[#This Row],[Units Sold]]</f>
        <v>283207.39999999997</v>
      </c>
      <c r="M1999" s="3" t="s">
        <v>302</v>
      </c>
      <c r="N1999" s="3">
        <v>47</v>
      </c>
      <c r="O1999" s="3" t="s">
        <v>137</v>
      </c>
      <c r="P1999" s="3" t="s">
        <v>21</v>
      </c>
      <c r="Q1999" s="4">
        <v>2</v>
      </c>
      <c r="R1999" s="4" t="str">
        <f>IF(Table1[[#This Row],[Customer Ratings]]&gt;=4, "Good",IF(Table1[[#This Row],[Customer Ratings]]=3, "Average","Poor"))</f>
        <v>Poor</v>
      </c>
      <c r="S1999" s="3" t="s">
        <v>22</v>
      </c>
    </row>
    <row r="2000" spans="1:19" x14ac:dyDescent="0.25">
      <c r="A2000" s="3">
        <v>1999</v>
      </c>
      <c r="B2000" s="5">
        <f>DATE(Table1[[#This Row],[Year]],Table1[[#This Row],[Month]],Table1[[#This Row],[Day]])</f>
        <v>45046</v>
      </c>
      <c r="C2000" s="3">
        <v>30</v>
      </c>
      <c r="D2000" s="3">
        <v>4</v>
      </c>
      <c r="E2000" s="3">
        <v>2023</v>
      </c>
      <c r="F2000" s="3" t="str">
        <f>"Qtr"&amp; " " &amp;CHOOSE(MONTH(Table1[[#This Row],[Date]]),1,1,1,2,2,2,3,3,3,4,4,4)</f>
        <v>Qtr 2</v>
      </c>
      <c r="G2000" s="3" t="str">
        <f>TEXT(Table1[[#This Row],[Date]],"mmmm")</f>
        <v>April</v>
      </c>
      <c r="H2000" s="3" t="s">
        <v>1080</v>
      </c>
      <c r="I2000" s="3" t="s">
        <v>39</v>
      </c>
      <c r="J2000" s="3">
        <v>4</v>
      </c>
      <c r="K2000" s="3">
        <v>58477.94</v>
      </c>
      <c r="L2000" s="3">
        <f>Table1[[#This Row],[Price Per Unit]]*Table1[[#This Row],[Units Sold]]</f>
        <v>233911.76</v>
      </c>
      <c r="M2000" s="3" t="s">
        <v>571</v>
      </c>
      <c r="N2000" s="3">
        <v>34</v>
      </c>
      <c r="O2000" s="3" t="s">
        <v>24</v>
      </c>
      <c r="P2000" s="3" t="s">
        <v>31</v>
      </c>
      <c r="Q2000" s="4">
        <v>5</v>
      </c>
      <c r="R2000" s="4" t="str">
        <f>IF(Table1[[#This Row],[Customer Ratings]]&gt;=4, "Good",IF(Table1[[#This Row],[Customer Ratings]]=3, "Average","Poor"))</f>
        <v>Good</v>
      </c>
      <c r="S2000" s="3" t="s">
        <v>90</v>
      </c>
    </row>
    <row r="2001" spans="1:19" x14ac:dyDescent="0.25">
      <c r="A2001" s="3">
        <v>2000</v>
      </c>
      <c r="B2001" s="5">
        <f>DATE(Table1[[#This Row],[Year]],Table1[[#This Row],[Month]],Table1[[#This Row],[Day]])</f>
        <v>45046</v>
      </c>
      <c r="C2001" s="3">
        <v>30</v>
      </c>
      <c r="D2001" s="3">
        <v>4</v>
      </c>
      <c r="E2001" s="3">
        <v>2023</v>
      </c>
      <c r="F2001" s="3" t="str">
        <f>"Qtr"&amp; " " &amp;CHOOSE(MONTH(Table1[[#This Row],[Date]]),1,1,1,2,2,2,3,3,3,4,4,4)</f>
        <v>Qtr 2</v>
      </c>
      <c r="G2001" s="3" t="str">
        <f>TEXT(Table1[[#This Row],[Date]],"mmmm")</f>
        <v>April</v>
      </c>
      <c r="H2001" s="3" t="s">
        <v>1080</v>
      </c>
      <c r="I2001" s="3" t="s">
        <v>28</v>
      </c>
      <c r="J2001" s="3">
        <v>2</v>
      </c>
      <c r="K2001" s="3">
        <v>32085.14</v>
      </c>
      <c r="L2001" s="3">
        <f>Table1[[#This Row],[Price Per Unit]]*Table1[[#This Row],[Units Sold]]</f>
        <v>64170.28</v>
      </c>
      <c r="M2001" s="3" t="s">
        <v>932</v>
      </c>
      <c r="N2001" s="3">
        <v>30</v>
      </c>
      <c r="O2001" s="3" t="s">
        <v>81</v>
      </c>
      <c r="P2001" s="3" t="s">
        <v>31</v>
      </c>
      <c r="Q2001" s="4">
        <v>4</v>
      </c>
      <c r="R2001" s="4" t="str">
        <f>IF(Table1[[#This Row],[Customer Ratings]]&gt;=4, "Good",IF(Table1[[#This Row],[Customer Ratings]]=3, "Average","Poor"))</f>
        <v>Good</v>
      </c>
      <c r="S2001" s="3" t="s">
        <v>38</v>
      </c>
    </row>
    <row r="2002" spans="1:19" x14ac:dyDescent="0.25">
      <c r="A2002" s="3">
        <v>2001</v>
      </c>
      <c r="B2002" s="5">
        <f>DATE(Table1[[#This Row],[Year]],Table1[[#This Row],[Month]],Table1[[#This Row],[Day]])</f>
        <v>45046</v>
      </c>
      <c r="C2002" s="3">
        <v>30</v>
      </c>
      <c r="D2002" s="3">
        <v>4</v>
      </c>
      <c r="E2002" s="3">
        <v>2023</v>
      </c>
      <c r="F2002" s="3" t="str">
        <f>"Qtr"&amp; " " &amp;CHOOSE(MONTH(Table1[[#This Row],[Date]]),1,1,1,2,2,2,3,3,3,4,4,4)</f>
        <v>Qtr 2</v>
      </c>
      <c r="G2002" s="3" t="str">
        <f>TEXT(Table1[[#This Row],[Date]],"mmmm")</f>
        <v>April</v>
      </c>
      <c r="H2002" s="3" t="s">
        <v>1080</v>
      </c>
      <c r="I2002" s="3" t="s">
        <v>39</v>
      </c>
      <c r="J2002" s="3">
        <v>6</v>
      </c>
      <c r="K2002" s="3">
        <v>17504.689999999999</v>
      </c>
      <c r="L2002" s="3">
        <f>Table1[[#This Row],[Price Per Unit]]*Table1[[#This Row],[Units Sold]]</f>
        <v>105028.13999999998</v>
      </c>
      <c r="M2002" s="3" t="s">
        <v>807</v>
      </c>
      <c r="N2002" s="3">
        <v>41</v>
      </c>
      <c r="O2002" s="3" t="s">
        <v>24</v>
      </c>
      <c r="P2002" s="3" t="s">
        <v>16</v>
      </c>
      <c r="Q2002" s="4">
        <v>4</v>
      </c>
      <c r="R2002" s="4" t="str">
        <f>IF(Table1[[#This Row],[Customer Ratings]]&gt;=4, "Good",IF(Table1[[#This Row],[Customer Ratings]]=3, "Average","Poor"))</f>
        <v>Good</v>
      </c>
      <c r="S2002" s="3" t="s">
        <v>90</v>
      </c>
    </row>
    <row r="2003" spans="1:19" x14ac:dyDescent="0.25">
      <c r="A2003" s="3">
        <v>2002</v>
      </c>
      <c r="B2003" s="5">
        <f>DATE(Table1[[#This Row],[Year]],Table1[[#This Row],[Month]],Table1[[#This Row],[Day]])</f>
        <v>45047</v>
      </c>
      <c r="C2003" s="3">
        <v>1</v>
      </c>
      <c r="D2003" s="3">
        <v>5</v>
      </c>
      <c r="E2003" s="3">
        <v>2023</v>
      </c>
      <c r="F2003" s="3" t="str">
        <f>"Qtr"&amp; " " &amp;CHOOSE(MONTH(Table1[[#This Row],[Date]]),1,1,1,2,2,2,3,3,3,4,4,4)</f>
        <v>Qtr 2</v>
      </c>
      <c r="G2003" s="3" t="str">
        <f>TEXT(Table1[[#This Row],[Date]],"mmmm")</f>
        <v>May</v>
      </c>
      <c r="H2003" s="3" t="s">
        <v>1081</v>
      </c>
      <c r="I2003" s="3" t="s">
        <v>33</v>
      </c>
      <c r="J2003" s="3">
        <v>9</v>
      </c>
      <c r="K2003" s="3">
        <v>12489.96</v>
      </c>
      <c r="L2003" s="3">
        <f>Table1[[#This Row],[Price Per Unit]]*Table1[[#This Row],[Units Sold]]</f>
        <v>112409.63999999998</v>
      </c>
      <c r="M2003" s="3" t="s">
        <v>794</v>
      </c>
      <c r="N2003" s="3">
        <v>48</v>
      </c>
      <c r="O2003" s="3" t="s">
        <v>120</v>
      </c>
      <c r="P2003" s="3" t="s">
        <v>21</v>
      </c>
      <c r="Q2003" s="4">
        <v>4</v>
      </c>
      <c r="R2003" s="4" t="str">
        <f>IF(Table1[[#This Row],[Customer Ratings]]&gt;=4, "Good",IF(Table1[[#This Row],[Customer Ratings]]=3, "Average","Poor"))</f>
        <v>Good</v>
      </c>
      <c r="S2003" s="3" t="s">
        <v>83</v>
      </c>
    </row>
    <row r="2004" spans="1:19" x14ac:dyDescent="0.25">
      <c r="A2004" s="3">
        <v>2003</v>
      </c>
      <c r="B2004" s="5">
        <f>DATE(Table1[[#This Row],[Year]],Table1[[#This Row],[Month]],Table1[[#This Row],[Day]])</f>
        <v>45047</v>
      </c>
      <c r="C2004" s="3">
        <v>1</v>
      </c>
      <c r="D2004" s="3">
        <v>5</v>
      </c>
      <c r="E2004" s="3">
        <v>2023</v>
      </c>
      <c r="F2004" s="3" t="str">
        <f>"Qtr"&amp; " " &amp;CHOOSE(MONTH(Table1[[#This Row],[Date]]),1,1,1,2,2,2,3,3,3,4,4,4)</f>
        <v>Qtr 2</v>
      </c>
      <c r="G2004" s="3" t="str">
        <f>TEXT(Table1[[#This Row],[Date]],"mmmm")</f>
        <v>May</v>
      </c>
      <c r="H2004" s="3" t="s">
        <v>1081</v>
      </c>
      <c r="I2004" s="3" t="s">
        <v>28</v>
      </c>
      <c r="J2004" s="3">
        <v>9</v>
      </c>
      <c r="K2004" s="3">
        <v>26890.58</v>
      </c>
      <c r="L2004" s="3">
        <f>Table1[[#This Row],[Price Per Unit]]*Table1[[#This Row],[Units Sold]]</f>
        <v>242015.22000000003</v>
      </c>
      <c r="M2004" s="3" t="s">
        <v>781</v>
      </c>
      <c r="N2004" s="3">
        <v>44</v>
      </c>
      <c r="O2004" s="3" t="s">
        <v>102</v>
      </c>
      <c r="P2004" s="3" t="s">
        <v>45</v>
      </c>
      <c r="Q2004" s="4">
        <v>4</v>
      </c>
      <c r="R2004" s="4" t="str">
        <f>IF(Table1[[#This Row],[Customer Ratings]]&gt;=4, "Good",IF(Table1[[#This Row],[Customer Ratings]]=3, "Average","Poor"))</f>
        <v>Good</v>
      </c>
      <c r="S2004" s="3" t="s">
        <v>87</v>
      </c>
    </row>
    <row r="2005" spans="1:19" x14ac:dyDescent="0.25">
      <c r="A2005" s="3">
        <v>2004</v>
      </c>
      <c r="B2005" s="5">
        <f>DATE(Table1[[#This Row],[Year]],Table1[[#This Row],[Month]],Table1[[#This Row],[Day]])</f>
        <v>45047</v>
      </c>
      <c r="C2005" s="3">
        <v>1</v>
      </c>
      <c r="D2005" s="3">
        <v>5</v>
      </c>
      <c r="E2005" s="3">
        <v>2023</v>
      </c>
      <c r="F2005" s="3" t="str">
        <f>"Qtr"&amp; " " &amp;CHOOSE(MONTH(Table1[[#This Row],[Date]]),1,1,1,2,2,2,3,3,3,4,4,4)</f>
        <v>Qtr 2</v>
      </c>
      <c r="G2005" s="3" t="str">
        <f>TEXT(Table1[[#This Row],[Date]],"mmmm")</f>
        <v>May</v>
      </c>
      <c r="H2005" s="3" t="s">
        <v>1081</v>
      </c>
      <c r="I2005" s="3" t="s">
        <v>13</v>
      </c>
      <c r="J2005" s="3">
        <v>8</v>
      </c>
      <c r="K2005" s="3">
        <v>24654.02</v>
      </c>
      <c r="L2005" s="3">
        <f>Table1[[#This Row],[Price Per Unit]]*Table1[[#This Row],[Units Sold]]</f>
        <v>197232.16</v>
      </c>
      <c r="M2005" s="3" t="s">
        <v>422</v>
      </c>
      <c r="N2005" s="3">
        <v>38</v>
      </c>
      <c r="O2005" s="3" t="s">
        <v>20</v>
      </c>
      <c r="P2005" s="3" t="s">
        <v>31</v>
      </c>
      <c r="Q2005" s="4">
        <v>5</v>
      </c>
      <c r="R2005" s="4" t="str">
        <f>IF(Table1[[#This Row],[Customer Ratings]]&gt;=4, "Good",IF(Table1[[#This Row],[Customer Ratings]]=3, "Average","Poor"))</f>
        <v>Good</v>
      </c>
      <c r="S2005" s="3" t="s">
        <v>27</v>
      </c>
    </row>
    <row r="2006" spans="1:19" x14ac:dyDescent="0.25">
      <c r="A2006" s="3">
        <v>2005</v>
      </c>
      <c r="B2006" s="5">
        <f>DATE(Table1[[#This Row],[Year]],Table1[[#This Row],[Month]],Table1[[#This Row],[Day]])</f>
        <v>45048</v>
      </c>
      <c r="C2006" s="3">
        <v>2</v>
      </c>
      <c r="D2006" s="3">
        <v>5</v>
      </c>
      <c r="E2006" s="3">
        <v>2023</v>
      </c>
      <c r="F2006" s="3" t="str">
        <f>"Qtr"&amp; " " &amp;CHOOSE(MONTH(Table1[[#This Row],[Date]]),1,1,1,2,2,2,3,3,3,4,4,4)</f>
        <v>Qtr 2</v>
      </c>
      <c r="G2006" s="3" t="str">
        <f>TEXT(Table1[[#This Row],[Date]],"mmmm")</f>
        <v>May</v>
      </c>
      <c r="H2006" s="3" t="s">
        <v>1082</v>
      </c>
      <c r="I2006" s="3" t="s">
        <v>18</v>
      </c>
      <c r="J2006" s="3">
        <v>3</v>
      </c>
      <c r="K2006" s="3">
        <v>43621.120000000003</v>
      </c>
      <c r="L2006" s="3">
        <f>Table1[[#This Row],[Price Per Unit]]*Table1[[#This Row],[Units Sold]]</f>
        <v>130863.36000000002</v>
      </c>
      <c r="M2006" s="3" t="s">
        <v>784</v>
      </c>
      <c r="N2006" s="3">
        <v>18</v>
      </c>
      <c r="O2006" s="3" t="s">
        <v>98</v>
      </c>
      <c r="P2006" s="3" t="s">
        <v>45</v>
      </c>
      <c r="Q2006" s="4">
        <v>1</v>
      </c>
      <c r="R2006" s="4" t="str">
        <f>IF(Table1[[#This Row],[Customer Ratings]]&gt;=4, "Good",IF(Table1[[#This Row],[Customer Ratings]]=3, "Average","Poor"))</f>
        <v>Poor</v>
      </c>
      <c r="S2006" s="3" t="s">
        <v>25</v>
      </c>
    </row>
    <row r="2007" spans="1:19" x14ac:dyDescent="0.25">
      <c r="A2007" s="3">
        <v>2006</v>
      </c>
      <c r="B2007" s="5">
        <f>DATE(Table1[[#This Row],[Year]],Table1[[#This Row],[Month]],Table1[[#This Row],[Day]])</f>
        <v>45048</v>
      </c>
      <c r="C2007" s="3">
        <v>2</v>
      </c>
      <c r="D2007" s="3">
        <v>5</v>
      </c>
      <c r="E2007" s="3">
        <v>2023</v>
      </c>
      <c r="F2007" s="3" t="str">
        <f>"Qtr"&amp; " " &amp;CHOOSE(MONTH(Table1[[#This Row],[Date]]),1,1,1,2,2,2,3,3,3,4,4,4)</f>
        <v>Qtr 2</v>
      </c>
      <c r="G2007" s="3" t="str">
        <f>TEXT(Table1[[#This Row],[Date]],"mmmm")</f>
        <v>May</v>
      </c>
      <c r="H2007" s="3" t="s">
        <v>1082</v>
      </c>
      <c r="I2007" s="3" t="s">
        <v>28</v>
      </c>
      <c r="J2007" s="3">
        <v>3</v>
      </c>
      <c r="K2007" s="3">
        <v>11304.33</v>
      </c>
      <c r="L2007" s="3">
        <f>Table1[[#This Row],[Price Per Unit]]*Table1[[#This Row],[Units Sold]]</f>
        <v>33912.99</v>
      </c>
      <c r="M2007" s="3" t="s">
        <v>717</v>
      </c>
      <c r="N2007" s="3">
        <v>32</v>
      </c>
      <c r="O2007" s="3" t="s">
        <v>24</v>
      </c>
      <c r="P2007" s="3" t="s">
        <v>21</v>
      </c>
      <c r="Q2007" s="4">
        <v>2</v>
      </c>
      <c r="R2007" s="4" t="str">
        <f>IF(Table1[[#This Row],[Customer Ratings]]&gt;=4, "Good",IF(Table1[[#This Row],[Customer Ratings]]=3, "Average","Poor"))</f>
        <v>Poor</v>
      </c>
      <c r="S2007" s="3" t="s">
        <v>32</v>
      </c>
    </row>
    <row r="2008" spans="1:19" x14ac:dyDescent="0.25">
      <c r="A2008" s="3">
        <v>2007</v>
      </c>
      <c r="B2008" s="5">
        <f>DATE(Table1[[#This Row],[Year]],Table1[[#This Row],[Month]],Table1[[#This Row],[Day]])</f>
        <v>45048</v>
      </c>
      <c r="C2008" s="3">
        <v>2</v>
      </c>
      <c r="D2008" s="3">
        <v>5</v>
      </c>
      <c r="E2008" s="3">
        <v>2023</v>
      </c>
      <c r="F2008" s="3" t="str">
        <f>"Qtr"&amp; " " &amp;CHOOSE(MONTH(Table1[[#This Row],[Date]]),1,1,1,2,2,2,3,3,3,4,4,4)</f>
        <v>Qtr 2</v>
      </c>
      <c r="G2008" s="3" t="str">
        <f>TEXT(Table1[[#This Row],[Date]],"mmmm")</f>
        <v>May</v>
      </c>
      <c r="H2008" s="3" t="s">
        <v>1082</v>
      </c>
      <c r="I2008" s="3" t="s">
        <v>28</v>
      </c>
      <c r="J2008" s="3">
        <v>2</v>
      </c>
      <c r="K2008" s="3">
        <v>41234.230000000003</v>
      </c>
      <c r="L2008" s="3">
        <f>Table1[[#This Row],[Price Per Unit]]*Table1[[#This Row],[Units Sold]]</f>
        <v>82468.460000000006</v>
      </c>
      <c r="M2008" s="3" t="s">
        <v>199</v>
      </c>
      <c r="N2008" s="3">
        <v>20</v>
      </c>
      <c r="O2008" s="3" t="s">
        <v>65</v>
      </c>
      <c r="P2008" s="3" t="s">
        <v>21</v>
      </c>
      <c r="Q2008" s="4">
        <v>4</v>
      </c>
      <c r="R2008" s="4" t="str">
        <f>IF(Table1[[#This Row],[Customer Ratings]]&gt;=4, "Good",IF(Table1[[#This Row],[Customer Ratings]]=3, "Average","Poor"))</f>
        <v>Good</v>
      </c>
      <c r="S2008" s="3" t="s">
        <v>87</v>
      </c>
    </row>
    <row r="2009" spans="1:19" x14ac:dyDescent="0.25">
      <c r="A2009" s="3">
        <v>2008</v>
      </c>
      <c r="B2009" s="5">
        <f>DATE(Table1[[#This Row],[Year]],Table1[[#This Row],[Month]],Table1[[#This Row],[Day]])</f>
        <v>45048</v>
      </c>
      <c r="C2009" s="3">
        <v>2</v>
      </c>
      <c r="D2009" s="3">
        <v>5</v>
      </c>
      <c r="E2009" s="3">
        <v>2023</v>
      </c>
      <c r="F2009" s="3" t="str">
        <f>"Qtr"&amp; " " &amp;CHOOSE(MONTH(Table1[[#This Row],[Date]]),1,1,1,2,2,2,3,3,3,4,4,4)</f>
        <v>Qtr 2</v>
      </c>
      <c r="G2009" s="3" t="str">
        <f>TEXT(Table1[[#This Row],[Date]],"mmmm")</f>
        <v>May</v>
      </c>
      <c r="H2009" s="3" t="s">
        <v>1082</v>
      </c>
      <c r="I2009" s="3" t="s">
        <v>33</v>
      </c>
      <c r="J2009" s="3">
        <v>5</v>
      </c>
      <c r="K2009" s="3">
        <v>33506.300000000003</v>
      </c>
      <c r="L2009" s="3">
        <f>Table1[[#This Row],[Price Per Unit]]*Table1[[#This Row],[Units Sold]]</f>
        <v>167531.5</v>
      </c>
      <c r="M2009" s="3" t="s">
        <v>340</v>
      </c>
      <c r="N2009" s="3">
        <v>23</v>
      </c>
      <c r="O2009" s="3" t="s">
        <v>137</v>
      </c>
      <c r="P2009" s="3" t="s">
        <v>31</v>
      </c>
      <c r="Q2009" s="4">
        <v>2</v>
      </c>
      <c r="R2009" s="4" t="str">
        <f>IF(Table1[[#This Row],[Customer Ratings]]&gt;=4, "Good",IF(Table1[[#This Row],[Customer Ratings]]=3, "Average","Poor"))</f>
        <v>Poor</v>
      </c>
      <c r="S2009" s="3" t="s">
        <v>83</v>
      </c>
    </row>
    <row r="2010" spans="1:19" x14ac:dyDescent="0.25">
      <c r="A2010" s="3">
        <v>2009</v>
      </c>
      <c r="B2010" s="5">
        <f>DATE(Table1[[#This Row],[Year]],Table1[[#This Row],[Month]],Table1[[#This Row],[Day]])</f>
        <v>45049</v>
      </c>
      <c r="C2010" s="3">
        <v>3</v>
      </c>
      <c r="D2010" s="3">
        <v>5</v>
      </c>
      <c r="E2010" s="3">
        <v>2023</v>
      </c>
      <c r="F2010" s="3" t="str">
        <f>"Qtr"&amp; " " &amp;CHOOSE(MONTH(Table1[[#This Row],[Date]]),1,1,1,2,2,2,3,3,3,4,4,4)</f>
        <v>Qtr 2</v>
      </c>
      <c r="G2010" s="3" t="str">
        <f>TEXT(Table1[[#This Row],[Date]],"mmmm")</f>
        <v>May</v>
      </c>
      <c r="H2010" s="3" t="s">
        <v>1083</v>
      </c>
      <c r="I2010" s="3" t="s">
        <v>18</v>
      </c>
      <c r="J2010" s="3">
        <v>4</v>
      </c>
      <c r="K2010" s="3">
        <v>44627.34</v>
      </c>
      <c r="L2010" s="3">
        <f>Table1[[#This Row],[Price Per Unit]]*Table1[[#This Row],[Units Sold]]</f>
        <v>178509.36</v>
      </c>
      <c r="M2010" s="3" t="s">
        <v>336</v>
      </c>
      <c r="N2010" s="3">
        <v>31</v>
      </c>
      <c r="O2010" s="3" t="s">
        <v>98</v>
      </c>
      <c r="P2010" s="3" t="s">
        <v>31</v>
      </c>
      <c r="Q2010" s="4">
        <v>2</v>
      </c>
      <c r="R2010" s="4" t="str">
        <f>IF(Table1[[#This Row],[Customer Ratings]]&gt;=4, "Good",IF(Table1[[#This Row],[Customer Ratings]]=3, "Average","Poor"))</f>
        <v>Poor</v>
      </c>
      <c r="S2010" s="3" t="s">
        <v>22</v>
      </c>
    </row>
    <row r="2011" spans="1:19" x14ac:dyDescent="0.25">
      <c r="A2011" s="3">
        <v>2010</v>
      </c>
      <c r="B2011" s="5">
        <f>DATE(Table1[[#This Row],[Year]],Table1[[#This Row],[Month]],Table1[[#This Row],[Day]])</f>
        <v>45049</v>
      </c>
      <c r="C2011" s="3">
        <v>3</v>
      </c>
      <c r="D2011" s="3">
        <v>5</v>
      </c>
      <c r="E2011" s="3">
        <v>2023</v>
      </c>
      <c r="F2011" s="3" t="str">
        <f>"Qtr"&amp; " " &amp;CHOOSE(MONTH(Table1[[#This Row],[Date]]),1,1,1,2,2,2,3,3,3,4,4,4)</f>
        <v>Qtr 2</v>
      </c>
      <c r="G2011" s="3" t="str">
        <f>TEXT(Table1[[#This Row],[Date]],"mmmm")</f>
        <v>May</v>
      </c>
      <c r="H2011" s="3" t="s">
        <v>1083</v>
      </c>
      <c r="I2011" s="3" t="s">
        <v>13</v>
      </c>
      <c r="J2011" s="3">
        <v>7</v>
      </c>
      <c r="K2011" s="3">
        <v>52145.05</v>
      </c>
      <c r="L2011" s="3">
        <f>Table1[[#This Row],[Price Per Unit]]*Table1[[#This Row],[Units Sold]]</f>
        <v>365015.35000000003</v>
      </c>
      <c r="M2011" s="3" t="s">
        <v>754</v>
      </c>
      <c r="N2011" s="3">
        <v>55</v>
      </c>
      <c r="O2011" s="3" t="s">
        <v>137</v>
      </c>
      <c r="P2011" s="3" t="s">
        <v>16</v>
      </c>
      <c r="Q2011" s="4">
        <v>5</v>
      </c>
      <c r="R2011" s="4" t="str">
        <f>IF(Table1[[#This Row],[Customer Ratings]]&gt;=4, "Good",IF(Table1[[#This Row],[Customer Ratings]]=3, "Average","Poor"))</f>
        <v>Good</v>
      </c>
      <c r="S2011" s="3" t="s">
        <v>17</v>
      </c>
    </row>
    <row r="2012" spans="1:19" x14ac:dyDescent="0.25">
      <c r="A2012" s="3">
        <v>2011</v>
      </c>
      <c r="B2012" s="5">
        <f>DATE(Table1[[#This Row],[Year]],Table1[[#This Row],[Month]],Table1[[#This Row],[Day]])</f>
        <v>45049</v>
      </c>
      <c r="C2012" s="3">
        <v>3</v>
      </c>
      <c r="D2012" s="3">
        <v>5</v>
      </c>
      <c r="E2012" s="3">
        <v>2023</v>
      </c>
      <c r="F2012" s="3" t="str">
        <f>"Qtr"&amp; " " &amp;CHOOSE(MONTH(Table1[[#This Row],[Date]]),1,1,1,2,2,2,3,3,3,4,4,4)</f>
        <v>Qtr 2</v>
      </c>
      <c r="G2012" s="3" t="str">
        <f>TEXT(Table1[[#This Row],[Date]],"mmmm")</f>
        <v>May</v>
      </c>
      <c r="H2012" s="3" t="s">
        <v>1083</v>
      </c>
      <c r="I2012" s="3" t="s">
        <v>28</v>
      </c>
      <c r="J2012" s="3">
        <v>4</v>
      </c>
      <c r="K2012" s="3">
        <v>48045.52</v>
      </c>
      <c r="L2012" s="3">
        <f>Table1[[#This Row],[Price Per Unit]]*Table1[[#This Row],[Units Sold]]</f>
        <v>192182.08</v>
      </c>
      <c r="M2012" s="3" t="s">
        <v>366</v>
      </c>
      <c r="N2012" s="3">
        <v>50</v>
      </c>
      <c r="O2012" s="3" t="s">
        <v>35</v>
      </c>
      <c r="P2012" s="3" t="s">
        <v>45</v>
      </c>
      <c r="Q2012" s="4">
        <v>2</v>
      </c>
      <c r="R2012" s="4" t="str">
        <f>IF(Table1[[#This Row],[Customer Ratings]]&gt;=4, "Good",IF(Table1[[#This Row],[Customer Ratings]]=3, "Average","Poor"))</f>
        <v>Poor</v>
      </c>
      <c r="S2012" s="3" t="s">
        <v>87</v>
      </c>
    </row>
    <row r="2013" spans="1:19" x14ac:dyDescent="0.25">
      <c r="A2013" s="3">
        <v>2012</v>
      </c>
      <c r="B2013" s="5">
        <f>DATE(Table1[[#This Row],[Year]],Table1[[#This Row],[Month]],Table1[[#This Row],[Day]])</f>
        <v>45050</v>
      </c>
      <c r="C2013" s="3">
        <v>4</v>
      </c>
      <c r="D2013" s="3">
        <v>5</v>
      </c>
      <c r="E2013" s="3">
        <v>2023</v>
      </c>
      <c r="F2013" s="3" t="str">
        <f>"Qtr"&amp; " " &amp;CHOOSE(MONTH(Table1[[#This Row],[Date]]),1,1,1,2,2,2,3,3,3,4,4,4)</f>
        <v>Qtr 2</v>
      </c>
      <c r="G2013" s="3" t="str">
        <f>TEXT(Table1[[#This Row],[Date]],"mmmm")</f>
        <v>May</v>
      </c>
      <c r="H2013" s="3" t="s">
        <v>1084</v>
      </c>
      <c r="I2013" s="3" t="s">
        <v>28</v>
      </c>
      <c r="J2013" s="3">
        <v>9</v>
      </c>
      <c r="K2013" s="3">
        <v>69078.66</v>
      </c>
      <c r="L2013" s="3">
        <f>Table1[[#This Row],[Price Per Unit]]*Table1[[#This Row],[Units Sold]]</f>
        <v>621707.94000000006</v>
      </c>
      <c r="M2013" s="3" t="s">
        <v>158</v>
      </c>
      <c r="N2013" s="3">
        <v>55</v>
      </c>
      <c r="O2013" s="3" t="s">
        <v>125</v>
      </c>
      <c r="P2013" s="3" t="s">
        <v>16</v>
      </c>
      <c r="Q2013" s="4">
        <v>4</v>
      </c>
      <c r="R2013" s="4" t="str">
        <f>IF(Table1[[#This Row],[Customer Ratings]]&gt;=4, "Good",IF(Table1[[#This Row],[Customer Ratings]]=3, "Average","Poor"))</f>
        <v>Good</v>
      </c>
      <c r="S2013" s="3" t="s">
        <v>87</v>
      </c>
    </row>
    <row r="2014" spans="1:19" x14ac:dyDescent="0.25">
      <c r="A2014" s="3">
        <v>2013</v>
      </c>
      <c r="B2014" s="5">
        <f>DATE(Table1[[#This Row],[Year]],Table1[[#This Row],[Month]],Table1[[#This Row],[Day]])</f>
        <v>45050</v>
      </c>
      <c r="C2014" s="3">
        <v>4</v>
      </c>
      <c r="D2014" s="3">
        <v>5</v>
      </c>
      <c r="E2014" s="3">
        <v>2023</v>
      </c>
      <c r="F2014" s="3" t="str">
        <f>"Qtr"&amp; " " &amp;CHOOSE(MONTH(Table1[[#This Row],[Date]]),1,1,1,2,2,2,3,3,3,4,4,4)</f>
        <v>Qtr 2</v>
      </c>
      <c r="G2014" s="3" t="str">
        <f>TEXT(Table1[[#This Row],[Date]],"mmmm")</f>
        <v>May</v>
      </c>
      <c r="H2014" s="3" t="s">
        <v>1084</v>
      </c>
      <c r="I2014" s="3" t="s">
        <v>33</v>
      </c>
      <c r="J2014" s="3">
        <v>2</v>
      </c>
      <c r="K2014" s="3">
        <v>18295.919999999998</v>
      </c>
      <c r="L2014" s="3">
        <f>Table1[[#This Row],[Price Per Unit]]*Table1[[#This Row],[Units Sold]]</f>
        <v>36591.839999999997</v>
      </c>
      <c r="M2014" s="3" t="s">
        <v>933</v>
      </c>
      <c r="N2014" s="3">
        <v>25</v>
      </c>
      <c r="O2014" s="3" t="s">
        <v>78</v>
      </c>
      <c r="P2014" s="3" t="s">
        <v>16</v>
      </c>
      <c r="Q2014" s="4">
        <v>2</v>
      </c>
      <c r="R2014" s="4" t="str">
        <f>IF(Table1[[#This Row],[Customer Ratings]]&gt;=4, "Good",IF(Table1[[#This Row],[Customer Ratings]]=3, "Average","Poor"))</f>
        <v>Poor</v>
      </c>
      <c r="S2014" s="3" t="s">
        <v>46</v>
      </c>
    </row>
    <row r="2015" spans="1:19" x14ac:dyDescent="0.25">
      <c r="A2015" s="3">
        <v>2014</v>
      </c>
      <c r="B2015" s="5">
        <f>DATE(Table1[[#This Row],[Year]],Table1[[#This Row],[Month]],Table1[[#This Row],[Day]])</f>
        <v>45050</v>
      </c>
      <c r="C2015" s="3">
        <v>4</v>
      </c>
      <c r="D2015" s="3">
        <v>5</v>
      </c>
      <c r="E2015" s="3">
        <v>2023</v>
      </c>
      <c r="F2015" s="3" t="str">
        <f>"Qtr"&amp; " " &amp;CHOOSE(MONTH(Table1[[#This Row],[Date]]),1,1,1,2,2,2,3,3,3,4,4,4)</f>
        <v>Qtr 2</v>
      </c>
      <c r="G2015" s="3" t="str">
        <f>TEXT(Table1[[#This Row],[Date]],"mmmm")</f>
        <v>May</v>
      </c>
      <c r="H2015" s="3" t="s">
        <v>1084</v>
      </c>
      <c r="I2015" s="3" t="s">
        <v>39</v>
      </c>
      <c r="J2015" s="3">
        <v>6</v>
      </c>
      <c r="K2015" s="3">
        <v>35784.22</v>
      </c>
      <c r="L2015" s="3">
        <f>Table1[[#This Row],[Price Per Unit]]*Table1[[#This Row],[Units Sold]]</f>
        <v>214705.32</v>
      </c>
      <c r="M2015" s="3" t="s">
        <v>572</v>
      </c>
      <c r="N2015" s="3">
        <v>43</v>
      </c>
      <c r="O2015" s="3" t="s">
        <v>30</v>
      </c>
      <c r="P2015" s="3" t="s">
        <v>45</v>
      </c>
      <c r="Q2015" s="4">
        <v>5</v>
      </c>
      <c r="R2015" s="4" t="str">
        <f>IF(Table1[[#This Row],[Customer Ratings]]&gt;=4, "Good",IF(Table1[[#This Row],[Customer Ratings]]=3, "Average","Poor"))</f>
        <v>Good</v>
      </c>
      <c r="S2015" s="3" t="s">
        <v>76</v>
      </c>
    </row>
    <row r="2016" spans="1:19" x14ac:dyDescent="0.25">
      <c r="A2016" s="3">
        <v>2015</v>
      </c>
      <c r="B2016" s="5">
        <f>DATE(Table1[[#This Row],[Year]],Table1[[#This Row],[Month]],Table1[[#This Row],[Day]])</f>
        <v>45051</v>
      </c>
      <c r="C2016" s="3">
        <v>5</v>
      </c>
      <c r="D2016" s="3">
        <v>5</v>
      </c>
      <c r="E2016" s="3">
        <v>2023</v>
      </c>
      <c r="F2016" s="3" t="str">
        <f>"Qtr"&amp; " " &amp;CHOOSE(MONTH(Table1[[#This Row],[Date]]),1,1,1,2,2,2,3,3,3,4,4,4)</f>
        <v>Qtr 2</v>
      </c>
      <c r="G2016" s="3" t="str">
        <f>TEXT(Table1[[#This Row],[Date]],"mmmm")</f>
        <v>May</v>
      </c>
      <c r="H2016" s="3" t="s">
        <v>1085</v>
      </c>
      <c r="I2016" s="3" t="s">
        <v>13</v>
      </c>
      <c r="J2016" s="3">
        <v>7</v>
      </c>
      <c r="K2016" s="3">
        <v>35489.839999999997</v>
      </c>
      <c r="L2016" s="3">
        <f>Table1[[#This Row],[Price Per Unit]]*Table1[[#This Row],[Units Sold]]</f>
        <v>248428.87999999998</v>
      </c>
      <c r="M2016" s="3" t="s">
        <v>934</v>
      </c>
      <c r="N2016" s="3">
        <v>32</v>
      </c>
      <c r="O2016" s="3" t="s">
        <v>137</v>
      </c>
      <c r="P2016" s="3" t="s">
        <v>21</v>
      </c>
      <c r="Q2016" s="4">
        <v>4</v>
      </c>
      <c r="R2016" s="4" t="str">
        <f>IF(Table1[[#This Row],[Customer Ratings]]&gt;=4, "Good",IF(Table1[[#This Row],[Customer Ratings]]=3, "Average","Poor"))</f>
        <v>Good</v>
      </c>
      <c r="S2016" s="3" t="s">
        <v>17</v>
      </c>
    </row>
    <row r="2017" spans="1:19" x14ac:dyDescent="0.25">
      <c r="A2017" s="3">
        <v>2016</v>
      </c>
      <c r="B2017" s="5">
        <f>DATE(Table1[[#This Row],[Year]],Table1[[#This Row],[Month]],Table1[[#This Row],[Day]])</f>
        <v>45051</v>
      </c>
      <c r="C2017" s="3">
        <v>5</v>
      </c>
      <c r="D2017" s="3">
        <v>5</v>
      </c>
      <c r="E2017" s="3">
        <v>2023</v>
      </c>
      <c r="F2017" s="3" t="str">
        <f>"Qtr"&amp; " " &amp;CHOOSE(MONTH(Table1[[#This Row],[Date]]),1,1,1,2,2,2,3,3,3,4,4,4)</f>
        <v>Qtr 2</v>
      </c>
      <c r="G2017" s="3" t="str">
        <f>TEXT(Table1[[#This Row],[Date]],"mmmm")</f>
        <v>May</v>
      </c>
      <c r="H2017" s="3" t="s">
        <v>1085</v>
      </c>
      <c r="I2017" s="3" t="s">
        <v>18</v>
      </c>
      <c r="J2017" s="3">
        <v>4</v>
      </c>
      <c r="K2017" s="3">
        <v>35023.19</v>
      </c>
      <c r="L2017" s="3">
        <f>Table1[[#This Row],[Price Per Unit]]*Table1[[#This Row],[Units Sold]]</f>
        <v>140092.76</v>
      </c>
      <c r="M2017" s="3" t="s">
        <v>204</v>
      </c>
      <c r="N2017" s="3">
        <v>31</v>
      </c>
      <c r="O2017" s="3" t="s">
        <v>102</v>
      </c>
      <c r="P2017" s="3" t="s">
        <v>45</v>
      </c>
      <c r="Q2017" s="4">
        <v>5</v>
      </c>
      <c r="R2017" s="4" t="str">
        <f>IF(Table1[[#This Row],[Customer Ratings]]&gt;=4, "Good",IF(Table1[[#This Row],[Customer Ratings]]=3, "Average","Poor"))</f>
        <v>Good</v>
      </c>
      <c r="S2017" s="3" t="s">
        <v>55</v>
      </c>
    </row>
    <row r="2018" spans="1:19" x14ac:dyDescent="0.25">
      <c r="A2018" s="3">
        <v>2017</v>
      </c>
      <c r="B2018" s="5">
        <f>DATE(Table1[[#This Row],[Year]],Table1[[#This Row],[Month]],Table1[[#This Row],[Day]])</f>
        <v>45051</v>
      </c>
      <c r="C2018" s="3">
        <v>5</v>
      </c>
      <c r="D2018" s="3">
        <v>5</v>
      </c>
      <c r="E2018" s="3">
        <v>2023</v>
      </c>
      <c r="F2018" s="3" t="str">
        <f>"Qtr"&amp; " " &amp;CHOOSE(MONTH(Table1[[#This Row],[Date]]),1,1,1,2,2,2,3,3,3,4,4,4)</f>
        <v>Qtr 2</v>
      </c>
      <c r="G2018" s="3" t="str">
        <f>TEXT(Table1[[#This Row],[Date]],"mmmm")</f>
        <v>May</v>
      </c>
      <c r="H2018" s="3" t="s">
        <v>1085</v>
      </c>
      <c r="I2018" s="3" t="s">
        <v>28</v>
      </c>
      <c r="J2018" s="3">
        <v>6</v>
      </c>
      <c r="K2018" s="3">
        <v>49827.9</v>
      </c>
      <c r="L2018" s="3">
        <f>Table1[[#This Row],[Price Per Unit]]*Table1[[#This Row],[Units Sold]]</f>
        <v>298967.40000000002</v>
      </c>
      <c r="M2018" s="3" t="s">
        <v>610</v>
      </c>
      <c r="N2018" s="3">
        <v>37</v>
      </c>
      <c r="O2018" s="3" t="s">
        <v>20</v>
      </c>
      <c r="P2018" s="3" t="s">
        <v>21</v>
      </c>
      <c r="Q2018" s="4">
        <v>4</v>
      </c>
      <c r="R2018" s="4" t="str">
        <f>IF(Table1[[#This Row],[Customer Ratings]]&gt;=4, "Good",IF(Table1[[#This Row],[Customer Ratings]]=3, "Average","Poor"))</f>
        <v>Good</v>
      </c>
      <c r="S2018" s="3" t="s">
        <v>32</v>
      </c>
    </row>
    <row r="2019" spans="1:19" x14ac:dyDescent="0.25">
      <c r="A2019" s="3">
        <v>2018</v>
      </c>
      <c r="B2019" s="5">
        <f>DATE(Table1[[#This Row],[Year]],Table1[[#This Row],[Month]],Table1[[#This Row],[Day]])</f>
        <v>45051</v>
      </c>
      <c r="C2019" s="3">
        <v>5</v>
      </c>
      <c r="D2019" s="3">
        <v>5</v>
      </c>
      <c r="E2019" s="3">
        <v>2023</v>
      </c>
      <c r="F2019" s="3" t="str">
        <f>"Qtr"&amp; " " &amp;CHOOSE(MONTH(Table1[[#This Row],[Date]]),1,1,1,2,2,2,3,3,3,4,4,4)</f>
        <v>Qtr 2</v>
      </c>
      <c r="G2019" s="3" t="str">
        <f>TEXT(Table1[[#This Row],[Date]],"mmmm")</f>
        <v>May</v>
      </c>
      <c r="H2019" s="3" t="s">
        <v>1085</v>
      </c>
      <c r="I2019" s="3" t="s">
        <v>28</v>
      </c>
      <c r="J2019" s="3">
        <v>7</v>
      </c>
      <c r="K2019" s="3">
        <v>39389.68</v>
      </c>
      <c r="L2019" s="3">
        <f>Table1[[#This Row],[Price Per Unit]]*Table1[[#This Row],[Units Sold]]</f>
        <v>275727.76</v>
      </c>
      <c r="M2019" s="3" t="s">
        <v>212</v>
      </c>
      <c r="N2019" s="3">
        <v>36</v>
      </c>
      <c r="O2019" s="3" t="s">
        <v>20</v>
      </c>
      <c r="P2019" s="3" t="s">
        <v>16</v>
      </c>
      <c r="Q2019" s="4">
        <v>1</v>
      </c>
      <c r="R2019" s="4" t="str">
        <f>IF(Table1[[#This Row],[Customer Ratings]]&gt;=4, "Good",IF(Table1[[#This Row],[Customer Ratings]]=3, "Average","Poor"))</f>
        <v>Poor</v>
      </c>
      <c r="S2019" s="3" t="s">
        <v>32</v>
      </c>
    </row>
    <row r="2020" spans="1:19" x14ac:dyDescent="0.25">
      <c r="A2020" s="3">
        <v>2019</v>
      </c>
      <c r="B2020" s="5">
        <f>DATE(Table1[[#This Row],[Year]],Table1[[#This Row],[Month]],Table1[[#This Row],[Day]])</f>
        <v>45052</v>
      </c>
      <c r="C2020" s="3">
        <v>6</v>
      </c>
      <c r="D2020" s="3">
        <v>5</v>
      </c>
      <c r="E2020" s="3">
        <v>2023</v>
      </c>
      <c r="F2020" s="3" t="str">
        <f>"Qtr"&amp; " " &amp;CHOOSE(MONTH(Table1[[#This Row],[Date]]),1,1,1,2,2,2,3,3,3,4,4,4)</f>
        <v>Qtr 2</v>
      </c>
      <c r="G2020" s="3" t="str">
        <f>TEXT(Table1[[#This Row],[Date]],"mmmm")</f>
        <v>May</v>
      </c>
      <c r="H2020" s="3" t="s">
        <v>1079</v>
      </c>
      <c r="I2020" s="3" t="s">
        <v>13</v>
      </c>
      <c r="J2020" s="3">
        <v>4</v>
      </c>
      <c r="K2020" s="3">
        <v>41045.949999999997</v>
      </c>
      <c r="L2020" s="3">
        <f>Table1[[#This Row],[Price Per Unit]]*Table1[[#This Row],[Units Sold]]</f>
        <v>164183.79999999999</v>
      </c>
      <c r="M2020" s="3" t="s">
        <v>650</v>
      </c>
      <c r="N2020" s="3">
        <v>50</v>
      </c>
      <c r="O2020" s="3" t="s">
        <v>58</v>
      </c>
      <c r="P2020" s="3" t="s">
        <v>21</v>
      </c>
      <c r="Q2020" s="4">
        <v>2</v>
      </c>
      <c r="R2020" s="4" t="str">
        <f>IF(Table1[[#This Row],[Customer Ratings]]&gt;=4, "Good",IF(Table1[[#This Row],[Customer Ratings]]=3, "Average","Poor"))</f>
        <v>Poor</v>
      </c>
      <c r="S2020" s="3" t="s">
        <v>72</v>
      </c>
    </row>
    <row r="2021" spans="1:19" x14ac:dyDescent="0.25">
      <c r="A2021" s="3">
        <v>2020</v>
      </c>
      <c r="B2021" s="5">
        <f>DATE(Table1[[#This Row],[Year]],Table1[[#This Row],[Month]],Table1[[#This Row],[Day]])</f>
        <v>45052</v>
      </c>
      <c r="C2021" s="3">
        <v>6</v>
      </c>
      <c r="D2021" s="3">
        <v>5</v>
      </c>
      <c r="E2021" s="3">
        <v>2023</v>
      </c>
      <c r="F2021" s="3" t="str">
        <f>"Qtr"&amp; " " &amp;CHOOSE(MONTH(Table1[[#This Row],[Date]]),1,1,1,2,2,2,3,3,3,4,4,4)</f>
        <v>Qtr 2</v>
      </c>
      <c r="G2021" s="3" t="str">
        <f>TEXT(Table1[[#This Row],[Date]],"mmmm")</f>
        <v>May</v>
      </c>
      <c r="H2021" s="3" t="s">
        <v>1079</v>
      </c>
      <c r="I2021" s="3" t="s">
        <v>39</v>
      </c>
      <c r="J2021" s="3">
        <v>8</v>
      </c>
      <c r="K2021" s="3">
        <v>35941.360000000001</v>
      </c>
      <c r="L2021" s="3">
        <f>Table1[[#This Row],[Price Per Unit]]*Table1[[#This Row],[Units Sold]]</f>
        <v>287530.88</v>
      </c>
      <c r="M2021" s="3" t="s">
        <v>395</v>
      </c>
      <c r="N2021" s="3">
        <v>53</v>
      </c>
      <c r="O2021" s="3" t="s">
        <v>78</v>
      </c>
      <c r="P2021" s="3" t="s">
        <v>21</v>
      </c>
      <c r="Q2021" s="4">
        <v>2</v>
      </c>
      <c r="R2021" s="4" t="str">
        <f>IF(Table1[[#This Row],[Customer Ratings]]&gt;=4, "Good",IF(Table1[[#This Row],[Customer Ratings]]=3, "Average","Poor"))</f>
        <v>Poor</v>
      </c>
      <c r="S2021" s="3" t="s">
        <v>42</v>
      </c>
    </row>
    <row r="2022" spans="1:19" x14ac:dyDescent="0.25">
      <c r="A2022" s="3">
        <v>2021</v>
      </c>
      <c r="B2022" s="5">
        <f>DATE(Table1[[#This Row],[Year]],Table1[[#This Row],[Month]],Table1[[#This Row],[Day]])</f>
        <v>45052</v>
      </c>
      <c r="C2022" s="3">
        <v>6</v>
      </c>
      <c r="D2022" s="3">
        <v>5</v>
      </c>
      <c r="E2022" s="3">
        <v>2023</v>
      </c>
      <c r="F2022" s="3" t="str">
        <f>"Qtr"&amp; " " &amp;CHOOSE(MONTH(Table1[[#This Row],[Date]]),1,1,1,2,2,2,3,3,3,4,4,4)</f>
        <v>Qtr 2</v>
      </c>
      <c r="G2022" s="3" t="str">
        <f>TEXT(Table1[[#This Row],[Date]],"mmmm")</f>
        <v>May</v>
      </c>
      <c r="H2022" s="3" t="s">
        <v>1079</v>
      </c>
      <c r="I2022" s="3" t="s">
        <v>28</v>
      </c>
      <c r="J2022" s="3">
        <v>9</v>
      </c>
      <c r="K2022" s="3">
        <v>69501.97</v>
      </c>
      <c r="L2022" s="3">
        <f>Table1[[#This Row],[Price Per Unit]]*Table1[[#This Row],[Units Sold]]</f>
        <v>625517.73</v>
      </c>
      <c r="M2022" s="3" t="s">
        <v>935</v>
      </c>
      <c r="N2022" s="3">
        <v>41</v>
      </c>
      <c r="O2022" s="3" t="s">
        <v>98</v>
      </c>
      <c r="P2022" s="3" t="s">
        <v>21</v>
      </c>
      <c r="Q2022" s="4">
        <v>2</v>
      </c>
      <c r="R2022" s="4" t="str">
        <f>IF(Table1[[#This Row],[Customer Ratings]]&gt;=4, "Good",IF(Table1[[#This Row],[Customer Ratings]]=3, "Average","Poor"))</f>
        <v>Poor</v>
      </c>
      <c r="S2022" s="3" t="s">
        <v>87</v>
      </c>
    </row>
    <row r="2023" spans="1:19" x14ac:dyDescent="0.25">
      <c r="A2023" s="3">
        <v>2022</v>
      </c>
      <c r="B2023" s="5">
        <f>DATE(Table1[[#This Row],[Year]],Table1[[#This Row],[Month]],Table1[[#This Row],[Day]])</f>
        <v>45053</v>
      </c>
      <c r="C2023" s="3">
        <v>7</v>
      </c>
      <c r="D2023" s="3">
        <v>5</v>
      </c>
      <c r="E2023" s="3">
        <v>2023</v>
      </c>
      <c r="F2023" s="3" t="str">
        <f>"Qtr"&amp; " " &amp;CHOOSE(MONTH(Table1[[#This Row],[Date]]),1,1,1,2,2,2,3,3,3,4,4,4)</f>
        <v>Qtr 2</v>
      </c>
      <c r="G2023" s="3" t="str">
        <f>TEXT(Table1[[#This Row],[Date]],"mmmm")</f>
        <v>May</v>
      </c>
      <c r="H2023" s="3" t="s">
        <v>1080</v>
      </c>
      <c r="I2023" s="3" t="s">
        <v>13</v>
      </c>
      <c r="J2023" s="3">
        <v>1</v>
      </c>
      <c r="K2023" s="3">
        <v>65653.679999999993</v>
      </c>
      <c r="L2023" s="3">
        <f>Table1[[#This Row],[Price Per Unit]]*Table1[[#This Row],[Units Sold]]</f>
        <v>65653.679999999993</v>
      </c>
      <c r="M2023" s="3" t="s">
        <v>793</v>
      </c>
      <c r="N2023" s="3">
        <v>27</v>
      </c>
      <c r="O2023" s="3" t="s">
        <v>41</v>
      </c>
      <c r="P2023" s="3" t="s">
        <v>45</v>
      </c>
      <c r="Q2023" s="4">
        <v>4</v>
      </c>
      <c r="R2023" s="4" t="str">
        <f>IF(Table1[[#This Row],[Customer Ratings]]&gt;=4, "Good",IF(Table1[[#This Row],[Customer Ratings]]=3, "Average","Poor"))</f>
        <v>Good</v>
      </c>
      <c r="S2023" s="3" t="s">
        <v>27</v>
      </c>
    </row>
    <row r="2024" spans="1:19" x14ac:dyDescent="0.25">
      <c r="A2024" s="3">
        <v>2023</v>
      </c>
      <c r="B2024" s="5">
        <f>DATE(Table1[[#This Row],[Year]],Table1[[#This Row],[Month]],Table1[[#This Row],[Day]])</f>
        <v>45053</v>
      </c>
      <c r="C2024" s="3">
        <v>7</v>
      </c>
      <c r="D2024" s="3">
        <v>5</v>
      </c>
      <c r="E2024" s="3">
        <v>2023</v>
      </c>
      <c r="F2024" s="3" t="str">
        <f>"Qtr"&amp; " " &amp;CHOOSE(MONTH(Table1[[#This Row],[Date]]),1,1,1,2,2,2,3,3,3,4,4,4)</f>
        <v>Qtr 2</v>
      </c>
      <c r="G2024" s="3" t="str">
        <f>TEXT(Table1[[#This Row],[Date]],"mmmm")</f>
        <v>May</v>
      </c>
      <c r="H2024" s="3" t="s">
        <v>1080</v>
      </c>
      <c r="I2024" s="3" t="s">
        <v>33</v>
      </c>
      <c r="J2024" s="3">
        <v>7</v>
      </c>
      <c r="K2024" s="3">
        <v>28463.45</v>
      </c>
      <c r="L2024" s="3">
        <f>Table1[[#This Row],[Price Per Unit]]*Table1[[#This Row],[Units Sold]]</f>
        <v>199244.15</v>
      </c>
      <c r="M2024" s="3" t="s">
        <v>571</v>
      </c>
      <c r="N2024" s="3">
        <v>51</v>
      </c>
      <c r="O2024" s="3" t="s">
        <v>54</v>
      </c>
      <c r="P2024" s="3" t="s">
        <v>21</v>
      </c>
      <c r="Q2024" s="4">
        <v>1</v>
      </c>
      <c r="R2024" s="4" t="str">
        <f>IF(Table1[[#This Row],[Customer Ratings]]&gt;=4, "Good",IF(Table1[[#This Row],[Customer Ratings]]=3, "Average","Poor"))</f>
        <v>Poor</v>
      </c>
      <c r="S2024" s="3" t="s">
        <v>36</v>
      </c>
    </row>
    <row r="2025" spans="1:19" x14ac:dyDescent="0.25">
      <c r="A2025" s="3">
        <v>2024</v>
      </c>
      <c r="B2025" s="5">
        <f>DATE(Table1[[#This Row],[Year]],Table1[[#This Row],[Month]],Table1[[#This Row],[Day]])</f>
        <v>45053</v>
      </c>
      <c r="C2025" s="3">
        <v>7</v>
      </c>
      <c r="D2025" s="3">
        <v>5</v>
      </c>
      <c r="E2025" s="3">
        <v>2023</v>
      </c>
      <c r="F2025" s="3" t="str">
        <f>"Qtr"&amp; " " &amp;CHOOSE(MONTH(Table1[[#This Row],[Date]]),1,1,1,2,2,2,3,3,3,4,4,4)</f>
        <v>Qtr 2</v>
      </c>
      <c r="G2025" s="3" t="str">
        <f>TEXT(Table1[[#This Row],[Date]],"mmmm")</f>
        <v>May</v>
      </c>
      <c r="H2025" s="3" t="s">
        <v>1080</v>
      </c>
      <c r="I2025" s="3" t="s">
        <v>39</v>
      </c>
      <c r="J2025" s="3">
        <v>9</v>
      </c>
      <c r="K2025" s="3">
        <v>16695.64</v>
      </c>
      <c r="L2025" s="3">
        <f>Table1[[#This Row],[Price Per Unit]]*Table1[[#This Row],[Units Sold]]</f>
        <v>150260.76</v>
      </c>
      <c r="M2025" s="3" t="s">
        <v>70</v>
      </c>
      <c r="N2025" s="3">
        <v>53</v>
      </c>
      <c r="O2025" s="3" t="s">
        <v>24</v>
      </c>
      <c r="P2025" s="3" t="s">
        <v>45</v>
      </c>
      <c r="Q2025" s="4">
        <v>5</v>
      </c>
      <c r="R2025" s="4" t="str">
        <f>IF(Table1[[#This Row],[Customer Ratings]]&gt;=4, "Good",IF(Table1[[#This Row],[Customer Ratings]]=3, "Average","Poor"))</f>
        <v>Good</v>
      </c>
      <c r="S2025" s="3" t="s">
        <v>76</v>
      </c>
    </row>
    <row r="2026" spans="1:19" x14ac:dyDescent="0.25">
      <c r="A2026" s="3">
        <v>2025</v>
      </c>
      <c r="B2026" s="5">
        <f>DATE(Table1[[#This Row],[Year]],Table1[[#This Row],[Month]],Table1[[#This Row],[Day]])</f>
        <v>45053</v>
      </c>
      <c r="C2026" s="3">
        <v>7</v>
      </c>
      <c r="D2026" s="3">
        <v>5</v>
      </c>
      <c r="E2026" s="3">
        <v>2023</v>
      </c>
      <c r="F2026" s="3" t="str">
        <f>"Qtr"&amp; " " &amp;CHOOSE(MONTH(Table1[[#This Row],[Date]]),1,1,1,2,2,2,3,3,3,4,4,4)</f>
        <v>Qtr 2</v>
      </c>
      <c r="G2026" s="3" t="str">
        <f>TEXT(Table1[[#This Row],[Date]],"mmmm")</f>
        <v>May</v>
      </c>
      <c r="H2026" s="3" t="s">
        <v>1080</v>
      </c>
      <c r="I2026" s="3" t="s">
        <v>18</v>
      </c>
      <c r="J2026" s="3">
        <v>5</v>
      </c>
      <c r="K2026" s="3">
        <v>60385.88</v>
      </c>
      <c r="L2026" s="3">
        <f>Table1[[#This Row],[Price Per Unit]]*Table1[[#This Row],[Units Sold]]</f>
        <v>301929.39999999997</v>
      </c>
      <c r="M2026" s="3" t="s">
        <v>936</v>
      </c>
      <c r="N2026" s="3">
        <v>53</v>
      </c>
      <c r="O2026" s="3" t="s">
        <v>78</v>
      </c>
      <c r="P2026" s="3" t="s">
        <v>31</v>
      </c>
      <c r="Q2026" s="4">
        <v>4</v>
      </c>
      <c r="R2026" s="4" t="str">
        <f>IF(Table1[[#This Row],[Customer Ratings]]&gt;=4, "Good",IF(Table1[[#This Row],[Customer Ratings]]=3, "Average","Poor"))</f>
        <v>Good</v>
      </c>
      <c r="S2026" s="3" t="s">
        <v>55</v>
      </c>
    </row>
    <row r="2027" spans="1:19" x14ac:dyDescent="0.25">
      <c r="A2027" s="3">
        <v>2026</v>
      </c>
      <c r="B2027" s="5">
        <f>DATE(Table1[[#This Row],[Year]],Table1[[#This Row],[Month]],Table1[[#This Row],[Day]])</f>
        <v>45054</v>
      </c>
      <c r="C2027" s="3">
        <v>8</v>
      </c>
      <c r="D2027" s="3">
        <v>5</v>
      </c>
      <c r="E2027" s="3">
        <v>2023</v>
      </c>
      <c r="F2027" s="3" t="str">
        <f>"Qtr"&amp; " " &amp;CHOOSE(MONTH(Table1[[#This Row],[Date]]),1,1,1,2,2,2,3,3,3,4,4,4)</f>
        <v>Qtr 2</v>
      </c>
      <c r="G2027" s="3" t="str">
        <f>TEXT(Table1[[#This Row],[Date]],"mmmm")</f>
        <v>May</v>
      </c>
      <c r="H2027" s="3" t="s">
        <v>1081</v>
      </c>
      <c r="I2027" s="3" t="s">
        <v>28</v>
      </c>
      <c r="J2027" s="3">
        <v>2</v>
      </c>
      <c r="K2027" s="3">
        <v>69830.22</v>
      </c>
      <c r="L2027" s="3">
        <f>Table1[[#This Row],[Price Per Unit]]*Table1[[#This Row],[Units Sold]]</f>
        <v>139660.44</v>
      </c>
      <c r="M2027" s="3" t="s">
        <v>624</v>
      </c>
      <c r="N2027" s="3">
        <v>33</v>
      </c>
      <c r="O2027" s="3" t="s">
        <v>30</v>
      </c>
      <c r="P2027" s="3" t="s">
        <v>31</v>
      </c>
      <c r="Q2027" s="4">
        <v>4</v>
      </c>
      <c r="R2027" s="4" t="str">
        <f>IF(Table1[[#This Row],[Customer Ratings]]&gt;=4, "Good",IF(Table1[[#This Row],[Customer Ratings]]=3, "Average","Poor"))</f>
        <v>Good</v>
      </c>
      <c r="S2027" s="3" t="s">
        <v>87</v>
      </c>
    </row>
    <row r="2028" spans="1:19" x14ac:dyDescent="0.25">
      <c r="A2028" s="3">
        <v>2027</v>
      </c>
      <c r="B2028" s="5">
        <f>DATE(Table1[[#This Row],[Year]],Table1[[#This Row],[Month]],Table1[[#This Row],[Day]])</f>
        <v>45054</v>
      </c>
      <c r="C2028" s="3">
        <v>8</v>
      </c>
      <c r="D2028" s="3">
        <v>5</v>
      </c>
      <c r="E2028" s="3">
        <v>2023</v>
      </c>
      <c r="F2028" s="3" t="str">
        <f>"Qtr"&amp; " " &amp;CHOOSE(MONTH(Table1[[#This Row],[Date]]),1,1,1,2,2,2,3,3,3,4,4,4)</f>
        <v>Qtr 2</v>
      </c>
      <c r="G2028" s="3" t="str">
        <f>TEXT(Table1[[#This Row],[Date]],"mmmm")</f>
        <v>May</v>
      </c>
      <c r="H2028" s="3" t="s">
        <v>1081</v>
      </c>
      <c r="I2028" s="3" t="s">
        <v>13</v>
      </c>
      <c r="J2028" s="3">
        <v>6</v>
      </c>
      <c r="K2028" s="3">
        <v>27556.53</v>
      </c>
      <c r="L2028" s="3">
        <f>Table1[[#This Row],[Price Per Unit]]*Table1[[#This Row],[Units Sold]]</f>
        <v>165339.18</v>
      </c>
      <c r="M2028" s="3" t="s">
        <v>784</v>
      </c>
      <c r="N2028" s="3">
        <v>32</v>
      </c>
      <c r="O2028" s="3" t="s">
        <v>54</v>
      </c>
      <c r="P2028" s="3" t="s">
        <v>16</v>
      </c>
      <c r="Q2028" s="4">
        <v>4</v>
      </c>
      <c r="R2028" s="4" t="str">
        <f>IF(Table1[[#This Row],[Customer Ratings]]&gt;=4, "Good",IF(Table1[[#This Row],[Customer Ratings]]=3, "Average","Poor"))</f>
        <v>Good</v>
      </c>
      <c r="S2028" s="3" t="s">
        <v>27</v>
      </c>
    </row>
    <row r="2029" spans="1:19" x14ac:dyDescent="0.25">
      <c r="A2029" s="3">
        <v>2028</v>
      </c>
      <c r="B2029" s="5">
        <f>DATE(Table1[[#This Row],[Year]],Table1[[#This Row],[Month]],Table1[[#This Row],[Day]])</f>
        <v>45054</v>
      </c>
      <c r="C2029" s="3">
        <v>8</v>
      </c>
      <c r="D2029" s="3">
        <v>5</v>
      </c>
      <c r="E2029" s="3">
        <v>2023</v>
      </c>
      <c r="F2029" s="3" t="str">
        <f>"Qtr"&amp; " " &amp;CHOOSE(MONTH(Table1[[#This Row],[Date]]),1,1,1,2,2,2,3,3,3,4,4,4)</f>
        <v>Qtr 2</v>
      </c>
      <c r="G2029" s="3" t="str">
        <f>TEXT(Table1[[#This Row],[Date]],"mmmm")</f>
        <v>May</v>
      </c>
      <c r="H2029" s="3" t="s">
        <v>1081</v>
      </c>
      <c r="I2029" s="3" t="s">
        <v>33</v>
      </c>
      <c r="J2029" s="3">
        <v>7</v>
      </c>
      <c r="K2029" s="3">
        <v>31467.1</v>
      </c>
      <c r="L2029" s="3">
        <f>Table1[[#This Row],[Price Per Unit]]*Table1[[#This Row],[Units Sold]]</f>
        <v>220269.69999999998</v>
      </c>
      <c r="M2029" s="3" t="s">
        <v>93</v>
      </c>
      <c r="N2029" s="3">
        <v>35</v>
      </c>
      <c r="O2029" s="3" t="s">
        <v>24</v>
      </c>
      <c r="P2029" s="3" t="s">
        <v>16</v>
      </c>
      <c r="Q2029" s="4">
        <v>4</v>
      </c>
      <c r="R2029" s="4" t="str">
        <f>IF(Table1[[#This Row],[Customer Ratings]]&gt;=4, "Good",IF(Table1[[#This Row],[Customer Ratings]]=3, "Average","Poor"))</f>
        <v>Good</v>
      </c>
      <c r="S2029" s="3" t="s">
        <v>46</v>
      </c>
    </row>
    <row r="2030" spans="1:19" x14ac:dyDescent="0.25">
      <c r="A2030" s="3">
        <v>2029</v>
      </c>
      <c r="B2030" s="5">
        <f>DATE(Table1[[#This Row],[Year]],Table1[[#This Row],[Month]],Table1[[#This Row],[Day]])</f>
        <v>45055</v>
      </c>
      <c r="C2030" s="3">
        <v>9</v>
      </c>
      <c r="D2030" s="3">
        <v>5</v>
      </c>
      <c r="E2030" s="3">
        <v>2023</v>
      </c>
      <c r="F2030" s="3" t="str">
        <f>"Qtr"&amp; " " &amp;CHOOSE(MONTH(Table1[[#This Row],[Date]]),1,1,1,2,2,2,3,3,3,4,4,4)</f>
        <v>Qtr 2</v>
      </c>
      <c r="G2030" s="3" t="str">
        <f>TEXT(Table1[[#This Row],[Date]],"mmmm")</f>
        <v>May</v>
      </c>
      <c r="H2030" s="3" t="s">
        <v>1082</v>
      </c>
      <c r="I2030" s="3" t="s">
        <v>18</v>
      </c>
      <c r="J2030" s="3">
        <v>2</v>
      </c>
      <c r="K2030" s="3">
        <v>66497.990000000005</v>
      </c>
      <c r="L2030" s="3">
        <f>Table1[[#This Row],[Price Per Unit]]*Table1[[#This Row],[Units Sold]]</f>
        <v>132995.98000000001</v>
      </c>
      <c r="M2030" s="3" t="s">
        <v>937</v>
      </c>
      <c r="N2030" s="3">
        <v>24</v>
      </c>
      <c r="O2030" s="3" t="s">
        <v>20</v>
      </c>
      <c r="P2030" s="3" t="s">
        <v>45</v>
      </c>
      <c r="Q2030" s="4">
        <v>4</v>
      </c>
      <c r="R2030" s="4" t="str">
        <f>IF(Table1[[#This Row],[Customer Ratings]]&gt;=4, "Good",IF(Table1[[#This Row],[Customer Ratings]]=3, "Average","Poor"))</f>
        <v>Good</v>
      </c>
      <c r="S2030" s="3" t="s">
        <v>25</v>
      </c>
    </row>
    <row r="2031" spans="1:19" x14ac:dyDescent="0.25">
      <c r="A2031" s="3">
        <v>2030</v>
      </c>
      <c r="B2031" s="5">
        <f>DATE(Table1[[#This Row],[Year]],Table1[[#This Row],[Month]],Table1[[#This Row],[Day]])</f>
        <v>45055</v>
      </c>
      <c r="C2031" s="3">
        <v>9</v>
      </c>
      <c r="D2031" s="3">
        <v>5</v>
      </c>
      <c r="E2031" s="3">
        <v>2023</v>
      </c>
      <c r="F2031" s="3" t="str">
        <f>"Qtr"&amp; " " &amp;CHOOSE(MONTH(Table1[[#This Row],[Date]]),1,1,1,2,2,2,3,3,3,4,4,4)</f>
        <v>Qtr 2</v>
      </c>
      <c r="G2031" s="3" t="str">
        <f>TEXT(Table1[[#This Row],[Date]],"mmmm")</f>
        <v>May</v>
      </c>
      <c r="H2031" s="3" t="s">
        <v>1082</v>
      </c>
      <c r="I2031" s="3" t="s">
        <v>13</v>
      </c>
      <c r="J2031" s="3">
        <v>2</v>
      </c>
      <c r="K2031" s="3">
        <v>52667.77</v>
      </c>
      <c r="L2031" s="3">
        <f>Table1[[#This Row],[Price Per Unit]]*Table1[[#This Row],[Units Sold]]</f>
        <v>105335.54</v>
      </c>
      <c r="M2031" s="3" t="s">
        <v>611</v>
      </c>
      <c r="N2031" s="3">
        <v>39</v>
      </c>
      <c r="O2031" s="3" t="s">
        <v>105</v>
      </c>
      <c r="P2031" s="3" t="s">
        <v>21</v>
      </c>
      <c r="Q2031" s="4">
        <v>2</v>
      </c>
      <c r="R2031" s="4" t="str">
        <f>IF(Table1[[#This Row],[Customer Ratings]]&gt;=4, "Good",IF(Table1[[#This Row],[Customer Ratings]]=3, "Average","Poor"))</f>
        <v>Poor</v>
      </c>
      <c r="S2031" s="3" t="s">
        <v>72</v>
      </c>
    </row>
    <row r="2032" spans="1:19" x14ac:dyDescent="0.25">
      <c r="A2032" s="3">
        <v>2031</v>
      </c>
      <c r="B2032" s="5">
        <f>DATE(Table1[[#This Row],[Year]],Table1[[#This Row],[Month]],Table1[[#This Row],[Day]])</f>
        <v>45055</v>
      </c>
      <c r="C2032" s="3">
        <v>9</v>
      </c>
      <c r="D2032" s="3">
        <v>5</v>
      </c>
      <c r="E2032" s="3">
        <v>2023</v>
      </c>
      <c r="F2032" s="3" t="str">
        <f>"Qtr"&amp; " " &amp;CHOOSE(MONTH(Table1[[#This Row],[Date]]),1,1,1,2,2,2,3,3,3,4,4,4)</f>
        <v>Qtr 2</v>
      </c>
      <c r="G2032" s="3" t="str">
        <f>TEXT(Table1[[#This Row],[Date]],"mmmm")</f>
        <v>May</v>
      </c>
      <c r="H2032" s="3" t="s">
        <v>1082</v>
      </c>
      <c r="I2032" s="3" t="s">
        <v>13</v>
      </c>
      <c r="J2032" s="3">
        <v>1</v>
      </c>
      <c r="K2032" s="3">
        <v>27738.3</v>
      </c>
      <c r="L2032" s="3">
        <f>Table1[[#This Row],[Price Per Unit]]*Table1[[#This Row],[Units Sold]]</f>
        <v>27738.3</v>
      </c>
      <c r="M2032" s="3" t="s">
        <v>754</v>
      </c>
      <c r="N2032" s="3">
        <v>49</v>
      </c>
      <c r="O2032" s="3" t="s">
        <v>20</v>
      </c>
      <c r="P2032" s="3" t="s">
        <v>21</v>
      </c>
      <c r="Q2032" s="4">
        <v>4</v>
      </c>
      <c r="R2032" s="4" t="str">
        <f>IF(Table1[[#This Row],[Customer Ratings]]&gt;=4, "Good",IF(Table1[[#This Row],[Customer Ratings]]=3, "Average","Poor"))</f>
        <v>Good</v>
      </c>
      <c r="S2032" s="3" t="s">
        <v>27</v>
      </c>
    </row>
    <row r="2033" spans="1:19" x14ac:dyDescent="0.25">
      <c r="A2033" s="3">
        <v>2032</v>
      </c>
      <c r="B2033" s="5">
        <f>DATE(Table1[[#This Row],[Year]],Table1[[#This Row],[Month]],Table1[[#This Row],[Day]])</f>
        <v>45055</v>
      </c>
      <c r="C2033" s="3">
        <v>9</v>
      </c>
      <c r="D2033" s="3">
        <v>5</v>
      </c>
      <c r="E2033" s="3">
        <v>2023</v>
      </c>
      <c r="F2033" s="3" t="str">
        <f>"Qtr"&amp; " " &amp;CHOOSE(MONTH(Table1[[#This Row],[Date]]),1,1,1,2,2,2,3,3,3,4,4,4)</f>
        <v>Qtr 2</v>
      </c>
      <c r="G2033" s="3" t="str">
        <f>TEXT(Table1[[#This Row],[Date]],"mmmm")</f>
        <v>May</v>
      </c>
      <c r="H2033" s="3" t="s">
        <v>1082</v>
      </c>
      <c r="I2033" s="3" t="s">
        <v>18</v>
      </c>
      <c r="J2033" s="3">
        <v>4</v>
      </c>
      <c r="K2033" s="3">
        <v>44862.79</v>
      </c>
      <c r="L2033" s="3">
        <f>Table1[[#This Row],[Price Per Unit]]*Table1[[#This Row],[Units Sold]]</f>
        <v>179451.16</v>
      </c>
      <c r="M2033" s="3" t="s">
        <v>382</v>
      </c>
      <c r="N2033" s="3">
        <v>36</v>
      </c>
      <c r="O2033" s="3" t="s">
        <v>54</v>
      </c>
      <c r="P2033" s="3" t="s">
        <v>31</v>
      </c>
      <c r="Q2033" s="4">
        <v>5</v>
      </c>
      <c r="R2033" s="4" t="str">
        <f>IF(Table1[[#This Row],[Customer Ratings]]&gt;=4, "Good",IF(Table1[[#This Row],[Customer Ratings]]=3, "Average","Poor"))</f>
        <v>Good</v>
      </c>
      <c r="S2033" s="3" t="s">
        <v>25</v>
      </c>
    </row>
    <row r="2034" spans="1:19" x14ac:dyDescent="0.25">
      <c r="A2034" s="3">
        <v>2033</v>
      </c>
      <c r="B2034" s="5">
        <f>DATE(Table1[[#This Row],[Year]],Table1[[#This Row],[Month]],Table1[[#This Row],[Day]])</f>
        <v>45056</v>
      </c>
      <c r="C2034" s="3">
        <v>10</v>
      </c>
      <c r="D2034" s="3">
        <v>5</v>
      </c>
      <c r="E2034" s="3">
        <v>2023</v>
      </c>
      <c r="F2034" s="3" t="str">
        <f>"Qtr"&amp; " " &amp;CHOOSE(MONTH(Table1[[#This Row],[Date]]),1,1,1,2,2,2,3,3,3,4,4,4)</f>
        <v>Qtr 2</v>
      </c>
      <c r="G2034" s="3" t="str">
        <f>TEXT(Table1[[#This Row],[Date]],"mmmm")</f>
        <v>May</v>
      </c>
      <c r="H2034" s="3" t="s">
        <v>1083</v>
      </c>
      <c r="I2034" s="3" t="s">
        <v>33</v>
      </c>
      <c r="J2034" s="3">
        <v>7</v>
      </c>
      <c r="K2034" s="3">
        <v>66653.77</v>
      </c>
      <c r="L2034" s="3">
        <f>Table1[[#This Row],[Price Per Unit]]*Table1[[#This Row],[Units Sold]]</f>
        <v>466576.39</v>
      </c>
      <c r="M2034" s="3" t="s">
        <v>707</v>
      </c>
      <c r="N2034" s="3">
        <v>57</v>
      </c>
      <c r="O2034" s="3" t="s">
        <v>58</v>
      </c>
      <c r="P2034" s="3" t="s">
        <v>45</v>
      </c>
      <c r="Q2034" s="4">
        <v>1</v>
      </c>
      <c r="R2034" s="4" t="str">
        <f>IF(Table1[[#This Row],[Customer Ratings]]&gt;=4, "Good",IF(Table1[[#This Row],[Customer Ratings]]=3, "Average","Poor"))</f>
        <v>Poor</v>
      </c>
      <c r="S2034" s="3" t="s">
        <v>36</v>
      </c>
    </row>
    <row r="2035" spans="1:19" x14ac:dyDescent="0.25">
      <c r="A2035" s="3">
        <v>2034</v>
      </c>
      <c r="B2035" s="5">
        <f>DATE(Table1[[#This Row],[Year]],Table1[[#This Row],[Month]],Table1[[#This Row],[Day]])</f>
        <v>45056</v>
      </c>
      <c r="C2035" s="3">
        <v>10</v>
      </c>
      <c r="D2035" s="3">
        <v>5</v>
      </c>
      <c r="E2035" s="3">
        <v>2023</v>
      </c>
      <c r="F2035" s="3" t="str">
        <f>"Qtr"&amp; " " &amp;CHOOSE(MONTH(Table1[[#This Row],[Date]]),1,1,1,2,2,2,3,3,3,4,4,4)</f>
        <v>Qtr 2</v>
      </c>
      <c r="G2035" s="3" t="str">
        <f>TEXT(Table1[[#This Row],[Date]],"mmmm")</f>
        <v>May</v>
      </c>
      <c r="H2035" s="3" t="s">
        <v>1083</v>
      </c>
      <c r="I2035" s="3" t="s">
        <v>33</v>
      </c>
      <c r="J2035" s="3">
        <v>9</v>
      </c>
      <c r="K2035" s="3">
        <v>58708.79</v>
      </c>
      <c r="L2035" s="3">
        <f>Table1[[#This Row],[Price Per Unit]]*Table1[[#This Row],[Units Sold]]</f>
        <v>528379.11</v>
      </c>
      <c r="M2035" s="3" t="s">
        <v>938</v>
      </c>
      <c r="N2035" s="3">
        <v>18</v>
      </c>
      <c r="O2035" s="3" t="s">
        <v>58</v>
      </c>
      <c r="P2035" s="3" t="s">
        <v>21</v>
      </c>
      <c r="Q2035" s="4">
        <v>5</v>
      </c>
      <c r="R2035" s="4" t="str">
        <f>IF(Table1[[#This Row],[Customer Ratings]]&gt;=4, "Good",IF(Table1[[#This Row],[Customer Ratings]]=3, "Average","Poor"))</f>
        <v>Good</v>
      </c>
      <c r="S2035" s="3" t="s">
        <v>83</v>
      </c>
    </row>
    <row r="2036" spans="1:19" x14ac:dyDescent="0.25">
      <c r="A2036" s="3">
        <v>2035</v>
      </c>
      <c r="B2036" s="5">
        <f>DATE(Table1[[#This Row],[Year]],Table1[[#This Row],[Month]],Table1[[#This Row],[Day]])</f>
        <v>45056</v>
      </c>
      <c r="C2036" s="3">
        <v>10</v>
      </c>
      <c r="D2036" s="3">
        <v>5</v>
      </c>
      <c r="E2036" s="3">
        <v>2023</v>
      </c>
      <c r="F2036" s="3" t="str">
        <f>"Qtr"&amp; " " &amp;CHOOSE(MONTH(Table1[[#This Row],[Date]]),1,1,1,2,2,2,3,3,3,4,4,4)</f>
        <v>Qtr 2</v>
      </c>
      <c r="G2036" s="3" t="str">
        <f>TEXT(Table1[[#This Row],[Date]],"mmmm")</f>
        <v>May</v>
      </c>
      <c r="H2036" s="3" t="s">
        <v>1083</v>
      </c>
      <c r="I2036" s="3" t="s">
        <v>39</v>
      </c>
      <c r="J2036" s="3">
        <v>3</v>
      </c>
      <c r="K2036" s="3">
        <v>54509.96</v>
      </c>
      <c r="L2036" s="3">
        <f>Table1[[#This Row],[Price Per Unit]]*Table1[[#This Row],[Units Sold]]</f>
        <v>163529.88</v>
      </c>
      <c r="M2036" s="3" t="s">
        <v>281</v>
      </c>
      <c r="N2036" s="3">
        <v>52</v>
      </c>
      <c r="O2036" s="3" t="s">
        <v>125</v>
      </c>
      <c r="P2036" s="3" t="s">
        <v>21</v>
      </c>
      <c r="Q2036" s="4">
        <v>4</v>
      </c>
      <c r="R2036" s="4" t="str">
        <f>IF(Table1[[#This Row],[Customer Ratings]]&gt;=4, "Good",IF(Table1[[#This Row],[Customer Ratings]]=3, "Average","Poor"))</f>
        <v>Good</v>
      </c>
      <c r="S2036" s="3" t="s">
        <v>90</v>
      </c>
    </row>
    <row r="2037" spans="1:19" x14ac:dyDescent="0.25">
      <c r="A2037" s="3">
        <v>2036</v>
      </c>
      <c r="B2037" s="5">
        <f>DATE(Table1[[#This Row],[Year]],Table1[[#This Row],[Month]],Table1[[#This Row],[Day]])</f>
        <v>45056</v>
      </c>
      <c r="C2037" s="3">
        <v>10</v>
      </c>
      <c r="D2037" s="3">
        <v>5</v>
      </c>
      <c r="E2037" s="3">
        <v>2023</v>
      </c>
      <c r="F2037" s="3" t="str">
        <f>"Qtr"&amp; " " &amp;CHOOSE(MONTH(Table1[[#This Row],[Date]]),1,1,1,2,2,2,3,3,3,4,4,4)</f>
        <v>Qtr 2</v>
      </c>
      <c r="G2037" s="3" t="str">
        <f>TEXT(Table1[[#This Row],[Date]],"mmmm")</f>
        <v>May</v>
      </c>
      <c r="H2037" s="3" t="s">
        <v>1083</v>
      </c>
      <c r="I2037" s="3" t="s">
        <v>28</v>
      </c>
      <c r="J2037" s="3">
        <v>7</v>
      </c>
      <c r="K2037" s="3">
        <v>54219.78</v>
      </c>
      <c r="L2037" s="3">
        <f>Table1[[#This Row],[Price Per Unit]]*Table1[[#This Row],[Units Sold]]</f>
        <v>379538.45999999996</v>
      </c>
      <c r="M2037" s="3" t="s">
        <v>816</v>
      </c>
      <c r="N2037" s="3">
        <v>22</v>
      </c>
      <c r="O2037" s="3" t="s">
        <v>24</v>
      </c>
      <c r="P2037" s="3" t="s">
        <v>45</v>
      </c>
      <c r="Q2037" s="4">
        <v>2</v>
      </c>
      <c r="R2037" s="4" t="str">
        <f>IF(Table1[[#This Row],[Customer Ratings]]&gt;=4, "Good",IF(Table1[[#This Row],[Customer Ratings]]=3, "Average","Poor"))</f>
        <v>Poor</v>
      </c>
      <c r="S2037" s="3" t="s">
        <v>32</v>
      </c>
    </row>
    <row r="2038" spans="1:19" x14ac:dyDescent="0.25">
      <c r="A2038" s="3">
        <v>2037</v>
      </c>
      <c r="B2038" s="5">
        <f>DATE(Table1[[#This Row],[Year]],Table1[[#This Row],[Month]],Table1[[#This Row],[Day]])</f>
        <v>45057</v>
      </c>
      <c r="C2038" s="3">
        <v>11</v>
      </c>
      <c r="D2038" s="3">
        <v>5</v>
      </c>
      <c r="E2038" s="3">
        <v>2023</v>
      </c>
      <c r="F2038" s="3" t="str">
        <f>"Qtr"&amp; " " &amp;CHOOSE(MONTH(Table1[[#This Row],[Date]]),1,1,1,2,2,2,3,3,3,4,4,4)</f>
        <v>Qtr 2</v>
      </c>
      <c r="G2038" s="3" t="str">
        <f>TEXT(Table1[[#This Row],[Date]],"mmmm")</f>
        <v>May</v>
      </c>
      <c r="H2038" s="3" t="s">
        <v>1084</v>
      </c>
      <c r="I2038" s="3" t="s">
        <v>18</v>
      </c>
      <c r="J2038" s="3">
        <v>7</v>
      </c>
      <c r="K2038" s="3">
        <v>20681.22</v>
      </c>
      <c r="L2038" s="3">
        <f>Table1[[#This Row],[Price Per Unit]]*Table1[[#This Row],[Units Sold]]</f>
        <v>144768.54</v>
      </c>
      <c r="M2038" s="3" t="s">
        <v>502</v>
      </c>
      <c r="N2038" s="3">
        <v>29</v>
      </c>
      <c r="O2038" s="3" t="s">
        <v>24</v>
      </c>
      <c r="P2038" s="3" t="s">
        <v>16</v>
      </c>
      <c r="Q2038" s="4">
        <v>1</v>
      </c>
      <c r="R2038" s="4" t="str">
        <f>IF(Table1[[#This Row],[Customer Ratings]]&gt;=4, "Good",IF(Table1[[#This Row],[Customer Ratings]]=3, "Average","Poor"))</f>
        <v>Poor</v>
      </c>
      <c r="S2038" s="3" t="s">
        <v>22</v>
      </c>
    </row>
    <row r="2039" spans="1:19" x14ac:dyDescent="0.25">
      <c r="A2039" s="3">
        <v>2038</v>
      </c>
      <c r="B2039" s="5">
        <f>DATE(Table1[[#This Row],[Year]],Table1[[#This Row],[Month]],Table1[[#This Row],[Day]])</f>
        <v>45057</v>
      </c>
      <c r="C2039" s="3">
        <v>11</v>
      </c>
      <c r="D2039" s="3">
        <v>5</v>
      </c>
      <c r="E2039" s="3">
        <v>2023</v>
      </c>
      <c r="F2039" s="3" t="str">
        <f>"Qtr"&amp; " " &amp;CHOOSE(MONTH(Table1[[#This Row],[Date]]),1,1,1,2,2,2,3,3,3,4,4,4)</f>
        <v>Qtr 2</v>
      </c>
      <c r="G2039" s="3" t="str">
        <f>TEXT(Table1[[#This Row],[Date]],"mmmm")</f>
        <v>May</v>
      </c>
      <c r="H2039" s="3" t="s">
        <v>1084</v>
      </c>
      <c r="I2039" s="3" t="s">
        <v>18</v>
      </c>
      <c r="J2039" s="3">
        <v>7</v>
      </c>
      <c r="K2039" s="3">
        <v>59480.87</v>
      </c>
      <c r="L2039" s="3">
        <f>Table1[[#This Row],[Price Per Unit]]*Table1[[#This Row],[Units Sold]]</f>
        <v>416366.09</v>
      </c>
      <c r="M2039" s="3" t="s">
        <v>918</v>
      </c>
      <c r="N2039" s="3">
        <v>29</v>
      </c>
      <c r="O2039" s="3" t="s">
        <v>41</v>
      </c>
      <c r="P2039" s="3" t="s">
        <v>45</v>
      </c>
      <c r="Q2039" s="4">
        <v>5</v>
      </c>
      <c r="R2039" s="4" t="str">
        <f>IF(Table1[[#This Row],[Customer Ratings]]&gt;=4, "Good",IF(Table1[[#This Row],[Customer Ratings]]=3, "Average","Poor"))</f>
        <v>Good</v>
      </c>
      <c r="S2039" s="3" t="s">
        <v>55</v>
      </c>
    </row>
    <row r="2040" spans="1:19" x14ac:dyDescent="0.25">
      <c r="A2040" s="3">
        <v>2039</v>
      </c>
      <c r="B2040" s="5">
        <f>DATE(Table1[[#This Row],[Year]],Table1[[#This Row],[Month]],Table1[[#This Row],[Day]])</f>
        <v>45057</v>
      </c>
      <c r="C2040" s="3">
        <v>11</v>
      </c>
      <c r="D2040" s="3">
        <v>5</v>
      </c>
      <c r="E2040" s="3">
        <v>2023</v>
      </c>
      <c r="F2040" s="3" t="str">
        <f>"Qtr"&amp; " " &amp;CHOOSE(MONTH(Table1[[#This Row],[Date]]),1,1,1,2,2,2,3,3,3,4,4,4)</f>
        <v>Qtr 2</v>
      </c>
      <c r="G2040" s="3" t="str">
        <f>TEXT(Table1[[#This Row],[Date]],"mmmm")</f>
        <v>May</v>
      </c>
      <c r="H2040" s="3" t="s">
        <v>1084</v>
      </c>
      <c r="I2040" s="3" t="s">
        <v>18</v>
      </c>
      <c r="J2040" s="3">
        <v>2</v>
      </c>
      <c r="K2040" s="3">
        <v>26567.119999999999</v>
      </c>
      <c r="L2040" s="3">
        <f>Table1[[#This Row],[Price Per Unit]]*Table1[[#This Row],[Units Sold]]</f>
        <v>53134.239999999998</v>
      </c>
      <c r="M2040" s="3" t="s">
        <v>649</v>
      </c>
      <c r="N2040" s="3">
        <v>38</v>
      </c>
      <c r="O2040" s="3" t="s">
        <v>20</v>
      </c>
      <c r="P2040" s="3" t="s">
        <v>45</v>
      </c>
      <c r="Q2040" s="4">
        <v>1</v>
      </c>
      <c r="R2040" s="4" t="str">
        <f>IF(Table1[[#This Row],[Customer Ratings]]&gt;=4, "Good",IF(Table1[[#This Row],[Customer Ratings]]=3, "Average","Poor"))</f>
        <v>Poor</v>
      </c>
      <c r="S2040" s="3" t="s">
        <v>22</v>
      </c>
    </row>
    <row r="2041" spans="1:19" x14ac:dyDescent="0.25">
      <c r="A2041" s="3">
        <v>2040</v>
      </c>
      <c r="B2041" s="5">
        <f>DATE(Table1[[#This Row],[Year]],Table1[[#This Row],[Month]],Table1[[#This Row],[Day]])</f>
        <v>45057</v>
      </c>
      <c r="C2041" s="3">
        <v>11</v>
      </c>
      <c r="D2041" s="3">
        <v>5</v>
      </c>
      <c r="E2041" s="3">
        <v>2023</v>
      </c>
      <c r="F2041" s="3" t="str">
        <f>"Qtr"&amp; " " &amp;CHOOSE(MONTH(Table1[[#This Row],[Date]]),1,1,1,2,2,2,3,3,3,4,4,4)</f>
        <v>Qtr 2</v>
      </c>
      <c r="G2041" s="3" t="str">
        <f>TEXT(Table1[[#This Row],[Date]],"mmmm")</f>
        <v>May</v>
      </c>
      <c r="H2041" s="3" t="s">
        <v>1084</v>
      </c>
      <c r="I2041" s="3" t="s">
        <v>33</v>
      </c>
      <c r="J2041" s="3">
        <v>6</v>
      </c>
      <c r="K2041" s="3">
        <v>65822</v>
      </c>
      <c r="L2041" s="3">
        <f>Table1[[#This Row],[Price Per Unit]]*Table1[[#This Row],[Units Sold]]</f>
        <v>394932</v>
      </c>
      <c r="M2041" s="3" t="s">
        <v>75</v>
      </c>
      <c r="N2041" s="3">
        <v>36</v>
      </c>
      <c r="O2041" s="3" t="s">
        <v>125</v>
      </c>
      <c r="P2041" s="3" t="s">
        <v>21</v>
      </c>
      <c r="Q2041" s="4">
        <v>1</v>
      </c>
      <c r="R2041" s="4" t="str">
        <f>IF(Table1[[#This Row],[Customer Ratings]]&gt;=4, "Good",IF(Table1[[#This Row],[Customer Ratings]]=3, "Average","Poor"))</f>
        <v>Poor</v>
      </c>
      <c r="S2041" s="3" t="s">
        <v>36</v>
      </c>
    </row>
    <row r="2042" spans="1:19" x14ac:dyDescent="0.25">
      <c r="A2042" s="3">
        <v>2041</v>
      </c>
      <c r="B2042" s="5">
        <f>DATE(Table1[[#This Row],[Year]],Table1[[#This Row],[Month]],Table1[[#This Row],[Day]])</f>
        <v>45058</v>
      </c>
      <c r="C2042" s="3">
        <v>12</v>
      </c>
      <c r="D2042" s="3">
        <v>5</v>
      </c>
      <c r="E2042" s="3">
        <v>2023</v>
      </c>
      <c r="F2042" s="3" t="str">
        <f>"Qtr"&amp; " " &amp;CHOOSE(MONTH(Table1[[#This Row],[Date]]),1,1,1,2,2,2,3,3,3,4,4,4)</f>
        <v>Qtr 2</v>
      </c>
      <c r="G2042" s="3" t="str">
        <f>TEXT(Table1[[#This Row],[Date]],"mmmm")</f>
        <v>May</v>
      </c>
      <c r="H2042" s="3" t="s">
        <v>1085</v>
      </c>
      <c r="I2042" s="3" t="s">
        <v>28</v>
      </c>
      <c r="J2042" s="3">
        <v>2</v>
      </c>
      <c r="K2042" s="3">
        <v>31878.400000000001</v>
      </c>
      <c r="L2042" s="3">
        <f>Table1[[#This Row],[Price Per Unit]]*Table1[[#This Row],[Units Sold]]</f>
        <v>63756.800000000003</v>
      </c>
      <c r="M2042" s="3" t="s">
        <v>472</v>
      </c>
      <c r="N2042" s="3">
        <v>26</v>
      </c>
      <c r="O2042" s="3" t="s">
        <v>24</v>
      </c>
      <c r="P2042" s="3" t="s">
        <v>31</v>
      </c>
      <c r="Q2042" s="4">
        <v>1</v>
      </c>
      <c r="R2042" s="4" t="str">
        <f>IF(Table1[[#This Row],[Customer Ratings]]&gt;=4, "Good",IF(Table1[[#This Row],[Customer Ratings]]=3, "Average","Poor"))</f>
        <v>Poor</v>
      </c>
      <c r="S2042" s="3" t="s">
        <v>87</v>
      </c>
    </row>
    <row r="2043" spans="1:19" x14ac:dyDescent="0.25">
      <c r="A2043" s="3">
        <v>2042</v>
      </c>
      <c r="B2043" s="5">
        <f>DATE(Table1[[#This Row],[Year]],Table1[[#This Row],[Month]],Table1[[#This Row],[Day]])</f>
        <v>45058</v>
      </c>
      <c r="C2043" s="3">
        <v>12</v>
      </c>
      <c r="D2043" s="3">
        <v>5</v>
      </c>
      <c r="E2043" s="3">
        <v>2023</v>
      </c>
      <c r="F2043" s="3" t="str">
        <f>"Qtr"&amp; " " &amp;CHOOSE(MONTH(Table1[[#This Row],[Date]]),1,1,1,2,2,2,3,3,3,4,4,4)</f>
        <v>Qtr 2</v>
      </c>
      <c r="G2043" s="3" t="str">
        <f>TEXT(Table1[[#This Row],[Date]],"mmmm")</f>
        <v>May</v>
      </c>
      <c r="H2043" s="3" t="s">
        <v>1085</v>
      </c>
      <c r="I2043" s="3" t="s">
        <v>39</v>
      </c>
      <c r="J2043" s="3">
        <v>6</v>
      </c>
      <c r="K2043" s="3">
        <v>61459.62</v>
      </c>
      <c r="L2043" s="3">
        <f>Table1[[#This Row],[Price Per Unit]]*Table1[[#This Row],[Units Sold]]</f>
        <v>368757.72000000003</v>
      </c>
      <c r="M2043" s="3" t="s">
        <v>655</v>
      </c>
      <c r="N2043" s="3">
        <v>53</v>
      </c>
      <c r="O2043" s="3" t="s">
        <v>30</v>
      </c>
      <c r="P2043" s="3" t="s">
        <v>21</v>
      </c>
      <c r="Q2043" s="4">
        <v>4</v>
      </c>
      <c r="R2043" s="4" t="str">
        <f>IF(Table1[[#This Row],[Customer Ratings]]&gt;=4, "Good",IF(Table1[[#This Row],[Customer Ratings]]=3, "Average","Poor"))</f>
        <v>Good</v>
      </c>
      <c r="S2043" s="3" t="s">
        <v>90</v>
      </c>
    </row>
    <row r="2044" spans="1:19" x14ac:dyDescent="0.25">
      <c r="A2044" s="3">
        <v>2043</v>
      </c>
      <c r="B2044" s="5">
        <f>DATE(Table1[[#This Row],[Year]],Table1[[#This Row],[Month]],Table1[[#This Row],[Day]])</f>
        <v>45058</v>
      </c>
      <c r="C2044" s="3">
        <v>12</v>
      </c>
      <c r="D2044" s="3">
        <v>5</v>
      </c>
      <c r="E2044" s="3">
        <v>2023</v>
      </c>
      <c r="F2044" s="3" t="str">
        <f>"Qtr"&amp; " " &amp;CHOOSE(MONTH(Table1[[#This Row],[Date]]),1,1,1,2,2,2,3,3,3,4,4,4)</f>
        <v>Qtr 2</v>
      </c>
      <c r="G2044" s="3" t="str">
        <f>TEXT(Table1[[#This Row],[Date]],"mmmm")</f>
        <v>May</v>
      </c>
      <c r="H2044" s="3" t="s">
        <v>1085</v>
      </c>
      <c r="I2044" s="3" t="s">
        <v>13</v>
      </c>
      <c r="J2044" s="3">
        <v>3</v>
      </c>
      <c r="K2044" s="3">
        <v>25974.01</v>
      </c>
      <c r="L2044" s="3">
        <f>Table1[[#This Row],[Price Per Unit]]*Table1[[#This Row],[Units Sold]]</f>
        <v>77922.03</v>
      </c>
      <c r="M2044" s="3" t="s">
        <v>295</v>
      </c>
      <c r="N2044" s="3">
        <v>59</v>
      </c>
      <c r="O2044" s="3" t="s">
        <v>20</v>
      </c>
      <c r="P2044" s="3" t="s">
        <v>21</v>
      </c>
      <c r="Q2044" s="4">
        <v>4</v>
      </c>
      <c r="R2044" s="4" t="str">
        <f>IF(Table1[[#This Row],[Customer Ratings]]&gt;=4, "Good",IF(Table1[[#This Row],[Customer Ratings]]=3, "Average","Poor"))</f>
        <v>Good</v>
      </c>
      <c r="S2044" s="3" t="s">
        <v>72</v>
      </c>
    </row>
    <row r="2045" spans="1:19" x14ac:dyDescent="0.25">
      <c r="A2045" s="3">
        <v>2044</v>
      </c>
      <c r="B2045" s="5">
        <f>DATE(Table1[[#This Row],[Year]],Table1[[#This Row],[Month]],Table1[[#This Row],[Day]])</f>
        <v>45058</v>
      </c>
      <c r="C2045" s="3">
        <v>12</v>
      </c>
      <c r="D2045" s="3">
        <v>5</v>
      </c>
      <c r="E2045" s="3">
        <v>2023</v>
      </c>
      <c r="F2045" s="3" t="str">
        <f>"Qtr"&amp; " " &amp;CHOOSE(MONTH(Table1[[#This Row],[Date]]),1,1,1,2,2,2,3,3,3,4,4,4)</f>
        <v>Qtr 2</v>
      </c>
      <c r="G2045" s="3" t="str">
        <f>TEXT(Table1[[#This Row],[Date]],"mmmm")</f>
        <v>May</v>
      </c>
      <c r="H2045" s="3" t="s">
        <v>1085</v>
      </c>
      <c r="I2045" s="3" t="s">
        <v>13</v>
      </c>
      <c r="J2045" s="3">
        <v>2</v>
      </c>
      <c r="K2045" s="3">
        <v>40871.620000000003</v>
      </c>
      <c r="L2045" s="3">
        <f>Table1[[#This Row],[Price Per Unit]]*Table1[[#This Row],[Units Sold]]</f>
        <v>81743.240000000005</v>
      </c>
      <c r="M2045" s="3" t="s">
        <v>939</v>
      </c>
      <c r="N2045" s="3">
        <v>49</v>
      </c>
      <c r="O2045" s="3" t="s">
        <v>125</v>
      </c>
      <c r="P2045" s="3" t="s">
        <v>21</v>
      </c>
      <c r="Q2045" s="4">
        <v>4</v>
      </c>
      <c r="R2045" s="4" t="str">
        <f>IF(Table1[[#This Row],[Customer Ratings]]&gt;=4, "Good",IF(Table1[[#This Row],[Customer Ratings]]=3, "Average","Poor"))</f>
        <v>Good</v>
      </c>
      <c r="S2045" s="3" t="s">
        <v>27</v>
      </c>
    </row>
    <row r="2046" spans="1:19" x14ac:dyDescent="0.25">
      <c r="A2046" s="3">
        <v>2045</v>
      </c>
      <c r="B2046" s="5">
        <f>DATE(Table1[[#This Row],[Year]],Table1[[#This Row],[Month]],Table1[[#This Row],[Day]])</f>
        <v>45059</v>
      </c>
      <c r="C2046" s="3">
        <v>13</v>
      </c>
      <c r="D2046" s="3">
        <v>5</v>
      </c>
      <c r="E2046" s="3">
        <v>2023</v>
      </c>
      <c r="F2046" s="3" t="str">
        <f>"Qtr"&amp; " " &amp;CHOOSE(MONTH(Table1[[#This Row],[Date]]),1,1,1,2,2,2,3,3,3,4,4,4)</f>
        <v>Qtr 2</v>
      </c>
      <c r="G2046" s="3" t="str">
        <f>TEXT(Table1[[#This Row],[Date]],"mmmm")</f>
        <v>May</v>
      </c>
      <c r="H2046" s="3" t="s">
        <v>1079</v>
      </c>
      <c r="I2046" s="3" t="s">
        <v>18</v>
      </c>
      <c r="J2046" s="3">
        <v>6</v>
      </c>
      <c r="K2046" s="3">
        <v>16413.12</v>
      </c>
      <c r="L2046" s="3">
        <f>Table1[[#This Row],[Price Per Unit]]*Table1[[#This Row],[Units Sold]]</f>
        <v>98478.720000000001</v>
      </c>
      <c r="M2046" s="3" t="s">
        <v>800</v>
      </c>
      <c r="N2046" s="3">
        <v>52</v>
      </c>
      <c r="O2046" s="3" t="s">
        <v>20</v>
      </c>
      <c r="P2046" s="3" t="s">
        <v>45</v>
      </c>
      <c r="Q2046" s="4">
        <v>2</v>
      </c>
      <c r="R2046" s="4" t="str">
        <f>IF(Table1[[#This Row],[Customer Ratings]]&gt;=4, "Good",IF(Table1[[#This Row],[Customer Ratings]]=3, "Average","Poor"))</f>
        <v>Poor</v>
      </c>
      <c r="S2046" s="3" t="s">
        <v>22</v>
      </c>
    </row>
    <row r="2047" spans="1:19" x14ac:dyDescent="0.25">
      <c r="A2047" s="3">
        <v>2046</v>
      </c>
      <c r="B2047" s="5">
        <f>DATE(Table1[[#This Row],[Year]],Table1[[#This Row],[Month]],Table1[[#This Row],[Day]])</f>
        <v>45059</v>
      </c>
      <c r="C2047" s="3">
        <v>13</v>
      </c>
      <c r="D2047" s="3">
        <v>5</v>
      </c>
      <c r="E2047" s="3">
        <v>2023</v>
      </c>
      <c r="F2047" s="3" t="str">
        <f>"Qtr"&amp; " " &amp;CHOOSE(MONTH(Table1[[#This Row],[Date]]),1,1,1,2,2,2,3,3,3,4,4,4)</f>
        <v>Qtr 2</v>
      </c>
      <c r="G2047" s="3" t="str">
        <f>TEXT(Table1[[#This Row],[Date]],"mmmm")</f>
        <v>May</v>
      </c>
      <c r="H2047" s="3" t="s">
        <v>1079</v>
      </c>
      <c r="I2047" s="3" t="s">
        <v>28</v>
      </c>
      <c r="J2047" s="3">
        <v>2</v>
      </c>
      <c r="K2047" s="3">
        <v>49607.13</v>
      </c>
      <c r="L2047" s="3">
        <f>Table1[[#This Row],[Price Per Unit]]*Table1[[#This Row],[Units Sold]]</f>
        <v>99214.26</v>
      </c>
      <c r="M2047" s="3" t="s">
        <v>940</v>
      </c>
      <c r="N2047" s="3">
        <v>48</v>
      </c>
      <c r="O2047" s="3" t="s">
        <v>58</v>
      </c>
      <c r="P2047" s="3" t="s">
        <v>45</v>
      </c>
      <c r="Q2047" s="4">
        <v>5</v>
      </c>
      <c r="R2047" s="4" t="str">
        <f>IF(Table1[[#This Row],[Customer Ratings]]&gt;=4, "Good",IF(Table1[[#This Row],[Customer Ratings]]=3, "Average","Poor"))</f>
        <v>Good</v>
      </c>
      <c r="S2047" s="3" t="s">
        <v>38</v>
      </c>
    </row>
    <row r="2048" spans="1:19" x14ac:dyDescent="0.25">
      <c r="A2048" s="3">
        <v>2047</v>
      </c>
      <c r="B2048" s="5">
        <f>DATE(Table1[[#This Row],[Year]],Table1[[#This Row],[Month]],Table1[[#This Row],[Day]])</f>
        <v>45059</v>
      </c>
      <c r="C2048" s="3">
        <v>13</v>
      </c>
      <c r="D2048" s="3">
        <v>5</v>
      </c>
      <c r="E2048" s="3">
        <v>2023</v>
      </c>
      <c r="F2048" s="3" t="str">
        <f>"Qtr"&amp; " " &amp;CHOOSE(MONTH(Table1[[#This Row],[Date]]),1,1,1,2,2,2,3,3,3,4,4,4)</f>
        <v>Qtr 2</v>
      </c>
      <c r="G2048" s="3" t="str">
        <f>TEXT(Table1[[#This Row],[Date]],"mmmm")</f>
        <v>May</v>
      </c>
      <c r="H2048" s="3" t="s">
        <v>1079</v>
      </c>
      <c r="I2048" s="3" t="s">
        <v>33</v>
      </c>
      <c r="J2048" s="3">
        <v>5</v>
      </c>
      <c r="K2048" s="3">
        <v>60164.76</v>
      </c>
      <c r="L2048" s="3">
        <f>Table1[[#This Row],[Price Per Unit]]*Table1[[#This Row],[Units Sold]]</f>
        <v>300823.8</v>
      </c>
      <c r="M2048" s="3" t="s">
        <v>879</v>
      </c>
      <c r="N2048" s="3">
        <v>49</v>
      </c>
      <c r="O2048" s="3" t="s">
        <v>20</v>
      </c>
      <c r="P2048" s="3" t="s">
        <v>21</v>
      </c>
      <c r="Q2048" s="4">
        <v>2</v>
      </c>
      <c r="R2048" s="4" t="str">
        <f>IF(Table1[[#This Row],[Customer Ratings]]&gt;=4, "Good",IF(Table1[[#This Row],[Customer Ratings]]=3, "Average","Poor"))</f>
        <v>Poor</v>
      </c>
      <c r="S2048" s="3" t="s">
        <v>46</v>
      </c>
    </row>
    <row r="2049" spans="1:19" x14ac:dyDescent="0.25">
      <c r="A2049" s="3">
        <v>2048</v>
      </c>
      <c r="B2049" s="5">
        <f>DATE(Table1[[#This Row],[Year]],Table1[[#This Row],[Month]],Table1[[#This Row],[Day]])</f>
        <v>45060</v>
      </c>
      <c r="C2049" s="3">
        <v>14</v>
      </c>
      <c r="D2049" s="3">
        <v>5</v>
      </c>
      <c r="E2049" s="3">
        <v>2023</v>
      </c>
      <c r="F2049" s="3" t="str">
        <f>"Qtr"&amp; " " &amp;CHOOSE(MONTH(Table1[[#This Row],[Date]]),1,1,1,2,2,2,3,3,3,4,4,4)</f>
        <v>Qtr 2</v>
      </c>
      <c r="G2049" s="3" t="str">
        <f>TEXT(Table1[[#This Row],[Date]],"mmmm")</f>
        <v>May</v>
      </c>
      <c r="H2049" s="3" t="s">
        <v>1080</v>
      </c>
      <c r="I2049" s="3" t="s">
        <v>28</v>
      </c>
      <c r="J2049" s="3">
        <v>2</v>
      </c>
      <c r="K2049" s="3">
        <v>53106.84</v>
      </c>
      <c r="L2049" s="3">
        <f>Table1[[#This Row],[Price Per Unit]]*Table1[[#This Row],[Units Sold]]</f>
        <v>106213.68</v>
      </c>
      <c r="M2049" s="3" t="s">
        <v>169</v>
      </c>
      <c r="N2049" s="3">
        <v>54</v>
      </c>
      <c r="O2049" s="3" t="s">
        <v>20</v>
      </c>
      <c r="P2049" s="3" t="s">
        <v>21</v>
      </c>
      <c r="Q2049" s="4">
        <v>5</v>
      </c>
      <c r="R2049" s="4" t="str">
        <f>IF(Table1[[#This Row],[Customer Ratings]]&gt;=4, "Good",IF(Table1[[#This Row],[Customer Ratings]]=3, "Average","Poor"))</f>
        <v>Good</v>
      </c>
      <c r="S2049" s="3" t="s">
        <v>38</v>
      </c>
    </row>
    <row r="2050" spans="1:19" x14ac:dyDescent="0.25">
      <c r="A2050" s="3">
        <v>2049</v>
      </c>
      <c r="B2050" s="5">
        <f>DATE(Table1[[#This Row],[Year]],Table1[[#This Row],[Month]],Table1[[#This Row],[Day]])</f>
        <v>45060</v>
      </c>
      <c r="C2050" s="3">
        <v>14</v>
      </c>
      <c r="D2050" s="3">
        <v>5</v>
      </c>
      <c r="E2050" s="3">
        <v>2023</v>
      </c>
      <c r="F2050" s="3" t="str">
        <f>"Qtr"&amp; " " &amp;CHOOSE(MONTH(Table1[[#This Row],[Date]]),1,1,1,2,2,2,3,3,3,4,4,4)</f>
        <v>Qtr 2</v>
      </c>
      <c r="G2050" s="3" t="str">
        <f>TEXT(Table1[[#This Row],[Date]],"mmmm")</f>
        <v>May</v>
      </c>
      <c r="H2050" s="3" t="s">
        <v>1080</v>
      </c>
      <c r="I2050" s="3" t="s">
        <v>28</v>
      </c>
      <c r="J2050" s="3">
        <v>3</v>
      </c>
      <c r="K2050" s="3">
        <v>41395.51</v>
      </c>
      <c r="L2050" s="3">
        <f>Table1[[#This Row],[Price Per Unit]]*Table1[[#This Row],[Units Sold]]</f>
        <v>124186.53</v>
      </c>
      <c r="M2050" s="3" t="s">
        <v>497</v>
      </c>
      <c r="N2050" s="3">
        <v>49</v>
      </c>
      <c r="O2050" s="3" t="s">
        <v>48</v>
      </c>
      <c r="P2050" s="3" t="s">
        <v>31</v>
      </c>
      <c r="Q2050" s="4">
        <v>1</v>
      </c>
      <c r="R2050" s="4" t="str">
        <f>IF(Table1[[#This Row],[Customer Ratings]]&gt;=4, "Good",IF(Table1[[#This Row],[Customer Ratings]]=3, "Average","Poor"))</f>
        <v>Poor</v>
      </c>
      <c r="S2050" s="3" t="s">
        <v>38</v>
      </c>
    </row>
    <row r="2051" spans="1:19" x14ac:dyDescent="0.25">
      <c r="A2051" s="3">
        <v>2050</v>
      </c>
      <c r="B2051" s="5">
        <f>DATE(Table1[[#This Row],[Year]],Table1[[#This Row],[Month]],Table1[[#This Row],[Day]])</f>
        <v>45060</v>
      </c>
      <c r="C2051" s="3">
        <v>14</v>
      </c>
      <c r="D2051" s="3">
        <v>5</v>
      </c>
      <c r="E2051" s="3">
        <v>2023</v>
      </c>
      <c r="F2051" s="3" t="str">
        <f>"Qtr"&amp; " " &amp;CHOOSE(MONTH(Table1[[#This Row],[Date]]),1,1,1,2,2,2,3,3,3,4,4,4)</f>
        <v>Qtr 2</v>
      </c>
      <c r="G2051" s="3" t="str">
        <f>TEXT(Table1[[#This Row],[Date]],"mmmm")</f>
        <v>May</v>
      </c>
      <c r="H2051" s="3" t="s">
        <v>1080</v>
      </c>
      <c r="I2051" s="3" t="s">
        <v>33</v>
      </c>
      <c r="J2051" s="3">
        <v>3</v>
      </c>
      <c r="K2051" s="3">
        <v>12706.95</v>
      </c>
      <c r="L2051" s="3">
        <f>Table1[[#This Row],[Price Per Unit]]*Table1[[#This Row],[Units Sold]]</f>
        <v>38120.850000000006</v>
      </c>
      <c r="M2051" s="3" t="s">
        <v>612</v>
      </c>
      <c r="N2051" s="3">
        <v>54</v>
      </c>
      <c r="O2051" s="3" t="s">
        <v>24</v>
      </c>
      <c r="P2051" s="3" t="s">
        <v>16</v>
      </c>
      <c r="Q2051" s="4">
        <v>5</v>
      </c>
      <c r="R2051" s="4" t="str">
        <f>IF(Table1[[#This Row],[Customer Ratings]]&gt;=4, "Good",IF(Table1[[#This Row],[Customer Ratings]]=3, "Average","Poor"))</f>
        <v>Good</v>
      </c>
      <c r="S2051" s="3" t="s">
        <v>46</v>
      </c>
    </row>
    <row r="2052" spans="1:19" x14ac:dyDescent="0.25">
      <c r="A2052" s="3">
        <v>2051</v>
      </c>
      <c r="B2052" s="5">
        <f>DATE(Table1[[#This Row],[Year]],Table1[[#This Row],[Month]],Table1[[#This Row],[Day]])</f>
        <v>45060</v>
      </c>
      <c r="C2052" s="3">
        <v>14</v>
      </c>
      <c r="D2052" s="3">
        <v>5</v>
      </c>
      <c r="E2052" s="3">
        <v>2023</v>
      </c>
      <c r="F2052" s="3" t="str">
        <f>"Qtr"&amp; " " &amp;CHOOSE(MONTH(Table1[[#This Row],[Date]]),1,1,1,2,2,2,3,3,3,4,4,4)</f>
        <v>Qtr 2</v>
      </c>
      <c r="G2052" s="3" t="str">
        <f>TEXT(Table1[[#This Row],[Date]],"mmmm")</f>
        <v>May</v>
      </c>
      <c r="H2052" s="3" t="s">
        <v>1080</v>
      </c>
      <c r="I2052" s="3" t="s">
        <v>18</v>
      </c>
      <c r="J2052" s="3">
        <v>6</v>
      </c>
      <c r="K2052" s="3">
        <v>66006.460000000006</v>
      </c>
      <c r="L2052" s="3">
        <f>Table1[[#This Row],[Price Per Unit]]*Table1[[#This Row],[Units Sold]]</f>
        <v>396038.76</v>
      </c>
      <c r="M2052" s="3" t="s">
        <v>622</v>
      </c>
      <c r="N2052" s="3">
        <v>56</v>
      </c>
      <c r="O2052" s="3" t="s">
        <v>20</v>
      </c>
      <c r="P2052" s="3" t="s">
        <v>21</v>
      </c>
      <c r="Q2052" s="4">
        <v>5</v>
      </c>
      <c r="R2052" s="4" t="str">
        <f>IF(Table1[[#This Row],[Customer Ratings]]&gt;=4, "Good",IF(Table1[[#This Row],[Customer Ratings]]=3, "Average","Poor"))</f>
        <v>Good</v>
      </c>
      <c r="S2052" s="3" t="s">
        <v>25</v>
      </c>
    </row>
    <row r="2053" spans="1:19" x14ac:dyDescent="0.25">
      <c r="A2053" s="3">
        <v>2052</v>
      </c>
      <c r="B2053" s="5">
        <f>DATE(Table1[[#This Row],[Year]],Table1[[#This Row],[Month]],Table1[[#This Row],[Day]])</f>
        <v>45061</v>
      </c>
      <c r="C2053" s="3">
        <v>15</v>
      </c>
      <c r="D2053" s="3">
        <v>5</v>
      </c>
      <c r="E2053" s="3">
        <v>2023</v>
      </c>
      <c r="F2053" s="3" t="str">
        <f>"Qtr"&amp; " " &amp;CHOOSE(MONTH(Table1[[#This Row],[Date]]),1,1,1,2,2,2,3,3,3,4,4,4)</f>
        <v>Qtr 2</v>
      </c>
      <c r="G2053" s="3" t="str">
        <f>TEXT(Table1[[#This Row],[Date]],"mmmm")</f>
        <v>May</v>
      </c>
      <c r="H2053" s="3" t="s">
        <v>1081</v>
      </c>
      <c r="I2053" s="3" t="s">
        <v>28</v>
      </c>
      <c r="J2053" s="3">
        <v>6</v>
      </c>
      <c r="K2053" s="3">
        <v>52329.37</v>
      </c>
      <c r="L2053" s="3">
        <f>Table1[[#This Row],[Price Per Unit]]*Table1[[#This Row],[Units Sold]]</f>
        <v>313976.22000000003</v>
      </c>
      <c r="M2053" s="3" t="s">
        <v>142</v>
      </c>
      <c r="N2053" s="3">
        <v>55</v>
      </c>
      <c r="O2053" s="3" t="s">
        <v>65</v>
      </c>
      <c r="P2053" s="3" t="s">
        <v>45</v>
      </c>
      <c r="Q2053" s="4">
        <v>1</v>
      </c>
      <c r="R2053" s="4" t="str">
        <f>IF(Table1[[#This Row],[Customer Ratings]]&gt;=4, "Good",IF(Table1[[#This Row],[Customer Ratings]]=3, "Average","Poor"))</f>
        <v>Poor</v>
      </c>
      <c r="S2053" s="3" t="s">
        <v>38</v>
      </c>
    </row>
    <row r="2054" spans="1:19" x14ac:dyDescent="0.25">
      <c r="A2054" s="3">
        <v>2053</v>
      </c>
      <c r="B2054" s="5">
        <f>DATE(Table1[[#This Row],[Year]],Table1[[#This Row],[Month]],Table1[[#This Row],[Day]])</f>
        <v>45061</v>
      </c>
      <c r="C2054" s="3">
        <v>15</v>
      </c>
      <c r="D2054" s="3">
        <v>5</v>
      </c>
      <c r="E2054" s="3">
        <v>2023</v>
      </c>
      <c r="F2054" s="3" t="str">
        <f>"Qtr"&amp; " " &amp;CHOOSE(MONTH(Table1[[#This Row],[Date]]),1,1,1,2,2,2,3,3,3,4,4,4)</f>
        <v>Qtr 2</v>
      </c>
      <c r="G2054" s="3" t="str">
        <f>TEXT(Table1[[#This Row],[Date]],"mmmm")</f>
        <v>May</v>
      </c>
      <c r="H2054" s="3" t="s">
        <v>1081</v>
      </c>
      <c r="I2054" s="3" t="s">
        <v>13</v>
      </c>
      <c r="J2054" s="3">
        <v>3</v>
      </c>
      <c r="K2054" s="3">
        <v>54751.85</v>
      </c>
      <c r="L2054" s="3">
        <f>Table1[[#This Row],[Price Per Unit]]*Table1[[#This Row],[Units Sold]]</f>
        <v>164255.54999999999</v>
      </c>
      <c r="M2054" s="3" t="s">
        <v>118</v>
      </c>
      <c r="N2054" s="3">
        <v>47</v>
      </c>
      <c r="O2054" s="3" t="s">
        <v>137</v>
      </c>
      <c r="P2054" s="3" t="s">
        <v>16</v>
      </c>
      <c r="Q2054" s="4">
        <v>2</v>
      </c>
      <c r="R2054" s="4" t="str">
        <f>IF(Table1[[#This Row],[Customer Ratings]]&gt;=4, "Good",IF(Table1[[#This Row],[Customer Ratings]]=3, "Average","Poor"))</f>
        <v>Poor</v>
      </c>
      <c r="S2054" s="3" t="s">
        <v>72</v>
      </c>
    </row>
    <row r="2055" spans="1:19" x14ac:dyDescent="0.25">
      <c r="A2055" s="3">
        <v>2054</v>
      </c>
      <c r="B2055" s="5">
        <f>DATE(Table1[[#This Row],[Year]],Table1[[#This Row],[Month]],Table1[[#This Row],[Day]])</f>
        <v>45061</v>
      </c>
      <c r="C2055" s="3">
        <v>15</v>
      </c>
      <c r="D2055" s="3">
        <v>5</v>
      </c>
      <c r="E2055" s="3">
        <v>2023</v>
      </c>
      <c r="F2055" s="3" t="str">
        <f>"Qtr"&amp; " " &amp;CHOOSE(MONTH(Table1[[#This Row],[Date]]),1,1,1,2,2,2,3,3,3,4,4,4)</f>
        <v>Qtr 2</v>
      </c>
      <c r="G2055" s="3" t="str">
        <f>TEXT(Table1[[#This Row],[Date]],"mmmm")</f>
        <v>May</v>
      </c>
      <c r="H2055" s="3" t="s">
        <v>1081</v>
      </c>
      <c r="I2055" s="3" t="s">
        <v>33</v>
      </c>
      <c r="J2055" s="3">
        <v>3</v>
      </c>
      <c r="K2055" s="3">
        <v>57680.83</v>
      </c>
      <c r="L2055" s="3">
        <f>Table1[[#This Row],[Price Per Unit]]*Table1[[#This Row],[Units Sold]]</f>
        <v>173042.49</v>
      </c>
      <c r="M2055" s="3" t="s">
        <v>941</v>
      </c>
      <c r="N2055" s="3">
        <v>49</v>
      </c>
      <c r="O2055" s="3" t="s">
        <v>24</v>
      </c>
      <c r="P2055" s="3" t="s">
        <v>16</v>
      </c>
      <c r="Q2055" s="4">
        <v>5</v>
      </c>
      <c r="R2055" s="4" t="str">
        <f>IF(Table1[[#This Row],[Customer Ratings]]&gt;=4, "Good",IF(Table1[[#This Row],[Customer Ratings]]=3, "Average","Poor"))</f>
        <v>Good</v>
      </c>
      <c r="S2055" s="3" t="s">
        <v>46</v>
      </c>
    </row>
    <row r="2056" spans="1:19" x14ac:dyDescent="0.25">
      <c r="A2056" s="3">
        <v>2055</v>
      </c>
      <c r="B2056" s="5">
        <f>DATE(Table1[[#This Row],[Year]],Table1[[#This Row],[Month]],Table1[[#This Row],[Day]])</f>
        <v>45061</v>
      </c>
      <c r="C2056" s="3">
        <v>15</v>
      </c>
      <c r="D2056" s="3">
        <v>5</v>
      </c>
      <c r="E2056" s="3">
        <v>2023</v>
      </c>
      <c r="F2056" s="3" t="str">
        <f>"Qtr"&amp; " " &amp;CHOOSE(MONTH(Table1[[#This Row],[Date]]),1,1,1,2,2,2,3,3,3,4,4,4)</f>
        <v>Qtr 2</v>
      </c>
      <c r="G2056" s="3" t="str">
        <f>TEXT(Table1[[#This Row],[Date]],"mmmm")</f>
        <v>May</v>
      </c>
      <c r="H2056" s="3" t="s">
        <v>1081</v>
      </c>
      <c r="I2056" s="3" t="s">
        <v>39</v>
      </c>
      <c r="J2056" s="3">
        <v>1</v>
      </c>
      <c r="K2056" s="3">
        <v>54864.61</v>
      </c>
      <c r="L2056" s="3">
        <f>Table1[[#This Row],[Price Per Unit]]*Table1[[#This Row],[Units Sold]]</f>
        <v>54864.61</v>
      </c>
      <c r="M2056" s="3" t="s">
        <v>835</v>
      </c>
      <c r="N2056" s="3">
        <v>19</v>
      </c>
      <c r="O2056" s="3" t="s">
        <v>24</v>
      </c>
      <c r="P2056" s="3" t="s">
        <v>31</v>
      </c>
      <c r="Q2056" s="4">
        <v>2</v>
      </c>
      <c r="R2056" s="4" t="str">
        <f>IF(Table1[[#This Row],[Customer Ratings]]&gt;=4, "Good",IF(Table1[[#This Row],[Customer Ratings]]=3, "Average","Poor"))</f>
        <v>Poor</v>
      </c>
      <c r="S2056" s="3" t="s">
        <v>76</v>
      </c>
    </row>
    <row r="2057" spans="1:19" x14ac:dyDescent="0.25">
      <c r="A2057" s="3">
        <v>2056</v>
      </c>
      <c r="B2057" s="5">
        <f>DATE(Table1[[#This Row],[Year]],Table1[[#This Row],[Month]],Table1[[#This Row],[Day]])</f>
        <v>45062</v>
      </c>
      <c r="C2057" s="3">
        <v>16</v>
      </c>
      <c r="D2057" s="3">
        <v>5</v>
      </c>
      <c r="E2057" s="3">
        <v>2023</v>
      </c>
      <c r="F2057" s="3" t="str">
        <f>"Qtr"&amp; " " &amp;CHOOSE(MONTH(Table1[[#This Row],[Date]]),1,1,1,2,2,2,3,3,3,4,4,4)</f>
        <v>Qtr 2</v>
      </c>
      <c r="G2057" s="3" t="str">
        <f>TEXT(Table1[[#This Row],[Date]],"mmmm")</f>
        <v>May</v>
      </c>
      <c r="H2057" s="3" t="s">
        <v>1082</v>
      </c>
      <c r="I2057" s="3" t="s">
        <v>18</v>
      </c>
      <c r="J2057" s="3">
        <v>7</v>
      </c>
      <c r="K2057" s="3">
        <v>36466.97</v>
      </c>
      <c r="L2057" s="3">
        <f>Table1[[#This Row],[Price Per Unit]]*Table1[[#This Row],[Units Sold]]</f>
        <v>255268.79</v>
      </c>
      <c r="M2057" s="3" t="s">
        <v>169</v>
      </c>
      <c r="N2057" s="3">
        <v>28</v>
      </c>
      <c r="O2057" s="3" t="s">
        <v>125</v>
      </c>
      <c r="P2057" s="3" t="s">
        <v>16</v>
      </c>
      <c r="Q2057" s="4">
        <v>2</v>
      </c>
      <c r="R2057" s="4" t="str">
        <f>IF(Table1[[#This Row],[Customer Ratings]]&gt;=4, "Good",IF(Table1[[#This Row],[Customer Ratings]]=3, "Average","Poor"))</f>
        <v>Poor</v>
      </c>
      <c r="S2057" s="3" t="s">
        <v>25</v>
      </c>
    </row>
    <row r="2058" spans="1:19" x14ac:dyDescent="0.25">
      <c r="A2058" s="3">
        <v>2057</v>
      </c>
      <c r="B2058" s="5">
        <f>DATE(Table1[[#This Row],[Year]],Table1[[#This Row],[Month]],Table1[[#This Row],[Day]])</f>
        <v>45062</v>
      </c>
      <c r="C2058" s="3">
        <v>16</v>
      </c>
      <c r="D2058" s="3">
        <v>5</v>
      </c>
      <c r="E2058" s="3">
        <v>2023</v>
      </c>
      <c r="F2058" s="3" t="str">
        <f>"Qtr"&amp; " " &amp;CHOOSE(MONTH(Table1[[#This Row],[Date]]),1,1,1,2,2,2,3,3,3,4,4,4)</f>
        <v>Qtr 2</v>
      </c>
      <c r="G2058" s="3" t="str">
        <f>TEXT(Table1[[#This Row],[Date]],"mmmm")</f>
        <v>May</v>
      </c>
      <c r="H2058" s="3" t="s">
        <v>1082</v>
      </c>
      <c r="I2058" s="3" t="s">
        <v>33</v>
      </c>
      <c r="J2058" s="3">
        <v>8</v>
      </c>
      <c r="K2058" s="3">
        <v>54017.31</v>
      </c>
      <c r="L2058" s="3">
        <f>Table1[[#This Row],[Price Per Unit]]*Table1[[#This Row],[Units Sold]]</f>
        <v>432138.48</v>
      </c>
      <c r="M2058" s="3" t="s">
        <v>458</v>
      </c>
      <c r="N2058" s="3">
        <v>37</v>
      </c>
      <c r="O2058" s="3" t="s">
        <v>78</v>
      </c>
      <c r="P2058" s="3" t="s">
        <v>21</v>
      </c>
      <c r="Q2058" s="4">
        <v>4</v>
      </c>
      <c r="R2058" s="4" t="str">
        <f>IF(Table1[[#This Row],[Customer Ratings]]&gt;=4, "Good",IF(Table1[[#This Row],[Customer Ratings]]=3, "Average","Poor"))</f>
        <v>Good</v>
      </c>
      <c r="S2058" s="3" t="s">
        <v>83</v>
      </c>
    </row>
    <row r="2059" spans="1:19" x14ac:dyDescent="0.25">
      <c r="A2059" s="3">
        <v>2058</v>
      </c>
      <c r="B2059" s="5">
        <f>DATE(Table1[[#This Row],[Year]],Table1[[#This Row],[Month]],Table1[[#This Row],[Day]])</f>
        <v>45062</v>
      </c>
      <c r="C2059" s="3">
        <v>16</v>
      </c>
      <c r="D2059" s="3">
        <v>5</v>
      </c>
      <c r="E2059" s="3">
        <v>2023</v>
      </c>
      <c r="F2059" s="3" t="str">
        <f>"Qtr"&amp; " " &amp;CHOOSE(MONTH(Table1[[#This Row],[Date]]),1,1,1,2,2,2,3,3,3,4,4,4)</f>
        <v>Qtr 2</v>
      </c>
      <c r="G2059" s="3" t="str">
        <f>TEXT(Table1[[#This Row],[Date]],"mmmm")</f>
        <v>May</v>
      </c>
      <c r="H2059" s="3" t="s">
        <v>1082</v>
      </c>
      <c r="I2059" s="3" t="s">
        <v>39</v>
      </c>
      <c r="J2059" s="3">
        <v>2</v>
      </c>
      <c r="K2059" s="3">
        <v>47501.61</v>
      </c>
      <c r="L2059" s="3">
        <f>Table1[[#This Row],[Price Per Unit]]*Table1[[#This Row],[Units Sold]]</f>
        <v>95003.22</v>
      </c>
      <c r="M2059" s="3" t="s">
        <v>122</v>
      </c>
      <c r="N2059" s="3">
        <v>54</v>
      </c>
      <c r="O2059" s="3" t="s">
        <v>24</v>
      </c>
      <c r="P2059" s="3" t="s">
        <v>21</v>
      </c>
      <c r="Q2059" s="4">
        <v>1</v>
      </c>
      <c r="R2059" s="4" t="str">
        <f>IF(Table1[[#This Row],[Customer Ratings]]&gt;=4, "Good",IF(Table1[[#This Row],[Customer Ratings]]=3, "Average","Poor"))</f>
        <v>Poor</v>
      </c>
      <c r="S2059" s="3" t="s">
        <v>90</v>
      </c>
    </row>
    <row r="2060" spans="1:19" x14ac:dyDescent="0.25">
      <c r="A2060" s="3">
        <v>2059</v>
      </c>
      <c r="B2060" s="5">
        <f>DATE(Table1[[#This Row],[Year]],Table1[[#This Row],[Month]],Table1[[#This Row],[Day]])</f>
        <v>45062</v>
      </c>
      <c r="C2060" s="3">
        <v>16</v>
      </c>
      <c r="D2060" s="3">
        <v>5</v>
      </c>
      <c r="E2060" s="3">
        <v>2023</v>
      </c>
      <c r="F2060" s="3" t="str">
        <f>"Qtr"&amp; " " &amp;CHOOSE(MONTH(Table1[[#This Row],[Date]]),1,1,1,2,2,2,3,3,3,4,4,4)</f>
        <v>Qtr 2</v>
      </c>
      <c r="G2060" s="3" t="str">
        <f>TEXT(Table1[[#This Row],[Date]],"mmmm")</f>
        <v>May</v>
      </c>
      <c r="H2060" s="3" t="s">
        <v>1082</v>
      </c>
      <c r="I2060" s="3" t="s">
        <v>39</v>
      </c>
      <c r="J2060" s="3">
        <v>4</v>
      </c>
      <c r="K2060" s="3">
        <v>61240.98</v>
      </c>
      <c r="L2060" s="3">
        <f>Table1[[#This Row],[Price Per Unit]]*Table1[[#This Row],[Units Sold]]</f>
        <v>244963.92</v>
      </c>
      <c r="M2060" s="3" t="s">
        <v>430</v>
      </c>
      <c r="N2060" s="3">
        <v>26</v>
      </c>
      <c r="O2060" s="3" t="s">
        <v>98</v>
      </c>
      <c r="P2060" s="3" t="s">
        <v>45</v>
      </c>
      <c r="Q2060" s="4">
        <v>1</v>
      </c>
      <c r="R2060" s="4" t="str">
        <f>IF(Table1[[#This Row],[Customer Ratings]]&gt;=4, "Good",IF(Table1[[#This Row],[Customer Ratings]]=3, "Average","Poor"))</f>
        <v>Poor</v>
      </c>
      <c r="S2060" s="3" t="s">
        <v>90</v>
      </c>
    </row>
    <row r="2061" spans="1:19" x14ac:dyDescent="0.25">
      <c r="A2061" s="3">
        <v>2060</v>
      </c>
      <c r="B2061" s="5">
        <f>DATE(Table1[[#This Row],[Year]],Table1[[#This Row],[Month]],Table1[[#This Row],[Day]])</f>
        <v>45063</v>
      </c>
      <c r="C2061" s="3">
        <v>17</v>
      </c>
      <c r="D2061" s="3">
        <v>5</v>
      </c>
      <c r="E2061" s="3">
        <v>2023</v>
      </c>
      <c r="F2061" s="3" t="str">
        <f>"Qtr"&amp; " " &amp;CHOOSE(MONTH(Table1[[#This Row],[Date]]),1,1,1,2,2,2,3,3,3,4,4,4)</f>
        <v>Qtr 2</v>
      </c>
      <c r="G2061" s="3" t="str">
        <f>TEXT(Table1[[#This Row],[Date]],"mmmm")</f>
        <v>May</v>
      </c>
      <c r="H2061" s="3" t="s">
        <v>1083</v>
      </c>
      <c r="I2061" s="3" t="s">
        <v>28</v>
      </c>
      <c r="J2061" s="3">
        <v>7</v>
      </c>
      <c r="K2061" s="3">
        <v>58147.59</v>
      </c>
      <c r="L2061" s="3">
        <f>Table1[[#This Row],[Price Per Unit]]*Table1[[#This Row],[Units Sold]]</f>
        <v>407033.13</v>
      </c>
      <c r="M2061" s="3" t="s">
        <v>942</v>
      </c>
      <c r="N2061" s="3">
        <v>55</v>
      </c>
      <c r="O2061" s="3" t="s">
        <v>20</v>
      </c>
      <c r="P2061" s="3" t="s">
        <v>21</v>
      </c>
      <c r="Q2061" s="4">
        <v>4</v>
      </c>
      <c r="R2061" s="4" t="str">
        <f>IF(Table1[[#This Row],[Customer Ratings]]&gt;=4, "Good",IF(Table1[[#This Row],[Customer Ratings]]=3, "Average","Poor"))</f>
        <v>Good</v>
      </c>
      <c r="S2061" s="3" t="s">
        <v>38</v>
      </c>
    </row>
    <row r="2062" spans="1:19" x14ac:dyDescent="0.25">
      <c r="A2062" s="3">
        <v>2061</v>
      </c>
      <c r="B2062" s="5">
        <f>DATE(Table1[[#This Row],[Year]],Table1[[#This Row],[Month]],Table1[[#This Row],[Day]])</f>
        <v>45063</v>
      </c>
      <c r="C2062" s="3">
        <v>17</v>
      </c>
      <c r="D2062" s="3">
        <v>5</v>
      </c>
      <c r="E2062" s="3">
        <v>2023</v>
      </c>
      <c r="F2062" s="3" t="str">
        <f>"Qtr"&amp; " " &amp;CHOOSE(MONTH(Table1[[#This Row],[Date]]),1,1,1,2,2,2,3,3,3,4,4,4)</f>
        <v>Qtr 2</v>
      </c>
      <c r="G2062" s="3" t="str">
        <f>TEXT(Table1[[#This Row],[Date]],"mmmm")</f>
        <v>May</v>
      </c>
      <c r="H2062" s="3" t="s">
        <v>1083</v>
      </c>
      <c r="I2062" s="3" t="s">
        <v>28</v>
      </c>
      <c r="J2062" s="3">
        <v>8</v>
      </c>
      <c r="K2062" s="3">
        <v>12482.46</v>
      </c>
      <c r="L2062" s="3">
        <f>Table1[[#This Row],[Price Per Unit]]*Table1[[#This Row],[Units Sold]]</f>
        <v>99859.68</v>
      </c>
      <c r="M2062" s="3" t="s">
        <v>732</v>
      </c>
      <c r="N2062" s="3">
        <v>36</v>
      </c>
      <c r="O2062" s="3" t="s">
        <v>98</v>
      </c>
      <c r="P2062" s="3" t="s">
        <v>21</v>
      </c>
      <c r="Q2062" s="4">
        <v>2</v>
      </c>
      <c r="R2062" s="4" t="str">
        <f>IF(Table1[[#This Row],[Customer Ratings]]&gt;=4, "Good",IF(Table1[[#This Row],[Customer Ratings]]=3, "Average","Poor"))</f>
        <v>Poor</v>
      </c>
      <c r="S2062" s="3" t="s">
        <v>38</v>
      </c>
    </row>
    <row r="2063" spans="1:19" x14ac:dyDescent="0.25">
      <c r="A2063" s="3">
        <v>2062</v>
      </c>
      <c r="B2063" s="5">
        <f>DATE(Table1[[#This Row],[Year]],Table1[[#This Row],[Month]],Table1[[#This Row],[Day]])</f>
        <v>45063</v>
      </c>
      <c r="C2063" s="3">
        <v>17</v>
      </c>
      <c r="D2063" s="3">
        <v>5</v>
      </c>
      <c r="E2063" s="3">
        <v>2023</v>
      </c>
      <c r="F2063" s="3" t="str">
        <f>"Qtr"&amp; " " &amp;CHOOSE(MONTH(Table1[[#This Row],[Date]]),1,1,1,2,2,2,3,3,3,4,4,4)</f>
        <v>Qtr 2</v>
      </c>
      <c r="G2063" s="3" t="str">
        <f>TEXT(Table1[[#This Row],[Date]],"mmmm")</f>
        <v>May</v>
      </c>
      <c r="H2063" s="3" t="s">
        <v>1083</v>
      </c>
      <c r="I2063" s="3" t="s">
        <v>28</v>
      </c>
      <c r="J2063" s="3">
        <v>1</v>
      </c>
      <c r="K2063" s="3">
        <v>32733.23</v>
      </c>
      <c r="L2063" s="3">
        <f>Table1[[#This Row],[Price Per Unit]]*Table1[[#This Row],[Units Sold]]</f>
        <v>32733.23</v>
      </c>
      <c r="M2063" s="3" t="s">
        <v>673</v>
      </c>
      <c r="N2063" s="3">
        <v>57</v>
      </c>
      <c r="O2063" s="3" t="s">
        <v>65</v>
      </c>
      <c r="P2063" s="3" t="s">
        <v>31</v>
      </c>
      <c r="Q2063" s="4">
        <v>4</v>
      </c>
      <c r="R2063" s="4" t="str">
        <f>IF(Table1[[#This Row],[Customer Ratings]]&gt;=4, "Good",IF(Table1[[#This Row],[Customer Ratings]]=3, "Average","Poor"))</f>
        <v>Good</v>
      </c>
      <c r="S2063" s="3" t="s">
        <v>32</v>
      </c>
    </row>
    <row r="2064" spans="1:19" x14ac:dyDescent="0.25">
      <c r="A2064" s="3">
        <v>2063</v>
      </c>
      <c r="B2064" s="5">
        <f>DATE(Table1[[#This Row],[Year]],Table1[[#This Row],[Month]],Table1[[#This Row],[Day]])</f>
        <v>45064</v>
      </c>
      <c r="C2064" s="3">
        <v>18</v>
      </c>
      <c r="D2064" s="3">
        <v>5</v>
      </c>
      <c r="E2064" s="3">
        <v>2023</v>
      </c>
      <c r="F2064" s="3" t="str">
        <f>"Qtr"&amp; " " &amp;CHOOSE(MONTH(Table1[[#This Row],[Date]]),1,1,1,2,2,2,3,3,3,4,4,4)</f>
        <v>Qtr 2</v>
      </c>
      <c r="G2064" s="3" t="str">
        <f>TEXT(Table1[[#This Row],[Date]],"mmmm")</f>
        <v>May</v>
      </c>
      <c r="H2064" s="3" t="s">
        <v>1084</v>
      </c>
      <c r="I2064" s="3" t="s">
        <v>33</v>
      </c>
      <c r="J2064" s="3">
        <v>4</v>
      </c>
      <c r="K2064" s="3">
        <v>12082.97</v>
      </c>
      <c r="L2064" s="3">
        <f>Table1[[#This Row],[Price Per Unit]]*Table1[[#This Row],[Units Sold]]</f>
        <v>48331.88</v>
      </c>
      <c r="M2064" s="3" t="s">
        <v>587</v>
      </c>
      <c r="N2064" s="3">
        <v>24</v>
      </c>
      <c r="O2064" s="3" t="s">
        <v>20</v>
      </c>
      <c r="P2064" s="3" t="s">
        <v>16</v>
      </c>
      <c r="Q2064" s="4">
        <v>1</v>
      </c>
      <c r="R2064" s="4" t="str">
        <f>IF(Table1[[#This Row],[Customer Ratings]]&gt;=4, "Good",IF(Table1[[#This Row],[Customer Ratings]]=3, "Average","Poor"))</f>
        <v>Poor</v>
      </c>
      <c r="S2064" s="3" t="s">
        <v>46</v>
      </c>
    </row>
    <row r="2065" spans="1:19" x14ac:dyDescent="0.25">
      <c r="A2065" s="3">
        <v>2064</v>
      </c>
      <c r="B2065" s="5">
        <f>DATE(Table1[[#This Row],[Year]],Table1[[#This Row],[Month]],Table1[[#This Row],[Day]])</f>
        <v>45064</v>
      </c>
      <c r="C2065" s="3">
        <v>18</v>
      </c>
      <c r="D2065" s="3">
        <v>5</v>
      </c>
      <c r="E2065" s="3">
        <v>2023</v>
      </c>
      <c r="F2065" s="3" t="str">
        <f>"Qtr"&amp; " " &amp;CHOOSE(MONTH(Table1[[#This Row],[Date]]),1,1,1,2,2,2,3,3,3,4,4,4)</f>
        <v>Qtr 2</v>
      </c>
      <c r="G2065" s="3" t="str">
        <f>TEXT(Table1[[#This Row],[Date]],"mmmm")</f>
        <v>May</v>
      </c>
      <c r="H2065" s="3" t="s">
        <v>1084</v>
      </c>
      <c r="I2065" s="3" t="s">
        <v>33</v>
      </c>
      <c r="J2065" s="3">
        <v>6</v>
      </c>
      <c r="K2065" s="3">
        <v>16124.5</v>
      </c>
      <c r="L2065" s="3">
        <f>Table1[[#This Row],[Price Per Unit]]*Table1[[#This Row],[Units Sold]]</f>
        <v>96747</v>
      </c>
      <c r="M2065" s="3" t="s">
        <v>936</v>
      </c>
      <c r="N2065" s="3">
        <v>22</v>
      </c>
      <c r="O2065" s="3" t="s">
        <v>120</v>
      </c>
      <c r="P2065" s="3" t="s">
        <v>31</v>
      </c>
      <c r="Q2065" s="4">
        <v>1</v>
      </c>
      <c r="R2065" s="4" t="str">
        <f>IF(Table1[[#This Row],[Customer Ratings]]&gt;=4, "Good",IF(Table1[[#This Row],[Customer Ratings]]=3, "Average","Poor"))</f>
        <v>Poor</v>
      </c>
      <c r="S2065" s="3" t="s">
        <v>83</v>
      </c>
    </row>
    <row r="2066" spans="1:19" x14ac:dyDescent="0.25">
      <c r="A2066" s="3">
        <v>2065</v>
      </c>
      <c r="B2066" s="5">
        <f>DATE(Table1[[#This Row],[Year]],Table1[[#This Row],[Month]],Table1[[#This Row],[Day]])</f>
        <v>45064</v>
      </c>
      <c r="C2066" s="3">
        <v>18</v>
      </c>
      <c r="D2066" s="3">
        <v>5</v>
      </c>
      <c r="E2066" s="3">
        <v>2023</v>
      </c>
      <c r="F2066" s="3" t="str">
        <f>"Qtr"&amp; " " &amp;CHOOSE(MONTH(Table1[[#This Row],[Date]]),1,1,1,2,2,2,3,3,3,4,4,4)</f>
        <v>Qtr 2</v>
      </c>
      <c r="G2066" s="3" t="str">
        <f>TEXT(Table1[[#This Row],[Date]],"mmmm")</f>
        <v>May</v>
      </c>
      <c r="H2066" s="3" t="s">
        <v>1084</v>
      </c>
      <c r="I2066" s="3" t="s">
        <v>18</v>
      </c>
      <c r="J2066" s="3">
        <v>3</v>
      </c>
      <c r="K2066" s="3">
        <v>46084.639999999999</v>
      </c>
      <c r="L2066" s="3">
        <f>Table1[[#This Row],[Price Per Unit]]*Table1[[#This Row],[Units Sold]]</f>
        <v>138253.91999999998</v>
      </c>
      <c r="M2066" s="3" t="s">
        <v>696</v>
      </c>
      <c r="N2066" s="3">
        <v>59</v>
      </c>
      <c r="O2066" s="3" t="s">
        <v>98</v>
      </c>
      <c r="P2066" s="3" t="s">
        <v>16</v>
      </c>
      <c r="Q2066" s="4">
        <v>4</v>
      </c>
      <c r="R2066" s="4" t="str">
        <f>IF(Table1[[#This Row],[Customer Ratings]]&gt;=4, "Good",IF(Table1[[#This Row],[Customer Ratings]]=3, "Average","Poor"))</f>
        <v>Good</v>
      </c>
      <c r="S2066" s="3" t="s">
        <v>22</v>
      </c>
    </row>
    <row r="2067" spans="1:19" x14ac:dyDescent="0.25">
      <c r="A2067" s="3">
        <v>2066</v>
      </c>
      <c r="B2067" s="5">
        <f>DATE(Table1[[#This Row],[Year]],Table1[[#This Row],[Month]],Table1[[#This Row],[Day]])</f>
        <v>45064</v>
      </c>
      <c r="C2067" s="3">
        <v>18</v>
      </c>
      <c r="D2067" s="3">
        <v>5</v>
      </c>
      <c r="E2067" s="3">
        <v>2023</v>
      </c>
      <c r="F2067" s="3" t="str">
        <f>"Qtr"&amp; " " &amp;CHOOSE(MONTH(Table1[[#This Row],[Date]]),1,1,1,2,2,2,3,3,3,4,4,4)</f>
        <v>Qtr 2</v>
      </c>
      <c r="G2067" s="3" t="str">
        <f>TEXT(Table1[[#This Row],[Date]],"mmmm")</f>
        <v>May</v>
      </c>
      <c r="H2067" s="3" t="s">
        <v>1084</v>
      </c>
      <c r="I2067" s="3" t="s">
        <v>28</v>
      </c>
      <c r="J2067" s="3">
        <v>5</v>
      </c>
      <c r="K2067" s="3">
        <v>62429.31</v>
      </c>
      <c r="L2067" s="3">
        <f>Table1[[#This Row],[Price Per Unit]]*Table1[[#This Row],[Units Sold]]</f>
        <v>312146.55</v>
      </c>
      <c r="M2067" s="3" t="s">
        <v>420</v>
      </c>
      <c r="N2067" s="3">
        <v>41</v>
      </c>
      <c r="O2067" s="3" t="s">
        <v>137</v>
      </c>
      <c r="P2067" s="3" t="s">
        <v>31</v>
      </c>
      <c r="Q2067" s="4">
        <v>1</v>
      </c>
      <c r="R2067" s="4" t="str">
        <f>IF(Table1[[#This Row],[Customer Ratings]]&gt;=4, "Good",IF(Table1[[#This Row],[Customer Ratings]]=3, "Average","Poor"))</f>
        <v>Poor</v>
      </c>
      <c r="S2067" s="3" t="s">
        <v>87</v>
      </c>
    </row>
    <row r="2068" spans="1:19" x14ac:dyDescent="0.25">
      <c r="A2068" s="3">
        <v>2067</v>
      </c>
      <c r="B2068" s="5">
        <f>DATE(Table1[[#This Row],[Year]],Table1[[#This Row],[Month]],Table1[[#This Row],[Day]])</f>
        <v>45065</v>
      </c>
      <c r="C2068" s="3">
        <v>19</v>
      </c>
      <c r="D2068" s="3">
        <v>5</v>
      </c>
      <c r="E2068" s="3">
        <v>2023</v>
      </c>
      <c r="F2068" s="3" t="str">
        <f>"Qtr"&amp; " " &amp;CHOOSE(MONTH(Table1[[#This Row],[Date]]),1,1,1,2,2,2,3,3,3,4,4,4)</f>
        <v>Qtr 2</v>
      </c>
      <c r="G2068" s="3" t="str">
        <f>TEXT(Table1[[#This Row],[Date]],"mmmm")</f>
        <v>May</v>
      </c>
      <c r="H2068" s="3" t="s">
        <v>1085</v>
      </c>
      <c r="I2068" s="3" t="s">
        <v>39</v>
      </c>
      <c r="J2068" s="3">
        <v>9</v>
      </c>
      <c r="K2068" s="3">
        <v>17189.490000000002</v>
      </c>
      <c r="L2068" s="3">
        <f>Table1[[#This Row],[Price Per Unit]]*Table1[[#This Row],[Units Sold]]</f>
        <v>154705.41</v>
      </c>
      <c r="M2068" s="3" t="s">
        <v>930</v>
      </c>
      <c r="N2068" s="3">
        <v>58</v>
      </c>
      <c r="O2068" s="3" t="s">
        <v>125</v>
      </c>
      <c r="P2068" s="3" t="s">
        <v>45</v>
      </c>
      <c r="Q2068" s="4">
        <v>1</v>
      </c>
      <c r="R2068" s="4" t="str">
        <f>IF(Table1[[#This Row],[Customer Ratings]]&gt;=4, "Good",IF(Table1[[#This Row],[Customer Ratings]]=3, "Average","Poor"))</f>
        <v>Poor</v>
      </c>
      <c r="S2068" s="3" t="s">
        <v>76</v>
      </c>
    </row>
    <row r="2069" spans="1:19" x14ac:dyDescent="0.25">
      <c r="A2069" s="3">
        <v>2068</v>
      </c>
      <c r="B2069" s="5">
        <f>DATE(Table1[[#This Row],[Year]],Table1[[#This Row],[Month]],Table1[[#This Row],[Day]])</f>
        <v>45065</v>
      </c>
      <c r="C2069" s="3">
        <v>19</v>
      </c>
      <c r="D2069" s="3">
        <v>5</v>
      </c>
      <c r="E2069" s="3">
        <v>2023</v>
      </c>
      <c r="F2069" s="3" t="str">
        <f>"Qtr"&amp; " " &amp;CHOOSE(MONTH(Table1[[#This Row],[Date]]),1,1,1,2,2,2,3,3,3,4,4,4)</f>
        <v>Qtr 2</v>
      </c>
      <c r="G2069" s="3" t="str">
        <f>TEXT(Table1[[#This Row],[Date]],"mmmm")</f>
        <v>May</v>
      </c>
      <c r="H2069" s="3" t="s">
        <v>1085</v>
      </c>
      <c r="I2069" s="3" t="s">
        <v>13</v>
      </c>
      <c r="J2069" s="3">
        <v>3</v>
      </c>
      <c r="K2069" s="3">
        <v>37065.360000000001</v>
      </c>
      <c r="L2069" s="3">
        <f>Table1[[#This Row],[Price Per Unit]]*Table1[[#This Row],[Units Sold]]</f>
        <v>111196.08</v>
      </c>
      <c r="M2069" s="3" t="s">
        <v>92</v>
      </c>
      <c r="N2069" s="3">
        <v>24</v>
      </c>
      <c r="O2069" s="3" t="s">
        <v>52</v>
      </c>
      <c r="P2069" s="3" t="s">
        <v>31</v>
      </c>
      <c r="Q2069" s="4">
        <v>4</v>
      </c>
      <c r="R2069" s="4" t="str">
        <f>IF(Table1[[#This Row],[Customer Ratings]]&gt;=4, "Good",IF(Table1[[#This Row],[Customer Ratings]]=3, "Average","Poor"))</f>
        <v>Good</v>
      </c>
      <c r="S2069" s="3" t="s">
        <v>17</v>
      </c>
    </row>
    <row r="2070" spans="1:19" x14ac:dyDescent="0.25">
      <c r="A2070" s="3">
        <v>2069</v>
      </c>
      <c r="B2070" s="5">
        <f>DATE(Table1[[#This Row],[Year]],Table1[[#This Row],[Month]],Table1[[#This Row],[Day]])</f>
        <v>45065</v>
      </c>
      <c r="C2070" s="3">
        <v>19</v>
      </c>
      <c r="D2070" s="3">
        <v>5</v>
      </c>
      <c r="E2070" s="3">
        <v>2023</v>
      </c>
      <c r="F2070" s="3" t="str">
        <f>"Qtr"&amp; " " &amp;CHOOSE(MONTH(Table1[[#This Row],[Date]]),1,1,1,2,2,2,3,3,3,4,4,4)</f>
        <v>Qtr 2</v>
      </c>
      <c r="G2070" s="3" t="str">
        <f>TEXT(Table1[[#This Row],[Date]],"mmmm")</f>
        <v>May</v>
      </c>
      <c r="H2070" s="3" t="s">
        <v>1085</v>
      </c>
      <c r="I2070" s="3" t="s">
        <v>18</v>
      </c>
      <c r="J2070" s="3">
        <v>5</v>
      </c>
      <c r="K2070" s="3">
        <v>64652.73</v>
      </c>
      <c r="L2070" s="3">
        <f>Table1[[#This Row],[Price Per Unit]]*Table1[[#This Row],[Units Sold]]</f>
        <v>323263.65000000002</v>
      </c>
      <c r="M2070" s="3" t="s">
        <v>864</v>
      </c>
      <c r="N2070" s="3">
        <v>28</v>
      </c>
      <c r="O2070" s="3" t="s">
        <v>125</v>
      </c>
      <c r="P2070" s="3" t="s">
        <v>31</v>
      </c>
      <c r="Q2070" s="4">
        <v>5</v>
      </c>
      <c r="R2070" s="4" t="str">
        <f>IF(Table1[[#This Row],[Customer Ratings]]&gt;=4, "Good",IF(Table1[[#This Row],[Customer Ratings]]=3, "Average","Poor"))</f>
        <v>Good</v>
      </c>
      <c r="S2070" s="3" t="s">
        <v>55</v>
      </c>
    </row>
    <row r="2071" spans="1:19" x14ac:dyDescent="0.25">
      <c r="A2071" s="3">
        <v>2070</v>
      </c>
      <c r="B2071" s="5">
        <f>DATE(Table1[[#This Row],[Year]],Table1[[#This Row],[Month]],Table1[[#This Row],[Day]])</f>
        <v>45066</v>
      </c>
      <c r="C2071" s="3">
        <v>20</v>
      </c>
      <c r="D2071" s="3">
        <v>5</v>
      </c>
      <c r="E2071" s="3">
        <v>2023</v>
      </c>
      <c r="F2071" s="3" t="str">
        <f>"Qtr"&amp; " " &amp;CHOOSE(MONTH(Table1[[#This Row],[Date]]),1,1,1,2,2,2,3,3,3,4,4,4)</f>
        <v>Qtr 2</v>
      </c>
      <c r="G2071" s="3" t="str">
        <f>TEXT(Table1[[#This Row],[Date]],"mmmm")</f>
        <v>May</v>
      </c>
      <c r="H2071" s="3" t="s">
        <v>1079</v>
      </c>
      <c r="I2071" s="3" t="s">
        <v>33</v>
      </c>
      <c r="J2071" s="3">
        <v>8</v>
      </c>
      <c r="K2071" s="3">
        <v>58858.06</v>
      </c>
      <c r="L2071" s="3">
        <f>Table1[[#This Row],[Price Per Unit]]*Table1[[#This Row],[Units Sold]]</f>
        <v>470864.48</v>
      </c>
      <c r="M2071" s="3" t="s">
        <v>822</v>
      </c>
      <c r="N2071" s="3">
        <v>26</v>
      </c>
      <c r="O2071" s="3" t="s">
        <v>20</v>
      </c>
      <c r="P2071" s="3" t="s">
        <v>45</v>
      </c>
      <c r="Q2071" s="4">
        <v>4</v>
      </c>
      <c r="R2071" s="4" t="str">
        <f>IF(Table1[[#This Row],[Customer Ratings]]&gt;=4, "Good",IF(Table1[[#This Row],[Customer Ratings]]=3, "Average","Poor"))</f>
        <v>Good</v>
      </c>
      <c r="S2071" s="3" t="s">
        <v>36</v>
      </c>
    </row>
    <row r="2072" spans="1:19" x14ac:dyDescent="0.25">
      <c r="A2072" s="3">
        <v>2071</v>
      </c>
      <c r="B2072" s="5">
        <f>DATE(Table1[[#This Row],[Year]],Table1[[#This Row],[Month]],Table1[[#This Row],[Day]])</f>
        <v>45066</v>
      </c>
      <c r="C2072" s="3">
        <v>20</v>
      </c>
      <c r="D2072" s="3">
        <v>5</v>
      </c>
      <c r="E2072" s="3">
        <v>2023</v>
      </c>
      <c r="F2072" s="3" t="str">
        <f>"Qtr"&amp; " " &amp;CHOOSE(MONTH(Table1[[#This Row],[Date]]),1,1,1,2,2,2,3,3,3,4,4,4)</f>
        <v>Qtr 2</v>
      </c>
      <c r="G2072" s="3" t="str">
        <f>TEXT(Table1[[#This Row],[Date]],"mmmm")</f>
        <v>May</v>
      </c>
      <c r="H2072" s="3" t="s">
        <v>1079</v>
      </c>
      <c r="I2072" s="3" t="s">
        <v>18</v>
      </c>
      <c r="J2072" s="3">
        <v>6</v>
      </c>
      <c r="K2072" s="3">
        <v>41180.07</v>
      </c>
      <c r="L2072" s="3">
        <f>Table1[[#This Row],[Price Per Unit]]*Table1[[#This Row],[Units Sold]]</f>
        <v>247080.41999999998</v>
      </c>
      <c r="M2072" s="3" t="s">
        <v>816</v>
      </c>
      <c r="N2072" s="3">
        <v>47</v>
      </c>
      <c r="O2072" s="3" t="s">
        <v>137</v>
      </c>
      <c r="P2072" s="3" t="s">
        <v>21</v>
      </c>
      <c r="Q2072" s="4">
        <v>5</v>
      </c>
      <c r="R2072" s="4" t="str">
        <f>IF(Table1[[#This Row],[Customer Ratings]]&gt;=4, "Good",IF(Table1[[#This Row],[Customer Ratings]]=3, "Average","Poor"))</f>
        <v>Good</v>
      </c>
      <c r="S2072" s="3" t="s">
        <v>22</v>
      </c>
    </row>
    <row r="2073" spans="1:19" x14ac:dyDescent="0.25">
      <c r="A2073" s="3">
        <v>2072</v>
      </c>
      <c r="B2073" s="5">
        <f>DATE(Table1[[#This Row],[Year]],Table1[[#This Row],[Month]],Table1[[#This Row],[Day]])</f>
        <v>45066</v>
      </c>
      <c r="C2073" s="3">
        <v>20</v>
      </c>
      <c r="D2073" s="3">
        <v>5</v>
      </c>
      <c r="E2073" s="3">
        <v>2023</v>
      </c>
      <c r="F2073" s="3" t="str">
        <f>"Qtr"&amp; " " &amp;CHOOSE(MONTH(Table1[[#This Row],[Date]]),1,1,1,2,2,2,3,3,3,4,4,4)</f>
        <v>Qtr 2</v>
      </c>
      <c r="G2073" s="3" t="str">
        <f>TEXT(Table1[[#This Row],[Date]],"mmmm")</f>
        <v>May</v>
      </c>
      <c r="H2073" s="3" t="s">
        <v>1079</v>
      </c>
      <c r="I2073" s="3" t="s">
        <v>18</v>
      </c>
      <c r="J2073" s="3">
        <v>4</v>
      </c>
      <c r="K2073" s="3">
        <v>56294.29</v>
      </c>
      <c r="L2073" s="3">
        <f>Table1[[#This Row],[Price Per Unit]]*Table1[[#This Row],[Units Sold]]</f>
        <v>225177.16</v>
      </c>
      <c r="M2073" s="3" t="s">
        <v>296</v>
      </c>
      <c r="N2073" s="3">
        <v>58</v>
      </c>
      <c r="O2073" s="3" t="s">
        <v>120</v>
      </c>
      <c r="P2073" s="3" t="s">
        <v>21</v>
      </c>
      <c r="Q2073" s="4">
        <v>4</v>
      </c>
      <c r="R2073" s="4" t="str">
        <f>IF(Table1[[#This Row],[Customer Ratings]]&gt;=4, "Good",IF(Table1[[#This Row],[Customer Ratings]]=3, "Average","Poor"))</f>
        <v>Good</v>
      </c>
      <c r="S2073" s="3" t="s">
        <v>55</v>
      </c>
    </row>
    <row r="2074" spans="1:19" x14ac:dyDescent="0.25">
      <c r="A2074" s="3">
        <v>2073</v>
      </c>
      <c r="B2074" s="5">
        <f>DATE(Table1[[#This Row],[Year]],Table1[[#This Row],[Month]],Table1[[#This Row],[Day]])</f>
        <v>45066</v>
      </c>
      <c r="C2074" s="3">
        <v>20</v>
      </c>
      <c r="D2074" s="3">
        <v>5</v>
      </c>
      <c r="E2074" s="3">
        <v>2023</v>
      </c>
      <c r="F2074" s="3" t="str">
        <f>"Qtr"&amp; " " &amp;CHOOSE(MONTH(Table1[[#This Row],[Date]]),1,1,1,2,2,2,3,3,3,4,4,4)</f>
        <v>Qtr 2</v>
      </c>
      <c r="G2074" s="3" t="str">
        <f>TEXT(Table1[[#This Row],[Date]],"mmmm")</f>
        <v>May</v>
      </c>
      <c r="H2074" s="3" t="s">
        <v>1079</v>
      </c>
      <c r="I2074" s="3" t="s">
        <v>18</v>
      </c>
      <c r="J2074" s="3">
        <v>8</v>
      </c>
      <c r="K2074" s="3">
        <v>41361.629999999997</v>
      </c>
      <c r="L2074" s="3">
        <f>Table1[[#This Row],[Price Per Unit]]*Table1[[#This Row],[Units Sold]]</f>
        <v>330893.03999999998</v>
      </c>
      <c r="M2074" s="3" t="s">
        <v>198</v>
      </c>
      <c r="N2074" s="3">
        <v>20</v>
      </c>
      <c r="O2074" s="3" t="s">
        <v>24</v>
      </c>
      <c r="P2074" s="3" t="s">
        <v>45</v>
      </c>
      <c r="Q2074" s="4">
        <v>4</v>
      </c>
      <c r="R2074" s="4" t="str">
        <f>IF(Table1[[#This Row],[Customer Ratings]]&gt;=4, "Good",IF(Table1[[#This Row],[Customer Ratings]]=3, "Average","Poor"))</f>
        <v>Good</v>
      </c>
      <c r="S2074" s="3" t="s">
        <v>55</v>
      </c>
    </row>
    <row r="2075" spans="1:19" x14ac:dyDescent="0.25">
      <c r="A2075" s="3">
        <v>2074</v>
      </c>
      <c r="B2075" s="5">
        <f>DATE(Table1[[#This Row],[Year]],Table1[[#This Row],[Month]],Table1[[#This Row],[Day]])</f>
        <v>45067</v>
      </c>
      <c r="C2075" s="3">
        <v>21</v>
      </c>
      <c r="D2075" s="3">
        <v>5</v>
      </c>
      <c r="E2075" s="3">
        <v>2023</v>
      </c>
      <c r="F2075" s="3" t="str">
        <f>"Qtr"&amp; " " &amp;CHOOSE(MONTH(Table1[[#This Row],[Date]]),1,1,1,2,2,2,3,3,3,4,4,4)</f>
        <v>Qtr 2</v>
      </c>
      <c r="G2075" s="3" t="str">
        <f>TEXT(Table1[[#This Row],[Date]],"mmmm")</f>
        <v>May</v>
      </c>
      <c r="H2075" s="3" t="s">
        <v>1080</v>
      </c>
      <c r="I2075" s="3" t="s">
        <v>18</v>
      </c>
      <c r="J2075" s="3">
        <v>3</v>
      </c>
      <c r="K2075" s="3">
        <v>19485.54</v>
      </c>
      <c r="L2075" s="3">
        <f>Table1[[#This Row],[Price Per Unit]]*Table1[[#This Row],[Units Sold]]</f>
        <v>58456.62</v>
      </c>
      <c r="M2075" s="3" t="s">
        <v>156</v>
      </c>
      <c r="N2075" s="3">
        <v>39</v>
      </c>
      <c r="O2075" s="3" t="s">
        <v>20</v>
      </c>
      <c r="P2075" s="3" t="s">
        <v>45</v>
      </c>
      <c r="Q2075" s="4">
        <v>2</v>
      </c>
      <c r="R2075" s="4" t="str">
        <f>IF(Table1[[#This Row],[Customer Ratings]]&gt;=4, "Good",IF(Table1[[#This Row],[Customer Ratings]]=3, "Average","Poor"))</f>
        <v>Poor</v>
      </c>
      <c r="S2075" s="3" t="s">
        <v>22</v>
      </c>
    </row>
    <row r="2076" spans="1:19" x14ac:dyDescent="0.25">
      <c r="A2076" s="3">
        <v>2075</v>
      </c>
      <c r="B2076" s="5">
        <f>DATE(Table1[[#This Row],[Year]],Table1[[#This Row],[Month]],Table1[[#This Row],[Day]])</f>
        <v>45067</v>
      </c>
      <c r="C2076" s="3">
        <v>21</v>
      </c>
      <c r="D2076" s="3">
        <v>5</v>
      </c>
      <c r="E2076" s="3">
        <v>2023</v>
      </c>
      <c r="F2076" s="3" t="str">
        <f>"Qtr"&amp; " " &amp;CHOOSE(MONTH(Table1[[#This Row],[Date]]),1,1,1,2,2,2,3,3,3,4,4,4)</f>
        <v>Qtr 2</v>
      </c>
      <c r="G2076" s="3" t="str">
        <f>TEXT(Table1[[#This Row],[Date]],"mmmm")</f>
        <v>May</v>
      </c>
      <c r="H2076" s="3" t="s">
        <v>1080</v>
      </c>
      <c r="I2076" s="3" t="s">
        <v>13</v>
      </c>
      <c r="J2076" s="3">
        <v>3</v>
      </c>
      <c r="K2076" s="3">
        <v>17484.169999999998</v>
      </c>
      <c r="L2076" s="3">
        <f>Table1[[#This Row],[Price Per Unit]]*Table1[[#This Row],[Units Sold]]</f>
        <v>52452.509999999995</v>
      </c>
      <c r="M2076" s="3" t="s">
        <v>395</v>
      </c>
      <c r="N2076" s="3">
        <v>57</v>
      </c>
      <c r="O2076" s="3" t="s">
        <v>20</v>
      </c>
      <c r="P2076" s="3" t="s">
        <v>31</v>
      </c>
      <c r="Q2076" s="4">
        <v>4</v>
      </c>
      <c r="R2076" s="4" t="str">
        <f>IF(Table1[[#This Row],[Customer Ratings]]&gt;=4, "Good",IF(Table1[[#This Row],[Customer Ratings]]=3, "Average","Poor"))</f>
        <v>Good</v>
      </c>
      <c r="S2076" s="3" t="s">
        <v>17</v>
      </c>
    </row>
    <row r="2077" spans="1:19" x14ac:dyDescent="0.25">
      <c r="A2077" s="3">
        <v>2076</v>
      </c>
      <c r="B2077" s="5">
        <f>DATE(Table1[[#This Row],[Year]],Table1[[#This Row],[Month]],Table1[[#This Row],[Day]])</f>
        <v>45067</v>
      </c>
      <c r="C2077" s="3">
        <v>21</v>
      </c>
      <c r="D2077" s="3">
        <v>5</v>
      </c>
      <c r="E2077" s="3">
        <v>2023</v>
      </c>
      <c r="F2077" s="3" t="str">
        <f>"Qtr"&amp; " " &amp;CHOOSE(MONTH(Table1[[#This Row],[Date]]),1,1,1,2,2,2,3,3,3,4,4,4)</f>
        <v>Qtr 2</v>
      </c>
      <c r="G2077" s="3" t="str">
        <f>TEXT(Table1[[#This Row],[Date]],"mmmm")</f>
        <v>May</v>
      </c>
      <c r="H2077" s="3" t="s">
        <v>1080</v>
      </c>
      <c r="I2077" s="3" t="s">
        <v>28</v>
      </c>
      <c r="J2077" s="3">
        <v>4</v>
      </c>
      <c r="K2077" s="3">
        <v>21302.09</v>
      </c>
      <c r="L2077" s="3">
        <f>Table1[[#This Row],[Price Per Unit]]*Table1[[#This Row],[Units Sold]]</f>
        <v>85208.36</v>
      </c>
      <c r="M2077" s="3" t="s">
        <v>806</v>
      </c>
      <c r="N2077" s="3">
        <v>37</v>
      </c>
      <c r="O2077" s="3" t="s">
        <v>20</v>
      </c>
      <c r="P2077" s="3" t="s">
        <v>45</v>
      </c>
      <c r="Q2077" s="4">
        <v>4</v>
      </c>
      <c r="R2077" s="4" t="str">
        <f>IF(Table1[[#This Row],[Customer Ratings]]&gt;=4, "Good",IF(Table1[[#This Row],[Customer Ratings]]=3, "Average","Poor"))</f>
        <v>Good</v>
      </c>
      <c r="S2077" s="3" t="s">
        <v>87</v>
      </c>
    </row>
    <row r="2078" spans="1:19" x14ac:dyDescent="0.25">
      <c r="A2078" s="3">
        <v>2077</v>
      </c>
      <c r="B2078" s="5">
        <f>DATE(Table1[[#This Row],[Year]],Table1[[#This Row],[Month]],Table1[[#This Row],[Day]])</f>
        <v>45068</v>
      </c>
      <c r="C2078" s="3">
        <v>22</v>
      </c>
      <c r="D2078" s="3">
        <v>5</v>
      </c>
      <c r="E2078" s="3">
        <v>2023</v>
      </c>
      <c r="F2078" s="3" t="str">
        <f>"Qtr"&amp; " " &amp;CHOOSE(MONTH(Table1[[#This Row],[Date]]),1,1,1,2,2,2,3,3,3,4,4,4)</f>
        <v>Qtr 2</v>
      </c>
      <c r="G2078" s="3" t="str">
        <f>TEXT(Table1[[#This Row],[Date]],"mmmm")</f>
        <v>May</v>
      </c>
      <c r="H2078" s="3" t="s">
        <v>1081</v>
      </c>
      <c r="I2078" s="3" t="s">
        <v>39</v>
      </c>
      <c r="J2078" s="3">
        <v>9</v>
      </c>
      <c r="K2078" s="3">
        <v>31055.33</v>
      </c>
      <c r="L2078" s="3">
        <f>Table1[[#This Row],[Price Per Unit]]*Table1[[#This Row],[Units Sold]]</f>
        <v>279497.97000000003</v>
      </c>
      <c r="M2078" s="3" t="s">
        <v>943</v>
      </c>
      <c r="N2078" s="3">
        <v>49</v>
      </c>
      <c r="O2078" s="3" t="s">
        <v>105</v>
      </c>
      <c r="P2078" s="3" t="s">
        <v>45</v>
      </c>
      <c r="Q2078" s="4">
        <v>2</v>
      </c>
      <c r="R2078" s="4" t="str">
        <f>IF(Table1[[#This Row],[Customer Ratings]]&gt;=4, "Good",IF(Table1[[#This Row],[Customer Ratings]]=3, "Average","Poor"))</f>
        <v>Poor</v>
      </c>
      <c r="S2078" s="3" t="s">
        <v>42</v>
      </c>
    </row>
    <row r="2079" spans="1:19" x14ac:dyDescent="0.25">
      <c r="A2079" s="3">
        <v>2078</v>
      </c>
      <c r="B2079" s="5">
        <f>DATE(Table1[[#This Row],[Year]],Table1[[#This Row],[Month]],Table1[[#This Row],[Day]])</f>
        <v>45068</v>
      </c>
      <c r="C2079" s="3">
        <v>22</v>
      </c>
      <c r="D2079" s="3">
        <v>5</v>
      </c>
      <c r="E2079" s="3">
        <v>2023</v>
      </c>
      <c r="F2079" s="3" t="str">
        <f>"Qtr"&amp; " " &amp;CHOOSE(MONTH(Table1[[#This Row],[Date]]),1,1,1,2,2,2,3,3,3,4,4,4)</f>
        <v>Qtr 2</v>
      </c>
      <c r="G2079" s="3" t="str">
        <f>TEXT(Table1[[#This Row],[Date]],"mmmm")</f>
        <v>May</v>
      </c>
      <c r="H2079" s="3" t="s">
        <v>1081</v>
      </c>
      <c r="I2079" s="3" t="s">
        <v>18</v>
      </c>
      <c r="J2079" s="3">
        <v>5</v>
      </c>
      <c r="K2079" s="3">
        <v>65831.759999999995</v>
      </c>
      <c r="L2079" s="3">
        <f>Table1[[#This Row],[Price Per Unit]]*Table1[[#This Row],[Units Sold]]</f>
        <v>329158.8</v>
      </c>
      <c r="M2079" s="3" t="s">
        <v>852</v>
      </c>
      <c r="N2079" s="3">
        <v>24</v>
      </c>
      <c r="O2079" s="3" t="s">
        <v>15</v>
      </c>
      <c r="P2079" s="3" t="s">
        <v>16</v>
      </c>
      <c r="Q2079" s="4">
        <v>4</v>
      </c>
      <c r="R2079" s="4" t="str">
        <f>IF(Table1[[#This Row],[Customer Ratings]]&gt;=4, "Good",IF(Table1[[#This Row],[Customer Ratings]]=3, "Average","Poor"))</f>
        <v>Good</v>
      </c>
      <c r="S2079" s="3" t="s">
        <v>25</v>
      </c>
    </row>
    <row r="2080" spans="1:19" x14ac:dyDescent="0.25">
      <c r="A2080" s="3">
        <v>2079</v>
      </c>
      <c r="B2080" s="5">
        <f>DATE(Table1[[#This Row],[Year]],Table1[[#This Row],[Month]],Table1[[#This Row],[Day]])</f>
        <v>45068</v>
      </c>
      <c r="C2080" s="3">
        <v>22</v>
      </c>
      <c r="D2080" s="3">
        <v>5</v>
      </c>
      <c r="E2080" s="3">
        <v>2023</v>
      </c>
      <c r="F2080" s="3" t="str">
        <f>"Qtr"&amp; " " &amp;CHOOSE(MONTH(Table1[[#This Row],[Date]]),1,1,1,2,2,2,3,3,3,4,4,4)</f>
        <v>Qtr 2</v>
      </c>
      <c r="G2080" s="3" t="str">
        <f>TEXT(Table1[[#This Row],[Date]],"mmmm")</f>
        <v>May</v>
      </c>
      <c r="H2080" s="3" t="s">
        <v>1081</v>
      </c>
      <c r="I2080" s="3" t="s">
        <v>18</v>
      </c>
      <c r="J2080" s="3">
        <v>8</v>
      </c>
      <c r="K2080" s="3">
        <v>57980.7</v>
      </c>
      <c r="L2080" s="3">
        <f>Table1[[#This Row],[Price Per Unit]]*Table1[[#This Row],[Units Sold]]</f>
        <v>463845.6</v>
      </c>
      <c r="M2080" s="3" t="s">
        <v>468</v>
      </c>
      <c r="N2080" s="3">
        <v>24</v>
      </c>
      <c r="O2080" s="3" t="s">
        <v>52</v>
      </c>
      <c r="P2080" s="3" t="s">
        <v>16</v>
      </c>
      <c r="Q2080" s="4">
        <v>4</v>
      </c>
      <c r="R2080" s="4" t="str">
        <f>IF(Table1[[#This Row],[Customer Ratings]]&gt;=4, "Good",IF(Table1[[#This Row],[Customer Ratings]]=3, "Average","Poor"))</f>
        <v>Good</v>
      </c>
      <c r="S2080" s="3" t="s">
        <v>22</v>
      </c>
    </row>
    <row r="2081" spans="1:19" x14ac:dyDescent="0.25">
      <c r="A2081" s="3">
        <v>2080</v>
      </c>
      <c r="B2081" s="5">
        <f>DATE(Table1[[#This Row],[Year]],Table1[[#This Row],[Month]],Table1[[#This Row],[Day]])</f>
        <v>45069</v>
      </c>
      <c r="C2081" s="3">
        <v>23</v>
      </c>
      <c r="D2081" s="3">
        <v>5</v>
      </c>
      <c r="E2081" s="3">
        <v>2023</v>
      </c>
      <c r="F2081" s="3" t="str">
        <f>"Qtr"&amp; " " &amp;CHOOSE(MONTH(Table1[[#This Row],[Date]]),1,1,1,2,2,2,3,3,3,4,4,4)</f>
        <v>Qtr 2</v>
      </c>
      <c r="G2081" s="3" t="str">
        <f>TEXT(Table1[[#This Row],[Date]],"mmmm")</f>
        <v>May</v>
      </c>
      <c r="H2081" s="3" t="s">
        <v>1082</v>
      </c>
      <c r="I2081" s="3" t="s">
        <v>18</v>
      </c>
      <c r="J2081" s="3">
        <v>6</v>
      </c>
      <c r="K2081" s="3">
        <v>35968.089999999997</v>
      </c>
      <c r="L2081" s="3">
        <f>Table1[[#This Row],[Price Per Unit]]*Table1[[#This Row],[Units Sold]]</f>
        <v>215808.53999999998</v>
      </c>
      <c r="M2081" s="3" t="s">
        <v>66</v>
      </c>
      <c r="N2081" s="3">
        <v>37</v>
      </c>
      <c r="O2081" s="3" t="s">
        <v>58</v>
      </c>
      <c r="P2081" s="3" t="s">
        <v>21</v>
      </c>
      <c r="Q2081" s="4">
        <v>2</v>
      </c>
      <c r="R2081" s="4" t="str">
        <f>IF(Table1[[#This Row],[Customer Ratings]]&gt;=4, "Good",IF(Table1[[#This Row],[Customer Ratings]]=3, "Average","Poor"))</f>
        <v>Poor</v>
      </c>
      <c r="S2081" s="3" t="s">
        <v>55</v>
      </c>
    </row>
    <row r="2082" spans="1:19" x14ac:dyDescent="0.25">
      <c r="A2082" s="3">
        <v>2081</v>
      </c>
      <c r="B2082" s="5">
        <f>DATE(Table1[[#This Row],[Year]],Table1[[#This Row],[Month]],Table1[[#This Row],[Day]])</f>
        <v>45069</v>
      </c>
      <c r="C2082" s="3">
        <v>23</v>
      </c>
      <c r="D2082" s="3">
        <v>5</v>
      </c>
      <c r="E2082" s="3">
        <v>2023</v>
      </c>
      <c r="F2082" s="3" t="str">
        <f>"Qtr"&amp; " " &amp;CHOOSE(MONTH(Table1[[#This Row],[Date]]),1,1,1,2,2,2,3,3,3,4,4,4)</f>
        <v>Qtr 2</v>
      </c>
      <c r="G2082" s="3" t="str">
        <f>TEXT(Table1[[#This Row],[Date]],"mmmm")</f>
        <v>May</v>
      </c>
      <c r="H2082" s="3" t="s">
        <v>1082</v>
      </c>
      <c r="I2082" s="3" t="s">
        <v>28</v>
      </c>
      <c r="J2082" s="3">
        <v>3</v>
      </c>
      <c r="K2082" s="3">
        <v>39584.6</v>
      </c>
      <c r="L2082" s="3">
        <f>Table1[[#This Row],[Price Per Unit]]*Table1[[#This Row],[Units Sold]]</f>
        <v>118753.79999999999</v>
      </c>
      <c r="M2082" s="3" t="s">
        <v>944</v>
      </c>
      <c r="N2082" s="3">
        <v>42</v>
      </c>
      <c r="O2082" s="3" t="s">
        <v>81</v>
      </c>
      <c r="P2082" s="3" t="s">
        <v>45</v>
      </c>
      <c r="Q2082" s="4">
        <v>5</v>
      </c>
      <c r="R2082" s="4" t="str">
        <f>IF(Table1[[#This Row],[Customer Ratings]]&gt;=4, "Good",IF(Table1[[#This Row],[Customer Ratings]]=3, "Average","Poor"))</f>
        <v>Good</v>
      </c>
      <c r="S2082" s="3" t="s">
        <v>87</v>
      </c>
    </row>
    <row r="2083" spans="1:19" x14ac:dyDescent="0.25">
      <c r="A2083" s="3">
        <v>2082</v>
      </c>
      <c r="B2083" s="5">
        <f>DATE(Table1[[#This Row],[Year]],Table1[[#This Row],[Month]],Table1[[#This Row],[Day]])</f>
        <v>45069</v>
      </c>
      <c r="C2083" s="3">
        <v>23</v>
      </c>
      <c r="D2083" s="3">
        <v>5</v>
      </c>
      <c r="E2083" s="3">
        <v>2023</v>
      </c>
      <c r="F2083" s="3" t="str">
        <f>"Qtr"&amp; " " &amp;CHOOSE(MONTH(Table1[[#This Row],[Date]]),1,1,1,2,2,2,3,3,3,4,4,4)</f>
        <v>Qtr 2</v>
      </c>
      <c r="G2083" s="3" t="str">
        <f>TEXT(Table1[[#This Row],[Date]],"mmmm")</f>
        <v>May</v>
      </c>
      <c r="H2083" s="3" t="s">
        <v>1082</v>
      </c>
      <c r="I2083" s="3" t="s">
        <v>33</v>
      </c>
      <c r="J2083" s="3">
        <v>8</v>
      </c>
      <c r="K2083" s="3">
        <v>25936.57</v>
      </c>
      <c r="L2083" s="3">
        <f>Table1[[#This Row],[Price Per Unit]]*Table1[[#This Row],[Units Sold]]</f>
        <v>207492.56</v>
      </c>
      <c r="M2083" s="3" t="s">
        <v>945</v>
      </c>
      <c r="N2083" s="3">
        <v>52</v>
      </c>
      <c r="O2083" s="3" t="s">
        <v>15</v>
      </c>
      <c r="P2083" s="3" t="s">
        <v>31</v>
      </c>
      <c r="Q2083" s="4">
        <v>4</v>
      </c>
      <c r="R2083" s="4" t="str">
        <f>IF(Table1[[#This Row],[Customer Ratings]]&gt;=4, "Good",IF(Table1[[#This Row],[Customer Ratings]]=3, "Average","Poor"))</f>
        <v>Good</v>
      </c>
      <c r="S2083" s="3" t="s">
        <v>83</v>
      </c>
    </row>
    <row r="2084" spans="1:19" x14ac:dyDescent="0.25">
      <c r="A2084" s="3">
        <v>2083</v>
      </c>
      <c r="B2084" s="5">
        <f>DATE(Table1[[#This Row],[Year]],Table1[[#This Row],[Month]],Table1[[#This Row],[Day]])</f>
        <v>45069</v>
      </c>
      <c r="C2084" s="3">
        <v>23</v>
      </c>
      <c r="D2084" s="3">
        <v>5</v>
      </c>
      <c r="E2084" s="3">
        <v>2023</v>
      </c>
      <c r="F2084" s="3" t="str">
        <f>"Qtr"&amp; " " &amp;CHOOSE(MONTH(Table1[[#This Row],[Date]]),1,1,1,2,2,2,3,3,3,4,4,4)</f>
        <v>Qtr 2</v>
      </c>
      <c r="G2084" s="3" t="str">
        <f>TEXT(Table1[[#This Row],[Date]],"mmmm")</f>
        <v>May</v>
      </c>
      <c r="H2084" s="3" t="s">
        <v>1082</v>
      </c>
      <c r="I2084" s="3" t="s">
        <v>33</v>
      </c>
      <c r="J2084" s="3">
        <v>9</v>
      </c>
      <c r="K2084" s="3">
        <v>52261.18</v>
      </c>
      <c r="L2084" s="3">
        <f>Table1[[#This Row],[Price Per Unit]]*Table1[[#This Row],[Units Sold]]</f>
        <v>470350.62</v>
      </c>
      <c r="M2084" s="3" t="s">
        <v>888</v>
      </c>
      <c r="N2084" s="3">
        <v>41</v>
      </c>
      <c r="O2084" s="3" t="s">
        <v>20</v>
      </c>
      <c r="P2084" s="3" t="s">
        <v>21</v>
      </c>
      <c r="Q2084" s="4">
        <v>1</v>
      </c>
      <c r="R2084" s="4" t="str">
        <f>IF(Table1[[#This Row],[Customer Ratings]]&gt;=4, "Good",IF(Table1[[#This Row],[Customer Ratings]]=3, "Average","Poor"))</f>
        <v>Poor</v>
      </c>
      <c r="S2084" s="3" t="s">
        <v>46</v>
      </c>
    </row>
    <row r="2085" spans="1:19" x14ac:dyDescent="0.25">
      <c r="A2085" s="3">
        <v>2084</v>
      </c>
      <c r="B2085" s="5">
        <f>DATE(Table1[[#This Row],[Year]],Table1[[#This Row],[Month]],Table1[[#This Row],[Day]])</f>
        <v>45070</v>
      </c>
      <c r="C2085" s="3">
        <v>24</v>
      </c>
      <c r="D2085" s="3">
        <v>5</v>
      </c>
      <c r="E2085" s="3">
        <v>2023</v>
      </c>
      <c r="F2085" s="3" t="str">
        <f>"Qtr"&amp; " " &amp;CHOOSE(MONTH(Table1[[#This Row],[Date]]),1,1,1,2,2,2,3,3,3,4,4,4)</f>
        <v>Qtr 2</v>
      </c>
      <c r="G2085" s="3" t="str">
        <f>TEXT(Table1[[#This Row],[Date]],"mmmm")</f>
        <v>May</v>
      </c>
      <c r="H2085" s="3" t="s">
        <v>1083</v>
      </c>
      <c r="I2085" s="3" t="s">
        <v>13</v>
      </c>
      <c r="J2085" s="3">
        <v>8</v>
      </c>
      <c r="K2085" s="3">
        <v>58165.94</v>
      </c>
      <c r="L2085" s="3">
        <f>Table1[[#This Row],[Price Per Unit]]*Table1[[#This Row],[Units Sold]]</f>
        <v>465327.52</v>
      </c>
      <c r="M2085" s="3" t="s">
        <v>946</v>
      </c>
      <c r="N2085" s="3">
        <v>57</v>
      </c>
      <c r="O2085" s="3" t="s">
        <v>105</v>
      </c>
      <c r="P2085" s="3" t="s">
        <v>21</v>
      </c>
      <c r="Q2085" s="4">
        <v>2</v>
      </c>
      <c r="R2085" s="4" t="str">
        <f>IF(Table1[[#This Row],[Customer Ratings]]&gt;=4, "Good",IF(Table1[[#This Row],[Customer Ratings]]=3, "Average","Poor"))</f>
        <v>Poor</v>
      </c>
      <c r="S2085" s="3" t="s">
        <v>72</v>
      </c>
    </row>
    <row r="2086" spans="1:19" x14ac:dyDescent="0.25">
      <c r="A2086" s="3">
        <v>2085</v>
      </c>
      <c r="B2086" s="5">
        <f>DATE(Table1[[#This Row],[Year]],Table1[[#This Row],[Month]],Table1[[#This Row],[Day]])</f>
        <v>45070</v>
      </c>
      <c r="C2086" s="3">
        <v>24</v>
      </c>
      <c r="D2086" s="3">
        <v>5</v>
      </c>
      <c r="E2086" s="3">
        <v>2023</v>
      </c>
      <c r="F2086" s="3" t="str">
        <f>"Qtr"&amp; " " &amp;CHOOSE(MONTH(Table1[[#This Row],[Date]]),1,1,1,2,2,2,3,3,3,4,4,4)</f>
        <v>Qtr 2</v>
      </c>
      <c r="G2086" s="3" t="str">
        <f>TEXT(Table1[[#This Row],[Date]],"mmmm")</f>
        <v>May</v>
      </c>
      <c r="H2086" s="3" t="s">
        <v>1083</v>
      </c>
      <c r="I2086" s="3" t="s">
        <v>33</v>
      </c>
      <c r="J2086" s="3">
        <v>4</v>
      </c>
      <c r="K2086" s="3">
        <v>24334.28</v>
      </c>
      <c r="L2086" s="3">
        <f>Table1[[#This Row],[Price Per Unit]]*Table1[[#This Row],[Units Sold]]</f>
        <v>97337.12</v>
      </c>
      <c r="M2086" s="3" t="s">
        <v>101</v>
      </c>
      <c r="N2086" s="3">
        <v>30</v>
      </c>
      <c r="O2086" s="3" t="s">
        <v>15</v>
      </c>
      <c r="P2086" s="3" t="s">
        <v>21</v>
      </c>
      <c r="Q2086" s="4">
        <v>1</v>
      </c>
      <c r="R2086" s="4" t="str">
        <f>IF(Table1[[#This Row],[Customer Ratings]]&gt;=4, "Good",IF(Table1[[#This Row],[Customer Ratings]]=3, "Average","Poor"))</f>
        <v>Poor</v>
      </c>
      <c r="S2086" s="3" t="s">
        <v>46</v>
      </c>
    </row>
    <row r="2087" spans="1:19" x14ac:dyDescent="0.25">
      <c r="A2087" s="3">
        <v>2086</v>
      </c>
      <c r="B2087" s="5">
        <f>DATE(Table1[[#This Row],[Year]],Table1[[#This Row],[Month]],Table1[[#This Row],[Day]])</f>
        <v>45070</v>
      </c>
      <c r="C2087" s="3">
        <v>24</v>
      </c>
      <c r="D2087" s="3">
        <v>5</v>
      </c>
      <c r="E2087" s="3">
        <v>2023</v>
      </c>
      <c r="F2087" s="3" t="str">
        <f>"Qtr"&amp; " " &amp;CHOOSE(MONTH(Table1[[#This Row],[Date]]),1,1,1,2,2,2,3,3,3,4,4,4)</f>
        <v>Qtr 2</v>
      </c>
      <c r="G2087" s="3" t="str">
        <f>TEXT(Table1[[#This Row],[Date]],"mmmm")</f>
        <v>May</v>
      </c>
      <c r="H2087" s="3" t="s">
        <v>1083</v>
      </c>
      <c r="I2087" s="3" t="s">
        <v>18</v>
      </c>
      <c r="J2087" s="3">
        <v>6</v>
      </c>
      <c r="K2087" s="3">
        <v>12509.3</v>
      </c>
      <c r="L2087" s="3">
        <f>Table1[[#This Row],[Price Per Unit]]*Table1[[#This Row],[Units Sold]]</f>
        <v>75055.799999999988</v>
      </c>
      <c r="M2087" s="3" t="s">
        <v>646</v>
      </c>
      <c r="N2087" s="3">
        <v>56</v>
      </c>
      <c r="O2087" s="3" t="s">
        <v>120</v>
      </c>
      <c r="P2087" s="3" t="s">
        <v>45</v>
      </c>
      <c r="Q2087" s="4">
        <v>2</v>
      </c>
      <c r="R2087" s="4" t="str">
        <f>IF(Table1[[#This Row],[Customer Ratings]]&gt;=4, "Good",IF(Table1[[#This Row],[Customer Ratings]]=3, "Average","Poor"))</f>
        <v>Poor</v>
      </c>
      <c r="S2087" s="3" t="s">
        <v>22</v>
      </c>
    </row>
    <row r="2088" spans="1:19" x14ac:dyDescent="0.25">
      <c r="A2088" s="3">
        <v>2087</v>
      </c>
      <c r="B2088" s="5">
        <f>DATE(Table1[[#This Row],[Year]],Table1[[#This Row],[Month]],Table1[[#This Row],[Day]])</f>
        <v>45071</v>
      </c>
      <c r="C2088" s="3">
        <v>25</v>
      </c>
      <c r="D2088" s="3">
        <v>5</v>
      </c>
      <c r="E2088" s="3">
        <v>2023</v>
      </c>
      <c r="F2088" s="3" t="str">
        <f>"Qtr"&amp; " " &amp;CHOOSE(MONTH(Table1[[#This Row],[Date]]),1,1,1,2,2,2,3,3,3,4,4,4)</f>
        <v>Qtr 2</v>
      </c>
      <c r="G2088" s="3" t="str">
        <f>TEXT(Table1[[#This Row],[Date]],"mmmm")</f>
        <v>May</v>
      </c>
      <c r="H2088" s="3" t="s">
        <v>1084</v>
      </c>
      <c r="I2088" s="3" t="s">
        <v>18</v>
      </c>
      <c r="J2088" s="3">
        <v>1</v>
      </c>
      <c r="K2088" s="3">
        <v>47433.34</v>
      </c>
      <c r="L2088" s="3">
        <f>Table1[[#This Row],[Price Per Unit]]*Table1[[#This Row],[Units Sold]]</f>
        <v>47433.34</v>
      </c>
      <c r="M2088" s="3" t="s">
        <v>336</v>
      </c>
      <c r="N2088" s="3">
        <v>21</v>
      </c>
      <c r="O2088" s="3" t="s">
        <v>54</v>
      </c>
      <c r="P2088" s="3" t="s">
        <v>45</v>
      </c>
      <c r="Q2088" s="4">
        <v>5</v>
      </c>
      <c r="R2088" s="4" t="str">
        <f>IF(Table1[[#This Row],[Customer Ratings]]&gt;=4, "Good",IF(Table1[[#This Row],[Customer Ratings]]=3, "Average","Poor"))</f>
        <v>Good</v>
      </c>
      <c r="S2088" s="3" t="s">
        <v>25</v>
      </c>
    </row>
    <row r="2089" spans="1:19" x14ac:dyDescent="0.25">
      <c r="A2089" s="3">
        <v>2088</v>
      </c>
      <c r="B2089" s="5">
        <f>DATE(Table1[[#This Row],[Year]],Table1[[#This Row],[Month]],Table1[[#This Row],[Day]])</f>
        <v>45071</v>
      </c>
      <c r="C2089" s="3">
        <v>25</v>
      </c>
      <c r="D2089" s="3">
        <v>5</v>
      </c>
      <c r="E2089" s="3">
        <v>2023</v>
      </c>
      <c r="F2089" s="3" t="str">
        <f>"Qtr"&amp; " " &amp;CHOOSE(MONTH(Table1[[#This Row],[Date]]),1,1,1,2,2,2,3,3,3,4,4,4)</f>
        <v>Qtr 2</v>
      </c>
      <c r="G2089" s="3" t="str">
        <f>TEXT(Table1[[#This Row],[Date]],"mmmm")</f>
        <v>May</v>
      </c>
      <c r="H2089" s="3" t="s">
        <v>1084</v>
      </c>
      <c r="I2089" s="3" t="s">
        <v>18</v>
      </c>
      <c r="J2089" s="3">
        <v>4</v>
      </c>
      <c r="K2089" s="3">
        <v>43750.73</v>
      </c>
      <c r="L2089" s="3">
        <f>Table1[[#This Row],[Price Per Unit]]*Table1[[#This Row],[Units Sold]]</f>
        <v>175002.92</v>
      </c>
      <c r="M2089" s="3" t="s">
        <v>843</v>
      </c>
      <c r="N2089" s="3">
        <v>29</v>
      </c>
      <c r="O2089" s="3" t="s">
        <v>48</v>
      </c>
      <c r="P2089" s="3" t="s">
        <v>31</v>
      </c>
      <c r="Q2089" s="4">
        <v>2</v>
      </c>
      <c r="R2089" s="4" t="str">
        <f>IF(Table1[[#This Row],[Customer Ratings]]&gt;=4, "Good",IF(Table1[[#This Row],[Customer Ratings]]=3, "Average","Poor"))</f>
        <v>Poor</v>
      </c>
      <c r="S2089" s="3" t="s">
        <v>22</v>
      </c>
    </row>
    <row r="2090" spans="1:19" x14ac:dyDescent="0.25">
      <c r="A2090" s="3">
        <v>2089</v>
      </c>
      <c r="B2090" s="5">
        <f>DATE(Table1[[#This Row],[Year]],Table1[[#This Row],[Month]],Table1[[#This Row],[Day]])</f>
        <v>45071</v>
      </c>
      <c r="C2090" s="3">
        <v>25</v>
      </c>
      <c r="D2090" s="3">
        <v>5</v>
      </c>
      <c r="E2090" s="3">
        <v>2023</v>
      </c>
      <c r="F2090" s="3" t="str">
        <f>"Qtr"&amp; " " &amp;CHOOSE(MONTH(Table1[[#This Row],[Date]]),1,1,1,2,2,2,3,3,3,4,4,4)</f>
        <v>Qtr 2</v>
      </c>
      <c r="G2090" s="3" t="str">
        <f>TEXT(Table1[[#This Row],[Date]],"mmmm")</f>
        <v>May</v>
      </c>
      <c r="H2090" s="3" t="s">
        <v>1084</v>
      </c>
      <c r="I2090" s="3" t="s">
        <v>13</v>
      </c>
      <c r="J2090" s="3">
        <v>8</v>
      </c>
      <c r="K2090" s="3">
        <v>34127.870000000003</v>
      </c>
      <c r="L2090" s="3">
        <f>Table1[[#This Row],[Price Per Unit]]*Table1[[#This Row],[Units Sold]]</f>
        <v>273022.96000000002</v>
      </c>
      <c r="M2090" s="3" t="s">
        <v>749</v>
      </c>
      <c r="N2090" s="3">
        <v>34</v>
      </c>
      <c r="O2090" s="3" t="s">
        <v>24</v>
      </c>
      <c r="P2090" s="3" t="s">
        <v>31</v>
      </c>
      <c r="Q2090" s="4">
        <v>4</v>
      </c>
      <c r="R2090" s="4" t="str">
        <f>IF(Table1[[#This Row],[Customer Ratings]]&gt;=4, "Good",IF(Table1[[#This Row],[Customer Ratings]]=3, "Average","Poor"))</f>
        <v>Good</v>
      </c>
      <c r="S2090" s="3" t="s">
        <v>72</v>
      </c>
    </row>
    <row r="2091" spans="1:19" x14ac:dyDescent="0.25">
      <c r="A2091" s="3">
        <v>2090</v>
      </c>
      <c r="B2091" s="5">
        <f>DATE(Table1[[#This Row],[Year]],Table1[[#This Row],[Month]],Table1[[#This Row],[Day]])</f>
        <v>45071</v>
      </c>
      <c r="C2091" s="3">
        <v>25</v>
      </c>
      <c r="D2091" s="3">
        <v>5</v>
      </c>
      <c r="E2091" s="3">
        <v>2023</v>
      </c>
      <c r="F2091" s="3" t="str">
        <f>"Qtr"&amp; " " &amp;CHOOSE(MONTH(Table1[[#This Row],[Date]]),1,1,1,2,2,2,3,3,3,4,4,4)</f>
        <v>Qtr 2</v>
      </c>
      <c r="G2091" s="3" t="str">
        <f>TEXT(Table1[[#This Row],[Date]],"mmmm")</f>
        <v>May</v>
      </c>
      <c r="H2091" s="3" t="s">
        <v>1084</v>
      </c>
      <c r="I2091" s="3" t="s">
        <v>18</v>
      </c>
      <c r="J2091" s="3">
        <v>1</v>
      </c>
      <c r="K2091" s="3">
        <v>48633.64</v>
      </c>
      <c r="L2091" s="3">
        <f>Table1[[#This Row],[Price Per Unit]]*Table1[[#This Row],[Units Sold]]</f>
        <v>48633.64</v>
      </c>
      <c r="M2091" s="3" t="s">
        <v>723</v>
      </c>
      <c r="N2091" s="3">
        <v>18</v>
      </c>
      <c r="O2091" s="3" t="s">
        <v>35</v>
      </c>
      <c r="P2091" s="3" t="s">
        <v>21</v>
      </c>
      <c r="Q2091" s="4">
        <v>1</v>
      </c>
      <c r="R2091" s="4" t="str">
        <f>IF(Table1[[#This Row],[Customer Ratings]]&gt;=4, "Good",IF(Table1[[#This Row],[Customer Ratings]]=3, "Average","Poor"))</f>
        <v>Poor</v>
      </c>
      <c r="S2091" s="3" t="s">
        <v>22</v>
      </c>
    </row>
    <row r="2092" spans="1:19" x14ac:dyDescent="0.25">
      <c r="A2092" s="3">
        <v>2091</v>
      </c>
      <c r="B2092" s="5">
        <f>DATE(Table1[[#This Row],[Year]],Table1[[#This Row],[Month]],Table1[[#This Row],[Day]])</f>
        <v>45072</v>
      </c>
      <c r="C2092" s="3">
        <v>26</v>
      </c>
      <c r="D2092" s="3">
        <v>5</v>
      </c>
      <c r="E2092" s="3">
        <v>2023</v>
      </c>
      <c r="F2092" s="3" t="str">
        <f>"Qtr"&amp; " " &amp;CHOOSE(MONTH(Table1[[#This Row],[Date]]),1,1,1,2,2,2,3,3,3,4,4,4)</f>
        <v>Qtr 2</v>
      </c>
      <c r="G2092" s="3" t="str">
        <f>TEXT(Table1[[#This Row],[Date]],"mmmm")</f>
        <v>May</v>
      </c>
      <c r="H2092" s="3" t="s">
        <v>1085</v>
      </c>
      <c r="I2092" s="3" t="s">
        <v>33</v>
      </c>
      <c r="J2092" s="3">
        <v>3</v>
      </c>
      <c r="K2092" s="3">
        <v>43036.800000000003</v>
      </c>
      <c r="L2092" s="3">
        <f>Table1[[#This Row],[Price Per Unit]]*Table1[[#This Row],[Units Sold]]</f>
        <v>129110.40000000001</v>
      </c>
      <c r="M2092" s="3" t="s">
        <v>129</v>
      </c>
      <c r="N2092" s="3">
        <v>34</v>
      </c>
      <c r="O2092" s="3" t="s">
        <v>20</v>
      </c>
      <c r="P2092" s="3" t="s">
        <v>45</v>
      </c>
      <c r="Q2092" s="4">
        <v>1</v>
      </c>
      <c r="R2092" s="4" t="str">
        <f>IF(Table1[[#This Row],[Customer Ratings]]&gt;=4, "Good",IF(Table1[[#This Row],[Customer Ratings]]=3, "Average","Poor"))</f>
        <v>Poor</v>
      </c>
      <c r="S2092" s="3" t="s">
        <v>46</v>
      </c>
    </row>
    <row r="2093" spans="1:19" x14ac:dyDescent="0.25">
      <c r="A2093" s="3">
        <v>2092</v>
      </c>
      <c r="B2093" s="5">
        <f>DATE(Table1[[#This Row],[Year]],Table1[[#This Row],[Month]],Table1[[#This Row],[Day]])</f>
        <v>45072</v>
      </c>
      <c r="C2093" s="3">
        <v>26</v>
      </c>
      <c r="D2093" s="3">
        <v>5</v>
      </c>
      <c r="E2093" s="3">
        <v>2023</v>
      </c>
      <c r="F2093" s="3" t="str">
        <f>"Qtr"&amp; " " &amp;CHOOSE(MONTH(Table1[[#This Row],[Date]]),1,1,1,2,2,2,3,3,3,4,4,4)</f>
        <v>Qtr 2</v>
      </c>
      <c r="G2093" s="3" t="str">
        <f>TEXT(Table1[[#This Row],[Date]],"mmmm")</f>
        <v>May</v>
      </c>
      <c r="H2093" s="3" t="s">
        <v>1085</v>
      </c>
      <c r="I2093" s="3" t="s">
        <v>28</v>
      </c>
      <c r="J2093" s="3">
        <v>1</v>
      </c>
      <c r="K2093" s="3">
        <v>25034.89</v>
      </c>
      <c r="L2093" s="3">
        <f>Table1[[#This Row],[Price Per Unit]]*Table1[[#This Row],[Units Sold]]</f>
        <v>25034.89</v>
      </c>
      <c r="M2093" s="3" t="s">
        <v>742</v>
      </c>
      <c r="N2093" s="3">
        <v>19</v>
      </c>
      <c r="O2093" s="3" t="s">
        <v>20</v>
      </c>
      <c r="P2093" s="3" t="s">
        <v>31</v>
      </c>
      <c r="Q2093" s="4">
        <v>2</v>
      </c>
      <c r="R2093" s="4" t="str">
        <f>IF(Table1[[#This Row],[Customer Ratings]]&gt;=4, "Good",IF(Table1[[#This Row],[Customer Ratings]]=3, "Average","Poor"))</f>
        <v>Poor</v>
      </c>
      <c r="S2093" s="3" t="s">
        <v>32</v>
      </c>
    </row>
    <row r="2094" spans="1:19" x14ac:dyDescent="0.25">
      <c r="A2094" s="3">
        <v>2093</v>
      </c>
      <c r="B2094" s="5">
        <f>DATE(Table1[[#This Row],[Year]],Table1[[#This Row],[Month]],Table1[[#This Row],[Day]])</f>
        <v>45072</v>
      </c>
      <c r="C2094" s="3">
        <v>26</v>
      </c>
      <c r="D2094" s="3">
        <v>5</v>
      </c>
      <c r="E2094" s="3">
        <v>2023</v>
      </c>
      <c r="F2094" s="3" t="str">
        <f>"Qtr"&amp; " " &amp;CHOOSE(MONTH(Table1[[#This Row],[Date]]),1,1,1,2,2,2,3,3,3,4,4,4)</f>
        <v>Qtr 2</v>
      </c>
      <c r="G2094" s="3" t="str">
        <f>TEXT(Table1[[#This Row],[Date]],"mmmm")</f>
        <v>May</v>
      </c>
      <c r="H2094" s="3" t="s">
        <v>1085</v>
      </c>
      <c r="I2094" s="3" t="s">
        <v>28</v>
      </c>
      <c r="J2094" s="3">
        <v>9</v>
      </c>
      <c r="K2094" s="3">
        <v>33863.74</v>
      </c>
      <c r="L2094" s="3">
        <f>Table1[[#This Row],[Price Per Unit]]*Table1[[#This Row],[Units Sold]]</f>
        <v>304773.65999999997</v>
      </c>
      <c r="M2094" s="3" t="s">
        <v>351</v>
      </c>
      <c r="N2094" s="3">
        <v>23</v>
      </c>
      <c r="O2094" s="3" t="s">
        <v>54</v>
      </c>
      <c r="P2094" s="3" t="s">
        <v>16</v>
      </c>
      <c r="Q2094" s="4">
        <v>4</v>
      </c>
      <c r="R2094" s="4" t="str">
        <f>IF(Table1[[#This Row],[Customer Ratings]]&gt;=4, "Good",IF(Table1[[#This Row],[Customer Ratings]]=3, "Average","Poor"))</f>
        <v>Good</v>
      </c>
      <c r="S2094" s="3" t="s">
        <v>32</v>
      </c>
    </row>
    <row r="2095" spans="1:19" x14ac:dyDescent="0.25">
      <c r="A2095" s="3">
        <v>2094</v>
      </c>
      <c r="B2095" s="5">
        <f>DATE(Table1[[#This Row],[Year]],Table1[[#This Row],[Month]],Table1[[#This Row],[Day]])</f>
        <v>45072</v>
      </c>
      <c r="C2095" s="3">
        <v>26</v>
      </c>
      <c r="D2095" s="3">
        <v>5</v>
      </c>
      <c r="E2095" s="3">
        <v>2023</v>
      </c>
      <c r="F2095" s="3" t="str">
        <f>"Qtr"&amp; " " &amp;CHOOSE(MONTH(Table1[[#This Row],[Date]]),1,1,1,2,2,2,3,3,3,4,4,4)</f>
        <v>Qtr 2</v>
      </c>
      <c r="G2095" s="3" t="str">
        <f>TEXT(Table1[[#This Row],[Date]],"mmmm")</f>
        <v>May</v>
      </c>
      <c r="H2095" s="3" t="s">
        <v>1085</v>
      </c>
      <c r="I2095" s="3" t="s">
        <v>39</v>
      </c>
      <c r="J2095" s="3">
        <v>2</v>
      </c>
      <c r="K2095" s="3">
        <v>35686.81</v>
      </c>
      <c r="L2095" s="3">
        <f>Table1[[#This Row],[Price Per Unit]]*Table1[[#This Row],[Units Sold]]</f>
        <v>71373.62</v>
      </c>
      <c r="M2095" s="3" t="s">
        <v>263</v>
      </c>
      <c r="N2095" s="3">
        <v>28</v>
      </c>
      <c r="O2095" s="3" t="s">
        <v>24</v>
      </c>
      <c r="P2095" s="3" t="s">
        <v>16</v>
      </c>
      <c r="Q2095" s="4">
        <v>4</v>
      </c>
      <c r="R2095" s="4" t="str">
        <f>IF(Table1[[#This Row],[Customer Ratings]]&gt;=4, "Good",IF(Table1[[#This Row],[Customer Ratings]]=3, "Average","Poor"))</f>
        <v>Good</v>
      </c>
      <c r="S2095" s="3" t="s">
        <v>90</v>
      </c>
    </row>
    <row r="2096" spans="1:19" x14ac:dyDescent="0.25">
      <c r="A2096" s="3">
        <v>2095</v>
      </c>
      <c r="B2096" s="5">
        <f>DATE(Table1[[#This Row],[Year]],Table1[[#This Row],[Month]],Table1[[#This Row],[Day]])</f>
        <v>45073</v>
      </c>
      <c r="C2096" s="3">
        <v>27</v>
      </c>
      <c r="D2096" s="3">
        <v>5</v>
      </c>
      <c r="E2096" s="3">
        <v>2023</v>
      </c>
      <c r="F2096" s="3" t="str">
        <f>"Qtr"&amp; " " &amp;CHOOSE(MONTH(Table1[[#This Row],[Date]]),1,1,1,2,2,2,3,3,3,4,4,4)</f>
        <v>Qtr 2</v>
      </c>
      <c r="G2096" s="3" t="str">
        <f>TEXT(Table1[[#This Row],[Date]],"mmmm")</f>
        <v>May</v>
      </c>
      <c r="H2096" s="3" t="s">
        <v>1079</v>
      </c>
      <c r="I2096" s="3" t="s">
        <v>33</v>
      </c>
      <c r="J2096" s="3">
        <v>9</v>
      </c>
      <c r="K2096" s="3">
        <v>62814.879999999997</v>
      </c>
      <c r="L2096" s="3">
        <f>Table1[[#This Row],[Price Per Unit]]*Table1[[#This Row],[Units Sold]]</f>
        <v>565333.91999999993</v>
      </c>
      <c r="M2096" s="3" t="s">
        <v>434</v>
      </c>
      <c r="N2096" s="3">
        <v>35</v>
      </c>
      <c r="O2096" s="3" t="s">
        <v>15</v>
      </c>
      <c r="P2096" s="3" t="s">
        <v>21</v>
      </c>
      <c r="Q2096" s="4">
        <v>2</v>
      </c>
      <c r="R2096" s="4" t="str">
        <f>IF(Table1[[#This Row],[Customer Ratings]]&gt;=4, "Good",IF(Table1[[#This Row],[Customer Ratings]]=3, "Average","Poor"))</f>
        <v>Poor</v>
      </c>
      <c r="S2096" s="3" t="s">
        <v>46</v>
      </c>
    </row>
    <row r="2097" spans="1:19" x14ac:dyDescent="0.25">
      <c r="A2097" s="3">
        <v>2096</v>
      </c>
      <c r="B2097" s="5">
        <f>DATE(Table1[[#This Row],[Year]],Table1[[#This Row],[Month]],Table1[[#This Row],[Day]])</f>
        <v>45073</v>
      </c>
      <c r="C2097" s="3">
        <v>27</v>
      </c>
      <c r="D2097" s="3">
        <v>5</v>
      </c>
      <c r="E2097" s="3">
        <v>2023</v>
      </c>
      <c r="F2097" s="3" t="str">
        <f>"Qtr"&amp; " " &amp;CHOOSE(MONTH(Table1[[#This Row],[Date]]),1,1,1,2,2,2,3,3,3,4,4,4)</f>
        <v>Qtr 2</v>
      </c>
      <c r="G2097" s="3" t="str">
        <f>TEXT(Table1[[#This Row],[Date]],"mmmm")</f>
        <v>May</v>
      </c>
      <c r="H2097" s="3" t="s">
        <v>1079</v>
      </c>
      <c r="I2097" s="3" t="s">
        <v>18</v>
      </c>
      <c r="J2097" s="3">
        <v>4</v>
      </c>
      <c r="K2097" s="3">
        <v>67654.25</v>
      </c>
      <c r="L2097" s="3">
        <f>Table1[[#This Row],[Price Per Unit]]*Table1[[#This Row],[Units Sold]]</f>
        <v>270617</v>
      </c>
      <c r="M2097" s="3" t="s">
        <v>660</v>
      </c>
      <c r="N2097" s="3">
        <v>57</v>
      </c>
      <c r="O2097" s="3" t="s">
        <v>20</v>
      </c>
      <c r="P2097" s="3" t="s">
        <v>16</v>
      </c>
      <c r="Q2097" s="4">
        <v>4</v>
      </c>
      <c r="R2097" s="4" t="str">
        <f>IF(Table1[[#This Row],[Customer Ratings]]&gt;=4, "Good",IF(Table1[[#This Row],[Customer Ratings]]=3, "Average","Poor"))</f>
        <v>Good</v>
      </c>
      <c r="S2097" s="3" t="s">
        <v>25</v>
      </c>
    </row>
    <row r="2098" spans="1:19" x14ac:dyDescent="0.25">
      <c r="A2098" s="3">
        <v>2097</v>
      </c>
      <c r="B2098" s="5">
        <f>DATE(Table1[[#This Row],[Year]],Table1[[#This Row],[Month]],Table1[[#This Row],[Day]])</f>
        <v>45073</v>
      </c>
      <c r="C2098" s="3">
        <v>27</v>
      </c>
      <c r="D2098" s="3">
        <v>5</v>
      </c>
      <c r="E2098" s="3">
        <v>2023</v>
      </c>
      <c r="F2098" s="3" t="str">
        <f>"Qtr"&amp; " " &amp;CHOOSE(MONTH(Table1[[#This Row],[Date]]),1,1,1,2,2,2,3,3,3,4,4,4)</f>
        <v>Qtr 2</v>
      </c>
      <c r="G2098" s="3" t="str">
        <f>TEXT(Table1[[#This Row],[Date]],"mmmm")</f>
        <v>May</v>
      </c>
      <c r="H2098" s="3" t="s">
        <v>1079</v>
      </c>
      <c r="I2098" s="3" t="s">
        <v>28</v>
      </c>
      <c r="J2098" s="3">
        <v>2</v>
      </c>
      <c r="K2098" s="3">
        <v>63580.08</v>
      </c>
      <c r="L2098" s="3">
        <f>Table1[[#This Row],[Price Per Unit]]*Table1[[#This Row],[Units Sold]]</f>
        <v>127160.16</v>
      </c>
      <c r="M2098" s="3" t="s">
        <v>947</v>
      </c>
      <c r="N2098" s="3">
        <v>42</v>
      </c>
      <c r="O2098" s="3" t="s">
        <v>20</v>
      </c>
      <c r="P2098" s="3" t="s">
        <v>21</v>
      </c>
      <c r="Q2098" s="4">
        <v>5</v>
      </c>
      <c r="R2098" s="4" t="str">
        <f>IF(Table1[[#This Row],[Customer Ratings]]&gt;=4, "Good",IF(Table1[[#This Row],[Customer Ratings]]=3, "Average","Poor"))</f>
        <v>Good</v>
      </c>
      <c r="S2098" s="3" t="s">
        <v>32</v>
      </c>
    </row>
    <row r="2099" spans="1:19" x14ac:dyDescent="0.25">
      <c r="A2099" s="3">
        <v>2098</v>
      </c>
      <c r="B2099" s="5">
        <f>DATE(Table1[[#This Row],[Year]],Table1[[#This Row],[Month]],Table1[[#This Row],[Day]])</f>
        <v>45073</v>
      </c>
      <c r="C2099" s="3">
        <v>27</v>
      </c>
      <c r="D2099" s="3">
        <v>5</v>
      </c>
      <c r="E2099" s="3">
        <v>2023</v>
      </c>
      <c r="F2099" s="3" t="str">
        <f>"Qtr"&amp; " " &amp;CHOOSE(MONTH(Table1[[#This Row],[Date]]),1,1,1,2,2,2,3,3,3,4,4,4)</f>
        <v>Qtr 2</v>
      </c>
      <c r="G2099" s="3" t="str">
        <f>TEXT(Table1[[#This Row],[Date]],"mmmm")</f>
        <v>May</v>
      </c>
      <c r="H2099" s="3" t="s">
        <v>1079</v>
      </c>
      <c r="I2099" s="3" t="s">
        <v>33</v>
      </c>
      <c r="J2099" s="3">
        <v>4</v>
      </c>
      <c r="K2099" s="3">
        <v>53150.68</v>
      </c>
      <c r="L2099" s="3">
        <f>Table1[[#This Row],[Price Per Unit]]*Table1[[#This Row],[Units Sold]]</f>
        <v>212602.72</v>
      </c>
      <c r="M2099" s="3" t="s">
        <v>505</v>
      </c>
      <c r="N2099" s="3">
        <v>56</v>
      </c>
      <c r="O2099" s="3" t="s">
        <v>81</v>
      </c>
      <c r="P2099" s="3" t="s">
        <v>45</v>
      </c>
      <c r="Q2099" s="4">
        <v>2</v>
      </c>
      <c r="R2099" s="4" t="str">
        <f>IF(Table1[[#This Row],[Customer Ratings]]&gt;=4, "Good",IF(Table1[[#This Row],[Customer Ratings]]=3, "Average","Poor"))</f>
        <v>Poor</v>
      </c>
      <c r="S2099" s="3" t="s">
        <v>46</v>
      </c>
    </row>
    <row r="2100" spans="1:19" x14ac:dyDescent="0.25">
      <c r="A2100" s="3">
        <v>2099</v>
      </c>
      <c r="B2100" s="5">
        <f>DATE(Table1[[#This Row],[Year]],Table1[[#This Row],[Month]],Table1[[#This Row],[Day]])</f>
        <v>45074</v>
      </c>
      <c r="C2100" s="3">
        <v>28</v>
      </c>
      <c r="D2100" s="3">
        <v>5</v>
      </c>
      <c r="E2100" s="3">
        <v>2023</v>
      </c>
      <c r="F2100" s="3" t="str">
        <f>"Qtr"&amp; " " &amp;CHOOSE(MONTH(Table1[[#This Row],[Date]]),1,1,1,2,2,2,3,3,3,4,4,4)</f>
        <v>Qtr 2</v>
      </c>
      <c r="G2100" s="3" t="str">
        <f>TEXT(Table1[[#This Row],[Date]],"mmmm")</f>
        <v>May</v>
      </c>
      <c r="H2100" s="3" t="s">
        <v>1080</v>
      </c>
      <c r="I2100" s="3" t="s">
        <v>28</v>
      </c>
      <c r="J2100" s="3">
        <v>6</v>
      </c>
      <c r="K2100" s="3">
        <v>45099.56</v>
      </c>
      <c r="L2100" s="3">
        <f>Table1[[#This Row],[Price Per Unit]]*Table1[[#This Row],[Units Sold]]</f>
        <v>270597.36</v>
      </c>
      <c r="M2100" s="3" t="s">
        <v>106</v>
      </c>
      <c r="N2100" s="3">
        <v>45</v>
      </c>
      <c r="O2100" s="3" t="s">
        <v>20</v>
      </c>
      <c r="P2100" s="3" t="s">
        <v>21</v>
      </c>
      <c r="Q2100" s="4">
        <v>4</v>
      </c>
      <c r="R2100" s="4" t="str">
        <f>IF(Table1[[#This Row],[Customer Ratings]]&gt;=4, "Good",IF(Table1[[#This Row],[Customer Ratings]]=3, "Average","Poor"))</f>
        <v>Good</v>
      </c>
      <c r="S2100" s="3" t="s">
        <v>38</v>
      </c>
    </row>
    <row r="2101" spans="1:19" x14ac:dyDescent="0.25">
      <c r="A2101" s="3">
        <v>2100</v>
      </c>
      <c r="B2101" s="5">
        <f>DATE(Table1[[#This Row],[Year]],Table1[[#This Row],[Month]],Table1[[#This Row],[Day]])</f>
        <v>45074</v>
      </c>
      <c r="C2101" s="3">
        <v>28</v>
      </c>
      <c r="D2101" s="3">
        <v>5</v>
      </c>
      <c r="E2101" s="3">
        <v>2023</v>
      </c>
      <c r="F2101" s="3" t="str">
        <f>"Qtr"&amp; " " &amp;CHOOSE(MONTH(Table1[[#This Row],[Date]]),1,1,1,2,2,2,3,3,3,4,4,4)</f>
        <v>Qtr 2</v>
      </c>
      <c r="G2101" s="3" t="str">
        <f>TEXT(Table1[[#This Row],[Date]],"mmmm")</f>
        <v>May</v>
      </c>
      <c r="H2101" s="3" t="s">
        <v>1080</v>
      </c>
      <c r="I2101" s="3" t="s">
        <v>18</v>
      </c>
      <c r="J2101" s="3">
        <v>7</v>
      </c>
      <c r="K2101" s="3">
        <v>51355.7</v>
      </c>
      <c r="L2101" s="3">
        <f>Table1[[#This Row],[Price Per Unit]]*Table1[[#This Row],[Units Sold]]</f>
        <v>359489.89999999997</v>
      </c>
      <c r="M2101" s="3" t="s">
        <v>651</v>
      </c>
      <c r="N2101" s="3">
        <v>33</v>
      </c>
      <c r="O2101" s="3" t="s">
        <v>65</v>
      </c>
      <c r="P2101" s="3" t="s">
        <v>21</v>
      </c>
      <c r="Q2101" s="4">
        <v>5</v>
      </c>
      <c r="R2101" s="4" t="str">
        <f>IF(Table1[[#This Row],[Customer Ratings]]&gt;=4, "Good",IF(Table1[[#This Row],[Customer Ratings]]=3, "Average","Poor"))</f>
        <v>Good</v>
      </c>
      <c r="S2101" s="3" t="s">
        <v>22</v>
      </c>
    </row>
    <row r="2102" spans="1:19" x14ac:dyDescent="0.25">
      <c r="A2102" s="3">
        <v>2101</v>
      </c>
      <c r="B2102" s="5">
        <f>DATE(Table1[[#This Row],[Year]],Table1[[#This Row],[Month]],Table1[[#This Row],[Day]])</f>
        <v>45074</v>
      </c>
      <c r="C2102" s="3">
        <v>28</v>
      </c>
      <c r="D2102" s="3">
        <v>5</v>
      </c>
      <c r="E2102" s="3">
        <v>2023</v>
      </c>
      <c r="F2102" s="3" t="str">
        <f>"Qtr"&amp; " " &amp;CHOOSE(MONTH(Table1[[#This Row],[Date]]),1,1,1,2,2,2,3,3,3,4,4,4)</f>
        <v>Qtr 2</v>
      </c>
      <c r="G2102" s="3" t="str">
        <f>TEXT(Table1[[#This Row],[Date]],"mmmm")</f>
        <v>May</v>
      </c>
      <c r="H2102" s="3" t="s">
        <v>1080</v>
      </c>
      <c r="I2102" s="3" t="s">
        <v>28</v>
      </c>
      <c r="J2102" s="3">
        <v>3</v>
      </c>
      <c r="K2102" s="3">
        <v>66346.55</v>
      </c>
      <c r="L2102" s="3">
        <f>Table1[[#This Row],[Price Per Unit]]*Table1[[#This Row],[Units Sold]]</f>
        <v>199039.65000000002</v>
      </c>
      <c r="M2102" s="3" t="s">
        <v>838</v>
      </c>
      <c r="N2102" s="3">
        <v>29</v>
      </c>
      <c r="O2102" s="3" t="s">
        <v>41</v>
      </c>
      <c r="P2102" s="3" t="s">
        <v>45</v>
      </c>
      <c r="Q2102" s="4">
        <v>2</v>
      </c>
      <c r="R2102" s="4" t="str">
        <f>IF(Table1[[#This Row],[Customer Ratings]]&gt;=4, "Good",IF(Table1[[#This Row],[Customer Ratings]]=3, "Average","Poor"))</f>
        <v>Poor</v>
      </c>
      <c r="S2102" s="3" t="s">
        <v>32</v>
      </c>
    </row>
    <row r="2103" spans="1:19" x14ac:dyDescent="0.25">
      <c r="A2103" s="3">
        <v>2102</v>
      </c>
      <c r="B2103" s="5">
        <f>DATE(Table1[[#This Row],[Year]],Table1[[#This Row],[Month]],Table1[[#This Row],[Day]])</f>
        <v>45075</v>
      </c>
      <c r="C2103" s="3">
        <v>29</v>
      </c>
      <c r="D2103" s="3">
        <v>5</v>
      </c>
      <c r="E2103" s="3">
        <v>2023</v>
      </c>
      <c r="F2103" s="3" t="str">
        <f>"Qtr"&amp; " " &amp;CHOOSE(MONTH(Table1[[#This Row],[Date]]),1,1,1,2,2,2,3,3,3,4,4,4)</f>
        <v>Qtr 2</v>
      </c>
      <c r="G2103" s="3" t="str">
        <f>TEXT(Table1[[#This Row],[Date]],"mmmm")</f>
        <v>May</v>
      </c>
      <c r="H2103" s="3" t="s">
        <v>1081</v>
      </c>
      <c r="I2103" s="3" t="s">
        <v>39</v>
      </c>
      <c r="J2103" s="3">
        <v>3</v>
      </c>
      <c r="K2103" s="3">
        <v>24999.919999999998</v>
      </c>
      <c r="L2103" s="3">
        <f>Table1[[#This Row],[Price Per Unit]]*Table1[[#This Row],[Units Sold]]</f>
        <v>74999.759999999995</v>
      </c>
      <c r="M2103" s="3" t="s">
        <v>271</v>
      </c>
      <c r="N2103" s="3">
        <v>58</v>
      </c>
      <c r="O2103" s="3" t="s">
        <v>20</v>
      </c>
      <c r="P2103" s="3" t="s">
        <v>31</v>
      </c>
      <c r="Q2103" s="4">
        <v>5</v>
      </c>
      <c r="R2103" s="4" t="str">
        <f>IF(Table1[[#This Row],[Customer Ratings]]&gt;=4, "Good",IF(Table1[[#This Row],[Customer Ratings]]=3, "Average","Poor"))</f>
        <v>Good</v>
      </c>
      <c r="S2103" s="3" t="s">
        <v>76</v>
      </c>
    </row>
    <row r="2104" spans="1:19" x14ac:dyDescent="0.25">
      <c r="A2104" s="3">
        <v>2103</v>
      </c>
      <c r="B2104" s="5">
        <f>DATE(Table1[[#This Row],[Year]],Table1[[#This Row],[Month]],Table1[[#This Row],[Day]])</f>
        <v>45075</v>
      </c>
      <c r="C2104" s="3">
        <v>29</v>
      </c>
      <c r="D2104" s="3">
        <v>5</v>
      </c>
      <c r="E2104" s="3">
        <v>2023</v>
      </c>
      <c r="F2104" s="3" t="str">
        <f>"Qtr"&amp; " " &amp;CHOOSE(MONTH(Table1[[#This Row],[Date]]),1,1,1,2,2,2,3,3,3,4,4,4)</f>
        <v>Qtr 2</v>
      </c>
      <c r="G2104" s="3" t="str">
        <f>TEXT(Table1[[#This Row],[Date]],"mmmm")</f>
        <v>May</v>
      </c>
      <c r="H2104" s="3" t="s">
        <v>1081</v>
      </c>
      <c r="I2104" s="3" t="s">
        <v>39</v>
      </c>
      <c r="J2104" s="3">
        <v>8</v>
      </c>
      <c r="K2104" s="3">
        <v>42107.23</v>
      </c>
      <c r="L2104" s="3">
        <f>Table1[[#This Row],[Price Per Unit]]*Table1[[#This Row],[Units Sold]]</f>
        <v>336857.84</v>
      </c>
      <c r="M2104" s="3" t="s">
        <v>948</v>
      </c>
      <c r="N2104" s="3">
        <v>46</v>
      </c>
      <c r="O2104" s="3" t="s">
        <v>20</v>
      </c>
      <c r="P2104" s="3" t="s">
        <v>31</v>
      </c>
      <c r="Q2104" s="4">
        <v>4</v>
      </c>
      <c r="R2104" s="4" t="str">
        <f>IF(Table1[[#This Row],[Customer Ratings]]&gt;=4, "Good",IF(Table1[[#This Row],[Customer Ratings]]=3, "Average","Poor"))</f>
        <v>Good</v>
      </c>
      <c r="S2104" s="3" t="s">
        <v>76</v>
      </c>
    </row>
    <row r="2105" spans="1:19" x14ac:dyDescent="0.25">
      <c r="A2105" s="3">
        <v>2104</v>
      </c>
      <c r="B2105" s="5">
        <f>DATE(Table1[[#This Row],[Year]],Table1[[#This Row],[Month]],Table1[[#This Row],[Day]])</f>
        <v>45075</v>
      </c>
      <c r="C2105" s="3">
        <v>29</v>
      </c>
      <c r="D2105" s="3">
        <v>5</v>
      </c>
      <c r="E2105" s="3">
        <v>2023</v>
      </c>
      <c r="F2105" s="3" t="str">
        <f>"Qtr"&amp; " " &amp;CHOOSE(MONTH(Table1[[#This Row],[Date]]),1,1,1,2,2,2,3,3,3,4,4,4)</f>
        <v>Qtr 2</v>
      </c>
      <c r="G2105" s="3" t="str">
        <f>TEXT(Table1[[#This Row],[Date]],"mmmm")</f>
        <v>May</v>
      </c>
      <c r="H2105" s="3" t="s">
        <v>1081</v>
      </c>
      <c r="I2105" s="3" t="s">
        <v>28</v>
      </c>
      <c r="J2105" s="3">
        <v>5</v>
      </c>
      <c r="K2105" s="3">
        <v>51376.480000000003</v>
      </c>
      <c r="L2105" s="3">
        <f>Table1[[#This Row],[Price Per Unit]]*Table1[[#This Row],[Units Sold]]</f>
        <v>256882.40000000002</v>
      </c>
      <c r="M2105" s="3" t="s">
        <v>849</v>
      </c>
      <c r="N2105" s="3">
        <v>40</v>
      </c>
      <c r="O2105" s="3" t="s">
        <v>137</v>
      </c>
      <c r="P2105" s="3" t="s">
        <v>31</v>
      </c>
      <c r="Q2105" s="4">
        <v>4</v>
      </c>
      <c r="R2105" s="4" t="str">
        <f>IF(Table1[[#This Row],[Customer Ratings]]&gt;=4, "Good",IF(Table1[[#This Row],[Customer Ratings]]=3, "Average","Poor"))</f>
        <v>Good</v>
      </c>
      <c r="S2105" s="3" t="s">
        <v>87</v>
      </c>
    </row>
    <row r="2106" spans="1:19" x14ac:dyDescent="0.25">
      <c r="A2106" s="3">
        <v>2105</v>
      </c>
      <c r="B2106" s="5">
        <f>DATE(Table1[[#This Row],[Year]],Table1[[#This Row],[Month]],Table1[[#This Row],[Day]])</f>
        <v>45076</v>
      </c>
      <c r="C2106" s="3">
        <v>30</v>
      </c>
      <c r="D2106" s="3">
        <v>5</v>
      </c>
      <c r="E2106" s="3">
        <v>2023</v>
      </c>
      <c r="F2106" s="3" t="str">
        <f>"Qtr"&amp; " " &amp;CHOOSE(MONTH(Table1[[#This Row],[Date]]),1,1,1,2,2,2,3,3,3,4,4,4)</f>
        <v>Qtr 2</v>
      </c>
      <c r="G2106" s="3" t="str">
        <f>TEXT(Table1[[#This Row],[Date]],"mmmm")</f>
        <v>May</v>
      </c>
      <c r="H2106" s="3" t="s">
        <v>1082</v>
      </c>
      <c r="I2106" s="3" t="s">
        <v>33</v>
      </c>
      <c r="J2106" s="3">
        <v>4</v>
      </c>
      <c r="K2106" s="3">
        <v>50754.82</v>
      </c>
      <c r="L2106" s="3">
        <f>Table1[[#This Row],[Price Per Unit]]*Table1[[#This Row],[Units Sold]]</f>
        <v>203019.28</v>
      </c>
      <c r="M2106" s="3" t="s">
        <v>545</v>
      </c>
      <c r="N2106" s="3">
        <v>38</v>
      </c>
      <c r="O2106" s="3" t="s">
        <v>102</v>
      </c>
      <c r="P2106" s="3" t="s">
        <v>31</v>
      </c>
      <c r="Q2106" s="4">
        <v>4</v>
      </c>
      <c r="R2106" s="4" t="str">
        <f>IF(Table1[[#This Row],[Customer Ratings]]&gt;=4, "Good",IF(Table1[[#This Row],[Customer Ratings]]=3, "Average","Poor"))</f>
        <v>Good</v>
      </c>
      <c r="S2106" s="3" t="s">
        <v>36</v>
      </c>
    </row>
    <row r="2107" spans="1:19" x14ac:dyDescent="0.25">
      <c r="A2107" s="3">
        <v>2106</v>
      </c>
      <c r="B2107" s="5">
        <f>DATE(Table1[[#This Row],[Year]],Table1[[#This Row],[Month]],Table1[[#This Row],[Day]])</f>
        <v>45076</v>
      </c>
      <c r="C2107" s="3">
        <v>30</v>
      </c>
      <c r="D2107" s="3">
        <v>5</v>
      </c>
      <c r="E2107" s="3">
        <v>2023</v>
      </c>
      <c r="F2107" s="3" t="str">
        <f>"Qtr"&amp; " " &amp;CHOOSE(MONTH(Table1[[#This Row],[Date]]),1,1,1,2,2,2,3,3,3,4,4,4)</f>
        <v>Qtr 2</v>
      </c>
      <c r="G2107" s="3" t="str">
        <f>TEXT(Table1[[#This Row],[Date]],"mmmm")</f>
        <v>May</v>
      </c>
      <c r="H2107" s="3" t="s">
        <v>1082</v>
      </c>
      <c r="I2107" s="3" t="s">
        <v>33</v>
      </c>
      <c r="J2107" s="3">
        <v>7</v>
      </c>
      <c r="K2107" s="3">
        <v>25136.74</v>
      </c>
      <c r="L2107" s="3">
        <f>Table1[[#This Row],[Price Per Unit]]*Table1[[#This Row],[Units Sold]]</f>
        <v>175957.18000000002</v>
      </c>
      <c r="M2107" s="3" t="s">
        <v>694</v>
      </c>
      <c r="N2107" s="3">
        <v>33</v>
      </c>
      <c r="O2107" s="3" t="s">
        <v>35</v>
      </c>
      <c r="P2107" s="3" t="s">
        <v>21</v>
      </c>
      <c r="Q2107" s="4">
        <v>4</v>
      </c>
      <c r="R2107" s="4" t="str">
        <f>IF(Table1[[#This Row],[Customer Ratings]]&gt;=4, "Good",IF(Table1[[#This Row],[Customer Ratings]]=3, "Average","Poor"))</f>
        <v>Good</v>
      </c>
      <c r="S2107" s="3" t="s">
        <v>36</v>
      </c>
    </row>
    <row r="2108" spans="1:19" x14ac:dyDescent="0.25">
      <c r="A2108" s="3">
        <v>2107</v>
      </c>
      <c r="B2108" s="5">
        <f>DATE(Table1[[#This Row],[Year]],Table1[[#This Row],[Month]],Table1[[#This Row],[Day]])</f>
        <v>45076</v>
      </c>
      <c r="C2108" s="3">
        <v>30</v>
      </c>
      <c r="D2108" s="3">
        <v>5</v>
      </c>
      <c r="E2108" s="3">
        <v>2023</v>
      </c>
      <c r="F2108" s="3" t="str">
        <f>"Qtr"&amp; " " &amp;CHOOSE(MONTH(Table1[[#This Row],[Date]]),1,1,1,2,2,2,3,3,3,4,4,4)</f>
        <v>Qtr 2</v>
      </c>
      <c r="G2108" s="3" t="str">
        <f>TEXT(Table1[[#This Row],[Date]],"mmmm")</f>
        <v>May</v>
      </c>
      <c r="H2108" s="3" t="s">
        <v>1082</v>
      </c>
      <c r="I2108" s="3" t="s">
        <v>33</v>
      </c>
      <c r="J2108" s="3">
        <v>7</v>
      </c>
      <c r="K2108" s="3">
        <v>45203.89</v>
      </c>
      <c r="L2108" s="3">
        <f>Table1[[#This Row],[Price Per Unit]]*Table1[[#This Row],[Units Sold]]</f>
        <v>316427.23</v>
      </c>
      <c r="M2108" s="3" t="s">
        <v>49</v>
      </c>
      <c r="N2108" s="3">
        <v>58</v>
      </c>
      <c r="O2108" s="3" t="s">
        <v>102</v>
      </c>
      <c r="P2108" s="3" t="s">
        <v>31</v>
      </c>
      <c r="Q2108" s="4">
        <v>4</v>
      </c>
      <c r="R2108" s="4" t="str">
        <f>IF(Table1[[#This Row],[Customer Ratings]]&gt;=4, "Good",IF(Table1[[#This Row],[Customer Ratings]]=3, "Average","Poor"))</f>
        <v>Good</v>
      </c>
      <c r="S2108" s="3" t="s">
        <v>36</v>
      </c>
    </row>
    <row r="2109" spans="1:19" x14ac:dyDescent="0.25">
      <c r="A2109" s="3">
        <v>2108</v>
      </c>
      <c r="B2109" s="5">
        <f>DATE(Table1[[#This Row],[Year]],Table1[[#This Row],[Month]],Table1[[#This Row],[Day]])</f>
        <v>45076</v>
      </c>
      <c r="C2109" s="3">
        <v>30</v>
      </c>
      <c r="D2109" s="3">
        <v>5</v>
      </c>
      <c r="E2109" s="3">
        <v>2023</v>
      </c>
      <c r="F2109" s="3" t="str">
        <f>"Qtr"&amp; " " &amp;CHOOSE(MONTH(Table1[[#This Row],[Date]]),1,1,1,2,2,2,3,3,3,4,4,4)</f>
        <v>Qtr 2</v>
      </c>
      <c r="G2109" s="3" t="str">
        <f>TEXT(Table1[[#This Row],[Date]],"mmmm")</f>
        <v>May</v>
      </c>
      <c r="H2109" s="3" t="s">
        <v>1082</v>
      </c>
      <c r="I2109" s="3" t="s">
        <v>28</v>
      </c>
      <c r="J2109" s="3">
        <v>9</v>
      </c>
      <c r="K2109" s="3">
        <v>57754.79</v>
      </c>
      <c r="L2109" s="3">
        <f>Table1[[#This Row],[Price Per Unit]]*Table1[[#This Row],[Units Sold]]</f>
        <v>519793.11</v>
      </c>
      <c r="M2109" s="3" t="s">
        <v>383</v>
      </c>
      <c r="N2109" s="3">
        <v>43</v>
      </c>
      <c r="O2109" s="3" t="s">
        <v>20</v>
      </c>
      <c r="P2109" s="3" t="s">
        <v>16</v>
      </c>
      <c r="Q2109" s="4">
        <v>4</v>
      </c>
      <c r="R2109" s="4" t="str">
        <f>IF(Table1[[#This Row],[Customer Ratings]]&gt;=4, "Good",IF(Table1[[#This Row],[Customer Ratings]]=3, "Average","Poor"))</f>
        <v>Good</v>
      </c>
      <c r="S2109" s="3" t="s">
        <v>38</v>
      </c>
    </row>
    <row r="2110" spans="1:19" x14ac:dyDescent="0.25">
      <c r="A2110" s="3">
        <v>2109</v>
      </c>
      <c r="B2110" s="5">
        <f>DATE(Table1[[#This Row],[Year]],Table1[[#This Row],[Month]],Table1[[#This Row],[Day]])</f>
        <v>45077</v>
      </c>
      <c r="C2110" s="3">
        <v>31</v>
      </c>
      <c r="D2110" s="3">
        <v>5</v>
      </c>
      <c r="E2110" s="3">
        <v>2023</v>
      </c>
      <c r="F2110" s="3" t="str">
        <f>"Qtr"&amp; " " &amp;CHOOSE(MONTH(Table1[[#This Row],[Date]]),1,1,1,2,2,2,3,3,3,4,4,4)</f>
        <v>Qtr 2</v>
      </c>
      <c r="G2110" s="3" t="str">
        <f>TEXT(Table1[[#This Row],[Date]],"mmmm")</f>
        <v>May</v>
      </c>
      <c r="H2110" s="3" t="s">
        <v>1083</v>
      </c>
      <c r="I2110" s="3" t="s">
        <v>33</v>
      </c>
      <c r="J2110" s="3">
        <v>9</v>
      </c>
      <c r="K2110" s="3">
        <v>38504.74</v>
      </c>
      <c r="L2110" s="3">
        <f>Table1[[#This Row],[Price Per Unit]]*Table1[[#This Row],[Units Sold]]</f>
        <v>346542.66</v>
      </c>
      <c r="M2110" s="3" t="s">
        <v>941</v>
      </c>
      <c r="N2110" s="3">
        <v>54</v>
      </c>
      <c r="O2110" s="3" t="s">
        <v>24</v>
      </c>
      <c r="P2110" s="3" t="s">
        <v>16</v>
      </c>
      <c r="Q2110" s="4">
        <v>2</v>
      </c>
      <c r="R2110" s="4" t="str">
        <f>IF(Table1[[#This Row],[Customer Ratings]]&gt;=4, "Good",IF(Table1[[#This Row],[Customer Ratings]]=3, "Average","Poor"))</f>
        <v>Poor</v>
      </c>
      <c r="S2110" s="3" t="s">
        <v>46</v>
      </c>
    </row>
    <row r="2111" spans="1:19" x14ac:dyDescent="0.25">
      <c r="A2111" s="3">
        <v>2110</v>
      </c>
      <c r="B2111" s="5">
        <f>DATE(Table1[[#This Row],[Year]],Table1[[#This Row],[Month]],Table1[[#This Row],[Day]])</f>
        <v>45077</v>
      </c>
      <c r="C2111" s="3">
        <v>31</v>
      </c>
      <c r="D2111" s="3">
        <v>5</v>
      </c>
      <c r="E2111" s="3">
        <v>2023</v>
      </c>
      <c r="F2111" s="3" t="str">
        <f>"Qtr"&amp; " " &amp;CHOOSE(MONTH(Table1[[#This Row],[Date]]),1,1,1,2,2,2,3,3,3,4,4,4)</f>
        <v>Qtr 2</v>
      </c>
      <c r="G2111" s="3" t="str">
        <f>TEXT(Table1[[#This Row],[Date]],"mmmm")</f>
        <v>May</v>
      </c>
      <c r="H2111" s="3" t="s">
        <v>1083</v>
      </c>
      <c r="I2111" s="3" t="s">
        <v>18</v>
      </c>
      <c r="J2111" s="3">
        <v>5</v>
      </c>
      <c r="K2111" s="3">
        <v>57597.88</v>
      </c>
      <c r="L2111" s="3">
        <f>Table1[[#This Row],[Price Per Unit]]*Table1[[#This Row],[Units Sold]]</f>
        <v>287989.39999999997</v>
      </c>
      <c r="M2111" s="3" t="s">
        <v>468</v>
      </c>
      <c r="N2111" s="3">
        <v>39</v>
      </c>
      <c r="O2111" s="3" t="s">
        <v>24</v>
      </c>
      <c r="P2111" s="3" t="s">
        <v>31</v>
      </c>
      <c r="Q2111" s="4">
        <v>2</v>
      </c>
      <c r="R2111" s="4" t="str">
        <f>IF(Table1[[#This Row],[Customer Ratings]]&gt;=4, "Good",IF(Table1[[#This Row],[Customer Ratings]]=3, "Average","Poor"))</f>
        <v>Poor</v>
      </c>
      <c r="S2111" s="3" t="s">
        <v>25</v>
      </c>
    </row>
    <row r="2112" spans="1:19" x14ac:dyDescent="0.25">
      <c r="A2112" s="3">
        <v>2111</v>
      </c>
      <c r="B2112" s="5">
        <f>DATE(Table1[[#This Row],[Year]],Table1[[#This Row],[Month]],Table1[[#This Row],[Day]])</f>
        <v>45077</v>
      </c>
      <c r="C2112" s="3">
        <v>31</v>
      </c>
      <c r="D2112" s="3">
        <v>5</v>
      </c>
      <c r="E2112" s="3">
        <v>2023</v>
      </c>
      <c r="F2112" s="3" t="str">
        <f>"Qtr"&amp; " " &amp;CHOOSE(MONTH(Table1[[#This Row],[Date]]),1,1,1,2,2,2,3,3,3,4,4,4)</f>
        <v>Qtr 2</v>
      </c>
      <c r="G2112" s="3" t="str">
        <f>TEXT(Table1[[#This Row],[Date]],"mmmm")</f>
        <v>May</v>
      </c>
      <c r="H2112" s="3" t="s">
        <v>1083</v>
      </c>
      <c r="I2112" s="3" t="s">
        <v>39</v>
      </c>
      <c r="J2112" s="3">
        <v>8</v>
      </c>
      <c r="K2112" s="3">
        <v>31592.959999999999</v>
      </c>
      <c r="L2112" s="3">
        <f>Table1[[#This Row],[Price Per Unit]]*Table1[[#This Row],[Units Sold]]</f>
        <v>252743.67999999999</v>
      </c>
      <c r="M2112" s="3" t="s">
        <v>839</v>
      </c>
      <c r="N2112" s="3">
        <v>27</v>
      </c>
      <c r="O2112" s="3" t="s">
        <v>30</v>
      </c>
      <c r="P2112" s="3" t="s">
        <v>16</v>
      </c>
      <c r="Q2112" s="4">
        <v>5</v>
      </c>
      <c r="R2112" s="4" t="str">
        <f>IF(Table1[[#This Row],[Customer Ratings]]&gt;=4, "Good",IF(Table1[[#This Row],[Customer Ratings]]=3, "Average","Poor"))</f>
        <v>Good</v>
      </c>
      <c r="S2112" s="3" t="s">
        <v>90</v>
      </c>
    </row>
    <row r="2113" spans="1:19" x14ac:dyDescent="0.25">
      <c r="A2113" s="3">
        <v>2112</v>
      </c>
      <c r="B2113" s="5">
        <f>DATE(Table1[[#This Row],[Year]],Table1[[#This Row],[Month]],Table1[[#This Row],[Day]])</f>
        <v>45077</v>
      </c>
      <c r="C2113" s="3">
        <v>31</v>
      </c>
      <c r="D2113" s="3">
        <v>5</v>
      </c>
      <c r="E2113" s="3">
        <v>2023</v>
      </c>
      <c r="F2113" s="3" t="str">
        <f>"Qtr"&amp; " " &amp;CHOOSE(MONTH(Table1[[#This Row],[Date]]),1,1,1,2,2,2,3,3,3,4,4,4)</f>
        <v>Qtr 2</v>
      </c>
      <c r="G2113" s="3" t="str">
        <f>TEXT(Table1[[#This Row],[Date]],"mmmm")</f>
        <v>May</v>
      </c>
      <c r="H2113" s="3" t="s">
        <v>1083</v>
      </c>
      <c r="I2113" s="3" t="s">
        <v>18</v>
      </c>
      <c r="J2113" s="3">
        <v>1</v>
      </c>
      <c r="K2113" s="3">
        <v>66325.61</v>
      </c>
      <c r="L2113" s="3">
        <f>Table1[[#This Row],[Price Per Unit]]*Table1[[#This Row],[Units Sold]]</f>
        <v>66325.61</v>
      </c>
      <c r="M2113" s="3" t="s">
        <v>230</v>
      </c>
      <c r="N2113" s="3">
        <v>24</v>
      </c>
      <c r="O2113" s="3" t="s">
        <v>20</v>
      </c>
      <c r="P2113" s="3" t="s">
        <v>16</v>
      </c>
      <c r="Q2113" s="4">
        <v>2</v>
      </c>
      <c r="R2113" s="4" t="str">
        <f>IF(Table1[[#This Row],[Customer Ratings]]&gt;=4, "Good",IF(Table1[[#This Row],[Customer Ratings]]=3, "Average","Poor"))</f>
        <v>Poor</v>
      </c>
      <c r="S2113" s="3" t="s">
        <v>25</v>
      </c>
    </row>
    <row r="2114" spans="1:19" x14ac:dyDescent="0.25">
      <c r="A2114" s="3">
        <v>2113</v>
      </c>
      <c r="B2114" s="5">
        <f>DATE(Table1[[#This Row],[Year]],Table1[[#This Row],[Month]],Table1[[#This Row],[Day]])</f>
        <v>45078</v>
      </c>
      <c r="C2114" s="3">
        <v>1</v>
      </c>
      <c r="D2114" s="3">
        <v>6</v>
      </c>
      <c r="E2114" s="3">
        <v>2023</v>
      </c>
      <c r="F2114" s="3" t="str">
        <f>"Qtr"&amp; " " &amp;CHOOSE(MONTH(Table1[[#This Row],[Date]]),1,1,1,2,2,2,3,3,3,4,4,4)</f>
        <v>Qtr 2</v>
      </c>
      <c r="G2114" s="3" t="str">
        <f>TEXT(Table1[[#This Row],[Date]],"mmmm")</f>
        <v>June</v>
      </c>
      <c r="H2114" s="3" t="s">
        <v>1084</v>
      </c>
      <c r="I2114" s="3" t="s">
        <v>33</v>
      </c>
      <c r="J2114" s="3">
        <v>9</v>
      </c>
      <c r="K2114" s="3">
        <v>42035.71</v>
      </c>
      <c r="L2114" s="3">
        <f>Table1[[#This Row],[Price Per Unit]]*Table1[[#This Row],[Units Sold]]</f>
        <v>378321.39</v>
      </c>
      <c r="M2114" s="3" t="s">
        <v>571</v>
      </c>
      <c r="N2114" s="3">
        <v>26</v>
      </c>
      <c r="O2114" s="3" t="s">
        <v>52</v>
      </c>
      <c r="P2114" s="3" t="s">
        <v>45</v>
      </c>
      <c r="Q2114" s="4">
        <v>2</v>
      </c>
      <c r="R2114" s="4" t="str">
        <f>IF(Table1[[#This Row],[Customer Ratings]]&gt;=4, "Good",IF(Table1[[#This Row],[Customer Ratings]]=3, "Average","Poor"))</f>
        <v>Poor</v>
      </c>
      <c r="S2114" s="3" t="s">
        <v>83</v>
      </c>
    </row>
    <row r="2115" spans="1:19" x14ac:dyDescent="0.25">
      <c r="A2115" s="3">
        <v>2114</v>
      </c>
      <c r="B2115" s="5">
        <f>DATE(Table1[[#This Row],[Year]],Table1[[#This Row],[Month]],Table1[[#This Row],[Day]])</f>
        <v>45078</v>
      </c>
      <c r="C2115" s="3">
        <v>1</v>
      </c>
      <c r="D2115" s="3">
        <v>6</v>
      </c>
      <c r="E2115" s="3">
        <v>2023</v>
      </c>
      <c r="F2115" s="3" t="str">
        <f>"Qtr"&amp; " " &amp;CHOOSE(MONTH(Table1[[#This Row],[Date]]),1,1,1,2,2,2,3,3,3,4,4,4)</f>
        <v>Qtr 2</v>
      </c>
      <c r="G2115" s="3" t="str">
        <f>TEXT(Table1[[#This Row],[Date]],"mmmm")</f>
        <v>June</v>
      </c>
      <c r="H2115" s="3" t="s">
        <v>1084</v>
      </c>
      <c r="I2115" s="3" t="s">
        <v>18</v>
      </c>
      <c r="J2115" s="3">
        <v>8</v>
      </c>
      <c r="K2115" s="3">
        <v>45756.88</v>
      </c>
      <c r="L2115" s="3">
        <f>Table1[[#This Row],[Price Per Unit]]*Table1[[#This Row],[Units Sold]]</f>
        <v>366055.04</v>
      </c>
      <c r="M2115" s="3" t="s">
        <v>89</v>
      </c>
      <c r="N2115" s="3">
        <v>42</v>
      </c>
      <c r="O2115" s="3" t="s">
        <v>20</v>
      </c>
      <c r="P2115" s="3" t="s">
        <v>45</v>
      </c>
      <c r="Q2115" s="4">
        <v>5</v>
      </c>
      <c r="R2115" s="4" t="str">
        <f>IF(Table1[[#This Row],[Customer Ratings]]&gt;=4, "Good",IF(Table1[[#This Row],[Customer Ratings]]=3, "Average","Poor"))</f>
        <v>Good</v>
      </c>
      <c r="S2115" s="3" t="s">
        <v>55</v>
      </c>
    </row>
    <row r="2116" spans="1:19" x14ac:dyDescent="0.25">
      <c r="A2116" s="3">
        <v>2115</v>
      </c>
      <c r="B2116" s="5">
        <f>DATE(Table1[[#This Row],[Year]],Table1[[#This Row],[Month]],Table1[[#This Row],[Day]])</f>
        <v>45078</v>
      </c>
      <c r="C2116" s="3">
        <v>1</v>
      </c>
      <c r="D2116" s="3">
        <v>6</v>
      </c>
      <c r="E2116" s="3">
        <v>2023</v>
      </c>
      <c r="F2116" s="3" t="str">
        <f>"Qtr"&amp; " " &amp;CHOOSE(MONTH(Table1[[#This Row],[Date]]),1,1,1,2,2,2,3,3,3,4,4,4)</f>
        <v>Qtr 2</v>
      </c>
      <c r="G2116" s="3" t="str">
        <f>TEXT(Table1[[#This Row],[Date]],"mmmm")</f>
        <v>June</v>
      </c>
      <c r="H2116" s="3" t="s">
        <v>1084</v>
      </c>
      <c r="I2116" s="3" t="s">
        <v>33</v>
      </c>
      <c r="J2116" s="3">
        <v>6</v>
      </c>
      <c r="K2116" s="3">
        <v>11881.69</v>
      </c>
      <c r="L2116" s="3">
        <f>Table1[[#This Row],[Price Per Unit]]*Table1[[#This Row],[Units Sold]]</f>
        <v>71290.14</v>
      </c>
      <c r="M2116" s="3" t="s">
        <v>811</v>
      </c>
      <c r="N2116" s="3">
        <v>32</v>
      </c>
      <c r="O2116" s="3" t="s">
        <v>98</v>
      </c>
      <c r="P2116" s="3" t="s">
        <v>31</v>
      </c>
      <c r="Q2116" s="4">
        <v>1</v>
      </c>
      <c r="R2116" s="4" t="str">
        <f>IF(Table1[[#This Row],[Customer Ratings]]&gt;=4, "Good",IF(Table1[[#This Row],[Customer Ratings]]=3, "Average","Poor"))</f>
        <v>Poor</v>
      </c>
      <c r="S2116" s="3" t="s">
        <v>46</v>
      </c>
    </row>
    <row r="2117" spans="1:19" x14ac:dyDescent="0.25">
      <c r="A2117" s="3">
        <v>2116</v>
      </c>
      <c r="B2117" s="5">
        <f>DATE(Table1[[#This Row],[Year]],Table1[[#This Row],[Month]],Table1[[#This Row],[Day]])</f>
        <v>45079</v>
      </c>
      <c r="C2117" s="3">
        <v>2</v>
      </c>
      <c r="D2117" s="3">
        <v>6</v>
      </c>
      <c r="E2117" s="3">
        <v>2023</v>
      </c>
      <c r="F2117" s="3" t="str">
        <f>"Qtr"&amp; " " &amp;CHOOSE(MONTH(Table1[[#This Row],[Date]]),1,1,1,2,2,2,3,3,3,4,4,4)</f>
        <v>Qtr 2</v>
      </c>
      <c r="G2117" s="3" t="str">
        <f>TEXT(Table1[[#This Row],[Date]],"mmmm")</f>
        <v>June</v>
      </c>
      <c r="H2117" s="3" t="s">
        <v>1085</v>
      </c>
      <c r="I2117" s="3" t="s">
        <v>28</v>
      </c>
      <c r="J2117" s="3">
        <v>3</v>
      </c>
      <c r="K2117" s="3">
        <v>20216.150000000001</v>
      </c>
      <c r="L2117" s="3">
        <f>Table1[[#This Row],[Price Per Unit]]*Table1[[#This Row],[Units Sold]]</f>
        <v>60648.450000000004</v>
      </c>
      <c r="M2117" s="3" t="s">
        <v>130</v>
      </c>
      <c r="N2117" s="3">
        <v>30</v>
      </c>
      <c r="O2117" s="3" t="s">
        <v>54</v>
      </c>
      <c r="P2117" s="3" t="s">
        <v>21</v>
      </c>
      <c r="Q2117" s="4">
        <v>4</v>
      </c>
      <c r="R2117" s="4" t="str">
        <f>IF(Table1[[#This Row],[Customer Ratings]]&gt;=4, "Good",IF(Table1[[#This Row],[Customer Ratings]]=3, "Average","Poor"))</f>
        <v>Good</v>
      </c>
      <c r="S2117" s="3" t="s">
        <v>87</v>
      </c>
    </row>
    <row r="2118" spans="1:19" x14ac:dyDescent="0.25">
      <c r="A2118" s="3">
        <v>2117</v>
      </c>
      <c r="B2118" s="5">
        <f>DATE(Table1[[#This Row],[Year]],Table1[[#This Row],[Month]],Table1[[#This Row],[Day]])</f>
        <v>45079</v>
      </c>
      <c r="C2118" s="3">
        <v>2</v>
      </c>
      <c r="D2118" s="3">
        <v>6</v>
      </c>
      <c r="E2118" s="3">
        <v>2023</v>
      </c>
      <c r="F2118" s="3" t="str">
        <f>"Qtr"&amp; " " &amp;CHOOSE(MONTH(Table1[[#This Row],[Date]]),1,1,1,2,2,2,3,3,3,4,4,4)</f>
        <v>Qtr 2</v>
      </c>
      <c r="G2118" s="3" t="str">
        <f>TEXT(Table1[[#This Row],[Date]],"mmmm")</f>
        <v>June</v>
      </c>
      <c r="H2118" s="3" t="s">
        <v>1085</v>
      </c>
      <c r="I2118" s="3" t="s">
        <v>18</v>
      </c>
      <c r="J2118" s="3">
        <v>3</v>
      </c>
      <c r="K2118" s="3">
        <v>47976.03</v>
      </c>
      <c r="L2118" s="3">
        <f>Table1[[#This Row],[Price Per Unit]]*Table1[[#This Row],[Units Sold]]</f>
        <v>143928.09</v>
      </c>
      <c r="M2118" s="3" t="s">
        <v>182</v>
      </c>
      <c r="N2118" s="3">
        <v>59</v>
      </c>
      <c r="O2118" s="3" t="s">
        <v>105</v>
      </c>
      <c r="P2118" s="3" t="s">
        <v>21</v>
      </c>
      <c r="Q2118" s="4">
        <v>2</v>
      </c>
      <c r="R2118" s="4" t="str">
        <f>IF(Table1[[#This Row],[Customer Ratings]]&gt;=4, "Good",IF(Table1[[#This Row],[Customer Ratings]]=3, "Average","Poor"))</f>
        <v>Poor</v>
      </c>
      <c r="S2118" s="3" t="s">
        <v>55</v>
      </c>
    </row>
    <row r="2119" spans="1:19" x14ac:dyDescent="0.25">
      <c r="A2119" s="3">
        <v>2118</v>
      </c>
      <c r="B2119" s="5">
        <f>DATE(Table1[[#This Row],[Year]],Table1[[#This Row],[Month]],Table1[[#This Row],[Day]])</f>
        <v>45079</v>
      </c>
      <c r="C2119" s="3">
        <v>2</v>
      </c>
      <c r="D2119" s="3">
        <v>6</v>
      </c>
      <c r="E2119" s="3">
        <v>2023</v>
      </c>
      <c r="F2119" s="3" t="str">
        <f>"Qtr"&amp; " " &amp;CHOOSE(MONTH(Table1[[#This Row],[Date]]),1,1,1,2,2,2,3,3,3,4,4,4)</f>
        <v>Qtr 2</v>
      </c>
      <c r="G2119" s="3" t="str">
        <f>TEXT(Table1[[#This Row],[Date]],"mmmm")</f>
        <v>June</v>
      </c>
      <c r="H2119" s="3" t="s">
        <v>1085</v>
      </c>
      <c r="I2119" s="3" t="s">
        <v>28</v>
      </c>
      <c r="J2119" s="3">
        <v>8</v>
      </c>
      <c r="K2119" s="3">
        <v>35192.22</v>
      </c>
      <c r="L2119" s="3">
        <f>Table1[[#This Row],[Price Per Unit]]*Table1[[#This Row],[Units Sold]]</f>
        <v>281537.76</v>
      </c>
      <c r="M2119" s="3" t="s">
        <v>182</v>
      </c>
      <c r="N2119" s="3">
        <v>43</v>
      </c>
      <c r="O2119" s="3" t="s">
        <v>78</v>
      </c>
      <c r="P2119" s="3" t="s">
        <v>45</v>
      </c>
      <c r="Q2119" s="4">
        <v>5</v>
      </c>
      <c r="R2119" s="4" t="str">
        <f>IF(Table1[[#This Row],[Customer Ratings]]&gt;=4, "Good",IF(Table1[[#This Row],[Customer Ratings]]=3, "Average","Poor"))</f>
        <v>Good</v>
      </c>
      <c r="S2119" s="3" t="s">
        <v>38</v>
      </c>
    </row>
    <row r="2120" spans="1:19" x14ac:dyDescent="0.25">
      <c r="A2120" s="3">
        <v>2119</v>
      </c>
      <c r="B2120" s="5">
        <f>DATE(Table1[[#This Row],[Year]],Table1[[#This Row],[Month]],Table1[[#This Row],[Day]])</f>
        <v>45079</v>
      </c>
      <c r="C2120" s="3">
        <v>2</v>
      </c>
      <c r="D2120" s="3">
        <v>6</v>
      </c>
      <c r="E2120" s="3">
        <v>2023</v>
      </c>
      <c r="F2120" s="3" t="str">
        <f>"Qtr"&amp; " " &amp;CHOOSE(MONTH(Table1[[#This Row],[Date]]),1,1,1,2,2,2,3,3,3,4,4,4)</f>
        <v>Qtr 2</v>
      </c>
      <c r="G2120" s="3" t="str">
        <f>TEXT(Table1[[#This Row],[Date]],"mmmm")</f>
        <v>June</v>
      </c>
      <c r="H2120" s="3" t="s">
        <v>1085</v>
      </c>
      <c r="I2120" s="3" t="s">
        <v>28</v>
      </c>
      <c r="J2120" s="3">
        <v>5</v>
      </c>
      <c r="K2120" s="3">
        <v>40489.83</v>
      </c>
      <c r="L2120" s="3">
        <f>Table1[[#This Row],[Price Per Unit]]*Table1[[#This Row],[Units Sold]]</f>
        <v>202449.15000000002</v>
      </c>
      <c r="M2120" s="3" t="s">
        <v>713</v>
      </c>
      <c r="N2120" s="3">
        <v>38</v>
      </c>
      <c r="O2120" s="3" t="s">
        <v>30</v>
      </c>
      <c r="P2120" s="3" t="s">
        <v>45</v>
      </c>
      <c r="Q2120" s="4">
        <v>4</v>
      </c>
      <c r="R2120" s="4" t="str">
        <f>IF(Table1[[#This Row],[Customer Ratings]]&gt;=4, "Good",IF(Table1[[#This Row],[Customer Ratings]]=3, "Average","Poor"))</f>
        <v>Good</v>
      </c>
      <c r="S2120" s="3" t="s">
        <v>32</v>
      </c>
    </row>
    <row r="2121" spans="1:19" x14ac:dyDescent="0.25">
      <c r="A2121" s="3">
        <v>2120</v>
      </c>
      <c r="B2121" s="5">
        <f>DATE(Table1[[#This Row],[Year]],Table1[[#This Row],[Month]],Table1[[#This Row],[Day]])</f>
        <v>45080</v>
      </c>
      <c r="C2121" s="3">
        <v>3</v>
      </c>
      <c r="D2121" s="3">
        <v>6</v>
      </c>
      <c r="E2121" s="3">
        <v>2023</v>
      </c>
      <c r="F2121" s="3" t="str">
        <f>"Qtr"&amp; " " &amp;CHOOSE(MONTH(Table1[[#This Row],[Date]]),1,1,1,2,2,2,3,3,3,4,4,4)</f>
        <v>Qtr 2</v>
      </c>
      <c r="G2121" s="3" t="str">
        <f>TEXT(Table1[[#This Row],[Date]],"mmmm")</f>
        <v>June</v>
      </c>
      <c r="H2121" s="3" t="s">
        <v>1079</v>
      </c>
      <c r="I2121" s="3" t="s">
        <v>13</v>
      </c>
      <c r="J2121" s="3">
        <v>7</v>
      </c>
      <c r="K2121" s="3">
        <v>13778.28</v>
      </c>
      <c r="L2121" s="3">
        <f>Table1[[#This Row],[Price Per Unit]]*Table1[[#This Row],[Units Sold]]</f>
        <v>96447.96</v>
      </c>
      <c r="M2121" s="3" t="s">
        <v>224</v>
      </c>
      <c r="N2121" s="3">
        <v>40</v>
      </c>
      <c r="O2121" s="3" t="s">
        <v>48</v>
      </c>
      <c r="P2121" s="3" t="s">
        <v>21</v>
      </c>
      <c r="Q2121" s="4">
        <v>4</v>
      </c>
      <c r="R2121" s="4" t="str">
        <f>IF(Table1[[#This Row],[Customer Ratings]]&gt;=4, "Good",IF(Table1[[#This Row],[Customer Ratings]]=3, "Average","Poor"))</f>
        <v>Good</v>
      </c>
      <c r="S2121" s="3" t="s">
        <v>17</v>
      </c>
    </row>
    <row r="2122" spans="1:19" x14ac:dyDescent="0.25">
      <c r="A2122" s="3">
        <v>2121</v>
      </c>
      <c r="B2122" s="5">
        <f>DATE(Table1[[#This Row],[Year]],Table1[[#This Row],[Month]],Table1[[#This Row],[Day]])</f>
        <v>45080</v>
      </c>
      <c r="C2122" s="3">
        <v>3</v>
      </c>
      <c r="D2122" s="3">
        <v>6</v>
      </c>
      <c r="E2122" s="3">
        <v>2023</v>
      </c>
      <c r="F2122" s="3" t="str">
        <f>"Qtr"&amp; " " &amp;CHOOSE(MONTH(Table1[[#This Row],[Date]]),1,1,1,2,2,2,3,3,3,4,4,4)</f>
        <v>Qtr 2</v>
      </c>
      <c r="G2122" s="3" t="str">
        <f>TEXT(Table1[[#This Row],[Date]],"mmmm")</f>
        <v>June</v>
      </c>
      <c r="H2122" s="3" t="s">
        <v>1079</v>
      </c>
      <c r="I2122" s="3" t="s">
        <v>33</v>
      </c>
      <c r="J2122" s="3">
        <v>5</v>
      </c>
      <c r="K2122" s="3">
        <v>60048.11</v>
      </c>
      <c r="L2122" s="3">
        <f>Table1[[#This Row],[Price Per Unit]]*Table1[[#This Row],[Units Sold]]</f>
        <v>300240.55</v>
      </c>
      <c r="M2122" s="3" t="s">
        <v>540</v>
      </c>
      <c r="N2122" s="3">
        <v>45</v>
      </c>
      <c r="O2122" s="3" t="s">
        <v>52</v>
      </c>
      <c r="P2122" s="3" t="s">
        <v>31</v>
      </c>
      <c r="Q2122" s="4">
        <v>2</v>
      </c>
      <c r="R2122" s="4" t="str">
        <f>IF(Table1[[#This Row],[Customer Ratings]]&gt;=4, "Good",IF(Table1[[#This Row],[Customer Ratings]]=3, "Average","Poor"))</f>
        <v>Poor</v>
      </c>
      <c r="S2122" s="3" t="s">
        <v>83</v>
      </c>
    </row>
    <row r="2123" spans="1:19" x14ac:dyDescent="0.25">
      <c r="A2123" s="3">
        <v>2122</v>
      </c>
      <c r="B2123" s="5">
        <f>DATE(Table1[[#This Row],[Year]],Table1[[#This Row],[Month]],Table1[[#This Row],[Day]])</f>
        <v>45080</v>
      </c>
      <c r="C2123" s="3">
        <v>3</v>
      </c>
      <c r="D2123" s="3">
        <v>6</v>
      </c>
      <c r="E2123" s="3">
        <v>2023</v>
      </c>
      <c r="F2123" s="3" t="str">
        <f>"Qtr"&amp; " " &amp;CHOOSE(MONTH(Table1[[#This Row],[Date]]),1,1,1,2,2,2,3,3,3,4,4,4)</f>
        <v>Qtr 2</v>
      </c>
      <c r="G2123" s="3" t="str">
        <f>TEXT(Table1[[#This Row],[Date]],"mmmm")</f>
        <v>June</v>
      </c>
      <c r="H2123" s="3" t="s">
        <v>1079</v>
      </c>
      <c r="I2123" s="3" t="s">
        <v>39</v>
      </c>
      <c r="J2123" s="3">
        <v>8</v>
      </c>
      <c r="K2123" s="3">
        <v>57070.34</v>
      </c>
      <c r="L2123" s="3">
        <f>Table1[[#This Row],[Price Per Unit]]*Table1[[#This Row],[Units Sold]]</f>
        <v>456562.72</v>
      </c>
      <c r="M2123" s="3" t="s">
        <v>814</v>
      </c>
      <c r="N2123" s="3">
        <v>55</v>
      </c>
      <c r="O2123" s="3" t="s">
        <v>24</v>
      </c>
      <c r="P2123" s="3" t="s">
        <v>21</v>
      </c>
      <c r="Q2123" s="4">
        <v>4</v>
      </c>
      <c r="R2123" s="4" t="str">
        <f>IF(Table1[[#This Row],[Customer Ratings]]&gt;=4, "Good",IF(Table1[[#This Row],[Customer Ratings]]=3, "Average","Poor"))</f>
        <v>Good</v>
      </c>
      <c r="S2123" s="3" t="s">
        <v>42</v>
      </c>
    </row>
    <row r="2124" spans="1:19" x14ac:dyDescent="0.25">
      <c r="A2124" s="3">
        <v>2123</v>
      </c>
      <c r="B2124" s="5">
        <f>DATE(Table1[[#This Row],[Year]],Table1[[#This Row],[Month]],Table1[[#This Row],[Day]])</f>
        <v>45080</v>
      </c>
      <c r="C2124" s="3">
        <v>3</v>
      </c>
      <c r="D2124" s="3">
        <v>6</v>
      </c>
      <c r="E2124" s="3">
        <v>2023</v>
      </c>
      <c r="F2124" s="3" t="str">
        <f>"Qtr"&amp; " " &amp;CHOOSE(MONTH(Table1[[#This Row],[Date]]),1,1,1,2,2,2,3,3,3,4,4,4)</f>
        <v>Qtr 2</v>
      </c>
      <c r="G2124" s="3" t="str">
        <f>TEXT(Table1[[#This Row],[Date]],"mmmm")</f>
        <v>June</v>
      </c>
      <c r="H2124" s="3" t="s">
        <v>1079</v>
      </c>
      <c r="I2124" s="3" t="s">
        <v>33</v>
      </c>
      <c r="J2124" s="3">
        <v>4</v>
      </c>
      <c r="K2124" s="3">
        <v>21121.24</v>
      </c>
      <c r="L2124" s="3">
        <f>Table1[[#This Row],[Price Per Unit]]*Table1[[#This Row],[Units Sold]]</f>
        <v>84484.96</v>
      </c>
      <c r="M2124" s="3" t="s">
        <v>616</v>
      </c>
      <c r="N2124" s="3">
        <v>29</v>
      </c>
      <c r="O2124" s="3" t="s">
        <v>24</v>
      </c>
      <c r="P2124" s="3" t="s">
        <v>21</v>
      </c>
      <c r="Q2124" s="4">
        <v>5</v>
      </c>
      <c r="R2124" s="4" t="str">
        <f>IF(Table1[[#This Row],[Customer Ratings]]&gt;=4, "Good",IF(Table1[[#This Row],[Customer Ratings]]=3, "Average","Poor"))</f>
        <v>Good</v>
      </c>
      <c r="S2124" s="3" t="s">
        <v>46</v>
      </c>
    </row>
    <row r="2125" spans="1:19" x14ac:dyDescent="0.25">
      <c r="A2125" s="3">
        <v>2124</v>
      </c>
      <c r="B2125" s="5">
        <f>DATE(Table1[[#This Row],[Year]],Table1[[#This Row],[Month]],Table1[[#This Row],[Day]])</f>
        <v>45081</v>
      </c>
      <c r="C2125" s="3">
        <v>4</v>
      </c>
      <c r="D2125" s="3">
        <v>6</v>
      </c>
      <c r="E2125" s="3">
        <v>2023</v>
      </c>
      <c r="F2125" s="3" t="str">
        <f>"Qtr"&amp; " " &amp;CHOOSE(MONTH(Table1[[#This Row],[Date]]),1,1,1,2,2,2,3,3,3,4,4,4)</f>
        <v>Qtr 2</v>
      </c>
      <c r="G2125" s="3" t="str">
        <f>TEXT(Table1[[#This Row],[Date]],"mmmm")</f>
        <v>June</v>
      </c>
      <c r="H2125" s="3" t="s">
        <v>1080</v>
      </c>
      <c r="I2125" s="3" t="s">
        <v>39</v>
      </c>
      <c r="J2125" s="3">
        <v>2</v>
      </c>
      <c r="K2125" s="3">
        <v>48059.76</v>
      </c>
      <c r="L2125" s="3">
        <f>Table1[[#This Row],[Price Per Unit]]*Table1[[#This Row],[Units Sold]]</f>
        <v>96119.52</v>
      </c>
      <c r="M2125" s="3" t="s">
        <v>711</v>
      </c>
      <c r="N2125" s="3">
        <v>41</v>
      </c>
      <c r="O2125" s="3" t="s">
        <v>15</v>
      </c>
      <c r="P2125" s="3" t="s">
        <v>16</v>
      </c>
      <c r="Q2125" s="4">
        <v>5</v>
      </c>
      <c r="R2125" s="4" t="str">
        <f>IF(Table1[[#This Row],[Customer Ratings]]&gt;=4, "Good",IF(Table1[[#This Row],[Customer Ratings]]=3, "Average","Poor"))</f>
        <v>Good</v>
      </c>
      <c r="S2125" s="3" t="s">
        <v>42</v>
      </c>
    </row>
    <row r="2126" spans="1:19" x14ac:dyDescent="0.25">
      <c r="A2126" s="3">
        <v>2125</v>
      </c>
      <c r="B2126" s="5">
        <f>DATE(Table1[[#This Row],[Year]],Table1[[#This Row],[Month]],Table1[[#This Row],[Day]])</f>
        <v>45081</v>
      </c>
      <c r="C2126" s="3">
        <v>4</v>
      </c>
      <c r="D2126" s="3">
        <v>6</v>
      </c>
      <c r="E2126" s="3">
        <v>2023</v>
      </c>
      <c r="F2126" s="3" t="str">
        <f>"Qtr"&amp; " " &amp;CHOOSE(MONTH(Table1[[#This Row],[Date]]),1,1,1,2,2,2,3,3,3,4,4,4)</f>
        <v>Qtr 2</v>
      </c>
      <c r="G2126" s="3" t="str">
        <f>TEXT(Table1[[#This Row],[Date]],"mmmm")</f>
        <v>June</v>
      </c>
      <c r="H2126" s="3" t="s">
        <v>1080</v>
      </c>
      <c r="I2126" s="3" t="s">
        <v>33</v>
      </c>
      <c r="J2126" s="3">
        <v>3</v>
      </c>
      <c r="K2126" s="3">
        <v>59098.91</v>
      </c>
      <c r="L2126" s="3">
        <f>Table1[[#This Row],[Price Per Unit]]*Table1[[#This Row],[Units Sold]]</f>
        <v>177296.73</v>
      </c>
      <c r="M2126" s="3" t="s">
        <v>228</v>
      </c>
      <c r="N2126" s="3">
        <v>30</v>
      </c>
      <c r="O2126" s="3" t="s">
        <v>20</v>
      </c>
      <c r="P2126" s="3" t="s">
        <v>21</v>
      </c>
      <c r="Q2126" s="4">
        <v>5</v>
      </c>
      <c r="R2126" s="4" t="str">
        <f>IF(Table1[[#This Row],[Customer Ratings]]&gt;=4, "Good",IF(Table1[[#This Row],[Customer Ratings]]=3, "Average","Poor"))</f>
        <v>Good</v>
      </c>
      <c r="S2126" s="3" t="s">
        <v>46</v>
      </c>
    </row>
    <row r="2127" spans="1:19" x14ac:dyDescent="0.25">
      <c r="A2127" s="3">
        <v>2126</v>
      </c>
      <c r="B2127" s="5">
        <f>DATE(Table1[[#This Row],[Year]],Table1[[#This Row],[Month]],Table1[[#This Row],[Day]])</f>
        <v>45081</v>
      </c>
      <c r="C2127" s="3">
        <v>4</v>
      </c>
      <c r="D2127" s="3">
        <v>6</v>
      </c>
      <c r="E2127" s="3">
        <v>2023</v>
      </c>
      <c r="F2127" s="3" t="str">
        <f>"Qtr"&amp; " " &amp;CHOOSE(MONTH(Table1[[#This Row],[Date]]),1,1,1,2,2,2,3,3,3,4,4,4)</f>
        <v>Qtr 2</v>
      </c>
      <c r="G2127" s="3" t="str">
        <f>TEXT(Table1[[#This Row],[Date]],"mmmm")</f>
        <v>June</v>
      </c>
      <c r="H2127" s="3" t="s">
        <v>1080</v>
      </c>
      <c r="I2127" s="3" t="s">
        <v>28</v>
      </c>
      <c r="J2127" s="3">
        <v>8</v>
      </c>
      <c r="K2127" s="3">
        <v>48451.25</v>
      </c>
      <c r="L2127" s="3">
        <f>Table1[[#This Row],[Price Per Unit]]*Table1[[#This Row],[Units Sold]]</f>
        <v>387610</v>
      </c>
      <c r="M2127" s="3" t="s">
        <v>394</v>
      </c>
      <c r="N2127" s="3">
        <v>57</v>
      </c>
      <c r="O2127" s="3" t="s">
        <v>20</v>
      </c>
      <c r="P2127" s="3" t="s">
        <v>45</v>
      </c>
      <c r="Q2127" s="4">
        <v>5</v>
      </c>
      <c r="R2127" s="4" t="str">
        <f>IF(Table1[[#This Row],[Customer Ratings]]&gt;=4, "Good",IF(Table1[[#This Row],[Customer Ratings]]=3, "Average","Poor"))</f>
        <v>Good</v>
      </c>
      <c r="S2127" s="3" t="s">
        <v>32</v>
      </c>
    </row>
    <row r="2128" spans="1:19" x14ac:dyDescent="0.25">
      <c r="A2128" s="3">
        <v>2127</v>
      </c>
      <c r="B2128" s="5">
        <f>DATE(Table1[[#This Row],[Year]],Table1[[#This Row],[Month]],Table1[[#This Row],[Day]])</f>
        <v>45081</v>
      </c>
      <c r="C2128" s="3">
        <v>4</v>
      </c>
      <c r="D2128" s="3">
        <v>6</v>
      </c>
      <c r="E2128" s="3">
        <v>2023</v>
      </c>
      <c r="F2128" s="3" t="str">
        <f>"Qtr"&amp; " " &amp;CHOOSE(MONTH(Table1[[#This Row],[Date]]),1,1,1,2,2,2,3,3,3,4,4,4)</f>
        <v>Qtr 2</v>
      </c>
      <c r="G2128" s="3" t="str">
        <f>TEXT(Table1[[#This Row],[Date]],"mmmm")</f>
        <v>June</v>
      </c>
      <c r="H2128" s="3" t="s">
        <v>1080</v>
      </c>
      <c r="I2128" s="3" t="s">
        <v>18</v>
      </c>
      <c r="J2128" s="3">
        <v>7</v>
      </c>
      <c r="K2128" s="3">
        <v>28623.89</v>
      </c>
      <c r="L2128" s="3">
        <f>Table1[[#This Row],[Price Per Unit]]*Table1[[#This Row],[Units Sold]]</f>
        <v>200367.22999999998</v>
      </c>
      <c r="M2128" s="3" t="s">
        <v>146</v>
      </c>
      <c r="N2128" s="3">
        <v>19</v>
      </c>
      <c r="O2128" s="3" t="s">
        <v>20</v>
      </c>
      <c r="P2128" s="3" t="s">
        <v>31</v>
      </c>
      <c r="Q2128" s="4">
        <v>5</v>
      </c>
      <c r="R2128" s="4" t="str">
        <f>IF(Table1[[#This Row],[Customer Ratings]]&gt;=4, "Good",IF(Table1[[#This Row],[Customer Ratings]]=3, "Average","Poor"))</f>
        <v>Good</v>
      </c>
      <c r="S2128" s="3" t="s">
        <v>55</v>
      </c>
    </row>
    <row r="2129" spans="1:19" x14ac:dyDescent="0.25">
      <c r="A2129" s="3">
        <v>2128</v>
      </c>
      <c r="B2129" s="5">
        <f>DATE(Table1[[#This Row],[Year]],Table1[[#This Row],[Month]],Table1[[#This Row],[Day]])</f>
        <v>45082</v>
      </c>
      <c r="C2129" s="3">
        <v>5</v>
      </c>
      <c r="D2129" s="3">
        <v>6</v>
      </c>
      <c r="E2129" s="3">
        <v>2023</v>
      </c>
      <c r="F2129" s="3" t="str">
        <f>"Qtr"&amp; " " &amp;CHOOSE(MONTH(Table1[[#This Row],[Date]]),1,1,1,2,2,2,3,3,3,4,4,4)</f>
        <v>Qtr 2</v>
      </c>
      <c r="G2129" s="3" t="str">
        <f>TEXT(Table1[[#This Row],[Date]],"mmmm")</f>
        <v>June</v>
      </c>
      <c r="H2129" s="3" t="s">
        <v>1081</v>
      </c>
      <c r="I2129" s="3" t="s">
        <v>18</v>
      </c>
      <c r="J2129" s="3">
        <v>2</v>
      </c>
      <c r="K2129" s="3">
        <v>49366.67</v>
      </c>
      <c r="L2129" s="3">
        <f>Table1[[#This Row],[Price Per Unit]]*Table1[[#This Row],[Units Sold]]</f>
        <v>98733.34</v>
      </c>
      <c r="M2129" s="3" t="s">
        <v>294</v>
      </c>
      <c r="N2129" s="3">
        <v>56</v>
      </c>
      <c r="O2129" s="3" t="s">
        <v>65</v>
      </c>
      <c r="P2129" s="3" t="s">
        <v>21</v>
      </c>
      <c r="Q2129" s="4">
        <v>4</v>
      </c>
      <c r="R2129" s="4" t="str">
        <f>IF(Table1[[#This Row],[Customer Ratings]]&gt;=4, "Good",IF(Table1[[#This Row],[Customer Ratings]]=3, "Average","Poor"))</f>
        <v>Good</v>
      </c>
      <c r="S2129" s="3" t="s">
        <v>55</v>
      </c>
    </row>
    <row r="2130" spans="1:19" x14ac:dyDescent="0.25">
      <c r="A2130" s="3">
        <v>2129</v>
      </c>
      <c r="B2130" s="5">
        <f>DATE(Table1[[#This Row],[Year]],Table1[[#This Row],[Month]],Table1[[#This Row],[Day]])</f>
        <v>45082</v>
      </c>
      <c r="C2130" s="3">
        <v>5</v>
      </c>
      <c r="D2130" s="3">
        <v>6</v>
      </c>
      <c r="E2130" s="3">
        <v>2023</v>
      </c>
      <c r="F2130" s="3" t="str">
        <f>"Qtr"&amp; " " &amp;CHOOSE(MONTH(Table1[[#This Row],[Date]]),1,1,1,2,2,2,3,3,3,4,4,4)</f>
        <v>Qtr 2</v>
      </c>
      <c r="G2130" s="3" t="str">
        <f>TEXT(Table1[[#This Row],[Date]],"mmmm")</f>
        <v>June</v>
      </c>
      <c r="H2130" s="3" t="s">
        <v>1081</v>
      </c>
      <c r="I2130" s="3" t="s">
        <v>13</v>
      </c>
      <c r="J2130" s="3">
        <v>6</v>
      </c>
      <c r="K2130" s="3">
        <v>22627.7</v>
      </c>
      <c r="L2130" s="3">
        <f>Table1[[#This Row],[Price Per Unit]]*Table1[[#This Row],[Units Sold]]</f>
        <v>135766.20000000001</v>
      </c>
      <c r="M2130" s="3" t="s">
        <v>402</v>
      </c>
      <c r="N2130" s="3">
        <v>29</v>
      </c>
      <c r="O2130" s="3" t="s">
        <v>30</v>
      </c>
      <c r="P2130" s="3" t="s">
        <v>16</v>
      </c>
      <c r="Q2130" s="4">
        <v>5</v>
      </c>
      <c r="R2130" s="4" t="str">
        <f>IF(Table1[[#This Row],[Customer Ratings]]&gt;=4, "Good",IF(Table1[[#This Row],[Customer Ratings]]=3, "Average","Poor"))</f>
        <v>Good</v>
      </c>
      <c r="S2130" s="3" t="s">
        <v>72</v>
      </c>
    </row>
    <row r="2131" spans="1:19" x14ac:dyDescent="0.25">
      <c r="A2131" s="3">
        <v>2130</v>
      </c>
      <c r="B2131" s="5">
        <f>DATE(Table1[[#This Row],[Year]],Table1[[#This Row],[Month]],Table1[[#This Row],[Day]])</f>
        <v>45082</v>
      </c>
      <c r="C2131" s="3">
        <v>5</v>
      </c>
      <c r="D2131" s="3">
        <v>6</v>
      </c>
      <c r="E2131" s="3">
        <v>2023</v>
      </c>
      <c r="F2131" s="3" t="str">
        <f>"Qtr"&amp; " " &amp;CHOOSE(MONTH(Table1[[#This Row],[Date]]),1,1,1,2,2,2,3,3,3,4,4,4)</f>
        <v>Qtr 2</v>
      </c>
      <c r="G2131" s="3" t="str">
        <f>TEXT(Table1[[#This Row],[Date]],"mmmm")</f>
        <v>June</v>
      </c>
      <c r="H2131" s="3" t="s">
        <v>1081</v>
      </c>
      <c r="I2131" s="3" t="s">
        <v>39</v>
      </c>
      <c r="J2131" s="3">
        <v>9</v>
      </c>
      <c r="K2131" s="3">
        <v>29095.3</v>
      </c>
      <c r="L2131" s="3">
        <f>Table1[[#This Row],[Price Per Unit]]*Table1[[#This Row],[Units Sold]]</f>
        <v>261857.69999999998</v>
      </c>
      <c r="M2131" s="3" t="s">
        <v>949</v>
      </c>
      <c r="N2131" s="3">
        <v>56</v>
      </c>
      <c r="O2131" s="3" t="s">
        <v>105</v>
      </c>
      <c r="P2131" s="3" t="s">
        <v>45</v>
      </c>
      <c r="Q2131" s="4">
        <v>4</v>
      </c>
      <c r="R2131" s="4" t="str">
        <f>IF(Table1[[#This Row],[Customer Ratings]]&gt;=4, "Good",IF(Table1[[#This Row],[Customer Ratings]]=3, "Average","Poor"))</f>
        <v>Good</v>
      </c>
      <c r="S2131" s="3" t="s">
        <v>42</v>
      </c>
    </row>
    <row r="2132" spans="1:19" x14ac:dyDescent="0.25">
      <c r="A2132" s="3">
        <v>2131</v>
      </c>
      <c r="B2132" s="5">
        <f>DATE(Table1[[#This Row],[Year]],Table1[[#This Row],[Month]],Table1[[#This Row],[Day]])</f>
        <v>45083</v>
      </c>
      <c r="C2132" s="3">
        <v>6</v>
      </c>
      <c r="D2132" s="3">
        <v>6</v>
      </c>
      <c r="E2132" s="3">
        <v>2023</v>
      </c>
      <c r="F2132" s="3" t="str">
        <f>"Qtr"&amp; " " &amp;CHOOSE(MONTH(Table1[[#This Row],[Date]]),1,1,1,2,2,2,3,3,3,4,4,4)</f>
        <v>Qtr 2</v>
      </c>
      <c r="G2132" s="3" t="str">
        <f>TEXT(Table1[[#This Row],[Date]],"mmmm")</f>
        <v>June</v>
      </c>
      <c r="H2132" s="3" t="s">
        <v>1082</v>
      </c>
      <c r="I2132" s="3" t="s">
        <v>39</v>
      </c>
      <c r="J2132" s="3">
        <v>4</v>
      </c>
      <c r="K2132" s="3">
        <v>24404.18</v>
      </c>
      <c r="L2132" s="3">
        <f>Table1[[#This Row],[Price Per Unit]]*Table1[[#This Row],[Units Sold]]</f>
        <v>97616.72</v>
      </c>
      <c r="M2132" s="3" t="s">
        <v>99</v>
      </c>
      <c r="N2132" s="3">
        <v>31</v>
      </c>
      <c r="O2132" s="3" t="s">
        <v>15</v>
      </c>
      <c r="P2132" s="3" t="s">
        <v>45</v>
      </c>
      <c r="Q2132" s="4">
        <v>4</v>
      </c>
      <c r="R2132" s="4" t="str">
        <f>IF(Table1[[#This Row],[Customer Ratings]]&gt;=4, "Good",IF(Table1[[#This Row],[Customer Ratings]]=3, "Average","Poor"))</f>
        <v>Good</v>
      </c>
      <c r="S2132" s="3" t="s">
        <v>42</v>
      </c>
    </row>
    <row r="2133" spans="1:19" x14ac:dyDescent="0.25">
      <c r="A2133" s="3">
        <v>2132</v>
      </c>
      <c r="B2133" s="5">
        <f>DATE(Table1[[#This Row],[Year]],Table1[[#This Row],[Month]],Table1[[#This Row],[Day]])</f>
        <v>45083</v>
      </c>
      <c r="C2133" s="3">
        <v>6</v>
      </c>
      <c r="D2133" s="3">
        <v>6</v>
      </c>
      <c r="E2133" s="3">
        <v>2023</v>
      </c>
      <c r="F2133" s="3" t="str">
        <f>"Qtr"&amp; " " &amp;CHOOSE(MONTH(Table1[[#This Row],[Date]]),1,1,1,2,2,2,3,3,3,4,4,4)</f>
        <v>Qtr 2</v>
      </c>
      <c r="G2133" s="3" t="str">
        <f>TEXT(Table1[[#This Row],[Date]],"mmmm")</f>
        <v>June</v>
      </c>
      <c r="H2133" s="3" t="s">
        <v>1082</v>
      </c>
      <c r="I2133" s="3" t="s">
        <v>39</v>
      </c>
      <c r="J2133" s="3">
        <v>9</v>
      </c>
      <c r="K2133" s="3">
        <v>43415.51</v>
      </c>
      <c r="L2133" s="3">
        <f>Table1[[#This Row],[Price Per Unit]]*Table1[[#This Row],[Units Sold]]</f>
        <v>390739.59</v>
      </c>
      <c r="M2133" s="3" t="s">
        <v>214</v>
      </c>
      <c r="N2133" s="3">
        <v>47</v>
      </c>
      <c r="O2133" s="3" t="s">
        <v>98</v>
      </c>
      <c r="P2133" s="3" t="s">
        <v>16</v>
      </c>
      <c r="Q2133" s="4">
        <v>4</v>
      </c>
      <c r="R2133" s="4" t="str">
        <f>IF(Table1[[#This Row],[Customer Ratings]]&gt;=4, "Good",IF(Table1[[#This Row],[Customer Ratings]]=3, "Average","Poor"))</f>
        <v>Good</v>
      </c>
      <c r="S2133" s="3" t="s">
        <v>90</v>
      </c>
    </row>
    <row r="2134" spans="1:19" x14ac:dyDescent="0.25">
      <c r="A2134" s="3">
        <v>2133</v>
      </c>
      <c r="B2134" s="5">
        <f>DATE(Table1[[#This Row],[Year]],Table1[[#This Row],[Month]],Table1[[#This Row],[Day]])</f>
        <v>45083</v>
      </c>
      <c r="C2134" s="3">
        <v>6</v>
      </c>
      <c r="D2134" s="3">
        <v>6</v>
      </c>
      <c r="E2134" s="3">
        <v>2023</v>
      </c>
      <c r="F2134" s="3" t="str">
        <f>"Qtr"&amp; " " &amp;CHOOSE(MONTH(Table1[[#This Row],[Date]]),1,1,1,2,2,2,3,3,3,4,4,4)</f>
        <v>Qtr 2</v>
      </c>
      <c r="G2134" s="3" t="str">
        <f>TEXT(Table1[[#This Row],[Date]],"mmmm")</f>
        <v>June</v>
      </c>
      <c r="H2134" s="3" t="s">
        <v>1082</v>
      </c>
      <c r="I2134" s="3" t="s">
        <v>28</v>
      </c>
      <c r="J2134" s="3">
        <v>2</v>
      </c>
      <c r="K2134" s="3">
        <v>16493.599999999999</v>
      </c>
      <c r="L2134" s="3">
        <f>Table1[[#This Row],[Price Per Unit]]*Table1[[#This Row],[Units Sold]]</f>
        <v>32987.199999999997</v>
      </c>
      <c r="M2134" s="3" t="s">
        <v>602</v>
      </c>
      <c r="N2134" s="3">
        <v>58</v>
      </c>
      <c r="O2134" s="3" t="s">
        <v>24</v>
      </c>
      <c r="P2134" s="3" t="s">
        <v>45</v>
      </c>
      <c r="Q2134" s="4">
        <v>4</v>
      </c>
      <c r="R2134" s="4" t="str">
        <f>IF(Table1[[#This Row],[Customer Ratings]]&gt;=4, "Good",IF(Table1[[#This Row],[Customer Ratings]]=3, "Average","Poor"))</f>
        <v>Good</v>
      </c>
      <c r="S2134" s="3" t="s">
        <v>32</v>
      </c>
    </row>
    <row r="2135" spans="1:19" x14ac:dyDescent="0.25">
      <c r="A2135" s="3">
        <v>2134</v>
      </c>
      <c r="B2135" s="5">
        <f>DATE(Table1[[#This Row],[Year]],Table1[[#This Row],[Month]],Table1[[#This Row],[Day]])</f>
        <v>45084</v>
      </c>
      <c r="C2135" s="3">
        <v>7</v>
      </c>
      <c r="D2135" s="3">
        <v>6</v>
      </c>
      <c r="E2135" s="3">
        <v>2023</v>
      </c>
      <c r="F2135" s="3" t="str">
        <f>"Qtr"&amp; " " &amp;CHOOSE(MONTH(Table1[[#This Row],[Date]]),1,1,1,2,2,2,3,3,3,4,4,4)</f>
        <v>Qtr 2</v>
      </c>
      <c r="G2135" s="3" t="str">
        <f>TEXT(Table1[[#This Row],[Date]],"mmmm")</f>
        <v>June</v>
      </c>
      <c r="H2135" s="3" t="s">
        <v>1083</v>
      </c>
      <c r="I2135" s="3" t="s">
        <v>39</v>
      </c>
      <c r="J2135" s="3">
        <v>2</v>
      </c>
      <c r="K2135" s="3">
        <v>65998.62</v>
      </c>
      <c r="L2135" s="3">
        <f>Table1[[#This Row],[Price Per Unit]]*Table1[[#This Row],[Units Sold]]</f>
        <v>131997.24</v>
      </c>
      <c r="M2135" s="3" t="s">
        <v>451</v>
      </c>
      <c r="N2135" s="3">
        <v>36</v>
      </c>
      <c r="O2135" s="3" t="s">
        <v>137</v>
      </c>
      <c r="P2135" s="3" t="s">
        <v>16</v>
      </c>
      <c r="Q2135" s="4">
        <v>1</v>
      </c>
      <c r="R2135" s="4" t="str">
        <f>IF(Table1[[#This Row],[Customer Ratings]]&gt;=4, "Good",IF(Table1[[#This Row],[Customer Ratings]]=3, "Average","Poor"))</f>
        <v>Poor</v>
      </c>
      <c r="S2135" s="3" t="s">
        <v>90</v>
      </c>
    </row>
    <row r="2136" spans="1:19" x14ac:dyDescent="0.25">
      <c r="A2136" s="3">
        <v>2135</v>
      </c>
      <c r="B2136" s="5">
        <f>DATE(Table1[[#This Row],[Year]],Table1[[#This Row],[Month]],Table1[[#This Row],[Day]])</f>
        <v>45084</v>
      </c>
      <c r="C2136" s="3">
        <v>7</v>
      </c>
      <c r="D2136" s="3">
        <v>6</v>
      </c>
      <c r="E2136" s="3">
        <v>2023</v>
      </c>
      <c r="F2136" s="3" t="str">
        <f>"Qtr"&amp; " " &amp;CHOOSE(MONTH(Table1[[#This Row],[Date]]),1,1,1,2,2,2,3,3,3,4,4,4)</f>
        <v>Qtr 2</v>
      </c>
      <c r="G2136" s="3" t="str">
        <f>TEXT(Table1[[#This Row],[Date]],"mmmm")</f>
        <v>June</v>
      </c>
      <c r="H2136" s="3" t="s">
        <v>1083</v>
      </c>
      <c r="I2136" s="3" t="s">
        <v>18</v>
      </c>
      <c r="J2136" s="3">
        <v>9</v>
      </c>
      <c r="K2136" s="3">
        <v>30010.74</v>
      </c>
      <c r="L2136" s="3">
        <f>Table1[[#This Row],[Price Per Unit]]*Table1[[#This Row],[Units Sold]]</f>
        <v>270096.66000000003</v>
      </c>
      <c r="M2136" s="3" t="s">
        <v>595</v>
      </c>
      <c r="N2136" s="3">
        <v>48</v>
      </c>
      <c r="O2136" s="3" t="s">
        <v>105</v>
      </c>
      <c r="P2136" s="3" t="s">
        <v>45</v>
      </c>
      <c r="Q2136" s="4">
        <v>2</v>
      </c>
      <c r="R2136" s="4" t="str">
        <f>IF(Table1[[#This Row],[Customer Ratings]]&gt;=4, "Good",IF(Table1[[#This Row],[Customer Ratings]]=3, "Average","Poor"))</f>
        <v>Poor</v>
      </c>
      <c r="S2136" s="3" t="s">
        <v>25</v>
      </c>
    </row>
    <row r="2137" spans="1:19" x14ac:dyDescent="0.25">
      <c r="A2137" s="3">
        <v>2136</v>
      </c>
      <c r="B2137" s="5">
        <f>DATE(Table1[[#This Row],[Year]],Table1[[#This Row],[Month]],Table1[[#This Row],[Day]])</f>
        <v>45084</v>
      </c>
      <c r="C2137" s="3">
        <v>7</v>
      </c>
      <c r="D2137" s="3">
        <v>6</v>
      </c>
      <c r="E2137" s="3">
        <v>2023</v>
      </c>
      <c r="F2137" s="3" t="str">
        <f>"Qtr"&amp; " " &amp;CHOOSE(MONTH(Table1[[#This Row],[Date]]),1,1,1,2,2,2,3,3,3,4,4,4)</f>
        <v>Qtr 2</v>
      </c>
      <c r="G2137" s="3" t="str">
        <f>TEXT(Table1[[#This Row],[Date]],"mmmm")</f>
        <v>June</v>
      </c>
      <c r="H2137" s="3" t="s">
        <v>1083</v>
      </c>
      <c r="I2137" s="3" t="s">
        <v>28</v>
      </c>
      <c r="J2137" s="3">
        <v>7</v>
      </c>
      <c r="K2137" s="3">
        <v>23138.21</v>
      </c>
      <c r="L2137" s="3">
        <f>Table1[[#This Row],[Price Per Unit]]*Table1[[#This Row],[Units Sold]]</f>
        <v>161967.47</v>
      </c>
      <c r="M2137" s="3" t="s">
        <v>950</v>
      </c>
      <c r="N2137" s="3">
        <v>42</v>
      </c>
      <c r="O2137" s="3" t="s">
        <v>58</v>
      </c>
      <c r="P2137" s="3" t="s">
        <v>45</v>
      </c>
      <c r="Q2137" s="4">
        <v>4</v>
      </c>
      <c r="R2137" s="4" t="str">
        <f>IF(Table1[[#This Row],[Customer Ratings]]&gt;=4, "Good",IF(Table1[[#This Row],[Customer Ratings]]=3, "Average","Poor"))</f>
        <v>Good</v>
      </c>
      <c r="S2137" s="3" t="s">
        <v>32</v>
      </c>
    </row>
    <row r="2138" spans="1:19" x14ac:dyDescent="0.25">
      <c r="A2138" s="3">
        <v>2137</v>
      </c>
      <c r="B2138" s="5">
        <f>DATE(Table1[[#This Row],[Year]],Table1[[#This Row],[Month]],Table1[[#This Row],[Day]])</f>
        <v>45085</v>
      </c>
      <c r="C2138" s="3">
        <v>8</v>
      </c>
      <c r="D2138" s="3">
        <v>6</v>
      </c>
      <c r="E2138" s="3">
        <v>2023</v>
      </c>
      <c r="F2138" s="3" t="str">
        <f>"Qtr"&amp; " " &amp;CHOOSE(MONTH(Table1[[#This Row],[Date]]),1,1,1,2,2,2,3,3,3,4,4,4)</f>
        <v>Qtr 2</v>
      </c>
      <c r="G2138" s="3" t="str">
        <f>TEXT(Table1[[#This Row],[Date]],"mmmm")</f>
        <v>June</v>
      </c>
      <c r="H2138" s="3" t="s">
        <v>1084</v>
      </c>
      <c r="I2138" s="3" t="s">
        <v>33</v>
      </c>
      <c r="J2138" s="3">
        <v>7</v>
      </c>
      <c r="K2138" s="3">
        <v>39792.99</v>
      </c>
      <c r="L2138" s="3">
        <f>Table1[[#This Row],[Price Per Unit]]*Table1[[#This Row],[Units Sold]]</f>
        <v>278550.93</v>
      </c>
      <c r="M2138" s="3" t="s">
        <v>861</v>
      </c>
      <c r="N2138" s="3">
        <v>21</v>
      </c>
      <c r="O2138" s="3" t="s">
        <v>52</v>
      </c>
      <c r="P2138" s="3" t="s">
        <v>45</v>
      </c>
      <c r="Q2138" s="4">
        <v>1</v>
      </c>
      <c r="R2138" s="4" t="str">
        <f>IF(Table1[[#This Row],[Customer Ratings]]&gt;=4, "Good",IF(Table1[[#This Row],[Customer Ratings]]=3, "Average","Poor"))</f>
        <v>Poor</v>
      </c>
      <c r="S2138" s="3" t="s">
        <v>83</v>
      </c>
    </row>
    <row r="2139" spans="1:19" x14ac:dyDescent="0.25">
      <c r="A2139" s="3">
        <v>2138</v>
      </c>
      <c r="B2139" s="5">
        <f>DATE(Table1[[#This Row],[Year]],Table1[[#This Row],[Month]],Table1[[#This Row],[Day]])</f>
        <v>45085</v>
      </c>
      <c r="C2139" s="3">
        <v>8</v>
      </c>
      <c r="D2139" s="3">
        <v>6</v>
      </c>
      <c r="E2139" s="3">
        <v>2023</v>
      </c>
      <c r="F2139" s="3" t="str">
        <f>"Qtr"&amp; " " &amp;CHOOSE(MONTH(Table1[[#This Row],[Date]]),1,1,1,2,2,2,3,3,3,4,4,4)</f>
        <v>Qtr 2</v>
      </c>
      <c r="G2139" s="3" t="str">
        <f>TEXT(Table1[[#This Row],[Date]],"mmmm")</f>
        <v>June</v>
      </c>
      <c r="H2139" s="3" t="s">
        <v>1084</v>
      </c>
      <c r="I2139" s="3" t="s">
        <v>39</v>
      </c>
      <c r="J2139" s="3">
        <v>1</v>
      </c>
      <c r="K2139" s="3">
        <v>26619.87</v>
      </c>
      <c r="L2139" s="3">
        <f>Table1[[#This Row],[Price Per Unit]]*Table1[[#This Row],[Units Sold]]</f>
        <v>26619.87</v>
      </c>
      <c r="M2139" s="3" t="s">
        <v>277</v>
      </c>
      <c r="N2139" s="3">
        <v>30</v>
      </c>
      <c r="O2139" s="3" t="s">
        <v>30</v>
      </c>
      <c r="P2139" s="3" t="s">
        <v>45</v>
      </c>
      <c r="Q2139" s="4">
        <v>4</v>
      </c>
      <c r="R2139" s="4" t="str">
        <f>IF(Table1[[#This Row],[Customer Ratings]]&gt;=4, "Good",IF(Table1[[#This Row],[Customer Ratings]]=3, "Average","Poor"))</f>
        <v>Good</v>
      </c>
      <c r="S2139" s="3" t="s">
        <v>90</v>
      </c>
    </row>
    <row r="2140" spans="1:19" x14ac:dyDescent="0.25">
      <c r="A2140" s="3">
        <v>2139</v>
      </c>
      <c r="B2140" s="5">
        <f>DATE(Table1[[#This Row],[Year]],Table1[[#This Row],[Month]],Table1[[#This Row],[Day]])</f>
        <v>45085</v>
      </c>
      <c r="C2140" s="3">
        <v>8</v>
      </c>
      <c r="D2140" s="3">
        <v>6</v>
      </c>
      <c r="E2140" s="3">
        <v>2023</v>
      </c>
      <c r="F2140" s="3" t="str">
        <f>"Qtr"&amp; " " &amp;CHOOSE(MONTH(Table1[[#This Row],[Date]]),1,1,1,2,2,2,3,3,3,4,4,4)</f>
        <v>Qtr 2</v>
      </c>
      <c r="G2140" s="3" t="str">
        <f>TEXT(Table1[[#This Row],[Date]],"mmmm")</f>
        <v>June</v>
      </c>
      <c r="H2140" s="3" t="s">
        <v>1084</v>
      </c>
      <c r="I2140" s="3" t="s">
        <v>39</v>
      </c>
      <c r="J2140" s="3">
        <v>6</v>
      </c>
      <c r="K2140" s="3">
        <v>42094.25</v>
      </c>
      <c r="L2140" s="3">
        <f>Table1[[#This Row],[Price Per Unit]]*Table1[[#This Row],[Units Sold]]</f>
        <v>252565.5</v>
      </c>
      <c r="M2140" s="3" t="s">
        <v>687</v>
      </c>
      <c r="N2140" s="3">
        <v>53</v>
      </c>
      <c r="O2140" s="3" t="s">
        <v>15</v>
      </c>
      <c r="P2140" s="3" t="s">
        <v>16</v>
      </c>
      <c r="Q2140" s="4">
        <v>4</v>
      </c>
      <c r="R2140" s="4" t="str">
        <f>IF(Table1[[#This Row],[Customer Ratings]]&gt;=4, "Good",IF(Table1[[#This Row],[Customer Ratings]]=3, "Average","Poor"))</f>
        <v>Good</v>
      </c>
      <c r="S2140" s="3" t="s">
        <v>90</v>
      </c>
    </row>
    <row r="2141" spans="1:19" x14ac:dyDescent="0.25">
      <c r="A2141" s="3">
        <v>2140</v>
      </c>
      <c r="B2141" s="5">
        <f>DATE(Table1[[#This Row],[Year]],Table1[[#This Row],[Month]],Table1[[#This Row],[Day]])</f>
        <v>45085</v>
      </c>
      <c r="C2141" s="3">
        <v>8</v>
      </c>
      <c r="D2141" s="3">
        <v>6</v>
      </c>
      <c r="E2141" s="3">
        <v>2023</v>
      </c>
      <c r="F2141" s="3" t="str">
        <f>"Qtr"&amp; " " &amp;CHOOSE(MONTH(Table1[[#This Row],[Date]]),1,1,1,2,2,2,3,3,3,4,4,4)</f>
        <v>Qtr 2</v>
      </c>
      <c r="G2141" s="3" t="str">
        <f>TEXT(Table1[[#This Row],[Date]],"mmmm")</f>
        <v>June</v>
      </c>
      <c r="H2141" s="3" t="s">
        <v>1084</v>
      </c>
      <c r="I2141" s="3" t="s">
        <v>33</v>
      </c>
      <c r="J2141" s="3">
        <v>7</v>
      </c>
      <c r="K2141" s="3">
        <v>30910.55</v>
      </c>
      <c r="L2141" s="3">
        <f>Table1[[#This Row],[Price Per Unit]]*Table1[[#This Row],[Units Sold]]</f>
        <v>216373.85</v>
      </c>
      <c r="M2141" s="3" t="s">
        <v>951</v>
      </c>
      <c r="N2141" s="3">
        <v>59</v>
      </c>
      <c r="O2141" s="3" t="s">
        <v>120</v>
      </c>
      <c r="P2141" s="3" t="s">
        <v>21</v>
      </c>
      <c r="Q2141" s="4">
        <v>4</v>
      </c>
      <c r="R2141" s="4" t="str">
        <f>IF(Table1[[#This Row],[Customer Ratings]]&gt;=4, "Good",IF(Table1[[#This Row],[Customer Ratings]]=3, "Average","Poor"))</f>
        <v>Good</v>
      </c>
      <c r="S2141" s="3" t="s">
        <v>83</v>
      </c>
    </row>
    <row r="2142" spans="1:19" x14ac:dyDescent="0.25">
      <c r="A2142" s="3">
        <v>2141</v>
      </c>
      <c r="B2142" s="5">
        <f>DATE(Table1[[#This Row],[Year]],Table1[[#This Row],[Month]],Table1[[#This Row],[Day]])</f>
        <v>45086</v>
      </c>
      <c r="C2142" s="3">
        <v>9</v>
      </c>
      <c r="D2142" s="3">
        <v>6</v>
      </c>
      <c r="E2142" s="3">
        <v>2023</v>
      </c>
      <c r="F2142" s="3" t="str">
        <f>"Qtr"&amp; " " &amp;CHOOSE(MONTH(Table1[[#This Row],[Date]]),1,1,1,2,2,2,3,3,3,4,4,4)</f>
        <v>Qtr 2</v>
      </c>
      <c r="G2142" s="3" t="str">
        <f>TEXT(Table1[[#This Row],[Date]],"mmmm")</f>
        <v>June</v>
      </c>
      <c r="H2142" s="3" t="s">
        <v>1085</v>
      </c>
      <c r="I2142" s="3" t="s">
        <v>39</v>
      </c>
      <c r="J2142" s="3">
        <v>6</v>
      </c>
      <c r="K2142" s="3">
        <v>17924.009999999998</v>
      </c>
      <c r="L2142" s="3">
        <f>Table1[[#This Row],[Price Per Unit]]*Table1[[#This Row],[Units Sold]]</f>
        <v>107544.06</v>
      </c>
      <c r="M2142" s="3" t="s">
        <v>894</v>
      </c>
      <c r="N2142" s="3">
        <v>54</v>
      </c>
      <c r="O2142" s="3" t="s">
        <v>24</v>
      </c>
      <c r="P2142" s="3" t="s">
        <v>45</v>
      </c>
      <c r="Q2142" s="4">
        <v>5</v>
      </c>
      <c r="R2142" s="4" t="str">
        <f>IF(Table1[[#This Row],[Customer Ratings]]&gt;=4, "Good",IF(Table1[[#This Row],[Customer Ratings]]=3, "Average","Poor"))</f>
        <v>Good</v>
      </c>
      <c r="S2142" s="3" t="s">
        <v>76</v>
      </c>
    </row>
    <row r="2143" spans="1:19" x14ac:dyDescent="0.25">
      <c r="A2143" s="3">
        <v>2142</v>
      </c>
      <c r="B2143" s="5">
        <f>DATE(Table1[[#This Row],[Year]],Table1[[#This Row],[Month]],Table1[[#This Row],[Day]])</f>
        <v>45086</v>
      </c>
      <c r="C2143" s="3">
        <v>9</v>
      </c>
      <c r="D2143" s="3">
        <v>6</v>
      </c>
      <c r="E2143" s="3">
        <v>2023</v>
      </c>
      <c r="F2143" s="3" t="str">
        <f>"Qtr"&amp; " " &amp;CHOOSE(MONTH(Table1[[#This Row],[Date]]),1,1,1,2,2,2,3,3,3,4,4,4)</f>
        <v>Qtr 2</v>
      </c>
      <c r="G2143" s="3" t="str">
        <f>TEXT(Table1[[#This Row],[Date]],"mmmm")</f>
        <v>June</v>
      </c>
      <c r="H2143" s="3" t="s">
        <v>1085</v>
      </c>
      <c r="I2143" s="3" t="s">
        <v>33</v>
      </c>
      <c r="J2143" s="3">
        <v>6</v>
      </c>
      <c r="K2143" s="3">
        <v>25953.71</v>
      </c>
      <c r="L2143" s="3">
        <f>Table1[[#This Row],[Price Per Unit]]*Table1[[#This Row],[Units Sold]]</f>
        <v>155722.26</v>
      </c>
      <c r="M2143" s="3" t="s">
        <v>339</v>
      </c>
      <c r="N2143" s="3">
        <v>20</v>
      </c>
      <c r="O2143" s="3" t="s">
        <v>54</v>
      </c>
      <c r="P2143" s="3" t="s">
        <v>16</v>
      </c>
      <c r="Q2143" s="4">
        <v>4</v>
      </c>
      <c r="R2143" s="4" t="str">
        <f>IF(Table1[[#This Row],[Customer Ratings]]&gt;=4, "Good",IF(Table1[[#This Row],[Customer Ratings]]=3, "Average","Poor"))</f>
        <v>Good</v>
      </c>
      <c r="S2143" s="3" t="s">
        <v>36</v>
      </c>
    </row>
    <row r="2144" spans="1:19" x14ac:dyDescent="0.25">
      <c r="A2144" s="3">
        <v>2143</v>
      </c>
      <c r="B2144" s="5">
        <f>DATE(Table1[[#This Row],[Year]],Table1[[#This Row],[Month]],Table1[[#This Row],[Day]])</f>
        <v>45086</v>
      </c>
      <c r="C2144" s="3">
        <v>9</v>
      </c>
      <c r="D2144" s="3">
        <v>6</v>
      </c>
      <c r="E2144" s="3">
        <v>2023</v>
      </c>
      <c r="F2144" s="3" t="str">
        <f>"Qtr"&amp; " " &amp;CHOOSE(MONTH(Table1[[#This Row],[Date]]),1,1,1,2,2,2,3,3,3,4,4,4)</f>
        <v>Qtr 2</v>
      </c>
      <c r="G2144" s="3" t="str">
        <f>TEXT(Table1[[#This Row],[Date]],"mmmm")</f>
        <v>June</v>
      </c>
      <c r="H2144" s="3" t="s">
        <v>1085</v>
      </c>
      <c r="I2144" s="3" t="s">
        <v>28</v>
      </c>
      <c r="J2144" s="3">
        <v>2</v>
      </c>
      <c r="K2144" s="3">
        <v>36306.39</v>
      </c>
      <c r="L2144" s="3">
        <f>Table1[[#This Row],[Price Per Unit]]*Table1[[#This Row],[Units Sold]]</f>
        <v>72612.78</v>
      </c>
      <c r="M2144" s="3" t="s">
        <v>88</v>
      </c>
      <c r="N2144" s="3">
        <v>33</v>
      </c>
      <c r="O2144" s="3" t="s">
        <v>24</v>
      </c>
      <c r="P2144" s="3" t="s">
        <v>16</v>
      </c>
      <c r="Q2144" s="4">
        <v>4</v>
      </c>
      <c r="R2144" s="4" t="str">
        <f>IF(Table1[[#This Row],[Customer Ratings]]&gt;=4, "Good",IF(Table1[[#This Row],[Customer Ratings]]=3, "Average","Poor"))</f>
        <v>Good</v>
      </c>
      <c r="S2144" s="3" t="s">
        <v>32</v>
      </c>
    </row>
    <row r="2145" spans="1:19" x14ac:dyDescent="0.25">
      <c r="A2145" s="3">
        <v>2144</v>
      </c>
      <c r="B2145" s="5">
        <f>DATE(Table1[[#This Row],[Year]],Table1[[#This Row],[Month]],Table1[[#This Row],[Day]])</f>
        <v>45086</v>
      </c>
      <c r="C2145" s="3">
        <v>9</v>
      </c>
      <c r="D2145" s="3">
        <v>6</v>
      </c>
      <c r="E2145" s="3">
        <v>2023</v>
      </c>
      <c r="F2145" s="3" t="str">
        <f>"Qtr"&amp; " " &amp;CHOOSE(MONTH(Table1[[#This Row],[Date]]),1,1,1,2,2,2,3,3,3,4,4,4)</f>
        <v>Qtr 2</v>
      </c>
      <c r="G2145" s="3" t="str">
        <f>TEXT(Table1[[#This Row],[Date]],"mmmm")</f>
        <v>June</v>
      </c>
      <c r="H2145" s="3" t="s">
        <v>1085</v>
      </c>
      <c r="I2145" s="3" t="s">
        <v>18</v>
      </c>
      <c r="J2145" s="3">
        <v>6</v>
      </c>
      <c r="K2145" s="3">
        <v>11817.59</v>
      </c>
      <c r="L2145" s="3">
        <f>Table1[[#This Row],[Price Per Unit]]*Table1[[#This Row],[Units Sold]]</f>
        <v>70905.540000000008</v>
      </c>
      <c r="M2145" s="3" t="s">
        <v>228</v>
      </c>
      <c r="N2145" s="3">
        <v>43</v>
      </c>
      <c r="O2145" s="3" t="s">
        <v>105</v>
      </c>
      <c r="P2145" s="3" t="s">
        <v>16</v>
      </c>
      <c r="Q2145" s="4">
        <v>2</v>
      </c>
      <c r="R2145" s="4" t="str">
        <f>IF(Table1[[#This Row],[Customer Ratings]]&gt;=4, "Good",IF(Table1[[#This Row],[Customer Ratings]]=3, "Average","Poor"))</f>
        <v>Poor</v>
      </c>
      <c r="S2145" s="3" t="s">
        <v>22</v>
      </c>
    </row>
    <row r="2146" spans="1:19" x14ac:dyDescent="0.25">
      <c r="A2146" s="3">
        <v>2145</v>
      </c>
      <c r="B2146" s="5">
        <f>DATE(Table1[[#This Row],[Year]],Table1[[#This Row],[Month]],Table1[[#This Row],[Day]])</f>
        <v>45087</v>
      </c>
      <c r="C2146" s="3">
        <v>10</v>
      </c>
      <c r="D2146" s="3">
        <v>6</v>
      </c>
      <c r="E2146" s="3">
        <v>2023</v>
      </c>
      <c r="F2146" s="3" t="str">
        <f>"Qtr"&amp; " " &amp;CHOOSE(MONTH(Table1[[#This Row],[Date]]),1,1,1,2,2,2,3,3,3,4,4,4)</f>
        <v>Qtr 2</v>
      </c>
      <c r="G2146" s="3" t="str">
        <f>TEXT(Table1[[#This Row],[Date]],"mmmm")</f>
        <v>June</v>
      </c>
      <c r="H2146" s="3" t="s">
        <v>1079</v>
      </c>
      <c r="I2146" s="3" t="s">
        <v>33</v>
      </c>
      <c r="J2146" s="3">
        <v>4</v>
      </c>
      <c r="K2146" s="3">
        <v>56238.55</v>
      </c>
      <c r="L2146" s="3">
        <f>Table1[[#This Row],[Price Per Unit]]*Table1[[#This Row],[Units Sold]]</f>
        <v>224954.2</v>
      </c>
      <c r="M2146" s="3" t="s">
        <v>667</v>
      </c>
      <c r="N2146" s="3">
        <v>57</v>
      </c>
      <c r="O2146" s="3" t="s">
        <v>24</v>
      </c>
      <c r="P2146" s="3" t="s">
        <v>21</v>
      </c>
      <c r="Q2146" s="4">
        <v>4</v>
      </c>
      <c r="R2146" s="4" t="str">
        <f>IF(Table1[[#This Row],[Customer Ratings]]&gt;=4, "Good",IF(Table1[[#This Row],[Customer Ratings]]=3, "Average","Poor"))</f>
        <v>Good</v>
      </c>
      <c r="S2146" s="3" t="s">
        <v>46</v>
      </c>
    </row>
    <row r="2147" spans="1:19" x14ac:dyDescent="0.25">
      <c r="A2147" s="3">
        <v>2146</v>
      </c>
      <c r="B2147" s="5">
        <f>DATE(Table1[[#This Row],[Year]],Table1[[#This Row],[Month]],Table1[[#This Row],[Day]])</f>
        <v>45087</v>
      </c>
      <c r="C2147" s="3">
        <v>10</v>
      </c>
      <c r="D2147" s="3">
        <v>6</v>
      </c>
      <c r="E2147" s="3">
        <v>2023</v>
      </c>
      <c r="F2147" s="3" t="str">
        <f>"Qtr"&amp; " " &amp;CHOOSE(MONTH(Table1[[#This Row],[Date]]),1,1,1,2,2,2,3,3,3,4,4,4)</f>
        <v>Qtr 2</v>
      </c>
      <c r="G2147" s="3" t="str">
        <f>TEXT(Table1[[#This Row],[Date]],"mmmm")</f>
        <v>June</v>
      </c>
      <c r="H2147" s="3" t="s">
        <v>1079</v>
      </c>
      <c r="I2147" s="3" t="s">
        <v>13</v>
      </c>
      <c r="J2147" s="3">
        <v>9</v>
      </c>
      <c r="K2147" s="3">
        <v>47309.47</v>
      </c>
      <c r="L2147" s="3">
        <f>Table1[[#This Row],[Price Per Unit]]*Table1[[#This Row],[Units Sold]]</f>
        <v>425785.23</v>
      </c>
      <c r="M2147" s="3" t="s">
        <v>147</v>
      </c>
      <c r="N2147" s="3">
        <v>56</v>
      </c>
      <c r="O2147" s="3" t="s">
        <v>20</v>
      </c>
      <c r="P2147" s="3" t="s">
        <v>31</v>
      </c>
      <c r="Q2147" s="4">
        <v>1</v>
      </c>
      <c r="R2147" s="4" t="str">
        <f>IF(Table1[[#This Row],[Customer Ratings]]&gt;=4, "Good",IF(Table1[[#This Row],[Customer Ratings]]=3, "Average","Poor"))</f>
        <v>Poor</v>
      </c>
      <c r="S2147" s="3" t="s">
        <v>27</v>
      </c>
    </row>
    <row r="2148" spans="1:19" x14ac:dyDescent="0.25">
      <c r="A2148" s="3">
        <v>2147</v>
      </c>
      <c r="B2148" s="5">
        <f>DATE(Table1[[#This Row],[Year]],Table1[[#This Row],[Month]],Table1[[#This Row],[Day]])</f>
        <v>45087</v>
      </c>
      <c r="C2148" s="3">
        <v>10</v>
      </c>
      <c r="D2148" s="3">
        <v>6</v>
      </c>
      <c r="E2148" s="3">
        <v>2023</v>
      </c>
      <c r="F2148" s="3" t="str">
        <f>"Qtr"&amp; " " &amp;CHOOSE(MONTH(Table1[[#This Row],[Date]]),1,1,1,2,2,2,3,3,3,4,4,4)</f>
        <v>Qtr 2</v>
      </c>
      <c r="G2148" s="3" t="str">
        <f>TEXT(Table1[[#This Row],[Date]],"mmmm")</f>
        <v>June</v>
      </c>
      <c r="H2148" s="3" t="s">
        <v>1079</v>
      </c>
      <c r="I2148" s="3" t="s">
        <v>33</v>
      </c>
      <c r="J2148" s="3">
        <v>1</v>
      </c>
      <c r="K2148" s="3">
        <v>46081.58</v>
      </c>
      <c r="L2148" s="3">
        <f>Table1[[#This Row],[Price Per Unit]]*Table1[[#This Row],[Units Sold]]</f>
        <v>46081.58</v>
      </c>
      <c r="M2148" s="3" t="s">
        <v>771</v>
      </c>
      <c r="N2148" s="3">
        <v>36</v>
      </c>
      <c r="O2148" s="3" t="s">
        <v>58</v>
      </c>
      <c r="P2148" s="3" t="s">
        <v>16</v>
      </c>
      <c r="Q2148" s="4">
        <v>4</v>
      </c>
      <c r="R2148" s="4" t="str">
        <f>IF(Table1[[#This Row],[Customer Ratings]]&gt;=4, "Good",IF(Table1[[#This Row],[Customer Ratings]]=3, "Average","Poor"))</f>
        <v>Good</v>
      </c>
      <c r="S2148" s="3" t="s">
        <v>83</v>
      </c>
    </row>
    <row r="2149" spans="1:19" x14ac:dyDescent="0.25">
      <c r="A2149" s="3">
        <v>2148</v>
      </c>
      <c r="B2149" s="5">
        <f>DATE(Table1[[#This Row],[Year]],Table1[[#This Row],[Month]],Table1[[#This Row],[Day]])</f>
        <v>45087</v>
      </c>
      <c r="C2149" s="3">
        <v>10</v>
      </c>
      <c r="D2149" s="3">
        <v>6</v>
      </c>
      <c r="E2149" s="3">
        <v>2023</v>
      </c>
      <c r="F2149" s="3" t="str">
        <f>"Qtr"&amp; " " &amp;CHOOSE(MONTH(Table1[[#This Row],[Date]]),1,1,1,2,2,2,3,3,3,4,4,4)</f>
        <v>Qtr 2</v>
      </c>
      <c r="G2149" s="3" t="str">
        <f>TEXT(Table1[[#This Row],[Date]],"mmmm")</f>
        <v>June</v>
      </c>
      <c r="H2149" s="3" t="s">
        <v>1079</v>
      </c>
      <c r="I2149" s="3" t="s">
        <v>39</v>
      </c>
      <c r="J2149" s="3">
        <v>8</v>
      </c>
      <c r="K2149" s="3">
        <v>42763</v>
      </c>
      <c r="L2149" s="3">
        <f>Table1[[#This Row],[Price Per Unit]]*Table1[[#This Row],[Units Sold]]</f>
        <v>342104</v>
      </c>
      <c r="M2149" s="3" t="s">
        <v>499</v>
      </c>
      <c r="N2149" s="3">
        <v>32</v>
      </c>
      <c r="O2149" s="3" t="s">
        <v>20</v>
      </c>
      <c r="P2149" s="3" t="s">
        <v>16</v>
      </c>
      <c r="Q2149" s="4">
        <v>1</v>
      </c>
      <c r="R2149" s="4" t="str">
        <f>IF(Table1[[#This Row],[Customer Ratings]]&gt;=4, "Good",IF(Table1[[#This Row],[Customer Ratings]]=3, "Average","Poor"))</f>
        <v>Poor</v>
      </c>
      <c r="S2149" s="3" t="s">
        <v>90</v>
      </c>
    </row>
    <row r="2150" spans="1:19" x14ac:dyDescent="0.25">
      <c r="A2150" s="3">
        <v>2149</v>
      </c>
      <c r="B2150" s="5">
        <f>DATE(Table1[[#This Row],[Year]],Table1[[#This Row],[Month]],Table1[[#This Row],[Day]])</f>
        <v>45088</v>
      </c>
      <c r="C2150" s="3">
        <v>11</v>
      </c>
      <c r="D2150" s="3">
        <v>6</v>
      </c>
      <c r="E2150" s="3">
        <v>2023</v>
      </c>
      <c r="F2150" s="3" t="str">
        <f>"Qtr"&amp; " " &amp;CHOOSE(MONTH(Table1[[#This Row],[Date]]),1,1,1,2,2,2,3,3,3,4,4,4)</f>
        <v>Qtr 2</v>
      </c>
      <c r="G2150" s="3" t="str">
        <f>TEXT(Table1[[#This Row],[Date]],"mmmm")</f>
        <v>June</v>
      </c>
      <c r="H2150" s="3" t="s">
        <v>1080</v>
      </c>
      <c r="I2150" s="3" t="s">
        <v>28</v>
      </c>
      <c r="J2150" s="3">
        <v>5</v>
      </c>
      <c r="K2150" s="3">
        <v>45418.79</v>
      </c>
      <c r="L2150" s="3">
        <f>Table1[[#This Row],[Price Per Unit]]*Table1[[#This Row],[Units Sold]]</f>
        <v>227093.95</v>
      </c>
      <c r="M2150" s="3" t="s">
        <v>723</v>
      </c>
      <c r="N2150" s="3">
        <v>49</v>
      </c>
      <c r="O2150" s="3" t="s">
        <v>52</v>
      </c>
      <c r="P2150" s="3" t="s">
        <v>16</v>
      </c>
      <c r="Q2150" s="4">
        <v>5</v>
      </c>
      <c r="R2150" s="4" t="str">
        <f>IF(Table1[[#This Row],[Customer Ratings]]&gt;=4, "Good",IF(Table1[[#This Row],[Customer Ratings]]=3, "Average","Poor"))</f>
        <v>Good</v>
      </c>
      <c r="S2150" s="3" t="s">
        <v>38</v>
      </c>
    </row>
    <row r="2151" spans="1:19" x14ac:dyDescent="0.25">
      <c r="A2151" s="3">
        <v>2150</v>
      </c>
      <c r="B2151" s="5">
        <f>DATE(Table1[[#This Row],[Year]],Table1[[#This Row],[Month]],Table1[[#This Row],[Day]])</f>
        <v>45088</v>
      </c>
      <c r="C2151" s="3">
        <v>11</v>
      </c>
      <c r="D2151" s="3">
        <v>6</v>
      </c>
      <c r="E2151" s="3">
        <v>2023</v>
      </c>
      <c r="F2151" s="3" t="str">
        <f>"Qtr"&amp; " " &amp;CHOOSE(MONTH(Table1[[#This Row],[Date]]),1,1,1,2,2,2,3,3,3,4,4,4)</f>
        <v>Qtr 2</v>
      </c>
      <c r="G2151" s="3" t="str">
        <f>TEXT(Table1[[#This Row],[Date]],"mmmm")</f>
        <v>June</v>
      </c>
      <c r="H2151" s="3" t="s">
        <v>1080</v>
      </c>
      <c r="I2151" s="3" t="s">
        <v>28</v>
      </c>
      <c r="J2151" s="3">
        <v>1</v>
      </c>
      <c r="K2151" s="3">
        <v>66079.12</v>
      </c>
      <c r="L2151" s="3">
        <f>Table1[[#This Row],[Price Per Unit]]*Table1[[#This Row],[Units Sold]]</f>
        <v>66079.12</v>
      </c>
      <c r="M2151" s="3" t="s">
        <v>350</v>
      </c>
      <c r="N2151" s="3">
        <v>38</v>
      </c>
      <c r="O2151" s="3" t="s">
        <v>20</v>
      </c>
      <c r="P2151" s="3" t="s">
        <v>21</v>
      </c>
      <c r="Q2151" s="4">
        <v>5</v>
      </c>
      <c r="R2151" s="4" t="str">
        <f>IF(Table1[[#This Row],[Customer Ratings]]&gt;=4, "Good",IF(Table1[[#This Row],[Customer Ratings]]=3, "Average","Poor"))</f>
        <v>Good</v>
      </c>
      <c r="S2151" s="3" t="s">
        <v>32</v>
      </c>
    </row>
    <row r="2152" spans="1:19" x14ac:dyDescent="0.25">
      <c r="A2152" s="3">
        <v>2151</v>
      </c>
      <c r="B2152" s="5">
        <f>DATE(Table1[[#This Row],[Year]],Table1[[#This Row],[Month]],Table1[[#This Row],[Day]])</f>
        <v>45088</v>
      </c>
      <c r="C2152" s="3">
        <v>11</v>
      </c>
      <c r="D2152" s="3">
        <v>6</v>
      </c>
      <c r="E2152" s="3">
        <v>2023</v>
      </c>
      <c r="F2152" s="3" t="str">
        <f>"Qtr"&amp; " " &amp;CHOOSE(MONTH(Table1[[#This Row],[Date]]),1,1,1,2,2,2,3,3,3,4,4,4)</f>
        <v>Qtr 2</v>
      </c>
      <c r="G2152" s="3" t="str">
        <f>TEXT(Table1[[#This Row],[Date]],"mmmm")</f>
        <v>June</v>
      </c>
      <c r="H2152" s="3" t="s">
        <v>1080</v>
      </c>
      <c r="I2152" s="3" t="s">
        <v>33</v>
      </c>
      <c r="J2152" s="3">
        <v>4</v>
      </c>
      <c r="K2152" s="3">
        <v>10514.15</v>
      </c>
      <c r="L2152" s="3">
        <f>Table1[[#This Row],[Price Per Unit]]*Table1[[#This Row],[Units Sold]]</f>
        <v>42056.6</v>
      </c>
      <c r="M2152" s="3" t="s">
        <v>495</v>
      </c>
      <c r="N2152" s="3">
        <v>18</v>
      </c>
      <c r="O2152" s="3" t="s">
        <v>58</v>
      </c>
      <c r="P2152" s="3" t="s">
        <v>45</v>
      </c>
      <c r="Q2152" s="4">
        <v>2</v>
      </c>
      <c r="R2152" s="4" t="str">
        <f>IF(Table1[[#This Row],[Customer Ratings]]&gt;=4, "Good",IF(Table1[[#This Row],[Customer Ratings]]=3, "Average","Poor"))</f>
        <v>Poor</v>
      </c>
      <c r="S2152" s="3" t="s">
        <v>83</v>
      </c>
    </row>
    <row r="2153" spans="1:19" x14ac:dyDescent="0.25">
      <c r="A2153" s="3">
        <v>2152</v>
      </c>
      <c r="B2153" s="5">
        <f>DATE(Table1[[#This Row],[Year]],Table1[[#This Row],[Month]],Table1[[#This Row],[Day]])</f>
        <v>45089</v>
      </c>
      <c r="C2153" s="3">
        <v>12</v>
      </c>
      <c r="D2153" s="3">
        <v>6</v>
      </c>
      <c r="E2153" s="3">
        <v>2023</v>
      </c>
      <c r="F2153" s="3" t="str">
        <f>"Qtr"&amp; " " &amp;CHOOSE(MONTH(Table1[[#This Row],[Date]]),1,1,1,2,2,2,3,3,3,4,4,4)</f>
        <v>Qtr 2</v>
      </c>
      <c r="G2153" s="3" t="str">
        <f>TEXT(Table1[[#This Row],[Date]],"mmmm")</f>
        <v>June</v>
      </c>
      <c r="H2153" s="3" t="s">
        <v>1081</v>
      </c>
      <c r="I2153" s="3" t="s">
        <v>18</v>
      </c>
      <c r="J2153" s="3">
        <v>1</v>
      </c>
      <c r="K2153" s="3">
        <v>12867.98</v>
      </c>
      <c r="L2153" s="3">
        <f>Table1[[#This Row],[Price Per Unit]]*Table1[[#This Row],[Units Sold]]</f>
        <v>12867.98</v>
      </c>
      <c r="M2153" s="3" t="s">
        <v>583</v>
      </c>
      <c r="N2153" s="3">
        <v>23</v>
      </c>
      <c r="O2153" s="3" t="s">
        <v>65</v>
      </c>
      <c r="P2153" s="3" t="s">
        <v>21</v>
      </c>
      <c r="Q2153" s="4">
        <v>4</v>
      </c>
      <c r="R2153" s="4" t="str">
        <f>IF(Table1[[#This Row],[Customer Ratings]]&gt;=4, "Good",IF(Table1[[#This Row],[Customer Ratings]]=3, "Average","Poor"))</f>
        <v>Good</v>
      </c>
      <c r="S2153" s="3" t="s">
        <v>55</v>
      </c>
    </row>
    <row r="2154" spans="1:19" x14ac:dyDescent="0.25">
      <c r="A2154" s="3">
        <v>2153</v>
      </c>
      <c r="B2154" s="5">
        <f>DATE(Table1[[#This Row],[Year]],Table1[[#This Row],[Month]],Table1[[#This Row],[Day]])</f>
        <v>45089</v>
      </c>
      <c r="C2154" s="3">
        <v>12</v>
      </c>
      <c r="D2154" s="3">
        <v>6</v>
      </c>
      <c r="E2154" s="3">
        <v>2023</v>
      </c>
      <c r="F2154" s="3" t="str">
        <f>"Qtr"&amp; " " &amp;CHOOSE(MONTH(Table1[[#This Row],[Date]]),1,1,1,2,2,2,3,3,3,4,4,4)</f>
        <v>Qtr 2</v>
      </c>
      <c r="G2154" s="3" t="str">
        <f>TEXT(Table1[[#This Row],[Date]],"mmmm")</f>
        <v>June</v>
      </c>
      <c r="H2154" s="3" t="s">
        <v>1081</v>
      </c>
      <c r="I2154" s="3" t="s">
        <v>13</v>
      </c>
      <c r="J2154" s="3">
        <v>6</v>
      </c>
      <c r="K2154" s="3">
        <v>21489.599999999999</v>
      </c>
      <c r="L2154" s="3">
        <f>Table1[[#This Row],[Price Per Unit]]*Table1[[#This Row],[Units Sold]]</f>
        <v>128937.59999999999</v>
      </c>
      <c r="M2154" s="3" t="s">
        <v>155</v>
      </c>
      <c r="N2154" s="3">
        <v>44</v>
      </c>
      <c r="O2154" s="3" t="s">
        <v>20</v>
      </c>
      <c r="P2154" s="3" t="s">
        <v>16</v>
      </c>
      <c r="Q2154" s="4">
        <v>2</v>
      </c>
      <c r="R2154" s="4" t="str">
        <f>IF(Table1[[#This Row],[Customer Ratings]]&gt;=4, "Good",IF(Table1[[#This Row],[Customer Ratings]]=3, "Average","Poor"))</f>
        <v>Poor</v>
      </c>
      <c r="S2154" s="3" t="s">
        <v>17</v>
      </c>
    </row>
    <row r="2155" spans="1:19" x14ac:dyDescent="0.25">
      <c r="A2155" s="3">
        <v>2154</v>
      </c>
      <c r="B2155" s="5">
        <f>DATE(Table1[[#This Row],[Year]],Table1[[#This Row],[Month]],Table1[[#This Row],[Day]])</f>
        <v>45089</v>
      </c>
      <c r="C2155" s="3">
        <v>12</v>
      </c>
      <c r="D2155" s="3">
        <v>6</v>
      </c>
      <c r="E2155" s="3">
        <v>2023</v>
      </c>
      <c r="F2155" s="3" t="str">
        <f>"Qtr"&amp; " " &amp;CHOOSE(MONTH(Table1[[#This Row],[Date]]),1,1,1,2,2,2,3,3,3,4,4,4)</f>
        <v>Qtr 2</v>
      </c>
      <c r="G2155" s="3" t="str">
        <f>TEXT(Table1[[#This Row],[Date]],"mmmm")</f>
        <v>June</v>
      </c>
      <c r="H2155" s="3" t="s">
        <v>1081</v>
      </c>
      <c r="I2155" s="3" t="s">
        <v>28</v>
      </c>
      <c r="J2155" s="3">
        <v>2</v>
      </c>
      <c r="K2155" s="3">
        <v>20038.080000000002</v>
      </c>
      <c r="L2155" s="3">
        <f>Table1[[#This Row],[Price Per Unit]]*Table1[[#This Row],[Units Sold]]</f>
        <v>40076.160000000003</v>
      </c>
      <c r="M2155" s="3" t="s">
        <v>402</v>
      </c>
      <c r="N2155" s="3">
        <v>40</v>
      </c>
      <c r="O2155" s="3" t="s">
        <v>20</v>
      </c>
      <c r="P2155" s="3" t="s">
        <v>31</v>
      </c>
      <c r="Q2155" s="4">
        <v>1</v>
      </c>
      <c r="R2155" s="4" t="str">
        <f>IF(Table1[[#This Row],[Customer Ratings]]&gt;=4, "Good",IF(Table1[[#This Row],[Customer Ratings]]=3, "Average","Poor"))</f>
        <v>Poor</v>
      </c>
      <c r="S2155" s="3" t="s">
        <v>38</v>
      </c>
    </row>
    <row r="2156" spans="1:19" x14ac:dyDescent="0.25">
      <c r="A2156" s="3">
        <v>2155</v>
      </c>
      <c r="B2156" s="5">
        <f>DATE(Table1[[#This Row],[Year]],Table1[[#This Row],[Month]],Table1[[#This Row],[Day]])</f>
        <v>45089</v>
      </c>
      <c r="C2156" s="3">
        <v>12</v>
      </c>
      <c r="D2156" s="3">
        <v>6</v>
      </c>
      <c r="E2156" s="3">
        <v>2023</v>
      </c>
      <c r="F2156" s="3" t="str">
        <f>"Qtr"&amp; " " &amp;CHOOSE(MONTH(Table1[[#This Row],[Date]]),1,1,1,2,2,2,3,3,3,4,4,4)</f>
        <v>Qtr 2</v>
      </c>
      <c r="G2156" s="3" t="str">
        <f>TEXT(Table1[[#This Row],[Date]],"mmmm")</f>
        <v>June</v>
      </c>
      <c r="H2156" s="3" t="s">
        <v>1081</v>
      </c>
      <c r="I2156" s="3" t="s">
        <v>39</v>
      </c>
      <c r="J2156" s="3">
        <v>5</v>
      </c>
      <c r="K2156" s="3">
        <v>20871.669999999998</v>
      </c>
      <c r="L2156" s="3">
        <f>Table1[[#This Row],[Price Per Unit]]*Table1[[#This Row],[Units Sold]]</f>
        <v>104358.34999999999</v>
      </c>
      <c r="M2156" s="3" t="s">
        <v>546</v>
      </c>
      <c r="N2156" s="3">
        <v>48</v>
      </c>
      <c r="O2156" s="3" t="s">
        <v>52</v>
      </c>
      <c r="P2156" s="3" t="s">
        <v>16</v>
      </c>
      <c r="Q2156" s="4">
        <v>2</v>
      </c>
      <c r="R2156" s="4" t="str">
        <f>IF(Table1[[#This Row],[Customer Ratings]]&gt;=4, "Good",IF(Table1[[#This Row],[Customer Ratings]]=3, "Average","Poor"))</f>
        <v>Poor</v>
      </c>
      <c r="S2156" s="3" t="s">
        <v>42</v>
      </c>
    </row>
    <row r="2157" spans="1:19" x14ac:dyDescent="0.25">
      <c r="A2157" s="3">
        <v>2156</v>
      </c>
      <c r="B2157" s="5">
        <f>DATE(Table1[[#This Row],[Year]],Table1[[#This Row],[Month]],Table1[[#This Row],[Day]])</f>
        <v>45090</v>
      </c>
      <c r="C2157" s="3">
        <v>13</v>
      </c>
      <c r="D2157" s="3">
        <v>6</v>
      </c>
      <c r="E2157" s="3">
        <v>2023</v>
      </c>
      <c r="F2157" s="3" t="str">
        <f>"Qtr"&amp; " " &amp;CHOOSE(MONTH(Table1[[#This Row],[Date]]),1,1,1,2,2,2,3,3,3,4,4,4)</f>
        <v>Qtr 2</v>
      </c>
      <c r="G2157" s="3" t="str">
        <f>TEXT(Table1[[#This Row],[Date]],"mmmm")</f>
        <v>June</v>
      </c>
      <c r="H2157" s="3" t="s">
        <v>1082</v>
      </c>
      <c r="I2157" s="3" t="s">
        <v>39</v>
      </c>
      <c r="J2157" s="3">
        <v>7</v>
      </c>
      <c r="K2157" s="3">
        <v>50316.63</v>
      </c>
      <c r="L2157" s="3">
        <f>Table1[[#This Row],[Price Per Unit]]*Table1[[#This Row],[Units Sold]]</f>
        <v>352216.41</v>
      </c>
      <c r="M2157" s="3" t="s">
        <v>952</v>
      </c>
      <c r="N2157" s="3">
        <v>29</v>
      </c>
      <c r="O2157" s="3" t="s">
        <v>41</v>
      </c>
      <c r="P2157" s="3" t="s">
        <v>45</v>
      </c>
      <c r="Q2157" s="4">
        <v>1</v>
      </c>
      <c r="R2157" s="4" t="str">
        <f>IF(Table1[[#This Row],[Customer Ratings]]&gt;=4, "Good",IF(Table1[[#This Row],[Customer Ratings]]=3, "Average","Poor"))</f>
        <v>Poor</v>
      </c>
      <c r="S2157" s="3" t="s">
        <v>76</v>
      </c>
    </row>
    <row r="2158" spans="1:19" x14ac:dyDescent="0.25">
      <c r="A2158" s="3">
        <v>2157</v>
      </c>
      <c r="B2158" s="5">
        <f>DATE(Table1[[#This Row],[Year]],Table1[[#This Row],[Month]],Table1[[#This Row],[Day]])</f>
        <v>45090</v>
      </c>
      <c r="C2158" s="3">
        <v>13</v>
      </c>
      <c r="D2158" s="3">
        <v>6</v>
      </c>
      <c r="E2158" s="3">
        <v>2023</v>
      </c>
      <c r="F2158" s="3" t="str">
        <f>"Qtr"&amp; " " &amp;CHOOSE(MONTH(Table1[[#This Row],[Date]]),1,1,1,2,2,2,3,3,3,4,4,4)</f>
        <v>Qtr 2</v>
      </c>
      <c r="G2158" s="3" t="str">
        <f>TEXT(Table1[[#This Row],[Date]],"mmmm")</f>
        <v>June</v>
      </c>
      <c r="H2158" s="3" t="s">
        <v>1082</v>
      </c>
      <c r="I2158" s="3" t="s">
        <v>18</v>
      </c>
      <c r="J2158" s="3">
        <v>2</v>
      </c>
      <c r="K2158" s="3">
        <v>37569</v>
      </c>
      <c r="L2158" s="3">
        <f>Table1[[#This Row],[Price Per Unit]]*Table1[[#This Row],[Units Sold]]</f>
        <v>75138</v>
      </c>
      <c r="M2158" s="3" t="s">
        <v>953</v>
      </c>
      <c r="N2158" s="3">
        <v>38</v>
      </c>
      <c r="O2158" s="3" t="s">
        <v>20</v>
      </c>
      <c r="P2158" s="3" t="s">
        <v>31</v>
      </c>
      <c r="Q2158" s="4">
        <v>2</v>
      </c>
      <c r="R2158" s="4" t="str">
        <f>IF(Table1[[#This Row],[Customer Ratings]]&gt;=4, "Good",IF(Table1[[#This Row],[Customer Ratings]]=3, "Average","Poor"))</f>
        <v>Poor</v>
      </c>
      <c r="S2158" s="3" t="s">
        <v>25</v>
      </c>
    </row>
    <row r="2159" spans="1:19" x14ac:dyDescent="0.25">
      <c r="A2159" s="3">
        <v>2158</v>
      </c>
      <c r="B2159" s="5">
        <f>DATE(Table1[[#This Row],[Year]],Table1[[#This Row],[Month]],Table1[[#This Row],[Day]])</f>
        <v>45090</v>
      </c>
      <c r="C2159" s="3">
        <v>13</v>
      </c>
      <c r="D2159" s="3">
        <v>6</v>
      </c>
      <c r="E2159" s="3">
        <v>2023</v>
      </c>
      <c r="F2159" s="3" t="str">
        <f>"Qtr"&amp; " " &amp;CHOOSE(MONTH(Table1[[#This Row],[Date]]),1,1,1,2,2,2,3,3,3,4,4,4)</f>
        <v>Qtr 2</v>
      </c>
      <c r="G2159" s="3" t="str">
        <f>TEXT(Table1[[#This Row],[Date]],"mmmm")</f>
        <v>June</v>
      </c>
      <c r="H2159" s="3" t="s">
        <v>1082</v>
      </c>
      <c r="I2159" s="3" t="s">
        <v>28</v>
      </c>
      <c r="J2159" s="3">
        <v>6</v>
      </c>
      <c r="K2159" s="3">
        <v>69506.73</v>
      </c>
      <c r="L2159" s="3">
        <f>Table1[[#This Row],[Price Per Unit]]*Table1[[#This Row],[Units Sold]]</f>
        <v>417040.38</v>
      </c>
      <c r="M2159" s="3" t="s">
        <v>51</v>
      </c>
      <c r="N2159" s="3">
        <v>19</v>
      </c>
      <c r="O2159" s="3" t="s">
        <v>20</v>
      </c>
      <c r="P2159" s="3" t="s">
        <v>31</v>
      </c>
      <c r="Q2159" s="4">
        <v>5</v>
      </c>
      <c r="R2159" s="4" t="str">
        <f>IF(Table1[[#This Row],[Customer Ratings]]&gt;=4, "Good",IF(Table1[[#This Row],[Customer Ratings]]=3, "Average","Poor"))</f>
        <v>Good</v>
      </c>
      <c r="S2159" s="3" t="s">
        <v>87</v>
      </c>
    </row>
    <row r="2160" spans="1:19" x14ac:dyDescent="0.25">
      <c r="A2160" s="3">
        <v>2159</v>
      </c>
      <c r="B2160" s="5">
        <f>DATE(Table1[[#This Row],[Year]],Table1[[#This Row],[Month]],Table1[[#This Row],[Day]])</f>
        <v>45090</v>
      </c>
      <c r="C2160" s="3">
        <v>13</v>
      </c>
      <c r="D2160" s="3">
        <v>6</v>
      </c>
      <c r="E2160" s="3">
        <v>2023</v>
      </c>
      <c r="F2160" s="3" t="str">
        <f>"Qtr"&amp; " " &amp;CHOOSE(MONTH(Table1[[#This Row],[Date]]),1,1,1,2,2,2,3,3,3,4,4,4)</f>
        <v>Qtr 2</v>
      </c>
      <c r="G2160" s="3" t="str">
        <f>TEXT(Table1[[#This Row],[Date]],"mmmm")</f>
        <v>June</v>
      </c>
      <c r="H2160" s="3" t="s">
        <v>1082</v>
      </c>
      <c r="I2160" s="3" t="s">
        <v>33</v>
      </c>
      <c r="J2160" s="3">
        <v>6</v>
      </c>
      <c r="K2160" s="3">
        <v>23613.15</v>
      </c>
      <c r="L2160" s="3">
        <f>Table1[[#This Row],[Price Per Unit]]*Table1[[#This Row],[Units Sold]]</f>
        <v>141678.90000000002</v>
      </c>
      <c r="M2160" s="3" t="s">
        <v>623</v>
      </c>
      <c r="N2160" s="3">
        <v>22</v>
      </c>
      <c r="O2160" s="3" t="s">
        <v>102</v>
      </c>
      <c r="P2160" s="3" t="s">
        <v>21</v>
      </c>
      <c r="Q2160" s="4">
        <v>4</v>
      </c>
      <c r="R2160" s="4" t="str">
        <f>IF(Table1[[#This Row],[Customer Ratings]]&gt;=4, "Good",IF(Table1[[#This Row],[Customer Ratings]]=3, "Average","Poor"))</f>
        <v>Good</v>
      </c>
      <c r="S2160" s="3" t="s">
        <v>36</v>
      </c>
    </row>
    <row r="2161" spans="1:19" x14ac:dyDescent="0.25">
      <c r="A2161" s="3">
        <v>2160</v>
      </c>
      <c r="B2161" s="5">
        <f>DATE(Table1[[#This Row],[Year]],Table1[[#This Row],[Month]],Table1[[#This Row],[Day]])</f>
        <v>45091</v>
      </c>
      <c r="C2161" s="3">
        <v>14</v>
      </c>
      <c r="D2161" s="3">
        <v>6</v>
      </c>
      <c r="E2161" s="3">
        <v>2023</v>
      </c>
      <c r="F2161" s="3" t="str">
        <f>"Qtr"&amp; " " &amp;CHOOSE(MONTH(Table1[[#This Row],[Date]]),1,1,1,2,2,2,3,3,3,4,4,4)</f>
        <v>Qtr 2</v>
      </c>
      <c r="G2161" s="3" t="str">
        <f>TEXT(Table1[[#This Row],[Date]],"mmmm")</f>
        <v>June</v>
      </c>
      <c r="H2161" s="3" t="s">
        <v>1083</v>
      </c>
      <c r="I2161" s="3" t="s">
        <v>39</v>
      </c>
      <c r="J2161" s="3">
        <v>5</v>
      </c>
      <c r="K2161" s="3">
        <v>28649.81</v>
      </c>
      <c r="L2161" s="3">
        <f>Table1[[#This Row],[Price Per Unit]]*Table1[[#This Row],[Units Sold]]</f>
        <v>143249.05000000002</v>
      </c>
      <c r="M2161" s="3" t="s">
        <v>807</v>
      </c>
      <c r="N2161" s="3">
        <v>26</v>
      </c>
      <c r="O2161" s="3" t="s">
        <v>24</v>
      </c>
      <c r="P2161" s="3" t="s">
        <v>21</v>
      </c>
      <c r="Q2161" s="4">
        <v>2</v>
      </c>
      <c r="R2161" s="4" t="str">
        <f>IF(Table1[[#This Row],[Customer Ratings]]&gt;=4, "Good",IF(Table1[[#This Row],[Customer Ratings]]=3, "Average","Poor"))</f>
        <v>Poor</v>
      </c>
      <c r="S2161" s="3" t="s">
        <v>42</v>
      </c>
    </row>
    <row r="2162" spans="1:19" x14ac:dyDescent="0.25">
      <c r="A2162" s="3">
        <v>2161</v>
      </c>
      <c r="B2162" s="5">
        <f>DATE(Table1[[#This Row],[Year]],Table1[[#This Row],[Month]],Table1[[#This Row],[Day]])</f>
        <v>45091</v>
      </c>
      <c r="C2162" s="3">
        <v>14</v>
      </c>
      <c r="D2162" s="3">
        <v>6</v>
      </c>
      <c r="E2162" s="3">
        <v>2023</v>
      </c>
      <c r="F2162" s="3" t="str">
        <f>"Qtr"&amp; " " &amp;CHOOSE(MONTH(Table1[[#This Row],[Date]]),1,1,1,2,2,2,3,3,3,4,4,4)</f>
        <v>Qtr 2</v>
      </c>
      <c r="G2162" s="3" t="str">
        <f>TEXT(Table1[[#This Row],[Date]],"mmmm")</f>
        <v>June</v>
      </c>
      <c r="H2162" s="3" t="s">
        <v>1083</v>
      </c>
      <c r="I2162" s="3" t="s">
        <v>18</v>
      </c>
      <c r="J2162" s="3">
        <v>5</v>
      </c>
      <c r="K2162" s="3">
        <v>69054.44</v>
      </c>
      <c r="L2162" s="3">
        <f>Table1[[#This Row],[Price Per Unit]]*Table1[[#This Row],[Units Sold]]</f>
        <v>345272.2</v>
      </c>
      <c r="M2162" s="3" t="s">
        <v>247</v>
      </c>
      <c r="N2162" s="3">
        <v>37</v>
      </c>
      <c r="O2162" s="3" t="s">
        <v>81</v>
      </c>
      <c r="P2162" s="3" t="s">
        <v>45</v>
      </c>
      <c r="Q2162" s="4">
        <v>1</v>
      </c>
      <c r="R2162" s="4" t="str">
        <f>IF(Table1[[#This Row],[Customer Ratings]]&gt;=4, "Good",IF(Table1[[#This Row],[Customer Ratings]]=3, "Average","Poor"))</f>
        <v>Poor</v>
      </c>
      <c r="S2162" s="3" t="s">
        <v>55</v>
      </c>
    </row>
    <row r="2163" spans="1:19" x14ac:dyDescent="0.25">
      <c r="A2163" s="3">
        <v>2162</v>
      </c>
      <c r="B2163" s="5">
        <f>DATE(Table1[[#This Row],[Year]],Table1[[#This Row],[Month]],Table1[[#This Row],[Day]])</f>
        <v>45091</v>
      </c>
      <c r="C2163" s="3">
        <v>14</v>
      </c>
      <c r="D2163" s="3">
        <v>6</v>
      </c>
      <c r="E2163" s="3">
        <v>2023</v>
      </c>
      <c r="F2163" s="3" t="str">
        <f>"Qtr"&amp; " " &amp;CHOOSE(MONTH(Table1[[#This Row],[Date]]),1,1,1,2,2,2,3,3,3,4,4,4)</f>
        <v>Qtr 2</v>
      </c>
      <c r="G2163" s="3" t="str">
        <f>TEXT(Table1[[#This Row],[Date]],"mmmm")</f>
        <v>June</v>
      </c>
      <c r="H2163" s="3" t="s">
        <v>1083</v>
      </c>
      <c r="I2163" s="3" t="s">
        <v>28</v>
      </c>
      <c r="J2163" s="3">
        <v>3</v>
      </c>
      <c r="K2163" s="3">
        <v>59905.49</v>
      </c>
      <c r="L2163" s="3">
        <f>Table1[[#This Row],[Price Per Unit]]*Table1[[#This Row],[Units Sold]]</f>
        <v>179716.47</v>
      </c>
      <c r="M2163" s="3" t="s">
        <v>954</v>
      </c>
      <c r="N2163" s="3">
        <v>35</v>
      </c>
      <c r="O2163" s="3" t="s">
        <v>24</v>
      </c>
      <c r="P2163" s="3" t="s">
        <v>21</v>
      </c>
      <c r="Q2163" s="4">
        <v>4</v>
      </c>
      <c r="R2163" s="4" t="str">
        <f>IF(Table1[[#This Row],[Customer Ratings]]&gt;=4, "Good",IF(Table1[[#This Row],[Customer Ratings]]=3, "Average","Poor"))</f>
        <v>Good</v>
      </c>
      <c r="S2163" s="3" t="s">
        <v>38</v>
      </c>
    </row>
    <row r="2164" spans="1:19" x14ac:dyDescent="0.25">
      <c r="A2164" s="3">
        <v>2163</v>
      </c>
      <c r="B2164" s="5">
        <f>DATE(Table1[[#This Row],[Year]],Table1[[#This Row],[Month]],Table1[[#This Row],[Day]])</f>
        <v>45091</v>
      </c>
      <c r="C2164" s="3">
        <v>14</v>
      </c>
      <c r="D2164" s="3">
        <v>6</v>
      </c>
      <c r="E2164" s="3">
        <v>2023</v>
      </c>
      <c r="F2164" s="3" t="str">
        <f>"Qtr"&amp; " " &amp;CHOOSE(MONTH(Table1[[#This Row],[Date]]),1,1,1,2,2,2,3,3,3,4,4,4)</f>
        <v>Qtr 2</v>
      </c>
      <c r="G2164" s="3" t="str">
        <f>TEXT(Table1[[#This Row],[Date]],"mmmm")</f>
        <v>June</v>
      </c>
      <c r="H2164" s="3" t="s">
        <v>1083</v>
      </c>
      <c r="I2164" s="3" t="s">
        <v>28</v>
      </c>
      <c r="J2164" s="3">
        <v>2</v>
      </c>
      <c r="K2164" s="3">
        <v>38187.949999999997</v>
      </c>
      <c r="L2164" s="3">
        <f>Table1[[#This Row],[Price Per Unit]]*Table1[[#This Row],[Units Sold]]</f>
        <v>76375.899999999994</v>
      </c>
      <c r="M2164" s="3" t="s">
        <v>282</v>
      </c>
      <c r="N2164" s="3">
        <v>39</v>
      </c>
      <c r="O2164" s="3" t="s">
        <v>125</v>
      </c>
      <c r="P2164" s="3" t="s">
        <v>45</v>
      </c>
      <c r="Q2164" s="4">
        <v>5</v>
      </c>
      <c r="R2164" s="4" t="str">
        <f>IF(Table1[[#This Row],[Customer Ratings]]&gt;=4, "Good",IF(Table1[[#This Row],[Customer Ratings]]=3, "Average","Poor"))</f>
        <v>Good</v>
      </c>
      <c r="S2164" s="3" t="s">
        <v>87</v>
      </c>
    </row>
    <row r="2165" spans="1:19" x14ac:dyDescent="0.25">
      <c r="A2165" s="3">
        <v>2164</v>
      </c>
      <c r="B2165" s="5">
        <f>DATE(Table1[[#This Row],[Year]],Table1[[#This Row],[Month]],Table1[[#This Row],[Day]])</f>
        <v>45092</v>
      </c>
      <c r="C2165" s="3">
        <v>15</v>
      </c>
      <c r="D2165" s="3">
        <v>6</v>
      </c>
      <c r="E2165" s="3">
        <v>2023</v>
      </c>
      <c r="F2165" s="3" t="str">
        <f>"Qtr"&amp; " " &amp;CHOOSE(MONTH(Table1[[#This Row],[Date]]),1,1,1,2,2,2,3,3,3,4,4,4)</f>
        <v>Qtr 2</v>
      </c>
      <c r="G2165" s="3" t="str">
        <f>TEXT(Table1[[#This Row],[Date]],"mmmm")</f>
        <v>June</v>
      </c>
      <c r="H2165" s="3" t="s">
        <v>1084</v>
      </c>
      <c r="I2165" s="3" t="s">
        <v>28</v>
      </c>
      <c r="J2165" s="3">
        <v>7</v>
      </c>
      <c r="K2165" s="3">
        <v>43275.81</v>
      </c>
      <c r="L2165" s="3">
        <f>Table1[[#This Row],[Price Per Unit]]*Table1[[#This Row],[Units Sold]]</f>
        <v>302930.67</v>
      </c>
      <c r="M2165" s="3" t="s">
        <v>490</v>
      </c>
      <c r="N2165" s="3">
        <v>25</v>
      </c>
      <c r="O2165" s="3" t="s">
        <v>20</v>
      </c>
      <c r="P2165" s="3" t="s">
        <v>31</v>
      </c>
      <c r="Q2165" s="4">
        <v>5</v>
      </c>
      <c r="R2165" s="4" t="str">
        <f>IF(Table1[[#This Row],[Customer Ratings]]&gt;=4, "Good",IF(Table1[[#This Row],[Customer Ratings]]=3, "Average","Poor"))</f>
        <v>Good</v>
      </c>
      <c r="S2165" s="3" t="s">
        <v>32</v>
      </c>
    </row>
    <row r="2166" spans="1:19" x14ac:dyDescent="0.25">
      <c r="A2166" s="3">
        <v>2165</v>
      </c>
      <c r="B2166" s="5">
        <f>DATE(Table1[[#This Row],[Year]],Table1[[#This Row],[Month]],Table1[[#This Row],[Day]])</f>
        <v>45092</v>
      </c>
      <c r="C2166" s="3">
        <v>15</v>
      </c>
      <c r="D2166" s="3">
        <v>6</v>
      </c>
      <c r="E2166" s="3">
        <v>2023</v>
      </c>
      <c r="F2166" s="3" t="str">
        <f>"Qtr"&amp; " " &amp;CHOOSE(MONTH(Table1[[#This Row],[Date]]),1,1,1,2,2,2,3,3,3,4,4,4)</f>
        <v>Qtr 2</v>
      </c>
      <c r="G2166" s="3" t="str">
        <f>TEXT(Table1[[#This Row],[Date]],"mmmm")</f>
        <v>June</v>
      </c>
      <c r="H2166" s="3" t="s">
        <v>1084</v>
      </c>
      <c r="I2166" s="3" t="s">
        <v>28</v>
      </c>
      <c r="J2166" s="3">
        <v>1</v>
      </c>
      <c r="K2166" s="3">
        <v>60590.68</v>
      </c>
      <c r="L2166" s="3">
        <f>Table1[[#This Row],[Price Per Unit]]*Table1[[#This Row],[Units Sold]]</f>
        <v>60590.68</v>
      </c>
      <c r="M2166" s="3" t="s">
        <v>173</v>
      </c>
      <c r="N2166" s="3">
        <v>51</v>
      </c>
      <c r="O2166" s="3" t="s">
        <v>52</v>
      </c>
      <c r="P2166" s="3" t="s">
        <v>31</v>
      </c>
      <c r="Q2166" s="4">
        <v>4</v>
      </c>
      <c r="R2166" s="4" t="str">
        <f>IF(Table1[[#This Row],[Customer Ratings]]&gt;=4, "Good",IF(Table1[[#This Row],[Customer Ratings]]=3, "Average","Poor"))</f>
        <v>Good</v>
      </c>
      <c r="S2166" s="3" t="s">
        <v>32</v>
      </c>
    </row>
    <row r="2167" spans="1:19" x14ac:dyDescent="0.25">
      <c r="A2167" s="3">
        <v>2166</v>
      </c>
      <c r="B2167" s="5">
        <f>DATE(Table1[[#This Row],[Year]],Table1[[#This Row],[Month]],Table1[[#This Row],[Day]])</f>
        <v>45092</v>
      </c>
      <c r="C2167" s="3">
        <v>15</v>
      </c>
      <c r="D2167" s="3">
        <v>6</v>
      </c>
      <c r="E2167" s="3">
        <v>2023</v>
      </c>
      <c r="F2167" s="3" t="str">
        <f>"Qtr"&amp; " " &amp;CHOOSE(MONTH(Table1[[#This Row],[Date]]),1,1,1,2,2,2,3,3,3,4,4,4)</f>
        <v>Qtr 2</v>
      </c>
      <c r="G2167" s="3" t="str">
        <f>TEXT(Table1[[#This Row],[Date]],"mmmm")</f>
        <v>June</v>
      </c>
      <c r="H2167" s="3" t="s">
        <v>1084</v>
      </c>
      <c r="I2167" s="3" t="s">
        <v>28</v>
      </c>
      <c r="J2167" s="3">
        <v>6</v>
      </c>
      <c r="K2167" s="3">
        <v>38858.81</v>
      </c>
      <c r="L2167" s="3">
        <f>Table1[[#This Row],[Price Per Unit]]*Table1[[#This Row],[Units Sold]]</f>
        <v>233152.86</v>
      </c>
      <c r="M2167" s="3" t="s">
        <v>263</v>
      </c>
      <c r="N2167" s="3">
        <v>26</v>
      </c>
      <c r="O2167" s="3" t="s">
        <v>20</v>
      </c>
      <c r="P2167" s="3" t="s">
        <v>31</v>
      </c>
      <c r="Q2167" s="4">
        <v>4</v>
      </c>
      <c r="R2167" s="4" t="str">
        <f>IF(Table1[[#This Row],[Customer Ratings]]&gt;=4, "Good",IF(Table1[[#This Row],[Customer Ratings]]=3, "Average","Poor"))</f>
        <v>Good</v>
      </c>
      <c r="S2167" s="3" t="s">
        <v>38</v>
      </c>
    </row>
    <row r="2168" spans="1:19" x14ac:dyDescent="0.25">
      <c r="A2168" s="3">
        <v>2167</v>
      </c>
      <c r="B2168" s="5">
        <f>DATE(Table1[[#This Row],[Year]],Table1[[#This Row],[Month]],Table1[[#This Row],[Day]])</f>
        <v>45092</v>
      </c>
      <c r="C2168" s="3">
        <v>15</v>
      </c>
      <c r="D2168" s="3">
        <v>6</v>
      </c>
      <c r="E2168" s="3">
        <v>2023</v>
      </c>
      <c r="F2168" s="3" t="str">
        <f>"Qtr"&amp; " " &amp;CHOOSE(MONTH(Table1[[#This Row],[Date]]),1,1,1,2,2,2,3,3,3,4,4,4)</f>
        <v>Qtr 2</v>
      </c>
      <c r="G2168" s="3" t="str">
        <f>TEXT(Table1[[#This Row],[Date]],"mmmm")</f>
        <v>June</v>
      </c>
      <c r="H2168" s="3" t="s">
        <v>1084</v>
      </c>
      <c r="I2168" s="3" t="s">
        <v>39</v>
      </c>
      <c r="J2168" s="3">
        <v>6</v>
      </c>
      <c r="K2168" s="3">
        <v>22361.42</v>
      </c>
      <c r="L2168" s="3">
        <f>Table1[[#This Row],[Price Per Unit]]*Table1[[#This Row],[Units Sold]]</f>
        <v>134168.51999999999</v>
      </c>
      <c r="M2168" s="3" t="s">
        <v>895</v>
      </c>
      <c r="N2168" s="3">
        <v>24</v>
      </c>
      <c r="O2168" s="3" t="s">
        <v>24</v>
      </c>
      <c r="P2168" s="3" t="s">
        <v>45</v>
      </c>
      <c r="Q2168" s="4">
        <v>2</v>
      </c>
      <c r="R2168" s="4" t="str">
        <f>IF(Table1[[#This Row],[Customer Ratings]]&gt;=4, "Good",IF(Table1[[#This Row],[Customer Ratings]]=3, "Average","Poor"))</f>
        <v>Poor</v>
      </c>
      <c r="S2168" s="3" t="s">
        <v>90</v>
      </c>
    </row>
    <row r="2169" spans="1:19" x14ac:dyDescent="0.25">
      <c r="A2169" s="3">
        <v>2168</v>
      </c>
      <c r="B2169" s="5">
        <f>DATE(Table1[[#This Row],[Year]],Table1[[#This Row],[Month]],Table1[[#This Row],[Day]])</f>
        <v>45093</v>
      </c>
      <c r="C2169" s="3">
        <v>16</v>
      </c>
      <c r="D2169" s="3">
        <v>6</v>
      </c>
      <c r="E2169" s="3">
        <v>2023</v>
      </c>
      <c r="F2169" s="3" t="str">
        <f>"Qtr"&amp; " " &amp;CHOOSE(MONTH(Table1[[#This Row],[Date]]),1,1,1,2,2,2,3,3,3,4,4,4)</f>
        <v>Qtr 2</v>
      </c>
      <c r="G2169" s="3" t="str">
        <f>TEXT(Table1[[#This Row],[Date]],"mmmm")</f>
        <v>June</v>
      </c>
      <c r="H2169" s="3" t="s">
        <v>1085</v>
      </c>
      <c r="I2169" s="3" t="s">
        <v>18</v>
      </c>
      <c r="J2169" s="3">
        <v>3</v>
      </c>
      <c r="K2169" s="3">
        <v>59706.67</v>
      </c>
      <c r="L2169" s="3">
        <f>Table1[[#This Row],[Price Per Unit]]*Table1[[#This Row],[Units Sold]]</f>
        <v>179120.01</v>
      </c>
      <c r="M2169" s="3" t="s">
        <v>711</v>
      </c>
      <c r="N2169" s="3">
        <v>47</v>
      </c>
      <c r="O2169" s="3" t="s">
        <v>81</v>
      </c>
      <c r="P2169" s="3" t="s">
        <v>21</v>
      </c>
      <c r="Q2169" s="4">
        <v>5</v>
      </c>
      <c r="R2169" s="4" t="str">
        <f>IF(Table1[[#This Row],[Customer Ratings]]&gt;=4, "Good",IF(Table1[[#This Row],[Customer Ratings]]=3, "Average","Poor"))</f>
        <v>Good</v>
      </c>
      <c r="S2169" s="3" t="s">
        <v>55</v>
      </c>
    </row>
    <row r="2170" spans="1:19" x14ac:dyDescent="0.25">
      <c r="A2170" s="3">
        <v>2169</v>
      </c>
      <c r="B2170" s="5">
        <f>DATE(Table1[[#This Row],[Year]],Table1[[#This Row],[Month]],Table1[[#This Row],[Day]])</f>
        <v>45093</v>
      </c>
      <c r="C2170" s="3">
        <v>16</v>
      </c>
      <c r="D2170" s="3">
        <v>6</v>
      </c>
      <c r="E2170" s="3">
        <v>2023</v>
      </c>
      <c r="F2170" s="3" t="str">
        <f>"Qtr"&amp; " " &amp;CHOOSE(MONTH(Table1[[#This Row],[Date]]),1,1,1,2,2,2,3,3,3,4,4,4)</f>
        <v>Qtr 2</v>
      </c>
      <c r="G2170" s="3" t="str">
        <f>TEXT(Table1[[#This Row],[Date]],"mmmm")</f>
        <v>June</v>
      </c>
      <c r="H2170" s="3" t="s">
        <v>1085</v>
      </c>
      <c r="I2170" s="3" t="s">
        <v>28</v>
      </c>
      <c r="J2170" s="3">
        <v>2</v>
      </c>
      <c r="K2170" s="3">
        <v>42266.35</v>
      </c>
      <c r="L2170" s="3">
        <f>Table1[[#This Row],[Price Per Unit]]*Table1[[#This Row],[Units Sold]]</f>
        <v>84532.7</v>
      </c>
      <c r="M2170" s="3" t="s">
        <v>276</v>
      </c>
      <c r="N2170" s="3">
        <v>35</v>
      </c>
      <c r="O2170" s="3" t="s">
        <v>120</v>
      </c>
      <c r="P2170" s="3" t="s">
        <v>21</v>
      </c>
      <c r="Q2170" s="4">
        <v>2</v>
      </c>
      <c r="R2170" s="4" t="str">
        <f>IF(Table1[[#This Row],[Customer Ratings]]&gt;=4, "Good",IF(Table1[[#This Row],[Customer Ratings]]=3, "Average","Poor"))</f>
        <v>Poor</v>
      </c>
      <c r="S2170" s="3" t="s">
        <v>32</v>
      </c>
    </row>
    <row r="2171" spans="1:19" x14ac:dyDescent="0.25">
      <c r="A2171" s="3">
        <v>2170</v>
      </c>
      <c r="B2171" s="5">
        <f>DATE(Table1[[#This Row],[Year]],Table1[[#This Row],[Month]],Table1[[#This Row],[Day]])</f>
        <v>45093</v>
      </c>
      <c r="C2171" s="3">
        <v>16</v>
      </c>
      <c r="D2171" s="3">
        <v>6</v>
      </c>
      <c r="E2171" s="3">
        <v>2023</v>
      </c>
      <c r="F2171" s="3" t="str">
        <f>"Qtr"&amp; " " &amp;CHOOSE(MONTH(Table1[[#This Row],[Date]]),1,1,1,2,2,2,3,3,3,4,4,4)</f>
        <v>Qtr 2</v>
      </c>
      <c r="G2171" s="3" t="str">
        <f>TEXT(Table1[[#This Row],[Date]],"mmmm")</f>
        <v>June</v>
      </c>
      <c r="H2171" s="3" t="s">
        <v>1085</v>
      </c>
      <c r="I2171" s="3" t="s">
        <v>13</v>
      </c>
      <c r="J2171" s="3">
        <v>2</v>
      </c>
      <c r="K2171" s="3">
        <v>19182.560000000001</v>
      </c>
      <c r="L2171" s="3">
        <f>Table1[[#This Row],[Price Per Unit]]*Table1[[#This Row],[Units Sold]]</f>
        <v>38365.120000000003</v>
      </c>
      <c r="M2171" s="3" t="s">
        <v>64</v>
      </c>
      <c r="N2171" s="3">
        <v>44</v>
      </c>
      <c r="O2171" s="3" t="s">
        <v>105</v>
      </c>
      <c r="P2171" s="3" t="s">
        <v>21</v>
      </c>
      <c r="Q2171" s="4">
        <v>2</v>
      </c>
      <c r="R2171" s="4" t="str">
        <f>IF(Table1[[#This Row],[Customer Ratings]]&gt;=4, "Good",IF(Table1[[#This Row],[Customer Ratings]]=3, "Average","Poor"))</f>
        <v>Poor</v>
      </c>
      <c r="S2171" s="3" t="s">
        <v>17</v>
      </c>
    </row>
    <row r="2172" spans="1:19" x14ac:dyDescent="0.25">
      <c r="A2172" s="3">
        <v>2171</v>
      </c>
      <c r="B2172" s="5">
        <f>DATE(Table1[[#This Row],[Year]],Table1[[#This Row],[Month]],Table1[[#This Row],[Day]])</f>
        <v>45094</v>
      </c>
      <c r="C2172" s="3">
        <v>17</v>
      </c>
      <c r="D2172" s="3">
        <v>6</v>
      </c>
      <c r="E2172" s="3">
        <v>2023</v>
      </c>
      <c r="F2172" s="3" t="str">
        <f>"Qtr"&amp; " " &amp;CHOOSE(MONTH(Table1[[#This Row],[Date]]),1,1,1,2,2,2,3,3,3,4,4,4)</f>
        <v>Qtr 2</v>
      </c>
      <c r="G2172" s="3" t="str">
        <f>TEXT(Table1[[#This Row],[Date]],"mmmm")</f>
        <v>June</v>
      </c>
      <c r="H2172" s="3" t="s">
        <v>1079</v>
      </c>
      <c r="I2172" s="3" t="s">
        <v>13</v>
      </c>
      <c r="J2172" s="3">
        <v>9</v>
      </c>
      <c r="K2172" s="3">
        <v>40335.15</v>
      </c>
      <c r="L2172" s="3">
        <f>Table1[[#This Row],[Price Per Unit]]*Table1[[#This Row],[Units Sold]]</f>
        <v>363016.35000000003</v>
      </c>
      <c r="M2172" s="3" t="s">
        <v>168</v>
      </c>
      <c r="N2172" s="3">
        <v>33</v>
      </c>
      <c r="O2172" s="3" t="s">
        <v>54</v>
      </c>
      <c r="P2172" s="3" t="s">
        <v>16</v>
      </c>
      <c r="Q2172" s="4">
        <v>1</v>
      </c>
      <c r="R2172" s="4" t="str">
        <f>IF(Table1[[#This Row],[Customer Ratings]]&gt;=4, "Good",IF(Table1[[#This Row],[Customer Ratings]]=3, "Average","Poor"))</f>
        <v>Poor</v>
      </c>
      <c r="S2172" s="3" t="s">
        <v>17</v>
      </c>
    </row>
    <row r="2173" spans="1:19" x14ac:dyDescent="0.25">
      <c r="A2173" s="3">
        <v>2172</v>
      </c>
      <c r="B2173" s="5">
        <f>DATE(Table1[[#This Row],[Year]],Table1[[#This Row],[Month]],Table1[[#This Row],[Day]])</f>
        <v>45094</v>
      </c>
      <c r="C2173" s="3">
        <v>17</v>
      </c>
      <c r="D2173" s="3">
        <v>6</v>
      </c>
      <c r="E2173" s="3">
        <v>2023</v>
      </c>
      <c r="F2173" s="3" t="str">
        <f>"Qtr"&amp; " " &amp;CHOOSE(MONTH(Table1[[#This Row],[Date]]),1,1,1,2,2,2,3,3,3,4,4,4)</f>
        <v>Qtr 2</v>
      </c>
      <c r="G2173" s="3" t="str">
        <f>TEXT(Table1[[#This Row],[Date]],"mmmm")</f>
        <v>June</v>
      </c>
      <c r="H2173" s="3" t="s">
        <v>1079</v>
      </c>
      <c r="I2173" s="3" t="s">
        <v>18</v>
      </c>
      <c r="J2173" s="3">
        <v>5</v>
      </c>
      <c r="K2173" s="3">
        <v>34792.199999999997</v>
      </c>
      <c r="L2173" s="3">
        <f>Table1[[#This Row],[Price Per Unit]]*Table1[[#This Row],[Units Sold]]</f>
        <v>173961</v>
      </c>
      <c r="M2173" s="3" t="s">
        <v>390</v>
      </c>
      <c r="N2173" s="3">
        <v>38</v>
      </c>
      <c r="O2173" s="3" t="s">
        <v>24</v>
      </c>
      <c r="P2173" s="3" t="s">
        <v>31</v>
      </c>
      <c r="Q2173" s="4">
        <v>2</v>
      </c>
      <c r="R2173" s="4" t="str">
        <f>IF(Table1[[#This Row],[Customer Ratings]]&gt;=4, "Good",IF(Table1[[#This Row],[Customer Ratings]]=3, "Average","Poor"))</f>
        <v>Poor</v>
      </c>
      <c r="S2173" s="3" t="s">
        <v>55</v>
      </c>
    </row>
    <row r="2174" spans="1:19" x14ac:dyDescent="0.25">
      <c r="A2174" s="3">
        <v>2173</v>
      </c>
      <c r="B2174" s="5">
        <f>DATE(Table1[[#This Row],[Year]],Table1[[#This Row],[Month]],Table1[[#This Row],[Day]])</f>
        <v>45094</v>
      </c>
      <c r="C2174" s="3">
        <v>17</v>
      </c>
      <c r="D2174" s="3">
        <v>6</v>
      </c>
      <c r="E2174" s="3">
        <v>2023</v>
      </c>
      <c r="F2174" s="3" t="str">
        <f>"Qtr"&amp; " " &amp;CHOOSE(MONTH(Table1[[#This Row],[Date]]),1,1,1,2,2,2,3,3,3,4,4,4)</f>
        <v>Qtr 2</v>
      </c>
      <c r="G2174" s="3" t="str">
        <f>TEXT(Table1[[#This Row],[Date]],"mmmm")</f>
        <v>June</v>
      </c>
      <c r="H2174" s="3" t="s">
        <v>1079</v>
      </c>
      <c r="I2174" s="3" t="s">
        <v>33</v>
      </c>
      <c r="J2174" s="3">
        <v>7</v>
      </c>
      <c r="K2174" s="3">
        <v>62610.55</v>
      </c>
      <c r="L2174" s="3">
        <f>Table1[[#This Row],[Price Per Unit]]*Table1[[#This Row],[Units Sold]]</f>
        <v>438273.85000000003</v>
      </c>
      <c r="M2174" s="3" t="s">
        <v>910</v>
      </c>
      <c r="N2174" s="3">
        <v>22</v>
      </c>
      <c r="O2174" s="3" t="s">
        <v>24</v>
      </c>
      <c r="P2174" s="3" t="s">
        <v>31</v>
      </c>
      <c r="Q2174" s="4">
        <v>4</v>
      </c>
      <c r="R2174" s="4" t="str">
        <f>IF(Table1[[#This Row],[Customer Ratings]]&gt;=4, "Good",IF(Table1[[#This Row],[Customer Ratings]]=3, "Average","Poor"))</f>
        <v>Good</v>
      </c>
      <c r="S2174" s="3" t="s">
        <v>83</v>
      </c>
    </row>
    <row r="2175" spans="1:19" x14ac:dyDescent="0.25">
      <c r="A2175" s="3">
        <v>2174</v>
      </c>
      <c r="B2175" s="5">
        <f>DATE(Table1[[#This Row],[Year]],Table1[[#This Row],[Month]],Table1[[#This Row],[Day]])</f>
        <v>45095</v>
      </c>
      <c r="C2175" s="3">
        <v>18</v>
      </c>
      <c r="D2175" s="3">
        <v>6</v>
      </c>
      <c r="E2175" s="3">
        <v>2023</v>
      </c>
      <c r="F2175" s="3" t="str">
        <f>"Qtr"&amp; " " &amp;CHOOSE(MONTH(Table1[[#This Row],[Date]]),1,1,1,2,2,2,3,3,3,4,4,4)</f>
        <v>Qtr 2</v>
      </c>
      <c r="G2175" s="3" t="str">
        <f>TEXT(Table1[[#This Row],[Date]],"mmmm")</f>
        <v>June</v>
      </c>
      <c r="H2175" s="3" t="s">
        <v>1080</v>
      </c>
      <c r="I2175" s="3" t="s">
        <v>33</v>
      </c>
      <c r="J2175" s="3">
        <v>5</v>
      </c>
      <c r="K2175" s="3">
        <v>17563.330000000002</v>
      </c>
      <c r="L2175" s="3">
        <f>Table1[[#This Row],[Price Per Unit]]*Table1[[#This Row],[Units Sold]]</f>
        <v>87816.650000000009</v>
      </c>
      <c r="M2175" s="3" t="s">
        <v>247</v>
      </c>
      <c r="N2175" s="3">
        <v>46</v>
      </c>
      <c r="O2175" s="3" t="s">
        <v>98</v>
      </c>
      <c r="P2175" s="3" t="s">
        <v>16</v>
      </c>
      <c r="Q2175" s="4">
        <v>4</v>
      </c>
      <c r="R2175" s="4" t="str">
        <f>IF(Table1[[#This Row],[Customer Ratings]]&gt;=4, "Good",IF(Table1[[#This Row],[Customer Ratings]]=3, "Average","Poor"))</f>
        <v>Good</v>
      </c>
      <c r="S2175" s="3" t="s">
        <v>36</v>
      </c>
    </row>
    <row r="2176" spans="1:19" x14ac:dyDescent="0.25">
      <c r="A2176" s="3">
        <v>2175</v>
      </c>
      <c r="B2176" s="5">
        <f>DATE(Table1[[#This Row],[Year]],Table1[[#This Row],[Month]],Table1[[#This Row],[Day]])</f>
        <v>45095</v>
      </c>
      <c r="C2176" s="3">
        <v>18</v>
      </c>
      <c r="D2176" s="3">
        <v>6</v>
      </c>
      <c r="E2176" s="3">
        <v>2023</v>
      </c>
      <c r="F2176" s="3" t="str">
        <f>"Qtr"&amp; " " &amp;CHOOSE(MONTH(Table1[[#This Row],[Date]]),1,1,1,2,2,2,3,3,3,4,4,4)</f>
        <v>Qtr 2</v>
      </c>
      <c r="G2176" s="3" t="str">
        <f>TEXT(Table1[[#This Row],[Date]],"mmmm")</f>
        <v>June</v>
      </c>
      <c r="H2176" s="3" t="s">
        <v>1080</v>
      </c>
      <c r="I2176" s="3" t="s">
        <v>33</v>
      </c>
      <c r="J2176" s="3">
        <v>7</v>
      </c>
      <c r="K2176" s="3">
        <v>62512.59</v>
      </c>
      <c r="L2176" s="3">
        <f>Table1[[#This Row],[Price Per Unit]]*Table1[[#This Row],[Units Sold]]</f>
        <v>437588.13</v>
      </c>
      <c r="M2176" s="3" t="s">
        <v>908</v>
      </c>
      <c r="N2176" s="3">
        <v>54</v>
      </c>
      <c r="O2176" s="3" t="s">
        <v>98</v>
      </c>
      <c r="P2176" s="3" t="s">
        <v>31</v>
      </c>
      <c r="Q2176" s="4">
        <v>4</v>
      </c>
      <c r="R2176" s="4" t="str">
        <f>IF(Table1[[#This Row],[Customer Ratings]]&gt;=4, "Good",IF(Table1[[#This Row],[Customer Ratings]]=3, "Average","Poor"))</f>
        <v>Good</v>
      </c>
      <c r="S2176" s="3" t="s">
        <v>46</v>
      </c>
    </row>
    <row r="2177" spans="1:19" x14ac:dyDescent="0.25">
      <c r="A2177" s="3">
        <v>2176</v>
      </c>
      <c r="B2177" s="5">
        <f>DATE(Table1[[#This Row],[Year]],Table1[[#This Row],[Month]],Table1[[#This Row],[Day]])</f>
        <v>45095</v>
      </c>
      <c r="C2177" s="3">
        <v>18</v>
      </c>
      <c r="D2177" s="3">
        <v>6</v>
      </c>
      <c r="E2177" s="3">
        <v>2023</v>
      </c>
      <c r="F2177" s="3" t="str">
        <f>"Qtr"&amp; " " &amp;CHOOSE(MONTH(Table1[[#This Row],[Date]]),1,1,1,2,2,2,3,3,3,4,4,4)</f>
        <v>Qtr 2</v>
      </c>
      <c r="G2177" s="3" t="str">
        <f>TEXT(Table1[[#This Row],[Date]],"mmmm")</f>
        <v>June</v>
      </c>
      <c r="H2177" s="3" t="s">
        <v>1080</v>
      </c>
      <c r="I2177" s="3" t="s">
        <v>13</v>
      </c>
      <c r="J2177" s="3">
        <v>4</v>
      </c>
      <c r="K2177" s="3">
        <v>40732.660000000003</v>
      </c>
      <c r="L2177" s="3">
        <f>Table1[[#This Row],[Price Per Unit]]*Table1[[#This Row],[Units Sold]]</f>
        <v>162930.64000000001</v>
      </c>
      <c r="M2177" s="3" t="s">
        <v>758</v>
      </c>
      <c r="N2177" s="3">
        <v>39</v>
      </c>
      <c r="O2177" s="3" t="s">
        <v>35</v>
      </c>
      <c r="P2177" s="3" t="s">
        <v>31</v>
      </c>
      <c r="Q2177" s="4">
        <v>1</v>
      </c>
      <c r="R2177" s="4" t="str">
        <f>IF(Table1[[#This Row],[Customer Ratings]]&gt;=4, "Good",IF(Table1[[#This Row],[Customer Ratings]]=3, "Average","Poor"))</f>
        <v>Poor</v>
      </c>
      <c r="S2177" s="3" t="s">
        <v>72</v>
      </c>
    </row>
    <row r="2178" spans="1:19" x14ac:dyDescent="0.25">
      <c r="A2178" s="3">
        <v>2177</v>
      </c>
      <c r="B2178" s="5">
        <f>DATE(Table1[[#This Row],[Year]],Table1[[#This Row],[Month]],Table1[[#This Row],[Day]])</f>
        <v>45095</v>
      </c>
      <c r="C2178" s="3">
        <v>18</v>
      </c>
      <c r="D2178" s="3">
        <v>6</v>
      </c>
      <c r="E2178" s="3">
        <v>2023</v>
      </c>
      <c r="F2178" s="3" t="str">
        <f>"Qtr"&amp; " " &amp;CHOOSE(MONTH(Table1[[#This Row],[Date]]),1,1,1,2,2,2,3,3,3,4,4,4)</f>
        <v>Qtr 2</v>
      </c>
      <c r="G2178" s="3" t="str">
        <f>TEXT(Table1[[#This Row],[Date]],"mmmm")</f>
        <v>June</v>
      </c>
      <c r="H2178" s="3" t="s">
        <v>1080</v>
      </c>
      <c r="I2178" s="3" t="s">
        <v>33</v>
      </c>
      <c r="J2178" s="3">
        <v>8</v>
      </c>
      <c r="K2178" s="3">
        <v>34261.870000000003</v>
      </c>
      <c r="L2178" s="3">
        <f>Table1[[#This Row],[Price Per Unit]]*Table1[[#This Row],[Units Sold]]</f>
        <v>274094.96000000002</v>
      </c>
      <c r="M2178" s="3" t="s">
        <v>807</v>
      </c>
      <c r="N2178" s="3">
        <v>31</v>
      </c>
      <c r="O2178" s="3" t="s">
        <v>24</v>
      </c>
      <c r="P2178" s="3" t="s">
        <v>16</v>
      </c>
      <c r="Q2178" s="4">
        <v>4</v>
      </c>
      <c r="R2178" s="4" t="str">
        <f>IF(Table1[[#This Row],[Customer Ratings]]&gt;=4, "Good",IF(Table1[[#This Row],[Customer Ratings]]=3, "Average","Poor"))</f>
        <v>Good</v>
      </c>
      <c r="S2178" s="3" t="s">
        <v>46</v>
      </c>
    </row>
    <row r="2179" spans="1:19" x14ac:dyDescent="0.25">
      <c r="A2179" s="3">
        <v>2178</v>
      </c>
      <c r="B2179" s="5">
        <f>DATE(Table1[[#This Row],[Year]],Table1[[#This Row],[Month]],Table1[[#This Row],[Day]])</f>
        <v>45096</v>
      </c>
      <c r="C2179" s="3">
        <v>19</v>
      </c>
      <c r="D2179" s="3">
        <v>6</v>
      </c>
      <c r="E2179" s="3">
        <v>2023</v>
      </c>
      <c r="F2179" s="3" t="str">
        <f>"Qtr"&amp; " " &amp;CHOOSE(MONTH(Table1[[#This Row],[Date]]),1,1,1,2,2,2,3,3,3,4,4,4)</f>
        <v>Qtr 2</v>
      </c>
      <c r="G2179" s="3" t="str">
        <f>TEXT(Table1[[#This Row],[Date]],"mmmm")</f>
        <v>June</v>
      </c>
      <c r="H2179" s="3" t="s">
        <v>1081</v>
      </c>
      <c r="I2179" s="3" t="s">
        <v>39</v>
      </c>
      <c r="J2179" s="3">
        <v>7</v>
      </c>
      <c r="K2179" s="3">
        <v>19718.03</v>
      </c>
      <c r="L2179" s="3">
        <f>Table1[[#This Row],[Price Per Unit]]*Table1[[#This Row],[Units Sold]]</f>
        <v>138026.21</v>
      </c>
      <c r="M2179" s="3" t="s">
        <v>743</v>
      </c>
      <c r="N2179" s="3">
        <v>36</v>
      </c>
      <c r="O2179" s="3" t="s">
        <v>20</v>
      </c>
      <c r="P2179" s="3" t="s">
        <v>31</v>
      </c>
      <c r="Q2179" s="4">
        <v>4</v>
      </c>
      <c r="R2179" s="4" t="str">
        <f>IF(Table1[[#This Row],[Customer Ratings]]&gt;=4, "Good",IF(Table1[[#This Row],[Customer Ratings]]=3, "Average","Poor"))</f>
        <v>Good</v>
      </c>
      <c r="S2179" s="3" t="s">
        <v>42</v>
      </c>
    </row>
    <row r="2180" spans="1:19" x14ac:dyDescent="0.25">
      <c r="A2180" s="3">
        <v>2179</v>
      </c>
      <c r="B2180" s="5">
        <f>DATE(Table1[[#This Row],[Year]],Table1[[#This Row],[Month]],Table1[[#This Row],[Day]])</f>
        <v>45096</v>
      </c>
      <c r="C2180" s="3">
        <v>19</v>
      </c>
      <c r="D2180" s="3">
        <v>6</v>
      </c>
      <c r="E2180" s="3">
        <v>2023</v>
      </c>
      <c r="F2180" s="3" t="str">
        <f>"Qtr"&amp; " " &amp;CHOOSE(MONTH(Table1[[#This Row],[Date]]),1,1,1,2,2,2,3,3,3,4,4,4)</f>
        <v>Qtr 2</v>
      </c>
      <c r="G2180" s="3" t="str">
        <f>TEXT(Table1[[#This Row],[Date]],"mmmm")</f>
        <v>June</v>
      </c>
      <c r="H2180" s="3" t="s">
        <v>1081</v>
      </c>
      <c r="I2180" s="3" t="s">
        <v>28</v>
      </c>
      <c r="J2180" s="3">
        <v>5</v>
      </c>
      <c r="K2180" s="3">
        <v>52049.08</v>
      </c>
      <c r="L2180" s="3">
        <f>Table1[[#This Row],[Price Per Unit]]*Table1[[#This Row],[Units Sold]]</f>
        <v>260245.40000000002</v>
      </c>
      <c r="M2180" s="3" t="s">
        <v>557</v>
      </c>
      <c r="N2180" s="3">
        <v>52</v>
      </c>
      <c r="O2180" s="3" t="s">
        <v>20</v>
      </c>
      <c r="P2180" s="3" t="s">
        <v>21</v>
      </c>
      <c r="Q2180" s="4">
        <v>4</v>
      </c>
      <c r="R2180" s="4" t="str">
        <f>IF(Table1[[#This Row],[Customer Ratings]]&gt;=4, "Good",IF(Table1[[#This Row],[Customer Ratings]]=3, "Average","Poor"))</f>
        <v>Good</v>
      </c>
      <c r="S2180" s="3" t="s">
        <v>38</v>
      </c>
    </row>
    <row r="2181" spans="1:19" x14ac:dyDescent="0.25">
      <c r="A2181" s="3">
        <v>2180</v>
      </c>
      <c r="B2181" s="5">
        <f>DATE(Table1[[#This Row],[Year]],Table1[[#This Row],[Month]],Table1[[#This Row],[Day]])</f>
        <v>45096</v>
      </c>
      <c r="C2181" s="3">
        <v>19</v>
      </c>
      <c r="D2181" s="3">
        <v>6</v>
      </c>
      <c r="E2181" s="3">
        <v>2023</v>
      </c>
      <c r="F2181" s="3" t="str">
        <f>"Qtr"&amp; " " &amp;CHOOSE(MONTH(Table1[[#This Row],[Date]]),1,1,1,2,2,2,3,3,3,4,4,4)</f>
        <v>Qtr 2</v>
      </c>
      <c r="G2181" s="3" t="str">
        <f>TEXT(Table1[[#This Row],[Date]],"mmmm")</f>
        <v>June</v>
      </c>
      <c r="H2181" s="3" t="s">
        <v>1081</v>
      </c>
      <c r="I2181" s="3" t="s">
        <v>13</v>
      </c>
      <c r="J2181" s="3">
        <v>6</v>
      </c>
      <c r="K2181" s="3">
        <v>65608.399999999994</v>
      </c>
      <c r="L2181" s="3">
        <f>Table1[[#This Row],[Price Per Unit]]*Table1[[#This Row],[Units Sold]]</f>
        <v>393650.39999999997</v>
      </c>
      <c r="M2181" s="3" t="s">
        <v>432</v>
      </c>
      <c r="N2181" s="3">
        <v>41</v>
      </c>
      <c r="O2181" s="3" t="s">
        <v>58</v>
      </c>
      <c r="P2181" s="3" t="s">
        <v>16</v>
      </c>
      <c r="Q2181" s="4">
        <v>4</v>
      </c>
      <c r="R2181" s="4" t="str">
        <f>IF(Table1[[#This Row],[Customer Ratings]]&gt;=4, "Good",IF(Table1[[#This Row],[Customer Ratings]]=3, "Average","Poor"))</f>
        <v>Good</v>
      </c>
      <c r="S2181" s="3" t="s">
        <v>27</v>
      </c>
    </row>
    <row r="2182" spans="1:19" x14ac:dyDescent="0.25">
      <c r="A2182" s="3">
        <v>2181</v>
      </c>
      <c r="B2182" s="5">
        <f>DATE(Table1[[#This Row],[Year]],Table1[[#This Row],[Month]],Table1[[#This Row],[Day]])</f>
        <v>45097</v>
      </c>
      <c r="C2182" s="3">
        <v>20</v>
      </c>
      <c r="D2182" s="3">
        <v>6</v>
      </c>
      <c r="E2182" s="3">
        <v>2023</v>
      </c>
      <c r="F2182" s="3" t="str">
        <f>"Qtr"&amp; " " &amp;CHOOSE(MONTH(Table1[[#This Row],[Date]]),1,1,1,2,2,2,3,3,3,4,4,4)</f>
        <v>Qtr 2</v>
      </c>
      <c r="G2182" s="3" t="str">
        <f>TEXT(Table1[[#This Row],[Date]],"mmmm")</f>
        <v>June</v>
      </c>
      <c r="H2182" s="3" t="s">
        <v>1082</v>
      </c>
      <c r="I2182" s="3" t="s">
        <v>18</v>
      </c>
      <c r="J2182" s="3">
        <v>5</v>
      </c>
      <c r="K2182" s="3">
        <v>32522.639999999999</v>
      </c>
      <c r="L2182" s="3">
        <f>Table1[[#This Row],[Price Per Unit]]*Table1[[#This Row],[Units Sold]]</f>
        <v>162613.20000000001</v>
      </c>
      <c r="M2182" s="3" t="s">
        <v>325</v>
      </c>
      <c r="N2182" s="3">
        <v>59</v>
      </c>
      <c r="O2182" s="3" t="s">
        <v>35</v>
      </c>
      <c r="P2182" s="3" t="s">
        <v>31</v>
      </c>
      <c r="Q2182" s="4">
        <v>5</v>
      </c>
      <c r="R2182" s="4" t="str">
        <f>IF(Table1[[#This Row],[Customer Ratings]]&gt;=4, "Good",IF(Table1[[#This Row],[Customer Ratings]]=3, "Average","Poor"))</f>
        <v>Good</v>
      </c>
      <c r="S2182" s="3" t="s">
        <v>55</v>
      </c>
    </row>
    <row r="2183" spans="1:19" x14ac:dyDescent="0.25">
      <c r="A2183" s="3">
        <v>2182</v>
      </c>
      <c r="B2183" s="5">
        <f>DATE(Table1[[#This Row],[Year]],Table1[[#This Row],[Month]],Table1[[#This Row],[Day]])</f>
        <v>45097</v>
      </c>
      <c r="C2183" s="3">
        <v>20</v>
      </c>
      <c r="D2183" s="3">
        <v>6</v>
      </c>
      <c r="E2183" s="3">
        <v>2023</v>
      </c>
      <c r="F2183" s="3" t="str">
        <f>"Qtr"&amp; " " &amp;CHOOSE(MONTH(Table1[[#This Row],[Date]]),1,1,1,2,2,2,3,3,3,4,4,4)</f>
        <v>Qtr 2</v>
      </c>
      <c r="G2183" s="3" t="str">
        <f>TEXT(Table1[[#This Row],[Date]],"mmmm")</f>
        <v>June</v>
      </c>
      <c r="H2183" s="3" t="s">
        <v>1082</v>
      </c>
      <c r="I2183" s="3" t="s">
        <v>18</v>
      </c>
      <c r="J2183" s="3">
        <v>7</v>
      </c>
      <c r="K2183" s="3">
        <v>24495.1</v>
      </c>
      <c r="L2183" s="3">
        <f>Table1[[#This Row],[Price Per Unit]]*Table1[[#This Row],[Units Sold]]</f>
        <v>171465.69999999998</v>
      </c>
      <c r="M2183" s="3" t="s">
        <v>207</v>
      </c>
      <c r="N2183" s="3">
        <v>23</v>
      </c>
      <c r="O2183" s="3" t="s">
        <v>20</v>
      </c>
      <c r="P2183" s="3" t="s">
        <v>21</v>
      </c>
      <c r="Q2183" s="4">
        <v>2</v>
      </c>
      <c r="R2183" s="4" t="str">
        <f>IF(Table1[[#This Row],[Customer Ratings]]&gt;=4, "Good",IF(Table1[[#This Row],[Customer Ratings]]=3, "Average","Poor"))</f>
        <v>Poor</v>
      </c>
      <c r="S2183" s="3" t="s">
        <v>22</v>
      </c>
    </row>
    <row r="2184" spans="1:19" x14ac:dyDescent="0.25">
      <c r="A2184" s="3">
        <v>2183</v>
      </c>
      <c r="B2184" s="5">
        <f>DATE(Table1[[#This Row],[Year]],Table1[[#This Row],[Month]],Table1[[#This Row],[Day]])</f>
        <v>45097</v>
      </c>
      <c r="C2184" s="3">
        <v>20</v>
      </c>
      <c r="D2184" s="3">
        <v>6</v>
      </c>
      <c r="E2184" s="3">
        <v>2023</v>
      </c>
      <c r="F2184" s="3" t="str">
        <f>"Qtr"&amp; " " &amp;CHOOSE(MONTH(Table1[[#This Row],[Date]]),1,1,1,2,2,2,3,3,3,4,4,4)</f>
        <v>Qtr 2</v>
      </c>
      <c r="G2184" s="3" t="str">
        <f>TEXT(Table1[[#This Row],[Date]],"mmmm")</f>
        <v>June</v>
      </c>
      <c r="H2184" s="3" t="s">
        <v>1082</v>
      </c>
      <c r="I2184" s="3" t="s">
        <v>28</v>
      </c>
      <c r="J2184" s="3">
        <v>2</v>
      </c>
      <c r="K2184" s="3">
        <v>43292.02</v>
      </c>
      <c r="L2184" s="3">
        <f>Table1[[#This Row],[Price Per Unit]]*Table1[[#This Row],[Units Sold]]</f>
        <v>86584.04</v>
      </c>
      <c r="M2184" s="3" t="s">
        <v>955</v>
      </c>
      <c r="N2184" s="3">
        <v>20</v>
      </c>
      <c r="O2184" s="3" t="s">
        <v>41</v>
      </c>
      <c r="P2184" s="3" t="s">
        <v>45</v>
      </c>
      <c r="Q2184" s="4">
        <v>2</v>
      </c>
      <c r="R2184" s="4" t="str">
        <f>IF(Table1[[#This Row],[Customer Ratings]]&gt;=4, "Good",IF(Table1[[#This Row],[Customer Ratings]]=3, "Average","Poor"))</f>
        <v>Poor</v>
      </c>
      <c r="S2184" s="3" t="s">
        <v>32</v>
      </c>
    </row>
    <row r="2185" spans="1:19" x14ac:dyDescent="0.25">
      <c r="A2185" s="3">
        <v>2184</v>
      </c>
      <c r="B2185" s="5">
        <f>DATE(Table1[[#This Row],[Year]],Table1[[#This Row],[Month]],Table1[[#This Row],[Day]])</f>
        <v>45098</v>
      </c>
      <c r="C2185" s="3">
        <v>21</v>
      </c>
      <c r="D2185" s="3">
        <v>6</v>
      </c>
      <c r="E2185" s="3">
        <v>2023</v>
      </c>
      <c r="F2185" s="3" t="str">
        <f>"Qtr"&amp; " " &amp;CHOOSE(MONTH(Table1[[#This Row],[Date]]),1,1,1,2,2,2,3,3,3,4,4,4)</f>
        <v>Qtr 2</v>
      </c>
      <c r="G2185" s="3" t="str">
        <f>TEXT(Table1[[#This Row],[Date]],"mmmm")</f>
        <v>June</v>
      </c>
      <c r="H2185" s="3" t="s">
        <v>1083</v>
      </c>
      <c r="I2185" s="3" t="s">
        <v>13</v>
      </c>
      <c r="J2185" s="3">
        <v>5</v>
      </c>
      <c r="K2185" s="3">
        <v>57771.16</v>
      </c>
      <c r="L2185" s="3">
        <f>Table1[[#This Row],[Price Per Unit]]*Table1[[#This Row],[Units Sold]]</f>
        <v>288855.80000000005</v>
      </c>
      <c r="M2185" s="3" t="s">
        <v>848</v>
      </c>
      <c r="N2185" s="3">
        <v>51</v>
      </c>
      <c r="O2185" s="3" t="s">
        <v>125</v>
      </c>
      <c r="P2185" s="3" t="s">
        <v>31</v>
      </c>
      <c r="Q2185" s="4">
        <v>4</v>
      </c>
      <c r="R2185" s="4" t="str">
        <f>IF(Table1[[#This Row],[Customer Ratings]]&gt;=4, "Good",IF(Table1[[#This Row],[Customer Ratings]]=3, "Average","Poor"))</f>
        <v>Good</v>
      </c>
      <c r="S2185" s="3" t="s">
        <v>17</v>
      </c>
    </row>
    <row r="2186" spans="1:19" x14ac:dyDescent="0.25">
      <c r="A2186" s="3">
        <v>2185</v>
      </c>
      <c r="B2186" s="5">
        <f>DATE(Table1[[#This Row],[Year]],Table1[[#This Row],[Month]],Table1[[#This Row],[Day]])</f>
        <v>45098</v>
      </c>
      <c r="C2186" s="3">
        <v>21</v>
      </c>
      <c r="D2186" s="3">
        <v>6</v>
      </c>
      <c r="E2186" s="3">
        <v>2023</v>
      </c>
      <c r="F2186" s="3" t="str">
        <f>"Qtr"&amp; " " &amp;CHOOSE(MONTH(Table1[[#This Row],[Date]]),1,1,1,2,2,2,3,3,3,4,4,4)</f>
        <v>Qtr 2</v>
      </c>
      <c r="G2186" s="3" t="str">
        <f>TEXT(Table1[[#This Row],[Date]],"mmmm")</f>
        <v>June</v>
      </c>
      <c r="H2186" s="3" t="s">
        <v>1083</v>
      </c>
      <c r="I2186" s="3" t="s">
        <v>33</v>
      </c>
      <c r="J2186" s="3">
        <v>3</v>
      </c>
      <c r="K2186" s="3">
        <v>10226.06</v>
      </c>
      <c r="L2186" s="3">
        <f>Table1[[#This Row],[Price Per Unit]]*Table1[[#This Row],[Units Sold]]</f>
        <v>30678.18</v>
      </c>
      <c r="M2186" s="3" t="s">
        <v>866</v>
      </c>
      <c r="N2186" s="3">
        <v>19</v>
      </c>
      <c r="O2186" s="3" t="s">
        <v>137</v>
      </c>
      <c r="P2186" s="3" t="s">
        <v>16</v>
      </c>
      <c r="Q2186" s="4">
        <v>4</v>
      </c>
      <c r="R2186" s="4" t="str">
        <f>IF(Table1[[#This Row],[Customer Ratings]]&gt;=4, "Good",IF(Table1[[#This Row],[Customer Ratings]]=3, "Average","Poor"))</f>
        <v>Good</v>
      </c>
      <c r="S2186" s="3" t="s">
        <v>46</v>
      </c>
    </row>
    <row r="2187" spans="1:19" x14ac:dyDescent="0.25">
      <c r="A2187" s="3">
        <v>2186</v>
      </c>
      <c r="B2187" s="5">
        <f>DATE(Table1[[#This Row],[Year]],Table1[[#This Row],[Month]],Table1[[#This Row],[Day]])</f>
        <v>45098</v>
      </c>
      <c r="C2187" s="3">
        <v>21</v>
      </c>
      <c r="D2187" s="3">
        <v>6</v>
      </c>
      <c r="E2187" s="3">
        <v>2023</v>
      </c>
      <c r="F2187" s="3" t="str">
        <f>"Qtr"&amp; " " &amp;CHOOSE(MONTH(Table1[[#This Row],[Date]]),1,1,1,2,2,2,3,3,3,4,4,4)</f>
        <v>Qtr 2</v>
      </c>
      <c r="G2187" s="3" t="str">
        <f>TEXT(Table1[[#This Row],[Date]],"mmmm")</f>
        <v>June</v>
      </c>
      <c r="H2187" s="3" t="s">
        <v>1083</v>
      </c>
      <c r="I2187" s="3" t="s">
        <v>33</v>
      </c>
      <c r="J2187" s="3">
        <v>9</v>
      </c>
      <c r="K2187" s="3">
        <v>47882.65</v>
      </c>
      <c r="L2187" s="3">
        <f>Table1[[#This Row],[Price Per Unit]]*Table1[[#This Row],[Units Sold]]</f>
        <v>430943.85000000003</v>
      </c>
      <c r="M2187" s="3" t="s">
        <v>340</v>
      </c>
      <c r="N2187" s="3">
        <v>32</v>
      </c>
      <c r="O2187" s="3" t="s">
        <v>20</v>
      </c>
      <c r="P2187" s="3" t="s">
        <v>21</v>
      </c>
      <c r="Q2187" s="4">
        <v>4</v>
      </c>
      <c r="R2187" s="4" t="str">
        <f>IF(Table1[[#This Row],[Customer Ratings]]&gt;=4, "Good",IF(Table1[[#This Row],[Customer Ratings]]=3, "Average","Poor"))</f>
        <v>Good</v>
      </c>
      <c r="S2187" s="3" t="s">
        <v>36</v>
      </c>
    </row>
    <row r="2188" spans="1:19" x14ac:dyDescent="0.25">
      <c r="A2188" s="3">
        <v>2187</v>
      </c>
      <c r="B2188" s="5">
        <f>DATE(Table1[[#This Row],[Year]],Table1[[#This Row],[Month]],Table1[[#This Row],[Day]])</f>
        <v>45098</v>
      </c>
      <c r="C2188" s="3">
        <v>21</v>
      </c>
      <c r="D2188" s="3">
        <v>6</v>
      </c>
      <c r="E2188" s="3">
        <v>2023</v>
      </c>
      <c r="F2188" s="3" t="str">
        <f>"Qtr"&amp; " " &amp;CHOOSE(MONTH(Table1[[#This Row],[Date]]),1,1,1,2,2,2,3,3,3,4,4,4)</f>
        <v>Qtr 2</v>
      </c>
      <c r="G2188" s="3" t="str">
        <f>TEXT(Table1[[#This Row],[Date]],"mmmm")</f>
        <v>June</v>
      </c>
      <c r="H2188" s="3" t="s">
        <v>1083</v>
      </c>
      <c r="I2188" s="3" t="s">
        <v>39</v>
      </c>
      <c r="J2188" s="3">
        <v>6</v>
      </c>
      <c r="K2188" s="3">
        <v>45790.96</v>
      </c>
      <c r="L2188" s="3">
        <f>Table1[[#This Row],[Price Per Unit]]*Table1[[#This Row],[Units Sold]]</f>
        <v>274745.76</v>
      </c>
      <c r="M2188" s="3" t="s">
        <v>814</v>
      </c>
      <c r="N2188" s="3">
        <v>54</v>
      </c>
      <c r="O2188" s="3" t="s">
        <v>65</v>
      </c>
      <c r="P2188" s="3" t="s">
        <v>45</v>
      </c>
      <c r="Q2188" s="4">
        <v>1</v>
      </c>
      <c r="R2188" s="4" t="str">
        <f>IF(Table1[[#This Row],[Customer Ratings]]&gt;=4, "Good",IF(Table1[[#This Row],[Customer Ratings]]=3, "Average","Poor"))</f>
        <v>Poor</v>
      </c>
      <c r="S2188" s="3" t="s">
        <v>76</v>
      </c>
    </row>
    <row r="2189" spans="1:19" x14ac:dyDescent="0.25">
      <c r="A2189" s="3">
        <v>2188</v>
      </c>
      <c r="B2189" s="5">
        <f>DATE(Table1[[#This Row],[Year]],Table1[[#This Row],[Month]],Table1[[#This Row],[Day]])</f>
        <v>45099</v>
      </c>
      <c r="C2189" s="3">
        <v>22</v>
      </c>
      <c r="D2189" s="3">
        <v>6</v>
      </c>
      <c r="E2189" s="3">
        <v>2023</v>
      </c>
      <c r="F2189" s="3" t="str">
        <f>"Qtr"&amp; " " &amp;CHOOSE(MONTH(Table1[[#This Row],[Date]]),1,1,1,2,2,2,3,3,3,4,4,4)</f>
        <v>Qtr 2</v>
      </c>
      <c r="G2189" s="3" t="str">
        <f>TEXT(Table1[[#This Row],[Date]],"mmmm")</f>
        <v>June</v>
      </c>
      <c r="H2189" s="3" t="s">
        <v>1084</v>
      </c>
      <c r="I2189" s="3" t="s">
        <v>39</v>
      </c>
      <c r="J2189" s="3">
        <v>3</v>
      </c>
      <c r="K2189" s="3">
        <v>29089.13</v>
      </c>
      <c r="L2189" s="3">
        <f>Table1[[#This Row],[Price Per Unit]]*Table1[[#This Row],[Units Sold]]</f>
        <v>87267.39</v>
      </c>
      <c r="M2189" s="3" t="s">
        <v>134</v>
      </c>
      <c r="N2189" s="3">
        <v>32</v>
      </c>
      <c r="O2189" s="3" t="s">
        <v>48</v>
      </c>
      <c r="P2189" s="3" t="s">
        <v>45</v>
      </c>
      <c r="Q2189" s="4">
        <v>4</v>
      </c>
      <c r="R2189" s="4" t="str">
        <f>IF(Table1[[#This Row],[Customer Ratings]]&gt;=4, "Good",IF(Table1[[#This Row],[Customer Ratings]]=3, "Average","Poor"))</f>
        <v>Good</v>
      </c>
      <c r="S2189" s="3" t="s">
        <v>42</v>
      </c>
    </row>
    <row r="2190" spans="1:19" x14ac:dyDescent="0.25">
      <c r="A2190" s="3">
        <v>2189</v>
      </c>
      <c r="B2190" s="5">
        <f>DATE(Table1[[#This Row],[Year]],Table1[[#This Row],[Month]],Table1[[#This Row],[Day]])</f>
        <v>45099</v>
      </c>
      <c r="C2190" s="3">
        <v>22</v>
      </c>
      <c r="D2190" s="3">
        <v>6</v>
      </c>
      <c r="E2190" s="3">
        <v>2023</v>
      </c>
      <c r="F2190" s="3" t="str">
        <f>"Qtr"&amp; " " &amp;CHOOSE(MONTH(Table1[[#This Row],[Date]]),1,1,1,2,2,2,3,3,3,4,4,4)</f>
        <v>Qtr 2</v>
      </c>
      <c r="G2190" s="3" t="str">
        <f>TEXT(Table1[[#This Row],[Date]],"mmmm")</f>
        <v>June</v>
      </c>
      <c r="H2190" s="3" t="s">
        <v>1084</v>
      </c>
      <c r="I2190" s="3" t="s">
        <v>33</v>
      </c>
      <c r="J2190" s="3">
        <v>7</v>
      </c>
      <c r="K2190" s="3">
        <v>37085.379999999997</v>
      </c>
      <c r="L2190" s="3">
        <f>Table1[[#This Row],[Price Per Unit]]*Table1[[#This Row],[Units Sold]]</f>
        <v>259597.65999999997</v>
      </c>
      <c r="M2190" s="3" t="s">
        <v>919</v>
      </c>
      <c r="N2190" s="3">
        <v>49</v>
      </c>
      <c r="O2190" s="3" t="s">
        <v>20</v>
      </c>
      <c r="P2190" s="3" t="s">
        <v>31</v>
      </c>
      <c r="Q2190" s="4">
        <v>4</v>
      </c>
      <c r="R2190" s="4" t="str">
        <f>IF(Table1[[#This Row],[Customer Ratings]]&gt;=4, "Good",IF(Table1[[#This Row],[Customer Ratings]]=3, "Average","Poor"))</f>
        <v>Good</v>
      </c>
      <c r="S2190" s="3" t="s">
        <v>36</v>
      </c>
    </row>
    <row r="2191" spans="1:19" x14ac:dyDescent="0.25">
      <c r="A2191" s="3">
        <v>2190</v>
      </c>
      <c r="B2191" s="5">
        <f>DATE(Table1[[#This Row],[Year]],Table1[[#This Row],[Month]],Table1[[#This Row],[Day]])</f>
        <v>45099</v>
      </c>
      <c r="C2191" s="3">
        <v>22</v>
      </c>
      <c r="D2191" s="3">
        <v>6</v>
      </c>
      <c r="E2191" s="3">
        <v>2023</v>
      </c>
      <c r="F2191" s="3" t="str">
        <f>"Qtr"&amp; " " &amp;CHOOSE(MONTH(Table1[[#This Row],[Date]]),1,1,1,2,2,2,3,3,3,4,4,4)</f>
        <v>Qtr 2</v>
      </c>
      <c r="G2191" s="3" t="str">
        <f>TEXT(Table1[[#This Row],[Date]],"mmmm")</f>
        <v>June</v>
      </c>
      <c r="H2191" s="3" t="s">
        <v>1084</v>
      </c>
      <c r="I2191" s="3" t="s">
        <v>18</v>
      </c>
      <c r="J2191" s="3">
        <v>4</v>
      </c>
      <c r="K2191" s="3">
        <v>24817.79</v>
      </c>
      <c r="L2191" s="3">
        <f>Table1[[#This Row],[Price Per Unit]]*Table1[[#This Row],[Units Sold]]</f>
        <v>99271.16</v>
      </c>
      <c r="M2191" s="3" t="s">
        <v>956</v>
      </c>
      <c r="N2191" s="3">
        <v>38</v>
      </c>
      <c r="O2191" s="3" t="s">
        <v>15</v>
      </c>
      <c r="P2191" s="3" t="s">
        <v>45</v>
      </c>
      <c r="Q2191" s="4">
        <v>4</v>
      </c>
      <c r="R2191" s="4" t="str">
        <f>IF(Table1[[#This Row],[Customer Ratings]]&gt;=4, "Good",IF(Table1[[#This Row],[Customer Ratings]]=3, "Average","Poor"))</f>
        <v>Good</v>
      </c>
      <c r="S2191" s="3" t="s">
        <v>22</v>
      </c>
    </row>
    <row r="2192" spans="1:19" x14ac:dyDescent="0.25">
      <c r="A2192" s="3">
        <v>2191</v>
      </c>
      <c r="B2192" s="5">
        <f>DATE(Table1[[#This Row],[Year]],Table1[[#This Row],[Month]],Table1[[#This Row],[Day]])</f>
        <v>45099</v>
      </c>
      <c r="C2192" s="3">
        <v>22</v>
      </c>
      <c r="D2192" s="3">
        <v>6</v>
      </c>
      <c r="E2192" s="3">
        <v>2023</v>
      </c>
      <c r="F2192" s="3" t="str">
        <f>"Qtr"&amp; " " &amp;CHOOSE(MONTH(Table1[[#This Row],[Date]]),1,1,1,2,2,2,3,3,3,4,4,4)</f>
        <v>Qtr 2</v>
      </c>
      <c r="G2192" s="3" t="str">
        <f>TEXT(Table1[[#This Row],[Date]],"mmmm")</f>
        <v>June</v>
      </c>
      <c r="H2192" s="3" t="s">
        <v>1084</v>
      </c>
      <c r="I2192" s="3" t="s">
        <v>18</v>
      </c>
      <c r="J2192" s="3">
        <v>3</v>
      </c>
      <c r="K2192" s="3">
        <v>57393.14</v>
      </c>
      <c r="L2192" s="3">
        <f>Table1[[#This Row],[Price Per Unit]]*Table1[[#This Row],[Units Sold]]</f>
        <v>172179.41999999998</v>
      </c>
      <c r="M2192" s="3" t="s">
        <v>674</v>
      </c>
      <c r="N2192" s="3">
        <v>34</v>
      </c>
      <c r="O2192" s="3" t="s">
        <v>24</v>
      </c>
      <c r="P2192" s="3" t="s">
        <v>16</v>
      </c>
      <c r="Q2192" s="4">
        <v>4</v>
      </c>
      <c r="R2192" s="4" t="str">
        <f>IF(Table1[[#This Row],[Customer Ratings]]&gt;=4, "Good",IF(Table1[[#This Row],[Customer Ratings]]=3, "Average","Poor"))</f>
        <v>Good</v>
      </c>
      <c r="S2192" s="3" t="s">
        <v>55</v>
      </c>
    </row>
    <row r="2193" spans="1:19" x14ac:dyDescent="0.25">
      <c r="A2193" s="3">
        <v>2192</v>
      </c>
      <c r="B2193" s="5">
        <f>DATE(Table1[[#This Row],[Year]],Table1[[#This Row],[Month]],Table1[[#This Row],[Day]])</f>
        <v>45100</v>
      </c>
      <c r="C2193" s="3">
        <v>23</v>
      </c>
      <c r="D2193" s="3">
        <v>6</v>
      </c>
      <c r="E2193" s="3">
        <v>2023</v>
      </c>
      <c r="F2193" s="3" t="str">
        <f>"Qtr"&amp; " " &amp;CHOOSE(MONTH(Table1[[#This Row],[Date]]),1,1,1,2,2,2,3,3,3,4,4,4)</f>
        <v>Qtr 2</v>
      </c>
      <c r="G2193" s="3" t="str">
        <f>TEXT(Table1[[#This Row],[Date]],"mmmm")</f>
        <v>June</v>
      </c>
      <c r="H2193" s="3" t="s">
        <v>1085</v>
      </c>
      <c r="I2193" s="3" t="s">
        <v>39</v>
      </c>
      <c r="J2193" s="3">
        <v>8</v>
      </c>
      <c r="K2193" s="3">
        <v>48072.1</v>
      </c>
      <c r="L2193" s="3">
        <f>Table1[[#This Row],[Price Per Unit]]*Table1[[#This Row],[Units Sold]]</f>
        <v>384576.8</v>
      </c>
      <c r="M2193" s="3" t="s">
        <v>96</v>
      </c>
      <c r="N2193" s="3">
        <v>51</v>
      </c>
      <c r="O2193" s="3" t="s">
        <v>20</v>
      </c>
      <c r="P2193" s="3" t="s">
        <v>45</v>
      </c>
      <c r="Q2193" s="4">
        <v>5</v>
      </c>
      <c r="R2193" s="4" t="str">
        <f>IF(Table1[[#This Row],[Customer Ratings]]&gt;=4, "Good",IF(Table1[[#This Row],[Customer Ratings]]=3, "Average","Poor"))</f>
        <v>Good</v>
      </c>
      <c r="S2193" s="3" t="s">
        <v>76</v>
      </c>
    </row>
    <row r="2194" spans="1:19" x14ac:dyDescent="0.25">
      <c r="A2194" s="3">
        <v>2193</v>
      </c>
      <c r="B2194" s="5">
        <f>DATE(Table1[[#This Row],[Year]],Table1[[#This Row],[Month]],Table1[[#This Row],[Day]])</f>
        <v>45100</v>
      </c>
      <c r="C2194" s="3">
        <v>23</v>
      </c>
      <c r="D2194" s="3">
        <v>6</v>
      </c>
      <c r="E2194" s="3">
        <v>2023</v>
      </c>
      <c r="F2194" s="3" t="str">
        <f>"Qtr"&amp; " " &amp;CHOOSE(MONTH(Table1[[#This Row],[Date]]),1,1,1,2,2,2,3,3,3,4,4,4)</f>
        <v>Qtr 2</v>
      </c>
      <c r="G2194" s="3" t="str">
        <f>TEXT(Table1[[#This Row],[Date]],"mmmm")</f>
        <v>June</v>
      </c>
      <c r="H2194" s="3" t="s">
        <v>1085</v>
      </c>
      <c r="I2194" s="3" t="s">
        <v>28</v>
      </c>
      <c r="J2194" s="3">
        <v>4</v>
      </c>
      <c r="K2194" s="3">
        <v>41962.7</v>
      </c>
      <c r="L2194" s="3">
        <f>Table1[[#This Row],[Price Per Unit]]*Table1[[#This Row],[Units Sold]]</f>
        <v>167850.8</v>
      </c>
      <c r="M2194" s="3" t="s">
        <v>475</v>
      </c>
      <c r="N2194" s="3">
        <v>49</v>
      </c>
      <c r="O2194" s="3" t="s">
        <v>120</v>
      </c>
      <c r="P2194" s="3" t="s">
        <v>31</v>
      </c>
      <c r="Q2194" s="4">
        <v>4</v>
      </c>
      <c r="R2194" s="4" t="str">
        <f>IF(Table1[[#This Row],[Customer Ratings]]&gt;=4, "Good",IF(Table1[[#This Row],[Customer Ratings]]=3, "Average","Poor"))</f>
        <v>Good</v>
      </c>
      <c r="S2194" s="3" t="s">
        <v>32</v>
      </c>
    </row>
    <row r="2195" spans="1:19" x14ac:dyDescent="0.25">
      <c r="A2195" s="3">
        <v>2194</v>
      </c>
      <c r="B2195" s="5">
        <f>DATE(Table1[[#This Row],[Year]],Table1[[#This Row],[Month]],Table1[[#This Row],[Day]])</f>
        <v>45100</v>
      </c>
      <c r="C2195" s="3">
        <v>23</v>
      </c>
      <c r="D2195" s="3">
        <v>6</v>
      </c>
      <c r="E2195" s="3">
        <v>2023</v>
      </c>
      <c r="F2195" s="3" t="str">
        <f>"Qtr"&amp; " " &amp;CHOOSE(MONTH(Table1[[#This Row],[Date]]),1,1,1,2,2,2,3,3,3,4,4,4)</f>
        <v>Qtr 2</v>
      </c>
      <c r="G2195" s="3" t="str">
        <f>TEXT(Table1[[#This Row],[Date]],"mmmm")</f>
        <v>June</v>
      </c>
      <c r="H2195" s="3" t="s">
        <v>1085</v>
      </c>
      <c r="I2195" s="3" t="s">
        <v>33</v>
      </c>
      <c r="J2195" s="3">
        <v>1</v>
      </c>
      <c r="K2195" s="3">
        <v>33551.57</v>
      </c>
      <c r="L2195" s="3">
        <f>Table1[[#This Row],[Price Per Unit]]*Table1[[#This Row],[Units Sold]]</f>
        <v>33551.57</v>
      </c>
      <c r="M2195" s="3" t="s">
        <v>807</v>
      </c>
      <c r="N2195" s="3">
        <v>40</v>
      </c>
      <c r="O2195" s="3" t="s">
        <v>125</v>
      </c>
      <c r="P2195" s="3" t="s">
        <v>45</v>
      </c>
      <c r="Q2195" s="4">
        <v>5</v>
      </c>
      <c r="R2195" s="4" t="str">
        <f>IF(Table1[[#This Row],[Customer Ratings]]&gt;=4, "Good",IF(Table1[[#This Row],[Customer Ratings]]=3, "Average","Poor"))</f>
        <v>Good</v>
      </c>
      <c r="S2195" s="3" t="s">
        <v>36</v>
      </c>
    </row>
    <row r="2196" spans="1:19" x14ac:dyDescent="0.25">
      <c r="A2196" s="3">
        <v>2195</v>
      </c>
      <c r="B2196" s="5">
        <f>DATE(Table1[[#This Row],[Year]],Table1[[#This Row],[Month]],Table1[[#This Row],[Day]])</f>
        <v>45101</v>
      </c>
      <c r="C2196" s="3">
        <v>24</v>
      </c>
      <c r="D2196" s="3">
        <v>6</v>
      </c>
      <c r="E2196" s="3">
        <v>2023</v>
      </c>
      <c r="F2196" s="3" t="str">
        <f>"Qtr"&amp; " " &amp;CHOOSE(MONTH(Table1[[#This Row],[Date]]),1,1,1,2,2,2,3,3,3,4,4,4)</f>
        <v>Qtr 2</v>
      </c>
      <c r="G2196" s="3" t="str">
        <f>TEXT(Table1[[#This Row],[Date]],"mmmm")</f>
        <v>June</v>
      </c>
      <c r="H2196" s="3" t="s">
        <v>1079</v>
      </c>
      <c r="I2196" s="3" t="s">
        <v>39</v>
      </c>
      <c r="J2196" s="3">
        <v>6</v>
      </c>
      <c r="K2196" s="3">
        <v>27483.06</v>
      </c>
      <c r="L2196" s="3">
        <f>Table1[[#This Row],[Price Per Unit]]*Table1[[#This Row],[Units Sold]]</f>
        <v>164898.36000000002</v>
      </c>
      <c r="M2196" s="3" t="s">
        <v>681</v>
      </c>
      <c r="N2196" s="3">
        <v>52</v>
      </c>
      <c r="O2196" s="3" t="s">
        <v>24</v>
      </c>
      <c r="P2196" s="3" t="s">
        <v>31</v>
      </c>
      <c r="Q2196" s="4">
        <v>4</v>
      </c>
      <c r="R2196" s="4" t="str">
        <f>IF(Table1[[#This Row],[Customer Ratings]]&gt;=4, "Good",IF(Table1[[#This Row],[Customer Ratings]]=3, "Average","Poor"))</f>
        <v>Good</v>
      </c>
      <c r="S2196" s="3" t="s">
        <v>90</v>
      </c>
    </row>
    <row r="2197" spans="1:19" x14ac:dyDescent="0.25">
      <c r="A2197" s="3">
        <v>2196</v>
      </c>
      <c r="B2197" s="5">
        <f>DATE(Table1[[#This Row],[Year]],Table1[[#This Row],[Month]],Table1[[#This Row],[Day]])</f>
        <v>45101</v>
      </c>
      <c r="C2197" s="3">
        <v>24</v>
      </c>
      <c r="D2197" s="3">
        <v>6</v>
      </c>
      <c r="E2197" s="3">
        <v>2023</v>
      </c>
      <c r="F2197" s="3" t="str">
        <f>"Qtr"&amp; " " &amp;CHOOSE(MONTH(Table1[[#This Row],[Date]]),1,1,1,2,2,2,3,3,3,4,4,4)</f>
        <v>Qtr 2</v>
      </c>
      <c r="G2197" s="3" t="str">
        <f>TEXT(Table1[[#This Row],[Date]],"mmmm")</f>
        <v>June</v>
      </c>
      <c r="H2197" s="3" t="s">
        <v>1079</v>
      </c>
      <c r="I2197" s="3" t="s">
        <v>39</v>
      </c>
      <c r="J2197" s="3">
        <v>1</v>
      </c>
      <c r="K2197" s="3">
        <v>59364.19</v>
      </c>
      <c r="L2197" s="3">
        <f>Table1[[#This Row],[Price Per Unit]]*Table1[[#This Row],[Units Sold]]</f>
        <v>59364.19</v>
      </c>
      <c r="M2197" s="3" t="s">
        <v>82</v>
      </c>
      <c r="N2197" s="3">
        <v>54</v>
      </c>
      <c r="O2197" s="3" t="s">
        <v>125</v>
      </c>
      <c r="P2197" s="3" t="s">
        <v>45</v>
      </c>
      <c r="Q2197" s="4">
        <v>1</v>
      </c>
      <c r="R2197" s="4" t="str">
        <f>IF(Table1[[#This Row],[Customer Ratings]]&gt;=4, "Good",IF(Table1[[#This Row],[Customer Ratings]]=3, "Average","Poor"))</f>
        <v>Poor</v>
      </c>
      <c r="S2197" s="3" t="s">
        <v>90</v>
      </c>
    </row>
    <row r="2198" spans="1:19" x14ac:dyDescent="0.25">
      <c r="A2198" s="3">
        <v>2197</v>
      </c>
      <c r="B2198" s="5">
        <f>DATE(Table1[[#This Row],[Year]],Table1[[#This Row],[Month]],Table1[[#This Row],[Day]])</f>
        <v>45101</v>
      </c>
      <c r="C2198" s="3">
        <v>24</v>
      </c>
      <c r="D2198" s="3">
        <v>6</v>
      </c>
      <c r="E2198" s="3">
        <v>2023</v>
      </c>
      <c r="F2198" s="3" t="str">
        <f>"Qtr"&amp; " " &amp;CHOOSE(MONTH(Table1[[#This Row],[Date]]),1,1,1,2,2,2,3,3,3,4,4,4)</f>
        <v>Qtr 2</v>
      </c>
      <c r="G2198" s="3" t="str">
        <f>TEXT(Table1[[#This Row],[Date]],"mmmm")</f>
        <v>June</v>
      </c>
      <c r="H2198" s="3" t="s">
        <v>1079</v>
      </c>
      <c r="I2198" s="3" t="s">
        <v>33</v>
      </c>
      <c r="J2198" s="3">
        <v>5</v>
      </c>
      <c r="K2198" s="3">
        <v>37084.46</v>
      </c>
      <c r="L2198" s="3">
        <f>Table1[[#This Row],[Price Per Unit]]*Table1[[#This Row],[Units Sold]]</f>
        <v>185422.3</v>
      </c>
      <c r="M2198" s="3" t="s">
        <v>497</v>
      </c>
      <c r="N2198" s="3">
        <v>58</v>
      </c>
      <c r="O2198" s="3" t="s">
        <v>20</v>
      </c>
      <c r="P2198" s="3" t="s">
        <v>21</v>
      </c>
      <c r="Q2198" s="4">
        <v>2</v>
      </c>
      <c r="R2198" s="4" t="str">
        <f>IF(Table1[[#This Row],[Customer Ratings]]&gt;=4, "Good",IF(Table1[[#This Row],[Customer Ratings]]=3, "Average","Poor"))</f>
        <v>Poor</v>
      </c>
      <c r="S2198" s="3" t="s">
        <v>83</v>
      </c>
    </row>
    <row r="2199" spans="1:19" x14ac:dyDescent="0.25">
      <c r="A2199" s="3">
        <v>2198</v>
      </c>
      <c r="B2199" s="5">
        <f>DATE(Table1[[#This Row],[Year]],Table1[[#This Row],[Month]],Table1[[#This Row],[Day]])</f>
        <v>45101</v>
      </c>
      <c r="C2199" s="3">
        <v>24</v>
      </c>
      <c r="D2199" s="3">
        <v>6</v>
      </c>
      <c r="E2199" s="3">
        <v>2023</v>
      </c>
      <c r="F2199" s="3" t="str">
        <f>"Qtr"&amp; " " &amp;CHOOSE(MONTH(Table1[[#This Row],[Date]]),1,1,1,2,2,2,3,3,3,4,4,4)</f>
        <v>Qtr 2</v>
      </c>
      <c r="G2199" s="3" t="str">
        <f>TEXT(Table1[[#This Row],[Date]],"mmmm")</f>
        <v>June</v>
      </c>
      <c r="H2199" s="3" t="s">
        <v>1079</v>
      </c>
      <c r="I2199" s="3" t="s">
        <v>33</v>
      </c>
      <c r="J2199" s="3">
        <v>7</v>
      </c>
      <c r="K2199" s="3">
        <v>40086.85</v>
      </c>
      <c r="L2199" s="3">
        <f>Table1[[#This Row],[Price Per Unit]]*Table1[[#This Row],[Units Sold]]</f>
        <v>280607.95</v>
      </c>
      <c r="M2199" s="3" t="s">
        <v>62</v>
      </c>
      <c r="N2199" s="3">
        <v>54</v>
      </c>
      <c r="O2199" s="3" t="s">
        <v>105</v>
      </c>
      <c r="P2199" s="3" t="s">
        <v>31</v>
      </c>
      <c r="Q2199" s="4">
        <v>2</v>
      </c>
      <c r="R2199" s="4" t="str">
        <f>IF(Table1[[#This Row],[Customer Ratings]]&gt;=4, "Good",IF(Table1[[#This Row],[Customer Ratings]]=3, "Average","Poor"))</f>
        <v>Poor</v>
      </c>
      <c r="S2199" s="3" t="s">
        <v>36</v>
      </c>
    </row>
    <row r="2200" spans="1:19" x14ac:dyDescent="0.25">
      <c r="A2200" s="3">
        <v>2199</v>
      </c>
      <c r="B2200" s="5">
        <f>DATE(Table1[[#This Row],[Year]],Table1[[#This Row],[Month]],Table1[[#This Row],[Day]])</f>
        <v>45102</v>
      </c>
      <c r="C2200" s="3">
        <v>25</v>
      </c>
      <c r="D2200" s="3">
        <v>6</v>
      </c>
      <c r="E2200" s="3">
        <v>2023</v>
      </c>
      <c r="F2200" s="3" t="str">
        <f>"Qtr"&amp; " " &amp;CHOOSE(MONTH(Table1[[#This Row],[Date]]),1,1,1,2,2,2,3,3,3,4,4,4)</f>
        <v>Qtr 2</v>
      </c>
      <c r="G2200" s="3" t="str">
        <f>TEXT(Table1[[#This Row],[Date]],"mmmm")</f>
        <v>June</v>
      </c>
      <c r="H2200" s="3" t="s">
        <v>1080</v>
      </c>
      <c r="I2200" s="3" t="s">
        <v>18</v>
      </c>
      <c r="J2200" s="3">
        <v>6</v>
      </c>
      <c r="K2200" s="3">
        <v>41249.72</v>
      </c>
      <c r="L2200" s="3">
        <f>Table1[[#This Row],[Price Per Unit]]*Table1[[#This Row],[Units Sold]]</f>
        <v>247498.32</v>
      </c>
      <c r="M2200" s="3" t="s">
        <v>793</v>
      </c>
      <c r="N2200" s="3">
        <v>50</v>
      </c>
      <c r="O2200" s="3" t="s">
        <v>98</v>
      </c>
      <c r="P2200" s="3" t="s">
        <v>16</v>
      </c>
      <c r="Q2200" s="4">
        <v>2</v>
      </c>
      <c r="R2200" s="4" t="str">
        <f>IF(Table1[[#This Row],[Customer Ratings]]&gt;=4, "Good",IF(Table1[[#This Row],[Customer Ratings]]=3, "Average","Poor"))</f>
        <v>Poor</v>
      </c>
      <c r="S2200" s="3" t="s">
        <v>22</v>
      </c>
    </row>
    <row r="2201" spans="1:19" x14ac:dyDescent="0.25">
      <c r="A2201" s="3">
        <v>2200</v>
      </c>
      <c r="B2201" s="5">
        <f>DATE(Table1[[#This Row],[Year]],Table1[[#This Row],[Month]],Table1[[#This Row],[Day]])</f>
        <v>45102</v>
      </c>
      <c r="C2201" s="3">
        <v>25</v>
      </c>
      <c r="D2201" s="3">
        <v>6</v>
      </c>
      <c r="E2201" s="3">
        <v>2023</v>
      </c>
      <c r="F2201" s="3" t="str">
        <f>"Qtr"&amp; " " &amp;CHOOSE(MONTH(Table1[[#This Row],[Date]]),1,1,1,2,2,2,3,3,3,4,4,4)</f>
        <v>Qtr 2</v>
      </c>
      <c r="G2201" s="3" t="str">
        <f>TEXT(Table1[[#This Row],[Date]],"mmmm")</f>
        <v>June</v>
      </c>
      <c r="H2201" s="3" t="s">
        <v>1080</v>
      </c>
      <c r="I2201" s="3" t="s">
        <v>28</v>
      </c>
      <c r="J2201" s="3">
        <v>2</v>
      </c>
      <c r="K2201" s="3">
        <v>36902.019999999997</v>
      </c>
      <c r="L2201" s="3">
        <f>Table1[[#This Row],[Price Per Unit]]*Table1[[#This Row],[Units Sold]]</f>
        <v>73804.039999999994</v>
      </c>
      <c r="M2201" s="3" t="s">
        <v>957</v>
      </c>
      <c r="N2201" s="3">
        <v>42</v>
      </c>
      <c r="O2201" s="3" t="s">
        <v>20</v>
      </c>
      <c r="P2201" s="3" t="s">
        <v>16</v>
      </c>
      <c r="Q2201" s="4">
        <v>2</v>
      </c>
      <c r="R2201" s="4" t="str">
        <f>IF(Table1[[#This Row],[Customer Ratings]]&gt;=4, "Good",IF(Table1[[#This Row],[Customer Ratings]]=3, "Average","Poor"))</f>
        <v>Poor</v>
      </c>
      <c r="S2201" s="3" t="s">
        <v>38</v>
      </c>
    </row>
    <row r="2202" spans="1:19" x14ac:dyDescent="0.25">
      <c r="A2202" s="3">
        <v>2201</v>
      </c>
      <c r="B2202" s="5">
        <f>DATE(Table1[[#This Row],[Year]],Table1[[#This Row],[Month]],Table1[[#This Row],[Day]])</f>
        <v>45102</v>
      </c>
      <c r="C2202" s="3">
        <v>25</v>
      </c>
      <c r="D2202" s="3">
        <v>6</v>
      </c>
      <c r="E2202" s="3">
        <v>2023</v>
      </c>
      <c r="F2202" s="3" t="str">
        <f>"Qtr"&amp; " " &amp;CHOOSE(MONTH(Table1[[#This Row],[Date]]),1,1,1,2,2,2,3,3,3,4,4,4)</f>
        <v>Qtr 2</v>
      </c>
      <c r="G2202" s="3" t="str">
        <f>TEXT(Table1[[#This Row],[Date]],"mmmm")</f>
        <v>June</v>
      </c>
      <c r="H2202" s="3" t="s">
        <v>1080</v>
      </c>
      <c r="I2202" s="3" t="s">
        <v>28</v>
      </c>
      <c r="J2202" s="3">
        <v>4</v>
      </c>
      <c r="K2202" s="3">
        <v>25365.31</v>
      </c>
      <c r="L2202" s="3">
        <f>Table1[[#This Row],[Price Per Unit]]*Table1[[#This Row],[Units Sold]]</f>
        <v>101461.24</v>
      </c>
      <c r="M2202" s="3" t="s">
        <v>958</v>
      </c>
      <c r="N2202" s="3">
        <v>54</v>
      </c>
      <c r="O2202" s="3" t="s">
        <v>102</v>
      </c>
      <c r="P2202" s="3" t="s">
        <v>45</v>
      </c>
      <c r="Q2202" s="4">
        <v>4</v>
      </c>
      <c r="R2202" s="4" t="str">
        <f>IF(Table1[[#This Row],[Customer Ratings]]&gt;=4, "Good",IF(Table1[[#This Row],[Customer Ratings]]=3, "Average","Poor"))</f>
        <v>Good</v>
      </c>
      <c r="S2202" s="3" t="s">
        <v>38</v>
      </c>
    </row>
    <row r="2203" spans="1:19" x14ac:dyDescent="0.25">
      <c r="A2203" s="3">
        <v>2202</v>
      </c>
      <c r="B2203" s="5">
        <f>DATE(Table1[[#This Row],[Year]],Table1[[#This Row],[Month]],Table1[[#This Row],[Day]])</f>
        <v>45103</v>
      </c>
      <c r="C2203" s="3">
        <v>26</v>
      </c>
      <c r="D2203" s="3">
        <v>6</v>
      </c>
      <c r="E2203" s="3">
        <v>2023</v>
      </c>
      <c r="F2203" s="3" t="str">
        <f>"Qtr"&amp; " " &amp;CHOOSE(MONTH(Table1[[#This Row],[Date]]),1,1,1,2,2,2,3,3,3,4,4,4)</f>
        <v>Qtr 2</v>
      </c>
      <c r="G2203" s="3" t="str">
        <f>TEXT(Table1[[#This Row],[Date]],"mmmm")</f>
        <v>June</v>
      </c>
      <c r="H2203" s="3" t="s">
        <v>1081</v>
      </c>
      <c r="I2203" s="3" t="s">
        <v>33</v>
      </c>
      <c r="J2203" s="3">
        <v>2</v>
      </c>
      <c r="K2203" s="3">
        <v>17220.43</v>
      </c>
      <c r="L2203" s="3">
        <f>Table1[[#This Row],[Price Per Unit]]*Table1[[#This Row],[Units Sold]]</f>
        <v>34440.86</v>
      </c>
      <c r="M2203" s="3" t="s">
        <v>729</v>
      </c>
      <c r="N2203" s="3">
        <v>57</v>
      </c>
      <c r="O2203" s="3" t="s">
        <v>24</v>
      </c>
      <c r="P2203" s="3" t="s">
        <v>21</v>
      </c>
      <c r="Q2203" s="4">
        <v>2</v>
      </c>
      <c r="R2203" s="4" t="str">
        <f>IF(Table1[[#This Row],[Customer Ratings]]&gt;=4, "Good",IF(Table1[[#This Row],[Customer Ratings]]=3, "Average","Poor"))</f>
        <v>Poor</v>
      </c>
      <c r="S2203" s="3" t="s">
        <v>36</v>
      </c>
    </row>
    <row r="2204" spans="1:19" x14ac:dyDescent="0.25">
      <c r="A2204" s="3">
        <v>2203</v>
      </c>
      <c r="B2204" s="5">
        <f>DATE(Table1[[#This Row],[Year]],Table1[[#This Row],[Month]],Table1[[#This Row],[Day]])</f>
        <v>45103</v>
      </c>
      <c r="C2204" s="3">
        <v>26</v>
      </c>
      <c r="D2204" s="3">
        <v>6</v>
      </c>
      <c r="E2204" s="3">
        <v>2023</v>
      </c>
      <c r="F2204" s="3" t="str">
        <f>"Qtr"&amp; " " &amp;CHOOSE(MONTH(Table1[[#This Row],[Date]]),1,1,1,2,2,2,3,3,3,4,4,4)</f>
        <v>Qtr 2</v>
      </c>
      <c r="G2204" s="3" t="str">
        <f>TEXT(Table1[[#This Row],[Date]],"mmmm")</f>
        <v>June</v>
      </c>
      <c r="H2204" s="3" t="s">
        <v>1081</v>
      </c>
      <c r="I2204" s="3" t="s">
        <v>13</v>
      </c>
      <c r="J2204" s="3">
        <v>1</v>
      </c>
      <c r="K2204" s="3">
        <v>15912.24</v>
      </c>
      <c r="L2204" s="3">
        <f>Table1[[#This Row],[Price Per Unit]]*Table1[[#This Row],[Units Sold]]</f>
        <v>15912.24</v>
      </c>
      <c r="M2204" s="3" t="s">
        <v>388</v>
      </c>
      <c r="N2204" s="3">
        <v>38</v>
      </c>
      <c r="O2204" s="3" t="s">
        <v>24</v>
      </c>
      <c r="P2204" s="3" t="s">
        <v>45</v>
      </c>
      <c r="Q2204" s="4">
        <v>4</v>
      </c>
      <c r="R2204" s="4" t="str">
        <f>IF(Table1[[#This Row],[Customer Ratings]]&gt;=4, "Good",IF(Table1[[#This Row],[Customer Ratings]]=3, "Average","Poor"))</f>
        <v>Good</v>
      </c>
      <c r="S2204" s="3" t="s">
        <v>72</v>
      </c>
    </row>
    <row r="2205" spans="1:19" x14ac:dyDescent="0.25">
      <c r="A2205" s="3">
        <v>2204</v>
      </c>
      <c r="B2205" s="5">
        <f>DATE(Table1[[#This Row],[Year]],Table1[[#This Row],[Month]],Table1[[#This Row],[Day]])</f>
        <v>45103</v>
      </c>
      <c r="C2205" s="3">
        <v>26</v>
      </c>
      <c r="D2205" s="3">
        <v>6</v>
      </c>
      <c r="E2205" s="3">
        <v>2023</v>
      </c>
      <c r="F2205" s="3" t="str">
        <f>"Qtr"&amp; " " &amp;CHOOSE(MONTH(Table1[[#This Row],[Date]]),1,1,1,2,2,2,3,3,3,4,4,4)</f>
        <v>Qtr 2</v>
      </c>
      <c r="G2205" s="3" t="str">
        <f>TEXT(Table1[[#This Row],[Date]],"mmmm")</f>
        <v>June</v>
      </c>
      <c r="H2205" s="3" t="s">
        <v>1081</v>
      </c>
      <c r="I2205" s="3" t="s">
        <v>39</v>
      </c>
      <c r="J2205" s="3">
        <v>3</v>
      </c>
      <c r="K2205" s="3">
        <v>55447.75</v>
      </c>
      <c r="L2205" s="3">
        <f>Table1[[#This Row],[Price Per Unit]]*Table1[[#This Row],[Units Sold]]</f>
        <v>166343.25</v>
      </c>
      <c r="M2205" s="3" t="s">
        <v>447</v>
      </c>
      <c r="N2205" s="3">
        <v>55</v>
      </c>
      <c r="O2205" s="3" t="s">
        <v>125</v>
      </c>
      <c r="P2205" s="3" t="s">
        <v>45</v>
      </c>
      <c r="Q2205" s="4">
        <v>1</v>
      </c>
      <c r="R2205" s="4" t="str">
        <f>IF(Table1[[#This Row],[Customer Ratings]]&gt;=4, "Good",IF(Table1[[#This Row],[Customer Ratings]]=3, "Average","Poor"))</f>
        <v>Poor</v>
      </c>
      <c r="S2205" s="3" t="s">
        <v>42</v>
      </c>
    </row>
    <row r="2206" spans="1:19" x14ac:dyDescent="0.25">
      <c r="A2206" s="3">
        <v>2205</v>
      </c>
      <c r="B2206" s="5">
        <f>DATE(Table1[[#This Row],[Year]],Table1[[#This Row],[Month]],Table1[[#This Row],[Day]])</f>
        <v>45103</v>
      </c>
      <c r="C2206" s="3">
        <v>26</v>
      </c>
      <c r="D2206" s="3">
        <v>6</v>
      </c>
      <c r="E2206" s="3">
        <v>2023</v>
      </c>
      <c r="F2206" s="3" t="str">
        <f>"Qtr"&amp; " " &amp;CHOOSE(MONTH(Table1[[#This Row],[Date]]),1,1,1,2,2,2,3,3,3,4,4,4)</f>
        <v>Qtr 2</v>
      </c>
      <c r="G2206" s="3" t="str">
        <f>TEXT(Table1[[#This Row],[Date]],"mmmm")</f>
        <v>June</v>
      </c>
      <c r="H2206" s="3" t="s">
        <v>1081</v>
      </c>
      <c r="I2206" s="3" t="s">
        <v>39</v>
      </c>
      <c r="J2206" s="3">
        <v>3</v>
      </c>
      <c r="K2206" s="3">
        <v>23411.67</v>
      </c>
      <c r="L2206" s="3">
        <f>Table1[[#This Row],[Price Per Unit]]*Table1[[#This Row],[Units Sold]]</f>
        <v>70235.009999999995</v>
      </c>
      <c r="M2206" s="3" t="s">
        <v>714</v>
      </c>
      <c r="N2206" s="3">
        <v>57</v>
      </c>
      <c r="O2206" s="3" t="s">
        <v>41</v>
      </c>
      <c r="P2206" s="3" t="s">
        <v>21</v>
      </c>
      <c r="Q2206" s="4">
        <v>4</v>
      </c>
      <c r="R2206" s="4" t="str">
        <f>IF(Table1[[#This Row],[Customer Ratings]]&gt;=4, "Good",IF(Table1[[#This Row],[Customer Ratings]]=3, "Average","Poor"))</f>
        <v>Good</v>
      </c>
      <c r="S2206" s="3" t="s">
        <v>76</v>
      </c>
    </row>
    <row r="2207" spans="1:19" x14ac:dyDescent="0.25">
      <c r="A2207" s="3">
        <v>2206</v>
      </c>
      <c r="B2207" s="5">
        <f>DATE(Table1[[#This Row],[Year]],Table1[[#This Row],[Month]],Table1[[#This Row],[Day]])</f>
        <v>45104</v>
      </c>
      <c r="C2207" s="3">
        <v>27</v>
      </c>
      <c r="D2207" s="3">
        <v>6</v>
      </c>
      <c r="E2207" s="3">
        <v>2023</v>
      </c>
      <c r="F2207" s="3" t="str">
        <f>"Qtr"&amp; " " &amp;CHOOSE(MONTH(Table1[[#This Row],[Date]]),1,1,1,2,2,2,3,3,3,4,4,4)</f>
        <v>Qtr 2</v>
      </c>
      <c r="G2207" s="3" t="str">
        <f>TEXT(Table1[[#This Row],[Date]],"mmmm")</f>
        <v>June</v>
      </c>
      <c r="H2207" s="3" t="s">
        <v>1082</v>
      </c>
      <c r="I2207" s="3" t="s">
        <v>33</v>
      </c>
      <c r="J2207" s="3">
        <v>7</v>
      </c>
      <c r="K2207" s="3">
        <v>13340.37</v>
      </c>
      <c r="L2207" s="3">
        <f>Table1[[#This Row],[Price Per Unit]]*Table1[[#This Row],[Units Sold]]</f>
        <v>93382.590000000011</v>
      </c>
      <c r="M2207" s="3" t="s">
        <v>70</v>
      </c>
      <c r="N2207" s="3">
        <v>51</v>
      </c>
      <c r="O2207" s="3" t="s">
        <v>78</v>
      </c>
      <c r="P2207" s="3" t="s">
        <v>31</v>
      </c>
      <c r="Q2207" s="4">
        <v>4</v>
      </c>
      <c r="R2207" s="4" t="str">
        <f>IF(Table1[[#This Row],[Customer Ratings]]&gt;=4, "Good",IF(Table1[[#This Row],[Customer Ratings]]=3, "Average","Poor"))</f>
        <v>Good</v>
      </c>
      <c r="S2207" s="3" t="s">
        <v>46</v>
      </c>
    </row>
    <row r="2208" spans="1:19" x14ac:dyDescent="0.25">
      <c r="A2208" s="3">
        <v>2207</v>
      </c>
      <c r="B2208" s="5">
        <f>DATE(Table1[[#This Row],[Year]],Table1[[#This Row],[Month]],Table1[[#This Row],[Day]])</f>
        <v>45104</v>
      </c>
      <c r="C2208" s="3">
        <v>27</v>
      </c>
      <c r="D2208" s="3">
        <v>6</v>
      </c>
      <c r="E2208" s="3">
        <v>2023</v>
      </c>
      <c r="F2208" s="3" t="str">
        <f>"Qtr"&amp; " " &amp;CHOOSE(MONTH(Table1[[#This Row],[Date]]),1,1,1,2,2,2,3,3,3,4,4,4)</f>
        <v>Qtr 2</v>
      </c>
      <c r="G2208" s="3" t="str">
        <f>TEXT(Table1[[#This Row],[Date]],"mmmm")</f>
        <v>June</v>
      </c>
      <c r="H2208" s="3" t="s">
        <v>1082</v>
      </c>
      <c r="I2208" s="3" t="s">
        <v>13</v>
      </c>
      <c r="J2208" s="3">
        <v>1</v>
      </c>
      <c r="K2208" s="3">
        <v>57851.040000000001</v>
      </c>
      <c r="L2208" s="3">
        <f>Table1[[#This Row],[Price Per Unit]]*Table1[[#This Row],[Units Sold]]</f>
        <v>57851.040000000001</v>
      </c>
      <c r="M2208" s="3" t="s">
        <v>904</v>
      </c>
      <c r="N2208" s="3">
        <v>36</v>
      </c>
      <c r="O2208" s="3" t="s">
        <v>24</v>
      </c>
      <c r="P2208" s="3" t="s">
        <v>16</v>
      </c>
      <c r="Q2208" s="4">
        <v>4</v>
      </c>
      <c r="R2208" s="4" t="str">
        <f>IF(Table1[[#This Row],[Customer Ratings]]&gt;=4, "Good",IF(Table1[[#This Row],[Customer Ratings]]=3, "Average","Poor"))</f>
        <v>Good</v>
      </c>
      <c r="S2208" s="3" t="s">
        <v>72</v>
      </c>
    </row>
    <row r="2209" spans="1:19" x14ac:dyDescent="0.25">
      <c r="A2209" s="3">
        <v>2208</v>
      </c>
      <c r="B2209" s="5">
        <f>DATE(Table1[[#This Row],[Year]],Table1[[#This Row],[Month]],Table1[[#This Row],[Day]])</f>
        <v>45104</v>
      </c>
      <c r="C2209" s="3">
        <v>27</v>
      </c>
      <c r="D2209" s="3">
        <v>6</v>
      </c>
      <c r="E2209" s="3">
        <v>2023</v>
      </c>
      <c r="F2209" s="3" t="str">
        <f>"Qtr"&amp; " " &amp;CHOOSE(MONTH(Table1[[#This Row],[Date]]),1,1,1,2,2,2,3,3,3,4,4,4)</f>
        <v>Qtr 2</v>
      </c>
      <c r="G2209" s="3" t="str">
        <f>TEXT(Table1[[#This Row],[Date]],"mmmm")</f>
        <v>June</v>
      </c>
      <c r="H2209" s="3" t="s">
        <v>1082</v>
      </c>
      <c r="I2209" s="3" t="s">
        <v>18</v>
      </c>
      <c r="J2209" s="3">
        <v>9</v>
      </c>
      <c r="K2209" s="3">
        <v>19243.7</v>
      </c>
      <c r="L2209" s="3">
        <f>Table1[[#This Row],[Price Per Unit]]*Table1[[#This Row],[Units Sold]]</f>
        <v>173193.30000000002</v>
      </c>
      <c r="M2209" s="3" t="s">
        <v>473</v>
      </c>
      <c r="N2209" s="3">
        <v>44</v>
      </c>
      <c r="O2209" s="3" t="s">
        <v>24</v>
      </c>
      <c r="P2209" s="3" t="s">
        <v>21</v>
      </c>
      <c r="Q2209" s="4">
        <v>4</v>
      </c>
      <c r="R2209" s="4" t="str">
        <f>IF(Table1[[#This Row],[Customer Ratings]]&gt;=4, "Good",IF(Table1[[#This Row],[Customer Ratings]]=3, "Average","Poor"))</f>
        <v>Good</v>
      </c>
      <c r="S2209" s="3" t="s">
        <v>25</v>
      </c>
    </row>
    <row r="2210" spans="1:19" x14ac:dyDescent="0.25">
      <c r="A2210" s="3">
        <v>2209</v>
      </c>
      <c r="B2210" s="5">
        <f>DATE(Table1[[#This Row],[Year]],Table1[[#This Row],[Month]],Table1[[#This Row],[Day]])</f>
        <v>45105</v>
      </c>
      <c r="C2210" s="3">
        <v>28</v>
      </c>
      <c r="D2210" s="3">
        <v>6</v>
      </c>
      <c r="E2210" s="3">
        <v>2023</v>
      </c>
      <c r="F2210" s="3" t="str">
        <f>"Qtr"&amp; " " &amp;CHOOSE(MONTH(Table1[[#This Row],[Date]]),1,1,1,2,2,2,3,3,3,4,4,4)</f>
        <v>Qtr 2</v>
      </c>
      <c r="G2210" s="3" t="str">
        <f>TEXT(Table1[[#This Row],[Date]],"mmmm")</f>
        <v>June</v>
      </c>
      <c r="H2210" s="3" t="s">
        <v>1083</v>
      </c>
      <c r="I2210" s="3" t="s">
        <v>33</v>
      </c>
      <c r="J2210" s="3">
        <v>6</v>
      </c>
      <c r="K2210" s="3">
        <v>47508.77</v>
      </c>
      <c r="L2210" s="3">
        <f>Table1[[#This Row],[Price Per Unit]]*Table1[[#This Row],[Units Sold]]</f>
        <v>285052.62</v>
      </c>
      <c r="M2210" s="3" t="s">
        <v>493</v>
      </c>
      <c r="N2210" s="3">
        <v>26</v>
      </c>
      <c r="O2210" s="3" t="s">
        <v>24</v>
      </c>
      <c r="P2210" s="3" t="s">
        <v>45</v>
      </c>
      <c r="Q2210" s="4">
        <v>4</v>
      </c>
      <c r="R2210" s="4" t="str">
        <f>IF(Table1[[#This Row],[Customer Ratings]]&gt;=4, "Good",IF(Table1[[#This Row],[Customer Ratings]]=3, "Average","Poor"))</f>
        <v>Good</v>
      </c>
      <c r="S2210" s="3" t="s">
        <v>83</v>
      </c>
    </row>
    <row r="2211" spans="1:19" x14ac:dyDescent="0.25">
      <c r="A2211" s="3">
        <v>2210</v>
      </c>
      <c r="B2211" s="5">
        <f>DATE(Table1[[#This Row],[Year]],Table1[[#This Row],[Month]],Table1[[#This Row],[Day]])</f>
        <v>45105</v>
      </c>
      <c r="C2211" s="3">
        <v>28</v>
      </c>
      <c r="D2211" s="3">
        <v>6</v>
      </c>
      <c r="E2211" s="3">
        <v>2023</v>
      </c>
      <c r="F2211" s="3" t="str">
        <f>"Qtr"&amp; " " &amp;CHOOSE(MONTH(Table1[[#This Row],[Date]]),1,1,1,2,2,2,3,3,3,4,4,4)</f>
        <v>Qtr 2</v>
      </c>
      <c r="G2211" s="3" t="str">
        <f>TEXT(Table1[[#This Row],[Date]],"mmmm")</f>
        <v>June</v>
      </c>
      <c r="H2211" s="3" t="s">
        <v>1083</v>
      </c>
      <c r="I2211" s="3" t="s">
        <v>33</v>
      </c>
      <c r="J2211" s="3">
        <v>4</v>
      </c>
      <c r="K2211" s="3">
        <v>30318.6</v>
      </c>
      <c r="L2211" s="3">
        <f>Table1[[#This Row],[Price Per Unit]]*Table1[[#This Row],[Units Sold]]</f>
        <v>121274.4</v>
      </c>
      <c r="M2211" s="3" t="s">
        <v>95</v>
      </c>
      <c r="N2211" s="3">
        <v>22</v>
      </c>
      <c r="O2211" s="3" t="s">
        <v>20</v>
      </c>
      <c r="P2211" s="3" t="s">
        <v>31</v>
      </c>
      <c r="Q2211" s="4">
        <v>4</v>
      </c>
      <c r="R2211" s="4" t="str">
        <f>IF(Table1[[#This Row],[Customer Ratings]]&gt;=4, "Good",IF(Table1[[#This Row],[Customer Ratings]]=3, "Average","Poor"))</f>
        <v>Good</v>
      </c>
      <c r="S2211" s="3" t="s">
        <v>46</v>
      </c>
    </row>
    <row r="2212" spans="1:19" x14ac:dyDescent="0.25">
      <c r="A2212" s="3">
        <v>2211</v>
      </c>
      <c r="B2212" s="5">
        <f>DATE(Table1[[#This Row],[Year]],Table1[[#This Row],[Month]],Table1[[#This Row],[Day]])</f>
        <v>45105</v>
      </c>
      <c r="C2212" s="3">
        <v>28</v>
      </c>
      <c r="D2212" s="3">
        <v>6</v>
      </c>
      <c r="E2212" s="3">
        <v>2023</v>
      </c>
      <c r="F2212" s="3" t="str">
        <f>"Qtr"&amp; " " &amp;CHOOSE(MONTH(Table1[[#This Row],[Date]]),1,1,1,2,2,2,3,3,3,4,4,4)</f>
        <v>Qtr 2</v>
      </c>
      <c r="G2212" s="3" t="str">
        <f>TEXT(Table1[[#This Row],[Date]],"mmmm")</f>
        <v>June</v>
      </c>
      <c r="H2212" s="3" t="s">
        <v>1083</v>
      </c>
      <c r="I2212" s="3" t="s">
        <v>39</v>
      </c>
      <c r="J2212" s="3">
        <v>3</v>
      </c>
      <c r="K2212" s="3">
        <v>17588.82</v>
      </c>
      <c r="L2212" s="3">
        <f>Table1[[#This Row],[Price Per Unit]]*Table1[[#This Row],[Units Sold]]</f>
        <v>52766.46</v>
      </c>
      <c r="M2212" s="3" t="s">
        <v>652</v>
      </c>
      <c r="N2212" s="3">
        <v>22</v>
      </c>
      <c r="O2212" s="3" t="s">
        <v>20</v>
      </c>
      <c r="P2212" s="3" t="s">
        <v>45</v>
      </c>
      <c r="Q2212" s="4">
        <v>1</v>
      </c>
      <c r="R2212" s="4" t="str">
        <f>IF(Table1[[#This Row],[Customer Ratings]]&gt;=4, "Good",IF(Table1[[#This Row],[Customer Ratings]]=3, "Average","Poor"))</f>
        <v>Poor</v>
      </c>
      <c r="S2212" s="3" t="s">
        <v>90</v>
      </c>
    </row>
    <row r="2213" spans="1:19" x14ac:dyDescent="0.25">
      <c r="A2213" s="3">
        <v>2212</v>
      </c>
      <c r="B2213" s="5">
        <f>DATE(Table1[[#This Row],[Year]],Table1[[#This Row],[Month]],Table1[[#This Row],[Day]])</f>
        <v>45105</v>
      </c>
      <c r="C2213" s="3">
        <v>28</v>
      </c>
      <c r="D2213" s="3">
        <v>6</v>
      </c>
      <c r="E2213" s="3">
        <v>2023</v>
      </c>
      <c r="F2213" s="3" t="str">
        <f>"Qtr"&amp; " " &amp;CHOOSE(MONTH(Table1[[#This Row],[Date]]),1,1,1,2,2,2,3,3,3,4,4,4)</f>
        <v>Qtr 2</v>
      </c>
      <c r="G2213" s="3" t="str">
        <f>TEXT(Table1[[#This Row],[Date]],"mmmm")</f>
        <v>June</v>
      </c>
      <c r="H2213" s="3" t="s">
        <v>1083</v>
      </c>
      <c r="I2213" s="3" t="s">
        <v>33</v>
      </c>
      <c r="J2213" s="3">
        <v>3</v>
      </c>
      <c r="K2213" s="3">
        <v>34868.86</v>
      </c>
      <c r="L2213" s="3">
        <f>Table1[[#This Row],[Price Per Unit]]*Table1[[#This Row],[Units Sold]]</f>
        <v>104606.58</v>
      </c>
      <c r="M2213" s="3" t="s">
        <v>311</v>
      </c>
      <c r="N2213" s="3">
        <v>42</v>
      </c>
      <c r="O2213" s="3" t="s">
        <v>15</v>
      </c>
      <c r="P2213" s="3" t="s">
        <v>31</v>
      </c>
      <c r="Q2213" s="4">
        <v>5</v>
      </c>
      <c r="R2213" s="4" t="str">
        <f>IF(Table1[[#This Row],[Customer Ratings]]&gt;=4, "Good",IF(Table1[[#This Row],[Customer Ratings]]=3, "Average","Poor"))</f>
        <v>Good</v>
      </c>
      <c r="S2213" s="3" t="s">
        <v>46</v>
      </c>
    </row>
    <row r="2214" spans="1:19" x14ac:dyDescent="0.25">
      <c r="A2214" s="3">
        <v>2213</v>
      </c>
      <c r="B2214" s="5">
        <f>DATE(Table1[[#This Row],[Year]],Table1[[#This Row],[Month]],Table1[[#This Row],[Day]])</f>
        <v>45106</v>
      </c>
      <c r="C2214" s="3">
        <v>29</v>
      </c>
      <c r="D2214" s="3">
        <v>6</v>
      </c>
      <c r="E2214" s="3">
        <v>2023</v>
      </c>
      <c r="F2214" s="3" t="str">
        <f>"Qtr"&amp; " " &amp;CHOOSE(MONTH(Table1[[#This Row],[Date]]),1,1,1,2,2,2,3,3,3,4,4,4)</f>
        <v>Qtr 2</v>
      </c>
      <c r="G2214" s="3" t="str">
        <f>TEXT(Table1[[#This Row],[Date]],"mmmm")</f>
        <v>June</v>
      </c>
      <c r="H2214" s="3" t="s">
        <v>1084</v>
      </c>
      <c r="I2214" s="3" t="s">
        <v>33</v>
      </c>
      <c r="J2214" s="3">
        <v>2</v>
      </c>
      <c r="K2214" s="3">
        <v>10888.53</v>
      </c>
      <c r="L2214" s="3">
        <f>Table1[[#This Row],[Price Per Unit]]*Table1[[#This Row],[Units Sold]]</f>
        <v>21777.06</v>
      </c>
      <c r="M2214" s="3" t="s">
        <v>596</v>
      </c>
      <c r="N2214" s="3">
        <v>43</v>
      </c>
      <c r="O2214" s="3" t="s">
        <v>105</v>
      </c>
      <c r="P2214" s="3" t="s">
        <v>16</v>
      </c>
      <c r="Q2214" s="4">
        <v>4</v>
      </c>
      <c r="R2214" s="4" t="str">
        <f>IF(Table1[[#This Row],[Customer Ratings]]&gt;=4, "Good",IF(Table1[[#This Row],[Customer Ratings]]=3, "Average","Poor"))</f>
        <v>Good</v>
      </c>
      <c r="S2214" s="3" t="s">
        <v>46</v>
      </c>
    </row>
    <row r="2215" spans="1:19" x14ac:dyDescent="0.25">
      <c r="A2215" s="3">
        <v>2214</v>
      </c>
      <c r="B2215" s="5">
        <f>DATE(Table1[[#This Row],[Year]],Table1[[#This Row],[Month]],Table1[[#This Row],[Day]])</f>
        <v>45106</v>
      </c>
      <c r="C2215" s="3">
        <v>29</v>
      </c>
      <c r="D2215" s="3">
        <v>6</v>
      </c>
      <c r="E2215" s="3">
        <v>2023</v>
      </c>
      <c r="F2215" s="3" t="str">
        <f>"Qtr"&amp; " " &amp;CHOOSE(MONTH(Table1[[#This Row],[Date]]),1,1,1,2,2,2,3,3,3,4,4,4)</f>
        <v>Qtr 2</v>
      </c>
      <c r="G2215" s="3" t="str">
        <f>TEXT(Table1[[#This Row],[Date]],"mmmm")</f>
        <v>June</v>
      </c>
      <c r="H2215" s="3" t="s">
        <v>1084</v>
      </c>
      <c r="I2215" s="3" t="s">
        <v>33</v>
      </c>
      <c r="J2215" s="3">
        <v>2</v>
      </c>
      <c r="K2215" s="3">
        <v>60462.7</v>
      </c>
      <c r="L2215" s="3">
        <f>Table1[[#This Row],[Price Per Unit]]*Table1[[#This Row],[Units Sold]]</f>
        <v>120925.4</v>
      </c>
      <c r="M2215" s="3" t="s">
        <v>959</v>
      </c>
      <c r="N2215" s="3">
        <v>36</v>
      </c>
      <c r="O2215" s="3" t="s">
        <v>125</v>
      </c>
      <c r="P2215" s="3" t="s">
        <v>16</v>
      </c>
      <c r="Q2215" s="4">
        <v>4</v>
      </c>
      <c r="R2215" s="4" t="str">
        <f>IF(Table1[[#This Row],[Customer Ratings]]&gt;=4, "Good",IF(Table1[[#This Row],[Customer Ratings]]=3, "Average","Poor"))</f>
        <v>Good</v>
      </c>
      <c r="S2215" s="3" t="s">
        <v>36</v>
      </c>
    </row>
    <row r="2216" spans="1:19" x14ac:dyDescent="0.25">
      <c r="A2216" s="3">
        <v>2215</v>
      </c>
      <c r="B2216" s="5">
        <f>DATE(Table1[[#This Row],[Year]],Table1[[#This Row],[Month]],Table1[[#This Row],[Day]])</f>
        <v>45106</v>
      </c>
      <c r="C2216" s="3">
        <v>29</v>
      </c>
      <c r="D2216" s="3">
        <v>6</v>
      </c>
      <c r="E2216" s="3">
        <v>2023</v>
      </c>
      <c r="F2216" s="3" t="str">
        <f>"Qtr"&amp; " " &amp;CHOOSE(MONTH(Table1[[#This Row],[Date]]),1,1,1,2,2,2,3,3,3,4,4,4)</f>
        <v>Qtr 2</v>
      </c>
      <c r="G2216" s="3" t="str">
        <f>TEXT(Table1[[#This Row],[Date]],"mmmm")</f>
        <v>June</v>
      </c>
      <c r="H2216" s="3" t="s">
        <v>1084</v>
      </c>
      <c r="I2216" s="3" t="s">
        <v>39</v>
      </c>
      <c r="J2216" s="3">
        <v>5</v>
      </c>
      <c r="K2216" s="3">
        <v>40809.879999999997</v>
      </c>
      <c r="L2216" s="3">
        <f>Table1[[#This Row],[Price Per Unit]]*Table1[[#This Row],[Units Sold]]</f>
        <v>204049.4</v>
      </c>
      <c r="M2216" s="3" t="s">
        <v>625</v>
      </c>
      <c r="N2216" s="3">
        <v>47</v>
      </c>
      <c r="O2216" s="3" t="s">
        <v>20</v>
      </c>
      <c r="P2216" s="3" t="s">
        <v>31</v>
      </c>
      <c r="Q2216" s="4">
        <v>4</v>
      </c>
      <c r="R2216" s="4" t="str">
        <f>IF(Table1[[#This Row],[Customer Ratings]]&gt;=4, "Good",IF(Table1[[#This Row],[Customer Ratings]]=3, "Average","Poor"))</f>
        <v>Good</v>
      </c>
      <c r="S2216" s="3" t="s">
        <v>42</v>
      </c>
    </row>
    <row r="2217" spans="1:19" x14ac:dyDescent="0.25">
      <c r="A2217" s="3">
        <v>2216</v>
      </c>
      <c r="B2217" s="5">
        <f>DATE(Table1[[#This Row],[Year]],Table1[[#This Row],[Month]],Table1[[#This Row],[Day]])</f>
        <v>45107</v>
      </c>
      <c r="C2217" s="3">
        <v>30</v>
      </c>
      <c r="D2217" s="3">
        <v>6</v>
      </c>
      <c r="E2217" s="3">
        <v>2023</v>
      </c>
      <c r="F2217" s="3" t="str">
        <f>"Qtr"&amp; " " &amp;CHOOSE(MONTH(Table1[[#This Row],[Date]]),1,1,1,2,2,2,3,3,3,4,4,4)</f>
        <v>Qtr 2</v>
      </c>
      <c r="G2217" s="3" t="str">
        <f>TEXT(Table1[[#This Row],[Date]],"mmmm")</f>
        <v>June</v>
      </c>
      <c r="H2217" s="3" t="s">
        <v>1085</v>
      </c>
      <c r="I2217" s="3" t="s">
        <v>18</v>
      </c>
      <c r="J2217" s="3">
        <v>9</v>
      </c>
      <c r="K2217" s="3">
        <v>18349.599999999999</v>
      </c>
      <c r="L2217" s="3">
        <f>Table1[[#This Row],[Price Per Unit]]*Table1[[#This Row],[Units Sold]]</f>
        <v>165146.4</v>
      </c>
      <c r="M2217" s="3" t="s">
        <v>849</v>
      </c>
      <c r="N2217" s="3">
        <v>53</v>
      </c>
      <c r="O2217" s="3" t="s">
        <v>15</v>
      </c>
      <c r="P2217" s="3" t="s">
        <v>16</v>
      </c>
      <c r="Q2217" s="4">
        <v>2</v>
      </c>
      <c r="R2217" s="4" t="str">
        <f>IF(Table1[[#This Row],[Customer Ratings]]&gt;=4, "Good",IF(Table1[[#This Row],[Customer Ratings]]=3, "Average","Poor"))</f>
        <v>Poor</v>
      </c>
      <c r="S2217" s="3" t="s">
        <v>22</v>
      </c>
    </row>
    <row r="2218" spans="1:19" x14ac:dyDescent="0.25">
      <c r="A2218" s="3">
        <v>2217</v>
      </c>
      <c r="B2218" s="5">
        <f>DATE(Table1[[#This Row],[Year]],Table1[[#This Row],[Month]],Table1[[#This Row],[Day]])</f>
        <v>45107</v>
      </c>
      <c r="C2218" s="3">
        <v>30</v>
      </c>
      <c r="D2218" s="3">
        <v>6</v>
      </c>
      <c r="E2218" s="3">
        <v>2023</v>
      </c>
      <c r="F2218" s="3" t="str">
        <f>"Qtr"&amp; " " &amp;CHOOSE(MONTH(Table1[[#This Row],[Date]]),1,1,1,2,2,2,3,3,3,4,4,4)</f>
        <v>Qtr 2</v>
      </c>
      <c r="G2218" s="3" t="str">
        <f>TEXT(Table1[[#This Row],[Date]],"mmmm")</f>
        <v>June</v>
      </c>
      <c r="H2218" s="3" t="s">
        <v>1085</v>
      </c>
      <c r="I2218" s="3" t="s">
        <v>18</v>
      </c>
      <c r="J2218" s="3">
        <v>2</v>
      </c>
      <c r="K2218" s="3">
        <v>24218.82</v>
      </c>
      <c r="L2218" s="3">
        <f>Table1[[#This Row],[Price Per Unit]]*Table1[[#This Row],[Units Sold]]</f>
        <v>48437.64</v>
      </c>
      <c r="M2218" s="3" t="s">
        <v>514</v>
      </c>
      <c r="N2218" s="3">
        <v>33</v>
      </c>
      <c r="O2218" s="3" t="s">
        <v>52</v>
      </c>
      <c r="P2218" s="3" t="s">
        <v>45</v>
      </c>
      <c r="Q2218" s="4">
        <v>2</v>
      </c>
      <c r="R2218" s="4" t="str">
        <f>IF(Table1[[#This Row],[Customer Ratings]]&gt;=4, "Good",IF(Table1[[#This Row],[Customer Ratings]]=3, "Average","Poor"))</f>
        <v>Poor</v>
      </c>
      <c r="S2218" s="3" t="s">
        <v>22</v>
      </c>
    </row>
    <row r="2219" spans="1:19" x14ac:dyDescent="0.25">
      <c r="A2219" s="3">
        <v>2218</v>
      </c>
      <c r="B2219" s="5">
        <f>DATE(Table1[[#This Row],[Year]],Table1[[#This Row],[Month]],Table1[[#This Row],[Day]])</f>
        <v>45107</v>
      </c>
      <c r="C2219" s="3">
        <v>30</v>
      </c>
      <c r="D2219" s="3">
        <v>6</v>
      </c>
      <c r="E2219" s="3">
        <v>2023</v>
      </c>
      <c r="F2219" s="3" t="str">
        <f>"Qtr"&amp; " " &amp;CHOOSE(MONTH(Table1[[#This Row],[Date]]),1,1,1,2,2,2,3,3,3,4,4,4)</f>
        <v>Qtr 2</v>
      </c>
      <c r="G2219" s="3" t="str">
        <f>TEXT(Table1[[#This Row],[Date]],"mmmm")</f>
        <v>June</v>
      </c>
      <c r="H2219" s="3" t="s">
        <v>1085</v>
      </c>
      <c r="I2219" s="3" t="s">
        <v>33</v>
      </c>
      <c r="J2219" s="3">
        <v>2</v>
      </c>
      <c r="K2219" s="3">
        <v>36878.51</v>
      </c>
      <c r="L2219" s="3">
        <f>Table1[[#This Row],[Price Per Unit]]*Table1[[#This Row],[Units Sold]]</f>
        <v>73757.02</v>
      </c>
      <c r="M2219" s="3" t="s">
        <v>209</v>
      </c>
      <c r="N2219" s="3">
        <v>24</v>
      </c>
      <c r="O2219" s="3" t="s">
        <v>20</v>
      </c>
      <c r="P2219" s="3" t="s">
        <v>31</v>
      </c>
      <c r="Q2219" s="4">
        <v>1</v>
      </c>
      <c r="R2219" s="4" t="str">
        <f>IF(Table1[[#This Row],[Customer Ratings]]&gt;=4, "Good",IF(Table1[[#This Row],[Customer Ratings]]=3, "Average","Poor"))</f>
        <v>Poor</v>
      </c>
      <c r="S2219" s="3" t="s">
        <v>36</v>
      </c>
    </row>
    <row r="2220" spans="1:19" x14ac:dyDescent="0.25">
      <c r="A2220" s="3">
        <v>2219</v>
      </c>
      <c r="B2220" s="5">
        <f>DATE(Table1[[#This Row],[Year]],Table1[[#This Row],[Month]],Table1[[#This Row],[Day]])</f>
        <v>45108</v>
      </c>
      <c r="C2220" s="3">
        <v>1</v>
      </c>
      <c r="D2220" s="3">
        <v>7</v>
      </c>
      <c r="E2220" s="3">
        <v>2023</v>
      </c>
      <c r="F2220" s="3" t="str">
        <f>"Qtr"&amp; " " &amp;CHOOSE(MONTH(Table1[[#This Row],[Date]]),1,1,1,2,2,2,3,3,3,4,4,4)</f>
        <v>Qtr 3</v>
      </c>
      <c r="G2220" s="3" t="str">
        <f>TEXT(Table1[[#This Row],[Date]],"mmmm")</f>
        <v>July</v>
      </c>
      <c r="H2220" s="3" t="s">
        <v>1079</v>
      </c>
      <c r="I2220" s="3" t="s">
        <v>39</v>
      </c>
      <c r="J2220" s="3">
        <v>6</v>
      </c>
      <c r="K2220" s="3">
        <v>21332.16</v>
      </c>
      <c r="L2220" s="3">
        <f>Table1[[#This Row],[Price Per Unit]]*Table1[[#This Row],[Units Sold]]</f>
        <v>127992.95999999999</v>
      </c>
      <c r="M2220" s="3" t="s">
        <v>603</v>
      </c>
      <c r="N2220" s="3">
        <v>35</v>
      </c>
      <c r="O2220" s="3" t="s">
        <v>15</v>
      </c>
      <c r="P2220" s="3" t="s">
        <v>45</v>
      </c>
      <c r="Q2220" s="4">
        <v>2</v>
      </c>
      <c r="R2220" s="4" t="str">
        <f>IF(Table1[[#This Row],[Customer Ratings]]&gt;=4, "Good",IF(Table1[[#This Row],[Customer Ratings]]=3, "Average","Poor"))</f>
        <v>Poor</v>
      </c>
      <c r="S2220" s="3" t="s">
        <v>90</v>
      </c>
    </row>
    <row r="2221" spans="1:19" x14ac:dyDescent="0.25">
      <c r="A2221" s="3">
        <v>2220</v>
      </c>
      <c r="B2221" s="5">
        <f>DATE(Table1[[#This Row],[Year]],Table1[[#This Row],[Month]],Table1[[#This Row],[Day]])</f>
        <v>45108</v>
      </c>
      <c r="C2221" s="3">
        <v>1</v>
      </c>
      <c r="D2221" s="3">
        <v>7</v>
      </c>
      <c r="E2221" s="3">
        <v>2023</v>
      </c>
      <c r="F2221" s="3" t="str">
        <f>"Qtr"&amp; " " &amp;CHOOSE(MONTH(Table1[[#This Row],[Date]]),1,1,1,2,2,2,3,3,3,4,4,4)</f>
        <v>Qtr 3</v>
      </c>
      <c r="G2221" s="3" t="str">
        <f>TEXT(Table1[[#This Row],[Date]],"mmmm")</f>
        <v>July</v>
      </c>
      <c r="H2221" s="3" t="s">
        <v>1079</v>
      </c>
      <c r="I2221" s="3" t="s">
        <v>18</v>
      </c>
      <c r="J2221" s="3">
        <v>2</v>
      </c>
      <c r="K2221" s="3">
        <v>26115.95</v>
      </c>
      <c r="L2221" s="3">
        <f>Table1[[#This Row],[Price Per Unit]]*Table1[[#This Row],[Units Sold]]</f>
        <v>52231.9</v>
      </c>
      <c r="M2221" s="3" t="s">
        <v>242</v>
      </c>
      <c r="N2221" s="3">
        <v>38</v>
      </c>
      <c r="O2221" s="3" t="s">
        <v>52</v>
      </c>
      <c r="P2221" s="3" t="s">
        <v>31</v>
      </c>
      <c r="Q2221" s="4">
        <v>5</v>
      </c>
      <c r="R2221" s="4" t="str">
        <f>IF(Table1[[#This Row],[Customer Ratings]]&gt;=4, "Good",IF(Table1[[#This Row],[Customer Ratings]]=3, "Average","Poor"))</f>
        <v>Good</v>
      </c>
      <c r="S2221" s="3" t="s">
        <v>25</v>
      </c>
    </row>
    <row r="2222" spans="1:19" x14ac:dyDescent="0.25">
      <c r="A2222" s="3">
        <v>2221</v>
      </c>
      <c r="B2222" s="5">
        <f>DATE(Table1[[#This Row],[Year]],Table1[[#This Row],[Month]],Table1[[#This Row],[Day]])</f>
        <v>45108</v>
      </c>
      <c r="C2222" s="3">
        <v>1</v>
      </c>
      <c r="D2222" s="3">
        <v>7</v>
      </c>
      <c r="E2222" s="3">
        <v>2023</v>
      </c>
      <c r="F2222" s="3" t="str">
        <f>"Qtr"&amp; " " &amp;CHOOSE(MONTH(Table1[[#This Row],[Date]]),1,1,1,2,2,2,3,3,3,4,4,4)</f>
        <v>Qtr 3</v>
      </c>
      <c r="G2222" s="3" t="str">
        <f>TEXT(Table1[[#This Row],[Date]],"mmmm")</f>
        <v>July</v>
      </c>
      <c r="H2222" s="3" t="s">
        <v>1079</v>
      </c>
      <c r="I2222" s="3" t="s">
        <v>18</v>
      </c>
      <c r="J2222" s="3">
        <v>4</v>
      </c>
      <c r="K2222" s="3">
        <v>42063.13</v>
      </c>
      <c r="L2222" s="3">
        <f>Table1[[#This Row],[Price Per Unit]]*Table1[[#This Row],[Units Sold]]</f>
        <v>168252.52</v>
      </c>
      <c r="M2222" s="3" t="s">
        <v>698</v>
      </c>
      <c r="N2222" s="3">
        <v>48</v>
      </c>
      <c r="O2222" s="3" t="s">
        <v>20</v>
      </c>
      <c r="P2222" s="3" t="s">
        <v>45</v>
      </c>
      <c r="Q2222" s="4">
        <v>4</v>
      </c>
      <c r="R2222" s="4" t="str">
        <f>IF(Table1[[#This Row],[Customer Ratings]]&gt;=4, "Good",IF(Table1[[#This Row],[Customer Ratings]]=3, "Average","Poor"))</f>
        <v>Good</v>
      </c>
      <c r="S2222" s="3" t="s">
        <v>25</v>
      </c>
    </row>
    <row r="2223" spans="1:19" x14ac:dyDescent="0.25">
      <c r="A2223" s="3">
        <v>2222</v>
      </c>
      <c r="B2223" s="5">
        <f>DATE(Table1[[#This Row],[Year]],Table1[[#This Row],[Month]],Table1[[#This Row],[Day]])</f>
        <v>45109</v>
      </c>
      <c r="C2223" s="3">
        <v>2</v>
      </c>
      <c r="D2223" s="3">
        <v>7</v>
      </c>
      <c r="E2223" s="3">
        <v>2023</v>
      </c>
      <c r="F2223" s="3" t="str">
        <f>"Qtr"&amp; " " &amp;CHOOSE(MONTH(Table1[[#This Row],[Date]]),1,1,1,2,2,2,3,3,3,4,4,4)</f>
        <v>Qtr 3</v>
      </c>
      <c r="G2223" s="3" t="str">
        <f>TEXT(Table1[[#This Row],[Date]],"mmmm")</f>
        <v>July</v>
      </c>
      <c r="H2223" s="3" t="s">
        <v>1080</v>
      </c>
      <c r="I2223" s="3" t="s">
        <v>18</v>
      </c>
      <c r="J2223" s="3">
        <v>6</v>
      </c>
      <c r="K2223" s="3">
        <v>59956.54</v>
      </c>
      <c r="L2223" s="3">
        <f>Table1[[#This Row],[Price Per Unit]]*Table1[[#This Row],[Units Sold]]</f>
        <v>359739.24</v>
      </c>
      <c r="M2223" s="3" t="s">
        <v>506</v>
      </c>
      <c r="N2223" s="3">
        <v>18</v>
      </c>
      <c r="O2223" s="3" t="s">
        <v>20</v>
      </c>
      <c r="P2223" s="3" t="s">
        <v>16</v>
      </c>
      <c r="Q2223" s="4">
        <v>1</v>
      </c>
      <c r="R2223" s="4" t="str">
        <f>IF(Table1[[#This Row],[Customer Ratings]]&gt;=4, "Good",IF(Table1[[#This Row],[Customer Ratings]]=3, "Average","Poor"))</f>
        <v>Poor</v>
      </c>
      <c r="S2223" s="3" t="s">
        <v>25</v>
      </c>
    </row>
    <row r="2224" spans="1:19" x14ac:dyDescent="0.25">
      <c r="A2224" s="3">
        <v>2223</v>
      </c>
      <c r="B2224" s="5">
        <f>DATE(Table1[[#This Row],[Year]],Table1[[#This Row],[Month]],Table1[[#This Row],[Day]])</f>
        <v>45109</v>
      </c>
      <c r="C2224" s="3">
        <v>2</v>
      </c>
      <c r="D2224" s="3">
        <v>7</v>
      </c>
      <c r="E2224" s="3">
        <v>2023</v>
      </c>
      <c r="F2224" s="3" t="str">
        <f>"Qtr"&amp; " " &amp;CHOOSE(MONTH(Table1[[#This Row],[Date]]),1,1,1,2,2,2,3,3,3,4,4,4)</f>
        <v>Qtr 3</v>
      </c>
      <c r="G2224" s="3" t="str">
        <f>TEXT(Table1[[#This Row],[Date]],"mmmm")</f>
        <v>July</v>
      </c>
      <c r="H2224" s="3" t="s">
        <v>1080</v>
      </c>
      <c r="I2224" s="3" t="s">
        <v>39</v>
      </c>
      <c r="J2224" s="3">
        <v>5</v>
      </c>
      <c r="K2224" s="3">
        <v>34110.379999999997</v>
      </c>
      <c r="L2224" s="3">
        <f>Table1[[#This Row],[Price Per Unit]]*Table1[[#This Row],[Units Sold]]</f>
        <v>170551.9</v>
      </c>
      <c r="M2224" s="3" t="s">
        <v>846</v>
      </c>
      <c r="N2224" s="3">
        <v>20</v>
      </c>
      <c r="O2224" s="3" t="s">
        <v>41</v>
      </c>
      <c r="P2224" s="3" t="s">
        <v>21</v>
      </c>
      <c r="Q2224" s="4">
        <v>2</v>
      </c>
      <c r="R2224" s="4" t="str">
        <f>IF(Table1[[#This Row],[Customer Ratings]]&gt;=4, "Good",IF(Table1[[#This Row],[Customer Ratings]]=3, "Average","Poor"))</f>
        <v>Poor</v>
      </c>
      <c r="S2224" s="3" t="s">
        <v>76</v>
      </c>
    </row>
    <row r="2225" spans="1:19" x14ac:dyDescent="0.25">
      <c r="A2225" s="3">
        <v>2224</v>
      </c>
      <c r="B2225" s="5">
        <f>DATE(Table1[[#This Row],[Year]],Table1[[#This Row],[Month]],Table1[[#This Row],[Day]])</f>
        <v>45109</v>
      </c>
      <c r="C2225" s="3">
        <v>2</v>
      </c>
      <c r="D2225" s="3">
        <v>7</v>
      </c>
      <c r="E2225" s="3">
        <v>2023</v>
      </c>
      <c r="F2225" s="3" t="str">
        <f>"Qtr"&amp; " " &amp;CHOOSE(MONTH(Table1[[#This Row],[Date]]),1,1,1,2,2,2,3,3,3,4,4,4)</f>
        <v>Qtr 3</v>
      </c>
      <c r="G2225" s="3" t="str">
        <f>TEXT(Table1[[#This Row],[Date]],"mmmm")</f>
        <v>July</v>
      </c>
      <c r="H2225" s="3" t="s">
        <v>1080</v>
      </c>
      <c r="I2225" s="3" t="s">
        <v>39</v>
      </c>
      <c r="J2225" s="3">
        <v>1</v>
      </c>
      <c r="K2225" s="3">
        <v>53018.52</v>
      </c>
      <c r="L2225" s="3">
        <f>Table1[[#This Row],[Price Per Unit]]*Table1[[#This Row],[Units Sold]]</f>
        <v>53018.52</v>
      </c>
      <c r="M2225" s="3" t="s">
        <v>260</v>
      </c>
      <c r="N2225" s="3">
        <v>48</v>
      </c>
      <c r="O2225" s="3" t="s">
        <v>98</v>
      </c>
      <c r="P2225" s="3" t="s">
        <v>45</v>
      </c>
      <c r="Q2225" s="4">
        <v>2</v>
      </c>
      <c r="R2225" s="4" t="str">
        <f>IF(Table1[[#This Row],[Customer Ratings]]&gt;=4, "Good",IF(Table1[[#This Row],[Customer Ratings]]=3, "Average","Poor"))</f>
        <v>Poor</v>
      </c>
      <c r="S2225" s="3" t="s">
        <v>42</v>
      </c>
    </row>
    <row r="2226" spans="1:19" x14ac:dyDescent="0.25">
      <c r="A2226" s="3">
        <v>2225</v>
      </c>
      <c r="B2226" s="5">
        <f>DATE(Table1[[#This Row],[Year]],Table1[[#This Row],[Month]],Table1[[#This Row],[Day]])</f>
        <v>45109</v>
      </c>
      <c r="C2226" s="3">
        <v>2</v>
      </c>
      <c r="D2226" s="3">
        <v>7</v>
      </c>
      <c r="E2226" s="3">
        <v>2023</v>
      </c>
      <c r="F2226" s="3" t="str">
        <f>"Qtr"&amp; " " &amp;CHOOSE(MONTH(Table1[[#This Row],[Date]]),1,1,1,2,2,2,3,3,3,4,4,4)</f>
        <v>Qtr 3</v>
      </c>
      <c r="G2226" s="3" t="str">
        <f>TEXT(Table1[[#This Row],[Date]],"mmmm")</f>
        <v>July</v>
      </c>
      <c r="H2226" s="3" t="s">
        <v>1080</v>
      </c>
      <c r="I2226" s="3" t="s">
        <v>33</v>
      </c>
      <c r="J2226" s="3">
        <v>6</v>
      </c>
      <c r="K2226" s="3">
        <v>62601.05</v>
      </c>
      <c r="L2226" s="3">
        <f>Table1[[#This Row],[Price Per Unit]]*Table1[[#This Row],[Units Sold]]</f>
        <v>375606.30000000005</v>
      </c>
      <c r="M2226" s="3" t="s">
        <v>835</v>
      </c>
      <c r="N2226" s="3">
        <v>42</v>
      </c>
      <c r="O2226" s="3" t="s">
        <v>137</v>
      </c>
      <c r="P2226" s="3" t="s">
        <v>31</v>
      </c>
      <c r="Q2226" s="4">
        <v>4</v>
      </c>
      <c r="R2226" s="4" t="str">
        <f>IF(Table1[[#This Row],[Customer Ratings]]&gt;=4, "Good",IF(Table1[[#This Row],[Customer Ratings]]=3, "Average","Poor"))</f>
        <v>Good</v>
      </c>
      <c r="S2226" s="3" t="s">
        <v>46</v>
      </c>
    </row>
    <row r="2227" spans="1:19" x14ac:dyDescent="0.25">
      <c r="A2227" s="3">
        <v>2226</v>
      </c>
      <c r="B2227" s="5">
        <f>DATE(Table1[[#This Row],[Year]],Table1[[#This Row],[Month]],Table1[[#This Row],[Day]])</f>
        <v>45110</v>
      </c>
      <c r="C2227" s="3">
        <v>3</v>
      </c>
      <c r="D2227" s="3">
        <v>7</v>
      </c>
      <c r="E2227" s="3">
        <v>2023</v>
      </c>
      <c r="F2227" s="3" t="str">
        <f>"Qtr"&amp; " " &amp;CHOOSE(MONTH(Table1[[#This Row],[Date]]),1,1,1,2,2,2,3,3,3,4,4,4)</f>
        <v>Qtr 3</v>
      </c>
      <c r="G2227" s="3" t="str">
        <f>TEXT(Table1[[#This Row],[Date]],"mmmm")</f>
        <v>July</v>
      </c>
      <c r="H2227" s="3" t="s">
        <v>1081</v>
      </c>
      <c r="I2227" s="3" t="s">
        <v>28</v>
      </c>
      <c r="J2227" s="3">
        <v>1</v>
      </c>
      <c r="K2227" s="3">
        <v>22978.06</v>
      </c>
      <c r="L2227" s="3">
        <f>Table1[[#This Row],[Price Per Unit]]*Table1[[#This Row],[Units Sold]]</f>
        <v>22978.06</v>
      </c>
      <c r="M2227" s="3" t="s">
        <v>764</v>
      </c>
      <c r="N2227" s="3">
        <v>25</v>
      </c>
      <c r="O2227" s="3" t="s">
        <v>52</v>
      </c>
      <c r="P2227" s="3" t="s">
        <v>16</v>
      </c>
      <c r="Q2227" s="4">
        <v>1</v>
      </c>
      <c r="R2227" s="4" t="str">
        <f>IF(Table1[[#This Row],[Customer Ratings]]&gt;=4, "Good",IF(Table1[[#This Row],[Customer Ratings]]=3, "Average","Poor"))</f>
        <v>Poor</v>
      </c>
      <c r="S2227" s="3" t="s">
        <v>38</v>
      </c>
    </row>
    <row r="2228" spans="1:19" x14ac:dyDescent="0.25">
      <c r="A2228" s="3">
        <v>2227</v>
      </c>
      <c r="B2228" s="5">
        <f>DATE(Table1[[#This Row],[Year]],Table1[[#This Row],[Month]],Table1[[#This Row],[Day]])</f>
        <v>45110</v>
      </c>
      <c r="C2228" s="3">
        <v>3</v>
      </c>
      <c r="D2228" s="3">
        <v>7</v>
      </c>
      <c r="E2228" s="3">
        <v>2023</v>
      </c>
      <c r="F2228" s="3" t="str">
        <f>"Qtr"&amp; " " &amp;CHOOSE(MONTH(Table1[[#This Row],[Date]]),1,1,1,2,2,2,3,3,3,4,4,4)</f>
        <v>Qtr 3</v>
      </c>
      <c r="G2228" s="3" t="str">
        <f>TEXT(Table1[[#This Row],[Date]],"mmmm")</f>
        <v>July</v>
      </c>
      <c r="H2228" s="3" t="s">
        <v>1081</v>
      </c>
      <c r="I2228" s="3" t="s">
        <v>18</v>
      </c>
      <c r="J2228" s="3">
        <v>3</v>
      </c>
      <c r="K2228" s="3">
        <v>58431.519999999997</v>
      </c>
      <c r="L2228" s="3">
        <f>Table1[[#This Row],[Price Per Unit]]*Table1[[#This Row],[Units Sold]]</f>
        <v>175294.56</v>
      </c>
      <c r="M2228" s="3" t="s">
        <v>474</v>
      </c>
      <c r="N2228" s="3">
        <v>18</v>
      </c>
      <c r="O2228" s="3" t="s">
        <v>81</v>
      </c>
      <c r="P2228" s="3" t="s">
        <v>31</v>
      </c>
      <c r="Q2228" s="4">
        <v>4</v>
      </c>
      <c r="R2228" s="4" t="str">
        <f>IF(Table1[[#This Row],[Customer Ratings]]&gt;=4, "Good",IF(Table1[[#This Row],[Customer Ratings]]=3, "Average","Poor"))</f>
        <v>Good</v>
      </c>
      <c r="S2228" s="3" t="s">
        <v>55</v>
      </c>
    </row>
    <row r="2229" spans="1:19" x14ac:dyDescent="0.25">
      <c r="A2229" s="3">
        <v>2228</v>
      </c>
      <c r="B2229" s="5">
        <f>DATE(Table1[[#This Row],[Year]],Table1[[#This Row],[Month]],Table1[[#This Row],[Day]])</f>
        <v>45110</v>
      </c>
      <c r="C2229" s="3">
        <v>3</v>
      </c>
      <c r="D2229" s="3">
        <v>7</v>
      </c>
      <c r="E2229" s="3">
        <v>2023</v>
      </c>
      <c r="F2229" s="3" t="str">
        <f>"Qtr"&amp; " " &amp;CHOOSE(MONTH(Table1[[#This Row],[Date]]),1,1,1,2,2,2,3,3,3,4,4,4)</f>
        <v>Qtr 3</v>
      </c>
      <c r="G2229" s="3" t="str">
        <f>TEXT(Table1[[#This Row],[Date]],"mmmm")</f>
        <v>July</v>
      </c>
      <c r="H2229" s="3" t="s">
        <v>1081</v>
      </c>
      <c r="I2229" s="3" t="s">
        <v>28</v>
      </c>
      <c r="J2229" s="3">
        <v>5</v>
      </c>
      <c r="K2229" s="3">
        <v>55444.13</v>
      </c>
      <c r="L2229" s="3">
        <f>Table1[[#This Row],[Price Per Unit]]*Table1[[#This Row],[Units Sold]]</f>
        <v>277220.64999999997</v>
      </c>
      <c r="M2229" s="3" t="s">
        <v>763</v>
      </c>
      <c r="N2229" s="3">
        <v>24</v>
      </c>
      <c r="O2229" s="3" t="s">
        <v>65</v>
      </c>
      <c r="P2229" s="3" t="s">
        <v>45</v>
      </c>
      <c r="Q2229" s="4">
        <v>1</v>
      </c>
      <c r="R2229" s="4" t="str">
        <f>IF(Table1[[#This Row],[Customer Ratings]]&gt;=4, "Good",IF(Table1[[#This Row],[Customer Ratings]]=3, "Average","Poor"))</f>
        <v>Poor</v>
      </c>
      <c r="S2229" s="3" t="s">
        <v>87</v>
      </c>
    </row>
    <row r="2230" spans="1:19" x14ac:dyDescent="0.25">
      <c r="A2230" s="3">
        <v>2229</v>
      </c>
      <c r="B2230" s="5">
        <f>DATE(Table1[[#This Row],[Year]],Table1[[#This Row],[Month]],Table1[[#This Row],[Day]])</f>
        <v>45111</v>
      </c>
      <c r="C2230" s="3">
        <v>4</v>
      </c>
      <c r="D2230" s="3">
        <v>7</v>
      </c>
      <c r="E2230" s="3">
        <v>2023</v>
      </c>
      <c r="F2230" s="3" t="str">
        <f>"Qtr"&amp; " " &amp;CHOOSE(MONTH(Table1[[#This Row],[Date]]),1,1,1,2,2,2,3,3,3,4,4,4)</f>
        <v>Qtr 3</v>
      </c>
      <c r="G2230" s="3" t="str">
        <f>TEXT(Table1[[#This Row],[Date]],"mmmm")</f>
        <v>July</v>
      </c>
      <c r="H2230" s="3" t="s">
        <v>1082</v>
      </c>
      <c r="I2230" s="3" t="s">
        <v>39</v>
      </c>
      <c r="J2230" s="3">
        <v>5</v>
      </c>
      <c r="K2230" s="3">
        <v>31416.240000000002</v>
      </c>
      <c r="L2230" s="3">
        <f>Table1[[#This Row],[Price Per Unit]]*Table1[[#This Row],[Units Sold]]</f>
        <v>157081.20000000001</v>
      </c>
      <c r="M2230" s="3" t="s">
        <v>659</v>
      </c>
      <c r="N2230" s="3">
        <v>24</v>
      </c>
      <c r="O2230" s="3" t="s">
        <v>35</v>
      </c>
      <c r="P2230" s="3" t="s">
        <v>31</v>
      </c>
      <c r="Q2230" s="4">
        <v>2</v>
      </c>
      <c r="R2230" s="4" t="str">
        <f>IF(Table1[[#This Row],[Customer Ratings]]&gt;=4, "Good",IF(Table1[[#This Row],[Customer Ratings]]=3, "Average","Poor"))</f>
        <v>Poor</v>
      </c>
      <c r="S2230" s="3" t="s">
        <v>76</v>
      </c>
    </row>
    <row r="2231" spans="1:19" x14ac:dyDescent="0.25">
      <c r="A2231" s="3">
        <v>2230</v>
      </c>
      <c r="B2231" s="5">
        <f>DATE(Table1[[#This Row],[Year]],Table1[[#This Row],[Month]],Table1[[#This Row],[Day]])</f>
        <v>45111</v>
      </c>
      <c r="C2231" s="3">
        <v>4</v>
      </c>
      <c r="D2231" s="3">
        <v>7</v>
      </c>
      <c r="E2231" s="3">
        <v>2023</v>
      </c>
      <c r="F2231" s="3" t="str">
        <f>"Qtr"&amp; " " &amp;CHOOSE(MONTH(Table1[[#This Row],[Date]]),1,1,1,2,2,2,3,3,3,4,4,4)</f>
        <v>Qtr 3</v>
      </c>
      <c r="G2231" s="3" t="str">
        <f>TEXT(Table1[[#This Row],[Date]],"mmmm")</f>
        <v>July</v>
      </c>
      <c r="H2231" s="3" t="s">
        <v>1082</v>
      </c>
      <c r="I2231" s="3" t="s">
        <v>39</v>
      </c>
      <c r="J2231" s="3">
        <v>6</v>
      </c>
      <c r="K2231" s="3">
        <v>69371.199999999997</v>
      </c>
      <c r="L2231" s="3">
        <f>Table1[[#This Row],[Price Per Unit]]*Table1[[#This Row],[Units Sold]]</f>
        <v>416227.19999999995</v>
      </c>
      <c r="M2231" s="3" t="s">
        <v>215</v>
      </c>
      <c r="N2231" s="3">
        <v>25</v>
      </c>
      <c r="O2231" s="3" t="s">
        <v>20</v>
      </c>
      <c r="P2231" s="3" t="s">
        <v>31</v>
      </c>
      <c r="Q2231" s="4">
        <v>4</v>
      </c>
      <c r="R2231" s="4" t="str">
        <f>IF(Table1[[#This Row],[Customer Ratings]]&gt;=4, "Good",IF(Table1[[#This Row],[Customer Ratings]]=3, "Average","Poor"))</f>
        <v>Good</v>
      </c>
      <c r="S2231" s="3" t="s">
        <v>76</v>
      </c>
    </row>
    <row r="2232" spans="1:19" x14ac:dyDescent="0.25">
      <c r="A2232" s="3">
        <v>2231</v>
      </c>
      <c r="B2232" s="5">
        <f>DATE(Table1[[#This Row],[Year]],Table1[[#This Row],[Month]],Table1[[#This Row],[Day]])</f>
        <v>45111</v>
      </c>
      <c r="C2232" s="3">
        <v>4</v>
      </c>
      <c r="D2232" s="3">
        <v>7</v>
      </c>
      <c r="E2232" s="3">
        <v>2023</v>
      </c>
      <c r="F2232" s="3" t="str">
        <f>"Qtr"&amp; " " &amp;CHOOSE(MONTH(Table1[[#This Row],[Date]]),1,1,1,2,2,2,3,3,3,4,4,4)</f>
        <v>Qtr 3</v>
      </c>
      <c r="G2232" s="3" t="str">
        <f>TEXT(Table1[[#This Row],[Date]],"mmmm")</f>
        <v>July</v>
      </c>
      <c r="H2232" s="3" t="s">
        <v>1082</v>
      </c>
      <c r="I2232" s="3" t="s">
        <v>39</v>
      </c>
      <c r="J2232" s="3">
        <v>8</v>
      </c>
      <c r="K2232" s="3">
        <v>25754.34</v>
      </c>
      <c r="L2232" s="3">
        <f>Table1[[#This Row],[Price Per Unit]]*Table1[[#This Row],[Units Sold]]</f>
        <v>206034.72</v>
      </c>
      <c r="M2232" s="3" t="s">
        <v>937</v>
      </c>
      <c r="N2232" s="3">
        <v>36</v>
      </c>
      <c r="O2232" s="3" t="s">
        <v>105</v>
      </c>
      <c r="P2232" s="3" t="s">
        <v>45</v>
      </c>
      <c r="Q2232" s="4">
        <v>4</v>
      </c>
      <c r="R2232" s="4" t="str">
        <f>IF(Table1[[#This Row],[Customer Ratings]]&gt;=4, "Good",IF(Table1[[#This Row],[Customer Ratings]]=3, "Average","Poor"))</f>
        <v>Good</v>
      </c>
      <c r="S2232" s="3" t="s">
        <v>90</v>
      </c>
    </row>
    <row r="2233" spans="1:19" x14ac:dyDescent="0.25">
      <c r="A2233" s="3">
        <v>2232</v>
      </c>
      <c r="B2233" s="5">
        <f>DATE(Table1[[#This Row],[Year]],Table1[[#This Row],[Month]],Table1[[#This Row],[Day]])</f>
        <v>45112</v>
      </c>
      <c r="C2233" s="3">
        <v>5</v>
      </c>
      <c r="D2233" s="3">
        <v>7</v>
      </c>
      <c r="E2233" s="3">
        <v>2023</v>
      </c>
      <c r="F2233" s="3" t="str">
        <f>"Qtr"&amp; " " &amp;CHOOSE(MONTH(Table1[[#This Row],[Date]]),1,1,1,2,2,2,3,3,3,4,4,4)</f>
        <v>Qtr 3</v>
      </c>
      <c r="G2233" s="3" t="str">
        <f>TEXT(Table1[[#This Row],[Date]],"mmmm")</f>
        <v>July</v>
      </c>
      <c r="H2233" s="3" t="s">
        <v>1083</v>
      </c>
      <c r="I2233" s="3" t="s">
        <v>28</v>
      </c>
      <c r="J2233" s="3">
        <v>5</v>
      </c>
      <c r="K2233" s="3">
        <v>25288.2</v>
      </c>
      <c r="L2233" s="3">
        <f>Table1[[#This Row],[Price Per Unit]]*Table1[[#This Row],[Units Sold]]</f>
        <v>126441</v>
      </c>
      <c r="M2233" s="3" t="s">
        <v>811</v>
      </c>
      <c r="N2233" s="3">
        <v>34</v>
      </c>
      <c r="O2233" s="3" t="s">
        <v>105</v>
      </c>
      <c r="P2233" s="3" t="s">
        <v>16</v>
      </c>
      <c r="Q2233" s="4">
        <v>5</v>
      </c>
      <c r="R2233" s="4" t="str">
        <f>IF(Table1[[#This Row],[Customer Ratings]]&gt;=4, "Good",IF(Table1[[#This Row],[Customer Ratings]]=3, "Average","Poor"))</f>
        <v>Good</v>
      </c>
      <c r="S2233" s="3" t="s">
        <v>38</v>
      </c>
    </row>
    <row r="2234" spans="1:19" x14ac:dyDescent="0.25">
      <c r="A2234" s="3">
        <v>2233</v>
      </c>
      <c r="B2234" s="5">
        <f>DATE(Table1[[#This Row],[Year]],Table1[[#This Row],[Month]],Table1[[#This Row],[Day]])</f>
        <v>45112</v>
      </c>
      <c r="C2234" s="3">
        <v>5</v>
      </c>
      <c r="D2234" s="3">
        <v>7</v>
      </c>
      <c r="E2234" s="3">
        <v>2023</v>
      </c>
      <c r="F2234" s="3" t="str">
        <f>"Qtr"&amp; " " &amp;CHOOSE(MONTH(Table1[[#This Row],[Date]]),1,1,1,2,2,2,3,3,3,4,4,4)</f>
        <v>Qtr 3</v>
      </c>
      <c r="G2234" s="3" t="str">
        <f>TEXT(Table1[[#This Row],[Date]],"mmmm")</f>
        <v>July</v>
      </c>
      <c r="H2234" s="3" t="s">
        <v>1083</v>
      </c>
      <c r="I2234" s="3" t="s">
        <v>39</v>
      </c>
      <c r="J2234" s="3">
        <v>1</v>
      </c>
      <c r="K2234" s="3">
        <v>56335.55</v>
      </c>
      <c r="L2234" s="3">
        <f>Table1[[#This Row],[Price Per Unit]]*Table1[[#This Row],[Units Sold]]</f>
        <v>56335.55</v>
      </c>
      <c r="M2234" s="3" t="s">
        <v>485</v>
      </c>
      <c r="N2234" s="3">
        <v>28</v>
      </c>
      <c r="O2234" s="3" t="s">
        <v>24</v>
      </c>
      <c r="P2234" s="3" t="s">
        <v>16</v>
      </c>
      <c r="Q2234" s="4">
        <v>4</v>
      </c>
      <c r="R2234" s="4" t="str">
        <f>IF(Table1[[#This Row],[Customer Ratings]]&gt;=4, "Good",IF(Table1[[#This Row],[Customer Ratings]]=3, "Average","Poor"))</f>
        <v>Good</v>
      </c>
      <c r="S2234" s="3" t="s">
        <v>90</v>
      </c>
    </row>
    <row r="2235" spans="1:19" x14ac:dyDescent="0.25">
      <c r="A2235" s="3">
        <v>2234</v>
      </c>
      <c r="B2235" s="5">
        <f>DATE(Table1[[#This Row],[Year]],Table1[[#This Row],[Month]],Table1[[#This Row],[Day]])</f>
        <v>45112</v>
      </c>
      <c r="C2235" s="3">
        <v>5</v>
      </c>
      <c r="D2235" s="3">
        <v>7</v>
      </c>
      <c r="E2235" s="3">
        <v>2023</v>
      </c>
      <c r="F2235" s="3" t="str">
        <f>"Qtr"&amp; " " &amp;CHOOSE(MONTH(Table1[[#This Row],[Date]]),1,1,1,2,2,2,3,3,3,4,4,4)</f>
        <v>Qtr 3</v>
      </c>
      <c r="G2235" s="3" t="str">
        <f>TEXT(Table1[[#This Row],[Date]],"mmmm")</f>
        <v>July</v>
      </c>
      <c r="H2235" s="3" t="s">
        <v>1083</v>
      </c>
      <c r="I2235" s="3" t="s">
        <v>33</v>
      </c>
      <c r="J2235" s="3">
        <v>5</v>
      </c>
      <c r="K2235" s="3">
        <v>36079.440000000002</v>
      </c>
      <c r="L2235" s="3">
        <f>Table1[[#This Row],[Price Per Unit]]*Table1[[#This Row],[Units Sold]]</f>
        <v>180397.2</v>
      </c>
      <c r="M2235" s="3" t="s">
        <v>483</v>
      </c>
      <c r="N2235" s="3">
        <v>58</v>
      </c>
      <c r="O2235" s="3" t="s">
        <v>35</v>
      </c>
      <c r="P2235" s="3" t="s">
        <v>45</v>
      </c>
      <c r="Q2235" s="4">
        <v>1</v>
      </c>
      <c r="R2235" s="4" t="str">
        <f>IF(Table1[[#This Row],[Customer Ratings]]&gt;=4, "Good",IF(Table1[[#This Row],[Customer Ratings]]=3, "Average","Poor"))</f>
        <v>Poor</v>
      </c>
      <c r="S2235" s="3" t="s">
        <v>36</v>
      </c>
    </row>
    <row r="2236" spans="1:19" x14ac:dyDescent="0.25">
      <c r="A2236" s="3">
        <v>2235</v>
      </c>
      <c r="B2236" s="5">
        <f>DATE(Table1[[#This Row],[Year]],Table1[[#This Row],[Month]],Table1[[#This Row],[Day]])</f>
        <v>45112</v>
      </c>
      <c r="C2236" s="3">
        <v>5</v>
      </c>
      <c r="D2236" s="3">
        <v>7</v>
      </c>
      <c r="E2236" s="3">
        <v>2023</v>
      </c>
      <c r="F2236" s="3" t="str">
        <f>"Qtr"&amp; " " &amp;CHOOSE(MONTH(Table1[[#This Row],[Date]]),1,1,1,2,2,2,3,3,3,4,4,4)</f>
        <v>Qtr 3</v>
      </c>
      <c r="G2236" s="3" t="str">
        <f>TEXT(Table1[[#This Row],[Date]],"mmmm")</f>
        <v>July</v>
      </c>
      <c r="H2236" s="3" t="s">
        <v>1083</v>
      </c>
      <c r="I2236" s="3" t="s">
        <v>39</v>
      </c>
      <c r="J2236" s="3">
        <v>3</v>
      </c>
      <c r="K2236" s="3">
        <v>29847.7</v>
      </c>
      <c r="L2236" s="3">
        <f>Table1[[#This Row],[Price Per Unit]]*Table1[[#This Row],[Units Sold]]</f>
        <v>89543.1</v>
      </c>
      <c r="M2236" s="3" t="s">
        <v>233</v>
      </c>
      <c r="N2236" s="3">
        <v>28</v>
      </c>
      <c r="O2236" s="3" t="s">
        <v>20</v>
      </c>
      <c r="P2236" s="3" t="s">
        <v>16</v>
      </c>
      <c r="Q2236" s="4">
        <v>5</v>
      </c>
      <c r="R2236" s="4" t="str">
        <f>IF(Table1[[#This Row],[Customer Ratings]]&gt;=4, "Good",IF(Table1[[#This Row],[Customer Ratings]]=3, "Average","Poor"))</f>
        <v>Good</v>
      </c>
      <c r="S2236" s="3" t="s">
        <v>90</v>
      </c>
    </row>
    <row r="2237" spans="1:19" x14ac:dyDescent="0.25">
      <c r="A2237" s="3">
        <v>2236</v>
      </c>
      <c r="B2237" s="5">
        <f>DATE(Table1[[#This Row],[Year]],Table1[[#This Row],[Month]],Table1[[#This Row],[Day]])</f>
        <v>45113</v>
      </c>
      <c r="C2237" s="3">
        <v>6</v>
      </c>
      <c r="D2237" s="3">
        <v>7</v>
      </c>
      <c r="E2237" s="3">
        <v>2023</v>
      </c>
      <c r="F2237" s="3" t="str">
        <f>"Qtr"&amp; " " &amp;CHOOSE(MONTH(Table1[[#This Row],[Date]]),1,1,1,2,2,2,3,3,3,4,4,4)</f>
        <v>Qtr 3</v>
      </c>
      <c r="G2237" s="3" t="str">
        <f>TEXT(Table1[[#This Row],[Date]],"mmmm")</f>
        <v>July</v>
      </c>
      <c r="H2237" s="3" t="s">
        <v>1084</v>
      </c>
      <c r="I2237" s="3" t="s">
        <v>13</v>
      </c>
      <c r="J2237" s="3">
        <v>4</v>
      </c>
      <c r="K2237" s="3">
        <v>20719.77</v>
      </c>
      <c r="L2237" s="3">
        <f>Table1[[#This Row],[Price Per Unit]]*Table1[[#This Row],[Units Sold]]</f>
        <v>82879.08</v>
      </c>
      <c r="M2237" s="3" t="s">
        <v>53</v>
      </c>
      <c r="N2237" s="3">
        <v>55</v>
      </c>
      <c r="O2237" s="3" t="s">
        <v>52</v>
      </c>
      <c r="P2237" s="3" t="s">
        <v>21</v>
      </c>
      <c r="Q2237" s="4">
        <v>4</v>
      </c>
      <c r="R2237" s="4" t="str">
        <f>IF(Table1[[#This Row],[Customer Ratings]]&gt;=4, "Good",IF(Table1[[#This Row],[Customer Ratings]]=3, "Average","Poor"))</f>
        <v>Good</v>
      </c>
      <c r="S2237" s="3" t="s">
        <v>72</v>
      </c>
    </row>
    <row r="2238" spans="1:19" x14ac:dyDescent="0.25">
      <c r="A2238" s="3">
        <v>2237</v>
      </c>
      <c r="B2238" s="5">
        <f>DATE(Table1[[#This Row],[Year]],Table1[[#This Row],[Month]],Table1[[#This Row],[Day]])</f>
        <v>45113</v>
      </c>
      <c r="C2238" s="3">
        <v>6</v>
      </c>
      <c r="D2238" s="3">
        <v>7</v>
      </c>
      <c r="E2238" s="3">
        <v>2023</v>
      </c>
      <c r="F2238" s="3" t="str">
        <f>"Qtr"&amp; " " &amp;CHOOSE(MONTH(Table1[[#This Row],[Date]]),1,1,1,2,2,2,3,3,3,4,4,4)</f>
        <v>Qtr 3</v>
      </c>
      <c r="G2238" s="3" t="str">
        <f>TEXT(Table1[[#This Row],[Date]],"mmmm")</f>
        <v>July</v>
      </c>
      <c r="H2238" s="3" t="s">
        <v>1084</v>
      </c>
      <c r="I2238" s="3" t="s">
        <v>28</v>
      </c>
      <c r="J2238" s="3">
        <v>8</v>
      </c>
      <c r="K2238" s="3">
        <v>55919.95</v>
      </c>
      <c r="L2238" s="3">
        <f>Table1[[#This Row],[Price Per Unit]]*Table1[[#This Row],[Units Sold]]</f>
        <v>447359.6</v>
      </c>
      <c r="M2238" s="3" t="s">
        <v>454</v>
      </c>
      <c r="N2238" s="3">
        <v>58</v>
      </c>
      <c r="O2238" s="3" t="s">
        <v>78</v>
      </c>
      <c r="P2238" s="3" t="s">
        <v>31</v>
      </c>
      <c r="Q2238" s="4">
        <v>4</v>
      </c>
      <c r="R2238" s="4" t="str">
        <f>IF(Table1[[#This Row],[Customer Ratings]]&gt;=4, "Good",IF(Table1[[#This Row],[Customer Ratings]]=3, "Average","Poor"))</f>
        <v>Good</v>
      </c>
      <c r="S2238" s="3" t="s">
        <v>87</v>
      </c>
    </row>
    <row r="2239" spans="1:19" x14ac:dyDescent="0.25">
      <c r="A2239" s="3">
        <v>2238</v>
      </c>
      <c r="B2239" s="5">
        <f>DATE(Table1[[#This Row],[Year]],Table1[[#This Row],[Month]],Table1[[#This Row],[Day]])</f>
        <v>45113</v>
      </c>
      <c r="C2239" s="3">
        <v>6</v>
      </c>
      <c r="D2239" s="3">
        <v>7</v>
      </c>
      <c r="E2239" s="3">
        <v>2023</v>
      </c>
      <c r="F2239" s="3" t="str">
        <f>"Qtr"&amp; " " &amp;CHOOSE(MONTH(Table1[[#This Row],[Date]]),1,1,1,2,2,2,3,3,3,4,4,4)</f>
        <v>Qtr 3</v>
      </c>
      <c r="G2239" s="3" t="str">
        <f>TEXT(Table1[[#This Row],[Date]],"mmmm")</f>
        <v>July</v>
      </c>
      <c r="H2239" s="3" t="s">
        <v>1084</v>
      </c>
      <c r="I2239" s="3" t="s">
        <v>13</v>
      </c>
      <c r="J2239" s="3">
        <v>7</v>
      </c>
      <c r="K2239" s="3">
        <v>57179.31</v>
      </c>
      <c r="L2239" s="3">
        <f>Table1[[#This Row],[Price Per Unit]]*Table1[[#This Row],[Units Sold]]</f>
        <v>400255.17</v>
      </c>
      <c r="M2239" s="3" t="s">
        <v>829</v>
      </c>
      <c r="N2239" s="3">
        <v>19</v>
      </c>
      <c r="O2239" s="3" t="s">
        <v>20</v>
      </c>
      <c r="P2239" s="3" t="s">
        <v>45</v>
      </c>
      <c r="Q2239" s="4">
        <v>5</v>
      </c>
      <c r="R2239" s="4" t="str">
        <f>IF(Table1[[#This Row],[Customer Ratings]]&gt;=4, "Good",IF(Table1[[#This Row],[Customer Ratings]]=3, "Average","Poor"))</f>
        <v>Good</v>
      </c>
      <c r="S2239" s="3" t="s">
        <v>72</v>
      </c>
    </row>
    <row r="2240" spans="1:19" x14ac:dyDescent="0.25">
      <c r="A2240" s="3">
        <v>2239</v>
      </c>
      <c r="B2240" s="5">
        <f>DATE(Table1[[#This Row],[Year]],Table1[[#This Row],[Month]],Table1[[#This Row],[Day]])</f>
        <v>45113</v>
      </c>
      <c r="C2240" s="3">
        <v>6</v>
      </c>
      <c r="D2240" s="3">
        <v>7</v>
      </c>
      <c r="E2240" s="3">
        <v>2023</v>
      </c>
      <c r="F2240" s="3" t="str">
        <f>"Qtr"&amp; " " &amp;CHOOSE(MONTH(Table1[[#This Row],[Date]]),1,1,1,2,2,2,3,3,3,4,4,4)</f>
        <v>Qtr 3</v>
      </c>
      <c r="G2240" s="3" t="str">
        <f>TEXT(Table1[[#This Row],[Date]],"mmmm")</f>
        <v>July</v>
      </c>
      <c r="H2240" s="3" t="s">
        <v>1084</v>
      </c>
      <c r="I2240" s="3" t="s">
        <v>39</v>
      </c>
      <c r="J2240" s="3">
        <v>5</v>
      </c>
      <c r="K2240" s="3">
        <v>43993.84</v>
      </c>
      <c r="L2240" s="3">
        <f>Table1[[#This Row],[Price Per Unit]]*Table1[[#This Row],[Units Sold]]</f>
        <v>219969.19999999998</v>
      </c>
      <c r="M2240" s="3" t="s">
        <v>457</v>
      </c>
      <c r="N2240" s="3">
        <v>21</v>
      </c>
      <c r="O2240" s="3" t="s">
        <v>137</v>
      </c>
      <c r="P2240" s="3" t="s">
        <v>21</v>
      </c>
      <c r="Q2240" s="4">
        <v>2</v>
      </c>
      <c r="R2240" s="4" t="str">
        <f>IF(Table1[[#This Row],[Customer Ratings]]&gt;=4, "Good",IF(Table1[[#This Row],[Customer Ratings]]=3, "Average","Poor"))</f>
        <v>Poor</v>
      </c>
      <c r="S2240" s="3" t="s">
        <v>42</v>
      </c>
    </row>
    <row r="2241" spans="1:19" x14ac:dyDescent="0.25">
      <c r="A2241" s="3">
        <v>2240</v>
      </c>
      <c r="B2241" s="5">
        <f>DATE(Table1[[#This Row],[Year]],Table1[[#This Row],[Month]],Table1[[#This Row],[Day]])</f>
        <v>45114</v>
      </c>
      <c r="C2241" s="3">
        <v>7</v>
      </c>
      <c r="D2241" s="3">
        <v>7</v>
      </c>
      <c r="E2241" s="3">
        <v>2023</v>
      </c>
      <c r="F2241" s="3" t="str">
        <f>"Qtr"&amp; " " &amp;CHOOSE(MONTH(Table1[[#This Row],[Date]]),1,1,1,2,2,2,3,3,3,4,4,4)</f>
        <v>Qtr 3</v>
      </c>
      <c r="G2241" s="3" t="str">
        <f>TEXT(Table1[[#This Row],[Date]],"mmmm")</f>
        <v>July</v>
      </c>
      <c r="H2241" s="3" t="s">
        <v>1085</v>
      </c>
      <c r="I2241" s="3" t="s">
        <v>33</v>
      </c>
      <c r="J2241" s="3">
        <v>2</v>
      </c>
      <c r="K2241" s="3">
        <v>67438.820000000007</v>
      </c>
      <c r="L2241" s="3">
        <f>Table1[[#This Row],[Price Per Unit]]*Table1[[#This Row],[Units Sold]]</f>
        <v>134877.64000000001</v>
      </c>
      <c r="M2241" s="3" t="s">
        <v>855</v>
      </c>
      <c r="N2241" s="3">
        <v>45</v>
      </c>
      <c r="O2241" s="3" t="s">
        <v>24</v>
      </c>
      <c r="P2241" s="3" t="s">
        <v>31</v>
      </c>
      <c r="Q2241" s="4">
        <v>4</v>
      </c>
      <c r="R2241" s="4" t="str">
        <f>IF(Table1[[#This Row],[Customer Ratings]]&gt;=4, "Good",IF(Table1[[#This Row],[Customer Ratings]]=3, "Average","Poor"))</f>
        <v>Good</v>
      </c>
      <c r="S2241" s="3" t="s">
        <v>36</v>
      </c>
    </row>
    <row r="2242" spans="1:19" x14ac:dyDescent="0.25">
      <c r="A2242" s="3">
        <v>2241</v>
      </c>
      <c r="B2242" s="5">
        <f>DATE(Table1[[#This Row],[Year]],Table1[[#This Row],[Month]],Table1[[#This Row],[Day]])</f>
        <v>45114</v>
      </c>
      <c r="C2242" s="3">
        <v>7</v>
      </c>
      <c r="D2242" s="3">
        <v>7</v>
      </c>
      <c r="E2242" s="3">
        <v>2023</v>
      </c>
      <c r="F2242" s="3" t="str">
        <f>"Qtr"&amp; " " &amp;CHOOSE(MONTH(Table1[[#This Row],[Date]]),1,1,1,2,2,2,3,3,3,4,4,4)</f>
        <v>Qtr 3</v>
      </c>
      <c r="G2242" s="3" t="str">
        <f>TEXT(Table1[[#This Row],[Date]],"mmmm")</f>
        <v>July</v>
      </c>
      <c r="H2242" s="3" t="s">
        <v>1085</v>
      </c>
      <c r="I2242" s="3" t="s">
        <v>18</v>
      </c>
      <c r="J2242" s="3">
        <v>6</v>
      </c>
      <c r="K2242" s="3">
        <v>29089.8</v>
      </c>
      <c r="L2242" s="3">
        <f>Table1[[#This Row],[Price Per Unit]]*Table1[[#This Row],[Units Sold]]</f>
        <v>174538.8</v>
      </c>
      <c r="M2242" s="3" t="s">
        <v>376</v>
      </c>
      <c r="N2242" s="3">
        <v>50</v>
      </c>
      <c r="O2242" s="3" t="s">
        <v>48</v>
      </c>
      <c r="P2242" s="3" t="s">
        <v>45</v>
      </c>
      <c r="Q2242" s="4">
        <v>4</v>
      </c>
      <c r="R2242" s="4" t="str">
        <f>IF(Table1[[#This Row],[Customer Ratings]]&gt;=4, "Good",IF(Table1[[#This Row],[Customer Ratings]]=3, "Average","Poor"))</f>
        <v>Good</v>
      </c>
      <c r="S2242" s="3" t="s">
        <v>25</v>
      </c>
    </row>
    <row r="2243" spans="1:19" x14ac:dyDescent="0.25">
      <c r="A2243" s="3">
        <v>2242</v>
      </c>
      <c r="B2243" s="5">
        <f>DATE(Table1[[#This Row],[Year]],Table1[[#This Row],[Month]],Table1[[#This Row],[Day]])</f>
        <v>45114</v>
      </c>
      <c r="C2243" s="3">
        <v>7</v>
      </c>
      <c r="D2243" s="3">
        <v>7</v>
      </c>
      <c r="E2243" s="3">
        <v>2023</v>
      </c>
      <c r="F2243" s="3" t="str">
        <f>"Qtr"&amp; " " &amp;CHOOSE(MONTH(Table1[[#This Row],[Date]]),1,1,1,2,2,2,3,3,3,4,4,4)</f>
        <v>Qtr 3</v>
      </c>
      <c r="G2243" s="3" t="str">
        <f>TEXT(Table1[[#This Row],[Date]],"mmmm")</f>
        <v>July</v>
      </c>
      <c r="H2243" s="3" t="s">
        <v>1085</v>
      </c>
      <c r="I2243" s="3" t="s">
        <v>39</v>
      </c>
      <c r="J2243" s="3">
        <v>6</v>
      </c>
      <c r="K2243" s="3">
        <v>23177.14</v>
      </c>
      <c r="L2243" s="3">
        <f>Table1[[#This Row],[Price Per Unit]]*Table1[[#This Row],[Units Sold]]</f>
        <v>139062.84</v>
      </c>
      <c r="M2243" s="3" t="s">
        <v>960</v>
      </c>
      <c r="N2243" s="3">
        <v>28</v>
      </c>
      <c r="O2243" s="3" t="s">
        <v>54</v>
      </c>
      <c r="P2243" s="3" t="s">
        <v>16</v>
      </c>
      <c r="Q2243" s="4">
        <v>2</v>
      </c>
      <c r="R2243" s="4" t="str">
        <f>IF(Table1[[#This Row],[Customer Ratings]]&gt;=4, "Good",IF(Table1[[#This Row],[Customer Ratings]]=3, "Average","Poor"))</f>
        <v>Poor</v>
      </c>
      <c r="S2243" s="3" t="s">
        <v>90</v>
      </c>
    </row>
    <row r="2244" spans="1:19" x14ac:dyDescent="0.25">
      <c r="A2244" s="3">
        <v>2243</v>
      </c>
      <c r="B2244" s="5">
        <f>DATE(Table1[[#This Row],[Year]],Table1[[#This Row],[Month]],Table1[[#This Row],[Day]])</f>
        <v>45115</v>
      </c>
      <c r="C2244" s="3">
        <v>8</v>
      </c>
      <c r="D2244" s="3">
        <v>7</v>
      </c>
      <c r="E2244" s="3">
        <v>2023</v>
      </c>
      <c r="F2244" s="3" t="str">
        <f>"Qtr"&amp; " " &amp;CHOOSE(MONTH(Table1[[#This Row],[Date]]),1,1,1,2,2,2,3,3,3,4,4,4)</f>
        <v>Qtr 3</v>
      </c>
      <c r="G2244" s="3" t="str">
        <f>TEXT(Table1[[#This Row],[Date]],"mmmm")</f>
        <v>July</v>
      </c>
      <c r="H2244" s="3" t="s">
        <v>1079</v>
      </c>
      <c r="I2244" s="3" t="s">
        <v>33</v>
      </c>
      <c r="J2244" s="3">
        <v>6</v>
      </c>
      <c r="K2244" s="3">
        <v>50648.01</v>
      </c>
      <c r="L2244" s="3">
        <f>Table1[[#This Row],[Price Per Unit]]*Table1[[#This Row],[Units Sold]]</f>
        <v>303888.06</v>
      </c>
      <c r="M2244" s="3" t="s">
        <v>700</v>
      </c>
      <c r="N2244" s="3">
        <v>20</v>
      </c>
      <c r="O2244" s="3" t="s">
        <v>58</v>
      </c>
      <c r="P2244" s="3" t="s">
        <v>45</v>
      </c>
      <c r="Q2244" s="4">
        <v>4</v>
      </c>
      <c r="R2244" s="4" t="str">
        <f>IF(Table1[[#This Row],[Customer Ratings]]&gt;=4, "Good",IF(Table1[[#This Row],[Customer Ratings]]=3, "Average","Poor"))</f>
        <v>Good</v>
      </c>
      <c r="S2244" s="3" t="s">
        <v>46</v>
      </c>
    </row>
    <row r="2245" spans="1:19" x14ac:dyDescent="0.25">
      <c r="A2245" s="3">
        <v>2244</v>
      </c>
      <c r="B2245" s="5">
        <f>DATE(Table1[[#This Row],[Year]],Table1[[#This Row],[Month]],Table1[[#This Row],[Day]])</f>
        <v>45115</v>
      </c>
      <c r="C2245" s="3">
        <v>8</v>
      </c>
      <c r="D2245" s="3">
        <v>7</v>
      </c>
      <c r="E2245" s="3">
        <v>2023</v>
      </c>
      <c r="F2245" s="3" t="str">
        <f>"Qtr"&amp; " " &amp;CHOOSE(MONTH(Table1[[#This Row],[Date]]),1,1,1,2,2,2,3,3,3,4,4,4)</f>
        <v>Qtr 3</v>
      </c>
      <c r="G2245" s="3" t="str">
        <f>TEXT(Table1[[#This Row],[Date]],"mmmm")</f>
        <v>July</v>
      </c>
      <c r="H2245" s="3" t="s">
        <v>1079</v>
      </c>
      <c r="I2245" s="3" t="s">
        <v>28</v>
      </c>
      <c r="J2245" s="3">
        <v>9</v>
      </c>
      <c r="K2245" s="3">
        <v>55504.52</v>
      </c>
      <c r="L2245" s="3">
        <f>Table1[[#This Row],[Price Per Unit]]*Table1[[#This Row],[Units Sold]]</f>
        <v>499540.68</v>
      </c>
      <c r="M2245" s="3" t="s">
        <v>448</v>
      </c>
      <c r="N2245" s="3">
        <v>57</v>
      </c>
      <c r="O2245" s="3" t="s">
        <v>58</v>
      </c>
      <c r="P2245" s="3" t="s">
        <v>45</v>
      </c>
      <c r="Q2245" s="4">
        <v>2</v>
      </c>
      <c r="R2245" s="4" t="str">
        <f>IF(Table1[[#This Row],[Customer Ratings]]&gt;=4, "Good",IF(Table1[[#This Row],[Customer Ratings]]=3, "Average","Poor"))</f>
        <v>Poor</v>
      </c>
      <c r="S2245" s="3" t="s">
        <v>38</v>
      </c>
    </row>
    <row r="2246" spans="1:19" x14ac:dyDescent="0.25">
      <c r="A2246" s="3">
        <v>2245</v>
      </c>
      <c r="B2246" s="5">
        <f>DATE(Table1[[#This Row],[Year]],Table1[[#This Row],[Month]],Table1[[#This Row],[Day]])</f>
        <v>45115</v>
      </c>
      <c r="C2246" s="3">
        <v>8</v>
      </c>
      <c r="D2246" s="3">
        <v>7</v>
      </c>
      <c r="E2246" s="3">
        <v>2023</v>
      </c>
      <c r="F2246" s="3" t="str">
        <f>"Qtr"&amp; " " &amp;CHOOSE(MONTH(Table1[[#This Row],[Date]]),1,1,1,2,2,2,3,3,3,4,4,4)</f>
        <v>Qtr 3</v>
      </c>
      <c r="G2246" s="3" t="str">
        <f>TEXT(Table1[[#This Row],[Date]],"mmmm")</f>
        <v>July</v>
      </c>
      <c r="H2246" s="3" t="s">
        <v>1079</v>
      </c>
      <c r="I2246" s="3" t="s">
        <v>13</v>
      </c>
      <c r="J2246" s="3">
        <v>8</v>
      </c>
      <c r="K2246" s="3">
        <v>23494.36</v>
      </c>
      <c r="L2246" s="3">
        <f>Table1[[#This Row],[Price Per Unit]]*Table1[[#This Row],[Units Sold]]</f>
        <v>187954.88</v>
      </c>
      <c r="M2246" s="3" t="s">
        <v>209</v>
      </c>
      <c r="N2246" s="3">
        <v>22</v>
      </c>
      <c r="O2246" s="3" t="s">
        <v>24</v>
      </c>
      <c r="P2246" s="3" t="s">
        <v>31</v>
      </c>
      <c r="Q2246" s="4">
        <v>2</v>
      </c>
      <c r="R2246" s="4" t="str">
        <f>IF(Table1[[#This Row],[Customer Ratings]]&gt;=4, "Good",IF(Table1[[#This Row],[Customer Ratings]]=3, "Average","Poor"))</f>
        <v>Poor</v>
      </c>
      <c r="S2246" s="3" t="s">
        <v>17</v>
      </c>
    </row>
    <row r="2247" spans="1:19" x14ac:dyDescent="0.25">
      <c r="A2247" s="3">
        <v>2246</v>
      </c>
      <c r="B2247" s="5">
        <f>DATE(Table1[[#This Row],[Year]],Table1[[#This Row],[Month]],Table1[[#This Row],[Day]])</f>
        <v>45116</v>
      </c>
      <c r="C2247" s="3">
        <v>9</v>
      </c>
      <c r="D2247" s="3">
        <v>7</v>
      </c>
      <c r="E2247" s="3">
        <v>2023</v>
      </c>
      <c r="F2247" s="3" t="str">
        <f>"Qtr"&amp; " " &amp;CHOOSE(MONTH(Table1[[#This Row],[Date]]),1,1,1,2,2,2,3,3,3,4,4,4)</f>
        <v>Qtr 3</v>
      </c>
      <c r="G2247" s="3" t="str">
        <f>TEXT(Table1[[#This Row],[Date]],"mmmm")</f>
        <v>July</v>
      </c>
      <c r="H2247" s="3" t="s">
        <v>1080</v>
      </c>
      <c r="I2247" s="3" t="s">
        <v>13</v>
      </c>
      <c r="J2247" s="3">
        <v>8</v>
      </c>
      <c r="K2247" s="3">
        <v>14596.65</v>
      </c>
      <c r="L2247" s="3">
        <f>Table1[[#This Row],[Price Per Unit]]*Table1[[#This Row],[Units Sold]]</f>
        <v>116773.2</v>
      </c>
      <c r="M2247" s="3" t="s">
        <v>617</v>
      </c>
      <c r="N2247" s="3">
        <v>38</v>
      </c>
      <c r="O2247" s="3" t="s">
        <v>24</v>
      </c>
      <c r="P2247" s="3" t="s">
        <v>31</v>
      </c>
      <c r="Q2247" s="4">
        <v>2</v>
      </c>
      <c r="R2247" s="4" t="str">
        <f>IF(Table1[[#This Row],[Customer Ratings]]&gt;=4, "Good",IF(Table1[[#This Row],[Customer Ratings]]=3, "Average","Poor"))</f>
        <v>Poor</v>
      </c>
      <c r="S2247" s="3" t="s">
        <v>27</v>
      </c>
    </row>
    <row r="2248" spans="1:19" x14ac:dyDescent="0.25">
      <c r="A2248" s="3">
        <v>2247</v>
      </c>
      <c r="B2248" s="5">
        <f>DATE(Table1[[#This Row],[Year]],Table1[[#This Row],[Month]],Table1[[#This Row],[Day]])</f>
        <v>45116</v>
      </c>
      <c r="C2248" s="3">
        <v>9</v>
      </c>
      <c r="D2248" s="3">
        <v>7</v>
      </c>
      <c r="E2248" s="3">
        <v>2023</v>
      </c>
      <c r="F2248" s="3" t="str">
        <f>"Qtr"&amp; " " &amp;CHOOSE(MONTH(Table1[[#This Row],[Date]]),1,1,1,2,2,2,3,3,3,4,4,4)</f>
        <v>Qtr 3</v>
      </c>
      <c r="G2248" s="3" t="str">
        <f>TEXT(Table1[[#This Row],[Date]],"mmmm")</f>
        <v>July</v>
      </c>
      <c r="H2248" s="3" t="s">
        <v>1080</v>
      </c>
      <c r="I2248" s="3" t="s">
        <v>13</v>
      </c>
      <c r="J2248" s="3">
        <v>1</v>
      </c>
      <c r="K2248" s="3">
        <v>58630.99</v>
      </c>
      <c r="L2248" s="3">
        <f>Table1[[#This Row],[Price Per Unit]]*Table1[[#This Row],[Units Sold]]</f>
        <v>58630.99</v>
      </c>
      <c r="M2248" s="3" t="s">
        <v>819</v>
      </c>
      <c r="N2248" s="3">
        <v>39</v>
      </c>
      <c r="O2248" s="3" t="s">
        <v>98</v>
      </c>
      <c r="P2248" s="3" t="s">
        <v>31</v>
      </c>
      <c r="Q2248" s="4">
        <v>5</v>
      </c>
      <c r="R2248" s="4" t="str">
        <f>IF(Table1[[#This Row],[Customer Ratings]]&gt;=4, "Good",IF(Table1[[#This Row],[Customer Ratings]]=3, "Average","Poor"))</f>
        <v>Good</v>
      </c>
      <c r="S2248" s="3" t="s">
        <v>72</v>
      </c>
    </row>
    <row r="2249" spans="1:19" x14ac:dyDescent="0.25">
      <c r="A2249" s="3">
        <v>2248</v>
      </c>
      <c r="B2249" s="5">
        <f>DATE(Table1[[#This Row],[Year]],Table1[[#This Row],[Month]],Table1[[#This Row],[Day]])</f>
        <v>45116</v>
      </c>
      <c r="C2249" s="3">
        <v>9</v>
      </c>
      <c r="D2249" s="3">
        <v>7</v>
      </c>
      <c r="E2249" s="3">
        <v>2023</v>
      </c>
      <c r="F2249" s="3" t="str">
        <f>"Qtr"&amp; " " &amp;CHOOSE(MONTH(Table1[[#This Row],[Date]]),1,1,1,2,2,2,3,3,3,4,4,4)</f>
        <v>Qtr 3</v>
      </c>
      <c r="G2249" s="3" t="str">
        <f>TEXT(Table1[[#This Row],[Date]],"mmmm")</f>
        <v>July</v>
      </c>
      <c r="H2249" s="3" t="s">
        <v>1080</v>
      </c>
      <c r="I2249" s="3" t="s">
        <v>28</v>
      </c>
      <c r="J2249" s="3">
        <v>5</v>
      </c>
      <c r="K2249" s="3">
        <v>68590.12</v>
      </c>
      <c r="L2249" s="3">
        <f>Table1[[#This Row],[Price Per Unit]]*Table1[[#This Row],[Units Sold]]</f>
        <v>342950.6</v>
      </c>
      <c r="M2249" s="3" t="s">
        <v>826</v>
      </c>
      <c r="N2249" s="3">
        <v>54</v>
      </c>
      <c r="O2249" s="3" t="s">
        <v>78</v>
      </c>
      <c r="P2249" s="3" t="s">
        <v>21</v>
      </c>
      <c r="Q2249" s="4">
        <v>4</v>
      </c>
      <c r="R2249" s="4" t="str">
        <f>IF(Table1[[#This Row],[Customer Ratings]]&gt;=4, "Good",IF(Table1[[#This Row],[Customer Ratings]]=3, "Average","Poor"))</f>
        <v>Good</v>
      </c>
      <c r="S2249" s="3" t="s">
        <v>32</v>
      </c>
    </row>
    <row r="2250" spans="1:19" x14ac:dyDescent="0.25">
      <c r="A2250" s="3">
        <v>2249</v>
      </c>
      <c r="B2250" s="5">
        <f>DATE(Table1[[#This Row],[Year]],Table1[[#This Row],[Month]],Table1[[#This Row],[Day]])</f>
        <v>45116</v>
      </c>
      <c r="C2250" s="3">
        <v>9</v>
      </c>
      <c r="D2250" s="3">
        <v>7</v>
      </c>
      <c r="E2250" s="3">
        <v>2023</v>
      </c>
      <c r="F2250" s="3" t="str">
        <f>"Qtr"&amp; " " &amp;CHOOSE(MONTH(Table1[[#This Row],[Date]]),1,1,1,2,2,2,3,3,3,4,4,4)</f>
        <v>Qtr 3</v>
      </c>
      <c r="G2250" s="3" t="str">
        <f>TEXT(Table1[[#This Row],[Date]],"mmmm")</f>
        <v>July</v>
      </c>
      <c r="H2250" s="3" t="s">
        <v>1080</v>
      </c>
      <c r="I2250" s="3" t="s">
        <v>33</v>
      </c>
      <c r="J2250" s="3">
        <v>7</v>
      </c>
      <c r="K2250" s="3">
        <v>48680.34</v>
      </c>
      <c r="L2250" s="3">
        <f>Table1[[#This Row],[Price Per Unit]]*Table1[[#This Row],[Units Sold]]</f>
        <v>340762.38</v>
      </c>
      <c r="M2250" s="3" t="s">
        <v>282</v>
      </c>
      <c r="N2250" s="3">
        <v>28</v>
      </c>
      <c r="O2250" s="3" t="s">
        <v>52</v>
      </c>
      <c r="P2250" s="3" t="s">
        <v>16</v>
      </c>
      <c r="Q2250" s="4">
        <v>2</v>
      </c>
      <c r="R2250" s="4" t="str">
        <f>IF(Table1[[#This Row],[Customer Ratings]]&gt;=4, "Good",IF(Table1[[#This Row],[Customer Ratings]]=3, "Average","Poor"))</f>
        <v>Poor</v>
      </c>
      <c r="S2250" s="3" t="s">
        <v>46</v>
      </c>
    </row>
    <row r="2251" spans="1:19" x14ac:dyDescent="0.25">
      <c r="A2251" s="3">
        <v>2250</v>
      </c>
      <c r="B2251" s="5">
        <f>DATE(Table1[[#This Row],[Year]],Table1[[#This Row],[Month]],Table1[[#This Row],[Day]])</f>
        <v>45117</v>
      </c>
      <c r="C2251" s="3">
        <v>10</v>
      </c>
      <c r="D2251" s="3">
        <v>7</v>
      </c>
      <c r="E2251" s="3">
        <v>2023</v>
      </c>
      <c r="F2251" s="3" t="str">
        <f>"Qtr"&amp; " " &amp;CHOOSE(MONTH(Table1[[#This Row],[Date]]),1,1,1,2,2,2,3,3,3,4,4,4)</f>
        <v>Qtr 3</v>
      </c>
      <c r="G2251" s="3" t="str">
        <f>TEXT(Table1[[#This Row],[Date]],"mmmm")</f>
        <v>July</v>
      </c>
      <c r="H2251" s="3" t="s">
        <v>1081</v>
      </c>
      <c r="I2251" s="3" t="s">
        <v>28</v>
      </c>
      <c r="J2251" s="3">
        <v>6</v>
      </c>
      <c r="K2251" s="3">
        <v>26672.01</v>
      </c>
      <c r="L2251" s="3">
        <f>Table1[[#This Row],[Price Per Unit]]*Table1[[#This Row],[Units Sold]]</f>
        <v>160032.06</v>
      </c>
      <c r="M2251" s="3" t="s">
        <v>322</v>
      </c>
      <c r="N2251" s="3">
        <v>39</v>
      </c>
      <c r="O2251" s="3" t="s">
        <v>120</v>
      </c>
      <c r="P2251" s="3" t="s">
        <v>45</v>
      </c>
      <c r="Q2251" s="4">
        <v>4</v>
      </c>
      <c r="R2251" s="4" t="str">
        <f>IF(Table1[[#This Row],[Customer Ratings]]&gt;=4, "Good",IF(Table1[[#This Row],[Customer Ratings]]=3, "Average","Poor"))</f>
        <v>Good</v>
      </c>
      <c r="S2251" s="3" t="s">
        <v>38</v>
      </c>
    </row>
    <row r="2252" spans="1:19" x14ac:dyDescent="0.25">
      <c r="A2252" s="3">
        <v>2251</v>
      </c>
      <c r="B2252" s="5">
        <f>DATE(Table1[[#This Row],[Year]],Table1[[#This Row],[Month]],Table1[[#This Row],[Day]])</f>
        <v>45117</v>
      </c>
      <c r="C2252" s="3">
        <v>10</v>
      </c>
      <c r="D2252" s="3">
        <v>7</v>
      </c>
      <c r="E2252" s="3">
        <v>2023</v>
      </c>
      <c r="F2252" s="3" t="str">
        <f>"Qtr"&amp; " " &amp;CHOOSE(MONTH(Table1[[#This Row],[Date]]),1,1,1,2,2,2,3,3,3,4,4,4)</f>
        <v>Qtr 3</v>
      </c>
      <c r="G2252" s="3" t="str">
        <f>TEXT(Table1[[#This Row],[Date]],"mmmm")</f>
        <v>July</v>
      </c>
      <c r="H2252" s="3" t="s">
        <v>1081</v>
      </c>
      <c r="I2252" s="3" t="s">
        <v>13</v>
      </c>
      <c r="J2252" s="3">
        <v>5</v>
      </c>
      <c r="K2252" s="3">
        <v>69800.36</v>
      </c>
      <c r="L2252" s="3">
        <f>Table1[[#This Row],[Price Per Unit]]*Table1[[#This Row],[Units Sold]]</f>
        <v>349001.8</v>
      </c>
      <c r="M2252" s="3" t="s">
        <v>413</v>
      </c>
      <c r="N2252" s="3">
        <v>58</v>
      </c>
      <c r="O2252" s="3" t="s">
        <v>54</v>
      </c>
      <c r="P2252" s="3" t="s">
        <v>45</v>
      </c>
      <c r="Q2252" s="4">
        <v>2</v>
      </c>
      <c r="R2252" s="4" t="str">
        <f>IF(Table1[[#This Row],[Customer Ratings]]&gt;=4, "Good",IF(Table1[[#This Row],[Customer Ratings]]=3, "Average","Poor"))</f>
        <v>Poor</v>
      </c>
      <c r="S2252" s="3" t="s">
        <v>17</v>
      </c>
    </row>
    <row r="2253" spans="1:19" x14ac:dyDescent="0.25">
      <c r="A2253" s="3">
        <v>2252</v>
      </c>
      <c r="B2253" s="5">
        <f>DATE(Table1[[#This Row],[Year]],Table1[[#This Row],[Month]],Table1[[#This Row],[Day]])</f>
        <v>45117</v>
      </c>
      <c r="C2253" s="3">
        <v>10</v>
      </c>
      <c r="D2253" s="3">
        <v>7</v>
      </c>
      <c r="E2253" s="3">
        <v>2023</v>
      </c>
      <c r="F2253" s="3" t="str">
        <f>"Qtr"&amp; " " &amp;CHOOSE(MONTH(Table1[[#This Row],[Date]]),1,1,1,2,2,2,3,3,3,4,4,4)</f>
        <v>Qtr 3</v>
      </c>
      <c r="G2253" s="3" t="str">
        <f>TEXT(Table1[[#This Row],[Date]],"mmmm")</f>
        <v>July</v>
      </c>
      <c r="H2253" s="3" t="s">
        <v>1081</v>
      </c>
      <c r="I2253" s="3" t="s">
        <v>39</v>
      </c>
      <c r="J2253" s="3">
        <v>8</v>
      </c>
      <c r="K2253" s="3">
        <v>63596</v>
      </c>
      <c r="L2253" s="3">
        <f>Table1[[#This Row],[Price Per Unit]]*Table1[[#This Row],[Units Sold]]</f>
        <v>508768</v>
      </c>
      <c r="M2253" s="3" t="s">
        <v>348</v>
      </c>
      <c r="N2253" s="3">
        <v>30</v>
      </c>
      <c r="O2253" s="3" t="s">
        <v>78</v>
      </c>
      <c r="P2253" s="3" t="s">
        <v>16</v>
      </c>
      <c r="Q2253" s="4">
        <v>2</v>
      </c>
      <c r="R2253" s="4" t="str">
        <f>IF(Table1[[#This Row],[Customer Ratings]]&gt;=4, "Good",IF(Table1[[#This Row],[Customer Ratings]]=3, "Average","Poor"))</f>
        <v>Poor</v>
      </c>
      <c r="S2253" s="3" t="s">
        <v>90</v>
      </c>
    </row>
    <row r="2254" spans="1:19" x14ac:dyDescent="0.25">
      <c r="A2254" s="3">
        <v>2253</v>
      </c>
      <c r="B2254" s="5">
        <f>DATE(Table1[[#This Row],[Year]],Table1[[#This Row],[Month]],Table1[[#This Row],[Day]])</f>
        <v>45117</v>
      </c>
      <c r="C2254" s="3">
        <v>10</v>
      </c>
      <c r="D2254" s="3">
        <v>7</v>
      </c>
      <c r="E2254" s="3">
        <v>2023</v>
      </c>
      <c r="F2254" s="3" t="str">
        <f>"Qtr"&amp; " " &amp;CHOOSE(MONTH(Table1[[#This Row],[Date]]),1,1,1,2,2,2,3,3,3,4,4,4)</f>
        <v>Qtr 3</v>
      </c>
      <c r="G2254" s="3" t="str">
        <f>TEXT(Table1[[#This Row],[Date]],"mmmm")</f>
        <v>July</v>
      </c>
      <c r="H2254" s="3" t="s">
        <v>1081</v>
      </c>
      <c r="I2254" s="3" t="s">
        <v>18</v>
      </c>
      <c r="J2254" s="3">
        <v>3</v>
      </c>
      <c r="K2254" s="3">
        <v>40802.839999999997</v>
      </c>
      <c r="L2254" s="3">
        <f>Table1[[#This Row],[Price Per Unit]]*Table1[[#This Row],[Units Sold]]</f>
        <v>122408.51999999999</v>
      </c>
      <c r="M2254" s="3" t="s">
        <v>652</v>
      </c>
      <c r="N2254" s="3">
        <v>20</v>
      </c>
      <c r="O2254" s="3" t="s">
        <v>105</v>
      </c>
      <c r="P2254" s="3" t="s">
        <v>45</v>
      </c>
      <c r="Q2254" s="4">
        <v>2</v>
      </c>
      <c r="R2254" s="4" t="str">
        <f>IF(Table1[[#This Row],[Customer Ratings]]&gt;=4, "Good",IF(Table1[[#This Row],[Customer Ratings]]=3, "Average","Poor"))</f>
        <v>Poor</v>
      </c>
      <c r="S2254" s="3" t="s">
        <v>55</v>
      </c>
    </row>
    <row r="2255" spans="1:19" x14ac:dyDescent="0.25">
      <c r="A2255" s="3">
        <v>2254</v>
      </c>
      <c r="B2255" s="5">
        <f>DATE(Table1[[#This Row],[Year]],Table1[[#This Row],[Month]],Table1[[#This Row],[Day]])</f>
        <v>45118</v>
      </c>
      <c r="C2255" s="3">
        <v>11</v>
      </c>
      <c r="D2255" s="3">
        <v>7</v>
      </c>
      <c r="E2255" s="3">
        <v>2023</v>
      </c>
      <c r="F2255" s="3" t="str">
        <f>"Qtr"&amp; " " &amp;CHOOSE(MONTH(Table1[[#This Row],[Date]]),1,1,1,2,2,2,3,3,3,4,4,4)</f>
        <v>Qtr 3</v>
      </c>
      <c r="G2255" s="3" t="str">
        <f>TEXT(Table1[[#This Row],[Date]],"mmmm")</f>
        <v>July</v>
      </c>
      <c r="H2255" s="3" t="s">
        <v>1082</v>
      </c>
      <c r="I2255" s="3" t="s">
        <v>28</v>
      </c>
      <c r="J2255" s="3">
        <v>6</v>
      </c>
      <c r="K2255" s="3">
        <v>59519.28</v>
      </c>
      <c r="L2255" s="3">
        <f>Table1[[#This Row],[Price Per Unit]]*Table1[[#This Row],[Units Sold]]</f>
        <v>357115.68</v>
      </c>
      <c r="M2255" s="3" t="s">
        <v>732</v>
      </c>
      <c r="N2255" s="3">
        <v>30</v>
      </c>
      <c r="O2255" s="3" t="s">
        <v>20</v>
      </c>
      <c r="P2255" s="3" t="s">
        <v>31</v>
      </c>
      <c r="Q2255" s="4">
        <v>5</v>
      </c>
      <c r="R2255" s="4" t="str">
        <f>IF(Table1[[#This Row],[Customer Ratings]]&gt;=4, "Good",IF(Table1[[#This Row],[Customer Ratings]]=3, "Average","Poor"))</f>
        <v>Good</v>
      </c>
      <c r="S2255" s="3" t="s">
        <v>87</v>
      </c>
    </row>
    <row r="2256" spans="1:19" x14ac:dyDescent="0.25">
      <c r="A2256" s="3">
        <v>2255</v>
      </c>
      <c r="B2256" s="5">
        <f>DATE(Table1[[#This Row],[Year]],Table1[[#This Row],[Month]],Table1[[#This Row],[Day]])</f>
        <v>45118</v>
      </c>
      <c r="C2256" s="3">
        <v>11</v>
      </c>
      <c r="D2256" s="3">
        <v>7</v>
      </c>
      <c r="E2256" s="3">
        <v>2023</v>
      </c>
      <c r="F2256" s="3" t="str">
        <f>"Qtr"&amp; " " &amp;CHOOSE(MONTH(Table1[[#This Row],[Date]]),1,1,1,2,2,2,3,3,3,4,4,4)</f>
        <v>Qtr 3</v>
      </c>
      <c r="G2256" s="3" t="str">
        <f>TEXT(Table1[[#This Row],[Date]],"mmmm")</f>
        <v>July</v>
      </c>
      <c r="H2256" s="3" t="s">
        <v>1082</v>
      </c>
      <c r="I2256" s="3" t="s">
        <v>28</v>
      </c>
      <c r="J2256" s="3">
        <v>5</v>
      </c>
      <c r="K2256" s="3">
        <v>58949.23</v>
      </c>
      <c r="L2256" s="3">
        <f>Table1[[#This Row],[Price Per Unit]]*Table1[[#This Row],[Units Sold]]</f>
        <v>294746.15000000002</v>
      </c>
      <c r="M2256" s="3" t="s">
        <v>236</v>
      </c>
      <c r="N2256" s="3">
        <v>45</v>
      </c>
      <c r="O2256" s="3" t="s">
        <v>20</v>
      </c>
      <c r="P2256" s="3" t="s">
        <v>45</v>
      </c>
      <c r="Q2256" s="4">
        <v>2</v>
      </c>
      <c r="R2256" s="4" t="str">
        <f>IF(Table1[[#This Row],[Customer Ratings]]&gt;=4, "Good",IF(Table1[[#This Row],[Customer Ratings]]=3, "Average","Poor"))</f>
        <v>Poor</v>
      </c>
      <c r="S2256" s="3" t="s">
        <v>38</v>
      </c>
    </row>
    <row r="2257" spans="1:19" x14ac:dyDescent="0.25">
      <c r="A2257" s="3">
        <v>2256</v>
      </c>
      <c r="B2257" s="5">
        <f>DATE(Table1[[#This Row],[Year]],Table1[[#This Row],[Month]],Table1[[#This Row],[Day]])</f>
        <v>45118</v>
      </c>
      <c r="C2257" s="3">
        <v>11</v>
      </c>
      <c r="D2257" s="3">
        <v>7</v>
      </c>
      <c r="E2257" s="3">
        <v>2023</v>
      </c>
      <c r="F2257" s="3" t="str">
        <f>"Qtr"&amp; " " &amp;CHOOSE(MONTH(Table1[[#This Row],[Date]]),1,1,1,2,2,2,3,3,3,4,4,4)</f>
        <v>Qtr 3</v>
      </c>
      <c r="G2257" s="3" t="str">
        <f>TEXT(Table1[[#This Row],[Date]],"mmmm")</f>
        <v>July</v>
      </c>
      <c r="H2257" s="3" t="s">
        <v>1082</v>
      </c>
      <c r="I2257" s="3" t="s">
        <v>33</v>
      </c>
      <c r="J2257" s="3">
        <v>8</v>
      </c>
      <c r="K2257" s="3">
        <v>66087.94</v>
      </c>
      <c r="L2257" s="3">
        <f>Table1[[#This Row],[Price Per Unit]]*Table1[[#This Row],[Units Sold]]</f>
        <v>528703.52</v>
      </c>
      <c r="M2257" s="3" t="s">
        <v>395</v>
      </c>
      <c r="N2257" s="3">
        <v>28</v>
      </c>
      <c r="O2257" s="3" t="s">
        <v>24</v>
      </c>
      <c r="P2257" s="3" t="s">
        <v>16</v>
      </c>
      <c r="Q2257" s="4">
        <v>2</v>
      </c>
      <c r="R2257" s="4" t="str">
        <f>IF(Table1[[#This Row],[Customer Ratings]]&gt;=4, "Good",IF(Table1[[#This Row],[Customer Ratings]]=3, "Average","Poor"))</f>
        <v>Poor</v>
      </c>
      <c r="S2257" s="3" t="s">
        <v>46</v>
      </c>
    </row>
    <row r="2258" spans="1:19" x14ac:dyDescent="0.25">
      <c r="A2258" s="3">
        <v>2257</v>
      </c>
      <c r="B2258" s="5">
        <f>DATE(Table1[[#This Row],[Year]],Table1[[#This Row],[Month]],Table1[[#This Row],[Day]])</f>
        <v>45118</v>
      </c>
      <c r="C2258" s="3">
        <v>11</v>
      </c>
      <c r="D2258" s="3">
        <v>7</v>
      </c>
      <c r="E2258" s="3">
        <v>2023</v>
      </c>
      <c r="F2258" s="3" t="str">
        <f>"Qtr"&amp; " " &amp;CHOOSE(MONTH(Table1[[#This Row],[Date]]),1,1,1,2,2,2,3,3,3,4,4,4)</f>
        <v>Qtr 3</v>
      </c>
      <c r="G2258" s="3" t="str">
        <f>TEXT(Table1[[#This Row],[Date]],"mmmm")</f>
        <v>July</v>
      </c>
      <c r="H2258" s="3" t="s">
        <v>1082</v>
      </c>
      <c r="I2258" s="3" t="s">
        <v>33</v>
      </c>
      <c r="J2258" s="3">
        <v>4</v>
      </c>
      <c r="K2258" s="3">
        <v>60455.43</v>
      </c>
      <c r="L2258" s="3">
        <f>Table1[[#This Row],[Price Per Unit]]*Table1[[#This Row],[Units Sold]]</f>
        <v>241821.72</v>
      </c>
      <c r="M2258" s="3" t="s">
        <v>142</v>
      </c>
      <c r="N2258" s="3">
        <v>28</v>
      </c>
      <c r="O2258" s="3" t="s">
        <v>52</v>
      </c>
      <c r="P2258" s="3" t="s">
        <v>21</v>
      </c>
      <c r="Q2258" s="4">
        <v>2</v>
      </c>
      <c r="R2258" s="4" t="str">
        <f>IF(Table1[[#This Row],[Customer Ratings]]&gt;=4, "Good",IF(Table1[[#This Row],[Customer Ratings]]=3, "Average","Poor"))</f>
        <v>Poor</v>
      </c>
      <c r="S2258" s="3" t="s">
        <v>83</v>
      </c>
    </row>
    <row r="2259" spans="1:19" x14ac:dyDescent="0.25">
      <c r="A2259" s="3">
        <v>2258</v>
      </c>
      <c r="B2259" s="5">
        <f>DATE(Table1[[#This Row],[Year]],Table1[[#This Row],[Month]],Table1[[#This Row],[Day]])</f>
        <v>45119</v>
      </c>
      <c r="C2259" s="3">
        <v>12</v>
      </c>
      <c r="D2259" s="3">
        <v>7</v>
      </c>
      <c r="E2259" s="3">
        <v>2023</v>
      </c>
      <c r="F2259" s="3" t="str">
        <f>"Qtr"&amp; " " &amp;CHOOSE(MONTH(Table1[[#This Row],[Date]]),1,1,1,2,2,2,3,3,3,4,4,4)</f>
        <v>Qtr 3</v>
      </c>
      <c r="G2259" s="3" t="str">
        <f>TEXT(Table1[[#This Row],[Date]],"mmmm")</f>
        <v>July</v>
      </c>
      <c r="H2259" s="3" t="s">
        <v>1083</v>
      </c>
      <c r="I2259" s="3" t="s">
        <v>28</v>
      </c>
      <c r="J2259" s="3">
        <v>8</v>
      </c>
      <c r="K2259" s="3">
        <v>48620.75</v>
      </c>
      <c r="L2259" s="3">
        <f>Table1[[#This Row],[Price Per Unit]]*Table1[[#This Row],[Units Sold]]</f>
        <v>388966</v>
      </c>
      <c r="M2259" s="3" t="s">
        <v>637</v>
      </c>
      <c r="N2259" s="3">
        <v>38</v>
      </c>
      <c r="O2259" s="3" t="s">
        <v>137</v>
      </c>
      <c r="P2259" s="3" t="s">
        <v>21</v>
      </c>
      <c r="Q2259" s="4">
        <v>2</v>
      </c>
      <c r="R2259" s="4" t="str">
        <f>IF(Table1[[#This Row],[Customer Ratings]]&gt;=4, "Good",IF(Table1[[#This Row],[Customer Ratings]]=3, "Average","Poor"))</f>
        <v>Poor</v>
      </c>
      <c r="S2259" s="3" t="s">
        <v>32</v>
      </c>
    </row>
    <row r="2260" spans="1:19" x14ac:dyDescent="0.25">
      <c r="A2260" s="3">
        <v>2259</v>
      </c>
      <c r="B2260" s="5">
        <f>DATE(Table1[[#This Row],[Year]],Table1[[#This Row],[Month]],Table1[[#This Row],[Day]])</f>
        <v>45119</v>
      </c>
      <c r="C2260" s="3">
        <v>12</v>
      </c>
      <c r="D2260" s="3">
        <v>7</v>
      </c>
      <c r="E2260" s="3">
        <v>2023</v>
      </c>
      <c r="F2260" s="3" t="str">
        <f>"Qtr"&amp; " " &amp;CHOOSE(MONTH(Table1[[#This Row],[Date]]),1,1,1,2,2,2,3,3,3,4,4,4)</f>
        <v>Qtr 3</v>
      </c>
      <c r="G2260" s="3" t="str">
        <f>TEXT(Table1[[#This Row],[Date]],"mmmm")</f>
        <v>July</v>
      </c>
      <c r="H2260" s="3" t="s">
        <v>1083</v>
      </c>
      <c r="I2260" s="3" t="s">
        <v>13</v>
      </c>
      <c r="J2260" s="3">
        <v>2</v>
      </c>
      <c r="K2260" s="3">
        <v>46558.22</v>
      </c>
      <c r="L2260" s="3">
        <f>Table1[[#This Row],[Price Per Unit]]*Table1[[#This Row],[Units Sold]]</f>
        <v>93116.44</v>
      </c>
      <c r="M2260" s="3" t="s">
        <v>961</v>
      </c>
      <c r="N2260" s="3">
        <v>38</v>
      </c>
      <c r="O2260" s="3" t="s">
        <v>24</v>
      </c>
      <c r="P2260" s="3" t="s">
        <v>16</v>
      </c>
      <c r="Q2260" s="4">
        <v>2</v>
      </c>
      <c r="R2260" s="4" t="str">
        <f>IF(Table1[[#This Row],[Customer Ratings]]&gt;=4, "Good",IF(Table1[[#This Row],[Customer Ratings]]=3, "Average","Poor"))</f>
        <v>Poor</v>
      </c>
      <c r="S2260" s="3" t="s">
        <v>17</v>
      </c>
    </row>
    <row r="2261" spans="1:19" x14ac:dyDescent="0.25">
      <c r="A2261" s="3">
        <v>2260</v>
      </c>
      <c r="B2261" s="5">
        <f>DATE(Table1[[#This Row],[Year]],Table1[[#This Row],[Month]],Table1[[#This Row],[Day]])</f>
        <v>45119</v>
      </c>
      <c r="C2261" s="3">
        <v>12</v>
      </c>
      <c r="D2261" s="3">
        <v>7</v>
      </c>
      <c r="E2261" s="3">
        <v>2023</v>
      </c>
      <c r="F2261" s="3" t="str">
        <f>"Qtr"&amp; " " &amp;CHOOSE(MONTH(Table1[[#This Row],[Date]]),1,1,1,2,2,2,3,3,3,4,4,4)</f>
        <v>Qtr 3</v>
      </c>
      <c r="G2261" s="3" t="str">
        <f>TEXT(Table1[[#This Row],[Date]],"mmmm")</f>
        <v>July</v>
      </c>
      <c r="H2261" s="3" t="s">
        <v>1083</v>
      </c>
      <c r="I2261" s="3" t="s">
        <v>18</v>
      </c>
      <c r="J2261" s="3">
        <v>9</v>
      </c>
      <c r="K2261" s="3">
        <v>38041.440000000002</v>
      </c>
      <c r="L2261" s="3">
        <f>Table1[[#This Row],[Price Per Unit]]*Table1[[#This Row],[Units Sold]]</f>
        <v>342372.96</v>
      </c>
      <c r="M2261" s="3" t="s">
        <v>429</v>
      </c>
      <c r="N2261" s="3">
        <v>24</v>
      </c>
      <c r="O2261" s="3" t="s">
        <v>24</v>
      </c>
      <c r="P2261" s="3" t="s">
        <v>45</v>
      </c>
      <c r="Q2261" s="4">
        <v>2</v>
      </c>
      <c r="R2261" s="4" t="str">
        <f>IF(Table1[[#This Row],[Customer Ratings]]&gt;=4, "Good",IF(Table1[[#This Row],[Customer Ratings]]=3, "Average","Poor"))</f>
        <v>Poor</v>
      </c>
      <c r="S2261" s="3" t="s">
        <v>25</v>
      </c>
    </row>
    <row r="2262" spans="1:19" x14ac:dyDescent="0.25">
      <c r="A2262" s="3">
        <v>2261</v>
      </c>
      <c r="B2262" s="5">
        <f>DATE(Table1[[#This Row],[Year]],Table1[[#This Row],[Month]],Table1[[#This Row],[Day]])</f>
        <v>45119</v>
      </c>
      <c r="C2262" s="3">
        <v>12</v>
      </c>
      <c r="D2262" s="3">
        <v>7</v>
      </c>
      <c r="E2262" s="3">
        <v>2023</v>
      </c>
      <c r="F2262" s="3" t="str">
        <f>"Qtr"&amp; " " &amp;CHOOSE(MONTH(Table1[[#This Row],[Date]]),1,1,1,2,2,2,3,3,3,4,4,4)</f>
        <v>Qtr 3</v>
      </c>
      <c r="G2262" s="3" t="str">
        <f>TEXT(Table1[[#This Row],[Date]],"mmmm")</f>
        <v>July</v>
      </c>
      <c r="H2262" s="3" t="s">
        <v>1083</v>
      </c>
      <c r="I2262" s="3" t="s">
        <v>33</v>
      </c>
      <c r="J2262" s="3">
        <v>9</v>
      </c>
      <c r="K2262" s="3">
        <v>47589.14</v>
      </c>
      <c r="L2262" s="3">
        <f>Table1[[#This Row],[Price Per Unit]]*Table1[[#This Row],[Units Sold]]</f>
        <v>428302.26</v>
      </c>
      <c r="M2262" s="3" t="s">
        <v>504</v>
      </c>
      <c r="N2262" s="3">
        <v>34</v>
      </c>
      <c r="O2262" s="3" t="s">
        <v>98</v>
      </c>
      <c r="P2262" s="3" t="s">
        <v>45</v>
      </c>
      <c r="Q2262" s="4">
        <v>4</v>
      </c>
      <c r="R2262" s="4" t="str">
        <f>IF(Table1[[#This Row],[Customer Ratings]]&gt;=4, "Good",IF(Table1[[#This Row],[Customer Ratings]]=3, "Average","Poor"))</f>
        <v>Good</v>
      </c>
      <c r="S2262" s="3" t="s">
        <v>36</v>
      </c>
    </row>
    <row r="2263" spans="1:19" x14ac:dyDescent="0.25">
      <c r="A2263" s="3">
        <v>2262</v>
      </c>
      <c r="B2263" s="5">
        <f>DATE(Table1[[#This Row],[Year]],Table1[[#This Row],[Month]],Table1[[#This Row],[Day]])</f>
        <v>45120</v>
      </c>
      <c r="C2263" s="3">
        <v>13</v>
      </c>
      <c r="D2263" s="3">
        <v>7</v>
      </c>
      <c r="E2263" s="3">
        <v>2023</v>
      </c>
      <c r="F2263" s="3" t="str">
        <f>"Qtr"&amp; " " &amp;CHOOSE(MONTH(Table1[[#This Row],[Date]]),1,1,1,2,2,2,3,3,3,4,4,4)</f>
        <v>Qtr 3</v>
      </c>
      <c r="G2263" s="3" t="str">
        <f>TEXT(Table1[[#This Row],[Date]],"mmmm")</f>
        <v>July</v>
      </c>
      <c r="H2263" s="3" t="s">
        <v>1084</v>
      </c>
      <c r="I2263" s="3" t="s">
        <v>13</v>
      </c>
      <c r="J2263" s="3">
        <v>6</v>
      </c>
      <c r="K2263" s="3">
        <v>57713</v>
      </c>
      <c r="L2263" s="3">
        <f>Table1[[#This Row],[Price Per Unit]]*Table1[[#This Row],[Units Sold]]</f>
        <v>346278</v>
      </c>
      <c r="M2263" s="3" t="s">
        <v>611</v>
      </c>
      <c r="N2263" s="3">
        <v>31</v>
      </c>
      <c r="O2263" s="3" t="s">
        <v>102</v>
      </c>
      <c r="P2263" s="3" t="s">
        <v>21</v>
      </c>
      <c r="Q2263" s="4">
        <v>2</v>
      </c>
      <c r="R2263" s="4" t="str">
        <f>IF(Table1[[#This Row],[Customer Ratings]]&gt;=4, "Good",IF(Table1[[#This Row],[Customer Ratings]]=3, "Average","Poor"))</f>
        <v>Poor</v>
      </c>
      <c r="S2263" s="3" t="s">
        <v>17</v>
      </c>
    </row>
    <row r="2264" spans="1:19" x14ac:dyDescent="0.25">
      <c r="A2264" s="3">
        <v>2263</v>
      </c>
      <c r="B2264" s="5">
        <f>DATE(Table1[[#This Row],[Year]],Table1[[#This Row],[Month]],Table1[[#This Row],[Day]])</f>
        <v>45120</v>
      </c>
      <c r="C2264" s="3">
        <v>13</v>
      </c>
      <c r="D2264" s="3">
        <v>7</v>
      </c>
      <c r="E2264" s="3">
        <v>2023</v>
      </c>
      <c r="F2264" s="3" t="str">
        <f>"Qtr"&amp; " " &amp;CHOOSE(MONTH(Table1[[#This Row],[Date]]),1,1,1,2,2,2,3,3,3,4,4,4)</f>
        <v>Qtr 3</v>
      </c>
      <c r="G2264" s="3" t="str">
        <f>TEXT(Table1[[#This Row],[Date]],"mmmm")</f>
        <v>July</v>
      </c>
      <c r="H2264" s="3" t="s">
        <v>1084</v>
      </c>
      <c r="I2264" s="3" t="s">
        <v>39</v>
      </c>
      <c r="J2264" s="3">
        <v>4</v>
      </c>
      <c r="K2264" s="3">
        <v>68142.259999999995</v>
      </c>
      <c r="L2264" s="3">
        <f>Table1[[#This Row],[Price Per Unit]]*Table1[[#This Row],[Units Sold]]</f>
        <v>272569.03999999998</v>
      </c>
      <c r="M2264" s="3" t="s">
        <v>484</v>
      </c>
      <c r="N2264" s="3">
        <v>50</v>
      </c>
      <c r="O2264" s="3" t="s">
        <v>24</v>
      </c>
      <c r="P2264" s="3" t="s">
        <v>45</v>
      </c>
      <c r="Q2264" s="4">
        <v>2</v>
      </c>
      <c r="R2264" s="4" t="str">
        <f>IF(Table1[[#This Row],[Customer Ratings]]&gt;=4, "Good",IF(Table1[[#This Row],[Customer Ratings]]=3, "Average","Poor"))</f>
        <v>Poor</v>
      </c>
      <c r="S2264" s="3" t="s">
        <v>90</v>
      </c>
    </row>
    <row r="2265" spans="1:19" x14ac:dyDescent="0.25">
      <c r="A2265" s="3">
        <v>2264</v>
      </c>
      <c r="B2265" s="5">
        <f>DATE(Table1[[#This Row],[Year]],Table1[[#This Row],[Month]],Table1[[#This Row],[Day]])</f>
        <v>45120</v>
      </c>
      <c r="C2265" s="3">
        <v>13</v>
      </c>
      <c r="D2265" s="3">
        <v>7</v>
      </c>
      <c r="E2265" s="3">
        <v>2023</v>
      </c>
      <c r="F2265" s="3" t="str">
        <f>"Qtr"&amp; " " &amp;CHOOSE(MONTH(Table1[[#This Row],[Date]]),1,1,1,2,2,2,3,3,3,4,4,4)</f>
        <v>Qtr 3</v>
      </c>
      <c r="G2265" s="3" t="str">
        <f>TEXT(Table1[[#This Row],[Date]],"mmmm")</f>
        <v>July</v>
      </c>
      <c r="H2265" s="3" t="s">
        <v>1084</v>
      </c>
      <c r="I2265" s="3" t="s">
        <v>33</v>
      </c>
      <c r="J2265" s="3">
        <v>4</v>
      </c>
      <c r="K2265" s="3">
        <v>38037.24</v>
      </c>
      <c r="L2265" s="3">
        <f>Table1[[#This Row],[Price Per Unit]]*Table1[[#This Row],[Units Sold]]</f>
        <v>152148.96</v>
      </c>
      <c r="M2265" s="3" t="s">
        <v>544</v>
      </c>
      <c r="N2265" s="3">
        <v>28</v>
      </c>
      <c r="O2265" s="3" t="s">
        <v>48</v>
      </c>
      <c r="P2265" s="3" t="s">
        <v>21</v>
      </c>
      <c r="Q2265" s="4">
        <v>5</v>
      </c>
      <c r="R2265" s="4" t="str">
        <f>IF(Table1[[#This Row],[Customer Ratings]]&gt;=4, "Good",IF(Table1[[#This Row],[Customer Ratings]]=3, "Average","Poor"))</f>
        <v>Good</v>
      </c>
      <c r="S2265" s="3" t="s">
        <v>83</v>
      </c>
    </row>
    <row r="2266" spans="1:19" x14ac:dyDescent="0.25">
      <c r="A2266" s="3">
        <v>2265</v>
      </c>
      <c r="B2266" s="5">
        <f>DATE(Table1[[#This Row],[Year]],Table1[[#This Row],[Month]],Table1[[#This Row],[Day]])</f>
        <v>45120</v>
      </c>
      <c r="C2266" s="3">
        <v>13</v>
      </c>
      <c r="D2266" s="3">
        <v>7</v>
      </c>
      <c r="E2266" s="3">
        <v>2023</v>
      </c>
      <c r="F2266" s="3" t="str">
        <f>"Qtr"&amp; " " &amp;CHOOSE(MONTH(Table1[[#This Row],[Date]]),1,1,1,2,2,2,3,3,3,4,4,4)</f>
        <v>Qtr 3</v>
      </c>
      <c r="G2266" s="3" t="str">
        <f>TEXT(Table1[[#This Row],[Date]],"mmmm")</f>
        <v>July</v>
      </c>
      <c r="H2266" s="3" t="s">
        <v>1084</v>
      </c>
      <c r="I2266" s="3" t="s">
        <v>13</v>
      </c>
      <c r="J2266" s="3">
        <v>6</v>
      </c>
      <c r="K2266" s="3">
        <v>44419.19</v>
      </c>
      <c r="L2266" s="3">
        <f>Table1[[#This Row],[Price Per Unit]]*Table1[[#This Row],[Units Sold]]</f>
        <v>266515.14</v>
      </c>
      <c r="M2266" s="3" t="s">
        <v>710</v>
      </c>
      <c r="N2266" s="3">
        <v>30</v>
      </c>
      <c r="O2266" s="3" t="s">
        <v>54</v>
      </c>
      <c r="P2266" s="3" t="s">
        <v>16</v>
      </c>
      <c r="Q2266" s="4">
        <v>2</v>
      </c>
      <c r="R2266" s="4" t="str">
        <f>IF(Table1[[#This Row],[Customer Ratings]]&gt;=4, "Good",IF(Table1[[#This Row],[Customer Ratings]]=3, "Average","Poor"))</f>
        <v>Poor</v>
      </c>
      <c r="S2266" s="3" t="s">
        <v>17</v>
      </c>
    </row>
    <row r="2267" spans="1:19" x14ac:dyDescent="0.25">
      <c r="A2267" s="3">
        <v>2266</v>
      </c>
      <c r="B2267" s="5">
        <f>DATE(Table1[[#This Row],[Year]],Table1[[#This Row],[Month]],Table1[[#This Row],[Day]])</f>
        <v>45121</v>
      </c>
      <c r="C2267" s="3">
        <v>14</v>
      </c>
      <c r="D2267" s="3">
        <v>7</v>
      </c>
      <c r="E2267" s="3">
        <v>2023</v>
      </c>
      <c r="F2267" s="3" t="str">
        <f>"Qtr"&amp; " " &amp;CHOOSE(MONTH(Table1[[#This Row],[Date]]),1,1,1,2,2,2,3,3,3,4,4,4)</f>
        <v>Qtr 3</v>
      </c>
      <c r="G2267" s="3" t="str">
        <f>TEXT(Table1[[#This Row],[Date]],"mmmm")</f>
        <v>July</v>
      </c>
      <c r="H2267" s="3" t="s">
        <v>1085</v>
      </c>
      <c r="I2267" s="3" t="s">
        <v>13</v>
      </c>
      <c r="J2267" s="3">
        <v>5</v>
      </c>
      <c r="K2267" s="3">
        <v>36688.33</v>
      </c>
      <c r="L2267" s="3">
        <f>Table1[[#This Row],[Price Per Unit]]*Table1[[#This Row],[Units Sold]]</f>
        <v>183441.65000000002</v>
      </c>
      <c r="M2267" s="3" t="s">
        <v>622</v>
      </c>
      <c r="N2267" s="3">
        <v>18</v>
      </c>
      <c r="O2267" s="3" t="s">
        <v>120</v>
      </c>
      <c r="P2267" s="3" t="s">
        <v>16</v>
      </c>
      <c r="Q2267" s="4">
        <v>5</v>
      </c>
      <c r="R2267" s="4" t="str">
        <f>IF(Table1[[#This Row],[Customer Ratings]]&gt;=4, "Good",IF(Table1[[#This Row],[Customer Ratings]]=3, "Average","Poor"))</f>
        <v>Good</v>
      </c>
      <c r="S2267" s="3" t="s">
        <v>17</v>
      </c>
    </row>
    <row r="2268" spans="1:19" x14ac:dyDescent="0.25">
      <c r="A2268" s="3">
        <v>2267</v>
      </c>
      <c r="B2268" s="5">
        <f>DATE(Table1[[#This Row],[Year]],Table1[[#This Row],[Month]],Table1[[#This Row],[Day]])</f>
        <v>45121</v>
      </c>
      <c r="C2268" s="3">
        <v>14</v>
      </c>
      <c r="D2268" s="3">
        <v>7</v>
      </c>
      <c r="E2268" s="3">
        <v>2023</v>
      </c>
      <c r="F2268" s="3" t="str">
        <f>"Qtr"&amp; " " &amp;CHOOSE(MONTH(Table1[[#This Row],[Date]]),1,1,1,2,2,2,3,3,3,4,4,4)</f>
        <v>Qtr 3</v>
      </c>
      <c r="G2268" s="3" t="str">
        <f>TEXT(Table1[[#This Row],[Date]],"mmmm")</f>
        <v>July</v>
      </c>
      <c r="H2268" s="3" t="s">
        <v>1085</v>
      </c>
      <c r="I2268" s="3" t="s">
        <v>18</v>
      </c>
      <c r="J2268" s="3">
        <v>6</v>
      </c>
      <c r="K2268" s="3">
        <v>50109.32</v>
      </c>
      <c r="L2268" s="3">
        <f>Table1[[#This Row],[Price Per Unit]]*Table1[[#This Row],[Units Sold]]</f>
        <v>300655.92</v>
      </c>
      <c r="M2268" s="3" t="s">
        <v>727</v>
      </c>
      <c r="N2268" s="3">
        <v>51</v>
      </c>
      <c r="O2268" s="3" t="s">
        <v>20</v>
      </c>
      <c r="P2268" s="3" t="s">
        <v>45</v>
      </c>
      <c r="Q2268" s="4">
        <v>3</v>
      </c>
      <c r="R2268" s="4" t="str">
        <f>IF(Table1[[#This Row],[Customer Ratings]]&gt;=4, "Good",IF(Table1[[#This Row],[Customer Ratings]]=3, "Average","Poor"))</f>
        <v>Average</v>
      </c>
      <c r="S2268" s="3" t="s">
        <v>55</v>
      </c>
    </row>
    <row r="2269" spans="1:19" x14ac:dyDescent="0.25">
      <c r="A2269" s="3">
        <v>2268</v>
      </c>
      <c r="B2269" s="5">
        <f>DATE(Table1[[#This Row],[Year]],Table1[[#This Row],[Month]],Table1[[#This Row],[Day]])</f>
        <v>45121</v>
      </c>
      <c r="C2269" s="3">
        <v>14</v>
      </c>
      <c r="D2269" s="3">
        <v>7</v>
      </c>
      <c r="E2269" s="3">
        <v>2023</v>
      </c>
      <c r="F2269" s="3" t="str">
        <f>"Qtr"&amp; " " &amp;CHOOSE(MONTH(Table1[[#This Row],[Date]]),1,1,1,2,2,2,3,3,3,4,4,4)</f>
        <v>Qtr 3</v>
      </c>
      <c r="G2269" s="3" t="str">
        <f>TEXT(Table1[[#This Row],[Date]],"mmmm")</f>
        <v>July</v>
      </c>
      <c r="H2269" s="3" t="s">
        <v>1085</v>
      </c>
      <c r="I2269" s="3" t="s">
        <v>18</v>
      </c>
      <c r="J2269" s="3">
        <v>7</v>
      </c>
      <c r="K2269" s="3">
        <v>47795.23</v>
      </c>
      <c r="L2269" s="3">
        <f>Table1[[#This Row],[Price Per Unit]]*Table1[[#This Row],[Units Sold]]</f>
        <v>334566.61000000004</v>
      </c>
      <c r="M2269" s="3" t="s">
        <v>962</v>
      </c>
      <c r="N2269" s="3">
        <v>26</v>
      </c>
      <c r="O2269" s="3" t="s">
        <v>24</v>
      </c>
      <c r="P2269" s="3" t="s">
        <v>31</v>
      </c>
      <c r="Q2269" s="4">
        <v>5</v>
      </c>
      <c r="R2269" s="4" t="str">
        <f>IF(Table1[[#This Row],[Customer Ratings]]&gt;=4, "Good",IF(Table1[[#This Row],[Customer Ratings]]=3, "Average","Poor"))</f>
        <v>Good</v>
      </c>
      <c r="S2269" s="3" t="s">
        <v>25</v>
      </c>
    </row>
    <row r="2270" spans="1:19" x14ac:dyDescent="0.25">
      <c r="A2270" s="3">
        <v>2269</v>
      </c>
      <c r="B2270" s="5">
        <f>DATE(Table1[[#This Row],[Year]],Table1[[#This Row],[Month]],Table1[[#This Row],[Day]])</f>
        <v>45122</v>
      </c>
      <c r="C2270" s="3">
        <v>15</v>
      </c>
      <c r="D2270" s="3">
        <v>7</v>
      </c>
      <c r="E2270" s="3">
        <v>2023</v>
      </c>
      <c r="F2270" s="3" t="str">
        <f>"Qtr"&amp; " " &amp;CHOOSE(MONTH(Table1[[#This Row],[Date]]),1,1,1,2,2,2,3,3,3,4,4,4)</f>
        <v>Qtr 3</v>
      </c>
      <c r="G2270" s="3" t="str">
        <f>TEXT(Table1[[#This Row],[Date]],"mmmm")</f>
        <v>July</v>
      </c>
      <c r="H2270" s="3" t="s">
        <v>1079</v>
      </c>
      <c r="I2270" s="3" t="s">
        <v>39</v>
      </c>
      <c r="J2270" s="3">
        <v>7</v>
      </c>
      <c r="K2270" s="3">
        <v>11070.03</v>
      </c>
      <c r="L2270" s="3">
        <f>Table1[[#This Row],[Price Per Unit]]*Table1[[#This Row],[Units Sold]]</f>
        <v>77490.210000000006</v>
      </c>
      <c r="M2270" s="3" t="s">
        <v>566</v>
      </c>
      <c r="N2270" s="3">
        <v>30</v>
      </c>
      <c r="O2270" s="3" t="s">
        <v>41</v>
      </c>
      <c r="P2270" s="3" t="s">
        <v>31</v>
      </c>
      <c r="Q2270" s="4">
        <v>3</v>
      </c>
      <c r="R2270" s="4" t="str">
        <f>IF(Table1[[#This Row],[Customer Ratings]]&gt;=4, "Good",IF(Table1[[#This Row],[Customer Ratings]]=3, "Average","Poor"))</f>
        <v>Average</v>
      </c>
      <c r="S2270" s="3" t="s">
        <v>76</v>
      </c>
    </row>
    <row r="2271" spans="1:19" x14ac:dyDescent="0.25">
      <c r="A2271" s="3">
        <v>2270</v>
      </c>
      <c r="B2271" s="5">
        <f>DATE(Table1[[#This Row],[Year]],Table1[[#This Row],[Month]],Table1[[#This Row],[Day]])</f>
        <v>45122</v>
      </c>
      <c r="C2271" s="3">
        <v>15</v>
      </c>
      <c r="D2271" s="3">
        <v>7</v>
      </c>
      <c r="E2271" s="3">
        <v>2023</v>
      </c>
      <c r="F2271" s="3" t="str">
        <f>"Qtr"&amp; " " &amp;CHOOSE(MONTH(Table1[[#This Row],[Date]]),1,1,1,2,2,2,3,3,3,4,4,4)</f>
        <v>Qtr 3</v>
      </c>
      <c r="G2271" s="3" t="str">
        <f>TEXT(Table1[[#This Row],[Date]],"mmmm")</f>
        <v>July</v>
      </c>
      <c r="H2271" s="3" t="s">
        <v>1079</v>
      </c>
      <c r="I2271" s="3" t="s">
        <v>13</v>
      </c>
      <c r="J2271" s="3">
        <v>9</v>
      </c>
      <c r="K2271" s="3">
        <v>42469.69</v>
      </c>
      <c r="L2271" s="3">
        <f>Table1[[#This Row],[Price Per Unit]]*Table1[[#This Row],[Units Sold]]</f>
        <v>382227.21</v>
      </c>
      <c r="M2271" s="3" t="s">
        <v>339</v>
      </c>
      <c r="N2271" s="3">
        <v>54</v>
      </c>
      <c r="O2271" s="3" t="s">
        <v>20</v>
      </c>
      <c r="P2271" s="3" t="s">
        <v>21</v>
      </c>
      <c r="Q2271" s="4">
        <v>3</v>
      </c>
      <c r="R2271" s="4" t="str">
        <f>IF(Table1[[#This Row],[Customer Ratings]]&gt;=4, "Good",IF(Table1[[#This Row],[Customer Ratings]]=3, "Average","Poor"))</f>
        <v>Average</v>
      </c>
      <c r="S2271" s="3" t="s">
        <v>17</v>
      </c>
    </row>
    <row r="2272" spans="1:19" x14ac:dyDescent="0.25">
      <c r="A2272" s="3">
        <v>2271</v>
      </c>
      <c r="B2272" s="5">
        <f>DATE(Table1[[#This Row],[Year]],Table1[[#This Row],[Month]],Table1[[#This Row],[Day]])</f>
        <v>45122</v>
      </c>
      <c r="C2272" s="3">
        <v>15</v>
      </c>
      <c r="D2272" s="3">
        <v>7</v>
      </c>
      <c r="E2272" s="3">
        <v>2023</v>
      </c>
      <c r="F2272" s="3" t="str">
        <f>"Qtr"&amp; " " &amp;CHOOSE(MONTH(Table1[[#This Row],[Date]]),1,1,1,2,2,2,3,3,3,4,4,4)</f>
        <v>Qtr 3</v>
      </c>
      <c r="G2272" s="3" t="str">
        <f>TEXT(Table1[[#This Row],[Date]],"mmmm")</f>
        <v>July</v>
      </c>
      <c r="H2272" s="3" t="s">
        <v>1079</v>
      </c>
      <c r="I2272" s="3" t="s">
        <v>13</v>
      </c>
      <c r="J2272" s="3">
        <v>8</v>
      </c>
      <c r="K2272" s="3">
        <v>15309.21</v>
      </c>
      <c r="L2272" s="3">
        <f>Table1[[#This Row],[Price Per Unit]]*Table1[[#This Row],[Units Sold]]</f>
        <v>122473.68</v>
      </c>
      <c r="M2272" s="3" t="s">
        <v>159</v>
      </c>
      <c r="N2272" s="3">
        <v>47</v>
      </c>
      <c r="O2272" s="3" t="s">
        <v>20</v>
      </c>
      <c r="P2272" s="3" t="s">
        <v>16</v>
      </c>
      <c r="Q2272" s="4">
        <v>5</v>
      </c>
      <c r="R2272" s="4" t="str">
        <f>IF(Table1[[#This Row],[Customer Ratings]]&gt;=4, "Good",IF(Table1[[#This Row],[Customer Ratings]]=3, "Average","Poor"))</f>
        <v>Good</v>
      </c>
      <c r="S2272" s="3" t="s">
        <v>72</v>
      </c>
    </row>
    <row r="2273" spans="1:19" x14ac:dyDescent="0.25">
      <c r="A2273" s="3">
        <v>2272</v>
      </c>
      <c r="B2273" s="5">
        <f>DATE(Table1[[#This Row],[Year]],Table1[[#This Row],[Month]],Table1[[#This Row],[Day]])</f>
        <v>45122</v>
      </c>
      <c r="C2273" s="3">
        <v>15</v>
      </c>
      <c r="D2273" s="3">
        <v>7</v>
      </c>
      <c r="E2273" s="3">
        <v>2023</v>
      </c>
      <c r="F2273" s="3" t="str">
        <f>"Qtr"&amp; " " &amp;CHOOSE(MONTH(Table1[[#This Row],[Date]]),1,1,1,2,2,2,3,3,3,4,4,4)</f>
        <v>Qtr 3</v>
      </c>
      <c r="G2273" s="3" t="str">
        <f>TEXT(Table1[[#This Row],[Date]],"mmmm")</f>
        <v>July</v>
      </c>
      <c r="H2273" s="3" t="s">
        <v>1079</v>
      </c>
      <c r="I2273" s="3" t="s">
        <v>18</v>
      </c>
      <c r="J2273" s="3">
        <v>6</v>
      </c>
      <c r="K2273" s="3">
        <v>11583.02</v>
      </c>
      <c r="L2273" s="3">
        <f>Table1[[#This Row],[Price Per Unit]]*Table1[[#This Row],[Units Sold]]</f>
        <v>69498.12</v>
      </c>
      <c r="M2273" s="3" t="s">
        <v>51</v>
      </c>
      <c r="N2273" s="3">
        <v>58</v>
      </c>
      <c r="O2273" s="3" t="s">
        <v>20</v>
      </c>
      <c r="P2273" s="3" t="s">
        <v>21</v>
      </c>
      <c r="Q2273" s="4">
        <v>4</v>
      </c>
      <c r="R2273" s="4" t="str">
        <f>IF(Table1[[#This Row],[Customer Ratings]]&gt;=4, "Good",IF(Table1[[#This Row],[Customer Ratings]]=3, "Average","Poor"))</f>
        <v>Good</v>
      </c>
      <c r="S2273" s="3" t="s">
        <v>25</v>
      </c>
    </row>
    <row r="2274" spans="1:19" x14ac:dyDescent="0.25">
      <c r="A2274" s="3">
        <v>2273</v>
      </c>
      <c r="B2274" s="5">
        <f>DATE(Table1[[#This Row],[Year]],Table1[[#This Row],[Month]],Table1[[#This Row],[Day]])</f>
        <v>45123</v>
      </c>
      <c r="C2274" s="3">
        <v>16</v>
      </c>
      <c r="D2274" s="3">
        <v>7</v>
      </c>
      <c r="E2274" s="3">
        <v>2023</v>
      </c>
      <c r="F2274" s="3" t="str">
        <f>"Qtr"&amp; " " &amp;CHOOSE(MONTH(Table1[[#This Row],[Date]]),1,1,1,2,2,2,3,3,3,4,4,4)</f>
        <v>Qtr 3</v>
      </c>
      <c r="G2274" s="3" t="str">
        <f>TEXT(Table1[[#This Row],[Date]],"mmmm")</f>
        <v>July</v>
      </c>
      <c r="H2274" s="3" t="s">
        <v>1080</v>
      </c>
      <c r="I2274" s="3" t="s">
        <v>33</v>
      </c>
      <c r="J2274" s="3">
        <v>6</v>
      </c>
      <c r="K2274" s="3">
        <v>57471.83</v>
      </c>
      <c r="L2274" s="3">
        <f>Table1[[#This Row],[Price Per Unit]]*Table1[[#This Row],[Units Sold]]</f>
        <v>344830.98</v>
      </c>
      <c r="M2274" s="3" t="s">
        <v>852</v>
      </c>
      <c r="N2274" s="3">
        <v>54</v>
      </c>
      <c r="O2274" s="3" t="s">
        <v>15</v>
      </c>
      <c r="P2274" s="3" t="s">
        <v>16</v>
      </c>
      <c r="Q2274" s="4">
        <v>5</v>
      </c>
      <c r="R2274" s="4" t="str">
        <f>IF(Table1[[#This Row],[Customer Ratings]]&gt;=4, "Good",IF(Table1[[#This Row],[Customer Ratings]]=3, "Average","Poor"))</f>
        <v>Good</v>
      </c>
      <c r="S2274" s="3" t="s">
        <v>46</v>
      </c>
    </row>
    <row r="2275" spans="1:19" x14ac:dyDescent="0.25">
      <c r="A2275" s="3">
        <v>2274</v>
      </c>
      <c r="B2275" s="5">
        <f>DATE(Table1[[#This Row],[Year]],Table1[[#This Row],[Month]],Table1[[#This Row],[Day]])</f>
        <v>45123</v>
      </c>
      <c r="C2275" s="3">
        <v>16</v>
      </c>
      <c r="D2275" s="3">
        <v>7</v>
      </c>
      <c r="E2275" s="3">
        <v>2023</v>
      </c>
      <c r="F2275" s="3" t="str">
        <f>"Qtr"&amp; " " &amp;CHOOSE(MONTH(Table1[[#This Row],[Date]]),1,1,1,2,2,2,3,3,3,4,4,4)</f>
        <v>Qtr 3</v>
      </c>
      <c r="G2275" s="3" t="str">
        <f>TEXT(Table1[[#This Row],[Date]],"mmmm")</f>
        <v>July</v>
      </c>
      <c r="H2275" s="3" t="s">
        <v>1080</v>
      </c>
      <c r="I2275" s="3" t="s">
        <v>33</v>
      </c>
      <c r="J2275" s="3">
        <v>5</v>
      </c>
      <c r="K2275" s="3">
        <v>25518.99</v>
      </c>
      <c r="L2275" s="3">
        <f>Table1[[#This Row],[Price Per Unit]]*Table1[[#This Row],[Units Sold]]</f>
        <v>127594.95000000001</v>
      </c>
      <c r="M2275" s="3" t="s">
        <v>543</v>
      </c>
      <c r="N2275" s="3">
        <v>24</v>
      </c>
      <c r="O2275" s="3" t="s">
        <v>24</v>
      </c>
      <c r="P2275" s="3" t="s">
        <v>21</v>
      </c>
      <c r="Q2275" s="4">
        <v>2</v>
      </c>
      <c r="R2275" s="4" t="str">
        <f>IF(Table1[[#This Row],[Customer Ratings]]&gt;=4, "Good",IF(Table1[[#This Row],[Customer Ratings]]=3, "Average","Poor"))</f>
        <v>Poor</v>
      </c>
      <c r="S2275" s="3" t="s">
        <v>46</v>
      </c>
    </row>
    <row r="2276" spans="1:19" x14ac:dyDescent="0.25">
      <c r="A2276" s="3">
        <v>2275</v>
      </c>
      <c r="B2276" s="5">
        <f>DATE(Table1[[#This Row],[Year]],Table1[[#This Row],[Month]],Table1[[#This Row],[Day]])</f>
        <v>45123</v>
      </c>
      <c r="C2276" s="3">
        <v>16</v>
      </c>
      <c r="D2276" s="3">
        <v>7</v>
      </c>
      <c r="E2276" s="3">
        <v>2023</v>
      </c>
      <c r="F2276" s="3" t="str">
        <f>"Qtr"&amp; " " &amp;CHOOSE(MONTH(Table1[[#This Row],[Date]]),1,1,1,2,2,2,3,3,3,4,4,4)</f>
        <v>Qtr 3</v>
      </c>
      <c r="G2276" s="3" t="str">
        <f>TEXT(Table1[[#This Row],[Date]],"mmmm")</f>
        <v>July</v>
      </c>
      <c r="H2276" s="3" t="s">
        <v>1080</v>
      </c>
      <c r="I2276" s="3" t="s">
        <v>28</v>
      </c>
      <c r="J2276" s="3">
        <v>1</v>
      </c>
      <c r="K2276" s="3">
        <v>30439.3</v>
      </c>
      <c r="L2276" s="3">
        <f>Table1[[#This Row],[Price Per Unit]]*Table1[[#This Row],[Units Sold]]</f>
        <v>30439.3</v>
      </c>
      <c r="M2276" s="3" t="s">
        <v>695</v>
      </c>
      <c r="N2276" s="3">
        <v>31</v>
      </c>
      <c r="O2276" s="3" t="s">
        <v>102</v>
      </c>
      <c r="P2276" s="3" t="s">
        <v>21</v>
      </c>
      <c r="Q2276" s="4">
        <v>5</v>
      </c>
      <c r="R2276" s="4" t="str">
        <f>IF(Table1[[#This Row],[Customer Ratings]]&gt;=4, "Good",IF(Table1[[#This Row],[Customer Ratings]]=3, "Average","Poor"))</f>
        <v>Good</v>
      </c>
      <c r="S2276" s="3" t="s">
        <v>87</v>
      </c>
    </row>
    <row r="2277" spans="1:19" x14ac:dyDescent="0.25">
      <c r="A2277" s="3">
        <v>2276</v>
      </c>
      <c r="B2277" s="5">
        <f>DATE(Table1[[#This Row],[Year]],Table1[[#This Row],[Month]],Table1[[#This Row],[Day]])</f>
        <v>45124</v>
      </c>
      <c r="C2277" s="3">
        <v>17</v>
      </c>
      <c r="D2277" s="3">
        <v>7</v>
      </c>
      <c r="E2277" s="3">
        <v>2023</v>
      </c>
      <c r="F2277" s="3" t="str">
        <f>"Qtr"&amp; " " &amp;CHOOSE(MONTH(Table1[[#This Row],[Date]]),1,1,1,2,2,2,3,3,3,4,4,4)</f>
        <v>Qtr 3</v>
      </c>
      <c r="G2277" s="3" t="str">
        <f>TEXT(Table1[[#This Row],[Date]],"mmmm")</f>
        <v>July</v>
      </c>
      <c r="H2277" s="3" t="s">
        <v>1081</v>
      </c>
      <c r="I2277" s="3" t="s">
        <v>18</v>
      </c>
      <c r="J2277" s="3">
        <v>9</v>
      </c>
      <c r="K2277" s="3">
        <v>13845.08</v>
      </c>
      <c r="L2277" s="3">
        <f>Table1[[#This Row],[Price Per Unit]]*Table1[[#This Row],[Units Sold]]</f>
        <v>124605.72</v>
      </c>
      <c r="M2277" s="3" t="s">
        <v>613</v>
      </c>
      <c r="N2277" s="3">
        <v>23</v>
      </c>
      <c r="O2277" s="3" t="s">
        <v>102</v>
      </c>
      <c r="P2277" s="3" t="s">
        <v>21</v>
      </c>
      <c r="Q2277" s="4">
        <v>4</v>
      </c>
      <c r="R2277" s="4" t="str">
        <f>IF(Table1[[#This Row],[Customer Ratings]]&gt;=4, "Good",IF(Table1[[#This Row],[Customer Ratings]]=3, "Average","Poor"))</f>
        <v>Good</v>
      </c>
      <c r="S2277" s="3" t="s">
        <v>22</v>
      </c>
    </row>
    <row r="2278" spans="1:19" x14ac:dyDescent="0.25">
      <c r="A2278" s="3">
        <v>2277</v>
      </c>
      <c r="B2278" s="5">
        <f>DATE(Table1[[#This Row],[Year]],Table1[[#This Row],[Month]],Table1[[#This Row],[Day]])</f>
        <v>45124</v>
      </c>
      <c r="C2278" s="3">
        <v>17</v>
      </c>
      <c r="D2278" s="3">
        <v>7</v>
      </c>
      <c r="E2278" s="3">
        <v>2023</v>
      </c>
      <c r="F2278" s="3" t="str">
        <f>"Qtr"&amp; " " &amp;CHOOSE(MONTH(Table1[[#This Row],[Date]]),1,1,1,2,2,2,3,3,3,4,4,4)</f>
        <v>Qtr 3</v>
      </c>
      <c r="G2278" s="3" t="str">
        <f>TEXT(Table1[[#This Row],[Date]],"mmmm")</f>
        <v>July</v>
      </c>
      <c r="H2278" s="3" t="s">
        <v>1081</v>
      </c>
      <c r="I2278" s="3" t="s">
        <v>28</v>
      </c>
      <c r="J2278" s="3">
        <v>9</v>
      </c>
      <c r="K2278" s="3">
        <v>20770.02</v>
      </c>
      <c r="L2278" s="3">
        <f>Table1[[#This Row],[Price Per Unit]]*Table1[[#This Row],[Units Sold]]</f>
        <v>186930.18</v>
      </c>
      <c r="M2278" s="3" t="s">
        <v>692</v>
      </c>
      <c r="N2278" s="3">
        <v>51</v>
      </c>
      <c r="O2278" s="3" t="s">
        <v>137</v>
      </c>
      <c r="P2278" s="3" t="s">
        <v>45</v>
      </c>
      <c r="Q2278" s="4">
        <v>5</v>
      </c>
      <c r="R2278" s="4" t="str">
        <f>IF(Table1[[#This Row],[Customer Ratings]]&gt;=4, "Good",IF(Table1[[#This Row],[Customer Ratings]]=3, "Average","Poor"))</f>
        <v>Good</v>
      </c>
      <c r="S2278" s="3" t="s">
        <v>38</v>
      </c>
    </row>
    <row r="2279" spans="1:19" x14ac:dyDescent="0.25">
      <c r="A2279" s="3">
        <v>2278</v>
      </c>
      <c r="B2279" s="5">
        <f>DATE(Table1[[#This Row],[Year]],Table1[[#This Row],[Month]],Table1[[#This Row],[Day]])</f>
        <v>45124</v>
      </c>
      <c r="C2279" s="3">
        <v>17</v>
      </c>
      <c r="D2279" s="3">
        <v>7</v>
      </c>
      <c r="E2279" s="3">
        <v>2023</v>
      </c>
      <c r="F2279" s="3" t="str">
        <f>"Qtr"&amp; " " &amp;CHOOSE(MONTH(Table1[[#This Row],[Date]]),1,1,1,2,2,2,3,3,3,4,4,4)</f>
        <v>Qtr 3</v>
      </c>
      <c r="G2279" s="3" t="str">
        <f>TEXT(Table1[[#This Row],[Date]],"mmmm")</f>
        <v>July</v>
      </c>
      <c r="H2279" s="3" t="s">
        <v>1081</v>
      </c>
      <c r="I2279" s="3" t="s">
        <v>18</v>
      </c>
      <c r="J2279" s="3">
        <v>9</v>
      </c>
      <c r="K2279" s="3">
        <v>55936.29</v>
      </c>
      <c r="L2279" s="3">
        <f>Table1[[#This Row],[Price Per Unit]]*Table1[[#This Row],[Units Sold]]</f>
        <v>503426.61</v>
      </c>
      <c r="M2279" s="3" t="s">
        <v>233</v>
      </c>
      <c r="N2279" s="3">
        <v>33</v>
      </c>
      <c r="O2279" s="3" t="s">
        <v>20</v>
      </c>
      <c r="P2279" s="3" t="s">
        <v>31</v>
      </c>
      <c r="Q2279" s="4">
        <v>4</v>
      </c>
      <c r="R2279" s="4" t="str">
        <f>IF(Table1[[#This Row],[Customer Ratings]]&gt;=4, "Good",IF(Table1[[#This Row],[Customer Ratings]]=3, "Average","Poor"))</f>
        <v>Good</v>
      </c>
      <c r="S2279" s="3" t="s">
        <v>22</v>
      </c>
    </row>
    <row r="2280" spans="1:19" x14ac:dyDescent="0.25">
      <c r="A2280" s="3">
        <v>2279</v>
      </c>
      <c r="B2280" s="5">
        <f>DATE(Table1[[#This Row],[Year]],Table1[[#This Row],[Month]],Table1[[#This Row],[Day]])</f>
        <v>45125</v>
      </c>
      <c r="C2280" s="3">
        <v>18</v>
      </c>
      <c r="D2280" s="3">
        <v>7</v>
      </c>
      <c r="E2280" s="3">
        <v>2023</v>
      </c>
      <c r="F2280" s="3" t="str">
        <f>"Qtr"&amp; " " &amp;CHOOSE(MONTH(Table1[[#This Row],[Date]]),1,1,1,2,2,2,3,3,3,4,4,4)</f>
        <v>Qtr 3</v>
      </c>
      <c r="G2280" s="3" t="str">
        <f>TEXT(Table1[[#This Row],[Date]],"mmmm")</f>
        <v>July</v>
      </c>
      <c r="H2280" s="3" t="s">
        <v>1082</v>
      </c>
      <c r="I2280" s="3" t="s">
        <v>39</v>
      </c>
      <c r="J2280" s="3">
        <v>8</v>
      </c>
      <c r="K2280" s="3">
        <v>39611.85</v>
      </c>
      <c r="L2280" s="3">
        <f>Table1[[#This Row],[Price Per Unit]]*Table1[[#This Row],[Units Sold]]</f>
        <v>316894.8</v>
      </c>
      <c r="M2280" s="3" t="s">
        <v>801</v>
      </c>
      <c r="N2280" s="3">
        <v>54</v>
      </c>
      <c r="O2280" s="3" t="s">
        <v>24</v>
      </c>
      <c r="P2280" s="3" t="s">
        <v>16</v>
      </c>
      <c r="Q2280" s="4">
        <v>2</v>
      </c>
      <c r="R2280" s="4" t="str">
        <f>IF(Table1[[#This Row],[Customer Ratings]]&gt;=4, "Good",IF(Table1[[#This Row],[Customer Ratings]]=3, "Average","Poor"))</f>
        <v>Poor</v>
      </c>
      <c r="S2280" s="3" t="s">
        <v>42</v>
      </c>
    </row>
    <row r="2281" spans="1:19" x14ac:dyDescent="0.25">
      <c r="A2281" s="3">
        <v>2280</v>
      </c>
      <c r="B2281" s="5">
        <f>DATE(Table1[[#This Row],[Year]],Table1[[#This Row],[Month]],Table1[[#This Row],[Day]])</f>
        <v>45125</v>
      </c>
      <c r="C2281" s="3">
        <v>18</v>
      </c>
      <c r="D2281" s="3">
        <v>7</v>
      </c>
      <c r="E2281" s="3">
        <v>2023</v>
      </c>
      <c r="F2281" s="3" t="str">
        <f>"Qtr"&amp; " " &amp;CHOOSE(MONTH(Table1[[#This Row],[Date]]),1,1,1,2,2,2,3,3,3,4,4,4)</f>
        <v>Qtr 3</v>
      </c>
      <c r="G2281" s="3" t="str">
        <f>TEXT(Table1[[#This Row],[Date]],"mmmm")</f>
        <v>July</v>
      </c>
      <c r="H2281" s="3" t="s">
        <v>1082</v>
      </c>
      <c r="I2281" s="3" t="s">
        <v>13</v>
      </c>
      <c r="J2281" s="3">
        <v>3</v>
      </c>
      <c r="K2281" s="3">
        <v>62840.11</v>
      </c>
      <c r="L2281" s="3">
        <f>Table1[[#This Row],[Price Per Unit]]*Table1[[#This Row],[Units Sold]]</f>
        <v>188520.33000000002</v>
      </c>
      <c r="M2281" s="3" t="s">
        <v>592</v>
      </c>
      <c r="N2281" s="3">
        <v>53</v>
      </c>
      <c r="O2281" s="3" t="s">
        <v>20</v>
      </c>
      <c r="P2281" s="3" t="s">
        <v>21</v>
      </c>
      <c r="Q2281" s="4">
        <v>2</v>
      </c>
      <c r="R2281" s="4" t="str">
        <f>IF(Table1[[#This Row],[Customer Ratings]]&gt;=4, "Good",IF(Table1[[#This Row],[Customer Ratings]]=3, "Average","Poor"))</f>
        <v>Poor</v>
      </c>
      <c r="S2281" s="3" t="s">
        <v>27</v>
      </c>
    </row>
    <row r="2282" spans="1:19" x14ac:dyDescent="0.25">
      <c r="A2282" s="3">
        <v>2281</v>
      </c>
      <c r="B2282" s="5">
        <f>DATE(Table1[[#This Row],[Year]],Table1[[#This Row],[Month]],Table1[[#This Row],[Day]])</f>
        <v>45125</v>
      </c>
      <c r="C2282" s="3">
        <v>18</v>
      </c>
      <c r="D2282" s="3">
        <v>7</v>
      </c>
      <c r="E2282" s="3">
        <v>2023</v>
      </c>
      <c r="F2282" s="3" t="str">
        <f>"Qtr"&amp; " " &amp;CHOOSE(MONTH(Table1[[#This Row],[Date]]),1,1,1,2,2,2,3,3,3,4,4,4)</f>
        <v>Qtr 3</v>
      </c>
      <c r="G2282" s="3" t="str">
        <f>TEXT(Table1[[#This Row],[Date]],"mmmm")</f>
        <v>July</v>
      </c>
      <c r="H2282" s="3" t="s">
        <v>1082</v>
      </c>
      <c r="I2282" s="3" t="s">
        <v>39</v>
      </c>
      <c r="J2282" s="3">
        <v>1</v>
      </c>
      <c r="K2282" s="3">
        <v>33834.53</v>
      </c>
      <c r="L2282" s="3">
        <f>Table1[[#This Row],[Price Per Unit]]*Table1[[#This Row],[Units Sold]]</f>
        <v>33834.53</v>
      </c>
      <c r="M2282" s="3" t="s">
        <v>722</v>
      </c>
      <c r="N2282" s="3">
        <v>23</v>
      </c>
      <c r="O2282" s="3" t="s">
        <v>24</v>
      </c>
      <c r="P2282" s="3" t="s">
        <v>31</v>
      </c>
      <c r="Q2282" s="4">
        <v>4</v>
      </c>
      <c r="R2282" s="4" t="str">
        <f>IF(Table1[[#This Row],[Customer Ratings]]&gt;=4, "Good",IF(Table1[[#This Row],[Customer Ratings]]=3, "Average","Poor"))</f>
        <v>Good</v>
      </c>
      <c r="S2282" s="3" t="s">
        <v>42</v>
      </c>
    </row>
    <row r="2283" spans="1:19" x14ac:dyDescent="0.25">
      <c r="A2283" s="3">
        <v>2282</v>
      </c>
      <c r="B2283" s="5">
        <f>DATE(Table1[[#This Row],[Year]],Table1[[#This Row],[Month]],Table1[[#This Row],[Day]])</f>
        <v>45126</v>
      </c>
      <c r="C2283" s="3">
        <v>19</v>
      </c>
      <c r="D2283" s="3">
        <v>7</v>
      </c>
      <c r="E2283" s="3">
        <v>2023</v>
      </c>
      <c r="F2283" s="3" t="str">
        <f>"Qtr"&amp; " " &amp;CHOOSE(MONTH(Table1[[#This Row],[Date]]),1,1,1,2,2,2,3,3,3,4,4,4)</f>
        <v>Qtr 3</v>
      </c>
      <c r="G2283" s="3" t="str">
        <f>TEXT(Table1[[#This Row],[Date]],"mmmm")</f>
        <v>July</v>
      </c>
      <c r="H2283" s="3" t="s">
        <v>1083</v>
      </c>
      <c r="I2283" s="3" t="s">
        <v>18</v>
      </c>
      <c r="J2283" s="3">
        <v>8</v>
      </c>
      <c r="K2283" s="3">
        <v>26122.04</v>
      </c>
      <c r="L2283" s="3">
        <f>Table1[[#This Row],[Price Per Unit]]*Table1[[#This Row],[Units Sold]]</f>
        <v>208976.32</v>
      </c>
      <c r="M2283" s="3" t="s">
        <v>314</v>
      </c>
      <c r="N2283" s="3">
        <v>25</v>
      </c>
      <c r="O2283" s="3" t="s">
        <v>20</v>
      </c>
      <c r="P2283" s="3" t="s">
        <v>21</v>
      </c>
      <c r="Q2283" s="4">
        <v>4</v>
      </c>
      <c r="R2283" s="4" t="str">
        <f>IF(Table1[[#This Row],[Customer Ratings]]&gt;=4, "Good",IF(Table1[[#This Row],[Customer Ratings]]=3, "Average","Poor"))</f>
        <v>Good</v>
      </c>
      <c r="S2283" s="3" t="s">
        <v>22</v>
      </c>
    </row>
    <row r="2284" spans="1:19" x14ac:dyDescent="0.25">
      <c r="A2284" s="3">
        <v>2283</v>
      </c>
      <c r="B2284" s="5">
        <f>DATE(Table1[[#This Row],[Year]],Table1[[#This Row],[Month]],Table1[[#This Row],[Day]])</f>
        <v>45126</v>
      </c>
      <c r="C2284" s="3">
        <v>19</v>
      </c>
      <c r="D2284" s="3">
        <v>7</v>
      </c>
      <c r="E2284" s="3">
        <v>2023</v>
      </c>
      <c r="F2284" s="3" t="str">
        <f>"Qtr"&amp; " " &amp;CHOOSE(MONTH(Table1[[#This Row],[Date]]),1,1,1,2,2,2,3,3,3,4,4,4)</f>
        <v>Qtr 3</v>
      </c>
      <c r="G2284" s="3" t="str">
        <f>TEXT(Table1[[#This Row],[Date]],"mmmm")</f>
        <v>July</v>
      </c>
      <c r="H2284" s="3" t="s">
        <v>1083</v>
      </c>
      <c r="I2284" s="3" t="s">
        <v>13</v>
      </c>
      <c r="J2284" s="3">
        <v>7</v>
      </c>
      <c r="K2284" s="3">
        <v>30855.99</v>
      </c>
      <c r="L2284" s="3">
        <f>Table1[[#This Row],[Price Per Unit]]*Table1[[#This Row],[Units Sold]]</f>
        <v>215991.93000000002</v>
      </c>
      <c r="M2284" s="3" t="s">
        <v>261</v>
      </c>
      <c r="N2284" s="3">
        <v>41</v>
      </c>
      <c r="O2284" s="3" t="s">
        <v>20</v>
      </c>
      <c r="P2284" s="3" t="s">
        <v>21</v>
      </c>
      <c r="Q2284" s="4">
        <v>4</v>
      </c>
      <c r="R2284" s="4" t="str">
        <f>IF(Table1[[#This Row],[Customer Ratings]]&gt;=4, "Good",IF(Table1[[#This Row],[Customer Ratings]]=3, "Average","Poor"))</f>
        <v>Good</v>
      </c>
      <c r="S2284" s="3" t="s">
        <v>27</v>
      </c>
    </row>
    <row r="2285" spans="1:19" x14ac:dyDescent="0.25">
      <c r="A2285" s="3">
        <v>2284</v>
      </c>
      <c r="B2285" s="5">
        <f>DATE(Table1[[#This Row],[Year]],Table1[[#This Row],[Month]],Table1[[#This Row],[Day]])</f>
        <v>45126</v>
      </c>
      <c r="C2285" s="3">
        <v>19</v>
      </c>
      <c r="D2285" s="3">
        <v>7</v>
      </c>
      <c r="E2285" s="3">
        <v>2023</v>
      </c>
      <c r="F2285" s="3" t="str">
        <f>"Qtr"&amp; " " &amp;CHOOSE(MONTH(Table1[[#This Row],[Date]]),1,1,1,2,2,2,3,3,3,4,4,4)</f>
        <v>Qtr 3</v>
      </c>
      <c r="G2285" s="3" t="str">
        <f>TEXT(Table1[[#This Row],[Date]],"mmmm")</f>
        <v>July</v>
      </c>
      <c r="H2285" s="3" t="s">
        <v>1083</v>
      </c>
      <c r="I2285" s="3" t="s">
        <v>33</v>
      </c>
      <c r="J2285" s="3">
        <v>5</v>
      </c>
      <c r="K2285" s="3">
        <v>52766.31</v>
      </c>
      <c r="L2285" s="3">
        <f>Table1[[#This Row],[Price Per Unit]]*Table1[[#This Row],[Units Sold]]</f>
        <v>263831.55</v>
      </c>
      <c r="M2285" s="3" t="s">
        <v>750</v>
      </c>
      <c r="N2285" s="3">
        <v>20</v>
      </c>
      <c r="O2285" s="3" t="s">
        <v>30</v>
      </c>
      <c r="P2285" s="3" t="s">
        <v>16</v>
      </c>
      <c r="Q2285" s="4">
        <v>2</v>
      </c>
      <c r="R2285" s="4" t="str">
        <f>IF(Table1[[#This Row],[Customer Ratings]]&gt;=4, "Good",IF(Table1[[#This Row],[Customer Ratings]]=3, "Average","Poor"))</f>
        <v>Poor</v>
      </c>
      <c r="S2285" s="3" t="s">
        <v>83</v>
      </c>
    </row>
    <row r="2286" spans="1:19" x14ac:dyDescent="0.25">
      <c r="A2286" s="3">
        <v>2285</v>
      </c>
      <c r="B2286" s="5">
        <f>DATE(Table1[[#This Row],[Year]],Table1[[#This Row],[Month]],Table1[[#This Row],[Day]])</f>
        <v>45126</v>
      </c>
      <c r="C2286" s="3">
        <v>19</v>
      </c>
      <c r="D2286" s="3">
        <v>7</v>
      </c>
      <c r="E2286" s="3">
        <v>2023</v>
      </c>
      <c r="F2286" s="3" t="str">
        <f>"Qtr"&amp; " " &amp;CHOOSE(MONTH(Table1[[#This Row],[Date]]),1,1,1,2,2,2,3,3,3,4,4,4)</f>
        <v>Qtr 3</v>
      </c>
      <c r="G2286" s="3" t="str">
        <f>TEXT(Table1[[#This Row],[Date]],"mmmm")</f>
        <v>July</v>
      </c>
      <c r="H2286" s="3" t="s">
        <v>1083</v>
      </c>
      <c r="I2286" s="3" t="s">
        <v>33</v>
      </c>
      <c r="J2286" s="3">
        <v>7</v>
      </c>
      <c r="K2286" s="3">
        <v>43300.34</v>
      </c>
      <c r="L2286" s="3">
        <f>Table1[[#This Row],[Price Per Unit]]*Table1[[#This Row],[Units Sold]]</f>
        <v>303102.38</v>
      </c>
      <c r="M2286" s="3" t="s">
        <v>357</v>
      </c>
      <c r="N2286" s="3">
        <v>21</v>
      </c>
      <c r="O2286" s="3" t="s">
        <v>58</v>
      </c>
      <c r="P2286" s="3" t="s">
        <v>45</v>
      </c>
      <c r="Q2286" s="4">
        <v>3</v>
      </c>
      <c r="R2286" s="4" t="str">
        <f>IF(Table1[[#This Row],[Customer Ratings]]&gt;=4, "Good",IF(Table1[[#This Row],[Customer Ratings]]=3, "Average","Poor"))</f>
        <v>Average</v>
      </c>
      <c r="S2286" s="3" t="s">
        <v>83</v>
      </c>
    </row>
    <row r="2287" spans="1:19" x14ac:dyDescent="0.25">
      <c r="A2287" s="3">
        <v>2286</v>
      </c>
      <c r="B2287" s="5">
        <f>DATE(Table1[[#This Row],[Year]],Table1[[#This Row],[Month]],Table1[[#This Row],[Day]])</f>
        <v>45127</v>
      </c>
      <c r="C2287" s="3">
        <v>20</v>
      </c>
      <c r="D2287" s="3">
        <v>7</v>
      </c>
      <c r="E2287" s="3">
        <v>2023</v>
      </c>
      <c r="F2287" s="3" t="str">
        <f>"Qtr"&amp; " " &amp;CHOOSE(MONTH(Table1[[#This Row],[Date]]),1,1,1,2,2,2,3,3,3,4,4,4)</f>
        <v>Qtr 3</v>
      </c>
      <c r="G2287" s="3" t="str">
        <f>TEXT(Table1[[#This Row],[Date]],"mmmm")</f>
        <v>July</v>
      </c>
      <c r="H2287" s="3" t="s">
        <v>1084</v>
      </c>
      <c r="I2287" s="3" t="s">
        <v>28</v>
      </c>
      <c r="J2287" s="3">
        <v>4</v>
      </c>
      <c r="K2287" s="3">
        <v>64251.47</v>
      </c>
      <c r="L2287" s="3">
        <f>Table1[[#This Row],[Price Per Unit]]*Table1[[#This Row],[Units Sold]]</f>
        <v>257005.88</v>
      </c>
      <c r="M2287" s="3" t="s">
        <v>888</v>
      </c>
      <c r="N2287" s="3">
        <v>49</v>
      </c>
      <c r="O2287" s="3" t="s">
        <v>81</v>
      </c>
      <c r="P2287" s="3" t="s">
        <v>21</v>
      </c>
      <c r="Q2287" s="4">
        <v>4</v>
      </c>
      <c r="R2287" s="4" t="str">
        <f>IF(Table1[[#This Row],[Customer Ratings]]&gt;=4, "Good",IF(Table1[[#This Row],[Customer Ratings]]=3, "Average","Poor"))</f>
        <v>Good</v>
      </c>
      <c r="S2287" s="3" t="s">
        <v>38</v>
      </c>
    </row>
    <row r="2288" spans="1:19" x14ac:dyDescent="0.25">
      <c r="A2288" s="3">
        <v>2287</v>
      </c>
      <c r="B2288" s="5">
        <f>DATE(Table1[[#This Row],[Year]],Table1[[#This Row],[Month]],Table1[[#This Row],[Day]])</f>
        <v>45127</v>
      </c>
      <c r="C2288" s="3">
        <v>20</v>
      </c>
      <c r="D2288" s="3">
        <v>7</v>
      </c>
      <c r="E2288" s="3">
        <v>2023</v>
      </c>
      <c r="F2288" s="3" t="str">
        <f>"Qtr"&amp; " " &amp;CHOOSE(MONTH(Table1[[#This Row],[Date]]),1,1,1,2,2,2,3,3,3,4,4,4)</f>
        <v>Qtr 3</v>
      </c>
      <c r="G2288" s="3" t="str">
        <f>TEXT(Table1[[#This Row],[Date]],"mmmm")</f>
        <v>July</v>
      </c>
      <c r="H2288" s="3" t="s">
        <v>1084</v>
      </c>
      <c r="I2288" s="3" t="s">
        <v>18</v>
      </c>
      <c r="J2288" s="3">
        <v>9</v>
      </c>
      <c r="K2288" s="3">
        <v>46130.13</v>
      </c>
      <c r="L2288" s="3">
        <f>Table1[[#This Row],[Price Per Unit]]*Table1[[#This Row],[Units Sold]]</f>
        <v>415171.17</v>
      </c>
      <c r="M2288" s="3" t="s">
        <v>495</v>
      </c>
      <c r="N2288" s="3">
        <v>18</v>
      </c>
      <c r="O2288" s="3" t="s">
        <v>58</v>
      </c>
      <c r="P2288" s="3" t="s">
        <v>16</v>
      </c>
      <c r="Q2288" s="4">
        <v>2</v>
      </c>
      <c r="R2288" s="4" t="str">
        <f>IF(Table1[[#This Row],[Customer Ratings]]&gt;=4, "Good",IF(Table1[[#This Row],[Customer Ratings]]=3, "Average","Poor"))</f>
        <v>Poor</v>
      </c>
      <c r="S2288" s="3" t="s">
        <v>22</v>
      </c>
    </row>
    <row r="2289" spans="1:19" x14ac:dyDescent="0.25">
      <c r="A2289" s="3">
        <v>2288</v>
      </c>
      <c r="B2289" s="5">
        <f>DATE(Table1[[#This Row],[Year]],Table1[[#This Row],[Month]],Table1[[#This Row],[Day]])</f>
        <v>45127</v>
      </c>
      <c r="C2289" s="3">
        <v>20</v>
      </c>
      <c r="D2289" s="3">
        <v>7</v>
      </c>
      <c r="E2289" s="3">
        <v>2023</v>
      </c>
      <c r="F2289" s="3" t="str">
        <f>"Qtr"&amp; " " &amp;CHOOSE(MONTH(Table1[[#This Row],[Date]]),1,1,1,2,2,2,3,3,3,4,4,4)</f>
        <v>Qtr 3</v>
      </c>
      <c r="G2289" s="3" t="str">
        <f>TEXT(Table1[[#This Row],[Date]],"mmmm")</f>
        <v>July</v>
      </c>
      <c r="H2289" s="3" t="s">
        <v>1084</v>
      </c>
      <c r="I2289" s="3" t="s">
        <v>18</v>
      </c>
      <c r="J2289" s="3">
        <v>2</v>
      </c>
      <c r="K2289" s="3">
        <v>39581.089999999997</v>
      </c>
      <c r="L2289" s="3">
        <f>Table1[[#This Row],[Price Per Unit]]*Table1[[#This Row],[Units Sold]]</f>
        <v>79162.179999999993</v>
      </c>
      <c r="M2289" s="3" t="s">
        <v>759</v>
      </c>
      <c r="N2289" s="3">
        <v>51</v>
      </c>
      <c r="O2289" s="3" t="s">
        <v>20</v>
      </c>
      <c r="P2289" s="3" t="s">
        <v>45</v>
      </c>
      <c r="Q2289" s="4">
        <v>2</v>
      </c>
      <c r="R2289" s="4" t="str">
        <f>IF(Table1[[#This Row],[Customer Ratings]]&gt;=4, "Good",IF(Table1[[#This Row],[Customer Ratings]]=3, "Average","Poor"))</f>
        <v>Poor</v>
      </c>
      <c r="S2289" s="3" t="s">
        <v>55</v>
      </c>
    </row>
    <row r="2290" spans="1:19" x14ac:dyDescent="0.25">
      <c r="A2290" s="3">
        <v>2289</v>
      </c>
      <c r="B2290" s="5">
        <f>DATE(Table1[[#This Row],[Year]],Table1[[#This Row],[Month]],Table1[[#This Row],[Day]])</f>
        <v>45128</v>
      </c>
      <c r="C2290" s="3">
        <v>21</v>
      </c>
      <c r="D2290" s="3">
        <v>7</v>
      </c>
      <c r="E2290" s="3">
        <v>2023</v>
      </c>
      <c r="F2290" s="3" t="str">
        <f>"Qtr"&amp; " " &amp;CHOOSE(MONTH(Table1[[#This Row],[Date]]),1,1,1,2,2,2,3,3,3,4,4,4)</f>
        <v>Qtr 3</v>
      </c>
      <c r="G2290" s="3" t="str">
        <f>TEXT(Table1[[#This Row],[Date]],"mmmm")</f>
        <v>July</v>
      </c>
      <c r="H2290" s="3" t="s">
        <v>1085</v>
      </c>
      <c r="I2290" s="3" t="s">
        <v>33</v>
      </c>
      <c r="J2290" s="3">
        <v>9</v>
      </c>
      <c r="K2290" s="3">
        <v>57145.16</v>
      </c>
      <c r="L2290" s="3">
        <f>Table1[[#This Row],[Price Per Unit]]*Table1[[#This Row],[Units Sold]]</f>
        <v>514306.44000000006</v>
      </c>
      <c r="M2290" s="3" t="s">
        <v>963</v>
      </c>
      <c r="N2290" s="3">
        <v>26</v>
      </c>
      <c r="O2290" s="3" t="s">
        <v>125</v>
      </c>
      <c r="P2290" s="3" t="s">
        <v>45</v>
      </c>
      <c r="Q2290" s="4">
        <v>4</v>
      </c>
      <c r="R2290" s="4" t="str">
        <f>IF(Table1[[#This Row],[Customer Ratings]]&gt;=4, "Good",IF(Table1[[#This Row],[Customer Ratings]]=3, "Average","Poor"))</f>
        <v>Good</v>
      </c>
      <c r="S2290" s="3" t="s">
        <v>46</v>
      </c>
    </row>
    <row r="2291" spans="1:19" x14ac:dyDescent="0.25">
      <c r="A2291" s="3">
        <v>2290</v>
      </c>
      <c r="B2291" s="5">
        <f>DATE(Table1[[#This Row],[Year]],Table1[[#This Row],[Month]],Table1[[#This Row],[Day]])</f>
        <v>45128</v>
      </c>
      <c r="C2291" s="3">
        <v>21</v>
      </c>
      <c r="D2291" s="3">
        <v>7</v>
      </c>
      <c r="E2291" s="3">
        <v>2023</v>
      </c>
      <c r="F2291" s="3" t="str">
        <f>"Qtr"&amp; " " &amp;CHOOSE(MONTH(Table1[[#This Row],[Date]]),1,1,1,2,2,2,3,3,3,4,4,4)</f>
        <v>Qtr 3</v>
      </c>
      <c r="G2291" s="3" t="str">
        <f>TEXT(Table1[[#This Row],[Date]],"mmmm")</f>
        <v>July</v>
      </c>
      <c r="H2291" s="3" t="s">
        <v>1085</v>
      </c>
      <c r="I2291" s="3" t="s">
        <v>39</v>
      </c>
      <c r="J2291" s="3">
        <v>9</v>
      </c>
      <c r="K2291" s="3">
        <v>66852.03</v>
      </c>
      <c r="L2291" s="3">
        <f>Table1[[#This Row],[Price Per Unit]]*Table1[[#This Row],[Units Sold]]</f>
        <v>601668.27</v>
      </c>
      <c r="M2291" s="3" t="s">
        <v>527</v>
      </c>
      <c r="N2291" s="3">
        <v>29</v>
      </c>
      <c r="O2291" s="3" t="s">
        <v>54</v>
      </c>
      <c r="P2291" s="3" t="s">
        <v>31</v>
      </c>
      <c r="Q2291" s="4">
        <v>3</v>
      </c>
      <c r="R2291" s="4" t="str">
        <f>IF(Table1[[#This Row],[Customer Ratings]]&gt;=4, "Good",IF(Table1[[#This Row],[Customer Ratings]]=3, "Average","Poor"))</f>
        <v>Average</v>
      </c>
      <c r="S2291" s="3" t="s">
        <v>42</v>
      </c>
    </row>
    <row r="2292" spans="1:19" x14ac:dyDescent="0.25">
      <c r="A2292" s="3">
        <v>2291</v>
      </c>
      <c r="B2292" s="5">
        <f>DATE(Table1[[#This Row],[Year]],Table1[[#This Row],[Month]],Table1[[#This Row],[Day]])</f>
        <v>45128</v>
      </c>
      <c r="C2292" s="3">
        <v>21</v>
      </c>
      <c r="D2292" s="3">
        <v>7</v>
      </c>
      <c r="E2292" s="3">
        <v>2023</v>
      </c>
      <c r="F2292" s="3" t="str">
        <f>"Qtr"&amp; " " &amp;CHOOSE(MONTH(Table1[[#This Row],[Date]]),1,1,1,2,2,2,3,3,3,4,4,4)</f>
        <v>Qtr 3</v>
      </c>
      <c r="G2292" s="3" t="str">
        <f>TEXT(Table1[[#This Row],[Date]],"mmmm")</f>
        <v>July</v>
      </c>
      <c r="H2292" s="3" t="s">
        <v>1085</v>
      </c>
      <c r="I2292" s="3" t="s">
        <v>13</v>
      </c>
      <c r="J2292" s="3">
        <v>5</v>
      </c>
      <c r="K2292" s="3">
        <v>31350.75</v>
      </c>
      <c r="L2292" s="3">
        <f>Table1[[#This Row],[Price Per Unit]]*Table1[[#This Row],[Units Sold]]</f>
        <v>156753.75</v>
      </c>
      <c r="M2292" s="3" t="s">
        <v>747</v>
      </c>
      <c r="N2292" s="3">
        <v>27</v>
      </c>
      <c r="O2292" s="3" t="s">
        <v>24</v>
      </c>
      <c r="P2292" s="3" t="s">
        <v>31</v>
      </c>
      <c r="Q2292" s="4">
        <v>2</v>
      </c>
      <c r="R2292" s="4" t="str">
        <f>IF(Table1[[#This Row],[Customer Ratings]]&gt;=4, "Good",IF(Table1[[#This Row],[Customer Ratings]]=3, "Average","Poor"))</f>
        <v>Poor</v>
      </c>
      <c r="S2292" s="3" t="s">
        <v>72</v>
      </c>
    </row>
    <row r="2293" spans="1:19" x14ac:dyDescent="0.25">
      <c r="A2293" s="3">
        <v>2292</v>
      </c>
      <c r="B2293" s="5">
        <f>DATE(Table1[[#This Row],[Year]],Table1[[#This Row],[Month]],Table1[[#This Row],[Day]])</f>
        <v>45129</v>
      </c>
      <c r="C2293" s="3">
        <v>22</v>
      </c>
      <c r="D2293" s="3">
        <v>7</v>
      </c>
      <c r="E2293" s="3">
        <v>2023</v>
      </c>
      <c r="F2293" s="3" t="str">
        <f>"Qtr"&amp; " " &amp;CHOOSE(MONTH(Table1[[#This Row],[Date]]),1,1,1,2,2,2,3,3,3,4,4,4)</f>
        <v>Qtr 3</v>
      </c>
      <c r="G2293" s="3" t="str">
        <f>TEXT(Table1[[#This Row],[Date]],"mmmm")</f>
        <v>July</v>
      </c>
      <c r="H2293" s="3" t="s">
        <v>1079</v>
      </c>
      <c r="I2293" s="3" t="s">
        <v>39</v>
      </c>
      <c r="J2293" s="3">
        <v>1</v>
      </c>
      <c r="K2293" s="3">
        <v>24992.57</v>
      </c>
      <c r="L2293" s="3">
        <f>Table1[[#This Row],[Price Per Unit]]*Table1[[#This Row],[Units Sold]]</f>
        <v>24992.57</v>
      </c>
      <c r="M2293" s="3" t="s">
        <v>385</v>
      </c>
      <c r="N2293" s="3">
        <v>27</v>
      </c>
      <c r="O2293" s="3" t="s">
        <v>48</v>
      </c>
      <c r="P2293" s="3" t="s">
        <v>21</v>
      </c>
      <c r="Q2293" s="4">
        <v>2</v>
      </c>
      <c r="R2293" s="4" t="str">
        <f>IF(Table1[[#This Row],[Customer Ratings]]&gt;=4, "Good",IF(Table1[[#This Row],[Customer Ratings]]=3, "Average","Poor"))</f>
        <v>Poor</v>
      </c>
      <c r="S2293" s="3" t="s">
        <v>76</v>
      </c>
    </row>
    <row r="2294" spans="1:19" x14ac:dyDescent="0.25">
      <c r="A2294" s="3">
        <v>2293</v>
      </c>
      <c r="B2294" s="5">
        <f>DATE(Table1[[#This Row],[Year]],Table1[[#This Row],[Month]],Table1[[#This Row],[Day]])</f>
        <v>45129</v>
      </c>
      <c r="C2294" s="3">
        <v>22</v>
      </c>
      <c r="D2294" s="3">
        <v>7</v>
      </c>
      <c r="E2294" s="3">
        <v>2023</v>
      </c>
      <c r="F2294" s="3" t="str">
        <f>"Qtr"&amp; " " &amp;CHOOSE(MONTH(Table1[[#This Row],[Date]]),1,1,1,2,2,2,3,3,3,4,4,4)</f>
        <v>Qtr 3</v>
      </c>
      <c r="G2294" s="3" t="str">
        <f>TEXT(Table1[[#This Row],[Date]],"mmmm")</f>
        <v>July</v>
      </c>
      <c r="H2294" s="3" t="s">
        <v>1079</v>
      </c>
      <c r="I2294" s="3" t="s">
        <v>39</v>
      </c>
      <c r="J2294" s="3">
        <v>7</v>
      </c>
      <c r="K2294" s="3">
        <v>46973.04</v>
      </c>
      <c r="L2294" s="3">
        <f>Table1[[#This Row],[Price Per Unit]]*Table1[[#This Row],[Units Sold]]</f>
        <v>328811.28000000003</v>
      </c>
      <c r="M2294" s="3" t="s">
        <v>386</v>
      </c>
      <c r="N2294" s="3">
        <v>40</v>
      </c>
      <c r="O2294" s="3" t="s">
        <v>41</v>
      </c>
      <c r="P2294" s="3" t="s">
        <v>31</v>
      </c>
      <c r="Q2294" s="4">
        <v>3</v>
      </c>
      <c r="R2294" s="4" t="str">
        <f>IF(Table1[[#This Row],[Customer Ratings]]&gt;=4, "Good",IF(Table1[[#This Row],[Customer Ratings]]=3, "Average","Poor"))</f>
        <v>Average</v>
      </c>
      <c r="S2294" s="3" t="s">
        <v>42</v>
      </c>
    </row>
    <row r="2295" spans="1:19" x14ac:dyDescent="0.25">
      <c r="A2295" s="3">
        <v>2294</v>
      </c>
      <c r="B2295" s="5">
        <f>DATE(Table1[[#This Row],[Year]],Table1[[#This Row],[Month]],Table1[[#This Row],[Day]])</f>
        <v>45129</v>
      </c>
      <c r="C2295" s="3">
        <v>22</v>
      </c>
      <c r="D2295" s="3">
        <v>7</v>
      </c>
      <c r="E2295" s="3">
        <v>2023</v>
      </c>
      <c r="F2295" s="3" t="str">
        <f>"Qtr"&amp; " " &amp;CHOOSE(MONTH(Table1[[#This Row],[Date]]),1,1,1,2,2,2,3,3,3,4,4,4)</f>
        <v>Qtr 3</v>
      </c>
      <c r="G2295" s="3" t="str">
        <f>TEXT(Table1[[#This Row],[Date]],"mmmm")</f>
        <v>July</v>
      </c>
      <c r="H2295" s="3" t="s">
        <v>1079</v>
      </c>
      <c r="I2295" s="3" t="s">
        <v>33</v>
      </c>
      <c r="J2295" s="3">
        <v>4</v>
      </c>
      <c r="K2295" s="3">
        <v>39932.370000000003</v>
      </c>
      <c r="L2295" s="3">
        <f>Table1[[#This Row],[Price Per Unit]]*Table1[[#This Row],[Units Sold]]</f>
        <v>159729.48000000001</v>
      </c>
      <c r="M2295" s="3" t="s">
        <v>409</v>
      </c>
      <c r="N2295" s="3">
        <v>23</v>
      </c>
      <c r="O2295" s="3" t="s">
        <v>137</v>
      </c>
      <c r="P2295" s="3" t="s">
        <v>16</v>
      </c>
      <c r="Q2295" s="4">
        <v>2</v>
      </c>
      <c r="R2295" s="4" t="str">
        <f>IF(Table1[[#This Row],[Customer Ratings]]&gt;=4, "Good",IF(Table1[[#This Row],[Customer Ratings]]=3, "Average","Poor"))</f>
        <v>Poor</v>
      </c>
      <c r="S2295" s="3" t="s">
        <v>83</v>
      </c>
    </row>
    <row r="2296" spans="1:19" x14ac:dyDescent="0.25">
      <c r="A2296" s="3">
        <v>2295</v>
      </c>
      <c r="B2296" s="5">
        <f>DATE(Table1[[#This Row],[Year]],Table1[[#This Row],[Month]],Table1[[#This Row],[Day]])</f>
        <v>45129</v>
      </c>
      <c r="C2296" s="3">
        <v>22</v>
      </c>
      <c r="D2296" s="3">
        <v>7</v>
      </c>
      <c r="E2296" s="3">
        <v>2023</v>
      </c>
      <c r="F2296" s="3" t="str">
        <f>"Qtr"&amp; " " &amp;CHOOSE(MONTH(Table1[[#This Row],[Date]]),1,1,1,2,2,2,3,3,3,4,4,4)</f>
        <v>Qtr 3</v>
      </c>
      <c r="G2296" s="3" t="str">
        <f>TEXT(Table1[[#This Row],[Date]],"mmmm")</f>
        <v>July</v>
      </c>
      <c r="H2296" s="3" t="s">
        <v>1079</v>
      </c>
      <c r="I2296" s="3" t="s">
        <v>33</v>
      </c>
      <c r="J2296" s="3">
        <v>9</v>
      </c>
      <c r="K2296" s="3">
        <v>69351.13</v>
      </c>
      <c r="L2296" s="3">
        <f>Table1[[#This Row],[Price Per Unit]]*Table1[[#This Row],[Units Sold]]</f>
        <v>624160.17000000004</v>
      </c>
      <c r="M2296" s="3" t="s">
        <v>815</v>
      </c>
      <c r="N2296" s="3">
        <v>41</v>
      </c>
      <c r="O2296" s="3" t="s">
        <v>102</v>
      </c>
      <c r="P2296" s="3" t="s">
        <v>16</v>
      </c>
      <c r="Q2296" s="4">
        <v>3</v>
      </c>
      <c r="R2296" s="4" t="str">
        <f>IF(Table1[[#This Row],[Customer Ratings]]&gt;=4, "Good",IF(Table1[[#This Row],[Customer Ratings]]=3, "Average","Poor"))</f>
        <v>Average</v>
      </c>
      <c r="S2296" s="3" t="s">
        <v>36</v>
      </c>
    </row>
    <row r="2297" spans="1:19" x14ac:dyDescent="0.25">
      <c r="A2297" s="3">
        <v>2296</v>
      </c>
      <c r="B2297" s="5">
        <f>DATE(Table1[[#This Row],[Year]],Table1[[#This Row],[Month]],Table1[[#This Row],[Day]])</f>
        <v>45130</v>
      </c>
      <c r="C2297" s="3">
        <v>23</v>
      </c>
      <c r="D2297" s="3">
        <v>7</v>
      </c>
      <c r="E2297" s="3">
        <v>2023</v>
      </c>
      <c r="F2297" s="3" t="str">
        <f>"Qtr"&amp; " " &amp;CHOOSE(MONTH(Table1[[#This Row],[Date]]),1,1,1,2,2,2,3,3,3,4,4,4)</f>
        <v>Qtr 3</v>
      </c>
      <c r="G2297" s="3" t="str">
        <f>TEXT(Table1[[#This Row],[Date]],"mmmm")</f>
        <v>July</v>
      </c>
      <c r="H2297" s="3" t="s">
        <v>1080</v>
      </c>
      <c r="I2297" s="3" t="s">
        <v>33</v>
      </c>
      <c r="J2297" s="3">
        <v>6</v>
      </c>
      <c r="K2297" s="3">
        <v>37741.71</v>
      </c>
      <c r="L2297" s="3">
        <f>Table1[[#This Row],[Price Per Unit]]*Table1[[#This Row],[Units Sold]]</f>
        <v>226450.26</v>
      </c>
      <c r="M2297" s="3" t="s">
        <v>252</v>
      </c>
      <c r="N2297" s="3">
        <v>41</v>
      </c>
      <c r="O2297" s="3" t="s">
        <v>20</v>
      </c>
      <c r="P2297" s="3" t="s">
        <v>31</v>
      </c>
      <c r="Q2297" s="4">
        <v>5</v>
      </c>
      <c r="R2297" s="4" t="str">
        <f>IF(Table1[[#This Row],[Customer Ratings]]&gt;=4, "Good",IF(Table1[[#This Row],[Customer Ratings]]=3, "Average","Poor"))</f>
        <v>Good</v>
      </c>
      <c r="S2297" s="3" t="s">
        <v>36</v>
      </c>
    </row>
    <row r="2298" spans="1:19" x14ac:dyDescent="0.25">
      <c r="A2298" s="3">
        <v>2297</v>
      </c>
      <c r="B2298" s="5">
        <f>DATE(Table1[[#This Row],[Year]],Table1[[#This Row],[Month]],Table1[[#This Row],[Day]])</f>
        <v>45130</v>
      </c>
      <c r="C2298" s="3">
        <v>23</v>
      </c>
      <c r="D2298" s="3">
        <v>7</v>
      </c>
      <c r="E2298" s="3">
        <v>2023</v>
      </c>
      <c r="F2298" s="3" t="str">
        <f>"Qtr"&amp; " " &amp;CHOOSE(MONTH(Table1[[#This Row],[Date]]),1,1,1,2,2,2,3,3,3,4,4,4)</f>
        <v>Qtr 3</v>
      </c>
      <c r="G2298" s="3" t="str">
        <f>TEXT(Table1[[#This Row],[Date]],"mmmm")</f>
        <v>July</v>
      </c>
      <c r="H2298" s="3" t="s">
        <v>1080</v>
      </c>
      <c r="I2298" s="3" t="s">
        <v>28</v>
      </c>
      <c r="J2298" s="3">
        <v>3</v>
      </c>
      <c r="K2298" s="3">
        <v>14459.89</v>
      </c>
      <c r="L2298" s="3">
        <f>Table1[[#This Row],[Price Per Unit]]*Table1[[#This Row],[Units Sold]]</f>
        <v>43379.67</v>
      </c>
      <c r="M2298" s="3" t="s">
        <v>769</v>
      </c>
      <c r="N2298" s="3">
        <v>38</v>
      </c>
      <c r="O2298" s="3" t="s">
        <v>24</v>
      </c>
      <c r="P2298" s="3" t="s">
        <v>16</v>
      </c>
      <c r="Q2298" s="4">
        <v>5</v>
      </c>
      <c r="R2298" s="4" t="str">
        <f>IF(Table1[[#This Row],[Customer Ratings]]&gt;=4, "Good",IF(Table1[[#This Row],[Customer Ratings]]=3, "Average","Poor"))</f>
        <v>Good</v>
      </c>
      <c r="S2298" s="3" t="s">
        <v>38</v>
      </c>
    </row>
    <row r="2299" spans="1:19" x14ac:dyDescent="0.25">
      <c r="A2299" s="3">
        <v>2298</v>
      </c>
      <c r="B2299" s="5">
        <f>DATE(Table1[[#This Row],[Year]],Table1[[#This Row],[Month]],Table1[[#This Row],[Day]])</f>
        <v>45130</v>
      </c>
      <c r="C2299" s="3">
        <v>23</v>
      </c>
      <c r="D2299" s="3">
        <v>7</v>
      </c>
      <c r="E2299" s="3">
        <v>2023</v>
      </c>
      <c r="F2299" s="3" t="str">
        <f>"Qtr"&amp; " " &amp;CHOOSE(MONTH(Table1[[#This Row],[Date]]),1,1,1,2,2,2,3,3,3,4,4,4)</f>
        <v>Qtr 3</v>
      </c>
      <c r="G2299" s="3" t="str">
        <f>TEXT(Table1[[#This Row],[Date]],"mmmm")</f>
        <v>July</v>
      </c>
      <c r="H2299" s="3" t="s">
        <v>1080</v>
      </c>
      <c r="I2299" s="3" t="s">
        <v>39</v>
      </c>
      <c r="J2299" s="3">
        <v>6</v>
      </c>
      <c r="K2299" s="3">
        <v>68642.14</v>
      </c>
      <c r="L2299" s="3">
        <f>Table1[[#This Row],[Price Per Unit]]*Table1[[#This Row],[Units Sold]]</f>
        <v>411852.83999999997</v>
      </c>
      <c r="M2299" s="3" t="s">
        <v>297</v>
      </c>
      <c r="N2299" s="3">
        <v>59</v>
      </c>
      <c r="O2299" s="3" t="s">
        <v>20</v>
      </c>
      <c r="P2299" s="3" t="s">
        <v>16</v>
      </c>
      <c r="Q2299" s="4">
        <v>5</v>
      </c>
      <c r="R2299" s="4" t="str">
        <f>IF(Table1[[#This Row],[Customer Ratings]]&gt;=4, "Good",IF(Table1[[#This Row],[Customer Ratings]]=3, "Average","Poor"))</f>
        <v>Good</v>
      </c>
      <c r="S2299" s="3" t="s">
        <v>42</v>
      </c>
    </row>
    <row r="2300" spans="1:19" x14ac:dyDescent="0.25">
      <c r="A2300" s="3">
        <v>2299</v>
      </c>
      <c r="B2300" s="5">
        <f>DATE(Table1[[#This Row],[Year]],Table1[[#This Row],[Month]],Table1[[#This Row],[Day]])</f>
        <v>45131</v>
      </c>
      <c r="C2300" s="3">
        <v>24</v>
      </c>
      <c r="D2300" s="3">
        <v>7</v>
      </c>
      <c r="E2300" s="3">
        <v>2023</v>
      </c>
      <c r="F2300" s="3" t="str">
        <f>"Qtr"&amp; " " &amp;CHOOSE(MONTH(Table1[[#This Row],[Date]]),1,1,1,2,2,2,3,3,3,4,4,4)</f>
        <v>Qtr 3</v>
      </c>
      <c r="G2300" s="3" t="str">
        <f>TEXT(Table1[[#This Row],[Date]],"mmmm")</f>
        <v>July</v>
      </c>
      <c r="H2300" s="3" t="s">
        <v>1081</v>
      </c>
      <c r="I2300" s="3" t="s">
        <v>18</v>
      </c>
      <c r="J2300" s="3">
        <v>6</v>
      </c>
      <c r="K2300" s="3">
        <v>60615.22</v>
      </c>
      <c r="L2300" s="3">
        <f>Table1[[#This Row],[Price Per Unit]]*Table1[[#This Row],[Units Sold]]</f>
        <v>363691.32</v>
      </c>
      <c r="M2300" s="3" t="s">
        <v>964</v>
      </c>
      <c r="N2300" s="3">
        <v>48</v>
      </c>
      <c r="O2300" s="3" t="s">
        <v>20</v>
      </c>
      <c r="P2300" s="3" t="s">
        <v>21</v>
      </c>
      <c r="Q2300" s="4">
        <v>2</v>
      </c>
      <c r="R2300" s="4" t="str">
        <f>IF(Table1[[#This Row],[Customer Ratings]]&gt;=4, "Good",IF(Table1[[#This Row],[Customer Ratings]]=3, "Average","Poor"))</f>
        <v>Poor</v>
      </c>
      <c r="S2300" s="3" t="s">
        <v>22</v>
      </c>
    </row>
    <row r="2301" spans="1:19" x14ac:dyDescent="0.25">
      <c r="A2301" s="3">
        <v>2300</v>
      </c>
      <c r="B2301" s="5">
        <f>DATE(Table1[[#This Row],[Year]],Table1[[#This Row],[Month]],Table1[[#This Row],[Day]])</f>
        <v>45131</v>
      </c>
      <c r="C2301" s="3">
        <v>24</v>
      </c>
      <c r="D2301" s="3">
        <v>7</v>
      </c>
      <c r="E2301" s="3">
        <v>2023</v>
      </c>
      <c r="F2301" s="3" t="str">
        <f>"Qtr"&amp; " " &amp;CHOOSE(MONTH(Table1[[#This Row],[Date]]),1,1,1,2,2,2,3,3,3,4,4,4)</f>
        <v>Qtr 3</v>
      </c>
      <c r="G2301" s="3" t="str">
        <f>TEXT(Table1[[#This Row],[Date]],"mmmm")</f>
        <v>July</v>
      </c>
      <c r="H2301" s="3" t="s">
        <v>1081</v>
      </c>
      <c r="I2301" s="3" t="s">
        <v>13</v>
      </c>
      <c r="J2301" s="3">
        <v>5</v>
      </c>
      <c r="K2301" s="3">
        <v>20695.009999999998</v>
      </c>
      <c r="L2301" s="3">
        <f>Table1[[#This Row],[Price Per Unit]]*Table1[[#This Row],[Units Sold]]</f>
        <v>103475.04999999999</v>
      </c>
      <c r="M2301" s="3" t="s">
        <v>935</v>
      </c>
      <c r="N2301" s="3">
        <v>58</v>
      </c>
      <c r="O2301" s="3" t="s">
        <v>20</v>
      </c>
      <c r="P2301" s="3" t="s">
        <v>21</v>
      </c>
      <c r="Q2301" s="4">
        <v>5</v>
      </c>
      <c r="R2301" s="4" t="str">
        <f>IF(Table1[[#This Row],[Customer Ratings]]&gt;=4, "Good",IF(Table1[[#This Row],[Customer Ratings]]=3, "Average","Poor"))</f>
        <v>Good</v>
      </c>
      <c r="S2301" s="3" t="s">
        <v>72</v>
      </c>
    </row>
    <row r="2302" spans="1:19" x14ac:dyDescent="0.25">
      <c r="A2302" s="3">
        <v>2301</v>
      </c>
      <c r="B2302" s="5">
        <f>DATE(Table1[[#This Row],[Year]],Table1[[#This Row],[Month]],Table1[[#This Row],[Day]])</f>
        <v>45131</v>
      </c>
      <c r="C2302" s="3">
        <v>24</v>
      </c>
      <c r="D2302" s="3">
        <v>7</v>
      </c>
      <c r="E2302" s="3">
        <v>2023</v>
      </c>
      <c r="F2302" s="3" t="str">
        <f>"Qtr"&amp; " " &amp;CHOOSE(MONTH(Table1[[#This Row],[Date]]),1,1,1,2,2,2,3,3,3,4,4,4)</f>
        <v>Qtr 3</v>
      </c>
      <c r="G2302" s="3" t="str">
        <f>TEXT(Table1[[#This Row],[Date]],"mmmm")</f>
        <v>July</v>
      </c>
      <c r="H2302" s="3" t="s">
        <v>1081</v>
      </c>
      <c r="I2302" s="3" t="s">
        <v>28</v>
      </c>
      <c r="J2302" s="3">
        <v>2</v>
      </c>
      <c r="K2302" s="3">
        <v>64276.32</v>
      </c>
      <c r="L2302" s="3">
        <f>Table1[[#This Row],[Price Per Unit]]*Table1[[#This Row],[Units Sold]]</f>
        <v>128552.64</v>
      </c>
      <c r="M2302" s="3" t="s">
        <v>965</v>
      </c>
      <c r="N2302" s="3">
        <v>47</v>
      </c>
      <c r="O2302" s="3" t="s">
        <v>24</v>
      </c>
      <c r="P2302" s="3" t="s">
        <v>16</v>
      </c>
      <c r="Q2302" s="4">
        <v>2</v>
      </c>
      <c r="R2302" s="4" t="str">
        <f>IF(Table1[[#This Row],[Customer Ratings]]&gt;=4, "Good",IF(Table1[[#This Row],[Customer Ratings]]=3, "Average","Poor"))</f>
        <v>Poor</v>
      </c>
      <c r="S2302" s="3" t="s">
        <v>87</v>
      </c>
    </row>
    <row r="2303" spans="1:19" x14ac:dyDescent="0.25">
      <c r="A2303" s="3">
        <v>2302</v>
      </c>
      <c r="B2303" s="5">
        <f>DATE(Table1[[#This Row],[Year]],Table1[[#This Row],[Month]],Table1[[#This Row],[Day]])</f>
        <v>45132</v>
      </c>
      <c r="C2303" s="3">
        <v>25</v>
      </c>
      <c r="D2303" s="3">
        <v>7</v>
      </c>
      <c r="E2303" s="3">
        <v>2023</v>
      </c>
      <c r="F2303" s="3" t="str">
        <f>"Qtr"&amp; " " &amp;CHOOSE(MONTH(Table1[[#This Row],[Date]]),1,1,1,2,2,2,3,3,3,4,4,4)</f>
        <v>Qtr 3</v>
      </c>
      <c r="G2303" s="3" t="str">
        <f>TEXT(Table1[[#This Row],[Date]],"mmmm")</f>
        <v>July</v>
      </c>
      <c r="H2303" s="3" t="s">
        <v>1082</v>
      </c>
      <c r="I2303" s="3" t="s">
        <v>18</v>
      </c>
      <c r="J2303" s="3">
        <v>2</v>
      </c>
      <c r="K2303" s="3">
        <v>30440.01</v>
      </c>
      <c r="L2303" s="3">
        <f>Table1[[#This Row],[Price Per Unit]]*Table1[[#This Row],[Units Sold]]</f>
        <v>60880.02</v>
      </c>
      <c r="M2303" s="3" t="s">
        <v>278</v>
      </c>
      <c r="N2303" s="3">
        <v>51</v>
      </c>
      <c r="O2303" s="3" t="s">
        <v>81</v>
      </c>
      <c r="P2303" s="3" t="s">
        <v>31</v>
      </c>
      <c r="Q2303" s="4">
        <v>2</v>
      </c>
      <c r="R2303" s="4" t="str">
        <f>IF(Table1[[#This Row],[Customer Ratings]]&gt;=4, "Good",IF(Table1[[#This Row],[Customer Ratings]]=3, "Average","Poor"))</f>
        <v>Poor</v>
      </c>
      <c r="S2303" s="3" t="s">
        <v>25</v>
      </c>
    </row>
    <row r="2304" spans="1:19" x14ac:dyDescent="0.25">
      <c r="A2304" s="3">
        <v>2303</v>
      </c>
      <c r="B2304" s="5">
        <f>DATE(Table1[[#This Row],[Year]],Table1[[#This Row],[Month]],Table1[[#This Row],[Day]])</f>
        <v>45132</v>
      </c>
      <c r="C2304" s="3">
        <v>25</v>
      </c>
      <c r="D2304" s="3">
        <v>7</v>
      </c>
      <c r="E2304" s="3">
        <v>2023</v>
      </c>
      <c r="F2304" s="3" t="str">
        <f>"Qtr"&amp; " " &amp;CHOOSE(MONTH(Table1[[#This Row],[Date]]),1,1,1,2,2,2,3,3,3,4,4,4)</f>
        <v>Qtr 3</v>
      </c>
      <c r="G2304" s="3" t="str">
        <f>TEXT(Table1[[#This Row],[Date]],"mmmm")</f>
        <v>July</v>
      </c>
      <c r="H2304" s="3" t="s">
        <v>1082</v>
      </c>
      <c r="I2304" s="3" t="s">
        <v>39</v>
      </c>
      <c r="J2304" s="3">
        <v>7</v>
      </c>
      <c r="K2304" s="3">
        <v>32626.720000000001</v>
      </c>
      <c r="L2304" s="3">
        <f>Table1[[#This Row],[Price Per Unit]]*Table1[[#This Row],[Units Sold]]</f>
        <v>228387.04</v>
      </c>
      <c r="M2304" s="3" t="s">
        <v>174</v>
      </c>
      <c r="N2304" s="3">
        <v>35</v>
      </c>
      <c r="O2304" s="3" t="s">
        <v>137</v>
      </c>
      <c r="P2304" s="3" t="s">
        <v>16</v>
      </c>
      <c r="Q2304" s="4">
        <v>5</v>
      </c>
      <c r="R2304" s="4" t="str">
        <f>IF(Table1[[#This Row],[Customer Ratings]]&gt;=4, "Good",IF(Table1[[#This Row],[Customer Ratings]]=3, "Average","Poor"))</f>
        <v>Good</v>
      </c>
      <c r="S2304" s="3" t="s">
        <v>90</v>
      </c>
    </row>
    <row r="2305" spans="1:19" x14ac:dyDescent="0.25">
      <c r="A2305" s="3">
        <v>2304</v>
      </c>
      <c r="B2305" s="5">
        <f>DATE(Table1[[#This Row],[Year]],Table1[[#This Row],[Month]],Table1[[#This Row],[Day]])</f>
        <v>45132</v>
      </c>
      <c r="C2305" s="3">
        <v>25</v>
      </c>
      <c r="D2305" s="3">
        <v>7</v>
      </c>
      <c r="E2305" s="3">
        <v>2023</v>
      </c>
      <c r="F2305" s="3" t="str">
        <f>"Qtr"&amp; " " &amp;CHOOSE(MONTH(Table1[[#This Row],[Date]]),1,1,1,2,2,2,3,3,3,4,4,4)</f>
        <v>Qtr 3</v>
      </c>
      <c r="G2305" s="3" t="str">
        <f>TEXT(Table1[[#This Row],[Date]],"mmmm")</f>
        <v>July</v>
      </c>
      <c r="H2305" s="3" t="s">
        <v>1082</v>
      </c>
      <c r="I2305" s="3" t="s">
        <v>33</v>
      </c>
      <c r="J2305" s="3">
        <v>2</v>
      </c>
      <c r="K2305" s="3">
        <v>64383.49</v>
      </c>
      <c r="L2305" s="3">
        <f>Table1[[#This Row],[Price Per Unit]]*Table1[[#This Row],[Units Sold]]</f>
        <v>128766.98</v>
      </c>
      <c r="M2305" s="3" t="s">
        <v>291</v>
      </c>
      <c r="N2305" s="3">
        <v>29</v>
      </c>
      <c r="O2305" s="3" t="s">
        <v>125</v>
      </c>
      <c r="P2305" s="3" t="s">
        <v>45</v>
      </c>
      <c r="Q2305" s="4">
        <v>3</v>
      </c>
      <c r="R2305" s="4" t="str">
        <f>IF(Table1[[#This Row],[Customer Ratings]]&gt;=4, "Good",IF(Table1[[#This Row],[Customer Ratings]]=3, "Average","Poor"))</f>
        <v>Average</v>
      </c>
      <c r="S2305" s="3" t="s">
        <v>83</v>
      </c>
    </row>
    <row r="2306" spans="1:19" x14ac:dyDescent="0.25">
      <c r="A2306" s="3">
        <v>2305</v>
      </c>
      <c r="B2306" s="5">
        <f>DATE(Table1[[#This Row],[Year]],Table1[[#This Row],[Month]],Table1[[#This Row],[Day]])</f>
        <v>45132</v>
      </c>
      <c r="C2306" s="3">
        <v>25</v>
      </c>
      <c r="D2306" s="3">
        <v>7</v>
      </c>
      <c r="E2306" s="3">
        <v>2023</v>
      </c>
      <c r="F2306" s="3" t="str">
        <f>"Qtr"&amp; " " &amp;CHOOSE(MONTH(Table1[[#This Row],[Date]]),1,1,1,2,2,2,3,3,3,4,4,4)</f>
        <v>Qtr 3</v>
      </c>
      <c r="G2306" s="3" t="str">
        <f>TEXT(Table1[[#This Row],[Date]],"mmmm")</f>
        <v>July</v>
      </c>
      <c r="H2306" s="3" t="s">
        <v>1082</v>
      </c>
      <c r="I2306" s="3" t="s">
        <v>39</v>
      </c>
      <c r="J2306" s="3">
        <v>6</v>
      </c>
      <c r="K2306" s="3">
        <v>41806.93</v>
      </c>
      <c r="L2306" s="3">
        <f>Table1[[#This Row],[Price Per Unit]]*Table1[[#This Row],[Units Sold]]</f>
        <v>250841.58000000002</v>
      </c>
      <c r="M2306" s="3" t="s">
        <v>905</v>
      </c>
      <c r="N2306" s="3">
        <v>52</v>
      </c>
      <c r="O2306" s="3" t="s">
        <v>20</v>
      </c>
      <c r="P2306" s="3" t="s">
        <v>45</v>
      </c>
      <c r="Q2306" s="4">
        <v>3</v>
      </c>
      <c r="R2306" s="4" t="str">
        <f>IF(Table1[[#This Row],[Customer Ratings]]&gt;=4, "Good",IF(Table1[[#This Row],[Customer Ratings]]=3, "Average","Poor"))</f>
        <v>Average</v>
      </c>
      <c r="S2306" s="3" t="s">
        <v>76</v>
      </c>
    </row>
    <row r="2307" spans="1:19" x14ac:dyDescent="0.25">
      <c r="A2307" s="3">
        <v>2306</v>
      </c>
      <c r="B2307" s="5">
        <f>DATE(Table1[[#This Row],[Year]],Table1[[#This Row],[Month]],Table1[[#This Row],[Day]])</f>
        <v>45133</v>
      </c>
      <c r="C2307" s="3">
        <v>26</v>
      </c>
      <c r="D2307" s="3">
        <v>7</v>
      </c>
      <c r="E2307" s="3">
        <v>2023</v>
      </c>
      <c r="F2307" s="3" t="str">
        <f>"Qtr"&amp; " " &amp;CHOOSE(MONTH(Table1[[#This Row],[Date]]),1,1,1,2,2,2,3,3,3,4,4,4)</f>
        <v>Qtr 3</v>
      </c>
      <c r="G2307" s="3" t="str">
        <f>TEXT(Table1[[#This Row],[Date]],"mmmm")</f>
        <v>July</v>
      </c>
      <c r="H2307" s="3" t="s">
        <v>1083</v>
      </c>
      <c r="I2307" s="3" t="s">
        <v>13</v>
      </c>
      <c r="J2307" s="3">
        <v>5</v>
      </c>
      <c r="K2307" s="3">
        <v>18265.78</v>
      </c>
      <c r="L2307" s="3">
        <f>Table1[[#This Row],[Price Per Unit]]*Table1[[#This Row],[Units Sold]]</f>
        <v>91328.9</v>
      </c>
      <c r="M2307" s="3" t="s">
        <v>764</v>
      </c>
      <c r="N2307" s="3">
        <v>24</v>
      </c>
      <c r="O2307" s="3" t="s">
        <v>20</v>
      </c>
      <c r="P2307" s="3" t="s">
        <v>45</v>
      </c>
      <c r="Q2307" s="4">
        <v>2</v>
      </c>
      <c r="R2307" s="4" t="str">
        <f>IF(Table1[[#This Row],[Customer Ratings]]&gt;=4, "Good",IF(Table1[[#This Row],[Customer Ratings]]=3, "Average","Poor"))</f>
        <v>Poor</v>
      </c>
      <c r="S2307" s="3" t="s">
        <v>72</v>
      </c>
    </row>
    <row r="2308" spans="1:19" x14ac:dyDescent="0.25">
      <c r="A2308" s="3">
        <v>2307</v>
      </c>
      <c r="B2308" s="5">
        <f>DATE(Table1[[#This Row],[Year]],Table1[[#This Row],[Month]],Table1[[#This Row],[Day]])</f>
        <v>45133</v>
      </c>
      <c r="C2308" s="3">
        <v>26</v>
      </c>
      <c r="D2308" s="3">
        <v>7</v>
      </c>
      <c r="E2308" s="3">
        <v>2023</v>
      </c>
      <c r="F2308" s="3" t="str">
        <f>"Qtr"&amp; " " &amp;CHOOSE(MONTH(Table1[[#This Row],[Date]]),1,1,1,2,2,2,3,3,3,4,4,4)</f>
        <v>Qtr 3</v>
      </c>
      <c r="G2308" s="3" t="str">
        <f>TEXT(Table1[[#This Row],[Date]],"mmmm")</f>
        <v>July</v>
      </c>
      <c r="H2308" s="3" t="s">
        <v>1083</v>
      </c>
      <c r="I2308" s="3" t="s">
        <v>28</v>
      </c>
      <c r="J2308" s="3">
        <v>4</v>
      </c>
      <c r="K2308" s="3">
        <v>32143.37</v>
      </c>
      <c r="L2308" s="3">
        <f>Table1[[#This Row],[Price Per Unit]]*Table1[[#This Row],[Units Sold]]</f>
        <v>128573.48</v>
      </c>
      <c r="M2308" s="3" t="s">
        <v>283</v>
      </c>
      <c r="N2308" s="3">
        <v>58</v>
      </c>
      <c r="O2308" s="3" t="s">
        <v>20</v>
      </c>
      <c r="P2308" s="3" t="s">
        <v>21</v>
      </c>
      <c r="Q2308" s="4">
        <v>3</v>
      </c>
      <c r="R2308" s="4" t="str">
        <f>IF(Table1[[#This Row],[Customer Ratings]]&gt;=4, "Good",IF(Table1[[#This Row],[Customer Ratings]]=3, "Average","Poor"))</f>
        <v>Average</v>
      </c>
      <c r="S2308" s="3" t="s">
        <v>87</v>
      </c>
    </row>
    <row r="2309" spans="1:19" x14ac:dyDescent="0.25">
      <c r="A2309" s="3">
        <v>2308</v>
      </c>
      <c r="B2309" s="5">
        <f>DATE(Table1[[#This Row],[Year]],Table1[[#This Row],[Month]],Table1[[#This Row],[Day]])</f>
        <v>45133</v>
      </c>
      <c r="C2309" s="3">
        <v>26</v>
      </c>
      <c r="D2309" s="3">
        <v>7</v>
      </c>
      <c r="E2309" s="3">
        <v>2023</v>
      </c>
      <c r="F2309" s="3" t="str">
        <f>"Qtr"&amp; " " &amp;CHOOSE(MONTH(Table1[[#This Row],[Date]]),1,1,1,2,2,2,3,3,3,4,4,4)</f>
        <v>Qtr 3</v>
      </c>
      <c r="G2309" s="3" t="str">
        <f>TEXT(Table1[[#This Row],[Date]],"mmmm")</f>
        <v>July</v>
      </c>
      <c r="H2309" s="3" t="s">
        <v>1083</v>
      </c>
      <c r="I2309" s="3" t="s">
        <v>28</v>
      </c>
      <c r="J2309" s="3">
        <v>7</v>
      </c>
      <c r="K2309" s="3">
        <v>53325.85</v>
      </c>
      <c r="L2309" s="3">
        <f>Table1[[#This Row],[Price Per Unit]]*Table1[[#This Row],[Units Sold]]</f>
        <v>373280.95</v>
      </c>
      <c r="M2309" s="3" t="s">
        <v>966</v>
      </c>
      <c r="N2309" s="3">
        <v>57</v>
      </c>
      <c r="O2309" s="3" t="s">
        <v>20</v>
      </c>
      <c r="P2309" s="3" t="s">
        <v>31</v>
      </c>
      <c r="Q2309" s="4">
        <v>4</v>
      </c>
      <c r="R2309" s="4" t="str">
        <f>IF(Table1[[#This Row],[Customer Ratings]]&gt;=4, "Good",IF(Table1[[#This Row],[Customer Ratings]]=3, "Average","Poor"))</f>
        <v>Good</v>
      </c>
      <c r="S2309" s="3" t="s">
        <v>87</v>
      </c>
    </row>
    <row r="2310" spans="1:19" x14ac:dyDescent="0.25">
      <c r="A2310" s="3">
        <v>2309</v>
      </c>
      <c r="B2310" s="5">
        <f>DATE(Table1[[#This Row],[Year]],Table1[[#This Row],[Month]],Table1[[#This Row],[Day]])</f>
        <v>45134</v>
      </c>
      <c r="C2310" s="3">
        <v>27</v>
      </c>
      <c r="D2310" s="3">
        <v>7</v>
      </c>
      <c r="E2310" s="3">
        <v>2023</v>
      </c>
      <c r="F2310" s="3" t="str">
        <f>"Qtr"&amp; " " &amp;CHOOSE(MONTH(Table1[[#This Row],[Date]]),1,1,1,2,2,2,3,3,3,4,4,4)</f>
        <v>Qtr 3</v>
      </c>
      <c r="G2310" s="3" t="str">
        <f>TEXT(Table1[[#This Row],[Date]],"mmmm")</f>
        <v>July</v>
      </c>
      <c r="H2310" s="3" t="s">
        <v>1084</v>
      </c>
      <c r="I2310" s="3" t="s">
        <v>13</v>
      </c>
      <c r="J2310" s="3">
        <v>8</v>
      </c>
      <c r="K2310" s="3">
        <v>20451.05</v>
      </c>
      <c r="L2310" s="3">
        <f>Table1[[#This Row],[Price Per Unit]]*Table1[[#This Row],[Units Sold]]</f>
        <v>163608.4</v>
      </c>
      <c r="M2310" s="3" t="s">
        <v>410</v>
      </c>
      <c r="N2310" s="3">
        <v>42</v>
      </c>
      <c r="O2310" s="3" t="s">
        <v>98</v>
      </c>
      <c r="P2310" s="3" t="s">
        <v>16</v>
      </c>
      <c r="Q2310" s="4">
        <v>3</v>
      </c>
      <c r="R2310" s="4" t="str">
        <f>IF(Table1[[#This Row],[Customer Ratings]]&gt;=4, "Good",IF(Table1[[#This Row],[Customer Ratings]]=3, "Average","Poor"))</f>
        <v>Average</v>
      </c>
      <c r="S2310" s="3" t="s">
        <v>27</v>
      </c>
    </row>
    <row r="2311" spans="1:19" x14ac:dyDescent="0.25">
      <c r="A2311" s="3">
        <v>2310</v>
      </c>
      <c r="B2311" s="5">
        <f>DATE(Table1[[#This Row],[Year]],Table1[[#This Row],[Month]],Table1[[#This Row],[Day]])</f>
        <v>45134</v>
      </c>
      <c r="C2311" s="3">
        <v>27</v>
      </c>
      <c r="D2311" s="3">
        <v>7</v>
      </c>
      <c r="E2311" s="3">
        <v>2023</v>
      </c>
      <c r="F2311" s="3" t="str">
        <f>"Qtr"&amp; " " &amp;CHOOSE(MONTH(Table1[[#This Row],[Date]]),1,1,1,2,2,2,3,3,3,4,4,4)</f>
        <v>Qtr 3</v>
      </c>
      <c r="G2311" s="3" t="str">
        <f>TEXT(Table1[[#This Row],[Date]],"mmmm")</f>
        <v>July</v>
      </c>
      <c r="H2311" s="3" t="s">
        <v>1084</v>
      </c>
      <c r="I2311" s="3" t="s">
        <v>18</v>
      </c>
      <c r="J2311" s="3">
        <v>4</v>
      </c>
      <c r="K2311" s="3">
        <v>45413.87</v>
      </c>
      <c r="L2311" s="3">
        <f>Table1[[#This Row],[Price Per Unit]]*Table1[[#This Row],[Units Sold]]</f>
        <v>181655.48</v>
      </c>
      <c r="M2311" s="3" t="s">
        <v>703</v>
      </c>
      <c r="N2311" s="3">
        <v>23</v>
      </c>
      <c r="O2311" s="3" t="s">
        <v>24</v>
      </c>
      <c r="P2311" s="3" t="s">
        <v>31</v>
      </c>
      <c r="Q2311" s="4">
        <v>2</v>
      </c>
      <c r="R2311" s="4" t="str">
        <f>IF(Table1[[#This Row],[Customer Ratings]]&gt;=4, "Good",IF(Table1[[#This Row],[Customer Ratings]]=3, "Average","Poor"))</f>
        <v>Poor</v>
      </c>
      <c r="S2311" s="3" t="s">
        <v>55</v>
      </c>
    </row>
    <row r="2312" spans="1:19" x14ac:dyDescent="0.25">
      <c r="A2312" s="3">
        <v>2311</v>
      </c>
      <c r="B2312" s="5">
        <f>DATE(Table1[[#This Row],[Year]],Table1[[#This Row],[Month]],Table1[[#This Row],[Day]])</f>
        <v>45134</v>
      </c>
      <c r="C2312" s="3">
        <v>27</v>
      </c>
      <c r="D2312" s="3">
        <v>7</v>
      </c>
      <c r="E2312" s="3">
        <v>2023</v>
      </c>
      <c r="F2312" s="3" t="str">
        <f>"Qtr"&amp; " " &amp;CHOOSE(MONTH(Table1[[#This Row],[Date]]),1,1,1,2,2,2,3,3,3,4,4,4)</f>
        <v>Qtr 3</v>
      </c>
      <c r="G2312" s="3" t="str">
        <f>TEXT(Table1[[#This Row],[Date]],"mmmm")</f>
        <v>July</v>
      </c>
      <c r="H2312" s="3" t="s">
        <v>1084</v>
      </c>
      <c r="I2312" s="3" t="s">
        <v>18</v>
      </c>
      <c r="J2312" s="3">
        <v>1</v>
      </c>
      <c r="K2312" s="3">
        <v>51716.45</v>
      </c>
      <c r="L2312" s="3">
        <f>Table1[[#This Row],[Price Per Unit]]*Table1[[#This Row],[Units Sold]]</f>
        <v>51716.45</v>
      </c>
      <c r="M2312" s="3" t="s">
        <v>941</v>
      </c>
      <c r="N2312" s="3">
        <v>18</v>
      </c>
      <c r="O2312" s="3" t="s">
        <v>54</v>
      </c>
      <c r="P2312" s="3" t="s">
        <v>31</v>
      </c>
      <c r="Q2312" s="4">
        <v>3</v>
      </c>
      <c r="R2312" s="4" t="str">
        <f>IF(Table1[[#This Row],[Customer Ratings]]&gt;=4, "Good",IF(Table1[[#This Row],[Customer Ratings]]=3, "Average","Poor"))</f>
        <v>Average</v>
      </c>
      <c r="S2312" s="3" t="s">
        <v>22</v>
      </c>
    </row>
    <row r="2313" spans="1:19" x14ac:dyDescent="0.25">
      <c r="A2313" s="3">
        <v>2312</v>
      </c>
      <c r="B2313" s="5">
        <f>DATE(Table1[[#This Row],[Year]],Table1[[#This Row],[Month]],Table1[[#This Row],[Day]])</f>
        <v>45135</v>
      </c>
      <c r="C2313" s="3">
        <v>28</v>
      </c>
      <c r="D2313" s="3">
        <v>7</v>
      </c>
      <c r="E2313" s="3">
        <v>2023</v>
      </c>
      <c r="F2313" s="3" t="str">
        <f>"Qtr"&amp; " " &amp;CHOOSE(MONTH(Table1[[#This Row],[Date]]),1,1,1,2,2,2,3,3,3,4,4,4)</f>
        <v>Qtr 3</v>
      </c>
      <c r="G2313" s="3" t="str">
        <f>TEXT(Table1[[#This Row],[Date]],"mmmm")</f>
        <v>July</v>
      </c>
      <c r="H2313" s="3" t="s">
        <v>1085</v>
      </c>
      <c r="I2313" s="3" t="s">
        <v>28</v>
      </c>
      <c r="J2313" s="3">
        <v>1</v>
      </c>
      <c r="K2313" s="3">
        <v>30631.21</v>
      </c>
      <c r="L2313" s="3">
        <f>Table1[[#This Row],[Price Per Unit]]*Table1[[#This Row],[Units Sold]]</f>
        <v>30631.21</v>
      </c>
      <c r="M2313" s="3" t="s">
        <v>916</v>
      </c>
      <c r="N2313" s="3">
        <v>33</v>
      </c>
      <c r="O2313" s="3" t="s">
        <v>24</v>
      </c>
      <c r="P2313" s="3" t="s">
        <v>31</v>
      </c>
      <c r="Q2313" s="4">
        <v>2</v>
      </c>
      <c r="R2313" s="4" t="str">
        <f>IF(Table1[[#This Row],[Customer Ratings]]&gt;=4, "Good",IF(Table1[[#This Row],[Customer Ratings]]=3, "Average","Poor"))</f>
        <v>Poor</v>
      </c>
      <c r="S2313" s="3" t="s">
        <v>87</v>
      </c>
    </row>
    <row r="2314" spans="1:19" x14ac:dyDescent="0.25">
      <c r="A2314" s="3">
        <v>2313</v>
      </c>
      <c r="B2314" s="5">
        <f>DATE(Table1[[#This Row],[Year]],Table1[[#This Row],[Month]],Table1[[#This Row],[Day]])</f>
        <v>45135</v>
      </c>
      <c r="C2314" s="3">
        <v>28</v>
      </c>
      <c r="D2314" s="3">
        <v>7</v>
      </c>
      <c r="E2314" s="3">
        <v>2023</v>
      </c>
      <c r="F2314" s="3" t="str">
        <f>"Qtr"&amp; " " &amp;CHOOSE(MONTH(Table1[[#This Row],[Date]]),1,1,1,2,2,2,3,3,3,4,4,4)</f>
        <v>Qtr 3</v>
      </c>
      <c r="G2314" s="3" t="str">
        <f>TEXT(Table1[[#This Row],[Date]],"mmmm")</f>
        <v>July</v>
      </c>
      <c r="H2314" s="3" t="s">
        <v>1085</v>
      </c>
      <c r="I2314" s="3" t="s">
        <v>28</v>
      </c>
      <c r="J2314" s="3">
        <v>1</v>
      </c>
      <c r="K2314" s="3">
        <v>51632.84</v>
      </c>
      <c r="L2314" s="3">
        <f>Table1[[#This Row],[Price Per Unit]]*Table1[[#This Row],[Units Sold]]</f>
        <v>51632.84</v>
      </c>
      <c r="M2314" s="3" t="s">
        <v>918</v>
      </c>
      <c r="N2314" s="3">
        <v>21</v>
      </c>
      <c r="O2314" s="3" t="s">
        <v>54</v>
      </c>
      <c r="P2314" s="3" t="s">
        <v>45</v>
      </c>
      <c r="Q2314" s="4">
        <v>3</v>
      </c>
      <c r="R2314" s="4" t="str">
        <f>IF(Table1[[#This Row],[Customer Ratings]]&gt;=4, "Good",IF(Table1[[#This Row],[Customer Ratings]]=3, "Average","Poor"))</f>
        <v>Average</v>
      </c>
      <c r="S2314" s="3" t="s">
        <v>32</v>
      </c>
    </row>
    <row r="2315" spans="1:19" x14ac:dyDescent="0.25">
      <c r="A2315" s="3">
        <v>2314</v>
      </c>
      <c r="B2315" s="5">
        <f>DATE(Table1[[#This Row],[Year]],Table1[[#This Row],[Month]],Table1[[#This Row],[Day]])</f>
        <v>45135</v>
      </c>
      <c r="C2315" s="3">
        <v>28</v>
      </c>
      <c r="D2315" s="3">
        <v>7</v>
      </c>
      <c r="E2315" s="3">
        <v>2023</v>
      </c>
      <c r="F2315" s="3" t="str">
        <f>"Qtr"&amp; " " &amp;CHOOSE(MONTH(Table1[[#This Row],[Date]]),1,1,1,2,2,2,3,3,3,4,4,4)</f>
        <v>Qtr 3</v>
      </c>
      <c r="G2315" s="3" t="str">
        <f>TEXT(Table1[[#This Row],[Date]],"mmmm")</f>
        <v>July</v>
      </c>
      <c r="H2315" s="3" t="s">
        <v>1085</v>
      </c>
      <c r="I2315" s="3" t="s">
        <v>33</v>
      </c>
      <c r="J2315" s="3">
        <v>1</v>
      </c>
      <c r="K2315" s="3">
        <v>63052.44</v>
      </c>
      <c r="L2315" s="3">
        <f>Table1[[#This Row],[Price Per Unit]]*Table1[[#This Row],[Units Sold]]</f>
        <v>63052.44</v>
      </c>
      <c r="M2315" s="3" t="s">
        <v>547</v>
      </c>
      <c r="N2315" s="3">
        <v>46</v>
      </c>
      <c r="O2315" s="3" t="s">
        <v>105</v>
      </c>
      <c r="P2315" s="3" t="s">
        <v>16</v>
      </c>
      <c r="Q2315" s="4">
        <v>2</v>
      </c>
      <c r="R2315" s="4" t="str">
        <f>IF(Table1[[#This Row],[Customer Ratings]]&gt;=4, "Good",IF(Table1[[#This Row],[Customer Ratings]]=3, "Average","Poor"))</f>
        <v>Poor</v>
      </c>
      <c r="S2315" s="3" t="s">
        <v>36</v>
      </c>
    </row>
    <row r="2316" spans="1:19" x14ac:dyDescent="0.25">
      <c r="A2316" s="3">
        <v>2315</v>
      </c>
      <c r="B2316" s="5">
        <f>DATE(Table1[[#This Row],[Year]],Table1[[#This Row],[Month]],Table1[[#This Row],[Day]])</f>
        <v>45136</v>
      </c>
      <c r="C2316" s="3">
        <v>29</v>
      </c>
      <c r="D2316" s="3">
        <v>7</v>
      </c>
      <c r="E2316" s="3">
        <v>2023</v>
      </c>
      <c r="F2316" s="3" t="str">
        <f>"Qtr"&amp; " " &amp;CHOOSE(MONTH(Table1[[#This Row],[Date]]),1,1,1,2,2,2,3,3,3,4,4,4)</f>
        <v>Qtr 3</v>
      </c>
      <c r="G2316" s="3" t="str">
        <f>TEXT(Table1[[#This Row],[Date]],"mmmm")</f>
        <v>July</v>
      </c>
      <c r="H2316" s="3" t="s">
        <v>1079</v>
      </c>
      <c r="I2316" s="3" t="s">
        <v>18</v>
      </c>
      <c r="J2316" s="3">
        <v>5</v>
      </c>
      <c r="K2316" s="3">
        <v>38327</v>
      </c>
      <c r="L2316" s="3">
        <f>Table1[[#This Row],[Price Per Unit]]*Table1[[#This Row],[Units Sold]]</f>
        <v>191635</v>
      </c>
      <c r="M2316" s="3" t="s">
        <v>851</v>
      </c>
      <c r="N2316" s="3">
        <v>55</v>
      </c>
      <c r="O2316" s="3" t="s">
        <v>81</v>
      </c>
      <c r="P2316" s="3" t="s">
        <v>21</v>
      </c>
      <c r="Q2316" s="4">
        <v>4</v>
      </c>
      <c r="R2316" s="4" t="str">
        <f>IF(Table1[[#This Row],[Customer Ratings]]&gt;=4, "Good",IF(Table1[[#This Row],[Customer Ratings]]=3, "Average","Poor"))</f>
        <v>Good</v>
      </c>
      <c r="S2316" s="3" t="s">
        <v>55</v>
      </c>
    </row>
    <row r="2317" spans="1:19" x14ac:dyDescent="0.25">
      <c r="A2317" s="3">
        <v>2316</v>
      </c>
      <c r="B2317" s="5">
        <f>DATE(Table1[[#This Row],[Year]],Table1[[#This Row],[Month]],Table1[[#This Row],[Day]])</f>
        <v>45136</v>
      </c>
      <c r="C2317" s="3">
        <v>29</v>
      </c>
      <c r="D2317" s="3">
        <v>7</v>
      </c>
      <c r="E2317" s="3">
        <v>2023</v>
      </c>
      <c r="F2317" s="3" t="str">
        <f>"Qtr"&amp; " " &amp;CHOOSE(MONTH(Table1[[#This Row],[Date]]),1,1,1,2,2,2,3,3,3,4,4,4)</f>
        <v>Qtr 3</v>
      </c>
      <c r="G2317" s="3" t="str">
        <f>TEXT(Table1[[#This Row],[Date]],"mmmm")</f>
        <v>July</v>
      </c>
      <c r="H2317" s="3" t="s">
        <v>1079</v>
      </c>
      <c r="I2317" s="3" t="s">
        <v>13</v>
      </c>
      <c r="J2317" s="3">
        <v>4</v>
      </c>
      <c r="K2317" s="3">
        <v>32974.559999999998</v>
      </c>
      <c r="L2317" s="3">
        <f>Table1[[#This Row],[Price Per Unit]]*Table1[[#This Row],[Units Sold]]</f>
        <v>131898.23999999999</v>
      </c>
      <c r="M2317" s="3" t="s">
        <v>967</v>
      </c>
      <c r="N2317" s="3">
        <v>45</v>
      </c>
      <c r="O2317" s="3" t="s">
        <v>65</v>
      </c>
      <c r="P2317" s="3" t="s">
        <v>31</v>
      </c>
      <c r="Q2317" s="4">
        <v>5</v>
      </c>
      <c r="R2317" s="4" t="str">
        <f>IF(Table1[[#This Row],[Customer Ratings]]&gt;=4, "Good",IF(Table1[[#This Row],[Customer Ratings]]=3, "Average","Poor"))</f>
        <v>Good</v>
      </c>
      <c r="S2317" s="3" t="s">
        <v>17</v>
      </c>
    </row>
    <row r="2318" spans="1:19" x14ac:dyDescent="0.25">
      <c r="A2318" s="3">
        <v>2317</v>
      </c>
      <c r="B2318" s="5">
        <f>DATE(Table1[[#This Row],[Year]],Table1[[#This Row],[Month]],Table1[[#This Row],[Day]])</f>
        <v>45136</v>
      </c>
      <c r="C2318" s="3">
        <v>29</v>
      </c>
      <c r="D2318" s="3">
        <v>7</v>
      </c>
      <c r="E2318" s="3">
        <v>2023</v>
      </c>
      <c r="F2318" s="3" t="str">
        <f>"Qtr"&amp; " " &amp;CHOOSE(MONTH(Table1[[#This Row],[Date]]),1,1,1,2,2,2,3,3,3,4,4,4)</f>
        <v>Qtr 3</v>
      </c>
      <c r="G2318" s="3" t="str">
        <f>TEXT(Table1[[#This Row],[Date]],"mmmm")</f>
        <v>July</v>
      </c>
      <c r="H2318" s="3" t="s">
        <v>1079</v>
      </c>
      <c r="I2318" s="3" t="s">
        <v>18</v>
      </c>
      <c r="J2318" s="3">
        <v>9</v>
      </c>
      <c r="K2318" s="3">
        <v>25069.5</v>
      </c>
      <c r="L2318" s="3">
        <f>Table1[[#This Row],[Price Per Unit]]*Table1[[#This Row],[Units Sold]]</f>
        <v>225625.5</v>
      </c>
      <c r="M2318" s="3" t="s">
        <v>396</v>
      </c>
      <c r="N2318" s="3">
        <v>39</v>
      </c>
      <c r="O2318" s="3" t="s">
        <v>48</v>
      </c>
      <c r="P2318" s="3" t="s">
        <v>31</v>
      </c>
      <c r="Q2318" s="4">
        <v>4</v>
      </c>
      <c r="R2318" s="4" t="str">
        <f>IF(Table1[[#This Row],[Customer Ratings]]&gt;=4, "Good",IF(Table1[[#This Row],[Customer Ratings]]=3, "Average","Poor"))</f>
        <v>Good</v>
      </c>
      <c r="S2318" s="3" t="s">
        <v>22</v>
      </c>
    </row>
    <row r="2319" spans="1:19" x14ac:dyDescent="0.25">
      <c r="A2319" s="3">
        <v>2318</v>
      </c>
      <c r="B2319" s="5">
        <f>DATE(Table1[[#This Row],[Year]],Table1[[#This Row],[Month]],Table1[[#This Row],[Day]])</f>
        <v>45136</v>
      </c>
      <c r="C2319" s="3">
        <v>29</v>
      </c>
      <c r="D2319" s="3">
        <v>7</v>
      </c>
      <c r="E2319" s="3">
        <v>2023</v>
      </c>
      <c r="F2319" s="3" t="str">
        <f>"Qtr"&amp; " " &amp;CHOOSE(MONTH(Table1[[#This Row],[Date]]),1,1,1,2,2,2,3,3,3,4,4,4)</f>
        <v>Qtr 3</v>
      </c>
      <c r="G2319" s="3" t="str">
        <f>TEXT(Table1[[#This Row],[Date]],"mmmm")</f>
        <v>July</v>
      </c>
      <c r="H2319" s="3" t="s">
        <v>1079</v>
      </c>
      <c r="I2319" s="3" t="s">
        <v>33</v>
      </c>
      <c r="J2319" s="3">
        <v>3</v>
      </c>
      <c r="K2319" s="3">
        <v>46252.33</v>
      </c>
      <c r="L2319" s="3">
        <f>Table1[[#This Row],[Price Per Unit]]*Table1[[#This Row],[Units Sold]]</f>
        <v>138756.99</v>
      </c>
      <c r="M2319" s="3" t="s">
        <v>607</v>
      </c>
      <c r="N2319" s="3">
        <v>25</v>
      </c>
      <c r="O2319" s="3" t="s">
        <v>20</v>
      </c>
      <c r="P2319" s="3" t="s">
        <v>45</v>
      </c>
      <c r="Q2319" s="4">
        <v>2</v>
      </c>
      <c r="R2319" s="4" t="str">
        <f>IF(Table1[[#This Row],[Customer Ratings]]&gt;=4, "Good",IF(Table1[[#This Row],[Customer Ratings]]=3, "Average","Poor"))</f>
        <v>Poor</v>
      </c>
      <c r="S2319" s="3" t="s">
        <v>83</v>
      </c>
    </row>
    <row r="2320" spans="1:19" x14ac:dyDescent="0.25">
      <c r="A2320" s="3">
        <v>2319</v>
      </c>
      <c r="B2320" s="5">
        <f>DATE(Table1[[#This Row],[Year]],Table1[[#This Row],[Month]],Table1[[#This Row],[Day]])</f>
        <v>45137</v>
      </c>
      <c r="C2320" s="3">
        <v>30</v>
      </c>
      <c r="D2320" s="3">
        <v>7</v>
      </c>
      <c r="E2320" s="3">
        <v>2023</v>
      </c>
      <c r="F2320" s="3" t="str">
        <f>"Qtr"&amp; " " &amp;CHOOSE(MONTH(Table1[[#This Row],[Date]]),1,1,1,2,2,2,3,3,3,4,4,4)</f>
        <v>Qtr 3</v>
      </c>
      <c r="G2320" s="3" t="str">
        <f>TEXT(Table1[[#This Row],[Date]],"mmmm")</f>
        <v>July</v>
      </c>
      <c r="H2320" s="3" t="s">
        <v>1080</v>
      </c>
      <c r="I2320" s="3" t="s">
        <v>28</v>
      </c>
      <c r="J2320" s="3">
        <v>7</v>
      </c>
      <c r="K2320" s="3">
        <v>62791.12</v>
      </c>
      <c r="L2320" s="3">
        <f>Table1[[#This Row],[Price Per Unit]]*Table1[[#This Row],[Units Sold]]</f>
        <v>439537.84</v>
      </c>
      <c r="M2320" s="3" t="s">
        <v>555</v>
      </c>
      <c r="N2320" s="3">
        <v>49</v>
      </c>
      <c r="O2320" s="3" t="s">
        <v>20</v>
      </c>
      <c r="P2320" s="3" t="s">
        <v>45</v>
      </c>
      <c r="Q2320" s="4">
        <v>4</v>
      </c>
      <c r="R2320" s="4" t="str">
        <f>IF(Table1[[#This Row],[Customer Ratings]]&gt;=4, "Good",IF(Table1[[#This Row],[Customer Ratings]]=3, "Average","Poor"))</f>
        <v>Good</v>
      </c>
      <c r="S2320" s="3" t="s">
        <v>87</v>
      </c>
    </row>
    <row r="2321" spans="1:19" x14ac:dyDescent="0.25">
      <c r="A2321" s="3">
        <v>2320</v>
      </c>
      <c r="B2321" s="5">
        <f>DATE(Table1[[#This Row],[Year]],Table1[[#This Row],[Month]],Table1[[#This Row],[Day]])</f>
        <v>45137</v>
      </c>
      <c r="C2321" s="3">
        <v>30</v>
      </c>
      <c r="D2321" s="3">
        <v>7</v>
      </c>
      <c r="E2321" s="3">
        <v>2023</v>
      </c>
      <c r="F2321" s="3" t="str">
        <f>"Qtr"&amp; " " &amp;CHOOSE(MONTH(Table1[[#This Row],[Date]]),1,1,1,2,2,2,3,3,3,4,4,4)</f>
        <v>Qtr 3</v>
      </c>
      <c r="G2321" s="3" t="str">
        <f>TEXT(Table1[[#This Row],[Date]],"mmmm")</f>
        <v>July</v>
      </c>
      <c r="H2321" s="3" t="s">
        <v>1080</v>
      </c>
      <c r="I2321" s="3" t="s">
        <v>28</v>
      </c>
      <c r="J2321" s="3">
        <v>8</v>
      </c>
      <c r="K2321" s="3">
        <v>29479.68</v>
      </c>
      <c r="L2321" s="3">
        <f>Table1[[#This Row],[Price Per Unit]]*Table1[[#This Row],[Units Sold]]</f>
        <v>235837.44</v>
      </c>
      <c r="M2321" s="3" t="s">
        <v>377</v>
      </c>
      <c r="N2321" s="3">
        <v>50</v>
      </c>
      <c r="O2321" s="3" t="s">
        <v>120</v>
      </c>
      <c r="P2321" s="3" t="s">
        <v>16</v>
      </c>
      <c r="Q2321" s="4">
        <v>4</v>
      </c>
      <c r="R2321" s="4" t="str">
        <f>IF(Table1[[#This Row],[Customer Ratings]]&gt;=4, "Good",IF(Table1[[#This Row],[Customer Ratings]]=3, "Average","Poor"))</f>
        <v>Good</v>
      </c>
      <c r="S2321" s="3" t="s">
        <v>32</v>
      </c>
    </row>
    <row r="2322" spans="1:19" x14ac:dyDescent="0.25">
      <c r="A2322" s="3">
        <v>2321</v>
      </c>
      <c r="B2322" s="5">
        <f>DATE(Table1[[#This Row],[Year]],Table1[[#This Row],[Month]],Table1[[#This Row],[Day]])</f>
        <v>45137</v>
      </c>
      <c r="C2322" s="3">
        <v>30</v>
      </c>
      <c r="D2322" s="3">
        <v>7</v>
      </c>
      <c r="E2322" s="3">
        <v>2023</v>
      </c>
      <c r="F2322" s="3" t="str">
        <f>"Qtr"&amp; " " &amp;CHOOSE(MONTH(Table1[[#This Row],[Date]]),1,1,1,2,2,2,3,3,3,4,4,4)</f>
        <v>Qtr 3</v>
      </c>
      <c r="G2322" s="3" t="str">
        <f>TEXT(Table1[[#This Row],[Date]],"mmmm")</f>
        <v>July</v>
      </c>
      <c r="H2322" s="3" t="s">
        <v>1080</v>
      </c>
      <c r="I2322" s="3" t="s">
        <v>33</v>
      </c>
      <c r="J2322" s="3">
        <v>6</v>
      </c>
      <c r="K2322" s="3">
        <v>33774.129999999997</v>
      </c>
      <c r="L2322" s="3">
        <f>Table1[[#This Row],[Price Per Unit]]*Table1[[#This Row],[Units Sold]]</f>
        <v>202644.77999999997</v>
      </c>
      <c r="M2322" s="3" t="s">
        <v>701</v>
      </c>
      <c r="N2322" s="3">
        <v>30</v>
      </c>
      <c r="O2322" s="3" t="s">
        <v>20</v>
      </c>
      <c r="P2322" s="3" t="s">
        <v>21</v>
      </c>
      <c r="Q2322" s="4">
        <v>2</v>
      </c>
      <c r="R2322" s="4" t="str">
        <f>IF(Table1[[#This Row],[Customer Ratings]]&gt;=4, "Good",IF(Table1[[#This Row],[Customer Ratings]]=3, "Average","Poor"))</f>
        <v>Poor</v>
      </c>
      <c r="S2322" s="3" t="s">
        <v>46</v>
      </c>
    </row>
    <row r="2323" spans="1:19" x14ac:dyDescent="0.25">
      <c r="A2323" s="3">
        <v>2322</v>
      </c>
      <c r="B2323" s="5">
        <f>DATE(Table1[[#This Row],[Year]],Table1[[#This Row],[Month]],Table1[[#This Row],[Day]])</f>
        <v>45137</v>
      </c>
      <c r="C2323" s="3">
        <v>30</v>
      </c>
      <c r="D2323" s="3">
        <v>7</v>
      </c>
      <c r="E2323" s="3">
        <v>2023</v>
      </c>
      <c r="F2323" s="3" t="str">
        <f>"Qtr"&amp; " " &amp;CHOOSE(MONTH(Table1[[#This Row],[Date]]),1,1,1,2,2,2,3,3,3,4,4,4)</f>
        <v>Qtr 3</v>
      </c>
      <c r="G2323" s="3" t="str">
        <f>TEXT(Table1[[#This Row],[Date]],"mmmm")</f>
        <v>July</v>
      </c>
      <c r="H2323" s="3" t="s">
        <v>1080</v>
      </c>
      <c r="I2323" s="3" t="s">
        <v>13</v>
      </c>
      <c r="J2323" s="3">
        <v>1</v>
      </c>
      <c r="K2323" s="3">
        <v>34397.53</v>
      </c>
      <c r="L2323" s="3">
        <f>Table1[[#This Row],[Price Per Unit]]*Table1[[#This Row],[Units Sold]]</f>
        <v>34397.53</v>
      </c>
      <c r="M2323" s="3" t="s">
        <v>183</v>
      </c>
      <c r="N2323" s="3">
        <v>44</v>
      </c>
      <c r="O2323" s="3" t="s">
        <v>24</v>
      </c>
      <c r="P2323" s="3" t="s">
        <v>21</v>
      </c>
      <c r="Q2323" s="4">
        <v>2</v>
      </c>
      <c r="R2323" s="4" t="str">
        <f>IF(Table1[[#This Row],[Customer Ratings]]&gt;=4, "Good",IF(Table1[[#This Row],[Customer Ratings]]=3, "Average","Poor"))</f>
        <v>Poor</v>
      </c>
      <c r="S2323" s="3" t="s">
        <v>27</v>
      </c>
    </row>
    <row r="2324" spans="1:19" x14ac:dyDescent="0.25">
      <c r="A2324" s="3">
        <v>2323</v>
      </c>
      <c r="B2324" s="5">
        <f>DATE(Table1[[#This Row],[Year]],Table1[[#This Row],[Month]],Table1[[#This Row],[Day]])</f>
        <v>45138</v>
      </c>
      <c r="C2324" s="3">
        <v>31</v>
      </c>
      <c r="D2324" s="3">
        <v>7</v>
      </c>
      <c r="E2324" s="3">
        <v>2023</v>
      </c>
      <c r="F2324" s="3" t="str">
        <f>"Qtr"&amp; " " &amp;CHOOSE(MONTH(Table1[[#This Row],[Date]]),1,1,1,2,2,2,3,3,3,4,4,4)</f>
        <v>Qtr 3</v>
      </c>
      <c r="G2324" s="3" t="str">
        <f>TEXT(Table1[[#This Row],[Date]],"mmmm")</f>
        <v>July</v>
      </c>
      <c r="H2324" s="3" t="s">
        <v>1081</v>
      </c>
      <c r="I2324" s="3" t="s">
        <v>28</v>
      </c>
      <c r="J2324" s="3">
        <v>8</v>
      </c>
      <c r="K2324" s="3">
        <v>43648.74</v>
      </c>
      <c r="L2324" s="3">
        <f>Table1[[#This Row],[Price Per Unit]]*Table1[[#This Row],[Units Sold]]</f>
        <v>349189.92</v>
      </c>
      <c r="M2324" s="3" t="s">
        <v>787</v>
      </c>
      <c r="N2324" s="3">
        <v>35</v>
      </c>
      <c r="O2324" s="3" t="s">
        <v>20</v>
      </c>
      <c r="P2324" s="3" t="s">
        <v>45</v>
      </c>
      <c r="Q2324" s="4">
        <v>5</v>
      </c>
      <c r="R2324" s="4" t="str">
        <f>IF(Table1[[#This Row],[Customer Ratings]]&gt;=4, "Good",IF(Table1[[#This Row],[Customer Ratings]]=3, "Average","Poor"))</f>
        <v>Good</v>
      </c>
      <c r="S2324" s="3" t="s">
        <v>38</v>
      </c>
    </row>
    <row r="2325" spans="1:19" x14ac:dyDescent="0.25">
      <c r="A2325" s="3">
        <v>2324</v>
      </c>
      <c r="B2325" s="5">
        <f>DATE(Table1[[#This Row],[Year]],Table1[[#This Row],[Month]],Table1[[#This Row],[Day]])</f>
        <v>45138</v>
      </c>
      <c r="C2325" s="3">
        <v>31</v>
      </c>
      <c r="D2325" s="3">
        <v>7</v>
      </c>
      <c r="E2325" s="3">
        <v>2023</v>
      </c>
      <c r="F2325" s="3" t="str">
        <f>"Qtr"&amp; " " &amp;CHOOSE(MONTH(Table1[[#This Row],[Date]]),1,1,1,2,2,2,3,3,3,4,4,4)</f>
        <v>Qtr 3</v>
      </c>
      <c r="G2325" s="3" t="str">
        <f>TEXT(Table1[[#This Row],[Date]],"mmmm")</f>
        <v>July</v>
      </c>
      <c r="H2325" s="3" t="s">
        <v>1081</v>
      </c>
      <c r="I2325" s="3" t="s">
        <v>39</v>
      </c>
      <c r="J2325" s="3">
        <v>3</v>
      </c>
      <c r="K2325" s="3">
        <v>23704.54</v>
      </c>
      <c r="L2325" s="3">
        <f>Table1[[#This Row],[Price Per Unit]]*Table1[[#This Row],[Units Sold]]</f>
        <v>71113.62</v>
      </c>
      <c r="M2325" s="3" t="s">
        <v>588</v>
      </c>
      <c r="N2325" s="3">
        <v>35</v>
      </c>
      <c r="O2325" s="3" t="s">
        <v>48</v>
      </c>
      <c r="P2325" s="3" t="s">
        <v>16</v>
      </c>
      <c r="Q2325" s="4">
        <v>5</v>
      </c>
      <c r="R2325" s="4" t="str">
        <f>IF(Table1[[#This Row],[Customer Ratings]]&gt;=4, "Good",IF(Table1[[#This Row],[Customer Ratings]]=3, "Average","Poor"))</f>
        <v>Good</v>
      </c>
      <c r="S2325" s="3" t="s">
        <v>76</v>
      </c>
    </row>
    <row r="2326" spans="1:19" x14ac:dyDescent="0.25">
      <c r="A2326" s="3">
        <v>2325</v>
      </c>
      <c r="B2326" s="5">
        <f>DATE(Table1[[#This Row],[Year]],Table1[[#This Row],[Month]],Table1[[#This Row],[Day]])</f>
        <v>45138</v>
      </c>
      <c r="C2326" s="3">
        <v>31</v>
      </c>
      <c r="D2326" s="3">
        <v>7</v>
      </c>
      <c r="E2326" s="3">
        <v>2023</v>
      </c>
      <c r="F2326" s="3" t="str">
        <f>"Qtr"&amp; " " &amp;CHOOSE(MONTH(Table1[[#This Row],[Date]]),1,1,1,2,2,2,3,3,3,4,4,4)</f>
        <v>Qtr 3</v>
      </c>
      <c r="G2326" s="3" t="str">
        <f>TEXT(Table1[[#This Row],[Date]],"mmmm")</f>
        <v>July</v>
      </c>
      <c r="H2326" s="3" t="s">
        <v>1081</v>
      </c>
      <c r="I2326" s="3" t="s">
        <v>28</v>
      </c>
      <c r="J2326" s="3">
        <v>8</v>
      </c>
      <c r="K2326" s="3">
        <v>59332.67</v>
      </c>
      <c r="L2326" s="3">
        <f>Table1[[#This Row],[Price Per Unit]]*Table1[[#This Row],[Units Sold]]</f>
        <v>474661.36</v>
      </c>
      <c r="M2326" s="3" t="s">
        <v>271</v>
      </c>
      <c r="N2326" s="3">
        <v>30</v>
      </c>
      <c r="O2326" s="3" t="s">
        <v>105</v>
      </c>
      <c r="P2326" s="3" t="s">
        <v>31</v>
      </c>
      <c r="Q2326" s="4">
        <v>3</v>
      </c>
      <c r="R2326" s="4" t="str">
        <f>IF(Table1[[#This Row],[Customer Ratings]]&gt;=4, "Good",IF(Table1[[#This Row],[Customer Ratings]]=3, "Average","Poor"))</f>
        <v>Average</v>
      </c>
      <c r="S2326" s="3" t="s">
        <v>38</v>
      </c>
    </row>
    <row r="2327" spans="1:19" x14ac:dyDescent="0.25">
      <c r="A2327" s="3">
        <v>2326</v>
      </c>
      <c r="B2327" s="5">
        <f>DATE(Table1[[#This Row],[Year]],Table1[[#This Row],[Month]],Table1[[#This Row],[Day]])</f>
        <v>45138</v>
      </c>
      <c r="C2327" s="3">
        <v>31</v>
      </c>
      <c r="D2327" s="3">
        <v>7</v>
      </c>
      <c r="E2327" s="3">
        <v>2023</v>
      </c>
      <c r="F2327" s="3" t="str">
        <f>"Qtr"&amp; " " &amp;CHOOSE(MONTH(Table1[[#This Row],[Date]]),1,1,1,2,2,2,3,3,3,4,4,4)</f>
        <v>Qtr 3</v>
      </c>
      <c r="G2327" s="3" t="str">
        <f>TEXT(Table1[[#This Row],[Date]],"mmmm")</f>
        <v>July</v>
      </c>
      <c r="H2327" s="3" t="s">
        <v>1081</v>
      </c>
      <c r="I2327" s="3" t="s">
        <v>39</v>
      </c>
      <c r="J2327" s="3">
        <v>4</v>
      </c>
      <c r="K2327" s="3">
        <v>27736.14</v>
      </c>
      <c r="L2327" s="3">
        <f>Table1[[#This Row],[Price Per Unit]]*Table1[[#This Row],[Units Sold]]</f>
        <v>110944.56</v>
      </c>
      <c r="M2327" s="3" t="s">
        <v>474</v>
      </c>
      <c r="N2327" s="3">
        <v>39</v>
      </c>
      <c r="O2327" s="3" t="s">
        <v>35</v>
      </c>
      <c r="P2327" s="3" t="s">
        <v>16</v>
      </c>
      <c r="Q2327" s="4">
        <v>2</v>
      </c>
      <c r="R2327" s="4" t="str">
        <f>IF(Table1[[#This Row],[Customer Ratings]]&gt;=4, "Good",IF(Table1[[#This Row],[Customer Ratings]]=3, "Average","Poor"))</f>
        <v>Poor</v>
      </c>
      <c r="S2327" s="3" t="s">
        <v>76</v>
      </c>
    </row>
    <row r="2328" spans="1:19" x14ac:dyDescent="0.25">
      <c r="A2328" s="3">
        <v>2327</v>
      </c>
      <c r="B2328" s="5">
        <f>DATE(Table1[[#This Row],[Year]],Table1[[#This Row],[Month]],Table1[[#This Row],[Day]])</f>
        <v>45139</v>
      </c>
      <c r="C2328" s="3">
        <v>1</v>
      </c>
      <c r="D2328" s="3">
        <v>8</v>
      </c>
      <c r="E2328" s="3">
        <v>2023</v>
      </c>
      <c r="F2328" s="3" t="str">
        <f>"Qtr"&amp; " " &amp;CHOOSE(MONTH(Table1[[#This Row],[Date]]),1,1,1,2,2,2,3,3,3,4,4,4)</f>
        <v>Qtr 3</v>
      </c>
      <c r="G2328" s="3" t="str">
        <f>TEXT(Table1[[#This Row],[Date]],"mmmm")</f>
        <v>August</v>
      </c>
      <c r="H2328" s="3" t="s">
        <v>1082</v>
      </c>
      <c r="I2328" s="3" t="s">
        <v>33</v>
      </c>
      <c r="J2328" s="3">
        <v>8</v>
      </c>
      <c r="K2328" s="3">
        <v>52321.760000000002</v>
      </c>
      <c r="L2328" s="3">
        <f>Table1[[#This Row],[Price Per Unit]]*Table1[[#This Row],[Units Sold]]</f>
        <v>418574.08000000002</v>
      </c>
      <c r="M2328" s="3" t="s">
        <v>198</v>
      </c>
      <c r="N2328" s="3">
        <v>31</v>
      </c>
      <c r="O2328" s="3" t="s">
        <v>102</v>
      </c>
      <c r="P2328" s="3" t="s">
        <v>21</v>
      </c>
      <c r="Q2328" s="4">
        <v>2</v>
      </c>
      <c r="R2328" s="4" t="str">
        <f>IF(Table1[[#This Row],[Customer Ratings]]&gt;=4, "Good",IF(Table1[[#This Row],[Customer Ratings]]=3, "Average","Poor"))</f>
        <v>Poor</v>
      </c>
      <c r="S2328" s="3" t="s">
        <v>36</v>
      </c>
    </row>
    <row r="2329" spans="1:19" x14ac:dyDescent="0.25">
      <c r="A2329" s="3">
        <v>2328</v>
      </c>
      <c r="B2329" s="5">
        <f>DATE(Table1[[#This Row],[Year]],Table1[[#This Row],[Month]],Table1[[#This Row],[Day]])</f>
        <v>45139</v>
      </c>
      <c r="C2329" s="3">
        <v>1</v>
      </c>
      <c r="D2329" s="3">
        <v>8</v>
      </c>
      <c r="E2329" s="3">
        <v>2023</v>
      </c>
      <c r="F2329" s="3" t="str">
        <f>"Qtr"&amp; " " &amp;CHOOSE(MONTH(Table1[[#This Row],[Date]]),1,1,1,2,2,2,3,3,3,4,4,4)</f>
        <v>Qtr 3</v>
      </c>
      <c r="G2329" s="3" t="str">
        <f>TEXT(Table1[[#This Row],[Date]],"mmmm")</f>
        <v>August</v>
      </c>
      <c r="H2329" s="3" t="s">
        <v>1082</v>
      </c>
      <c r="I2329" s="3" t="s">
        <v>33</v>
      </c>
      <c r="J2329" s="3">
        <v>1</v>
      </c>
      <c r="K2329" s="3">
        <v>40792.94</v>
      </c>
      <c r="L2329" s="3">
        <f>Table1[[#This Row],[Price Per Unit]]*Table1[[#This Row],[Units Sold]]</f>
        <v>40792.94</v>
      </c>
      <c r="M2329" s="3" t="s">
        <v>789</v>
      </c>
      <c r="N2329" s="3">
        <v>28</v>
      </c>
      <c r="O2329" s="3" t="s">
        <v>24</v>
      </c>
      <c r="P2329" s="3" t="s">
        <v>45</v>
      </c>
      <c r="Q2329" s="4">
        <v>4</v>
      </c>
      <c r="R2329" s="4" t="str">
        <f>IF(Table1[[#This Row],[Customer Ratings]]&gt;=4, "Good",IF(Table1[[#This Row],[Customer Ratings]]=3, "Average","Poor"))</f>
        <v>Good</v>
      </c>
      <c r="S2329" s="3" t="s">
        <v>83</v>
      </c>
    </row>
    <row r="2330" spans="1:19" x14ac:dyDescent="0.25">
      <c r="A2330" s="3">
        <v>2329</v>
      </c>
      <c r="B2330" s="5">
        <f>DATE(Table1[[#This Row],[Year]],Table1[[#This Row],[Month]],Table1[[#This Row],[Day]])</f>
        <v>45139</v>
      </c>
      <c r="C2330" s="3">
        <v>1</v>
      </c>
      <c r="D2330" s="3">
        <v>8</v>
      </c>
      <c r="E2330" s="3">
        <v>2023</v>
      </c>
      <c r="F2330" s="3" t="str">
        <f>"Qtr"&amp; " " &amp;CHOOSE(MONTH(Table1[[#This Row],[Date]]),1,1,1,2,2,2,3,3,3,4,4,4)</f>
        <v>Qtr 3</v>
      </c>
      <c r="G2330" s="3" t="str">
        <f>TEXT(Table1[[#This Row],[Date]],"mmmm")</f>
        <v>August</v>
      </c>
      <c r="H2330" s="3" t="s">
        <v>1082</v>
      </c>
      <c r="I2330" s="3" t="s">
        <v>28</v>
      </c>
      <c r="J2330" s="3">
        <v>3</v>
      </c>
      <c r="K2330" s="3">
        <v>45153.86</v>
      </c>
      <c r="L2330" s="3">
        <f>Table1[[#This Row],[Price Per Unit]]*Table1[[#This Row],[Units Sold]]</f>
        <v>135461.58000000002</v>
      </c>
      <c r="M2330" s="3" t="s">
        <v>603</v>
      </c>
      <c r="N2330" s="3">
        <v>56</v>
      </c>
      <c r="O2330" s="3" t="s">
        <v>24</v>
      </c>
      <c r="P2330" s="3" t="s">
        <v>31</v>
      </c>
      <c r="Q2330" s="4">
        <v>4</v>
      </c>
      <c r="R2330" s="4" t="str">
        <f>IF(Table1[[#This Row],[Customer Ratings]]&gt;=4, "Good",IF(Table1[[#This Row],[Customer Ratings]]=3, "Average","Poor"))</f>
        <v>Good</v>
      </c>
      <c r="S2330" s="3" t="s">
        <v>87</v>
      </c>
    </row>
    <row r="2331" spans="1:19" x14ac:dyDescent="0.25">
      <c r="A2331" s="3">
        <v>2330</v>
      </c>
      <c r="B2331" s="5">
        <f>DATE(Table1[[#This Row],[Year]],Table1[[#This Row],[Month]],Table1[[#This Row],[Day]])</f>
        <v>45140</v>
      </c>
      <c r="C2331" s="3">
        <v>2</v>
      </c>
      <c r="D2331" s="3">
        <v>8</v>
      </c>
      <c r="E2331" s="3">
        <v>2023</v>
      </c>
      <c r="F2331" s="3" t="str">
        <f>"Qtr"&amp; " " &amp;CHOOSE(MONTH(Table1[[#This Row],[Date]]),1,1,1,2,2,2,3,3,3,4,4,4)</f>
        <v>Qtr 3</v>
      </c>
      <c r="G2331" s="3" t="str">
        <f>TEXT(Table1[[#This Row],[Date]],"mmmm")</f>
        <v>August</v>
      </c>
      <c r="H2331" s="3" t="s">
        <v>1083</v>
      </c>
      <c r="I2331" s="3" t="s">
        <v>18</v>
      </c>
      <c r="J2331" s="3">
        <v>6</v>
      </c>
      <c r="K2331" s="3">
        <v>20776.52</v>
      </c>
      <c r="L2331" s="3">
        <f>Table1[[#This Row],[Price Per Unit]]*Table1[[#This Row],[Units Sold]]</f>
        <v>124659.12</v>
      </c>
      <c r="M2331" s="3" t="s">
        <v>256</v>
      </c>
      <c r="N2331" s="3">
        <v>39</v>
      </c>
      <c r="O2331" s="3" t="s">
        <v>20</v>
      </c>
      <c r="P2331" s="3" t="s">
        <v>31</v>
      </c>
      <c r="Q2331" s="4">
        <v>5</v>
      </c>
      <c r="R2331" s="4" t="str">
        <f>IF(Table1[[#This Row],[Customer Ratings]]&gt;=4, "Good",IF(Table1[[#This Row],[Customer Ratings]]=3, "Average","Poor"))</f>
        <v>Good</v>
      </c>
      <c r="S2331" s="3" t="s">
        <v>22</v>
      </c>
    </row>
    <row r="2332" spans="1:19" x14ac:dyDescent="0.25">
      <c r="A2332" s="3">
        <v>2331</v>
      </c>
      <c r="B2332" s="5">
        <f>DATE(Table1[[#This Row],[Year]],Table1[[#This Row],[Month]],Table1[[#This Row],[Day]])</f>
        <v>45140</v>
      </c>
      <c r="C2332" s="3">
        <v>2</v>
      </c>
      <c r="D2332" s="3">
        <v>8</v>
      </c>
      <c r="E2332" s="3">
        <v>2023</v>
      </c>
      <c r="F2332" s="3" t="str">
        <f>"Qtr"&amp; " " &amp;CHOOSE(MONTH(Table1[[#This Row],[Date]]),1,1,1,2,2,2,3,3,3,4,4,4)</f>
        <v>Qtr 3</v>
      </c>
      <c r="G2332" s="3" t="str">
        <f>TEXT(Table1[[#This Row],[Date]],"mmmm")</f>
        <v>August</v>
      </c>
      <c r="H2332" s="3" t="s">
        <v>1083</v>
      </c>
      <c r="I2332" s="3" t="s">
        <v>39</v>
      </c>
      <c r="J2332" s="3">
        <v>9</v>
      </c>
      <c r="K2332" s="3">
        <v>54101.39</v>
      </c>
      <c r="L2332" s="3">
        <f>Table1[[#This Row],[Price Per Unit]]*Table1[[#This Row],[Units Sold]]</f>
        <v>486912.51</v>
      </c>
      <c r="M2332" s="3" t="s">
        <v>780</v>
      </c>
      <c r="N2332" s="3">
        <v>53</v>
      </c>
      <c r="O2332" s="3" t="s">
        <v>102</v>
      </c>
      <c r="P2332" s="3" t="s">
        <v>21</v>
      </c>
      <c r="Q2332" s="4">
        <v>2</v>
      </c>
      <c r="R2332" s="4" t="str">
        <f>IF(Table1[[#This Row],[Customer Ratings]]&gt;=4, "Good",IF(Table1[[#This Row],[Customer Ratings]]=3, "Average","Poor"))</f>
        <v>Poor</v>
      </c>
      <c r="S2332" s="3" t="s">
        <v>42</v>
      </c>
    </row>
    <row r="2333" spans="1:19" x14ac:dyDescent="0.25">
      <c r="A2333" s="3">
        <v>2332</v>
      </c>
      <c r="B2333" s="5">
        <f>DATE(Table1[[#This Row],[Year]],Table1[[#This Row],[Month]],Table1[[#This Row],[Day]])</f>
        <v>45140</v>
      </c>
      <c r="C2333" s="3">
        <v>2</v>
      </c>
      <c r="D2333" s="3">
        <v>8</v>
      </c>
      <c r="E2333" s="3">
        <v>2023</v>
      </c>
      <c r="F2333" s="3" t="str">
        <f>"Qtr"&amp; " " &amp;CHOOSE(MONTH(Table1[[#This Row],[Date]]),1,1,1,2,2,2,3,3,3,4,4,4)</f>
        <v>Qtr 3</v>
      </c>
      <c r="G2333" s="3" t="str">
        <f>TEXT(Table1[[#This Row],[Date]],"mmmm")</f>
        <v>August</v>
      </c>
      <c r="H2333" s="3" t="s">
        <v>1083</v>
      </c>
      <c r="I2333" s="3" t="s">
        <v>13</v>
      </c>
      <c r="J2333" s="3">
        <v>2</v>
      </c>
      <c r="K2333" s="3">
        <v>21317.23</v>
      </c>
      <c r="L2333" s="3">
        <f>Table1[[#This Row],[Price Per Unit]]*Table1[[#This Row],[Units Sold]]</f>
        <v>42634.46</v>
      </c>
      <c r="M2333" s="3" t="s">
        <v>647</v>
      </c>
      <c r="N2333" s="3">
        <v>34</v>
      </c>
      <c r="O2333" s="3" t="s">
        <v>102</v>
      </c>
      <c r="P2333" s="3" t="s">
        <v>31</v>
      </c>
      <c r="Q2333" s="4">
        <v>2</v>
      </c>
      <c r="R2333" s="4" t="str">
        <f>IF(Table1[[#This Row],[Customer Ratings]]&gt;=4, "Good",IF(Table1[[#This Row],[Customer Ratings]]=3, "Average","Poor"))</f>
        <v>Poor</v>
      </c>
      <c r="S2333" s="3" t="s">
        <v>72</v>
      </c>
    </row>
    <row r="2334" spans="1:19" x14ac:dyDescent="0.25">
      <c r="A2334" s="3">
        <v>2333</v>
      </c>
      <c r="B2334" s="5">
        <f>DATE(Table1[[#This Row],[Year]],Table1[[#This Row],[Month]],Table1[[#This Row],[Day]])</f>
        <v>45141</v>
      </c>
      <c r="C2334" s="3">
        <v>3</v>
      </c>
      <c r="D2334" s="3">
        <v>8</v>
      </c>
      <c r="E2334" s="3">
        <v>2023</v>
      </c>
      <c r="F2334" s="3" t="str">
        <f>"Qtr"&amp; " " &amp;CHOOSE(MONTH(Table1[[#This Row],[Date]]),1,1,1,2,2,2,3,3,3,4,4,4)</f>
        <v>Qtr 3</v>
      </c>
      <c r="G2334" s="3" t="str">
        <f>TEXT(Table1[[#This Row],[Date]],"mmmm")</f>
        <v>August</v>
      </c>
      <c r="H2334" s="3" t="s">
        <v>1084</v>
      </c>
      <c r="I2334" s="3" t="s">
        <v>28</v>
      </c>
      <c r="J2334" s="3">
        <v>1</v>
      </c>
      <c r="K2334" s="3">
        <v>16808.419999999998</v>
      </c>
      <c r="L2334" s="3">
        <f>Table1[[#This Row],[Price Per Unit]]*Table1[[#This Row],[Units Sold]]</f>
        <v>16808.419999999998</v>
      </c>
      <c r="M2334" s="3" t="s">
        <v>968</v>
      </c>
      <c r="N2334" s="3">
        <v>49</v>
      </c>
      <c r="O2334" s="3" t="s">
        <v>120</v>
      </c>
      <c r="P2334" s="3" t="s">
        <v>16</v>
      </c>
      <c r="Q2334" s="4">
        <v>5</v>
      </c>
      <c r="R2334" s="4" t="str">
        <f>IF(Table1[[#This Row],[Customer Ratings]]&gt;=4, "Good",IF(Table1[[#This Row],[Customer Ratings]]=3, "Average","Poor"))</f>
        <v>Good</v>
      </c>
      <c r="S2334" s="3" t="s">
        <v>32</v>
      </c>
    </row>
    <row r="2335" spans="1:19" x14ac:dyDescent="0.25">
      <c r="A2335" s="3">
        <v>2334</v>
      </c>
      <c r="B2335" s="5">
        <f>DATE(Table1[[#This Row],[Year]],Table1[[#This Row],[Month]],Table1[[#This Row],[Day]])</f>
        <v>45141</v>
      </c>
      <c r="C2335" s="3">
        <v>3</v>
      </c>
      <c r="D2335" s="3">
        <v>8</v>
      </c>
      <c r="E2335" s="3">
        <v>2023</v>
      </c>
      <c r="F2335" s="3" t="str">
        <f>"Qtr"&amp; " " &amp;CHOOSE(MONTH(Table1[[#This Row],[Date]]),1,1,1,2,2,2,3,3,3,4,4,4)</f>
        <v>Qtr 3</v>
      </c>
      <c r="G2335" s="3" t="str">
        <f>TEXT(Table1[[#This Row],[Date]],"mmmm")</f>
        <v>August</v>
      </c>
      <c r="H2335" s="3" t="s">
        <v>1084</v>
      </c>
      <c r="I2335" s="3" t="s">
        <v>13</v>
      </c>
      <c r="J2335" s="3">
        <v>3</v>
      </c>
      <c r="K2335" s="3">
        <v>42800.77</v>
      </c>
      <c r="L2335" s="3">
        <f>Table1[[#This Row],[Price Per Unit]]*Table1[[#This Row],[Units Sold]]</f>
        <v>128402.31</v>
      </c>
      <c r="M2335" s="3" t="s">
        <v>170</v>
      </c>
      <c r="N2335" s="3">
        <v>31</v>
      </c>
      <c r="O2335" s="3" t="s">
        <v>20</v>
      </c>
      <c r="P2335" s="3" t="s">
        <v>21</v>
      </c>
      <c r="Q2335" s="4">
        <v>2</v>
      </c>
      <c r="R2335" s="4" t="str">
        <f>IF(Table1[[#This Row],[Customer Ratings]]&gt;=4, "Good",IF(Table1[[#This Row],[Customer Ratings]]=3, "Average","Poor"))</f>
        <v>Poor</v>
      </c>
      <c r="S2335" s="3" t="s">
        <v>72</v>
      </c>
    </row>
    <row r="2336" spans="1:19" x14ac:dyDescent="0.25">
      <c r="A2336" s="3">
        <v>2335</v>
      </c>
      <c r="B2336" s="5">
        <f>DATE(Table1[[#This Row],[Year]],Table1[[#This Row],[Month]],Table1[[#This Row],[Day]])</f>
        <v>45141</v>
      </c>
      <c r="C2336" s="3">
        <v>3</v>
      </c>
      <c r="D2336" s="3">
        <v>8</v>
      </c>
      <c r="E2336" s="3">
        <v>2023</v>
      </c>
      <c r="F2336" s="3" t="str">
        <f>"Qtr"&amp; " " &amp;CHOOSE(MONTH(Table1[[#This Row],[Date]]),1,1,1,2,2,2,3,3,3,4,4,4)</f>
        <v>Qtr 3</v>
      </c>
      <c r="G2336" s="3" t="str">
        <f>TEXT(Table1[[#This Row],[Date]],"mmmm")</f>
        <v>August</v>
      </c>
      <c r="H2336" s="3" t="s">
        <v>1084</v>
      </c>
      <c r="I2336" s="3" t="s">
        <v>28</v>
      </c>
      <c r="J2336" s="3">
        <v>4</v>
      </c>
      <c r="K2336" s="3">
        <v>52557.83</v>
      </c>
      <c r="L2336" s="3">
        <f>Table1[[#This Row],[Price Per Unit]]*Table1[[#This Row],[Units Sold]]</f>
        <v>210231.32</v>
      </c>
      <c r="M2336" s="3" t="s">
        <v>913</v>
      </c>
      <c r="N2336" s="3">
        <v>59</v>
      </c>
      <c r="O2336" s="3" t="s">
        <v>30</v>
      </c>
      <c r="P2336" s="3" t="s">
        <v>21</v>
      </c>
      <c r="Q2336" s="4">
        <v>2</v>
      </c>
      <c r="R2336" s="4" t="str">
        <f>IF(Table1[[#This Row],[Customer Ratings]]&gt;=4, "Good",IF(Table1[[#This Row],[Customer Ratings]]=3, "Average","Poor"))</f>
        <v>Poor</v>
      </c>
      <c r="S2336" s="3" t="s">
        <v>87</v>
      </c>
    </row>
    <row r="2337" spans="1:19" x14ac:dyDescent="0.25">
      <c r="A2337" s="3">
        <v>2336</v>
      </c>
      <c r="B2337" s="5">
        <f>DATE(Table1[[#This Row],[Year]],Table1[[#This Row],[Month]],Table1[[#This Row],[Day]])</f>
        <v>45141</v>
      </c>
      <c r="C2337" s="3">
        <v>3</v>
      </c>
      <c r="D2337" s="3">
        <v>8</v>
      </c>
      <c r="E2337" s="3">
        <v>2023</v>
      </c>
      <c r="F2337" s="3" t="str">
        <f>"Qtr"&amp; " " &amp;CHOOSE(MONTH(Table1[[#This Row],[Date]]),1,1,1,2,2,2,3,3,3,4,4,4)</f>
        <v>Qtr 3</v>
      </c>
      <c r="G2337" s="3" t="str">
        <f>TEXT(Table1[[#This Row],[Date]],"mmmm")</f>
        <v>August</v>
      </c>
      <c r="H2337" s="3" t="s">
        <v>1084</v>
      </c>
      <c r="I2337" s="3" t="s">
        <v>18</v>
      </c>
      <c r="J2337" s="3">
        <v>5</v>
      </c>
      <c r="K2337" s="3">
        <v>13002.15</v>
      </c>
      <c r="L2337" s="3">
        <f>Table1[[#This Row],[Price Per Unit]]*Table1[[#This Row],[Units Sold]]</f>
        <v>65010.75</v>
      </c>
      <c r="M2337" s="3" t="s">
        <v>722</v>
      </c>
      <c r="N2337" s="3">
        <v>46</v>
      </c>
      <c r="O2337" s="3" t="s">
        <v>102</v>
      </c>
      <c r="P2337" s="3" t="s">
        <v>31</v>
      </c>
      <c r="Q2337" s="4">
        <v>4</v>
      </c>
      <c r="R2337" s="4" t="str">
        <f>IF(Table1[[#This Row],[Customer Ratings]]&gt;=4, "Good",IF(Table1[[#This Row],[Customer Ratings]]=3, "Average","Poor"))</f>
        <v>Good</v>
      </c>
      <c r="S2337" s="3" t="s">
        <v>55</v>
      </c>
    </row>
    <row r="2338" spans="1:19" x14ac:dyDescent="0.25">
      <c r="A2338" s="3">
        <v>2337</v>
      </c>
      <c r="B2338" s="5">
        <f>DATE(Table1[[#This Row],[Year]],Table1[[#This Row],[Month]],Table1[[#This Row],[Day]])</f>
        <v>45142</v>
      </c>
      <c r="C2338" s="3">
        <v>4</v>
      </c>
      <c r="D2338" s="3">
        <v>8</v>
      </c>
      <c r="E2338" s="3">
        <v>2023</v>
      </c>
      <c r="F2338" s="3" t="str">
        <f>"Qtr"&amp; " " &amp;CHOOSE(MONTH(Table1[[#This Row],[Date]]),1,1,1,2,2,2,3,3,3,4,4,4)</f>
        <v>Qtr 3</v>
      </c>
      <c r="G2338" s="3" t="str">
        <f>TEXT(Table1[[#This Row],[Date]],"mmmm")</f>
        <v>August</v>
      </c>
      <c r="H2338" s="3" t="s">
        <v>1085</v>
      </c>
      <c r="I2338" s="3" t="s">
        <v>18</v>
      </c>
      <c r="J2338" s="3">
        <v>3</v>
      </c>
      <c r="K2338" s="3">
        <v>14163.72</v>
      </c>
      <c r="L2338" s="3">
        <f>Table1[[#This Row],[Price Per Unit]]*Table1[[#This Row],[Units Sold]]</f>
        <v>42491.159999999996</v>
      </c>
      <c r="M2338" s="3" t="s">
        <v>914</v>
      </c>
      <c r="N2338" s="3">
        <v>23</v>
      </c>
      <c r="O2338" s="3" t="s">
        <v>105</v>
      </c>
      <c r="P2338" s="3" t="s">
        <v>21</v>
      </c>
      <c r="Q2338" s="4">
        <v>4</v>
      </c>
      <c r="R2338" s="4" t="str">
        <f>IF(Table1[[#This Row],[Customer Ratings]]&gt;=4, "Good",IF(Table1[[#This Row],[Customer Ratings]]=3, "Average","Poor"))</f>
        <v>Good</v>
      </c>
      <c r="S2338" s="3" t="s">
        <v>55</v>
      </c>
    </row>
    <row r="2339" spans="1:19" x14ac:dyDescent="0.25">
      <c r="A2339" s="3">
        <v>2338</v>
      </c>
      <c r="B2339" s="5">
        <f>DATE(Table1[[#This Row],[Year]],Table1[[#This Row],[Month]],Table1[[#This Row],[Day]])</f>
        <v>45142</v>
      </c>
      <c r="C2339" s="3">
        <v>4</v>
      </c>
      <c r="D2339" s="3">
        <v>8</v>
      </c>
      <c r="E2339" s="3">
        <v>2023</v>
      </c>
      <c r="F2339" s="3" t="str">
        <f>"Qtr"&amp; " " &amp;CHOOSE(MONTH(Table1[[#This Row],[Date]]),1,1,1,2,2,2,3,3,3,4,4,4)</f>
        <v>Qtr 3</v>
      </c>
      <c r="G2339" s="3" t="str">
        <f>TEXT(Table1[[#This Row],[Date]],"mmmm")</f>
        <v>August</v>
      </c>
      <c r="H2339" s="3" t="s">
        <v>1085</v>
      </c>
      <c r="I2339" s="3" t="s">
        <v>18</v>
      </c>
      <c r="J2339" s="3">
        <v>2</v>
      </c>
      <c r="K2339" s="3">
        <v>58160.75</v>
      </c>
      <c r="L2339" s="3">
        <f>Table1[[#This Row],[Price Per Unit]]*Table1[[#This Row],[Units Sold]]</f>
        <v>116321.5</v>
      </c>
      <c r="M2339" s="3" t="s">
        <v>964</v>
      </c>
      <c r="N2339" s="3">
        <v>21</v>
      </c>
      <c r="O2339" s="3" t="s">
        <v>20</v>
      </c>
      <c r="P2339" s="3" t="s">
        <v>45</v>
      </c>
      <c r="Q2339" s="4">
        <v>5</v>
      </c>
      <c r="R2339" s="4" t="str">
        <f>IF(Table1[[#This Row],[Customer Ratings]]&gt;=4, "Good",IF(Table1[[#This Row],[Customer Ratings]]=3, "Average","Poor"))</f>
        <v>Good</v>
      </c>
      <c r="S2339" s="3" t="s">
        <v>25</v>
      </c>
    </row>
    <row r="2340" spans="1:19" x14ac:dyDescent="0.25">
      <c r="A2340" s="3">
        <v>2339</v>
      </c>
      <c r="B2340" s="5">
        <f>DATE(Table1[[#This Row],[Year]],Table1[[#This Row],[Month]],Table1[[#This Row],[Day]])</f>
        <v>45142</v>
      </c>
      <c r="C2340" s="3">
        <v>4</v>
      </c>
      <c r="D2340" s="3">
        <v>8</v>
      </c>
      <c r="E2340" s="3">
        <v>2023</v>
      </c>
      <c r="F2340" s="3" t="str">
        <f>"Qtr"&amp; " " &amp;CHOOSE(MONTH(Table1[[#This Row],[Date]]),1,1,1,2,2,2,3,3,3,4,4,4)</f>
        <v>Qtr 3</v>
      </c>
      <c r="G2340" s="3" t="str">
        <f>TEXT(Table1[[#This Row],[Date]],"mmmm")</f>
        <v>August</v>
      </c>
      <c r="H2340" s="3" t="s">
        <v>1085</v>
      </c>
      <c r="I2340" s="3" t="s">
        <v>18</v>
      </c>
      <c r="J2340" s="3">
        <v>2</v>
      </c>
      <c r="K2340" s="3">
        <v>58541.96</v>
      </c>
      <c r="L2340" s="3">
        <f>Table1[[#This Row],[Price Per Unit]]*Table1[[#This Row],[Units Sold]]</f>
        <v>117083.92</v>
      </c>
      <c r="M2340" s="3" t="s">
        <v>323</v>
      </c>
      <c r="N2340" s="3">
        <v>28</v>
      </c>
      <c r="O2340" s="3" t="s">
        <v>20</v>
      </c>
      <c r="P2340" s="3" t="s">
        <v>16</v>
      </c>
      <c r="Q2340" s="4">
        <v>2</v>
      </c>
      <c r="R2340" s="4" t="str">
        <f>IF(Table1[[#This Row],[Customer Ratings]]&gt;=4, "Good",IF(Table1[[#This Row],[Customer Ratings]]=3, "Average","Poor"))</f>
        <v>Poor</v>
      </c>
      <c r="S2340" s="3" t="s">
        <v>55</v>
      </c>
    </row>
    <row r="2341" spans="1:19" x14ac:dyDescent="0.25">
      <c r="A2341" s="3">
        <v>2340</v>
      </c>
      <c r="B2341" s="5">
        <f>DATE(Table1[[#This Row],[Year]],Table1[[#This Row],[Month]],Table1[[#This Row],[Day]])</f>
        <v>45143</v>
      </c>
      <c r="C2341" s="3">
        <v>5</v>
      </c>
      <c r="D2341" s="3">
        <v>8</v>
      </c>
      <c r="E2341" s="3">
        <v>2023</v>
      </c>
      <c r="F2341" s="3" t="str">
        <f>"Qtr"&amp; " " &amp;CHOOSE(MONTH(Table1[[#This Row],[Date]]),1,1,1,2,2,2,3,3,3,4,4,4)</f>
        <v>Qtr 3</v>
      </c>
      <c r="G2341" s="3" t="str">
        <f>TEXT(Table1[[#This Row],[Date]],"mmmm")</f>
        <v>August</v>
      </c>
      <c r="H2341" s="3" t="s">
        <v>1079</v>
      </c>
      <c r="I2341" s="3" t="s">
        <v>33</v>
      </c>
      <c r="J2341" s="3">
        <v>7</v>
      </c>
      <c r="K2341" s="3">
        <v>24718.28</v>
      </c>
      <c r="L2341" s="3">
        <f>Table1[[#This Row],[Price Per Unit]]*Table1[[#This Row],[Units Sold]]</f>
        <v>173027.96</v>
      </c>
      <c r="M2341" s="3" t="s">
        <v>591</v>
      </c>
      <c r="N2341" s="3">
        <v>57</v>
      </c>
      <c r="O2341" s="3" t="s">
        <v>20</v>
      </c>
      <c r="P2341" s="3" t="s">
        <v>21</v>
      </c>
      <c r="Q2341" s="4">
        <v>4</v>
      </c>
      <c r="R2341" s="4" t="str">
        <f>IF(Table1[[#This Row],[Customer Ratings]]&gt;=4, "Good",IF(Table1[[#This Row],[Customer Ratings]]=3, "Average","Poor"))</f>
        <v>Good</v>
      </c>
      <c r="S2341" s="3" t="s">
        <v>36</v>
      </c>
    </row>
    <row r="2342" spans="1:19" x14ac:dyDescent="0.25">
      <c r="A2342" s="3">
        <v>2341</v>
      </c>
      <c r="B2342" s="5">
        <f>DATE(Table1[[#This Row],[Year]],Table1[[#This Row],[Month]],Table1[[#This Row],[Day]])</f>
        <v>45143</v>
      </c>
      <c r="C2342" s="3">
        <v>5</v>
      </c>
      <c r="D2342" s="3">
        <v>8</v>
      </c>
      <c r="E2342" s="3">
        <v>2023</v>
      </c>
      <c r="F2342" s="3" t="str">
        <f>"Qtr"&amp; " " &amp;CHOOSE(MONTH(Table1[[#This Row],[Date]]),1,1,1,2,2,2,3,3,3,4,4,4)</f>
        <v>Qtr 3</v>
      </c>
      <c r="G2342" s="3" t="str">
        <f>TEXT(Table1[[#This Row],[Date]],"mmmm")</f>
        <v>August</v>
      </c>
      <c r="H2342" s="3" t="s">
        <v>1079</v>
      </c>
      <c r="I2342" s="3" t="s">
        <v>33</v>
      </c>
      <c r="J2342" s="3">
        <v>9</v>
      </c>
      <c r="K2342" s="3">
        <v>46913.69</v>
      </c>
      <c r="L2342" s="3">
        <f>Table1[[#This Row],[Price Per Unit]]*Table1[[#This Row],[Units Sold]]</f>
        <v>422223.21</v>
      </c>
      <c r="M2342" s="3" t="s">
        <v>268</v>
      </c>
      <c r="N2342" s="3">
        <v>27</v>
      </c>
      <c r="O2342" s="3" t="s">
        <v>52</v>
      </c>
      <c r="P2342" s="3" t="s">
        <v>45</v>
      </c>
      <c r="Q2342" s="4">
        <v>2</v>
      </c>
      <c r="R2342" s="4" t="str">
        <f>IF(Table1[[#This Row],[Customer Ratings]]&gt;=4, "Good",IF(Table1[[#This Row],[Customer Ratings]]=3, "Average","Poor"))</f>
        <v>Poor</v>
      </c>
      <c r="S2342" s="3" t="s">
        <v>83</v>
      </c>
    </row>
    <row r="2343" spans="1:19" x14ac:dyDescent="0.25">
      <c r="A2343" s="3">
        <v>2342</v>
      </c>
      <c r="B2343" s="5">
        <f>DATE(Table1[[#This Row],[Year]],Table1[[#This Row],[Month]],Table1[[#This Row],[Day]])</f>
        <v>45143</v>
      </c>
      <c r="C2343" s="3">
        <v>5</v>
      </c>
      <c r="D2343" s="3">
        <v>8</v>
      </c>
      <c r="E2343" s="3">
        <v>2023</v>
      </c>
      <c r="F2343" s="3" t="str">
        <f>"Qtr"&amp; " " &amp;CHOOSE(MONTH(Table1[[#This Row],[Date]]),1,1,1,2,2,2,3,3,3,4,4,4)</f>
        <v>Qtr 3</v>
      </c>
      <c r="G2343" s="3" t="str">
        <f>TEXT(Table1[[#This Row],[Date]],"mmmm")</f>
        <v>August</v>
      </c>
      <c r="H2343" s="3" t="s">
        <v>1079</v>
      </c>
      <c r="I2343" s="3" t="s">
        <v>39</v>
      </c>
      <c r="J2343" s="3">
        <v>2</v>
      </c>
      <c r="K2343" s="3">
        <v>36590.800000000003</v>
      </c>
      <c r="L2343" s="3">
        <f>Table1[[#This Row],[Price Per Unit]]*Table1[[#This Row],[Units Sold]]</f>
        <v>73181.600000000006</v>
      </c>
      <c r="M2343" s="3" t="s">
        <v>617</v>
      </c>
      <c r="N2343" s="3">
        <v>45</v>
      </c>
      <c r="O2343" s="3" t="s">
        <v>137</v>
      </c>
      <c r="P2343" s="3" t="s">
        <v>31</v>
      </c>
      <c r="Q2343" s="4">
        <v>5</v>
      </c>
      <c r="R2343" s="4" t="str">
        <f>IF(Table1[[#This Row],[Customer Ratings]]&gt;=4, "Good",IF(Table1[[#This Row],[Customer Ratings]]=3, "Average","Poor"))</f>
        <v>Good</v>
      </c>
      <c r="S2343" s="3" t="s">
        <v>42</v>
      </c>
    </row>
    <row r="2344" spans="1:19" x14ac:dyDescent="0.25">
      <c r="A2344" s="3">
        <v>2343</v>
      </c>
      <c r="B2344" s="5">
        <f>DATE(Table1[[#This Row],[Year]],Table1[[#This Row],[Month]],Table1[[#This Row],[Day]])</f>
        <v>45144</v>
      </c>
      <c r="C2344" s="3">
        <v>6</v>
      </c>
      <c r="D2344" s="3">
        <v>8</v>
      </c>
      <c r="E2344" s="3">
        <v>2023</v>
      </c>
      <c r="F2344" s="3" t="str">
        <f>"Qtr"&amp; " " &amp;CHOOSE(MONTH(Table1[[#This Row],[Date]]),1,1,1,2,2,2,3,3,3,4,4,4)</f>
        <v>Qtr 3</v>
      </c>
      <c r="G2344" s="3" t="str">
        <f>TEXT(Table1[[#This Row],[Date]],"mmmm")</f>
        <v>August</v>
      </c>
      <c r="H2344" s="3" t="s">
        <v>1080</v>
      </c>
      <c r="I2344" s="3" t="s">
        <v>13</v>
      </c>
      <c r="J2344" s="3">
        <v>7</v>
      </c>
      <c r="K2344" s="3">
        <v>47961.760000000002</v>
      </c>
      <c r="L2344" s="3">
        <f>Table1[[#This Row],[Price Per Unit]]*Table1[[#This Row],[Units Sold]]</f>
        <v>335732.32</v>
      </c>
      <c r="M2344" s="3" t="s">
        <v>356</v>
      </c>
      <c r="N2344" s="3">
        <v>28</v>
      </c>
      <c r="O2344" s="3" t="s">
        <v>120</v>
      </c>
      <c r="P2344" s="3" t="s">
        <v>21</v>
      </c>
      <c r="Q2344" s="4">
        <v>3</v>
      </c>
      <c r="R2344" s="4" t="str">
        <f>IF(Table1[[#This Row],[Customer Ratings]]&gt;=4, "Good",IF(Table1[[#This Row],[Customer Ratings]]=3, "Average","Poor"))</f>
        <v>Average</v>
      </c>
      <c r="S2344" s="3" t="s">
        <v>27</v>
      </c>
    </row>
    <row r="2345" spans="1:19" x14ac:dyDescent="0.25">
      <c r="A2345" s="3">
        <v>2344</v>
      </c>
      <c r="B2345" s="5">
        <f>DATE(Table1[[#This Row],[Year]],Table1[[#This Row],[Month]],Table1[[#This Row],[Day]])</f>
        <v>45144</v>
      </c>
      <c r="C2345" s="3">
        <v>6</v>
      </c>
      <c r="D2345" s="3">
        <v>8</v>
      </c>
      <c r="E2345" s="3">
        <v>2023</v>
      </c>
      <c r="F2345" s="3" t="str">
        <f>"Qtr"&amp; " " &amp;CHOOSE(MONTH(Table1[[#This Row],[Date]]),1,1,1,2,2,2,3,3,3,4,4,4)</f>
        <v>Qtr 3</v>
      </c>
      <c r="G2345" s="3" t="str">
        <f>TEXT(Table1[[#This Row],[Date]],"mmmm")</f>
        <v>August</v>
      </c>
      <c r="H2345" s="3" t="s">
        <v>1080</v>
      </c>
      <c r="I2345" s="3" t="s">
        <v>28</v>
      </c>
      <c r="J2345" s="3">
        <v>7</v>
      </c>
      <c r="K2345" s="3">
        <v>61772.76</v>
      </c>
      <c r="L2345" s="3">
        <f>Table1[[#This Row],[Price Per Unit]]*Table1[[#This Row],[Units Sold]]</f>
        <v>432409.32</v>
      </c>
      <c r="M2345" s="3" t="s">
        <v>945</v>
      </c>
      <c r="N2345" s="3">
        <v>52</v>
      </c>
      <c r="O2345" s="3" t="s">
        <v>20</v>
      </c>
      <c r="P2345" s="3" t="s">
        <v>45</v>
      </c>
      <c r="Q2345" s="4">
        <v>2</v>
      </c>
      <c r="R2345" s="4" t="str">
        <f>IF(Table1[[#This Row],[Customer Ratings]]&gt;=4, "Good",IF(Table1[[#This Row],[Customer Ratings]]=3, "Average","Poor"))</f>
        <v>Poor</v>
      </c>
      <c r="S2345" s="3" t="s">
        <v>38</v>
      </c>
    </row>
    <row r="2346" spans="1:19" x14ac:dyDescent="0.25">
      <c r="A2346" s="3">
        <v>2345</v>
      </c>
      <c r="B2346" s="5">
        <f>DATE(Table1[[#This Row],[Year]],Table1[[#This Row],[Month]],Table1[[#This Row],[Day]])</f>
        <v>45144</v>
      </c>
      <c r="C2346" s="3">
        <v>6</v>
      </c>
      <c r="D2346" s="3">
        <v>8</v>
      </c>
      <c r="E2346" s="3">
        <v>2023</v>
      </c>
      <c r="F2346" s="3" t="str">
        <f>"Qtr"&amp; " " &amp;CHOOSE(MONTH(Table1[[#This Row],[Date]]),1,1,1,2,2,2,3,3,3,4,4,4)</f>
        <v>Qtr 3</v>
      </c>
      <c r="G2346" s="3" t="str">
        <f>TEXT(Table1[[#This Row],[Date]],"mmmm")</f>
        <v>August</v>
      </c>
      <c r="H2346" s="3" t="s">
        <v>1080</v>
      </c>
      <c r="I2346" s="3" t="s">
        <v>28</v>
      </c>
      <c r="J2346" s="3">
        <v>7</v>
      </c>
      <c r="K2346" s="3">
        <v>14791.39</v>
      </c>
      <c r="L2346" s="3">
        <f>Table1[[#This Row],[Price Per Unit]]*Table1[[#This Row],[Units Sold]]</f>
        <v>103539.73</v>
      </c>
      <c r="M2346" s="3" t="s">
        <v>427</v>
      </c>
      <c r="N2346" s="3">
        <v>32</v>
      </c>
      <c r="O2346" s="3" t="s">
        <v>30</v>
      </c>
      <c r="P2346" s="3" t="s">
        <v>31</v>
      </c>
      <c r="Q2346" s="4">
        <v>2</v>
      </c>
      <c r="R2346" s="4" t="str">
        <f>IF(Table1[[#This Row],[Customer Ratings]]&gt;=4, "Good",IF(Table1[[#This Row],[Customer Ratings]]=3, "Average","Poor"))</f>
        <v>Poor</v>
      </c>
      <c r="S2346" s="3" t="s">
        <v>32</v>
      </c>
    </row>
    <row r="2347" spans="1:19" x14ac:dyDescent="0.25">
      <c r="A2347" s="3">
        <v>2346</v>
      </c>
      <c r="B2347" s="5">
        <f>DATE(Table1[[#This Row],[Year]],Table1[[#This Row],[Month]],Table1[[#This Row],[Day]])</f>
        <v>45144</v>
      </c>
      <c r="C2347" s="3">
        <v>6</v>
      </c>
      <c r="D2347" s="3">
        <v>8</v>
      </c>
      <c r="E2347" s="3">
        <v>2023</v>
      </c>
      <c r="F2347" s="3" t="str">
        <f>"Qtr"&amp; " " &amp;CHOOSE(MONTH(Table1[[#This Row],[Date]]),1,1,1,2,2,2,3,3,3,4,4,4)</f>
        <v>Qtr 3</v>
      </c>
      <c r="G2347" s="3" t="str">
        <f>TEXT(Table1[[#This Row],[Date]],"mmmm")</f>
        <v>August</v>
      </c>
      <c r="H2347" s="3" t="s">
        <v>1080</v>
      </c>
      <c r="I2347" s="3" t="s">
        <v>33</v>
      </c>
      <c r="J2347" s="3">
        <v>3</v>
      </c>
      <c r="K2347" s="3">
        <v>56679.07</v>
      </c>
      <c r="L2347" s="3">
        <f>Table1[[#This Row],[Price Per Unit]]*Table1[[#This Row],[Units Sold]]</f>
        <v>170037.21</v>
      </c>
      <c r="M2347" s="3" t="s">
        <v>624</v>
      </c>
      <c r="N2347" s="3">
        <v>25</v>
      </c>
      <c r="O2347" s="3" t="s">
        <v>35</v>
      </c>
      <c r="P2347" s="3" t="s">
        <v>45</v>
      </c>
      <c r="Q2347" s="4">
        <v>5</v>
      </c>
      <c r="R2347" s="4" t="str">
        <f>IF(Table1[[#This Row],[Customer Ratings]]&gt;=4, "Good",IF(Table1[[#This Row],[Customer Ratings]]=3, "Average","Poor"))</f>
        <v>Good</v>
      </c>
      <c r="S2347" s="3" t="s">
        <v>46</v>
      </c>
    </row>
    <row r="2348" spans="1:19" x14ac:dyDescent="0.25">
      <c r="A2348" s="3">
        <v>2347</v>
      </c>
      <c r="B2348" s="5">
        <f>DATE(Table1[[#This Row],[Year]],Table1[[#This Row],[Month]],Table1[[#This Row],[Day]])</f>
        <v>45145</v>
      </c>
      <c r="C2348" s="3">
        <v>7</v>
      </c>
      <c r="D2348" s="3">
        <v>8</v>
      </c>
      <c r="E2348" s="3">
        <v>2023</v>
      </c>
      <c r="F2348" s="3" t="str">
        <f>"Qtr"&amp; " " &amp;CHOOSE(MONTH(Table1[[#This Row],[Date]]),1,1,1,2,2,2,3,3,3,4,4,4)</f>
        <v>Qtr 3</v>
      </c>
      <c r="G2348" s="3" t="str">
        <f>TEXT(Table1[[#This Row],[Date]],"mmmm")</f>
        <v>August</v>
      </c>
      <c r="H2348" s="3" t="s">
        <v>1081</v>
      </c>
      <c r="I2348" s="3" t="s">
        <v>28</v>
      </c>
      <c r="J2348" s="3">
        <v>7</v>
      </c>
      <c r="K2348" s="3">
        <v>39581.75</v>
      </c>
      <c r="L2348" s="3">
        <f>Table1[[#This Row],[Price Per Unit]]*Table1[[#This Row],[Units Sold]]</f>
        <v>277072.25</v>
      </c>
      <c r="M2348" s="3" t="s">
        <v>402</v>
      </c>
      <c r="N2348" s="3">
        <v>37</v>
      </c>
      <c r="O2348" s="3" t="s">
        <v>15</v>
      </c>
      <c r="P2348" s="3" t="s">
        <v>31</v>
      </c>
      <c r="Q2348" s="4">
        <v>3</v>
      </c>
      <c r="R2348" s="4" t="str">
        <f>IF(Table1[[#This Row],[Customer Ratings]]&gt;=4, "Good",IF(Table1[[#This Row],[Customer Ratings]]=3, "Average","Poor"))</f>
        <v>Average</v>
      </c>
      <c r="S2348" s="3" t="s">
        <v>32</v>
      </c>
    </row>
    <row r="2349" spans="1:19" x14ac:dyDescent="0.25">
      <c r="A2349" s="3">
        <v>2348</v>
      </c>
      <c r="B2349" s="5">
        <f>DATE(Table1[[#This Row],[Year]],Table1[[#This Row],[Month]],Table1[[#This Row],[Day]])</f>
        <v>45145</v>
      </c>
      <c r="C2349" s="3">
        <v>7</v>
      </c>
      <c r="D2349" s="3">
        <v>8</v>
      </c>
      <c r="E2349" s="3">
        <v>2023</v>
      </c>
      <c r="F2349" s="3" t="str">
        <f>"Qtr"&amp; " " &amp;CHOOSE(MONTH(Table1[[#This Row],[Date]]),1,1,1,2,2,2,3,3,3,4,4,4)</f>
        <v>Qtr 3</v>
      </c>
      <c r="G2349" s="3" t="str">
        <f>TEXT(Table1[[#This Row],[Date]],"mmmm")</f>
        <v>August</v>
      </c>
      <c r="H2349" s="3" t="s">
        <v>1081</v>
      </c>
      <c r="I2349" s="3" t="s">
        <v>33</v>
      </c>
      <c r="J2349" s="3">
        <v>1</v>
      </c>
      <c r="K2349" s="3">
        <v>43847.62</v>
      </c>
      <c r="L2349" s="3">
        <f>Table1[[#This Row],[Price Per Unit]]*Table1[[#This Row],[Units Sold]]</f>
        <v>43847.62</v>
      </c>
      <c r="M2349" s="3" t="s">
        <v>282</v>
      </c>
      <c r="N2349" s="3">
        <v>38</v>
      </c>
      <c r="O2349" s="3" t="s">
        <v>102</v>
      </c>
      <c r="P2349" s="3" t="s">
        <v>16</v>
      </c>
      <c r="Q2349" s="4">
        <v>4</v>
      </c>
      <c r="R2349" s="4" t="str">
        <f>IF(Table1[[#This Row],[Customer Ratings]]&gt;=4, "Good",IF(Table1[[#This Row],[Customer Ratings]]=3, "Average","Poor"))</f>
        <v>Good</v>
      </c>
      <c r="S2349" s="3" t="s">
        <v>36</v>
      </c>
    </row>
    <row r="2350" spans="1:19" x14ac:dyDescent="0.25">
      <c r="A2350" s="3">
        <v>2349</v>
      </c>
      <c r="B2350" s="5">
        <f>DATE(Table1[[#This Row],[Year]],Table1[[#This Row],[Month]],Table1[[#This Row],[Day]])</f>
        <v>45145</v>
      </c>
      <c r="C2350" s="3">
        <v>7</v>
      </c>
      <c r="D2350" s="3">
        <v>8</v>
      </c>
      <c r="E2350" s="3">
        <v>2023</v>
      </c>
      <c r="F2350" s="3" t="str">
        <f>"Qtr"&amp; " " &amp;CHOOSE(MONTH(Table1[[#This Row],[Date]]),1,1,1,2,2,2,3,3,3,4,4,4)</f>
        <v>Qtr 3</v>
      </c>
      <c r="G2350" s="3" t="str">
        <f>TEXT(Table1[[#This Row],[Date]],"mmmm")</f>
        <v>August</v>
      </c>
      <c r="H2350" s="3" t="s">
        <v>1081</v>
      </c>
      <c r="I2350" s="3" t="s">
        <v>39</v>
      </c>
      <c r="J2350" s="3">
        <v>1</v>
      </c>
      <c r="K2350" s="3">
        <v>49235.88</v>
      </c>
      <c r="L2350" s="3">
        <f>Table1[[#This Row],[Price Per Unit]]*Table1[[#This Row],[Units Sold]]</f>
        <v>49235.88</v>
      </c>
      <c r="M2350" s="3" t="s">
        <v>487</v>
      </c>
      <c r="N2350" s="3">
        <v>18</v>
      </c>
      <c r="O2350" s="3" t="s">
        <v>20</v>
      </c>
      <c r="P2350" s="3" t="s">
        <v>21</v>
      </c>
      <c r="Q2350" s="4">
        <v>2</v>
      </c>
      <c r="R2350" s="4" t="str">
        <f>IF(Table1[[#This Row],[Customer Ratings]]&gt;=4, "Good",IF(Table1[[#This Row],[Customer Ratings]]=3, "Average","Poor"))</f>
        <v>Poor</v>
      </c>
      <c r="S2350" s="3" t="s">
        <v>76</v>
      </c>
    </row>
    <row r="2351" spans="1:19" x14ac:dyDescent="0.25">
      <c r="A2351" s="3">
        <v>2350</v>
      </c>
      <c r="B2351" s="5">
        <f>DATE(Table1[[#This Row],[Year]],Table1[[#This Row],[Month]],Table1[[#This Row],[Day]])</f>
        <v>45145</v>
      </c>
      <c r="C2351" s="3">
        <v>7</v>
      </c>
      <c r="D2351" s="3">
        <v>8</v>
      </c>
      <c r="E2351" s="3">
        <v>2023</v>
      </c>
      <c r="F2351" s="3" t="str">
        <f>"Qtr"&amp; " " &amp;CHOOSE(MONTH(Table1[[#This Row],[Date]]),1,1,1,2,2,2,3,3,3,4,4,4)</f>
        <v>Qtr 3</v>
      </c>
      <c r="G2351" s="3" t="str">
        <f>TEXT(Table1[[#This Row],[Date]],"mmmm")</f>
        <v>August</v>
      </c>
      <c r="H2351" s="3" t="s">
        <v>1081</v>
      </c>
      <c r="I2351" s="3" t="s">
        <v>13</v>
      </c>
      <c r="J2351" s="3">
        <v>5</v>
      </c>
      <c r="K2351" s="3">
        <v>65357.39</v>
      </c>
      <c r="L2351" s="3">
        <f>Table1[[#This Row],[Price Per Unit]]*Table1[[#This Row],[Units Sold]]</f>
        <v>326786.95</v>
      </c>
      <c r="M2351" s="3" t="s">
        <v>264</v>
      </c>
      <c r="N2351" s="3">
        <v>46</v>
      </c>
      <c r="O2351" s="3" t="s">
        <v>20</v>
      </c>
      <c r="P2351" s="3" t="s">
        <v>16</v>
      </c>
      <c r="Q2351" s="4">
        <v>5</v>
      </c>
      <c r="R2351" s="4" t="str">
        <f>IF(Table1[[#This Row],[Customer Ratings]]&gt;=4, "Good",IF(Table1[[#This Row],[Customer Ratings]]=3, "Average","Poor"))</f>
        <v>Good</v>
      </c>
      <c r="S2351" s="3" t="s">
        <v>17</v>
      </c>
    </row>
    <row r="2352" spans="1:19" x14ac:dyDescent="0.25">
      <c r="A2352" s="3">
        <v>2351</v>
      </c>
      <c r="B2352" s="5">
        <f>DATE(Table1[[#This Row],[Year]],Table1[[#This Row],[Month]],Table1[[#This Row],[Day]])</f>
        <v>45146</v>
      </c>
      <c r="C2352" s="3">
        <v>8</v>
      </c>
      <c r="D2352" s="3">
        <v>8</v>
      </c>
      <c r="E2352" s="3">
        <v>2023</v>
      </c>
      <c r="F2352" s="3" t="str">
        <f>"Qtr"&amp; " " &amp;CHOOSE(MONTH(Table1[[#This Row],[Date]]),1,1,1,2,2,2,3,3,3,4,4,4)</f>
        <v>Qtr 3</v>
      </c>
      <c r="G2352" s="3" t="str">
        <f>TEXT(Table1[[#This Row],[Date]],"mmmm")</f>
        <v>August</v>
      </c>
      <c r="H2352" s="3" t="s">
        <v>1082</v>
      </c>
      <c r="I2352" s="3" t="s">
        <v>39</v>
      </c>
      <c r="J2352" s="3">
        <v>2</v>
      </c>
      <c r="K2352" s="3">
        <v>13403.2</v>
      </c>
      <c r="L2352" s="3">
        <f>Table1[[#This Row],[Price Per Unit]]*Table1[[#This Row],[Units Sold]]</f>
        <v>26806.400000000001</v>
      </c>
      <c r="M2352" s="3" t="s">
        <v>969</v>
      </c>
      <c r="N2352" s="3">
        <v>41</v>
      </c>
      <c r="O2352" s="3" t="s">
        <v>20</v>
      </c>
      <c r="P2352" s="3" t="s">
        <v>16</v>
      </c>
      <c r="Q2352" s="4">
        <v>2</v>
      </c>
      <c r="R2352" s="4" t="str">
        <f>IF(Table1[[#This Row],[Customer Ratings]]&gt;=4, "Good",IF(Table1[[#This Row],[Customer Ratings]]=3, "Average","Poor"))</f>
        <v>Poor</v>
      </c>
      <c r="S2352" s="3" t="s">
        <v>76</v>
      </c>
    </row>
    <row r="2353" spans="1:19" x14ac:dyDescent="0.25">
      <c r="A2353" s="3">
        <v>2352</v>
      </c>
      <c r="B2353" s="5">
        <f>DATE(Table1[[#This Row],[Year]],Table1[[#This Row],[Month]],Table1[[#This Row],[Day]])</f>
        <v>45146</v>
      </c>
      <c r="C2353" s="3">
        <v>8</v>
      </c>
      <c r="D2353" s="3">
        <v>8</v>
      </c>
      <c r="E2353" s="3">
        <v>2023</v>
      </c>
      <c r="F2353" s="3" t="str">
        <f>"Qtr"&amp; " " &amp;CHOOSE(MONTH(Table1[[#This Row],[Date]]),1,1,1,2,2,2,3,3,3,4,4,4)</f>
        <v>Qtr 3</v>
      </c>
      <c r="G2353" s="3" t="str">
        <f>TEXT(Table1[[#This Row],[Date]],"mmmm")</f>
        <v>August</v>
      </c>
      <c r="H2353" s="3" t="s">
        <v>1082</v>
      </c>
      <c r="I2353" s="3" t="s">
        <v>18</v>
      </c>
      <c r="J2353" s="3">
        <v>9</v>
      </c>
      <c r="K2353" s="3">
        <v>11768.58</v>
      </c>
      <c r="L2353" s="3">
        <f>Table1[[#This Row],[Price Per Unit]]*Table1[[#This Row],[Units Sold]]</f>
        <v>105917.22</v>
      </c>
      <c r="M2353" s="3" t="s">
        <v>851</v>
      </c>
      <c r="N2353" s="3">
        <v>47</v>
      </c>
      <c r="O2353" s="3" t="s">
        <v>58</v>
      </c>
      <c r="P2353" s="3" t="s">
        <v>21</v>
      </c>
      <c r="Q2353" s="4">
        <v>3</v>
      </c>
      <c r="R2353" s="4" t="str">
        <f>IF(Table1[[#This Row],[Customer Ratings]]&gt;=4, "Good",IF(Table1[[#This Row],[Customer Ratings]]=3, "Average","Poor"))</f>
        <v>Average</v>
      </c>
      <c r="S2353" s="3" t="s">
        <v>55</v>
      </c>
    </row>
    <row r="2354" spans="1:19" x14ac:dyDescent="0.25">
      <c r="A2354" s="3">
        <v>2353</v>
      </c>
      <c r="B2354" s="5">
        <f>DATE(Table1[[#This Row],[Year]],Table1[[#This Row],[Month]],Table1[[#This Row],[Day]])</f>
        <v>45146</v>
      </c>
      <c r="C2354" s="3">
        <v>8</v>
      </c>
      <c r="D2354" s="3">
        <v>8</v>
      </c>
      <c r="E2354" s="3">
        <v>2023</v>
      </c>
      <c r="F2354" s="3" t="str">
        <f>"Qtr"&amp; " " &amp;CHOOSE(MONTH(Table1[[#This Row],[Date]]),1,1,1,2,2,2,3,3,3,4,4,4)</f>
        <v>Qtr 3</v>
      </c>
      <c r="G2354" s="3" t="str">
        <f>TEXT(Table1[[#This Row],[Date]],"mmmm")</f>
        <v>August</v>
      </c>
      <c r="H2354" s="3" t="s">
        <v>1082</v>
      </c>
      <c r="I2354" s="3" t="s">
        <v>18</v>
      </c>
      <c r="J2354" s="3">
        <v>7</v>
      </c>
      <c r="K2354" s="3">
        <v>20695.71</v>
      </c>
      <c r="L2354" s="3">
        <f>Table1[[#This Row],[Price Per Unit]]*Table1[[#This Row],[Units Sold]]</f>
        <v>144869.97</v>
      </c>
      <c r="M2354" s="3" t="s">
        <v>277</v>
      </c>
      <c r="N2354" s="3">
        <v>57</v>
      </c>
      <c r="O2354" s="3" t="s">
        <v>20</v>
      </c>
      <c r="P2354" s="3" t="s">
        <v>16</v>
      </c>
      <c r="Q2354" s="4">
        <v>3</v>
      </c>
      <c r="R2354" s="4" t="str">
        <f>IF(Table1[[#This Row],[Customer Ratings]]&gt;=4, "Good",IF(Table1[[#This Row],[Customer Ratings]]=3, "Average","Poor"))</f>
        <v>Average</v>
      </c>
      <c r="S2354" s="3" t="s">
        <v>22</v>
      </c>
    </row>
    <row r="2355" spans="1:19" x14ac:dyDescent="0.25">
      <c r="A2355" s="3">
        <v>2354</v>
      </c>
      <c r="B2355" s="5">
        <f>DATE(Table1[[#This Row],[Year]],Table1[[#This Row],[Month]],Table1[[#This Row],[Day]])</f>
        <v>45147</v>
      </c>
      <c r="C2355" s="3">
        <v>9</v>
      </c>
      <c r="D2355" s="3">
        <v>8</v>
      </c>
      <c r="E2355" s="3">
        <v>2023</v>
      </c>
      <c r="F2355" s="3" t="str">
        <f>"Qtr"&amp; " " &amp;CHOOSE(MONTH(Table1[[#This Row],[Date]]),1,1,1,2,2,2,3,3,3,4,4,4)</f>
        <v>Qtr 3</v>
      </c>
      <c r="G2355" s="3" t="str">
        <f>TEXT(Table1[[#This Row],[Date]],"mmmm")</f>
        <v>August</v>
      </c>
      <c r="H2355" s="3" t="s">
        <v>1083</v>
      </c>
      <c r="I2355" s="3" t="s">
        <v>18</v>
      </c>
      <c r="J2355" s="3">
        <v>4</v>
      </c>
      <c r="K2355" s="3">
        <v>69186.86</v>
      </c>
      <c r="L2355" s="3">
        <f>Table1[[#This Row],[Price Per Unit]]*Table1[[#This Row],[Units Sold]]</f>
        <v>276747.44</v>
      </c>
      <c r="M2355" s="3" t="s">
        <v>287</v>
      </c>
      <c r="N2355" s="3">
        <v>52</v>
      </c>
      <c r="O2355" s="3" t="s">
        <v>78</v>
      </c>
      <c r="P2355" s="3" t="s">
        <v>16</v>
      </c>
      <c r="Q2355" s="4">
        <v>2</v>
      </c>
      <c r="R2355" s="4" t="str">
        <f>IF(Table1[[#This Row],[Customer Ratings]]&gt;=4, "Good",IF(Table1[[#This Row],[Customer Ratings]]=3, "Average","Poor"))</f>
        <v>Poor</v>
      </c>
      <c r="S2355" s="3" t="s">
        <v>22</v>
      </c>
    </row>
    <row r="2356" spans="1:19" x14ac:dyDescent="0.25">
      <c r="A2356" s="3">
        <v>2355</v>
      </c>
      <c r="B2356" s="5">
        <f>DATE(Table1[[#This Row],[Year]],Table1[[#This Row],[Month]],Table1[[#This Row],[Day]])</f>
        <v>45147</v>
      </c>
      <c r="C2356" s="3">
        <v>9</v>
      </c>
      <c r="D2356" s="3">
        <v>8</v>
      </c>
      <c r="E2356" s="3">
        <v>2023</v>
      </c>
      <c r="F2356" s="3" t="str">
        <f>"Qtr"&amp; " " &amp;CHOOSE(MONTH(Table1[[#This Row],[Date]]),1,1,1,2,2,2,3,3,3,4,4,4)</f>
        <v>Qtr 3</v>
      </c>
      <c r="G2356" s="3" t="str">
        <f>TEXT(Table1[[#This Row],[Date]],"mmmm")</f>
        <v>August</v>
      </c>
      <c r="H2356" s="3" t="s">
        <v>1083</v>
      </c>
      <c r="I2356" s="3" t="s">
        <v>39</v>
      </c>
      <c r="J2356" s="3">
        <v>4</v>
      </c>
      <c r="K2356" s="3">
        <v>52904.58</v>
      </c>
      <c r="L2356" s="3">
        <f>Table1[[#This Row],[Price Per Unit]]*Table1[[#This Row],[Units Sold]]</f>
        <v>211618.32</v>
      </c>
      <c r="M2356" s="3" t="s">
        <v>923</v>
      </c>
      <c r="N2356" s="3">
        <v>50</v>
      </c>
      <c r="O2356" s="3" t="s">
        <v>24</v>
      </c>
      <c r="P2356" s="3" t="s">
        <v>45</v>
      </c>
      <c r="Q2356" s="4">
        <v>2</v>
      </c>
      <c r="R2356" s="4" t="str">
        <f>IF(Table1[[#This Row],[Customer Ratings]]&gt;=4, "Good",IF(Table1[[#This Row],[Customer Ratings]]=3, "Average","Poor"))</f>
        <v>Poor</v>
      </c>
      <c r="S2356" s="3" t="s">
        <v>42</v>
      </c>
    </row>
    <row r="2357" spans="1:19" x14ac:dyDescent="0.25">
      <c r="A2357" s="3">
        <v>2356</v>
      </c>
      <c r="B2357" s="5">
        <f>DATE(Table1[[#This Row],[Year]],Table1[[#This Row],[Month]],Table1[[#This Row],[Day]])</f>
        <v>45147</v>
      </c>
      <c r="C2357" s="3">
        <v>9</v>
      </c>
      <c r="D2357" s="3">
        <v>8</v>
      </c>
      <c r="E2357" s="3">
        <v>2023</v>
      </c>
      <c r="F2357" s="3" t="str">
        <f>"Qtr"&amp; " " &amp;CHOOSE(MONTH(Table1[[#This Row],[Date]]),1,1,1,2,2,2,3,3,3,4,4,4)</f>
        <v>Qtr 3</v>
      </c>
      <c r="G2357" s="3" t="str">
        <f>TEXT(Table1[[#This Row],[Date]],"mmmm")</f>
        <v>August</v>
      </c>
      <c r="H2357" s="3" t="s">
        <v>1083</v>
      </c>
      <c r="I2357" s="3" t="s">
        <v>28</v>
      </c>
      <c r="J2357" s="3">
        <v>2</v>
      </c>
      <c r="K2357" s="3">
        <v>46878.47</v>
      </c>
      <c r="L2357" s="3">
        <f>Table1[[#This Row],[Price Per Unit]]*Table1[[#This Row],[Units Sold]]</f>
        <v>93756.94</v>
      </c>
      <c r="M2357" s="3" t="s">
        <v>549</v>
      </c>
      <c r="N2357" s="3">
        <v>37</v>
      </c>
      <c r="O2357" s="3" t="s">
        <v>125</v>
      </c>
      <c r="P2357" s="3" t="s">
        <v>31</v>
      </c>
      <c r="Q2357" s="4">
        <v>2</v>
      </c>
      <c r="R2357" s="4" t="str">
        <f>IF(Table1[[#This Row],[Customer Ratings]]&gt;=4, "Good",IF(Table1[[#This Row],[Customer Ratings]]=3, "Average","Poor"))</f>
        <v>Poor</v>
      </c>
      <c r="S2357" s="3" t="s">
        <v>32</v>
      </c>
    </row>
    <row r="2358" spans="1:19" x14ac:dyDescent="0.25">
      <c r="A2358" s="3">
        <v>2357</v>
      </c>
      <c r="B2358" s="5">
        <f>DATE(Table1[[#This Row],[Year]],Table1[[#This Row],[Month]],Table1[[#This Row],[Day]])</f>
        <v>45148</v>
      </c>
      <c r="C2358" s="3">
        <v>10</v>
      </c>
      <c r="D2358" s="3">
        <v>8</v>
      </c>
      <c r="E2358" s="3">
        <v>2023</v>
      </c>
      <c r="F2358" s="3" t="str">
        <f>"Qtr"&amp; " " &amp;CHOOSE(MONTH(Table1[[#This Row],[Date]]),1,1,1,2,2,2,3,3,3,4,4,4)</f>
        <v>Qtr 3</v>
      </c>
      <c r="G2358" s="3" t="str">
        <f>TEXT(Table1[[#This Row],[Date]],"mmmm")</f>
        <v>August</v>
      </c>
      <c r="H2358" s="3" t="s">
        <v>1084</v>
      </c>
      <c r="I2358" s="3" t="s">
        <v>13</v>
      </c>
      <c r="J2358" s="3">
        <v>5</v>
      </c>
      <c r="K2358" s="3">
        <v>12822.34</v>
      </c>
      <c r="L2358" s="3">
        <f>Table1[[#This Row],[Price Per Unit]]*Table1[[#This Row],[Units Sold]]</f>
        <v>64111.7</v>
      </c>
      <c r="M2358" s="3" t="s">
        <v>827</v>
      </c>
      <c r="N2358" s="3">
        <v>33</v>
      </c>
      <c r="O2358" s="3" t="s">
        <v>35</v>
      </c>
      <c r="P2358" s="3" t="s">
        <v>16</v>
      </c>
      <c r="Q2358" s="4">
        <v>3</v>
      </c>
      <c r="R2358" s="4" t="str">
        <f>IF(Table1[[#This Row],[Customer Ratings]]&gt;=4, "Good",IF(Table1[[#This Row],[Customer Ratings]]=3, "Average","Poor"))</f>
        <v>Average</v>
      </c>
      <c r="S2358" s="3" t="s">
        <v>72</v>
      </c>
    </row>
    <row r="2359" spans="1:19" x14ac:dyDescent="0.25">
      <c r="A2359" s="3">
        <v>2358</v>
      </c>
      <c r="B2359" s="5">
        <f>DATE(Table1[[#This Row],[Year]],Table1[[#This Row],[Month]],Table1[[#This Row],[Day]])</f>
        <v>45148</v>
      </c>
      <c r="C2359" s="3">
        <v>10</v>
      </c>
      <c r="D2359" s="3">
        <v>8</v>
      </c>
      <c r="E2359" s="3">
        <v>2023</v>
      </c>
      <c r="F2359" s="3" t="str">
        <f>"Qtr"&amp; " " &amp;CHOOSE(MONTH(Table1[[#This Row],[Date]]),1,1,1,2,2,2,3,3,3,4,4,4)</f>
        <v>Qtr 3</v>
      </c>
      <c r="G2359" s="3" t="str">
        <f>TEXT(Table1[[#This Row],[Date]],"mmmm")</f>
        <v>August</v>
      </c>
      <c r="H2359" s="3" t="s">
        <v>1084</v>
      </c>
      <c r="I2359" s="3" t="s">
        <v>18</v>
      </c>
      <c r="J2359" s="3">
        <v>4</v>
      </c>
      <c r="K2359" s="3">
        <v>62746.61</v>
      </c>
      <c r="L2359" s="3">
        <f>Table1[[#This Row],[Price Per Unit]]*Table1[[#This Row],[Units Sold]]</f>
        <v>250986.44</v>
      </c>
      <c r="M2359" s="3" t="s">
        <v>899</v>
      </c>
      <c r="N2359" s="3">
        <v>26</v>
      </c>
      <c r="O2359" s="3" t="s">
        <v>81</v>
      </c>
      <c r="P2359" s="3" t="s">
        <v>21</v>
      </c>
      <c r="Q2359" s="4">
        <v>2</v>
      </c>
      <c r="R2359" s="4" t="str">
        <f>IF(Table1[[#This Row],[Customer Ratings]]&gt;=4, "Good",IF(Table1[[#This Row],[Customer Ratings]]=3, "Average","Poor"))</f>
        <v>Poor</v>
      </c>
      <c r="S2359" s="3" t="s">
        <v>55</v>
      </c>
    </row>
    <row r="2360" spans="1:19" x14ac:dyDescent="0.25">
      <c r="A2360" s="3">
        <v>2359</v>
      </c>
      <c r="B2360" s="5">
        <f>DATE(Table1[[#This Row],[Year]],Table1[[#This Row],[Month]],Table1[[#This Row],[Day]])</f>
        <v>45148</v>
      </c>
      <c r="C2360" s="3">
        <v>10</v>
      </c>
      <c r="D2360" s="3">
        <v>8</v>
      </c>
      <c r="E2360" s="3">
        <v>2023</v>
      </c>
      <c r="F2360" s="3" t="str">
        <f>"Qtr"&amp; " " &amp;CHOOSE(MONTH(Table1[[#This Row],[Date]]),1,1,1,2,2,2,3,3,3,4,4,4)</f>
        <v>Qtr 3</v>
      </c>
      <c r="G2360" s="3" t="str">
        <f>TEXT(Table1[[#This Row],[Date]],"mmmm")</f>
        <v>August</v>
      </c>
      <c r="H2360" s="3" t="s">
        <v>1084</v>
      </c>
      <c r="I2360" s="3" t="s">
        <v>18</v>
      </c>
      <c r="J2360" s="3">
        <v>1</v>
      </c>
      <c r="K2360" s="3">
        <v>58765.41</v>
      </c>
      <c r="L2360" s="3">
        <f>Table1[[#This Row],[Price Per Unit]]*Table1[[#This Row],[Units Sold]]</f>
        <v>58765.41</v>
      </c>
      <c r="M2360" s="3" t="s">
        <v>265</v>
      </c>
      <c r="N2360" s="3">
        <v>48</v>
      </c>
      <c r="O2360" s="3" t="s">
        <v>137</v>
      </c>
      <c r="P2360" s="3" t="s">
        <v>45</v>
      </c>
      <c r="Q2360" s="4">
        <v>4</v>
      </c>
      <c r="R2360" s="4" t="str">
        <f>IF(Table1[[#This Row],[Customer Ratings]]&gt;=4, "Good",IF(Table1[[#This Row],[Customer Ratings]]=3, "Average","Poor"))</f>
        <v>Good</v>
      </c>
      <c r="S2360" s="3" t="s">
        <v>25</v>
      </c>
    </row>
    <row r="2361" spans="1:19" x14ac:dyDescent="0.25">
      <c r="A2361" s="3">
        <v>2360</v>
      </c>
      <c r="B2361" s="5">
        <f>DATE(Table1[[#This Row],[Year]],Table1[[#This Row],[Month]],Table1[[#This Row],[Day]])</f>
        <v>45149</v>
      </c>
      <c r="C2361" s="3">
        <v>11</v>
      </c>
      <c r="D2361" s="3">
        <v>8</v>
      </c>
      <c r="E2361" s="3">
        <v>2023</v>
      </c>
      <c r="F2361" s="3" t="str">
        <f>"Qtr"&amp; " " &amp;CHOOSE(MONTH(Table1[[#This Row],[Date]]),1,1,1,2,2,2,3,3,3,4,4,4)</f>
        <v>Qtr 3</v>
      </c>
      <c r="G2361" s="3" t="str">
        <f>TEXT(Table1[[#This Row],[Date]],"mmmm")</f>
        <v>August</v>
      </c>
      <c r="H2361" s="3" t="s">
        <v>1085</v>
      </c>
      <c r="I2361" s="3" t="s">
        <v>18</v>
      </c>
      <c r="J2361" s="3">
        <v>8</v>
      </c>
      <c r="K2361" s="3">
        <v>49888</v>
      </c>
      <c r="L2361" s="3">
        <f>Table1[[#This Row],[Price Per Unit]]*Table1[[#This Row],[Units Sold]]</f>
        <v>399104</v>
      </c>
      <c r="M2361" s="3" t="s">
        <v>842</v>
      </c>
      <c r="N2361" s="3">
        <v>34</v>
      </c>
      <c r="O2361" s="3" t="s">
        <v>20</v>
      </c>
      <c r="P2361" s="3" t="s">
        <v>31</v>
      </c>
      <c r="Q2361" s="4">
        <v>3</v>
      </c>
      <c r="R2361" s="4" t="str">
        <f>IF(Table1[[#This Row],[Customer Ratings]]&gt;=4, "Good",IF(Table1[[#This Row],[Customer Ratings]]=3, "Average","Poor"))</f>
        <v>Average</v>
      </c>
      <c r="S2361" s="3" t="s">
        <v>55</v>
      </c>
    </row>
    <row r="2362" spans="1:19" x14ac:dyDescent="0.25">
      <c r="A2362" s="3">
        <v>2361</v>
      </c>
      <c r="B2362" s="5">
        <f>DATE(Table1[[#This Row],[Year]],Table1[[#This Row],[Month]],Table1[[#This Row],[Day]])</f>
        <v>45149</v>
      </c>
      <c r="C2362" s="3">
        <v>11</v>
      </c>
      <c r="D2362" s="3">
        <v>8</v>
      </c>
      <c r="E2362" s="3">
        <v>2023</v>
      </c>
      <c r="F2362" s="3" t="str">
        <f>"Qtr"&amp; " " &amp;CHOOSE(MONTH(Table1[[#This Row],[Date]]),1,1,1,2,2,2,3,3,3,4,4,4)</f>
        <v>Qtr 3</v>
      </c>
      <c r="G2362" s="3" t="str">
        <f>TEXT(Table1[[#This Row],[Date]],"mmmm")</f>
        <v>August</v>
      </c>
      <c r="H2362" s="3" t="s">
        <v>1085</v>
      </c>
      <c r="I2362" s="3" t="s">
        <v>13</v>
      </c>
      <c r="J2362" s="3">
        <v>3</v>
      </c>
      <c r="K2362" s="3">
        <v>30347.85</v>
      </c>
      <c r="L2362" s="3">
        <f>Table1[[#This Row],[Price Per Unit]]*Table1[[#This Row],[Units Sold]]</f>
        <v>91043.549999999988</v>
      </c>
      <c r="M2362" s="3" t="s">
        <v>540</v>
      </c>
      <c r="N2362" s="3">
        <v>48</v>
      </c>
      <c r="O2362" s="3" t="s">
        <v>24</v>
      </c>
      <c r="P2362" s="3" t="s">
        <v>16</v>
      </c>
      <c r="Q2362" s="4">
        <v>2</v>
      </c>
      <c r="R2362" s="4" t="str">
        <f>IF(Table1[[#This Row],[Customer Ratings]]&gt;=4, "Good",IF(Table1[[#This Row],[Customer Ratings]]=3, "Average","Poor"))</f>
        <v>Poor</v>
      </c>
      <c r="S2362" s="3" t="s">
        <v>27</v>
      </c>
    </row>
    <row r="2363" spans="1:19" x14ac:dyDescent="0.25">
      <c r="A2363" s="3">
        <v>2362</v>
      </c>
      <c r="B2363" s="5">
        <f>DATE(Table1[[#This Row],[Year]],Table1[[#This Row],[Month]],Table1[[#This Row],[Day]])</f>
        <v>45149</v>
      </c>
      <c r="C2363" s="3">
        <v>11</v>
      </c>
      <c r="D2363" s="3">
        <v>8</v>
      </c>
      <c r="E2363" s="3">
        <v>2023</v>
      </c>
      <c r="F2363" s="3" t="str">
        <f>"Qtr"&amp; " " &amp;CHOOSE(MONTH(Table1[[#This Row],[Date]]),1,1,1,2,2,2,3,3,3,4,4,4)</f>
        <v>Qtr 3</v>
      </c>
      <c r="G2363" s="3" t="str">
        <f>TEXT(Table1[[#This Row],[Date]],"mmmm")</f>
        <v>August</v>
      </c>
      <c r="H2363" s="3" t="s">
        <v>1085</v>
      </c>
      <c r="I2363" s="3" t="s">
        <v>18</v>
      </c>
      <c r="J2363" s="3">
        <v>6</v>
      </c>
      <c r="K2363" s="3">
        <v>14230.3</v>
      </c>
      <c r="L2363" s="3">
        <f>Table1[[#This Row],[Price Per Unit]]*Table1[[#This Row],[Units Sold]]</f>
        <v>85381.799999999988</v>
      </c>
      <c r="M2363" s="3" t="s">
        <v>165</v>
      </c>
      <c r="N2363" s="3">
        <v>40</v>
      </c>
      <c r="O2363" s="3" t="s">
        <v>41</v>
      </c>
      <c r="P2363" s="3" t="s">
        <v>16</v>
      </c>
      <c r="Q2363" s="4">
        <v>2</v>
      </c>
      <c r="R2363" s="4" t="str">
        <f>IF(Table1[[#This Row],[Customer Ratings]]&gt;=4, "Good",IF(Table1[[#This Row],[Customer Ratings]]=3, "Average","Poor"))</f>
        <v>Poor</v>
      </c>
      <c r="S2363" s="3" t="s">
        <v>25</v>
      </c>
    </row>
    <row r="2364" spans="1:19" x14ac:dyDescent="0.25">
      <c r="A2364" s="3">
        <v>2363</v>
      </c>
      <c r="B2364" s="5">
        <f>DATE(Table1[[#This Row],[Year]],Table1[[#This Row],[Month]],Table1[[#This Row],[Day]])</f>
        <v>45149</v>
      </c>
      <c r="C2364" s="3">
        <v>11</v>
      </c>
      <c r="D2364" s="3">
        <v>8</v>
      </c>
      <c r="E2364" s="3">
        <v>2023</v>
      </c>
      <c r="F2364" s="3" t="str">
        <f>"Qtr"&amp; " " &amp;CHOOSE(MONTH(Table1[[#This Row],[Date]]),1,1,1,2,2,2,3,3,3,4,4,4)</f>
        <v>Qtr 3</v>
      </c>
      <c r="G2364" s="3" t="str">
        <f>TEXT(Table1[[#This Row],[Date]],"mmmm")</f>
        <v>August</v>
      </c>
      <c r="H2364" s="3" t="s">
        <v>1085</v>
      </c>
      <c r="I2364" s="3" t="s">
        <v>13</v>
      </c>
      <c r="J2364" s="3">
        <v>4</v>
      </c>
      <c r="K2364" s="3">
        <v>44802.31</v>
      </c>
      <c r="L2364" s="3">
        <f>Table1[[#This Row],[Price Per Unit]]*Table1[[#This Row],[Units Sold]]</f>
        <v>179209.24</v>
      </c>
      <c r="M2364" s="3" t="s">
        <v>117</v>
      </c>
      <c r="N2364" s="3">
        <v>23</v>
      </c>
      <c r="O2364" s="3" t="s">
        <v>81</v>
      </c>
      <c r="P2364" s="3" t="s">
        <v>21</v>
      </c>
      <c r="Q2364" s="4">
        <v>2</v>
      </c>
      <c r="R2364" s="4" t="str">
        <f>IF(Table1[[#This Row],[Customer Ratings]]&gt;=4, "Good",IF(Table1[[#This Row],[Customer Ratings]]=3, "Average","Poor"))</f>
        <v>Poor</v>
      </c>
      <c r="S2364" s="3" t="s">
        <v>72</v>
      </c>
    </row>
    <row r="2365" spans="1:19" x14ac:dyDescent="0.25">
      <c r="A2365" s="3">
        <v>2364</v>
      </c>
      <c r="B2365" s="5">
        <f>DATE(Table1[[#This Row],[Year]],Table1[[#This Row],[Month]],Table1[[#This Row],[Day]])</f>
        <v>45150</v>
      </c>
      <c r="C2365" s="3">
        <v>12</v>
      </c>
      <c r="D2365" s="3">
        <v>8</v>
      </c>
      <c r="E2365" s="3">
        <v>2023</v>
      </c>
      <c r="F2365" s="3" t="str">
        <f>"Qtr"&amp; " " &amp;CHOOSE(MONTH(Table1[[#This Row],[Date]]),1,1,1,2,2,2,3,3,3,4,4,4)</f>
        <v>Qtr 3</v>
      </c>
      <c r="G2365" s="3" t="str">
        <f>TEXT(Table1[[#This Row],[Date]],"mmmm")</f>
        <v>August</v>
      </c>
      <c r="H2365" s="3" t="s">
        <v>1079</v>
      </c>
      <c r="I2365" s="3" t="s">
        <v>18</v>
      </c>
      <c r="J2365" s="3">
        <v>9</v>
      </c>
      <c r="K2365" s="3">
        <v>53181.67</v>
      </c>
      <c r="L2365" s="3">
        <f>Table1[[#This Row],[Price Per Unit]]*Table1[[#This Row],[Units Sold]]</f>
        <v>478635.02999999997</v>
      </c>
      <c r="M2365" s="3" t="s">
        <v>693</v>
      </c>
      <c r="N2365" s="3">
        <v>47</v>
      </c>
      <c r="O2365" s="3" t="s">
        <v>35</v>
      </c>
      <c r="P2365" s="3" t="s">
        <v>16</v>
      </c>
      <c r="Q2365" s="4">
        <v>2</v>
      </c>
      <c r="R2365" s="4" t="str">
        <f>IF(Table1[[#This Row],[Customer Ratings]]&gt;=4, "Good",IF(Table1[[#This Row],[Customer Ratings]]=3, "Average","Poor"))</f>
        <v>Poor</v>
      </c>
      <c r="S2365" s="3" t="s">
        <v>22</v>
      </c>
    </row>
    <row r="2366" spans="1:19" x14ac:dyDescent="0.25">
      <c r="A2366" s="3">
        <v>2365</v>
      </c>
      <c r="B2366" s="5">
        <f>DATE(Table1[[#This Row],[Year]],Table1[[#This Row],[Month]],Table1[[#This Row],[Day]])</f>
        <v>45150</v>
      </c>
      <c r="C2366" s="3">
        <v>12</v>
      </c>
      <c r="D2366" s="3">
        <v>8</v>
      </c>
      <c r="E2366" s="3">
        <v>2023</v>
      </c>
      <c r="F2366" s="3" t="str">
        <f>"Qtr"&amp; " " &amp;CHOOSE(MONTH(Table1[[#This Row],[Date]]),1,1,1,2,2,2,3,3,3,4,4,4)</f>
        <v>Qtr 3</v>
      </c>
      <c r="G2366" s="3" t="str">
        <f>TEXT(Table1[[#This Row],[Date]],"mmmm")</f>
        <v>August</v>
      </c>
      <c r="H2366" s="3" t="s">
        <v>1079</v>
      </c>
      <c r="I2366" s="3" t="s">
        <v>39</v>
      </c>
      <c r="J2366" s="3">
        <v>7</v>
      </c>
      <c r="K2366" s="3">
        <v>15654.42</v>
      </c>
      <c r="L2366" s="3">
        <f>Table1[[#This Row],[Price Per Unit]]*Table1[[#This Row],[Units Sold]]</f>
        <v>109580.94</v>
      </c>
      <c r="M2366" s="3" t="s">
        <v>247</v>
      </c>
      <c r="N2366" s="3">
        <v>24</v>
      </c>
      <c r="O2366" s="3" t="s">
        <v>65</v>
      </c>
      <c r="P2366" s="3" t="s">
        <v>21</v>
      </c>
      <c r="Q2366" s="4">
        <v>3</v>
      </c>
      <c r="R2366" s="4" t="str">
        <f>IF(Table1[[#This Row],[Customer Ratings]]&gt;=4, "Good",IF(Table1[[#This Row],[Customer Ratings]]=3, "Average","Poor"))</f>
        <v>Average</v>
      </c>
      <c r="S2366" s="3" t="s">
        <v>76</v>
      </c>
    </row>
    <row r="2367" spans="1:19" x14ac:dyDescent="0.25">
      <c r="A2367" s="3">
        <v>2366</v>
      </c>
      <c r="B2367" s="5">
        <f>DATE(Table1[[#This Row],[Year]],Table1[[#This Row],[Month]],Table1[[#This Row],[Day]])</f>
        <v>45150</v>
      </c>
      <c r="C2367" s="3">
        <v>12</v>
      </c>
      <c r="D2367" s="3">
        <v>8</v>
      </c>
      <c r="E2367" s="3">
        <v>2023</v>
      </c>
      <c r="F2367" s="3" t="str">
        <f>"Qtr"&amp; " " &amp;CHOOSE(MONTH(Table1[[#This Row],[Date]]),1,1,1,2,2,2,3,3,3,4,4,4)</f>
        <v>Qtr 3</v>
      </c>
      <c r="G2367" s="3" t="str">
        <f>TEXT(Table1[[#This Row],[Date]],"mmmm")</f>
        <v>August</v>
      </c>
      <c r="H2367" s="3" t="s">
        <v>1079</v>
      </c>
      <c r="I2367" s="3" t="s">
        <v>39</v>
      </c>
      <c r="J2367" s="3">
        <v>9</v>
      </c>
      <c r="K2367" s="3">
        <v>48026.06</v>
      </c>
      <c r="L2367" s="3">
        <f>Table1[[#This Row],[Price Per Unit]]*Table1[[#This Row],[Units Sold]]</f>
        <v>432234.54</v>
      </c>
      <c r="M2367" s="3" t="s">
        <v>284</v>
      </c>
      <c r="N2367" s="3">
        <v>57</v>
      </c>
      <c r="O2367" s="3" t="s">
        <v>48</v>
      </c>
      <c r="P2367" s="3" t="s">
        <v>16</v>
      </c>
      <c r="Q2367" s="4">
        <v>2</v>
      </c>
      <c r="R2367" s="4" t="str">
        <f>IF(Table1[[#This Row],[Customer Ratings]]&gt;=4, "Good",IF(Table1[[#This Row],[Customer Ratings]]=3, "Average","Poor"))</f>
        <v>Poor</v>
      </c>
      <c r="S2367" s="3" t="s">
        <v>90</v>
      </c>
    </row>
    <row r="2368" spans="1:19" x14ac:dyDescent="0.25">
      <c r="A2368" s="3">
        <v>2367</v>
      </c>
      <c r="B2368" s="5">
        <f>DATE(Table1[[#This Row],[Year]],Table1[[#This Row],[Month]],Table1[[#This Row],[Day]])</f>
        <v>45150</v>
      </c>
      <c r="C2368" s="3">
        <v>12</v>
      </c>
      <c r="D2368" s="3">
        <v>8</v>
      </c>
      <c r="E2368" s="3">
        <v>2023</v>
      </c>
      <c r="F2368" s="3" t="str">
        <f>"Qtr"&amp; " " &amp;CHOOSE(MONTH(Table1[[#This Row],[Date]]),1,1,1,2,2,2,3,3,3,4,4,4)</f>
        <v>Qtr 3</v>
      </c>
      <c r="G2368" s="3" t="str">
        <f>TEXT(Table1[[#This Row],[Date]],"mmmm")</f>
        <v>August</v>
      </c>
      <c r="H2368" s="3" t="s">
        <v>1079</v>
      </c>
      <c r="I2368" s="3" t="s">
        <v>13</v>
      </c>
      <c r="J2368" s="3">
        <v>3</v>
      </c>
      <c r="K2368" s="3">
        <v>27181.96</v>
      </c>
      <c r="L2368" s="3">
        <f>Table1[[#This Row],[Price Per Unit]]*Table1[[#This Row],[Units Sold]]</f>
        <v>81545.88</v>
      </c>
      <c r="M2368" s="3" t="s">
        <v>179</v>
      </c>
      <c r="N2368" s="3">
        <v>59</v>
      </c>
      <c r="O2368" s="3" t="s">
        <v>24</v>
      </c>
      <c r="P2368" s="3" t="s">
        <v>16</v>
      </c>
      <c r="Q2368" s="4">
        <v>3</v>
      </c>
      <c r="R2368" s="4" t="str">
        <f>IF(Table1[[#This Row],[Customer Ratings]]&gt;=4, "Good",IF(Table1[[#This Row],[Customer Ratings]]=3, "Average","Poor"))</f>
        <v>Average</v>
      </c>
      <c r="S2368" s="3" t="s">
        <v>27</v>
      </c>
    </row>
    <row r="2369" spans="1:19" x14ac:dyDescent="0.25">
      <c r="A2369" s="3">
        <v>2368</v>
      </c>
      <c r="B2369" s="5">
        <f>DATE(Table1[[#This Row],[Year]],Table1[[#This Row],[Month]],Table1[[#This Row],[Day]])</f>
        <v>45151</v>
      </c>
      <c r="C2369" s="3">
        <v>13</v>
      </c>
      <c r="D2369" s="3">
        <v>8</v>
      </c>
      <c r="E2369" s="3">
        <v>2023</v>
      </c>
      <c r="F2369" s="3" t="str">
        <f>"Qtr"&amp; " " &amp;CHOOSE(MONTH(Table1[[#This Row],[Date]]),1,1,1,2,2,2,3,3,3,4,4,4)</f>
        <v>Qtr 3</v>
      </c>
      <c r="G2369" s="3" t="str">
        <f>TEXT(Table1[[#This Row],[Date]],"mmmm")</f>
        <v>August</v>
      </c>
      <c r="H2369" s="3" t="s">
        <v>1080</v>
      </c>
      <c r="I2369" s="3" t="s">
        <v>39</v>
      </c>
      <c r="J2369" s="3">
        <v>1</v>
      </c>
      <c r="K2369" s="3">
        <v>55854.65</v>
      </c>
      <c r="L2369" s="3">
        <f>Table1[[#This Row],[Price Per Unit]]*Table1[[#This Row],[Units Sold]]</f>
        <v>55854.65</v>
      </c>
      <c r="M2369" s="3" t="s">
        <v>386</v>
      </c>
      <c r="N2369" s="3">
        <v>28</v>
      </c>
      <c r="O2369" s="3" t="s">
        <v>52</v>
      </c>
      <c r="P2369" s="3" t="s">
        <v>21</v>
      </c>
      <c r="Q2369" s="4">
        <v>2</v>
      </c>
      <c r="R2369" s="4" t="str">
        <f>IF(Table1[[#This Row],[Customer Ratings]]&gt;=4, "Good",IF(Table1[[#This Row],[Customer Ratings]]=3, "Average","Poor"))</f>
        <v>Poor</v>
      </c>
      <c r="S2369" s="3" t="s">
        <v>90</v>
      </c>
    </row>
    <row r="2370" spans="1:19" x14ac:dyDescent="0.25">
      <c r="A2370" s="3">
        <v>2369</v>
      </c>
      <c r="B2370" s="5">
        <f>DATE(Table1[[#This Row],[Year]],Table1[[#This Row],[Month]],Table1[[#This Row],[Day]])</f>
        <v>45151</v>
      </c>
      <c r="C2370" s="3">
        <v>13</v>
      </c>
      <c r="D2370" s="3">
        <v>8</v>
      </c>
      <c r="E2370" s="3">
        <v>2023</v>
      </c>
      <c r="F2370" s="3" t="str">
        <f>"Qtr"&amp; " " &amp;CHOOSE(MONTH(Table1[[#This Row],[Date]]),1,1,1,2,2,2,3,3,3,4,4,4)</f>
        <v>Qtr 3</v>
      </c>
      <c r="G2370" s="3" t="str">
        <f>TEXT(Table1[[#This Row],[Date]],"mmmm")</f>
        <v>August</v>
      </c>
      <c r="H2370" s="3" t="s">
        <v>1080</v>
      </c>
      <c r="I2370" s="3" t="s">
        <v>13</v>
      </c>
      <c r="J2370" s="3">
        <v>5</v>
      </c>
      <c r="K2370" s="3">
        <v>42376.95</v>
      </c>
      <c r="L2370" s="3">
        <f>Table1[[#This Row],[Price Per Unit]]*Table1[[#This Row],[Units Sold]]</f>
        <v>211884.75</v>
      </c>
      <c r="M2370" s="3" t="s">
        <v>525</v>
      </c>
      <c r="N2370" s="3">
        <v>51</v>
      </c>
      <c r="O2370" s="3" t="s">
        <v>24</v>
      </c>
      <c r="P2370" s="3" t="s">
        <v>31</v>
      </c>
      <c r="Q2370" s="4">
        <v>4</v>
      </c>
      <c r="R2370" s="4" t="str">
        <f>IF(Table1[[#This Row],[Customer Ratings]]&gt;=4, "Good",IF(Table1[[#This Row],[Customer Ratings]]=3, "Average","Poor"))</f>
        <v>Good</v>
      </c>
      <c r="S2370" s="3" t="s">
        <v>17</v>
      </c>
    </row>
    <row r="2371" spans="1:19" x14ac:dyDescent="0.25">
      <c r="A2371" s="3">
        <v>2370</v>
      </c>
      <c r="B2371" s="5">
        <f>DATE(Table1[[#This Row],[Year]],Table1[[#This Row],[Month]],Table1[[#This Row],[Day]])</f>
        <v>45151</v>
      </c>
      <c r="C2371" s="3">
        <v>13</v>
      </c>
      <c r="D2371" s="3">
        <v>8</v>
      </c>
      <c r="E2371" s="3">
        <v>2023</v>
      </c>
      <c r="F2371" s="3" t="str">
        <f>"Qtr"&amp; " " &amp;CHOOSE(MONTH(Table1[[#This Row],[Date]]),1,1,1,2,2,2,3,3,3,4,4,4)</f>
        <v>Qtr 3</v>
      </c>
      <c r="G2371" s="3" t="str">
        <f>TEXT(Table1[[#This Row],[Date]],"mmmm")</f>
        <v>August</v>
      </c>
      <c r="H2371" s="3" t="s">
        <v>1080</v>
      </c>
      <c r="I2371" s="3" t="s">
        <v>39</v>
      </c>
      <c r="J2371" s="3">
        <v>3</v>
      </c>
      <c r="K2371" s="3">
        <v>17742.21</v>
      </c>
      <c r="L2371" s="3">
        <f>Table1[[#This Row],[Price Per Unit]]*Table1[[#This Row],[Units Sold]]</f>
        <v>53226.63</v>
      </c>
      <c r="M2371" s="3" t="s">
        <v>816</v>
      </c>
      <c r="N2371" s="3">
        <v>29</v>
      </c>
      <c r="O2371" s="3" t="s">
        <v>35</v>
      </c>
      <c r="P2371" s="3" t="s">
        <v>45</v>
      </c>
      <c r="Q2371" s="4">
        <v>4</v>
      </c>
      <c r="R2371" s="4" t="str">
        <f>IF(Table1[[#This Row],[Customer Ratings]]&gt;=4, "Good",IF(Table1[[#This Row],[Customer Ratings]]=3, "Average","Poor"))</f>
        <v>Good</v>
      </c>
      <c r="S2371" s="3" t="s">
        <v>90</v>
      </c>
    </row>
    <row r="2372" spans="1:19" x14ac:dyDescent="0.25">
      <c r="A2372" s="3">
        <v>2371</v>
      </c>
      <c r="B2372" s="5">
        <f>DATE(Table1[[#This Row],[Year]],Table1[[#This Row],[Month]],Table1[[#This Row],[Day]])</f>
        <v>45151</v>
      </c>
      <c r="C2372" s="3">
        <v>13</v>
      </c>
      <c r="D2372" s="3">
        <v>8</v>
      </c>
      <c r="E2372" s="3">
        <v>2023</v>
      </c>
      <c r="F2372" s="3" t="str">
        <f>"Qtr"&amp; " " &amp;CHOOSE(MONTH(Table1[[#This Row],[Date]]),1,1,1,2,2,2,3,3,3,4,4,4)</f>
        <v>Qtr 3</v>
      </c>
      <c r="G2372" s="3" t="str">
        <f>TEXT(Table1[[#This Row],[Date]],"mmmm")</f>
        <v>August</v>
      </c>
      <c r="H2372" s="3" t="s">
        <v>1080</v>
      </c>
      <c r="I2372" s="3" t="s">
        <v>39</v>
      </c>
      <c r="J2372" s="3">
        <v>6</v>
      </c>
      <c r="K2372" s="3">
        <v>41591.17</v>
      </c>
      <c r="L2372" s="3">
        <f>Table1[[#This Row],[Price Per Unit]]*Table1[[#This Row],[Units Sold]]</f>
        <v>249547.02</v>
      </c>
      <c r="M2372" s="3" t="s">
        <v>709</v>
      </c>
      <c r="N2372" s="3">
        <v>44</v>
      </c>
      <c r="O2372" s="3" t="s">
        <v>105</v>
      </c>
      <c r="P2372" s="3" t="s">
        <v>21</v>
      </c>
      <c r="Q2372" s="4">
        <v>4</v>
      </c>
      <c r="R2372" s="4" t="str">
        <f>IF(Table1[[#This Row],[Customer Ratings]]&gt;=4, "Good",IF(Table1[[#This Row],[Customer Ratings]]=3, "Average","Poor"))</f>
        <v>Good</v>
      </c>
      <c r="S2372" s="3" t="s">
        <v>76</v>
      </c>
    </row>
    <row r="2373" spans="1:19" x14ac:dyDescent="0.25">
      <c r="A2373" s="3">
        <v>2372</v>
      </c>
      <c r="B2373" s="5">
        <f>DATE(Table1[[#This Row],[Year]],Table1[[#This Row],[Month]],Table1[[#This Row],[Day]])</f>
        <v>45152</v>
      </c>
      <c r="C2373" s="3">
        <v>14</v>
      </c>
      <c r="D2373" s="3">
        <v>8</v>
      </c>
      <c r="E2373" s="3">
        <v>2023</v>
      </c>
      <c r="F2373" s="3" t="str">
        <f>"Qtr"&amp; " " &amp;CHOOSE(MONTH(Table1[[#This Row],[Date]]),1,1,1,2,2,2,3,3,3,4,4,4)</f>
        <v>Qtr 3</v>
      </c>
      <c r="G2373" s="3" t="str">
        <f>TEXT(Table1[[#This Row],[Date]],"mmmm")</f>
        <v>August</v>
      </c>
      <c r="H2373" s="3" t="s">
        <v>1081</v>
      </c>
      <c r="I2373" s="3" t="s">
        <v>13</v>
      </c>
      <c r="J2373" s="3">
        <v>8</v>
      </c>
      <c r="K2373" s="3">
        <v>33744.21</v>
      </c>
      <c r="L2373" s="3">
        <f>Table1[[#This Row],[Price Per Unit]]*Table1[[#This Row],[Units Sold]]</f>
        <v>269953.68</v>
      </c>
      <c r="M2373" s="3" t="s">
        <v>701</v>
      </c>
      <c r="N2373" s="3">
        <v>29</v>
      </c>
      <c r="O2373" s="3" t="s">
        <v>102</v>
      </c>
      <c r="P2373" s="3" t="s">
        <v>31</v>
      </c>
      <c r="Q2373" s="4">
        <v>2</v>
      </c>
      <c r="R2373" s="4" t="str">
        <f>IF(Table1[[#This Row],[Customer Ratings]]&gt;=4, "Good",IF(Table1[[#This Row],[Customer Ratings]]=3, "Average","Poor"))</f>
        <v>Poor</v>
      </c>
      <c r="S2373" s="3" t="s">
        <v>17</v>
      </c>
    </row>
    <row r="2374" spans="1:19" x14ac:dyDescent="0.25">
      <c r="A2374" s="3">
        <v>2373</v>
      </c>
      <c r="B2374" s="5">
        <f>DATE(Table1[[#This Row],[Year]],Table1[[#This Row],[Month]],Table1[[#This Row],[Day]])</f>
        <v>45152</v>
      </c>
      <c r="C2374" s="3">
        <v>14</v>
      </c>
      <c r="D2374" s="3">
        <v>8</v>
      </c>
      <c r="E2374" s="3">
        <v>2023</v>
      </c>
      <c r="F2374" s="3" t="str">
        <f>"Qtr"&amp; " " &amp;CHOOSE(MONTH(Table1[[#This Row],[Date]]),1,1,1,2,2,2,3,3,3,4,4,4)</f>
        <v>Qtr 3</v>
      </c>
      <c r="G2374" s="3" t="str">
        <f>TEXT(Table1[[#This Row],[Date]],"mmmm")</f>
        <v>August</v>
      </c>
      <c r="H2374" s="3" t="s">
        <v>1081</v>
      </c>
      <c r="I2374" s="3" t="s">
        <v>28</v>
      </c>
      <c r="J2374" s="3">
        <v>4</v>
      </c>
      <c r="K2374" s="3">
        <v>20821.36</v>
      </c>
      <c r="L2374" s="3">
        <f>Table1[[#This Row],[Price Per Unit]]*Table1[[#This Row],[Units Sold]]</f>
        <v>83285.440000000002</v>
      </c>
      <c r="M2374" s="3" t="s">
        <v>447</v>
      </c>
      <c r="N2374" s="3">
        <v>30</v>
      </c>
      <c r="O2374" s="3" t="s">
        <v>20</v>
      </c>
      <c r="P2374" s="3" t="s">
        <v>31</v>
      </c>
      <c r="Q2374" s="4">
        <v>2</v>
      </c>
      <c r="R2374" s="4" t="str">
        <f>IF(Table1[[#This Row],[Customer Ratings]]&gt;=4, "Good",IF(Table1[[#This Row],[Customer Ratings]]=3, "Average","Poor"))</f>
        <v>Poor</v>
      </c>
      <c r="S2374" s="3" t="s">
        <v>87</v>
      </c>
    </row>
    <row r="2375" spans="1:19" x14ac:dyDescent="0.25">
      <c r="A2375" s="3">
        <v>2374</v>
      </c>
      <c r="B2375" s="5">
        <f>DATE(Table1[[#This Row],[Year]],Table1[[#This Row],[Month]],Table1[[#This Row],[Day]])</f>
        <v>45152</v>
      </c>
      <c r="C2375" s="3">
        <v>14</v>
      </c>
      <c r="D2375" s="3">
        <v>8</v>
      </c>
      <c r="E2375" s="3">
        <v>2023</v>
      </c>
      <c r="F2375" s="3" t="str">
        <f>"Qtr"&amp; " " &amp;CHOOSE(MONTH(Table1[[#This Row],[Date]]),1,1,1,2,2,2,3,3,3,4,4,4)</f>
        <v>Qtr 3</v>
      </c>
      <c r="G2375" s="3" t="str">
        <f>TEXT(Table1[[#This Row],[Date]],"mmmm")</f>
        <v>August</v>
      </c>
      <c r="H2375" s="3" t="s">
        <v>1081</v>
      </c>
      <c r="I2375" s="3" t="s">
        <v>39</v>
      </c>
      <c r="J2375" s="3">
        <v>5</v>
      </c>
      <c r="K2375" s="3">
        <v>60490.94</v>
      </c>
      <c r="L2375" s="3">
        <f>Table1[[#This Row],[Price Per Unit]]*Table1[[#This Row],[Units Sold]]</f>
        <v>302454.7</v>
      </c>
      <c r="M2375" s="3" t="s">
        <v>223</v>
      </c>
      <c r="N2375" s="3">
        <v>25</v>
      </c>
      <c r="O2375" s="3" t="s">
        <v>24</v>
      </c>
      <c r="P2375" s="3" t="s">
        <v>21</v>
      </c>
      <c r="Q2375" s="4">
        <v>2</v>
      </c>
      <c r="R2375" s="4" t="str">
        <f>IF(Table1[[#This Row],[Customer Ratings]]&gt;=4, "Good",IF(Table1[[#This Row],[Customer Ratings]]=3, "Average","Poor"))</f>
        <v>Poor</v>
      </c>
      <c r="S2375" s="3" t="s">
        <v>90</v>
      </c>
    </row>
    <row r="2376" spans="1:19" x14ac:dyDescent="0.25">
      <c r="A2376" s="3">
        <v>2375</v>
      </c>
      <c r="B2376" s="5">
        <f>DATE(Table1[[#This Row],[Year]],Table1[[#This Row],[Month]],Table1[[#This Row],[Day]])</f>
        <v>45152</v>
      </c>
      <c r="C2376" s="3">
        <v>14</v>
      </c>
      <c r="D2376" s="3">
        <v>8</v>
      </c>
      <c r="E2376" s="3">
        <v>2023</v>
      </c>
      <c r="F2376" s="3" t="str">
        <f>"Qtr"&amp; " " &amp;CHOOSE(MONTH(Table1[[#This Row],[Date]]),1,1,1,2,2,2,3,3,3,4,4,4)</f>
        <v>Qtr 3</v>
      </c>
      <c r="G2376" s="3" t="str">
        <f>TEXT(Table1[[#This Row],[Date]],"mmmm")</f>
        <v>August</v>
      </c>
      <c r="H2376" s="3" t="s">
        <v>1081</v>
      </c>
      <c r="I2376" s="3" t="s">
        <v>18</v>
      </c>
      <c r="J2376" s="3">
        <v>5</v>
      </c>
      <c r="K2376" s="3">
        <v>10661.71</v>
      </c>
      <c r="L2376" s="3">
        <f>Table1[[#This Row],[Price Per Unit]]*Table1[[#This Row],[Units Sold]]</f>
        <v>53308.549999999996</v>
      </c>
      <c r="M2376" s="3" t="s">
        <v>377</v>
      </c>
      <c r="N2376" s="3">
        <v>33</v>
      </c>
      <c r="O2376" s="3" t="s">
        <v>35</v>
      </c>
      <c r="P2376" s="3" t="s">
        <v>45</v>
      </c>
      <c r="Q2376" s="4">
        <v>3</v>
      </c>
      <c r="R2376" s="4" t="str">
        <f>IF(Table1[[#This Row],[Customer Ratings]]&gt;=4, "Good",IF(Table1[[#This Row],[Customer Ratings]]=3, "Average","Poor"))</f>
        <v>Average</v>
      </c>
      <c r="S2376" s="3" t="s">
        <v>22</v>
      </c>
    </row>
    <row r="2377" spans="1:19" x14ac:dyDescent="0.25">
      <c r="A2377" s="3">
        <v>2376</v>
      </c>
      <c r="B2377" s="5">
        <f>DATE(Table1[[#This Row],[Year]],Table1[[#This Row],[Month]],Table1[[#This Row],[Day]])</f>
        <v>45153</v>
      </c>
      <c r="C2377" s="3">
        <v>15</v>
      </c>
      <c r="D2377" s="3">
        <v>8</v>
      </c>
      <c r="E2377" s="3">
        <v>2023</v>
      </c>
      <c r="F2377" s="3" t="str">
        <f>"Qtr"&amp; " " &amp;CHOOSE(MONTH(Table1[[#This Row],[Date]]),1,1,1,2,2,2,3,3,3,4,4,4)</f>
        <v>Qtr 3</v>
      </c>
      <c r="G2377" s="3" t="str">
        <f>TEXT(Table1[[#This Row],[Date]],"mmmm")</f>
        <v>August</v>
      </c>
      <c r="H2377" s="3" t="s">
        <v>1082</v>
      </c>
      <c r="I2377" s="3" t="s">
        <v>28</v>
      </c>
      <c r="J2377" s="3">
        <v>4</v>
      </c>
      <c r="K2377" s="3">
        <v>28727.7</v>
      </c>
      <c r="L2377" s="3">
        <f>Table1[[#This Row],[Price Per Unit]]*Table1[[#This Row],[Units Sold]]</f>
        <v>114910.8</v>
      </c>
      <c r="M2377" s="3" t="s">
        <v>494</v>
      </c>
      <c r="N2377" s="3">
        <v>46</v>
      </c>
      <c r="O2377" s="3" t="s">
        <v>24</v>
      </c>
      <c r="P2377" s="3" t="s">
        <v>21</v>
      </c>
      <c r="Q2377" s="4">
        <v>4</v>
      </c>
      <c r="R2377" s="4" t="str">
        <f>IF(Table1[[#This Row],[Customer Ratings]]&gt;=4, "Good",IF(Table1[[#This Row],[Customer Ratings]]=3, "Average","Poor"))</f>
        <v>Good</v>
      </c>
      <c r="S2377" s="3" t="s">
        <v>38</v>
      </c>
    </row>
    <row r="2378" spans="1:19" x14ac:dyDescent="0.25">
      <c r="A2378" s="3">
        <v>2377</v>
      </c>
      <c r="B2378" s="5">
        <f>DATE(Table1[[#This Row],[Year]],Table1[[#This Row],[Month]],Table1[[#This Row],[Day]])</f>
        <v>45153</v>
      </c>
      <c r="C2378" s="3">
        <v>15</v>
      </c>
      <c r="D2378" s="3">
        <v>8</v>
      </c>
      <c r="E2378" s="3">
        <v>2023</v>
      </c>
      <c r="F2378" s="3" t="str">
        <f>"Qtr"&amp; " " &amp;CHOOSE(MONTH(Table1[[#This Row],[Date]]),1,1,1,2,2,2,3,3,3,4,4,4)</f>
        <v>Qtr 3</v>
      </c>
      <c r="G2378" s="3" t="str">
        <f>TEXT(Table1[[#This Row],[Date]],"mmmm")</f>
        <v>August</v>
      </c>
      <c r="H2378" s="3" t="s">
        <v>1082</v>
      </c>
      <c r="I2378" s="3" t="s">
        <v>13</v>
      </c>
      <c r="J2378" s="3">
        <v>4</v>
      </c>
      <c r="K2378" s="3">
        <v>10755.7</v>
      </c>
      <c r="L2378" s="3">
        <f>Table1[[#This Row],[Price Per Unit]]*Table1[[#This Row],[Units Sold]]</f>
        <v>43022.8</v>
      </c>
      <c r="M2378" s="3" t="s">
        <v>61</v>
      </c>
      <c r="N2378" s="3">
        <v>52</v>
      </c>
      <c r="O2378" s="3" t="s">
        <v>81</v>
      </c>
      <c r="P2378" s="3" t="s">
        <v>16</v>
      </c>
      <c r="Q2378" s="4">
        <v>3</v>
      </c>
      <c r="R2378" s="4" t="str">
        <f>IF(Table1[[#This Row],[Customer Ratings]]&gt;=4, "Good",IF(Table1[[#This Row],[Customer Ratings]]=3, "Average","Poor"))</f>
        <v>Average</v>
      </c>
      <c r="S2378" s="3" t="s">
        <v>17</v>
      </c>
    </row>
    <row r="2379" spans="1:19" x14ac:dyDescent="0.25">
      <c r="A2379" s="3">
        <v>2378</v>
      </c>
      <c r="B2379" s="5">
        <f>DATE(Table1[[#This Row],[Year]],Table1[[#This Row],[Month]],Table1[[#This Row],[Day]])</f>
        <v>45153</v>
      </c>
      <c r="C2379" s="3">
        <v>15</v>
      </c>
      <c r="D2379" s="3">
        <v>8</v>
      </c>
      <c r="E2379" s="3">
        <v>2023</v>
      </c>
      <c r="F2379" s="3" t="str">
        <f>"Qtr"&amp; " " &amp;CHOOSE(MONTH(Table1[[#This Row],[Date]]),1,1,1,2,2,2,3,3,3,4,4,4)</f>
        <v>Qtr 3</v>
      </c>
      <c r="G2379" s="3" t="str">
        <f>TEXT(Table1[[#This Row],[Date]],"mmmm")</f>
        <v>August</v>
      </c>
      <c r="H2379" s="3" t="s">
        <v>1082</v>
      </c>
      <c r="I2379" s="3" t="s">
        <v>28</v>
      </c>
      <c r="J2379" s="3">
        <v>4</v>
      </c>
      <c r="K2379" s="3">
        <v>15760.42</v>
      </c>
      <c r="L2379" s="3">
        <f>Table1[[#This Row],[Price Per Unit]]*Table1[[#This Row],[Units Sold]]</f>
        <v>63041.68</v>
      </c>
      <c r="M2379" s="3" t="s">
        <v>733</v>
      </c>
      <c r="N2379" s="3">
        <v>46</v>
      </c>
      <c r="O2379" s="3" t="s">
        <v>24</v>
      </c>
      <c r="P2379" s="3" t="s">
        <v>16</v>
      </c>
      <c r="Q2379" s="4">
        <v>2</v>
      </c>
      <c r="R2379" s="4" t="str">
        <f>IF(Table1[[#This Row],[Customer Ratings]]&gt;=4, "Good",IF(Table1[[#This Row],[Customer Ratings]]=3, "Average","Poor"))</f>
        <v>Poor</v>
      </c>
      <c r="S2379" s="3" t="s">
        <v>32</v>
      </c>
    </row>
    <row r="2380" spans="1:19" x14ac:dyDescent="0.25">
      <c r="A2380" s="3">
        <v>2379</v>
      </c>
      <c r="B2380" s="5">
        <f>DATE(Table1[[#This Row],[Year]],Table1[[#This Row],[Month]],Table1[[#This Row],[Day]])</f>
        <v>45154</v>
      </c>
      <c r="C2380" s="3">
        <v>16</v>
      </c>
      <c r="D2380" s="3">
        <v>8</v>
      </c>
      <c r="E2380" s="3">
        <v>2023</v>
      </c>
      <c r="F2380" s="3" t="str">
        <f>"Qtr"&amp; " " &amp;CHOOSE(MONTH(Table1[[#This Row],[Date]]),1,1,1,2,2,2,3,3,3,4,4,4)</f>
        <v>Qtr 3</v>
      </c>
      <c r="G2380" s="3" t="str">
        <f>TEXT(Table1[[#This Row],[Date]],"mmmm")</f>
        <v>August</v>
      </c>
      <c r="H2380" s="3" t="s">
        <v>1083</v>
      </c>
      <c r="I2380" s="3" t="s">
        <v>33</v>
      </c>
      <c r="J2380" s="3">
        <v>4</v>
      </c>
      <c r="K2380" s="3">
        <v>27825.77</v>
      </c>
      <c r="L2380" s="3">
        <f>Table1[[#This Row],[Price Per Unit]]*Table1[[#This Row],[Units Sold]]</f>
        <v>111303.08</v>
      </c>
      <c r="M2380" s="3" t="s">
        <v>970</v>
      </c>
      <c r="N2380" s="3">
        <v>48</v>
      </c>
      <c r="O2380" s="3" t="s">
        <v>24</v>
      </c>
      <c r="P2380" s="3" t="s">
        <v>31</v>
      </c>
      <c r="Q2380" s="4">
        <v>5</v>
      </c>
      <c r="R2380" s="4" t="str">
        <f>IF(Table1[[#This Row],[Customer Ratings]]&gt;=4, "Good",IF(Table1[[#This Row],[Customer Ratings]]=3, "Average","Poor"))</f>
        <v>Good</v>
      </c>
      <c r="S2380" s="3" t="s">
        <v>83</v>
      </c>
    </row>
    <row r="2381" spans="1:19" x14ac:dyDescent="0.25">
      <c r="A2381" s="3">
        <v>2380</v>
      </c>
      <c r="B2381" s="5">
        <f>DATE(Table1[[#This Row],[Year]],Table1[[#This Row],[Month]],Table1[[#This Row],[Day]])</f>
        <v>45154</v>
      </c>
      <c r="C2381" s="3">
        <v>16</v>
      </c>
      <c r="D2381" s="3">
        <v>8</v>
      </c>
      <c r="E2381" s="3">
        <v>2023</v>
      </c>
      <c r="F2381" s="3" t="str">
        <f>"Qtr"&amp; " " &amp;CHOOSE(MONTH(Table1[[#This Row],[Date]]),1,1,1,2,2,2,3,3,3,4,4,4)</f>
        <v>Qtr 3</v>
      </c>
      <c r="G2381" s="3" t="str">
        <f>TEXT(Table1[[#This Row],[Date]],"mmmm")</f>
        <v>August</v>
      </c>
      <c r="H2381" s="3" t="s">
        <v>1083</v>
      </c>
      <c r="I2381" s="3" t="s">
        <v>33</v>
      </c>
      <c r="J2381" s="3">
        <v>4</v>
      </c>
      <c r="K2381" s="3">
        <v>13256.27</v>
      </c>
      <c r="L2381" s="3">
        <f>Table1[[#This Row],[Price Per Unit]]*Table1[[#This Row],[Units Sold]]</f>
        <v>53025.08</v>
      </c>
      <c r="M2381" s="3" t="s">
        <v>928</v>
      </c>
      <c r="N2381" s="3">
        <v>30</v>
      </c>
      <c r="O2381" s="3" t="s">
        <v>120</v>
      </c>
      <c r="P2381" s="3" t="s">
        <v>16</v>
      </c>
      <c r="Q2381" s="4">
        <v>5</v>
      </c>
      <c r="R2381" s="4" t="str">
        <f>IF(Table1[[#This Row],[Customer Ratings]]&gt;=4, "Good",IF(Table1[[#This Row],[Customer Ratings]]=3, "Average","Poor"))</f>
        <v>Good</v>
      </c>
      <c r="S2381" s="3" t="s">
        <v>46</v>
      </c>
    </row>
    <row r="2382" spans="1:19" x14ac:dyDescent="0.25">
      <c r="A2382" s="3">
        <v>2381</v>
      </c>
      <c r="B2382" s="5">
        <f>DATE(Table1[[#This Row],[Year]],Table1[[#This Row],[Month]],Table1[[#This Row],[Day]])</f>
        <v>45154</v>
      </c>
      <c r="C2382" s="3">
        <v>16</v>
      </c>
      <c r="D2382" s="3">
        <v>8</v>
      </c>
      <c r="E2382" s="3">
        <v>2023</v>
      </c>
      <c r="F2382" s="3" t="str">
        <f>"Qtr"&amp; " " &amp;CHOOSE(MONTH(Table1[[#This Row],[Date]]),1,1,1,2,2,2,3,3,3,4,4,4)</f>
        <v>Qtr 3</v>
      </c>
      <c r="G2382" s="3" t="str">
        <f>TEXT(Table1[[#This Row],[Date]],"mmmm")</f>
        <v>August</v>
      </c>
      <c r="H2382" s="3" t="s">
        <v>1083</v>
      </c>
      <c r="I2382" s="3" t="s">
        <v>39</v>
      </c>
      <c r="J2382" s="3">
        <v>5</v>
      </c>
      <c r="K2382" s="3">
        <v>45797.83</v>
      </c>
      <c r="L2382" s="3">
        <f>Table1[[#This Row],[Price Per Unit]]*Table1[[#This Row],[Units Sold]]</f>
        <v>228989.15000000002</v>
      </c>
      <c r="M2382" s="3" t="s">
        <v>395</v>
      </c>
      <c r="N2382" s="3">
        <v>29</v>
      </c>
      <c r="O2382" s="3" t="s">
        <v>24</v>
      </c>
      <c r="P2382" s="3" t="s">
        <v>45</v>
      </c>
      <c r="Q2382" s="4">
        <v>2</v>
      </c>
      <c r="R2382" s="4" t="str">
        <f>IF(Table1[[#This Row],[Customer Ratings]]&gt;=4, "Good",IF(Table1[[#This Row],[Customer Ratings]]=3, "Average","Poor"))</f>
        <v>Poor</v>
      </c>
      <c r="S2382" s="3" t="s">
        <v>90</v>
      </c>
    </row>
    <row r="2383" spans="1:19" x14ac:dyDescent="0.25">
      <c r="A2383" s="3">
        <v>2382</v>
      </c>
      <c r="B2383" s="5">
        <f>DATE(Table1[[#This Row],[Year]],Table1[[#This Row],[Month]],Table1[[#This Row],[Day]])</f>
        <v>45154</v>
      </c>
      <c r="C2383" s="3">
        <v>16</v>
      </c>
      <c r="D2383" s="3">
        <v>8</v>
      </c>
      <c r="E2383" s="3">
        <v>2023</v>
      </c>
      <c r="F2383" s="3" t="str">
        <f>"Qtr"&amp; " " &amp;CHOOSE(MONTH(Table1[[#This Row],[Date]]),1,1,1,2,2,2,3,3,3,4,4,4)</f>
        <v>Qtr 3</v>
      </c>
      <c r="G2383" s="3" t="str">
        <f>TEXT(Table1[[#This Row],[Date]],"mmmm")</f>
        <v>August</v>
      </c>
      <c r="H2383" s="3" t="s">
        <v>1083</v>
      </c>
      <c r="I2383" s="3" t="s">
        <v>39</v>
      </c>
      <c r="J2383" s="3">
        <v>2</v>
      </c>
      <c r="K2383" s="3">
        <v>15211.77</v>
      </c>
      <c r="L2383" s="3">
        <f>Table1[[#This Row],[Price Per Unit]]*Table1[[#This Row],[Units Sold]]</f>
        <v>30423.54</v>
      </c>
      <c r="M2383" s="3" t="s">
        <v>662</v>
      </c>
      <c r="N2383" s="3">
        <v>19</v>
      </c>
      <c r="O2383" s="3" t="s">
        <v>48</v>
      </c>
      <c r="P2383" s="3" t="s">
        <v>21</v>
      </c>
      <c r="Q2383" s="4">
        <v>2</v>
      </c>
      <c r="R2383" s="4" t="str">
        <f>IF(Table1[[#This Row],[Customer Ratings]]&gt;=4, "Good",IF(Table1[[#This Row],[Customer Ratings]]=3, "Average","Poor"))</f>
        <v>Poor</v>
      </c>
      <c r="S2383" s="3" t="s">
        <v>42</v>
      </c>
    </row>
    <row r="2384" spans="1:19" x14ac:dyDescent="0.25">
      <c r="A2384" s="3">
        <v>2383</v>
      </c>
      <c r="B2384" s="5">
        <f>DATE(Table1[[#This Row],[Year]],Table1[[#This Row],[Month]],Table1[[#This Row],[Day]])</f>
        <v>45155</v>
      </c>
      <c r="C2384" s="3">
        <v>17</v>
      </c>
      <c r="D2384" s="3">
        <v>8</v>
      </c>
      <c r="E2384" s="3">
        <v>2023</v>
      </c>
      <c r="F2384" s="3" t="str">
        <f>"Qtr"&amp; " " &amp;CHOOSE(MONTH(Table1[[#This Row],[Date]]),1,1,1,2,2,2,3,3,3,4,4,4)</f>
        <v>Qtr 3</v>
      </c>
      <c r="G2384" s="3" t="str">
        <f>TEXT(Table1[[#This Row],[Date]],"mmmm")</f>
        <v>August</v>
      </c>
      <c r="H2384" s="3" t="s">
        <v>1084</v>
      </c>
      <c r="I2384" s="3" t="s">
        <v>18</v>
      </c>
      <c r="J2384" s="3">
        <v>2</v>
      </c>
      <c r="K2384" s="3">
        <v>52102.82</v>
      </c>
      <c r="L2384" s="3">
        <f>Table1[[#This Row],[Price Per Unit]]*Table1[[#This Row],[Units Sold]]</f>
        <v>104205.64</v>
      </c>
      <c r="M2384" s="3" t="s">
        <v>510</v>
      </c>
      <c r="N2384" s="3">
        <v>50</v>
      </c>
      <c r="O2384" s="3" t="s">
        <v>15</v>
      </c>
      <c r="P2384" s="3" t="s">
        <v>45</v>
      </c>
      <c r="Q2384" s="4">
        <v>3</v>
      </c>
      <c r="R2384" s="4" t="str">
        <f>IF(Table1[[#This Row],[Customer Ratings]]&gt;=4, "Good",IF(Table1[[#This Row],[Customer Ratings]]=3, "Average","Poor"))</f>
        <v>Average</v>
      </c>
      <c r="S2384" s="3" t="s">
        <v>22</v>
      </c>
    </row>
    <row r="2385" spans="1:19" x14ac:dyDescent="0.25">
      <c r="A2385" s="3">
        <v>2384</v>
      </c>
      <c r="B2385" s="5">
        <f>DATE(Table1[[#This Row],[Year]],Table1[[#This Row],[Month]],Table1[[#This Row],[Day]])</f>
        <v>45155</v>
      </c>
      <c r="C2385" s="3">
        <v>17</v>
      </c>
      <c r="D2385" s="3">
        <v>8</v>
      </c>
      <c r="E2385" s="3">
        <v>2023</v>
      </c>
      <c r="F2385" s="3" t="str">
        <f>"Qtr"&amp; " " &amp;CHOOSE(MONTH(Table1[[#This Row],[Date]]),1,1,1,2,2,2,3,3,3,4,4,4)</f>
        <v>Qtr 3</v>
      </c>
      <c r="G2385" s="3" t="str">
        <f>TEXT(Table1[[#This Row],[Date]],"mmmm")</f>
        <v>August</v>
      </c>
      <c r="H2385" s="3" t="s">
        <v>1084</v>
      </c>
      <c r="I2385" s="3" t="s">
        <v>28</v>
      </c>
      <c r="J2385" s="3">
        <v>9</v>
      </c>
      <c r="K2385" s="3">
        <v>13158.53</v>
      </c>
      <c r="L2385" s="3">
        <f>Table1[[#This Row],[Price Per Unit]]*Table1[[#This Row],[Units Sold]]</f>
        <v>118426.77</v>
      </c>
      <c r="M2385" s="3" t="s">
        <v>868</v>
      </c>
      <c r="N2385" s="3">
        <v>25</v>
      </c>
      <c r="O2385" s="3" t="s">
        <v>20</v>
      </c>
      <c r="P2385" s="3" t="s">
        <v>31</v>
      </c>
      <c r="Q2385" s="4">
        <v>2</v>
      </c>
      <c r="R2385" s="4" t="str">
        <f>IF(Table1[[#This Row],[Customer Ratings]]&gt;=4, "Good",IF(Table1[[#This Row],[Customer Ratings]]=3, "Average","Poor"))</f>
        <v>Poor</v>
      </c>
      <c r="S2385" s="3" t="s">
        <v>38</v>
      </c>
    </row>
    <row r="2386" spans="1:19" x14ac:dyDescent="0.25">
      <c r="A2386" s="3">
        <v>2385</v>
      </c>
      <c r="B2386" s="5">
        <f>DATE(Table1[[#This Row],[Year]],Table1[[#This Row],[Month]],Table1[[#This Row],[Day]])</f>
        <v>45155</v>
      </c>
      <c r="C2386" s="3">
        <v>17</v>
      </c>
      <c r="D2386" s="3">
        <v>8</v>
      </c>
      <c r="E2386" s="3">
        <v>2023</v>
      </c>
      <c r="F2386" s="3" t="str">
        <f>"Qtr"&amp; " " &amp;CHOOSE(MONTH(Table1[[#This Row],[Date]]),1,1,1,2,2,2,3,3,3,4,4,4)</f>
        <v>Qtr 3</v>
      </c>
      <c r="G2386" s="3" t="str">
        <f>TEXT(Table1[[#This Row],[Date]],"mmmm")</f>
        <v>August</v>
      </c>
      <c r="H2386" s="3" t="s">
        <v>1084</v>
      </c>
      <c r="I2386" s="3" t="s">
        <v>33</v>
      </c>
      <c r="J2386" s="3">
        <v>2</v>
      </c>
      <c r="K2386" s="3">
        <v>13558.53</v>
      </c>
      <c r="L2386" s="3">
        <f>Table1[[#This Row],[Price Per Unit]]*Table1[[#This Row],[Units Sold]]</f>
        <v>27117.06</v>
      </c>
      <c r="M2386" s="3" t="s">
        <v>107</v>
      </c>
      <c r="N2386" s="3">
        <v>58</v>
      </c>
      <c r="O2386" s="3" t="s">
        <v>24</v>
      </c>
      <c r="P2386" s="3" t="s">
        <v>16</v>
      </c>
      <c r="Q2386" s="4">
        <v>2</v>
      </c>
      <c r="R2386" s="4" t="str">
        <f>IF(Table1[[#This Row],[Customer Ratings]]&gt;=4, "Good",IF(Table1[[#This Row],[Customer Ratings]]=3, "Average","Poor"))</f>
        <v>Poor</v>
      </c>
      <c r="S2386" s="3" t="s">
        <v>83</v>
      </c>
    </row>
    <row r="2387" spans="1:19" x14ac:dyDescent="0.25">
      <c r="A2387" s="3">
        <v>2386</v>
      </c>
      <c r="B2387" s="5">
        <f>DATE(Table1[[#This Row],[Year]],Table1[[#This Row],[Month]],Table1[[#This Row],[Day]])</f>
        <v>45155</v>
      </c>
      <c r="C2387" s="3">
        <v>17</v>
      </c>
      <c r="D2387" s="3">
        <v>8</v>
      </c>
      <c r="E2387" s="3">
        <v>2023</v>
      </c>
      <c r="F2387" s="3" t="str">
        <f>"Qtr"&amp; " " &amp;CHOOSE(MONTH(Table1[[#This Row],[Date]]),1,1,1,2,2,2,3,3,3,4,4,4)</f>
        <v>Qtr 3</v>
      </c>
      <c r="G2387" s="3" t="str">
        <f>TEXT(Table1[[#This Row],[Date]],"mmmm")</f>
        <v>August</v>
      </c>
      <c r="H2387" s="3" t="s">
        <v>1084</v>
      </c>
      <c r="I2387" s="3" t="s">
        <v>39</v>
      </c>
      <c r="J2387" s="3">
        <v>6</v>
      </c>
      <c r="K2387" s="3">
        <v>28319.55</v>
      </c>
      <c r="L2387" s="3">
        <f>Table1[[#This Row],[Price Per Unit]]*Table1[[#This Row],[Units Sold]]</f>
        <v>169917.3</v>
      </c>
      <c r="M2387" s="3" t="s">
        <v>229</v>
      </c>
      <c r="N2387" s="3">
        <v>57</v>
      </c>
      <c r="O2387" s="3" t="s">
        <v>24</v>
      </c>
      <c r="P2387" s="3" t="s">
        <v>16</v>
      </c>
      <c r="Q2387" s="4">
        <v>5</v>
      </c>
      <c r="R2387" s="4" t="str">
        <f>IF(Table1[[#This Row],[Customer Ratings]]&gt;=4, "Good",IF(Table1[[#This Row],[Customer Ratings]]=3, "Average","Poor"))</f>
        <v>Good</v>
      </c>
      <c r="S2387" s="3" t="s">
        <v>76</v>
      </c>
    </row>
    <row r="2388" spans="1:19" x14ac:dyDescent="0.25">
      <c r="A2388" s="3">
        <v>2387</v>
      </c>
      <c r="B2388" s="5">
        <f>DATE(Table1[[#This Row],[Year]],Table1[[#This Row],[Month]],Table1[[#This Row],[Day]])</f>
        <v>45156</v>
      </c>
      <c r="C2388" s="3">
        <v>18</v>
      </c>
      <c r="D2388" s="3">
        <v>8</v>
      </c>
      <c r="E2388" s="3">
        <v>2023</v>
      </c>
      <c r="F2388" s="3" t="str">
        <f>"Qtr"&amp; " " &amp;CHOOSE(MONTH(Table1[[#This Row],[Date]]),1,1,1,2,2,2,3,3,3,4,4,4)</f>
        <v>Qtr 3</v>
      </c>
      <c r="G2388" s="3" t="str">
        <f>TEXT(Table1[[#This Row],[Date]],"mmmm")</f>
        <v>August</v>
      </c>
      <c r="H2388" s="3" t="s">
        <v>1085</v>
      </c>
      <c r="I2388" s="3" t="s">
        <v>28</v>
      </c>
      <c r="J2388" s="3">
        <v>2</v>
      </c>
      <c r="K2388" s="3">
        <v>63794.29</v>
      </c>
      <c r="L2388" s="3">
        <f>Table1[[#This Row],[Price Per Unit]]*Table1[[#This Row],[Units Sold]]</f>
        <v>127588.58</v>
      </c>
      <c r="M2388" s="3" t="s">
        <v>442</v>
      </c>
      <c r="N2388" s="3">
        <v>58</v>
      </c>
      <c r="O2388" s="3" t="s">
        <v>102</v>
      </c>
      <c r="P2388" s="3" t="s">
        <v>21</v>
      </c>
      <c r="Q2388" s="4">
        <v>4</v>
      </c>
      <c r="R2388" s="4" t="str">
        <f>IF(Table1[[#This Row],[Customer Ratings]]&gt;=4, "Good",IF(Table1[[#This Row],[Customer Ratings]]=3, "Average","Poor"))</f>
        <v>Good</v>
      </c>
      <c r="S2388" s="3" t="s">
        <v>32</v>
      </c>
    </row>
    <row r="2389" spans="1:19" x14ac:dyDescent="0.25">
      <c r="A2389" s="3">
        <v>2388</v>
      </c>
      <c r="B2389" s="5">
        <f>DATE(Table1[[#This Row],[Year]],Table1[[#This Row],[Month]],Table1[[#This Row],[Day]])</f>
        <v>45156</v>
      </c>
      <c r="C2389" s="3">
        <v>18</v>
      </c>
      <c r="D2389" s="3">
        <v>8</v>
      </c>
      <c r="E2389" s="3">
        <v>2023</v>
      </c>
      <c r="F2389" s="3" t="str">
        <f>"Qtr"&amp; " " &amp;CHOOSE(MONTH(Table1[[#This Row],[Date]]),1,1,1,2,2,2,3,3,3,4,4,4)</f>
        <v>Qtr 3</v>
      </c>
      <c r="G2389" s="3" t="str">
        <f>TEXT(Table1[[#This Row],[Date]],"mmmm")</f>
        <v>August</v>
      </c>
      <c r="H2389" s="3" t="s">
        <v>1085</v>
      </c>
      <c r="I2389" s="3" t="s">
        <v>39</v>
      </c>
      <c r="J2389" s="3">
        <v>5</v>
      </c>
      <c r="K2389" s="3">
        <v>48483.59</v>
      </c>
      <c r="L2389" s="3">
        <f>Table1[[#This Row],[Price Per Unit]]*Table1[[#This Row],[Units Sold]]</f>
        <v>242417.94999999998</v>
      </c>
      <c r="M2389" s="3" t="s">
        <v>827</v>
      </c>
      <c r="N2389" s="3">
        <v>49</v>
      </c>
      <c r="O2389" s="3" t="s">
        <v>65</v>
      </c>
      <c r="P2389" s="3" t="s">
        <v>45</v>
      </c>
      <c r="Q2389" s="4">
        <v>4</v>
      </c>
      <c r="R2389" s="4" t="str">
        <f>IF(Table1[[#This Row],[Customer Ratings]]&gt;=4, "Good",IF(Table1[[#This Row],[Customer Ratings]]=3, "Average","Poor"))</f>
        <v>Good</v>
      </c>
      <c r="S2389" s="3" t="s">
        <v>42</v>
      </c>
    </row>
    <row r="2390" spans="1:19" x14ac:dyDescent="0.25">
      <c r="A2390" s="3">
        <v>2389</v>
      </c>
      <c r="B2390" s="5">
        <f>DATE(Table1[[#This Row],[Year]],Table1[[#This Row],[Month]],Table1[[#This Row],[Day]])</f>
        <v>45156</v>
      </c>
      <c r="C2390" s="3">
        <v>18</v>
      </c>
      <c r="D2390" s="3">
        <v>8</v>
      </c>
      <c r="E2390" s="3">
        <v>2023</v>
      </c>
      <c r="F2390" s="3" t="str">
        <f>"Qtr"&amp; " " &amp;CHOOSE(MONTH(Table1[[#This Row],[Date]]),1,1,1,2,2,2,3,3,3,4,4,4)</f>
        <v>Qtr 3</v>
      </c>
      <c r="G2390" s="3" t="str">
        <f>TEXT(Table1[[#This Row],[Date]],"mmmm")</f>
        <v>August</v>
      </c>
      <c r="H2390" s="3" t="s">
        <v>1085</v>
      </c>
      <c r="I2390" s="3" t="s">
        <v>39</v>
      </c>
      <c r="J2390" s="3">
        <v>4</v>
      </c>
      <c r="K2390" s="3">
        <v>56207.88</v>
      </c>
      <c r="L2390" s="3">
        <f>Table1[[#This Row],[Price Per Unit]]*Table1[[#This Row],[Units Sold]]</f>
        <v>224831.52</v>
      </c>
      <c r="M2390" s="3" t="s">
        <v>706</v>
      </c>
      <c r="N2390" s="3">
        <v>55</v>
      </c>
      <c r="O2390" s="3" t="s">
        <v>20</v>
      </c>
      <c r="P2390" s="3" t="s">
        <v>45</v>
      </c>
      <c r="Q2390" s="4">
        <v>2</v>
      </c>
      <c r="R2390" s="4" t="str">
        <f>IF(Table1[[#This Row],[Customer Ratings]]&gt;=4, "Good",IF(Table1[[#This Row],[Customer Ratings]]=3, "Average","Poor"))</f>
        <v>Poor</v>
      </c>
      <c r="S2390" s="3" t="s">
        <v>90</v>
      </c>
    </row>
    <row r="2391" spans="1:19" x14ac:dyDescent="0.25">
      <c r="A2391" s="3">
        <v>2390</v>
      </c>
      <c r="B2391" s="5">
        <f>DATE(Table1[[#This Row],[Year]],Table1[[#This Row],[Month]],Table1[[#This Row],[Day]])</f>
        <v>45156</v>
      </c>
      <c r="C2391" s="3">
        <v>18</v>
      </c>
      <c r="D2391" s="3">
        <v>8</v>
      </c>
      <c r="E2391" s="3">
        <v>2023</v>
      </c>
      <c r="F2391" s="3" t="str">
        <f>"Qtr"&amp; " " &amp;CHOOSE(MONTH(Table1[[#This Row],[Date]]),1,1,1,2,2,2,3,3,3,4,4,4)</f>
        <v>Qtr 3</v>
      </c>
      <c r="G2391" s="3" t="str">
        <f>TEXT(Table1[[#This Row],[Date]],"mmmm")</f>
        <v>August</v>
      </c>
      <c r="H2391" s="3" t="s">
        <v>1085</v>
      </c>
      <c r="I2391" s="3" t="s">
        <v>33</v>
      </c>
      <c r="J2391" s="3">
        <v>7</v>
      </c>
      <c r="K2391" s="3">
        <v>18493.13</v>
      </c>
      <c r="L2391" s="3">
        <f>Table1[[#This Row],[Price Per Unit]]*Table1[[#This Row],[Units Sold]]</f>
        <v>129451.91</v>
      </c>
      <c r="M2391" s="3" t="s">
        <v>555</v>
      </c>
      <c r="N2391" s="3">
        <v>45</v>
      </c>
      <c r="O2391" s="3" t="s">
        <v>98</v>
      </c>
      <c r="P2391" s="3" t="s">
        <v>21</v>
      </c>
      <c r="Q2391" s="4">
        <v>2</v>
      </c>
      <c r="R2391" s="4" t="str">
        <f>IF(Table1[[#This Row],[Customer Ratings]]&gt;=4, "Good",IF(Table1[[#This Row],[Customer Ratings]]=3, "Average","Poor"))</f>
        <v>Poor</v>
      </c>
      <c r="S2391" s="3" t="s">
        <v>46</v>
      </c>
    </row>
    <row r="2392" spans="1:19" x14ac:dyDescent="0.25">
      <c r="A2392" s="3">
        <v>2391</v>
      </c>
      <c r="B2392" s="5">
        <f>DATE(Table1[[#This Row],[Year]],Table1[[#This Row],[Month]],Table1[[#This Row],[Day]])</f>
        <v>45157</v>
      </c>
      <c r="C2392" s="3">
        <v>19</v>
      </c>
      <c r="D2392" s="3">
        <v>8</v>
      </c>
      <c r="E2392" s="3">
        <v>2023</v>
      </c>
      <c r="F2392" s="3" t="str">
        <f>"Qtr"&amp; " " &amp;CHOOSE(MONTH(Table1[[#This Row],[Date]]),1,1,1,2,2,2,3,3,3,4,4,4)</f>
        <v>Qtr 3</v>
      </c>
      <c r="G2392" s="3" t="str">
        <f>TEXT(Table1[[#This Row],[Date]],"mmmm")</f>
        <v>August</v>
      </c>
      <c r="H2392" s="3" t="s">
        <v>1079</v>
      </c>
      <c r="I2392" s="3" t="s">
        <v>33</v>
      </c>
      <c r="J2392" s="3">
        <v>7</v>
      </c>
      <c r="K2392" s="3">
        <v>60047.53</v>
      </c>
      <c r="L2392" s="3">
        <f>Table1[[#This Row],[Price Per Unit]]*Table1[[#This Row],[Units Sold]]</f>
        <v>420332.70999999996</v>
      </c>
      <c r="M2392" s="3" t="s">
        <v>704</v>
      </c>
      <c r="N2392" s="3">
        <v>32</v>
      </c>
      <c r="O2392" s="3" t="s">
        <v>78</v>
      </c>
      <c r="P2392" s="3" t="s">
        <v>16</v>
      </c>
      <c r="Q2392" s="4">
        <v>2</v>
      </c>
      <c r="R2392" s="4" t="str">
        <f>IF(Table1[[#This Row],[Customer Ratings]]&gt;=4, "Good",IF(Table1[[#This Row],[Customer Ratings]]=3, "Average","Poor"))</f>
        <v>Poor</v>
      </c>
      <c r="S2392" s="3" t="s">
        <v>83</v>
      </c>
    </row>
    <row r="2393" spans="1:19" x14ac:dyDescent="0.25">
      <c r="A2393" s="3">
        <v>2392</v>
      </c>
      <c r="B2393" s="5">
        <f>DATE(Table1[[#This Row],[Year]],Table1[[#This Row],[Month]],Table1[[#This Row],[Day]])</f>
        <v>45157</v>
      </c>
      <c r="C2393" s="3">
        <v>19</v>
      </c>
      <c r="D2393" s="3">
        <v>8</v>
      </c>
      <c r="E2393" s="3">
        <v>2023</v>
      </c>
      <c r="F2393" s="3" t="str">
        <f>"Qtr"&amp; " " &amp;CHOOSE(MONTH(Table1[[#This Row],[Date]]),1,1,1,2,2,2,3,3,3,4,4,4)</f>
        <v>Qtr 3</v>
      </c>
      <c r="G2393" s="3" t="str">
        <f>TEXT(Table1[[#This Row],[Date]],"mmmm")</f>
        <v>August</v>
      </c>
      <c r="H2393" s="3" t="s">
        <v>1079</v>
      </c>
      <c r="I2393" s="3" t="s">
        <v>39</v>
      </c>
      <c r="J2393" s="3">
        <v>6</v>
      </c>
      <c r="K2393" s="3">
        <v>10488.77</v>
      </c>
      <c r="L2393" s="3">
        <f>Table1[[#This Row],[Price Per Unit]]*Table1[[#This Row],[Units Sold]]</f>
        <v>62932.62</v>
      </c>
      <c r="M2393" s="3" t="s">
        <v>79</v>
      </c>
      <c r="N2393" s="3">
        <v>40</v>
      </c>
      <c r="O2393" s="3" t="s">
        <v>20</v>
      </c>
      <c r="P2393" s="3" t="s">
        <v>31</v>
      </c>
      <c r="Q2393" s="4">
        <v>5</v>
      </c>
      <c r="R2393" s="4" t="str">
        <f>IF(Table1[[#This Row],[Customer Ratings]]&gt;=4, "Good",IF(Table1[[#This Row],[Customer Ratings]]=3, "Average","Poor"))</f>
        <v>Good</v>
      </c>
      <c r="S2393" s="3" t="s">
        <v>42</v>
      </c>
    </row>
    <row r="2394" spans="1:19" x14ac:dyDescent="0.25">
      <c r="A2394" s="3">
        <v>2393</v>
      </c>
      <c r="B2394" s="5">
        <f>DATE(Table1[[#This Row],[Year]],Table1[[#This Row],[Month]],Table1[[#This Row],[Day]])</f>
        <v>45157</v>
      </c>
      <c r="C2394" s="3">
        <v>19</v>
      </c>
      <c r="D2394" s="3">
        <v>8</v>
      </c>
      <c r="E2394" s="3">
        <v>2023</v>
      </c>
      <c r="F2394" s="3" t="str">
        <f>"Qtr"&amp; " " &amp;CHOOSE(MONTH(Table1[[#This Row],[Date]]),1,1,1,2,2,2,3,3,3,4,4,4)</f>
        <v>Qtr 3</v>
      </c>
      <c r="G2394" s="3" t="str">
        <f>TEXT(Table1[[#This Row],[Date]],"mmmm")</f>
        <v>August</v>
      </c>
      <c r="H2394" s="3" t="s">
        <v>1079</v>
      </c>
      <c r="I2394" s="3" t="s">
        <v>13</v>
      </c>
      <c r="J2394" s="3">
        <v>5</v>
      </c>
      <c r="K2394" s="3">
        <v>22783.439999999999</v>
      </c>
      <c r="L2394" s="3">
        <f>Table1[[#This Row],[Price Per Unit]]*Table1[[#This Row],[Units Sold]]</f>
        <v>113917.2</v>
      </c>
      <c r="M2394" s="3" t="s">
        <v>676</v>
      </c>
      <c r="N2394" s="3">
        <v>41</v>
      </c>
      <c r="O2394" s="3" t="s">
        <v>20</v>
      </c>
      <c r="P2394" s="3" t="s">
        <v>31</v>
      </c>
      <c r="Q2394" s="4">
        <v>2</v>
      </c>
      <c r="R2394" s="4" t="str">
        <f>IF(Table1[[#This Row],[Customer Ratings]]&gt;=4, "Good",IF(Table1[[#This Row],[Customer Ratings]]=3, "Average","Poor"))</f>
        <v>Poor</v>
      </c>
      <c r="S2394" s="3" t="s">
        <v>72</v>
      </c>
    </row>
    <row r="2395" spans="1:19" x14ac:dyDescent="0.25">
      <c r="A2395" s="3">
        <v>2394</v>
      </c>
      <c r="B2395" s="5">
        <f>DATE(Table1[[#This Row],[Year]],Table1[[#This Row],[Month]],Table1[[#This Row],[Day]])</f>
        <v>45157</v>
      </c>
      <c r="C2395" s="3">
        <v>19</v>
      </c>
      <c r="D2395" s="3">
        <v>8</v>
      </c>
      <c r="E2395" s="3">
        <v>2023</v>
      </c>
      <c r="F2395" s="3" t="str">
        <f>"Qtr"&amp; " " &amp;CHOOSE(MONTH(Table1[[#This Row],[Date]]),1,1,1,2,2,2,3,3,3,4,4,4)</f>
        <v>Qtr 3</v>
      </c>
      <c r="G2395" s="3" t="str">
        <f>TEXT(Table1[[#This Row],[Date]],"mmmm")</f>
        <v>August</v>
      </c>
      <c r="H2395" s="3" t="s">
        <v>1079</v>
      </c>
      <c r="I2395" s="3" t="s">
        <v>39</v>
      </c>
      <c r="J2395" s="3">
        <v>1</v>
      </c>
      <c r="K2395" s="3">
        <v>46965.54</v>
      </c>
      <c r="L2395" s="3">
        <f>Table1[[#This Row],[Price Per Unit]]*Table1[[#This Row],[Units Sold]]</f>
        <v>46965.54</v>
      </c>
      <c r="M2395" s="3" t="s">
        <v>251</v>
      </c>
      <c r="N2395" s="3">
        <v>30</v>
      </c>
      <c r="O2395" s="3" t="s">
        <v>78</v>
      </c>
      <c r="P2395" s="3" t="s">
        <v>21</v>
      </c>
      <c r="Q2395" s="4">
        <v>2</v>
      </c>
      <c r="R2395" s="4" t="str">
        <f>IF(Table1[[#This Row],[Customer Ratings]]&gt;=4, "Good",IF(Table1[[#This Row],[Customer Ratings]]=3, "Average","Poor"))</f>
        <v>Poor</v>
      </c>
      <c r="S2395" s="3" t="s">
        <v>90</v>
      </c>
    </row>
    <row r="2396" spans="1:19" x14ac:dyDescent="0.25">
      <c r="A2396" s="3">
        <v>2395</v>
      </c>
      <c r="B2396" s="5">
        <f>DATE(Table1[[#This Row],[Year]],Table1[[#This Row],[Month]],Table1[[#This Row],[Day]])</f>
        <v>45158</v>
      </c>
      <c r="C2396" s="3">
        <v>20</v>
      </c>
      <c r="D2396" s="3">
        <v>8</v>
      </c>
      <c r="E2396" s="3">
        <v>2023</v>
      </c>
      <c r="F2396" s="3" t="str">
        <f>"Qtr"&amp; " " &amp;CHOOSE(MONTH(Table1[[#This Row],[Date]]),1,1,1,2,2,2,3,3,3,4,4,4)</f>
        <v>Qtr 3</v>
      </c>
      <c r="G2396" s="3" t="str">
        <f>TEXT(Table1[[#This Row],[Date]],"mmmm")</f>
        <v>August</v>
      </c>
      <c r="H2396" s="3" t="s">
        <v>1080</v>
      </c>
      <c r="I2396" s="3" t="s">
        <v>39</v>
      </c>
      <c r="J2396" s="3">
        <v>3</v>
      </c>
      <c r="K2396" s="3">
        <v>32514.78</v>
      </c>
      <c r="L2396" s="3">
        <f>Table1[[#This Row],[Price Per Unit]]*Table1[[#This Row],[Units Sold]]</f>
        <v>97544.34</v>
      </c>
      <c r="M2396" s="3" t="s">
        <v>939</v>
      </c>
      <c r="N2396" s="3">
        <v>38</v>
      </c>
      <c r="O2396" s="3" t="s">
        <v>58</v>
      </c>
      <c r="P2396" s="3" t="s">
        <v>21</v>
      </c>
      <c r="Q2396" s="4">
        <v>5</v>
      </c>
      <c r="R2396" s="4" t="str">
        <f>IF(Table1[[#This Row],[Customer Ratings]]&gt;=4, "Good",IF(Table1[[#This Row],[Customer Ratings]]=3, "Average","Poor"))</f>
        <v>Good</v>
      </c>
      <c r="S2396" s="3" t="s">
        <v>76</v>
      </c>
    </row>
    <row r="2397" spans="1:19" x14ac:dyDescent="0.25">
      <c r="A2397" s="3">
        <v>2396</v>
      </c>
      <c r="B2397" s="5">
        <f>DATE(Table1[[#This Row],[Year]],Table1[[#This Row],[Month]],Table1[[#This Row],[Day]])</f>
        <v>45158</v>
      </c>
      <c r="C2397" s="3">
        <v>20</v>
      </c>
      <c r="D2397" s="3">
        <v>8</v>
      </c>
      <c r="E2397" s="3">
        <v>2023</v>
      </c>
      <c r="F2397" s="3" t="str">
        <f>"Qtr"&amp; " " &amp;CHOOSE(MONTH(Table1[[#This Row],[Date]]),1,1,1,2,2,2,3,3,3,4,4,4)</f>
        <v>Qtr 3</v>
      </c>
      <c r="G2397" s="3" t="str">
        <f>TEXT(Table1[[#This Row],[Date]],"mmmm")</f>
        <v>August</v>
      </c>
      <c r="H2397" s="3" t="s">
        <v>1080</v>
      </c>
      <c r="I2397" s="3" t="s">
        <v>18</v>
      </c>
      <c r="J2397" s="3">
        <v>9</v>
      </c>
      <c r="K2397" s="3">
        <v>69051.600000000006</v>
      </c>
      <c r="L2397" s="3">
        <f>Table1[[#This Row],[Price Per Unit]]*Table1[[#This Row],[Units Sold]]</f>
        <v>621464.4</v>
      </c>
      <c r="M2397" s="3" t="s">
        <v>821</v>
      </c>
      <c r="N2397" s="3">
        <v>29</v>
      </c>
      <c r="O2397" s="3" t="s">
        <v>102</v>
      </c>
      <c r="P2397" s="3" t="s">
        <v>21</v>
      </c>
      <c r="Q2397" s="4">
        <v>3</v>
      </c>
      <c r="R2397" s="4" t="str">
        <f>IF(Table1[[#This Row],[Customer Ratings]]&gt;=4, "Good",IF(Table1[[#This Row],[Customer Ratings]]=3, "Average","Poor"))</f>
        <v>Average</v>
      </c>
      <c r="S2397" s="3" t="s">
        <v>55</v>
      </c>
    </row>
    <row r="2398" spans="1:19" x14ac:dyDescent="0.25">
      <c r="A2398" s="3">
        <v>2397</v>
      </c>
      <c r="B2398" s="5">
        <f>DATE(Table1[[#This Row],[Year]],Table1[[#This Row],[Month]],Table1[[#This Row],[Day]])</f>
        <v>45158</v>
      </c>
      <c r="C2398" s="3">
        <v>20</v>
      </c>
      <c r="D2398" s="3">
        <v>8</v>
      </c>
      <c r="E2398" s="3">
        <v>2023</v>
      </c>
      <c r="F2398" s="3" t="str">
        <f>"Qtr"&amp; " " &amp;CHOOSE(MONTH(Table1[[#This Row],[Date]]),1,1,1,2,2,2,3,3,3,4,4,4)</f>
        <v>Qtr 3</v>
      </c>
      <c r="G2398" s="3" t="str">
        <f>TEXT(Table1[[#This Row],[Date]],"mmmm")</f>
        <v>August</v>
      </c>
      <c r="H2398" s="3" t="s">
        <v>1080</v>
      </c>
      <c r="I2398" s="3" t="s">
        <v>18</v>
      </c>
      <c r="J2398" s="3">
        <v>1</v>
      </c>
      <c r="K2398" s="3">
        <v>11820.35</v>
      </c>
      <c r="L2398" s="3">
        <f>Table1[[#This Row],[Price Per Unit]]*Table1[[#This Row],[Units Sold]]</f>
        <v>11820.35</v>
      </c>
      <c r="M2398" s="3" t="s">
        <v>523</v>
      </c>
      <c r="N2398" s="3">
        <v>30</v>
      </c>
      <c r="O2398" s="3" t="s">
        <v>20</v>
      </c>
      <c r="P2398" s="3" t="s">
        <v>45</v>
      </c>
      <c r="Q2398" s="4">
        <v>2</v>
      </c>
      <c r="R2398" s="4" t="str">
        <f>IF(Table1[[#This Row],[Customer Ratings]]&gt;=4, "Good",IF(Table1[[#This Row],[Customer Ratings]]=3, "Average","Poor"))</f>
        <v>Poor</v>
      </c>
      <c r="S2398" s="3" t="s">
        <v>25</v>
      </c>
    </row>
    <row r="2399" spans="1:19" x14ac:dyDescent="0.25">
      <c r="A2399" s="3">
        <v>2398</v>
      </c>
      <c r="B2399" s="5">
        <f>DATE(Table1[[#This Row],[Year]],Table1[[#This Row],[Month]],Table1[[#This Row],[Day]])</f>
        <v>45158</v>
      </c>
      <c r="C2399" s="3">
        <v>20</v>
      </c>
      <c r="D2399" s="3">
        <v>8</v>
      </c>
      <c r="E2399" s="3">
        <v>2023</v>
      </c>
      <c r="F2399" s="3" t="str">
        <f>"Qtr"&amp; " " &amp;CHOOSE(MONTH(Table1[[#This Row],[Date]]),1,1,1,2,2,2,3,3,3,4,4,4)</f>
        <v>Qtr 3</v>
      </c>
      <c r="G2399" s="3" t="str">
        <f>TEXT(Table1[[#This Row],[Date]],"mmmm")</f>
        <v>August</v>
      </c>
      <c r="H2399" s="3" t="s">
        <v>1080</v>
      </c>
      <c r="I2399" s="3" t="s">
        <v>18</v>
      </c>
      <c r="J2399" s="3">
        <v>5</v>
      </c>
      <c r="K2399" s="3">
        <v>69915.89</v>
      </c>
      <c r="L2399" s="3">
        <f>Table1[[#This Row],[Price Per Unit]]*Table1[[#This Row],[Units Sold]]</f>
        <v>349579.45</v>
      </c>
      <c r="M2399" s="3" t="s">
        <v>624</v>
      </c>
      <c r="N2399" s="3">
        <v>56</v>
      </c>
      <c r="O2399" s="3" t="s">
        <v>20</v>
      </c>
      <c r="P2399" s="3" t="s">
        <v>16</v>
      </c>
      <c r="Q2399" s="4">
        <v>3</v>
      </c>
      <c r="R2399" s="4" t="str">
        <f>IF(Table1[[#This Row],[Customer Ratings]]&gt;=4, "Good",IF(Table1[[#This Row],[Customer Ratings]]=3, "Average","Poor"))</f>
        <v>Average</v>
      </c>
      <c r="S2399" s="3" t="s">
        <v>22</v>
      </c>
    </row>
    <row r="2400" spans="1:19" x14ac:dyDescent="0.25">
      <c r="A2400" s="3">
        <v>2399</v>
      </c>
      <c r="B2400" s="5">
        <f>DATE(Table1[[#This Row],[Year]],Table1[[#This Row],[Month]],Table1[[#This Row],[Day]])</f>
        <v>45159</v>
      </c>
      <c r="C2400" s="3">
        <v>21</v>
      </c>
      <c r="D2400" s="3">
        <v>8</v>
      </c>
      <c r="E2400" s="3">
        <v>2023</v>
      </c>
      <c r="F2400" s="3" t="str">
        <f>"Qtr"&amp; " " &amp;CHOOSE(MONTH(Table1[[#This Row],[Date]]),1,1,1,2,2,2,3,3,3,4,4,4)</f>
        <v>Qtr 3</v>
      </c>
      <c r="G2400" s="3" t="str">
        <f>TEXT(Table1[[#This Row],[Date]],"mmmm")</f>
        <v>August</v>
      </c>
      <c r="H2400" s="3" t="s">
        <v>1081</v>
      </c>
      <c r="I2400" s="3" t="s">
        <v>13</v>
      </c>
      <c r="J2400" s="3">
        <v>2</v>
      </c>
      <c r="K2400" s="3">
        <v>47417.67</v>
      </c>
      <c r="L2400" s="3">
        <f>Table1[[#This Row],[Price Per Unit]]*Table1[[#This Row],[Units Sold]]</f>
        <v>94835.34</v>
      </c>
      <c r="M2400" s="3" t="s">
        <v>109</v>
      </c>
      <c r="N2400" s="3">
        <v>40</v>
      </c>
      <c r="O2400" s="3" t="s">
        <v>137</v>
      </c>
      <c r="P2400" s="3" t="s">
        <v>16</v>
      </c>
      <c r="Q2400" s="4">
        <v>4</v>
      </c>
      <c r="R2400" s="4" t="str">
        <f>IF(Table1[[#This Row],[Customer Ratings]]&gt;=4, "Good",IF(Table1[[#This Row],[Customer Ratings]]=3, "Average","Poor"))</f>
        <v>Good</v>
      </c>
      <c r="S2400" s="3" t="s">
        <v>27</v>
      </c>
    </row>
    <row r="2401" spans="1:19" x14ac:dyDescent="0.25">
      <c r="A2401" s="3">
        <v>2400</v>
      </c>
      <c r="B2401" s="5">
        <f>DATE(Table1[[#This Row],[Year]],Table1[[#This Row],[Month]],Table1[[#This Row],[Day]])</f>
        <v>45159</v>
      </c>
      <c r="C2401" s="3">
        <v>21</v>
      </c>
      <c r="D2401" s="3">
        <v>8</v>
      </c>
      <c r="E2401" s="3">
        <v>2023</v>
      </c>
      <c r="F2401" s="3" t="str">
        <f>"Qtr"&amp; " " &amp;CHOOSE(MONTH(Table1[[#This Row],[Date]]),1,1,1,2,2,2,3,3,3,4,4,4)</f>
        <v>Qtr 3</v>
      </c>
      <c r="G2401" s="3" t="str">
        <f>TEXT(Table1[[#This Row],[Date]],"mmmm")</f>
        <v>August</v>
      </c>
      <c r="H2401" s="3" t="s">
        <v>1081</v>
      </c>
      <c r="I2401" s="3" t="s">
        <v>13</v>
      </c>
      <c r="J2401" s="3">
        <v>4</v>
      </c>
      <c r="K2401" s="3">
        <v>43522.42</v>
      </c>
      <c r="L2401" s="3">
        <f>Table1[[#This Row],[Price Per Unit]]*Table1[[#This Row],[Units Sold]]</f>
        <v>174089.68</v>
      </c>
      <c r="M2401" s="3" t="s">
        <v>777</v>
      </c>
      <c r="N2401" s="3">
        <v>45</v>
      </c>
      <c r="O2401" s="3" t="s">
        <v>20</v>
      </c>
      <c r="P2401" s="3" t="s">
        <v>21</v>
      </c>
      <c r="Q2401" s="4">
        <v>4</v>
      </c>
      <c r="R2401" s="4" t="str">
        <f>IF(Table1[[#This Row],[Customer Ratings]]&gt;=4, "Good",IF(Table1[[#This Row],[Customer Ratings]]=3, "Average","Poor"))</f>
        <v>Good</v>
      </c>
      <c r="S2401" s="3" t="s">
        <v>27</v>
      </c>
    </row>
    <row r="2402" spans="1:19" x14ac:dyDescent="0.25">
      <c r="A2402" s="3">
        <v>2401</v>
      </c>
      <c r="B2402" s="5">
        <f>DATE(Table1[[#This Row],[Year]],Table1[[#This Row],[Month]],Table1[[#This Row],[Day]])</f>
        <v>45159</v>
      </c>
      <c r="C2402" s="3">
        <v>21</v>
      </c>
      <c r="D2402" s="3">
        <v>8</v>
      </c>
      <c r="E2402" s="3">
        <v>2023</v>
      </c>
      <c r="F2402" s="3" t="str">
        <f>"Qtr"&amp; " " &amp;CHOOSE(MONTH(Table1[[#This Row],[Date]]),1,1,1,2,2,2,3,3,3,4,4,4)</f>
        <v>Qtr 3</v>
      </c>
      <c r="G2402" s="3" t="str">
        <f>TEXT(Table1[[#This Row],[Date]],"mmmm")</f>
        <v>August</v>
      </c>
      <c r="H2402" s="3" t="s">
        <v>1081</v>
      </c>
      <c r="I2402" s="3" t="s">
        <v>39</v>
      </c>
      <c r="J2402" s="3">
        <v>1</v>
      </c>
      <c r="K2402" s="3">
        <v>13570.75</v>
      </c>
      <c r="L2402" s="3">
        <f>Table1[[#This Row],[Price Per Unit]]*Table1[[#This Row],[Units Sold]]</f>
        <v>13570.75</v>
      </c>
      <c r="M2402" s="3" t="s">
        <v>751</v>
      </c>
      <c r="N2402" s="3">
        <v>31</v>
      </c>
      <c r="O2402" s="3" t="s">
        <v>102</v>
      </c>
      <c r="P2402" s="3" t="s">
        <v>31</v>
      </c>
      <c r="Q2402" s="4">
        <v>5</v>
      </c>
      <c r="R2402" s="4" t="str">
        <f>IF(Table1[[#This Row],[Customer Ratings]]&gt;=4, "Good",IF(Table1[[#This Row],[Customer Ratings]]=3, "Average","Poor"))</f>
        <v>Good</v>
      </c>
      <c r="S2402" s="3" t="s">
        <v>90</v>
      </c>
    </row>
    <row r="2403" spans="1:19" x14ac:dyDescent="0.25">
      <c r="A2403" s="3">
        <v>2402</v>
      </c>
      <c r="B2403" s="5">
        <f>DATE(Table1[[#This Row],[Year]],Table1[[#This Row],[Month]],Table1[[#This Row],[Day]])</f>
        <v>45160</v>
      </c>
      <c r="C2403" s="3">
        <v>22</v>
      </c>
      <c r="D2403" s="3">
        <v>8</v>
      </c>
      <c r="E2403" s="3">
        <v>2023</v>
      </c>
      <c r="F2403" s="3" t="str">
        <f>"Qtr"&amp; " " &amp;CHOOSE(MONTH(Table1[[#This Row],[Date]]),1,1,1,2,2,2,3,3,3,4,4,4)</f>
        <v>Qtr 3</v>
      </c>
      <c r="G2403" s="3" t="str">
        <f>TEXT(Table1[[#This Row],[Date]],"mmmm")</f>
        <v>August</v>
      </c>
      <c r="H2403" s="3" t="s">
        <v>1082</v>
      </c>
      <c r="I2403" s="3" t="s">
        <v>18</v>
      </c>
      <c r="J2403" s="3">
        <v>3</v>
      </c>
      <c r="K2403" s="3">
        <v>26399.73</v>
      </c>
      <c r="L2403" s="3">
        <f>Table1[[#This Row],[Price Per Unit]]*Table1[[#This Row],[Units Sold]]</f>
        <v>79199.19</v>
      </c>
      <c r="M2403" s="3" t="s">
        <v>604</v>
      </c>
      <c r="N2403" s="3">
        <v>34</v>
      </c>
      <c r="O2403" s="3" t="s">
        <v>20</v>
      </c>
      <c r="P2403" s="3" t="s">
        <v>45</v>
      </c>
      <c r="Q2403" s="4">
        <v>2</v>
      </c>
      <c r="R2403" s="4" t="str">
        <f>IF(Table1[[#This Row],[Customer Ratings]]&gt;=4, "Good",IF(Table1[[#This Row],[Customer Ratings]]=3, "Average","Poor"))</f>
        <v>Poor</v>
      </c>
      <c r="S2403" s="3" t="s">
        <v>22</v>
      </c>
    </row>
    <row r="2404" spans="1:19" x14ac:dyDescent="0.25">
      <c r="A2404" s="3">
        <v>2403</v>
      </c>
      <c r="B2404" s="5">
        <f>DATE(Table1[[#This Row],[Year]],Table1[[#This Row],[Month]],Table1[[#This Row],[Day]])</f>
        <v>45160</v>
      </c>
      <c r="C2404" s="3">
        <v>22</v>
      </c>
      <c r="D2404" s="3">
        <v>8</v>
      </c>
      <c r="E2404" s="3">
        <v>2023</v>
      </c>
      <c r="F2404" s="3" t="str">
        <f>"Qtr"&amp; " " &amp;CHOOSE(MONTH(Table1[[#This Row],[Date]]),1,1,1,2,2,2,3,3,3,4,4,4)</f>
        <v>Qtr 3</v>
      </c>
      <c r="G2404" s="3" t="str">
        <f>TEXT(Table1[[#This Row],[Date]],"mmmm")</f>
        <v>August</v>
      </c>
      <c r="H2404" s="3" t="s">
        <v>1082</v>
      </c>
      <c r="I2404" s="3" t="s">
        <v>13</v>
      </c>
      <c r="J2404" s="3">
        <v>7</v>
      </c>
      <c r="K2404" s="3">
        <v>65479.76</v>
      </c>
      <c r="L2404" s="3">
        <f>Table1[[#This Row],[Price Per Unit]]*Table1[[#This Row],[Units Sold]]</f>
        <v>458358.32</v>
      </c>
      <c r="M2404" s="3" t="s">
        <v>971</v>
      </c>
      <c r="N2404" s="3">
        <v>41</v>
      </c>
      <c r="O2404" s="3" t="s">
        <v>54</v>
      </c>
      <c r="P2404" s="3" t="s">
        <v>21</v>
      </c>
      <c r="Q2404" s="4">
        <v>5</v>
      </c>
      <c r="R2404" s="4" t="str">
        <f>IF(Table1[[#This Row],[Customer Ratings]]&gt;=4, "Good",IF(Table1[[#This Row],[Customer Ratings]]=3, "Average","Poor"))</f>
        <v>Good</v>
      </c>
      <c r="S2404" s="3" t="s">
        <v>27</v>
      </c>
    </row>
    <row r="2405" spans="1:19" x14ac:dyDescent="0.25">
      <c r="A2405" s="3">
        <v>2404</v>
      </c>
      <c r="B2405" s="5">
        <f>DATE(Table1[[#This Row],[Year]],Table1[[#This Row],[Month]],Table1[[#This Row],[Day]])</f>
        <v>45160</v>
      </c>
      <c r="C2405" s="3">
        <v>22</v>
      </c>
      <c r="D2405" s="3">
        <v>8</v>
      </c>
      <c r="E2405" s="3">
        <v>2023</v>
      </c>
      <c r="F2405" s="3" t="str">
        <f>"Qtr"&amp; " " &amp;CHOOSE(MONTH(Table1[[#This Row],[Date]]),1,1,1,2,2,2,3,3,3,4,4,4)</f>
        <v>Qtr 3</v>
      </c>
      <c r="G2405" s="3" t="str">
        <f>TEXT(Table1[[#This Row],[Date]],"mmmm")</f>
        <v>August</v>
      </c>
      <c r="H2405" s="3" t="s">
        <v>1082</v>
      </c>
      <c r="I2405" s="3" t="s">
        <v>33</v>
      </c>
      <c r="J2405" s="3">
        <v>3</v>
      </c>
      <c r="K2405" s="3">
        <v>31254.76</v>
      </c>
      <c r="L2405" s="3">
        <f>Table1[[#This Row],[Price Per Unit]]*Table1[[#This Row],[Units Sold]]</f>
        <v>93764.28</v>
      </c>
      <c r="M2405" s="3" t="s">
        <v>968</v>
      </c>
      <c r="N2405" s="3">
        <v>51</v>
      </c>
      <c r="O2405" s="3" t="s">
        <v>30</v>
      </c>
      <c r="P2405" s="3" t="s">
        <v>45</v>
      </c>
      <c r="Q2405" s="4">
        <v>2</v>
      </c>
      <c r="R2405" s="4" t="str">
        <f>IF(Table1[[#This Row],[Customer Ratings]]&gt;=4, "Good",IF(Table1[[#This Row],[Customer Ratings]]=3, "Average","Poor"))</f>
        <v>Poor</v>
      </c>
      <c r="S2405" s="3" t="s">
        <v>36</v>
      </c>
    </row>
    <row r="2406" spans="1:19" x14ac:dyDescent="0.25">
      <c r="A2406" s="3">
        <v>2405</v>
      </c>
      <c r="B2406" s="5">
        <f>DATE(Table1[[#This Row],[Year]],Table1[[#This Row],[Month]],Table1[[#This Row],[Day]])</f>
        <v>45161</v>
      </c>
      <c r="C2406" s="3">
        <v>23</v>
      </c>
      <c r="D2406" s="3">
        <v>8</v>
      </c>
      <c r="E2406" s="3">
        <v>2023</v>
      </c>
      <c r="F2406" s="3" t="str">
        <f>"Qtr"&amp; " " &amp;CHOOSE(MONTH(Table1[[#This Row],[Date]]),1,1,1,2,2,2,3,3,3,4,4,4)</f>
        <v>Qtr 3</v>
      </c>
      <c r="G2406" s="3" t="str">
        <f>TEXT(Table1[[#This Row],[Date]],"mmmm")</f>
        <v>August</v>
      </c>
      <c r="H2406" s="3" t="s">
        <v>1083</v>
      </c>
      <c r="I2406" s="3" t="s">
        <v>39</v>
      </c>
      <c r="J2406" s="3">
        <v>4</v>
      </c>
      <c r="K2406" s="3">
        <v>49699.19</v>
      </c>
      <c r="L2406" s="3">
        <f>Table1[[#This Row],[Price Per Unit]]*Table1[[#This Row],[Units Sold]]</f>
        <v>198796.76</v>
      </c>
      <c r="M2406" s="3" t="s">
        <v>656</v>
      </c>
      <c r="N2406" s="3">
        <v>39</v>
      </c>
      <c r="O2406" s="3" t="s">
        <v>65</v>
      </c>
      <c r="P2406" s="3" t="s">
        <v>21</v>
      </c>
      <c r="Q2406" s="4">
        <v>4</v>
      </c>
      <c r="R2406" s="4" t="str">
        <f>IF(Table1[[#This Row],[Customer Ratings]]&gt;=4, "Good",IF(Table1[[#This Row],[Customer Ratings]]=3, "Average","Poor"))</f>
        <v>Good</v>
      </c>
      <c r="S2406" s="3" t="s">
        <v>42</v>
      </c>
    </row>
    <row r="2407" spans="1:19" x14ac:dyDescent="0.25">
      <c r="A2407" s="3">
        <v>2406</v>
      </c>
      <c r="B2407" s="5">
        <f>DATE(Table1[[#This Row],[Year]],Table1[[#This Row],[Month]],Table1[[#This Row],[Day]])</f>
        <v>45161</v>
      </c>
      <c r="C2407" s="3">
        <v>23</v>
      </c>
      <c r="D2407" s="3">
        <v>8</v>
      </c>
      <c r="E2407" s="3">
        <v>2023</v>
      </c>
      <c r="F2407" s="3" t="str">
        <f>"Qtr"&amp; " " &amp;CHOOSE(MONTH(Table1[[#This Row],[Date]]),1,1,1,2,2,2,3,3,3,4,4,4)</f>
        <v>Qtr 3</v>
      </c>
      <c r="G2407" s="3" t="str">
        <f>TEXT(Table1[[#This Row],[Date]],"mmmm")</f>
        <v>August</v>
      </c>
      <c r="H2407" s="3" t="s">
        <v>1083</v>
      </c>
      <c r="I2407" s="3" t="s">
        <v>28</v>
      </c>
      <c r="J2407" s="3">
        <v>2</v>
      </c>
      <c r="K2407" s="3">
        <v>69969.78</v>
      </c>
      <c r="L2407" s="3">
        <f>Table1[[#This Row],[Price Per Unit]]*Table1[[#This Row],[Units Sold]]</f>
        <v>139939.56</v>
      </c>
      <c r="M2407" s="3" t="s">
        <v>958</v>
      </c>
      <c r="N2407" s="3">
        <v>27</v>
      </c>
      <c r="O2407" s="3" t="s">
        <v>48</v>
      </c>
      <c r="P2407" s="3" t="s">
        <v>45</v>
      </c>
      <c r="Q2407" s="4">
        <v>5</v>
      </c>
      <c r="R2407" s="4" t="str">
        <f>IF(Table1[[#This Row],[Customer Ratings]]&gt;=4, "Good",IF(Table1[[#This Row],[Customer Ratings]]=3, "Average","Poor"))</f>
        <v>Good</v>
      </c>
      <c r="S2407" s="3" t="s">
        <v>38</v>
      </c>
    </row>
    <row r="2408" spans="1:19" x14ac:dyDescent="0.25">
      <c r="A2408" s="3">
        <v>2407</v>
      </c>
      <c r="B2408" s="5">
        <f>DATE(Table1[[#This Row],[Year]],Table1[[#This Row],[Month]],Table1[[#This Row],[Day]])</f>
        <v>45161</v>
      </c>
      <c r="C2408" s="3">
        <v>23</v>
      </c>
      <c r="D2408" s="3">
        <v>8</v>
      </c>
      <c r="E2408" s="3">
        <v>2023</v>
      </c>
      <c r="F2408" s="3" t="str">
        <f>"Qtr"&amp; " " &amp;CHOOSE(MONTH(Table1[[#This Row],[Date]]),1,1,1,2,2,2,3,3,3,4,4,4)</f>
        <v>Qtr 3</v>
      </c>
      <c r="G2408" s="3" t="str">
        <f>TEXT(Table1[[#This Row],[Date]],"mmmm")</f>
        <v>August</v>
      </c>
      <c r="H2408" s="3" t="s">
        <v>1083</v>
      </c>
      <c r="I2408" s="3" t="s">
        <v>39</v>
      </c>
      <c r="J2408" s="3">
        <v>3</v>
      </c>
      <c r="K2408" s="3">
        <v>25784.18</v>
      </c>
      <c r="L2408" s="3">
        <f>Table1[[#This Row],[Price Per Unit]]*Table1[[#This Row],[Units Sold]]</f>
        <v>77352.540000000008</v>
      </c>
      <c r="M2408" s="3" t="s">
        <v>201</v>
      </c>
      <c r="N2408" s="3">
        <v>25</v>
      </c>
      <c r="O2408" s="3" t="s">
        <v>58</v>
      </c>
      <c r="P2408" s="3" t="s">
        <v>31</v>
      </c>
      <c r="Q2408" s="4">
        <v>5</v>
      </c>
      <c r="R2408" s="4" t="str">
        <f>IF(Table1[[#This Row],[Customer Ratings]]&gt;=4, "Good",IF(Table1[[#This Row],[Customer Ratings]]=3, "Average","Poor"))</f>
        <v>Good</v>
      </c>
      <c r="S2408" s="3" t="s">
        <v>90</v>
      </c>
    </row>
    <row r="2409" spans="1:19" x14ac:dyDescent="0.25">
      <c r="A2409" s="3">
        <v>2408</v>
      </c>
      <c r="B2409" s="5">
        <f>DATE(Table1[[#This Row],[Year]],Table1[[#This Row],[Month]],Table1[[#This Row],[Day]])</f>
        <v>45161</v>
      </c>
      <c r="C2409" s="3">
        <v>23</v>
      </c>
      <c r="D2409" s="3">
        <v>8</v>
      </c>
      <c r="E2409" s="3">
        <v>2023</v>
      </c>
      <c r="F2409" s="3" t="str">
        <f>"Qtr"&amp; " " &amp;CHOOSE(MONTH(Table1[[#This Row],[Date]]),1,1,1,2,2,2,3,3,3,4,4,4)</f>
        <v>Qtr 3</v>
      </c>
      <c r="G2409" s="3" t="str">
        <f>TEXT(Table1[[#This Row],[Date]],"mmmm")</f>
        <v>August</v>
      </c>
      <c r="H2409" s="3" t="s">
        <v>1083</v>
      </c>
      <c r="I2409" s="3" t="s">
        <v>28</v>
      </c>
      <c r="J2409" s="3">
        <v>9</v>
      </c>
      <c r="K2409" s="3">
        <v>44564.85</v>
      </c>
      <c r="L2409" s="3">
        <f>Table1[[#This Row],[Price Per Unit]]*Table1[[#This Row],[Units Sold]]</f>
        <v>401083.64999999997</v>
      </c>
      <c r="M2409" s="3" t="s">
        <v>519</v>
      </c>
      <c r="N2409" s="3">
        <v>38</v>
      </c>
      <c r="O2409" s="3" t="s">
        <v>52</v>
      </c>
      <c r="P2409" s="3" t="s">
        <v>31</v>
      </c>
      <c r="Q2409" s="4">
        <v>2</v>
      </c>
      <c r="R2409" s="4" t="str">
        <f>IF(Table1[[#This Row],[Customer Ratings]]&gt;=4, "Good",IF(Table1[[#This Row],[Customer Ratings]]=3, "Average","Poor"))</f>
        <v>Poor</v>
      </c>
      <c r="S2409" s="3" t="s">
        <v>38</v>
      </c>
    </row>
    <row r="2410" spans="1:19" x14ac:dyDescent="0.25">
      <c r="A2410" s="3">
        <v>2409</v>
      </c>
      <c r="B2410" s="5">
        <f>DATE(Table1[[#This Row],[Year]],Table1[[#This Row],[Month]],Table1[[#This Row],[Day]])</f>
        <v>45162</v>
      </c>
      <c r="C2410" s="3">
        <v>24</v>
      </c>
      <c r="D2410" s="3">
        <v>8</v>
      </c>
      <c r="E2410" s="3">
        <v>2023</v>
      </c>
      <c r="F2410" s="3" t="str">
        <f>"Qtr"&amp; " " &amp;CHOOSE(MONTH(Table1[[#This Row],[Date]]),1,1,1,2,2,2,3,3,3,4,4,4)</f>
        <v>Qtr 3</v>
      </c>
      <c r="G2410" s="3" t="str">
        <f>TEXT(Table1[[#This Row],[Date]],"mmmm")</f>
        <v>August</v>
      </c>
      <c r="H2410" s="3" t="s">
        <v>1084</v>
      </c>
      <c r="I2410" s="3" t="s">
        <v>18</v>
      </c>
      <c r="J2410" s="3">
        <v>3</v>
      </c>
      <c r="K2410" s="3">
        <v>51786.27</v>
      </c>
      <c r="L2410" s="3">
        <f>Table1[[#This Row],[Price Per Unit]]*Table1[[#This Row],[Units Sold]]</f>
        <v>155358.81</v>
      </c>
      <c r="M2410" s="3" t="s">
        <v>530</v>
      </c>
      <c r="N2410" s="3">
        <v>54</v>
      </c>
      <c r="O2410" s="3" t="s">
        <v>20</v>
      </c>
      <c r="P2410" s="3" t="s">
        <v>31</v>
      </c>
      <c r="Q2410" s="4">
        <v>4</v>
      </c>
      <c r="R2410" s="4" t="str">
        <f>IF(Table1[[#This Row],[Customer Ratings]]&gt;=4, "Good",IF(Table1[[#This Row],[Customer Ratings]]=3, "Average","Poor"))</f>
        <v>Good</v>
      </c>
      <c r="S2410" s="3" t="s">
        <v>25</v>
      </c>
    </row>
    <row r="2411" spans="1:19" x14ac:dyDescent="0.25">
      <c r="A2411" s="3">
        <v>2410</v>
      </c>
      <c r="B2411" s="5">
        <f>DATE(Table1[[#This Row],[Year]],Table1[[#This Row],[Month]],Table1[[#This Row],[Day]])</f>
        <v>45162</v>
      </c>
      <c r="C2411" s="3">
        <v>24</v>
      </c>
      <c r="D2411" s="3">
        <v>8</v>
      </c>
      <c r="E2411" s="3">
        <v>2023</v>
      </c>
      <c r="F2411" s="3" t="str">
        <f>"Qtr"&amp; " " &amp;CHOOSE(MONTH(Table1[[#This Row],[Date]]),1,1,1,2,2,2,3,3,3,4,4,4)</f>
        <v>Qtr 3</v>
      </c>
      <c r="G2411" s="3" t="str">
        <f>TEXT(Table1[[#This Row],[Date]],"mmmm")</f>
        <v>August</v>
      </c>
      <c r="H2411" s="3" t="s">
        <v>1084</v>
      </c>
      <c r="I2411" s="3" t="s">
        <v>28</v>
      </c>
      <c r="J2411" s="3">
        <v>5</v>
      </c>
      <c r="K2411" s="3">
        <v>19877.63</v>
      </c>
      <c r="L2411" s="3">
        <f>Table1[[#This Row],[Price Per Unit]]*Table1[[#This Row],[Units Sold]]</f>
        <v>99388.150000000009</v>
      </c>
      <c r="M2411" s="3" t="s">
        <v>770</v>
      </c>
      <c r="N2411" s="3">
        <v>24</v>
      </c>
      <c r="O2411" s="3" t="s">
        <v>20</v>
      </c>
      <c r="P2411" s="3" t="s">
        <v>31</v>
      </c>
      <c r="Q2411" s="4">
        <v>4</v>
      </c>
      <c r="R2411" s="4" t="str">
        <f>IF(Table1[[#This Row],[Customer Ratings]]&gt;=4, "Good",IF(Table1[[#This Row],[Customer Ratings]]=3, "Average","Poor"))</f>
        <v>Good</v>
      </c>
      <c r="S2411" s="3" t="s">
        <v>32</v>
      </c>
    </row>
    <row r="2412" spans="1:19" x14ac:dyDescent="0.25">
      <c r="A2412" s="3">
        <v>2411</v>
      </c>
      <c r="B2412" s="5">
        <f>DATE(Table1[[#This Row],[Year]],Table1[[#This Row],[Month]],Table1[[#This Row],[Day]])</f>
        <v>45162</v>
      </c>
      <c r="C2412" s="3">
        <v>24</v>
      </c>
      <c r="D2412" s="3">
        <v>8</v>
      </c>
      <c r="E2412" s="3">
        <v>2023</v>
      </c>
      <c r="F2412" s="3" t="str">
        <f>"Qtr"&amp; " " &amp;CHOOSE(MONTH(Table1[[#This Row],[Date]]),1,1,1,2,2,2,3,3,3,4,4,4)</f>
        <v>Qtr 3</v>
      </c>
      <c r="G2412" s="3" t="str">
        <f>TEXT(Table1[[#This Row],[Date]],"mmmm")</f>
        <v>August</v>
      </c>
      <c r="H2412" s="3" t="s">
        <v>1084</v>
      </c>
      <c r="I2412" s="3" t="s">
        <v>18</v>
      </c>
      <c r="J2412" s="3">
        <v>2</v>
      </c>
      <c r="K2412" s="3">
        <v>18920.349999999999</v>
      </c>
      <c r="L2412" s="3">
        <f>Table1[[#This Row],[Price Per Unit]]*Table1[[#This Row],[Units Sold]]</f>
        <v>37840.699999999997</v>
      </c>
      <c r="M2412" s="3" t="s">
        <v>773</v>
      </c>
      <c r="N2412" s="3">
        <v>43</v>
      </c>
      <c r="O2412" s="3" t="s">
        <v>24</v>
      </c>
      <c r="P2412" s="3" t="s">
        <v>16</v>
      </c>
      <c r="Q2412" s="4">
        <v>2</v>
      </c>
      <c r="R2412" s="4" t="str">
        <f>IF(Table1[[#This Row],[Customer Ratings]]&gt;=4, "Good",IF(Table1[[#This Row],[Customer Ratings]]=3, "Average","Poor"))</f>
        <v>Poor</v>
      </c>
      <c r="S2412" s="3" t="s">
        <v>25</v>
      </c>
    </row>
    <row r="2413" spans="1:19" x14ac:dyDescent="0.25">
      <c r="A2413" s="3">
        <v>2412</v>
      </c>
      <c r="B2413" s="5">
        <f>DATE(Table1[[#This Row],[Year]],Table1[[#This Row],[Month]],Table1[[#This Row],[Day]])</f>
        <v>45163</v>
      </c>
      <c r="C2413" s="3">
        <v>25</v>
      </c>
      <c r="D2413" s="3">
        <v>8</v>
      </c>
      <c r="E2413" s="3">
        <v>2023</v>
      </c>
      <c r="F2413" s="3" t="str">
        <f>"Qtr"&amp; " " &amp;CHOOSE(MONTH(Table1[[#This Row],[Date]]),1,1,1,2,2,2,3,3,3,4,4,4)</f>
        <v>Qtr 3</v>
      </c>
      <c r="G2413" s="3" t="str">
        <f>TEXT(Table1[[#This Row],[Date]],"mmmm")</f>
        <v>August</v>
      </c>
      <c r="H2413" s="3" t="s">
        <v>1085</v>
      </c>
      <c r="I2413" s="3" t="s">
        <v>33</v>
      </c>
      <c r="J2413" s="3">
        <v>4</v>
      </c>
      <c r="K2413" s="3">
        <v>37378.47</v>
      </c>
      <c r="L2413" s="3">
        <f>Table1[[#This Row],[Price Per Unit]]*Table1[[#This Row],[Units Sold]]</f>
        <v>149513.88</v>
      </c>
      <c r="M2413" s="3" t="s">
        <v>633</v>
      </c>
      <c r="N2413" s="3">
        <v>30</v>
      </c>
      <c r="O2413" s="3" t="s">
        <v>98</v>
      </c>
      <c r="P2413" s="3" t="s">
        <v>16</v>
      </c>
      <c r="Q2413" s="4">
        <v>2</v>
      </c>
      <c r="R2413" s="4" t="str">
        <f>IF(Table1[[#This Row],[Customer Ratings]]&gt;=4, "Good",IF(Table1[[#This Row],[Customer Ratings]]=3, "Average","Poor"))</f>
        <v>Poor</v>
      </c>
      <c r="S2413" s="3" t="s">
        <v>46</v>
      </c>
    </row>
    <row r="2414" spans="1:19" x14ac:dyDescent="0.25">
      <c r="A2414" s="3">
        <v>2413</v>
      </c>
      <c r="B2414" s="5">
        <f>DATE(Table1[[#This Row],[Year]],Table1[[#This Row],[Month]],Table1[[#This Row],[Day]])</f>
        <v>45163</v>
      </c>
      <c r="C2414" s="3">
        <v>25</v>
      </c>
      <c r="D2414" s="3">
        <v>8</v>
      </c>
      <c r="E2414" s="3">
        <v>2023</v>
      </c>
      <c r="F2414" s="3" t="str">
        <f>"Qtr"&amp; " " &amp;CHOOSE(MONTH(Table1[[#This Row],[Date]]),1,1,1,2,2,2,3,3,3,4,4,4)</f>
        <v>Qtr 3</v>
      </c>
      <c r="G2414" s="3" t="str">
        <f>TEXT(Table1[[#This Row],[Date]],"mmmm")</f>
        <v>August</v>
      </c>
      <c r="H2414" s="3" t="s">
        <v>1085</v>
      </c>
      <c r="I2414" s="3" t="s">
        <v>28</v>
      </c>
      <c r="J2414" s="3">
        <v>7</v>
      </c>
      <c r="K2414" s="3">
        <v>33148.75</v>
      </c>
      <c r="L2414" s="3">
        <f>Table1[[#This Row],[Price Per Unit]]*Table1[[#This Row],[Units Sold]]</f>
        <v>232041.25</v>
      </c>
      <c r="M2414" s="3" t="s">
        <v>49</v>
      </c>
      <c r="N2414" s="3">
        <v>33</v>
      </c>
      <c r="O2414" s="3" t="s">
        <v>105</v>
      </c>
      <c r="P2414" s="3" t="s">
        <v>45</v>
      </c>
      <c r="Q2414" s="4">
        <v>2</v>
      </c>
      <c r="R2414" s="4" t="str">
        <f>IF(Table1[[#This Row],[Customer Ratings]]&gt;=4, "Good",IF(Table1[[#This Row],[Customer Ratings]]=3, "Average","Poor"))</f>
        <v>Poor</v>
      </c>
      <c r="S2414" s="3" t="s">
        <v>87</v>
      </c>
    </row>
    <row r="2415" spans="1:19" x14ac:dyDescent="0.25">
      <c r="A2415" s="3">
        <v>2414</v>
      </c>
      <c r="B2415" s="5">
        <f>DATE(Table1[[#This Row],[Year]],Table1[[#This Row],[Month]],Table1[[#This Row],[Day]])</f>
        <v>45163</v>
      </c>
      <c r="C2415" s="3">
        <v>25</v>
      </c>
      <c r="D2415" s="3">
        <v>8</v>
      </c>
      <c r="E2415" s="3">
        <v>2023</v>
      </c>
      <c r="F2415" s="3" t="str">
        <f>"Qtr"&amp; " " &amp;CHOOSE(MONTH(Table1[[#This Row],[Date]]),1,1,1,2,2,2,3,3,3,4,4,4)</f>
        <v>Qtr 3</v>
      </c>
      <c r="G2415" s="3" t="str">
        <f>TEXT(Table1[[#This Row],[Date]],"mmmm")</f>
        <v>August</v>
      </c>
      <c r="H2415" s="3" t="s">
        <v>1085</v>
      </c>
      <c r="I2415" s="3" t="s">
        <v>39</v>
      </c>
      <c r="J2415" s="3">
        <v>7</v>
      </c>
      <c r="K2415" s="3">
        <v>52852.93</v>
      </c>
      <c r="L2415" s="3">
        <f>Table1[[#This Row],[Price Per Unit]]*Table1[[#This Row],[Units Sold]]</f>
        <v>369970.51</v>
      </c>
      <c r="M2415" s="3" t="s">
        <v>584</v>
      </c>
      <c r="N2415" s="3">
        <v>47</v>
      </c>
      <c r="O2415" s="3" t="s">
        <v>120</v>
      </c>
      <c r="P2415" s="3" t="s">
        <v>21</v>
      </c>
      <c r="Q2415" s="4">
        <v>4</v>
      </c>
      <c r="R2415" s="4" t="str">
        <f>IF(Table1[[#This Row],[Customer Ratings]]&gt;=4, "Good",IF(Table1[[#This Row],[Customer Ratings]]=3, "Average","Poor"))</f>
        <v>Good</v>
      </c>
      <c r="S2415" s="3" t="s">
        <v>90</v>
      </c>
    </row>
    <row r="2416" spans="1:19" x14ac:dyDescent="0.25">
      <c r="A2416" s="3">
        <v>2415</v>
      </c>
      <c r="B2416" s="5">
        <f>DATE(Table1[[#This Row],[Year]],Table1[[#This Row],[Month]],Table1[[#This Row],[Day]])</f>
        <v>45163</v>
      </c>
      <c r="C2416" s="3">
        <v>25</v>
      </c>
      <c r="D2416" s="3">
        <v>8</v>
      </c>
      <c r="E2416" s="3">
        <v>2023</v>
      </c>
      <c r="F2416" s="3" t="str">
        <f>"Qtr"&amp; " " &amp;CHOOSE(MONTH(Table1[[#This Row],[Date]]),1,1,1,2,2,2,3,3,3,4,4,4)</f>
        <v>Qtr 3</v>
      </c>
      <c r="G2416" s="3" t="str">
        <f>TEXT(Table1[[#This Row],[Date]],"mmmm")</f>
        <v>August</v>
      </c>
      <c r="H2416" s="3" t="s">
        <v>1085</v>
      </c>
      <c r="I2416" s="3" t="s">
        <v>18</v>
      </c>
      <c r="J2416" s="3">
        <v>3</v>
      </c>
      <c r="K2416" s="3">
        <v>14170.53</v>
      </c>
      <c r="L2416" s="3">
        <f>Table1[[#This Row],[Price Per Unit]]*Table1[[#This Row],[Units Sold]]</f>
        <v>42511.590000000004</v>
      </c>
      <c r="M2416" s="3" t="s">
        <v>861</v>
      </c>
      <c r="N2416" s="3">
        <v>48</v>
      </c>
      <c r="O2416" s="3" t="s">
        <v>20</v>
      </c>
      <c r="P2416" s="3" t="s">
        <v>16</v>
      </c>
      <c r="Q2416" s="4">
        <v>4</v>
      </c>
      <c r="R2416" s="4" t="str">
        <f>IF(Table1[[#This Row],[Customer Ratings]]&gt;=4, "Good",IF(Table1[[#This Row],[Customer Ratings]]=3, "Average","Poor"))</f>
        <v>Good</v>
      </c>
      <c r="S2416" s="3" t="s">
        <v>25</v>
      </c>
    </row>
    <row r="2417" spans="1:19" x14ac:dyDescent="0.25">
      <c r="A2417" s="3">
        <v>2416</v>
      </c>
      <c r="B2417" s="5">
        <f>DATE(Table1[[#This Row],[Year]],Table1[[#This Row],[Month]],Table1[[#This Row],[Day]])</f>
        <v>45164</v>
      </c>
      <c r="C2417" s="3">
        <v>26</v>
      </c>
      <c r="D2417" s="3">
        <v>8</v>
      </c>
      <c r="E2417" s="3">
        <v>2023</v>
      </c>
      <c r="F2417" s="3" t="str">
        <f>"Qtr"&amp; " " &amp;CHOOSE(MONTH(Table1[[#This Row],[Date]]),1,1,1,2,2,2,3,3,3,4,4,4)</f>
        <v>Qtr 3</v>
      </c>
      <c r="G2417" s="3" t="str">
        <f>TEXT(Table1[[#This Row],[Date]],"mmmm")</f>
        <v>August</v>
      </c>
      <c r="H2417" s="3" t="s">
        <v>1079</v>
      </c>
      <c r="I2417" s="3" t="s">
        <v>39</v>
      </c>
      <c r="J2417" s="3">
        <v>5</v>
      </c>
      <c r="K2417" s="3">
        <v>68330</v>
      </c>
      <c r="L2417" s="3">
        <f>Table1[[#This Row],[Price Per Unit]]*Table1[[#This Row],[Units Sold]]</f>
        <v>341650</v>
      </c>
      <c r="M2417" s="3" t="s">
        <v>538</v>
      </c>
      <c r="N2417" s="3">
        <v>22</v>
      </c>
      <c r="O2417" s="3" t="s">
        <v>24</v>
      </c>
      <c r="P2417" s="3" t="s">
        <v>21</v>
      </c>
      <c r="Q2417" s="4">
        <v>5</v>
      </c>
      <c r="R2417" s="4" t="str">
        <f>IF(Table1[[#This Row],[Customer Ratings]]&gt;=4, "Good",IF(Table1[[#This Row],[Customer Ratings]]=3, "Average","Poor"))</f>
        <v>Good</v>
      </c>
      <c r="S2417" s="3" t="s">
        <v>90</v>
      </c>
    </row>
    <row r="2418" spans="1:19" x14ac:dyDescent="0.25">
      <c r="A2418" s="3">
        <v>2417</v>
      </c>
      <c r="B2418" s="5">
        <f>DATE(Table1[[#This Row],[Year]],Table1[[#This Row],[Month]],Table1[[#This Row],[Day]])</f>
        <v>45164</v>
      </c>
      <c r="C2418" s="3">
        <v>26</v>
      </c>
      <c r="D2418" s="3">
        <v>8</v>
      </c>
      <c r="E2418" s="3">
        <v>2023</v>
      </c>
      <c r="F2418" s="3" t="str">
        <f>"Qtr"&amp; " " &amp;CHOOSE(MONTH(Table1[[#This Row],[Date]]),1,1,1,2,2,2,3,3,3,4,4,4)</f>
        <v>Qtr 3</v>
      </c>
      <c r="G2418" s="3" t="str">
        <f>TEXT(Table1[[#This Row],[Date]],"mmmm")</f>
        <v>August</v>
      </c>
      <c r="H2418" s="3" t="s">
        <v>1079</v>
      </c>
      <c r="I2418" s="3" t="s">
        <v>13</v>
      </c>
      <c r="J2418" s="3">
        <v>1</v>
      </c>
      <c r="K2418" s="3">
        <v>10856.62</v>
      </c>
      <c r="L2418" s="3">
        <f>Table1[[#This Row],[Price Per Unit]]*Table1[[#This Row],[Units Sold]]</f>
        <v>10856.62</v>
      </c>
      <c r="M2418" s="3" t="s">
        <v>329</v>
      </c>
      <c r="N2418" s="3">
        <v>49</v>
      </c>
      <c r="O2418" s="3" t="s">
        <v>98</v>
      </c>
      <c r="P2418" s="3" t="s">
        <v>45</v>
      </c>
      <c r="Q2418" s="4">
        <v>4</v>
      </c>
      <c r="R2418" s="4" t="str">
        <f>IF(Table1[[#This Row],[Customer Ratings]]&gt;=4, "Good",IF(Table1[[#This Row],[Customer Ratings]]=3, "Average","Poor"))</f>
        <v>Good</v>
      </c>
      <c r="S2418" s="3" t="s">
        <v>17</v>
      </c>
    </row>
    <row r="2419" spans="1:19" x14ac:dyDescent="0.25">
      <c r="A2419" s="3">
        <v>2418</v>
      </c>
      <c r="B2419" s="5">
        <f>DATE(Table1[[#This Row],[Year]],Table1[[#This Row],[Month]],Table1[[#This Row],[Day]])</f>
        <v>45164</v>
      </c>
      <c r="C2419" s="3">
        <v>26</v>
      </c>
      <c r="D2419" s="3">
        <v>8</v>
      </c>
      <c r="E2419" s="3">
        <v>2023</v>
      </c>
      <c r="F2419" s="3" t="str">
        <f>"Qtr"&amp; " " &amp;CHOOSE(MONTH(Table1[[#This Row],[Date]]),1,1,1,2,2,2,3,3,3,4,4,4)</f>
        <v>Qtr 3</v>
      </c>
      <c r="G2419" s="3" t="str">
        <f>TEXT(Table1[[#This Row],[Date]],"mmmm")</f>
        <v>August</v>
      </c>
      <c r="H2419" s="3" t="s">
        <v>1079</v>
      </c>
      <c r="I2419" s="3" t="s">
        <v>18</v>
      </c>
      <c r="J2419" s="3">
        <v>1</v>
      </c>
      <c r="K2419" s="3">
        <v>46079.01</v>
      </c>
      <c r="L2419" s="3">
        <f>Table1[[#This Row],[Price Per Unit]]*Table1[[#This Row],[Units Sold]]</f>
        <v>46079.01</v>
      </c>
      <c r="M2419" s="3" t="s">
        <v>612</v>
      </c>
      <c r="N2419" s="3">
        <v>33</v>
      </c>
      <c r="O2419" s="3" t="s">
        <v>52</v>
      </c>
      <c r="P2419" s="3" t="s">
        <v>21</v>
      </c>
      <c r="Q2419" s="4">
        <v>3</v>
      </c>
      <c r="R2419" s="4" t="str">
        <f>IF(Table1[[#This Row],[Customer Ratings]]&gt;=4, "Good",IF(Table1[[#This Row],[Customer Ratings]]=3, "Average","Poor"))</f>
        <v>Average</v>
      </c>
      <c r="S2419" s="3" t="s">
        <v>25</v>
      </c>
    </row>
    <row r="2420" spans="1:19" x14ac:dyDescent="0.25">
      <c r="A2420" s="3">
        <v>2419</v>
      </c>
      <c r="B2420" s="5">
        <f>DATE(Table1[[#This Row],[Year]],Table1[[#This Row],[Month]],Table1[[#This Row],[Day]])</f>
        <v>45164</v>
      </c>
      <c r="C2420" s="3">
        <v>26</v>
      </c>
      <c r="D2420" s="3">
        <v>8</v>
      </c>
      <c r="E2420" s="3">
        <v>2023</v>
      </c>
      <c r="F2420" s="3" t="str">
        <f>"Qtr"&amp; " " &amp;CHOOSE(MONTH(Table1[[#This Row],[Date]]),1,1,1,2,2,2,3,3,3,4,4,4)</f>
        <v>Qtr 3</v>
      </c>
      <c r="G2420" s="3" t="str">
        <f>TEXT(Table1[[#This Row],[Date]],"mmmm")</f>
        <v>August</v>
      </c>
      <c r="H2420" s="3" t="s">
        <v>1079</v>
      </c>
      <c r="I2420" s="3" t="s">
        <v>28</v>
      </c>
      <c r="J2420" s="3">
        <v>5</v>
      </c>
      <c r="K2420" s="3">
        <v>43757.96</v>
      </c>
      <c r="L2420" s="3">
        <f>Table1[[#This Row],[Price Per Unit]]*Table1[[#This Row],[Units Sold]]</f>
        <v>218789.8</v>
      </c>
      <c r="M2420" s="3" t="s">
        <v>790</v>
      </c>
      <c r="N2420" s="3">
        <v>26</v>
      </c>
      <c r="O2420" s="3" t="s">
        <v>81</v>
      </c>
      <c r="P2420" s="3" t="s">
        <v>31</v>
      </c>
      <c r="Q2420" s="4">
        <v>3</v>
      </c>
      <c r="R2420" s="4" t="str">
        <f>IF(Table1[[#This Row],[Customer Ratings]]&gt;=4, "Good",IF(Table1[[#This Row],[Customer Ratings]]=3, "Average","Poor"))</f>
        <v>Average</v>
      </c>
      <c r="S2420" s="3" t="s">
        <v>38</v>
      </c>
    </row>
    <row r="2421" spans="1:19" x14ac:dyDescent="0.25">
      <c r="A2421" s="3">
        <v>2420</v>
      </c>
      <c r="B2421" s="5">
        <f>DATE(Table1[[#This Row],[Year]],Table1[[#This Row],[Month]],Table1[[#This Row],[Day]])</f>
        <v>45165</v>
      </c>
      <c r="C2421" s="3">
        <v>27</v>
      </c>
      <c r="D2421" s="3">
        <v>8</v>
      </c>
      <c r="E2421" s="3">
        <v>2023</v>
      </c>
      <c r="F2421" s="3" t="str">
        <f>"Qtr"&amp; " " &amp;CHOOSE(MONTH(Table1[[#This Row],[Date]]),1,1,1,2,2,2,3,3,3,4,4,4)</f>
        <v>Qtr 3</v>
      </c>
      <c r="G2421" s="3" t="str">
        <f>TEXT(Table1[[#This Row],[Date]],"mmmm")</f>
        <v>August</v>
      </c>
      <c r="H2421" s="3" t="s">
        <v>1080</v>
      </c>
      <c r="I2421" s="3" t="s">
        <v>18</v>
      </c>
      <c r="J2421" s="3">
        <v>9</v>
      </c>
      <c r="K2421" s="3">
        <v>18082.939999999999</v>
      </c>
      <c r="L2421" s="3">
        <f>Table1[[#This Row],[Price Per Unit]]*Table1[[#This Row],[Units Sold]]</f>
        <v>162746.46</v>
      </c>
      <c r="M2421" s="3" t="s">
        <v>972</v>
      </c>
      <c r="N2421" s="3">
        <v>39</v>
      </c>
      <c r="O2421" s="3" t="s">
        <v>52</v>
      </c>
      <c r="P2421" s="3" t="s">
        <v>31</v>
      </c>
      <c r="Q2421" s="4">
        <v>2</v>
      </c>
      <c r="R2421" s="4" t="str">
        <f>IF(Table1[[#This Row],[Customer Ratings]]&gt;=4, "Good",IF(Table1[[#This Row],[Customer Ratings]]=3, "Average","Poor"))</f>
        <v>Poor</v>
      </c>
      <c r="S2421" s="3" t="s">
        <v>55</v>
      </c>
    </row>
    <row r="2422" spans="1:19" x14ac:dyDescent="0.25">
      <c r="A2422" s="3">
        <v>2421</v>
      </c>
      <c r="B2422" s="5">
        <f>DATE(Table1[[#This Row],[Year]],Table1[[#This Row],[Month]],Table1[[#This Row],[Day]])</f>
        <v>45165</v>
      </c>
      <c r="C2422" s="3">
        <v>27</v>
      </c>
      <c r="D2422" s="3">
        <v>8</v>
      </c>
      <c r="E2422" s="3">
        <v>2023</v>
      </c>
      <c r="F2422" s="3" t="str">
        <f>"Qtr"&amp; " " &amp;CHOOSE(MONTH(Table1[[#This Row],[Date]]),1,1,1,2,2,2,3,3,3,4,4,4)</f>
        <v>Qtr 3</v>
      </c>
      <c r="G2422" s="3" t="str">
        <f>TEXT(Table1[[#This Row],[Date]],"mmmm")</f>
        <v>August</v>
      </c>
      <c r="H2422" s="3" t="s">
        <v>1080</v>
      </c>
      <c r="I2422" s="3" t="s">
        <v>39</v>
      </c>
      <c r="J2422" s="3">
        <v>1</v>
      </c>
      <c r="K2422" s="3">
        <v>19054.96</v>
      </c>
      <c r="L2422" s="3">
        <f>Table1[[#This Row],[Price Per Unit]]*Table1[[#This Row],[Units Sold]]</f>
        <v>19054.96</v>
      </c>
      <c r="M2422" s="3" t="s">
        <v>973</v>
      </c>
      <c r="N2422" s="3">
        <v>57</v>
      </c>
      <c r="O2422" s="3" t="s">
        <v>54</v>
      </c>
      <c r="P2422" s="3" t="s">
        <v>16</v>
      </c>
      <c r="Q2422" s="4">
        <v>2</v>
      </c>
      <c r="R2422" s="4" t="str">
        <f>IF(Table1[[#This Row],[Customer Ratings]]&gt;=4, "Good",IF(Table1[[#This Row],[Customer Ratings]]=3, "Average","Poor"))</f>
        <v>Poor</v>
      </c>
      <c r="S2422" s="3" t="s">
        <v>42</v>
      </c>
    </row>
    <row r="2423" spans="1:19" x14ac:dyDescent="0.25">
      <c r="A2423" s="3">
        <v>2422</v>
      </c>
      <c r="B2423" s="5">
        <f>DATE(Table1[[#This Row],[Year]],Table1[[#This Row],[Month]],Table1[[#This Row],[Day]])</f>
        <v>45165</v>
      </c>
      <c r="C2423" s="3">
        <v>27</v>
      </c>
      <c r="D2423" s="3">
        <v>8</v>
      </c>
      <c r="E2423" s="3">
        <v>2023</v>
      </c>
      <c r="F2423" s="3" t="str">
        <f>"Qtr"&amp; " " &amp;CHOOSE(MONTH(Table1[[#This Row],[Date]]),1,1,1,2,2,2,3,3,3,4,4,4)</f>
        <v>Qtr 3</v>
      </c>
      <c r="G2423" s="3" t="str">
        <f>TEXT(Table1[[#This Row],[Date]],"mmmm")</f>
        <v>August</v>
      </c>
      <c r="H2423" s="3" t="s">
        <v>1080</v>
      </c>
      <c r="I2423" s="3" t="s">
        <v>33</v>
      </c>
      <c r="J2423" s="3">
        <v>1</v>
      </c>
      <c r="K2423" s="3">
        <v>57560.65</v>
      </c>
      <c r="L2423" s="3">
        <f>Table1[[#This Row],[Price Per Unit]]*Table1[[#This Row],[Units Sold]]</f>
        <v>57560.65</v>
      </c>
      <c r="M2423" s="3" t="s">
        <v>253</v>
      </c>
      <c r="N2423" s="3">
        <v>54</v>
      </c>
      <c r="O2423" s="3" t="s">
        <v>120</v>
      </c>
      <c r="P2423" s="3" t="s">
        <v>45</v>
      </c>
      <c r="Q2423" s="4">
        <v>2</v>
      </c>
      <c r="R2423" s="4" t="str">
        <f>IF(Table1[[#This Row],[Customer Ratings]]&gt;=4, "Good",IF(Table1[[#This Row],[Customer Ratings]]=3, "Average","Poor"))</f>
        <v>Poor</v>
      </c>
      <c r="S2423" s="3" t="s">
        <v>83</v>
      </c>
    </row>
    <row r="2424" spans="1:19" x14ac:dyDescent="0.25">
      <c r="A2424" s="3">
        <v>2423</v>
      </c>
      <c r="B2424" s="5">
        <f>DATE(Table1[[#This Row],[Year]],Table1[[#This Row],[Month]],Table1[[#This Row],[Day]])</f>
        <v>45166</v>
      </c>
      <c r="C2424" s="3">
        <v>28</v>
      </c>
      <c r="D2424" s="3">
        <v>8</v>
      </c>
      <c r="E2424" s="3">
        <v>2023</v>
      </c>
      <c r="F2424" s="3" t="str">
        <f>"Qtr"&amp; " " &amp;CHOOSE(MONTH(Table1[[#This Row],[Date]]),1,1,1,2,2,2,3,3,3,4,4,4)</f>
        <v>Qtr 3</v>
      </c>
      <c r="G2424" s="3" t="str">
        <f>TEXT(Table1[[#This Row],[Date]],"mmmm")</f>
        <v>August</v>
      </c>
      <c r="H2424" s="3" t="s">
        <v>1081</v>
      </c>
      <c r="I2424" s="3" t="s">
        <v>18</v>
      </c>
      <c r="J2424" s="3">
        <v>4</v>
      </c>
      <c r="K2424" s="3">
        <v>63253.75</v>
      </c>
      <c r="L2424" s="3">
        <f>Table1[[#This Row],[Price Per Unit]]*Table1[[#This Row],[Units Sold]]</f>
        <v>253015</v>
      </c>
      <c r="M2424" s="3" t="s">
        <v>101</v>
      </c>
      <c r="N2424" s="3">
        <v>31</v>
      </c>
      <c r="O2424" s="3" t="s">
        <v>125</v>
      </c>
      <c r="P2424" s="3" t="s">
        <v>16</v>
      </c>
      <c r="Q2424" s="4">
        <v>5</v>
      </c>
      <c r="R2424" s="4" t="str">
        <f>IF(Table1[[#This Row],[Customer Ratings]]&gt;=4, "Good",IF(Table1[[#This Row],[Customer Ratings]]=3, "Average","Poor"))</f>
        <v>Good</v>
      </c>
      <c r="S2424" s="3" t="s">
        <v>55</v>
      </c>
    </row>
    <row r="2425" spans="1:19" x14ac:dyDescent="0.25">
      <c r="A2425" s="3">
        <v>2424</v>
      </c>
      <c r="B2425" s="5">
        <f>DATE(Table1[[#This Row],[Year]],Table1[[#This Row],[Month]],Table1[[#This Row],[Day]])</f>
        <v>45166</v>
      </c>
      <c r="C2425" s="3">
        <v>28</v>
      </c>
      <c r="D2425" s="3">
        <v>8</v>
      </c>
      <c r="E2425" s="3">
        <v>2023</v>
      </c>
      <c r="F2425" s="3" t="str">
        <f>"Qtr"&amp; " " &amp;CHOOSE(MONTH(Table1[[#This Row],[Date]]),1,1,1,2,2,2,3,3,3,4,4,4)</f>
        <v>Qtr 3</v>
      </c>
      <c r="G2425" s="3" t="str">
        <f>TEXT(Table1[[#This Row],[Date]],"mmmm")</f>
        <v>August</v>
      </c>
      <c r="H2425" s="3" t="s">
        <v>1081</v>
      </c>
      <c r="I2425" s="3" t="s">
        <v>28</v>
      </c>
      <c r="J2425" s="3">
        <v>4</v>
      </c>
      <c r="K2425" s="3">
        <v>26981.02</v>
      </c>
      <c r="L2425" s="3">
        <f>Table1[[#This Row],[Price Per Unit]]*Table1[[#This Row],[Units Sold]]</f>
        <v>107924.08</v>
      </c>
      <c r="M2425" s="3" t="s">
        <v>974</v>
      </c>
      <c r="N2425" s="3">
        <v>33</v>
      </c>
      <c r="O2425" s="3" t="s">
        <v>102</v>
      </c>
      <c r="P2425" s="3" t="s">
        <v>16</v>
      </c>
      <c r="Q2425" s="4">
        <v>3</v>
      </c>
      <c r="R2425" s="4" t="str">
        <f>IF(Table1[[#This Row],[Customer Ratings]]&gt;=4, "Good",IF(Table1[[#This Row],[Customer Ratings]]=3, "Average","Poor"))</f>
        <v>Average</v>
      </c>
      <c r="S2425" s="3" t="s">
        <v>38</v>
      </c>
    </row>
    <row r="2426" spans="1:19" x14ac:dyDescent="0.25">
      <c r="A2426" s="3">
        <v>2425</v>
      </c>
      <c r="B2426" s="5">
        <f>DATE(Table1[[#This Row],[Year]],Table1[[#This Row],[Month]],Table1[[#This Row],[Day]])</f>
        <v>45166</v>
      </c>
      <c r="C2426" s="3">
        <v>28</v>
      </c>
      <c r="D2426" s="3">
        <v>8</v>
      </c>
      <c r="E2426" s="3">
        <v>2023</v>
      </c>
      <c r="F2426" s="3" t="str">
        <f>"Qtr"&amp; " " &amp;CHOOSE(MONTH(Table1[[#This Row],[Date]]),1,1,1,2,2,2,3,3,3,4,4,4)</f>
        <v>Qtr 3</v>
      </c>
      <c r="G2426" s="3" t="str">
        <f>TEXT(Table1[[#This Row],[Date]],"mmmm")</f>
        <v>August</v>
      </c>
      <c r="H2426" s="3" t="s">
        <v>1081</v>
      </c>
      <c r="I2426" s="3" t="s">
        <v>13</v>
      </c>
      <c r="J2426" s="3">
        <v>2</v>
      </c>
      <c r="K2426" s="3">
        <v>36277.839999999997</v>
      </c>
      <c r="L2426" s="3">
        <f>Table1[[#This Row],[Price Per Unit]]*Table1[[#This Row],[Units Sold]]</f>
        <v>72555.679999999993</v>
      </c>
      <c r="M2426" s="3" t="s">
        <v>82</v>
      </c>
      <c r="N2426" s="3">
        <v>37</v>
      </c>
      <c r="O2426" s="3" t="s">
        <v>20</v>
      </c>
      <c r="P2426" s="3" t="s">
        <v>16</v>
      </c>
      <c r="Q2426" s="4">
        <v>3</v>
      </c>
      <c r="R2426" s="4" t="str">
        <f>IF(Table1[[#This Row],[Customer Ratings]]&gt;=4, "Good",IF(Table1[[#This Row],[Customer Ratings]]=3, "Average","Poor"))</f>
        <v>Average</v>
      </c>
      <c r="S2426" s="3" t="s">
        <v>27</v>
      </c>
    </row>
    <row r="2427" spans="1:19" x14ac:dyDescent="0.25">
      <c r="A2427" s="3">
        <v>2426</v>
      </c>
      <c r="B2427" s="5">
        <f>DATE(Table1[[#This Row],[Year]],Table1[[#This Row],[Month]],Table1[[#This Row],[Day]])</f>
        <v>45167</v>
      </c>
      <c r="C2427" s="3">
        <v>29</v>
      </c>
      <c r="D2427" s="3">
        <v>8</v>
      </c>
      <c r="E2427" s="3">
        <v>2023</v>
      </c>
      <c r="F2427" s="3" t="str">
        <f>"Qtr"&amp; " " &amp;CHOOSE(MONTH(Table1[[#This Row],[Date]]),1,1,1,2,2,2,3,3,3,4,4,4)</f>
        <v>Qtr 3</v>
      </c>
      <c r="G2427" s="3" t="str">
        <f>TEXT(Table1[[#This Row],[Date]],"mmmm")</f>
        <v>August</v>
      </c>
      <c r="H2427" s="3" t="s">
        <v>1082</v>
      </c>
      <c r="I2427" s="3" t="s">
        <v>33</v>
      </c>
      <c r="J2427" s="3">
        <v>9</v>
      </c>
      <c r="K2427" s="3">
        <v>31299.7</v>
      </c>
      <c r="L2427" s="3">
        <f>Table1[[#This Row],[Price Per Unit]]*Table1[[#This Row],[Units Sold]]</f>
        <v>281697.3</v>
      </c>
      <c r="M2427" s="3" t="s">
        <v>703</v>
      </c>
      <c r="N2427" s="3">
        <v>32</v>
      </c>
      <c r="O2427" s="3" t="s">
        <v>20</v>
      </c>
      <c r="P2427" s="3" t="s">
        <v>45</v>
      </c>
      <c r="Q2427" s="4">
        <v>4</v>
      </c>
      <c r="R2427" s="4" t="str">
        <f>IF(Table1[[#This Row],[Customer Ratings]]&gt;=4, "Good",IF(Table1[[#This Row],[Customer Ratings]]=3, "Average","Poor"))</f>
        <v>Good</v>
      </c>
      <c r="S2427" s="3" t="s">
        <v>36</v>
      </c>
    </row>
    <row r="2428" spans="1:19" x14ac:dyDescent="0.25">
      <c r="A2428" s="3">
        <v>2427</v>
      </c>
      <c r="B2428" s="5">
        <f>DATE(Table1[[#This Row],[Year]],Table1[[#This Row],[Month]],Table1[[#This Row],[Day]])</f>
        <v>45167</v>
      </c>
      <c r="C2428" s="3">
        <v>29</v>
      </c>
      <c r="D2428" s="3">
        <v>8</v>
      </c>
      <c r="E2428" s="3">
        <v>2023</v>
      </c>
      <c r="F2428" s="3" t="str">
        <f>"Qtr"&amp; " " &amp;CHOOSE(MONTH(Table1[[#This Row],[Date]]),1,1,1,2,2,2,3,3,3,4,4,4)</f>
        <v>Qtr 3</v>
      </c>
      <c r="G2428" s="3" t="str">
        <f>TEXT(Table1[[#This Row],[Date]],"mmmm")</f>
        <v>August</v>
      </c>
      <c r="H2428" s="3" t="s">
        <v>1082</v>
      </c>
      <c r="I2428" s="3" t="s">
        <v>13</v>
      </c>
      <c r="J2428" s="3">
        <v>9</v>
      </c>
      <c r="K2428" s="3">
        <v>14352.82</v>
      </c>
      <c r="L2428" s="3">
        <f>Table1[[#This Row],[Price Per Unit]]*Table1[[#This Row],[Units Sold]]</f>
        <v>129175.38</v>
      </c>
      <c r="M2428" s="3" t="s">
        <v>164</v>
      </c>
      <c r="N2428" s="3">
        <v>43</v>
      </c>
      <c r="O2428" s="3" t="s">
        <v>24</v>
      </c>
      <c r="P2428" s="3" t="s">
        <v>31</v>
      </c>
      <c r="Q2428" s="4">
        <v>3</v>
      </c>
      <c r="R2428" s="4" t="str">
        <f>IF(Table1[[#This Row],[Customer Ratings]]&gt;=4, "Good",IF(Table1[[#This Row],[Customer Ratings]]=3, "Average","Poor"))</f>
        <v>Average</v>
      </c>
      <c r="S2428" s="3" t="s">
        <v>27</v>
      </c>
    </row>
    <row r="2429" spans="1:19" x14ac:dyDescent="0.25">
      <c r="A2429" s="3">
        <v>2428</v>
      </c>
      <c r="B2429" s="5">
        <f>DATE(Table1[[#This Row],[Year]],Table1[[#This Row],[Month]],Table1[[#This Row],[Day]])</f>
        <v>45167</v>
      </c>
      <c r="C2429" s="3">
        <v>29</v>
      </c>
      <c r="D2429" s="3">
        <v>8</v>
      </c>
      <c r="E2429" s="3">
        <v>2023</v>
      </c>
      <c r="F2429" s="3" t="str">
        <f>"Qtr"&amp; " " &amp;CHOOSE(MONTH(Table1[[#This Row],[Date]]),1,1,1,2,2,2,3,3,3,4,4,4)</f>
        <v>Qtr 3</v>
      </c>
      <c r="G2429" s="3" t="str">
        <f>TEXT(Table1[[#This Row],[Date]],"mmmm")</f>
        <v>August</v>
      </c>
      <c r="H2429" s="3" t="s">
        <v>1082</v>
      </c>
      <c r="I2429" s="3" t="s">
        <v>18</v>
      </c>
      <c r="J2429" s="3">
        <v>2</v>
      </c>
      <c r="K2429" s="3">
        <v>50392.25</v>
      </c>
      <c r="L2429" s="3">
        <f>Table1[[#This Row],[Price Per Unit]]*Table1[[#This Row],[Units Sold]]</f>
        <v>100784.5</v>
      </c>
      <c r="M2429" s="3" t="s">
        <v>433</v>
      </c>
      <c r="N2429" s="3">
        <v>26</v>
      </c>
      <c r="O2429" s="3" t="s">
        <v>24</v>
      </c>
      <c r="P2429" s="3" t="s">
        <v>31</v>
      </c>
      <c r="Q2429" s="4">
        <v>4</v>
      </c>
      <c r="R2429" s="4" t="str">
        <f>IF(Table1[[#This Row],[Customer Ratings]]&gt;=4, "Good",IF(Table1[[#This Row],[Customer Ratings]]=3, "Average","Poor"))</f>
        <v>Good</v>
      </c>
      <c r="S2429" s="3" t="s">
        <v>22</v>
      </c>
    </row>
    <row r="2430" spans="1:19" x14ac:dyDescent="0.25">
      <c r="A2430" s="3">
        <v>2429</v>
      </c>
      <c r="B2430" s="5">
        <f>DATE(Table1[[#This Row],[Year]],Table1[[#This Row],[Month]],Table1[[#This Row],[Day]])</f>
        <v>45167</v>
      </c>
      <c r="C2430" s="3">
        <v>29</v>
      </c>
      <c r="D2430" s="3">
        <v>8</v>
      </c>
      <c r="E2430" s="3">
        <v>2023</v>
      </c>
      <c r="F2430" s="3" t="str">
        <f>"Qtr"&amp; " " &amp;CHOOSE(MONTH(Table1[[#This Row],[Date]]),1,1,1,2,2,2,3,3,3,4,4,4)</f>
        <v>Qtr 3</v>
      </c>
      <c r="G2430" s="3" t="str">
        <f>TEXT(Table1[[#This Row],[Date]],"mmmm")</f>
        <v>August</v>
      </c>
      <c r="H2430" s="3" t="s">
        <v>1082</v>
      </c>
      <c r="I2430" s="3" t="s">
        <v>39</v>
      </c>
      <c r="J2430" s="3">
        <v>9</v>
      </c>
      <c r="K2430" s="3">
        <v>59511.58</v>
      </c>
      <c r="L2430" s="3">
        <f>Table1[[#This Row],[Price Per Unit]]*Table1[[#This Row],[Units Sold]]</f>
        <v>535604.22</v>
      </c>
      <c r="M2430" s="3" t="s">
        <v>819</v>
      </c>
      <c r="N2430" s="3">
        <v>18</v>
      </c>
      <c r="O2430" s="3" t="s">
        <v>102</v>
      </c>
      <c r="P2430" s="3" t="s">
        <v>16</v>
      </c>
      <c r="Q2430" s="4">
        <v>5</v>
      </c>
      <c r="R2430" s="4" t="str">
        <f>IF(Table1[[#This Row],[Customer Ratings]]&gt;=4, "Good",IF(Table1[[#This Row],[Customer Ratings]]=3, "Average","Poor"))</f>
        <v>Good</v>
      </c>
      <c r="S2430" s="3" t="s">
        <v>42</v>
      </c>
    </row>
    <row r="2431" spans="1:19" x14ac:dyDescent="0.25">
      <c r="A2431" s="3">
        <v>2430</v>
      </c>
      <c r="B2431" s="5">
        <f>DATE(Table1[[#This Row],[Year]],Table1[[#This Row],[Month]],Table1[[#This Row],[Day]])</f>
        <v>45168</v>
      </c>
      <c r="C2431" s="3">
        <v>30</v>
      </c>
      <c r="D2431" s="3">
        <v>8</v>
      </c>
      <c r="E2431" s="3">
        <v>2023</v>
      </c>
      <c r="F2431" s="3" t="str">
        <f>"Qtr"&amp; " " &amp;CHOOSE(MONTH(Table1[[#This Row],[Date]]),1,1,1,2,2,2,3,3,3,4,4,4)</f>
        <v>Qtr 3</v>
      </c>
      <c r="G2431" s="3" t="str">
        <f>TEXT(Table1[[#This Row],[Date]],"mmmm")</f>
        <v>August</v>
      </c>
      <c r="H2431" s="3" t="s">
        <v>1083</v>
      </c>
      <c r="I2431" s="3" t="s">
        <v>39</v>
      </c>
      <c r="J2431" s="3">
        <v>6</v>
      </c>
      <c r="K2431" s="3">
        <v>28292.76</v>
      </c>
      <c r="L2431" s="3">
        <f>Table1[[#This Row],[Price Per Unit]]*Table1[[#This Row],[Units Sold]]</f>
        <v>169756.56</v>
      </c>
      <c r="M2431" s="3" t="s">
        <v>669</v>
      </c>
      <c r="N2431" s="3">
        <v>52</v>
      </c>
      <c r="O2431" s="3" t="s">
        <v>81</v>
      </c>
      <c r="P2431" s="3" t="s">
        <v>21</v>
      </c>
      <c r="Q2431" s="4">
        <v>2</v>
      </c>
      <c r="R2431" s="4" t="str">
        <f>IF(Table1[[#This Row],[Customer Ratings]]&gt;=4, "Good",IF(Table1[[#This Row],[Customer Ratings]]=3, "Average","Poor"))</f>
        <v>Poor</v>
      </c>
      <c r="S2431" s="3" t="s">
        <v>90</v>
      </c>
    </row>
    <row r="2432" spans="1:19" x14ac:dyDescent="0.25">
      <c r="A2432" s="3">
        <v>2431</v>
      </c>
      <c r="B2432" s="5">
        <f>DATE(Table1[[#This Row],[Year]],Table1[[#This Row],[Month]],Table1[[#This Row],[Day]])</f>
        <v>45168</v>
      </c>
      <c r="C2432" s="3">
        <v>30</v>
      </c>
      <c r="D2432" s="3">
        <v>8</v>
      </c>
      <c r="E2432" s="3">
        <v>2023</v>
      </c>
      <c r="F2432" s="3" t="str">
        <f>"Qtr"&amp; " " &amp;CHOOSE(MONTH(Table1[[#This Row],[Date]]),1,1,1,2,2,2,3,3,3,4,4,4)</f>
        <v>Qtr 3</v>
      </c>
      <c r="G2432" s="3" t="str">
        <f>TEXT(Table1[[#This Row],[Date]],"mmmm")</f>
        <v>August</v>
      </c>
      <c r="H2432" s="3" t="s">
        <v>1083</v>
      </c>
      <c r="I2432" s="3" t="s">
        <v>28</v>
      </c>
      <c r="J2432" s="3">
        <v>8</v>
      </c>
      <c r="K2432" s="3">
        <v>69410.55</v>
      </c>
      <c r="L2432" s="3">
        <f>Table1[[#This Row],[Price Per Unit]]*Table1[[#This Row],[Units Sold]]</f>
        <v>555284.4</v>
      </c>
      <c r="M2432" s="3" t="s">
        <v>766</v>
      </c>
      <c r="N2432" s="3">
        <v>37</v>
      </c>
      <c r="O2432" s="3" t="s">
        <v>24</v>
      </c>
      <c r="P2432" s="3" t="s">
        <v>31</v>
      </c>
      <c r="Q2432" s="4">
        <v>2</v>
      </c>
      <c r="R2432" s="4" t="str">
        <f>IF(Table1[[#This Row],[Customer Ratings]]&gt;=4, "Good",IF(Table1[[#This Row],[Customer Ratings]]=3, "Average","Poor"))</f>
        <v>Poor</v>
      </c>
      <c r="S2432" s="3" t="s">
        <v>87</v>
      </c>
    </row>
    <row r="2433" spans="1:19" x14ac:dyDescent="0.25">
      <c r="A2433" s="3">
        <v>2432</v>
      </c>
      <c r="B2433" s="5">
        <f>DATE(Table1[[#This Row],[Year]],Table1[[#This Row],[Month]],Table1[[#This Row],[Day]])</f>
        <v>45168</v>
      </c>
      <c r="C2433" s="3">
        <v>30</v>
      </c>
      <c r="D2433" s="3">
        <v>8</v>
      </c>
      <c r="E2433" s="3">
        <v>2023</v>
      </c>
      <c r="F2433" s="3" t="str">
        <f>"Qtr"&amp; " " &amp;CHOOSE(MONTH(Table1[[#This Row],[Date]]),1,1,1,2,2,2,3,3,3,4,4,4)</f>
        <v>Qtr 3</v>
      </c>
      <c r="G2433" s="3" t="str">
        <f>TEXT(Table1[[#This Row],[Date]],"mmmm")</f>
        <v>August</v>
      </c>
      <c r="H2433" s="3" t="s">
        <v>1083</v>
      </c>
      <c r="I2433" s="3" t="s">
        <v>39</v>
      </c>
      <c r="J2433" s="3">
        <v>4</v>
      </c>
      <c r="K2433" s="3">
        <v>14551.09</v>
      </c>
      <c r="L2433" s="3">
        <f>Table1[[#This Row],[Price Per Unit]]*Table1[[#This Row],[Units Sold]]</f>
        <v>58204.36</v>
      </c>
      <c r="M2433" s="3" t="s">
        <v>380</v>
      </c>
      <c r="N2433" s="3">
        <v>23</v>
      </c>
      <c r="O2433" s="3" t="s">
        <v>35</v>
      </c>
      <c r="P2433" s="3" t="s">
        <v>31</v>
      </c>
      <c r="Q2433" s="4">
        <v>4</v>
      </c>
      <c r="R2433" s="4" t="str">
        <f>IF(Table1[[#This Row],[Customer Ratings]]&gt;=4, "Good",IF(Table1[[#This Row],[Customer Ratings]]=3, "Average","Poor"))</f>
        <v>Good</v>
      </c>
      <c r="S2433" s="3" t="s">
        <v>76</v>
      </c>
    </row>
    <row r="2434" spans="1:19" x14ac:dyDescent="0.25">
      <c r="A2434" s="3">
        <v>2433</v>
      </c>
      <c r="B2434" s="5">
        <f>DATE(Table1[[#This Row],[Year]],Table1[[#This Row],[Month]],Table1[[#This Row],[Day]])</f>
        <v>45168</v>
      </c>
      <c r="C2434" s="3">
        <v>30</v>
      </c>
      <c r="D2434" s="3">
        <v>8</v>
      </c>
      <c r="E2434" s="3">
        <v>2023</v>
      </c>
      <c r="F2434" s="3" t="str">
        <f>"Qtr"&amp; " " &amp;CHOOSE(MONTH(Table1[[#This Row],[Date]]),1,1,1,2,2,2,3,3,3,4,4,4)</f>
        <v>Qtr 3</v>
      </c>
      <c r="G2434" s="3" t="str">
        <f>TEXT(Table1[[#This Row],[Date]],"mmmm")</f>
        <v>August</v>
      </c>
      <c r="H2434" s="3" t="s">
        <v>1083</v>
      </c>
      <c r="I2434" s="3" t="s">
        <v>33</v>
      </c>
      <c r="J2434" s="3">
        <v>2</v>
      </c>
      <c r="K2434" s="3">
        <v>49707.44</v>
      </c>
      <c r="L2434" s="3">
        <f>Table1[[#This Row],[Price Per Unit]]*Table1[[#This Row],[Units Sold]]</f>
        <v>99414.88</v>
      </c>
      <c r="M2434" s="3" t="s">
        <v>703</v>
      </c>
      <c r="N2434" s="3">
        <v>59</v>
      </c>
      <c r="O2434" s="3" t="s">
        <v>58</v>
      </c>
      <c r="P2434" s="3" t="s">
        <v>45</v>
      </c>
      <c r="Q2434" s="4">
        <v>5</v>
      </c>
      <c r="R2434" s="4" t="str">
        <f>IF(Table1[[#This Row],[Customer Ratings]]&gt;=4, "Good",IF(Table1[[#This Row],[Customer Ratings]]=3, "Average","Poor"))</f>
        <v>Good</v>
      </c>
      <c r="S2434" s="3" t="s">
        <v>46</v>
      </c>
    </row>
    <row r="2435" spans="1:19" x14ac:dyDescent="0.25">
      <c r="A2435" s="3">
        <v>2434</v>
      </c>
      <c r="B2435" s="5">
        <f>DATE(Table1[[#This Row],[Year]],Table1[[#This Row],[Month]],Table1[[#This Row],[Day]])</f>
        <v>45169</v>
      </c>
      <c r="C2435" s="3">
        <v>31</v>
      </c>
      <c r="D2435" s="3">
        <v>8</v>
      </c>
      <c r="E2435" s="3">
        <v>2023</v>
      </c>
      <c r="F2435" s="3" t="str">
        <f>"Qtr"&amp; " " &amp;CHOOSE(MONTH(Table1[[#This Row],[Date]]),1,1,1,2,2,2,3,3,3,4,4,4)</f>
        <v>Qtr 3</v>
      </c>
      <c r="G2435" s="3" t="str">
        <f>TEXT(Table1[[#This Row],[Date]],"mmmm")</f>
        <v>August</v>
      </c>
      <c r="H2435" s="3" t="s">
        <v>1084</v>
      </c>
      <c r="I2435" s="3" t="s">
        <v>39</v>
      </c>
      <c r="J2435" s="3">
        <v>2</v>
      </c>
      <c r="K2435" s="3">
        <v>36893.68</v>
      </c>
      <c r="L2435" s="3">
        <f>Table1[[#This Row],[Price Per Unit]]*Table1[[#This Row],[Units Sold]]</f>
        <v>73787.360000000001</v>
      </c>
      <c r="M2435" s="3" t="s">
        <v>369</v>
      </c>
      <c r="N2435" s="3">
        <v>27</v>
      </c>
      <c r="O2435" s="3" t="s">
        <v>81</v>
      </c>
      <c r="P2435" s="3" t="s">
        <v>31</v>
      </c>
      <c r="Q2435" s="4">
        <v>4</v>
      </c>
      <c r="R2435" s="4" t="str">
        <f>IF(Table1[[#This Row],[Customer Ratings]]&gt;=4, "Good",IF(Table1[[#This Row],[Customer Ratings]]=3, "Average","Poor"))</f>
        <v>Good</v>
      </c>
      <c r="S2435" s="3" t="s">
        <v>90</v>
      </c>
    </row>
    <row r="2436" spans="1:19" x14ac:dyDescent="0.25">
      <c r="A2436" s="3">
        <v>2435</v>
      </c>
      <c r="B2436" s="5">
        <f>DATE(Table1[[#This Row],[Year]],Table1[[#This Row],[Month]],Table1[[#This Row],[Day]])</f>
        <v>45169</v>
      </c>
      <c r="C2436" s="3">
        <v>31</v>
      </c>
      <c r="D2436" s="3">
        <v>8</v>
      </c>
      <c r="E2436" s="3">
        <v>2023</v>
      </c>
      <c r="F2436" s="3" t="str">
        <f>"Qtr"&amp; " " &amp;CHOOSE(MONTH(Table1[[#This Row],[Date]]),1,1,1,2,2,2,3,3,3,4,4,4)</f>
        <v>Qtr 3</v>
      </c>
      <c r="G2436" s="3" t="str">
        <f>TEXT(Table1[[#This Row],[Date]],"mmmm")</f>
        <v>August</v>
      </c>
      <c r="H2436" s="3" t="s">
        <v>1084</v>
      </c>
      <c r="I2436" s="3" t="s">
        <v>28</v>
      </c>
      <c r="J2436" s="3">
        <v>9</v>
      </c>
      <c r="K2436" s="3">
        <v>36796.11</v>
      </c>
      <c r="L2436" s="3">
        <f>Table1[[#This Row],[Price Per Unit]]*Table1[[#This Row],[Units Sold]]</f>
        <v>331164.99</v>
      </c>
      <c r="M2436" s="3" t="s">
        <v>604</v>
      </c>
      <c r="N2436" s="3">
        <v>50</v>
      </c>
      <c r="O2436" s="3" t="s">
        <v>41</v>
      </c>
      <c r="P2436" s="3" t="s">
        <v>31</v>
      </c>
      <c r="Q2436" s="4">
        <v>5</v>
      </c>
      <c r="R2436" s="4" t="str">
        <f>IF(Table1[[#This Row],[Customer Ratings]]&gt;=4, "Good",IF(Table1[[#This Row],[Customer Ratings]]=3, "Average","Poor"))</f>
        <v>Good</v>
      </c>
      <c r="S2436" s="3" t="s">
        <v>32</v>
      </c>
    </row>
    <row r="2437" spans="1:19" x14ac:dyDescent="0.25">
      <c r="A2437" s="3">
        <v>2436</v>
      </c>
      <c r="B2437" s="5">
        <f>DATE(Table1[[#This Row],[Year]],Table1[[#This Row],[Month]],Table1[[#This Row],[Day]])</f>
        <v>45169</v>
      </c>
      <c r="C2437" s="3">
        <v>31</v>
      </c>
      <c r="D2437" s="3">
        <v>8</v>
      </c>
      <c r="E2437" s="3">
        <v>2023</v>
      </c>
      <c r="F2437" s="3" t="str">
        <f>"Qtr"&amp; " " &amp;CHOOSE(MONTH(Table1[[#This Row],[Date]]),1,1,1,2,2,2,3,3,3,4,4,4)</f>
        <v>Qtr 3</v>
      </c>
      <c r="G2437" s="3" t="str">
        <f>TEXT(Table1[[#This Row],[Date]],"mmmm")</f>
        <v>August</v>
      </c>
      <c r="H2437" s="3" t="s">
        <v>1084</v>
      </c>
      <c r="I2437" s="3" t="s">
        <v>18</v>
      </c>
      <c r="J2437" s="3">
        <v>1</v>
      </c>
      <c r="K2437" s="3">
        <v>37458.74</v>
      </c>
      <c r="L2437" s="3">
        <f>Table1[[#This Row],[Price Per Unit]]*Table1[[#This Row],[Units Sold]]</f>
        <v>37458.74</v>
      </c>
      <c r="M2437" s="3" t="s">
        <v>723</v>
      </c>
      <c r="N2437" s="3">
        <v>33</v>
      </c>
      <c r="O2437" s="3" t="s">
        <v>20</v>
      </c>
      <c r="P2437" s="3" t="s">
        <v>16</v>
      </c>
      <c r="Q2437" s="4">
        <v>3</v>
      </c>
      <c r="R2437" s="4" t="str">
        <f>IF(Table1[[#This Row],[Customer Ratings]]&gt;=4, "Good",IF(Table1[[#This Row],[Customer Ratings]]=3, "Average","Poor"))</f>
        <v>Average</v>
      </c>
      <c r="S2437" s="3" t="s">
        <v>22</v>
      </c>
    </row>
    <row r="2438" spans="1:19" x14ac:dyDescent="0.25">
      <c r="A2438" s="3">
        <v>2437</v>
      </c>
      <c r="B2438" s="5">
        <f>DATE(Table1[[#This Row],[Year]],Table1[[#This Row],[Month]],Table1[[#This Row],[Day]])</f>
        <v>45169</v>
      </c>
      <c r="C2438" s="3">
        <v>31</v>
      </c>
      <c r="D2438" s="3">
        <v>8</v>
      </c>
      <c r="E2438" s="3">
        <v>2023</v>
      </c>
      <c r="F2438" s="3" t="str">
        <f>"Qtr"&amp; " " &amp;CHOOSE(MONTH(Table1[[#This Row],[Date]]),1,1,1,2,2,2,3,3,3,4,4,4)</f>
        <v>Qtr 3</v>
      </c>
      <c r="G2438" s="3" t="str">
        <f>TEXT(Table1[[#This Row],[Date]],"mmmm")</f>
        <v>August</v>
      </c>
      <c r="H2438" s="3" t="s">
        <v>1084</v>
      </c>
      <c r="I2438" s="3" t="s">
        <v>18</v>
      </c>
      <c r="J2438" s="3">
        <v>7</v>
      </c>
      <c r="K2438" s="3">
        <v>25520.91</v>
      </c>
      <c r="L2438" s="3">
        <f>Table1[[#This Row],[Price Per Unit]]*Table1[[#This Row],[Units Sold]]</f>
        <v>178646.37</v>
      </c>
      <c r="M2438" s="3" t="s">
        <v>279</v>
      </c>
      <c r="N2438" s="3">
        <v>53</v>
      </c>
      <c r="O2438" s="3" t="s">
        <v>48</v>
      </c>
      <c r="P2438" s="3" t="s">
        <v>16</v>
      </c>
      <c r="Q2438" s="4">
        <v>4</v>
      </c>
      <c r="R2438" s="4" t="str">
        <f>IF(Table1[[#This Row],[Customer Ratings]]&gt;=4, "Good",IF(Table1[[#This Row],[Customer Ratings]]=3, "Average","Poor"))</f>
        <v>Good</v>
      </c>
      <c r="S2438" s="3" t="s">
        <v>55</v>
      </c>
    </row>
    <row r="2439" spans="1:19" x14ac:dyDescent="0.25">
      <c r="A2439" s="3">
        <v>2438</v>
      </c>
      <c r="B2439" s="5">
        <f>DATE(Table1[[#This Row],[Year]],Table1[[#This Row],[Month]],Table1[[#This Row],[Day]])</f>
        <v>45170</v>
      </c>
      <c r="C2439" s="3">
        <v>1</v>
      </c>
      <c r="D2439" s="3">
        <v>9</v>
      </c>
      <c r="E2439" s="3">
        <v>2023</v>
      </c>
      <c r="F2439" s="3" t="str">
        <f>"Qtr"&amp; " " &amp;CHOOSE(MONTH(Table1[[#This Row],[Date]]),1,1,1,2,2,2,3,3,3,4,4,4)</f>
        <v>Qtr 3</v>
      </c>
      <c r="G2439" s="3" t="str">
        <f>TEXT(Table1[[#This Row],[Date]],"mmmm")</f>
        <v>September</v>
      </c>
      <c r="H2439" s="3" t="s">
        <v>1085</v>
      </c>
      <c r="I2439" s="3" t="s">
        <v>39</v>
      </c>
      <c r="J2439" s="3">
        <v>3</v>
      </c>
      <c r="K2439" s="3">
        <v>52933.77</v>
      </c>
      <c r="L2439" s="3">
        <f>Table1[[#This Row],[Price Per Unit]]*Table1[[#This Row],[Units Sold]]</f>
        <v>158801.31</v>
      </c>
      <c r="M2439" s="3" t="s">
        <v>217</v>
      </c>
      <c r="N2439" s="3">
        <v>23</v>
      </c>
      <c r="O2439" s="3" t="s">
        <v>24</v>
      </c>
      <c r="P2439" s="3" t="s">
        <v>45</v>
      </c>
      <c r="Q2439" s="4">
        <v>5</v>
      </c>
      <c r="R2439" s="4" t="str">
        <f>IF(Table1[[#This Row],[Customer Ratings]]&gt;=4, "Good",IF(Table1[[#This Row],[Customer Ratings]]=3, "Average","Poor"))</f>
        <v>Good</v>
      </c>
      <c r="S2439" s="3" t="s">
        <v>76</v>
      </c>
    </row>
    <row r="2440" spans="1:19" x14ac:dyDescent="0.25">
      <c r="A2440" s="3">
        <v>2439</v>
      </c>
      <c r="B2440" s="5">
        <f>DATE(Table1[[#This Row],[Year]],Table1[[#This Row],[Month]],Table1[[#This Row],[Day]])</f>
        <v>45170</v>
      </c>
      <c r="C2440" s="3">
        <v>1</v>
      </c>
      <c r="D2440" s="3">
        <v>9</v>
      </c>
      <c r="E2440" s="3">
        <v>2023</v>
      </c>
      <c r="F2440" s="3" t="str">
        <f>"Qtr"&amp; " " &amp;CHOOSE(MONTH(Table1[[#This Row],[Date]]),1,1,1,2,2,2,3,3,3,4,4,4)</f>
        <v>Qtr 3</v>
      </c>
      <c r="G2440" s="3" t="str">
        <f>TEXT(Table1[[#This Row],[Date]],"mmmm")</f>
        <v>September</v>
      </c>
      <c r="H2440" s="3" t="s">
        <v>1085</v>
      </c>
      <c r="I2440" s="3" t="s">
        <v>13</v>
      </c>
      <c r="J2440" s="3">
        <v>3</v>
      </c>
      <c r="K2440" s="3">
        <v>53294.59</v>
      </c>
      <c r="L2440" s="3">
        <f>Table1[[#This Row],[Price Per Unit]]*Table1[[#This Row],[Units Sold]]</f>
        <v>159883.76999999999</v>
      </c>
      <c r="M2440" s="3" t="s">
        <v>857</v>
      </c>
      <c r="N2440" s="3">
        <v>36</v>
      </c>
      <c r="O2440" s="3" t="s">
        <v>20</v>
      </c>
      <c r="P2440" s="3" t="s">
        <v>45</v>
      </c>
      <c r="Q2440" s="4">
        <v>2</v>
      </c>
      <c r="R2440" s="4" t="str">
        <f>IF(Table1[[#This Row],[Customer Ratings]]&gt;=4, "Good",IF(Table1[[#This Row],[Customer Ratings]]=3, "Average","Poor"))</f>
        <v>Poor</v>
      </c>
      <c r="S2440" s="3" t="s">
        <v>17</v>
      </c>
    </row>
    <row r="2441" spans="1:19" x14ac:dyDescent="0.25">
      <c r="A2441" s="3">
        <v>2440</v>
      </c>
      <c r="B2441" s="5">
        <f>DATE(Table1[[#This Row],[Year]],Table1[[#This Row],[Month]],Table1[[#This Row],[Day]])</f>
        <v>45170</v>
      </c>
      <c r="C2441" s="3">
        <v>1</v>
      </c>
      <c r="D2441" s="3">
        <v>9</v>
      </c>
      <c r="E2441" s="3">
        <v>2023</v>
      </c>
      <c r="F2441" s="3" t="str">
        <f>"Qtr"&amp; " " &amp;CHOOSE(MONTH(Table1[[#This Row],[Date]]),1,1,1,2,2,2,3,3,3,4,4,4)</f>
        <v>Qtr 3</v>
      </c>
      <c r="G2441" s="3" t="str">
        <f>TEXT(Table1[[#This Row],[Date]],"mmmm")</f>
        <v>September</v>
      </c>
      <c r="H2441" s="3" t="s">
        <v>1085</v>
      </c>
      <c r="I2441" s="3" t="s">
        <v>18</v>
      </c>
      <c r="J2441" s="3">
        <v>2</v>
      </c>
      <c r="K2441" s="3">
        <v>26943.83</v>
      </c>
      <c r="L2441" s="3">
        <f>Table1[[#This Row],[Price Per Unit]]*Table1[[#This Row],[Units Sold]]</f>
        <v>53887.66</v>
      </c>
      <c r="M2441" s="3" t="s">
        <v>112</v>
      </c>
      <c r="N2441" s="3">
        <v>48</v>
      </c>
      <c r="O2441" s="3" t="s">
        <v>20</v>
      </c>
      <c r="P2441" s="3" t="s">
        <v>21</v>
      </c>
      <c r="Q2441" s="4">
        <v>5</v>
      </c>
      <c r="R2441" s="4" t="str">
        <f>IF(Table1[[#This Row],[Customer Ratings]]&gt;=4, "Good",IF(Table1[[#This Row],[Customer Ratings]]=3, "Average","Poor"))</f>
        <v>Good</v>
      </c>
      <c r="S2441" s="3" t="s">
        <v>22</v>
      </c>
    </row>
    <row r="2442" spans="1:19" x14ac:dyDescent="0.25">
      <c r="A2442" s="3">
        <v>2441</v>
      </c>
      <c r="B2442" s="5">
        <f>DATE(Table1[[#This Row],[Year]],Table1[[#This Row],[Month]],Table1[[#This Row],[Day]])</f>
        <v>45171</v>
      </c>
      <c r="C2442" s="3">
        <v>2</v>
      </c>
      <c r="D2442" s="3">
        <v>9</v>
      </c>
      <c r="E2442" s="3">
        <v>2023</v>
      </c>
      <c r="F2442" s="3" t="str">
        <f>"Qtr"&amp; " " &amp;CHOOSE(MONTH(Table1[[#This Row],[Date]]),1,1,1,2,2,2,3,3,3,4,4,4)</f>
        <v>Qtr 3</v>
      </c>
      <c r="G2442" s="3" t="str">
        <f>TEXT(Table1[[#This Row],[Date]],"mmmm")</f>
        <v>September</v>
      </c>
      <c r="H2442" s="3" t="s">
        <v>1079</v>
      </c>
      <c r="I2442" s="3" t="s">
        <v>39</v>
      </c>
      <c r="J2442" s="3">
        <v>6</v>
      </c>
      <c r="K2442" s="3">
        <v>60118.39</v>
      </c>
      <c r="L2442" s="3">
        <f>Table1[[#This Row],[Price Per Unit]]*Table1[[#This Row],[Units Sold]]</f>
        <v>360710.33999999997</v>
      </c>
      <c r="M2442" s="3" t="s">
        <v>506</v>
      </c>
      <c r="N2442" s="3">
        <v>19</v>
      </c>
      <c r="O2442" s="3" t="s">
        <v>120</v>
      </c>
      <c r="P2442" s="3" t="s">
        <v>31</v>
      </c>
      <c r="Q2442" s="4">
        <v>5</v>
      </c>
      <c r="R2442" s="4" t="str">
        <f>IF(Table1[[#This Row],[Customer Ratings]]&gt;=4, "Good",IF(Table1[[#This Row],[Customer Ratings]]=3, "Average","Poor"))</f>
        <v>Good</v>
      </c>
      <c r="S2442" s="3" t="s">
        <v>76</v>
      </c>
    </row>
    <row r="2443" spans="1:19" x14ac:dyDescent="0.25">
      <c r="A2443" s="3">
        <v>2442</v>
      </c>
      <c r="B2443" s="5">
        <f>DATE(Table1[[#This Row],[Year]],Table1[[#This Row],[Month]],Table1[[#This Row],[Day]])</f>
        <v>45171</v>
      </c>
      <c r="C2443" s="3">
        <v>2</v>
      </c>
      <c r="D2443" s="3">
        <v>9</v>
      </c>
      <c r="E2443" s="3">
        <v>2023</v>
      </c>
      <c r="F2443" s="3" t="str">
        <f>"Qtr"&amp; " " &amp;CHOOSE(MONTH(Table1[[#This Row],[Date]]),1,1,1,2,2,2,3,3,3,4,4,4)</f>
        <v>Qtr 3</v>
      </c>
      <c r="G2443" s="3" t="str">
        <f>TEXT(Table1[[#This Row],[Date]],"mmmm")</f>
        <v>September</v>
      </c>
      <c r="H2443" s="3" t="s">
        <v>1079</v>
      </c>
      <c r="I2443" s="3" t="s">
        <v>28</v>
      </c>
      <c r="J2443" s="3">
        <v>2</v>
      </c>
      <c r="K2443" s="3">
        <v>29010.7</v>
      </c>
      <c r="L2443" s="3">
        <f>Table1[[#This Row],[Price Per Unit]]*Table1[[#This Row],[Units Sold]]</f>
        <v>58021.4</v>
      </c>
      <c r="M2443" s="3" t="s">
        <v>418</v>
      </c>
      <c r="N2443" s="3">
        <v>35</v>
      </c>
      <c r="O2443" s="3" t="s">
        <v>24</v>
      </c>
      <c r="P2443" s="3" t="s">
        <v>16</v>
      </c>
      <c r="Q2443" s="4">
        <v>4</v>
      </c>
      <c r="R2443" s="4" t="str">
        <f>IF(Table1[[#This Row],[Customer Ratings]]&gt;=4, "Good",IF(Table1[[#This Row],[Customer Ratings]]=3, "Average","Poor"))</f>
        <v>Good</v>
      </c>
      <c r="S2443" s="3" t="s">
        <v>87</v>
      </c>
    </row>
    <row r="2444" spans="1:19" x14ac:dyDescent="0.25">
      <c r="A2444" s="3">
        <v>2443</v>
      </c>
      <c r="B2444" s="5">
        <f>DATE(Table1[[#This Row],[Year]],Table1[[#This Row],[Month]],Table1[[#This Row],[Day]])</f>
        <v>45171</v>
      </c>
      <c r="C2444" s="3">
        <v>2</v>
      </c>
      <c r="D2444" s="3">
        <v>9</v>
      </c>
      <c r="E2444" s="3">
        <v>2023</v>
      </c>
      <c r="F2444" s="3" t="str">
        <f>"Qtr"&amp; " " &amp;CHOOSE(MONTH(Table1[[#This Row],[Date]]),1,1,1,2,2,2,3,3,3,4,4,4)</f>
        <v>Qtr 3</v>
      </c>
      <c r="G2444" s="3" t="str">
        <f>TEXT(Table1[[#This Row],[Date]],"mmmm")</f>
        <v>September</v>
      </c>
      <c r="H2444" s="3" t="s">
        <v>1079</v>
      </c>
      <c r="I2444" s="3" t="s">
        <v>39</v>
      </c>
      <c r="J2444" s="3">
        <v>4</v>
      </c>
      <c r="K2444" s="3">
        <v>53505.59</v>
      </c>
      <c r="L2444" s="3">
        <f>Table1[[#This Row],[Price Per Unit]]*Table1[[#This Row],[Units Sold]]</f>
        <v>214022.36</v>
      </c>
      <c r="M2444" s="3" t="s">
        <v>959</v>
      </c>
      <c r="N2444" s="3">
        <v>59</v>
      </c>
      <c r="O2444" s="3" t="s">
        <v>54</v>
      </c>
      <c r="P2444" s="3" t="s">
        <v>16</v>
      </c>
      <c r="Q2444" s="4">
        <v>3</v>
      </c>
      <c r="R2444" s="4" t="str">
        <f>IF(Table1[[#This Row],[Customer Ratings]]&gt;=4, "Good",IF(Table1[[#This Row],[Customer Ratings]]=3, "Average","Poor"))</f>
        <v>Average</v>
      </c>
      <c r="S2444" s="3" t="s">
        <v>90</v>
      </c>
    </row>
    <row r="2445" spans="1:19" x14ac:dyDescent="0.25">
      <c r="A2445" s="3">
        <v>2444</v>
      </c>
      <c r="B2445" s="5">
        <f>DATE(Table1[[#This Row],[Year]],Table1[[#This Row],[Month]],Table1[[#This Row],[Day]])</f>
        <v>45171</v>
      </c>
      <c r="C2445" s="3">
        <v>2</v>
      </c>
      <c r="D2445" s="3">
        <v>9</v>
      </c>
      <c r="E2445" s="3">
        <v>2023</v>
      </c>
      <c r="F2445" s="3" t="str">
        <f>"Qtr"&amp; " " &amp;CHOOSE(MONTH(Table1[[#This Row],[Date]]),1,1,1,2,2,2,3,3,3,4,4,4)</f>
        <v>Qtr 3</v>
      </c>
      <c r="G2445" s="3" t="str">
        <f>TEXT(Table1[[#This Row],[Date]],"mmmm")</f>
        <v>September</v>
      </c>
      <c r="H2445" s="3" t="s">
        <v>1079</v>
      </c>
      <c r="I2445" s="3" t="s">
        <v>18</v>
      </c>
      <c r="J2445" s="3">
        <v>9</v>
      </c>
      <c r="K2445" s="3">
        <v>17259.990000000002</v>
      </c>
      <c r="L2445" s="3">
        <f>Table1[[#This Row],[Price Per Unit]]*Table1[[#This Row],[Units Sold]]</f>
        <v>155339.91</v>
      </c>
      <c r="M2445" s="3" t="s">
        <v>418</v>
      </c>
      <c r="N2445" s="3">
        <v>45</v>
      </c>
      <c r="O2445" s="3" t="s">
        <v>20</v>
      </c>
      <c r="P2445" s="3" t="s">
        <v>31</v>
      </c>
      <c r="Q2445" s="4">
        <v>4</v>
      </c>
      <c r="R2445" s="4" t="str">
        <f>IF(Table1[[#This Row],[Customer Ratings]]&gt;=4, "Good",IF(Table1[[#This Row],[Customer Ratings]]=3, "Average","Poor"))</f>
        <v>Good</v>
      </c>
      <c r="S2445" s="3" t="s">
        <v>55</v>
      </c>
    </row>
    <row r="2446" spans="1:19" x14ac:dyDescent="0.25">
      <c r="A2446" s="3">
        <v>2445</v>
      </c>
      <c r="B2446" s="5">
        <f>DATE(Table1[[#This Row],[Year]],Table1[[#This Row],[Month]],Table1[[#This Row],[Day]])</f>
        <v>45172</v>
      </c>
      <c r="C2446" s="3">
        <v>3</v>
      </c>
      <c r="D2446" s="3">
        <v>9</v>
      </c>
      <c r="E2446" s="3">
        <v>2023</v>
      </c>
      <c r="F2446" s="3" t="str">
        <f>"Qtr"&amp; " " &amp;CHOOSE(MONTH(Table1[[#This Row],[Date]]),1,1,1,2,2,2,3,3,3,4,4,4)</f>
        <v>Qtr 3</v>
      </c>
      <c r="G2446" s="3" t="str">
        <f>TEXT(Table1[[#This Row],[Date]],"mmmm")</f>
        <v>September</v>
      </c>
      <c r="H2446" s="3" t="s">
        <v>1080</v>
      </c>
      <c r="I2446" s="3" t="s">
        <v>28</v>
      </c>
      <c r="J2446" s="3">
        <v>9</v>
      </c>
      <c r="K2446" s="3">
        <v>20122.099999999999</v>
      </c>
      <c r="L2446" s="3">
        <f>Table1[[#This Row],[Price Per Unit]]*Table1[[#This Row],[Units Sold]]</f>
        <v>181098.9</v>
      </c>
      <c r="M2446" s="3" t="s">
        <v>300</v>
      </c>
      <c r="N2446" s="3">
        <v>21</v>
      </c>
      <c r="O2446" s="3" t="s">
        <v>35</v>
      </c>
      <c r="P2446" s="3" t="s">
        <v>45</v>
      </c>
      <c r="Q2446" s="4">
        <v>5</v>
      </c>
      <c r="R2446" s="4" t="str">
        <f>IF(Table1[[#This Row],[Customer Ratings]]&gt;=4, "Good",IF(Table1[[#This Row],[Customer Ratings]]=3, "Average","Poor"))</f>
        <v>Good</v>
      </c>
      <c r="S2446" s="3" t="s">
        <v>87</v>
      </c>
    </row>
    <row r="2447" spans="1:19" x14ac:dyDescent="0.25">
      <c r="A2447" s="3">
        <v>2446</v>
      </c>
      <c r="B2447" s="5">
        <f>DATE(Table1[[#This Row],[Year]],Table1[[#This Row],[Month]],Table1[[#This Row],[Day]])</f>
        <v>45172</v>
      </c>
      <c r="C2447" s="3">
        <v>3</v>
      </c>
      <c r="D2447" s="3">
        <v>9</v>
      </c>
      <c r="E2447" s="3">
        <v>2023</v>
      </c>
      <c r="F2447" s="3" t="str">
        <f>"Qtr"&amp; " " &amp;CHOOSE(MONTH(Table1[[#This Row],[Date]]),1,1,1,2,2,2,3,3,3,4,4,4)</f>
        <v>Qtr 3</v>
      </c>
      <c r="G2447" s="3" t="str">
        <f>TEXT(Table1[[#This Row],[Date]],"mmmm")</f>
        <v>September</v>
      </c>
      <c r="H2447" s="3" t="s">
        <v>1080</v>
      </c>
      <c r="I2447" s="3" t="s">
        <v>39</v>
      </c>
      <c r="J2447" s="3">
        <v>6</v>
      </c>
      <c r="K2447" s="3">
        <v>28947.74</v>
      </c>
      <c r="L2447" s="3">
        <f>Table1[[#This Row],[Price Per Unit]]*Table1[[#This Row],[Units Sold]]</f>
        <v>173686.44</v>
      </c>
      <c r="M2447" s="3" t="s">
        <v>742</v>
      </c>
      <c r="N2447" s="3">
        <v>18</v>
      </c>
      <c r="O2447" s="3" t="s">
        <v>102</v>
      </c>
      <c r="P2447" s="3" t="s">
        <v>16</v>
      </c>
      <c r="Q2447" s="4">
        <v>5</v>
      </c>
      <c r="R2447" s="4" t="str">
        <f>IF(Table1[[#This Row],[Customer Ratings]]&gt;=4, "Good",IF(Table1[[#This Row],[Customer Ratings]]=3, "Average","Poor"))</f>
        <v>Good</v>
      </c>
      <c r="S2447" s="3" t="s">
        <v>90</v>
      </c>
    </row>
    <row r="2448" spans="1:19" x14ac:dyDescent="0.25">
      <c r="A2448" s="3">
        <v>2447</v>
      </c>
      <c r="B2448" s="5">
        <f>DATE(Table1[[#This Row],[Year]],Table1[[#This Row],[Month]],Table1[[#This Row],[Day]])</f>
        <v>45172</v>
      </c>
      <c r="C2448" s="3">
        <v>3</v>
      </c>
      <c r="D2448" s="3">
        <v>9</v>
      </c>
      <c r="E2448" s="3">
        <v>2023</v>
      </c>
      <c r="F2448" s="3" t="str">
        <f>"Qtr"&amp; " " &amp;CHOOSE(MONTH(Table1[[#This Row],[Date]]),1,1,1,2,2,2,3,3,3,4,4,4)</f>
        <v>Qtr 3</v>
      </c>
      <c r="G2448" s="3" t="str">
        <f>TEXT(Table1[[#This Row],[Date]],"mmmm")</f>
        <v>September</v>
      </c>
      <c r="H2448" s="3" t="s">
        <v>1080</v>
      </c>
      <c r="I2448" s="3" t="s">
        <v>33</v>
      </c>
      <c r="J2448" s="3">
        <v>4</v>
      </c>
      <c r="K2448" s="3">
        <v>45632.43</v>
      </c>
      <c r="L2448" s="3">
        <f>Table1[[#This Row],[Price Per Unit]]*Table1[[#This Row],[Units Sold]]</f>
        <v>182529.72</v>
      </c>
      <c r="M2448" s="3" t="s">
        <v>781</v>
      </c>
      <c r="N2448" s="3">
        <v>59</v>
      </c>
      <c r="O2448" s="3" t="s">
        <v>48</v>
      </c>
      <c r="P2448" s="3" t="s">
        <v>45</v>
      </c>
      <c r="Q2448" s="4">
        <v>2</v>
      </c>
      <c r="R2448" s="4" t="str">
        <f>IF(Table1[[#This Row],[Customer Ratings]]&gt;=4, "Good",IF(Table1[[#This Row],[Customer Ratings]]=3, "Average","Poor"))</f>
        <v>Poor</v>
      </c>
      <c r="S2448" s="3" t="s">
        <v>46</v>
      </c>
    </row>
    <row r="2449" spans="1:19" x14ac:dyDescent="0.25">
      <c r="A2449" s="3">
        <v>2448</v>
      </c>
      <c r="B2449" s="5">
        <f>DATE(Table1[[#This Row],[Year]],Table1[[#This Row],[Month]],Table1[[#This Row],[Day]])</f>
        <v>45172</v>
      </c>
      <c r="C2449" s="3">
        <v>3</v>
      </c>
      <c r="D2449" s="3">
        <v>9</v>
      </c>
      <c r="E2449" s="3">
        <v>2023</v>
      </c>
      <c r="F2449" s="3" t="str">
        <f>"Qtr"&amp; " " &amp;CHOOSE(MONTH(Table1[[#This Row],[Date]]),1,1,1,2,2,2,3,3,3,4,4,4)</f>
        <v>Qtr 3</v>
      </c>
      <c r="G2449" s="3" t="str">
        <f>TEXT(Table1[[#This Row],[Date]],"mmmm")</f>
        <v>September</v>
      </c>
      <c r="H2449" s="3" t="s">
        <v>1080</v>
      </c>
      <c r="I2449" s="3" t="s">
        <v>28</v>
      </c>
      <c r="J2449" s="3">
        <v>7</v>
      </c>
      <c r="K2449" s="3">
        <v>48730.69</v>
      </c>
      <c r="L2449" s="3">
        <f>Table1[[#This Row],[Price Per Unit]]*Table1[[#This Row],[Units Sold]]</f>
        <v>341114.83</v>
      </c>
      <c r="M2449" s="3" t="s">
        <v>577</v>
      </c>
      <c r="N2449" s="3">
        <v>33</v>
      </c>
      <c r="O2449" s="3" t="s">
        <v>120</v>
      </c>
      <c r="P2449" s="3" t="s">
        <v>16</v>
      </c>
      <c r="Q2449" s="4">
        <v>3</v>
      </c>
      <c r="R2449" s="4" t="str">
        <f>IF(Table1[[#This Row],[Customer Ratings]]&gt;=4, "Good",IF(Table1[[#This Row],[Customer Ratings]]=3, "Average","Poor"))</f>
        <v>Average</v>
      </c>
      <c r="S2449" s="3" t="s">
        <v>32</v>
      </c>
    </row>
    <row r="2450" spans="1:19" x14ac:dyDescent="0.25">
      <c r="A2450" s="3">
        <v>2449</v>
      </c>
      <c r="B2450" s="5">
        <f>DATE(Table1[[#This Row],[Year]],Table1[[#This Row],[Month]],Table1[[#This Row],[Day]])</f>
        <v>45173</v>
      </c>
      <c r="C2450" s="3">
        <v>4</v>
      </c>
      <c r="D2450" s="3">
        <v>9</v>
      </c>
      <c r="E2450" s="3">
        <v>2023</v>
      </c>
      <c r="F2450" s="3" t="str">
        <f>"Qtr"&amp; " " &amp;CHOOSE(MONTH(Table1[[#This Row],[Date]]),1,1,1,2,2,2,3,3,3,4,4,4)</f>
        <v>Qtr 3</v>
      </c>
      <c r="G2450" s="3" t="str">
        <f>TEXT(Table1[[#This Row],[Date]],"mmmm")</f>
        <v>September</v>
      </c>
      <c r="H2450" s="3" t="s">
        <v>1081</v>
      </c>
      <c r="I2450" s="3" t="s">
        <v>33</v>
      </c>
      <c r="J2450" s="3">
        <v>1</v>
      </c>
      <c r="K2450" s="3">
        <v>33781.370000000003</v>
      </c>
      <c r="L2450" s="3">
        <f>Table1[[#This Row],[Price Per Unit]]*Table1[[#This Row],[Units Sold]]</f>
        <v>33781.370000000003</v>
      </c>
      <c r="M2450" s="3" t="s">
        <v>366</v>
      </c>
      <c r="N2450" s="3">
        <v>19</v>
      </c>
      <c r="O2450" s="3" t="s">
        <v>137</v>
      </c>
      <c r="P2450" s="3" t="s">
        <v>16</v>
      </c>
      <c r="Q2450" s="4">
        <v>3</v>
      </c>
      <c r="R2450" s="4" t="str">
        <f>IF(Table1[[#This Row],[Customer Ratings]]&gt;=4, "Good",IF(Table1[[#This Row],[Customer Ratings]]=3, "Average","Poor"))</f>
        <v>Average</v>
      </c>
      <c r="S2450" s="3" t="s">
        <v>83</v>
      </c>
    </row>
    <row r="2451" spans="1:19" x14ac:dyDescent="0.25">
      <c r="A2451" s="3">
        <v>2450</v>
      </c>
      <c r="B2451" s="5">
        <f>DATE(Table1[[#This Row],[Year]],Table1[[#This Row],[Month]],Table1[[#This Row],[Day]])</f>
        <v>45173</v>
      </c>
      <c r="C2451" s="3">
        <v>4</v>
      </c>
      <c r="D2451" s="3">
        <v>9</v>
      </c>
      <c r="E2451" s="3">
        <v>2023</v>
      </c>
      <c r="F2451" s="3" t="str">
        <f>"Qtr"&amp; " " &amp;CHOOSE(MONTH(Table1[[#This Row],[Date]]),1,1,1,2,2,2,3,3,3,4,4,4)</f>
        <v>Qtr 3</v>
      </c>
      <c r="G2451" s="3" t="str">
        <f>TEXT(Table1[[#This Row],[Date]],"mmmm")</f>
        <v>September</v>
      </c>
      <c r="H2451" s="3" t="s">
        <v>1081</v>
      </c>
      <c r="I2451" s="3" t="s">
        <v>13</v>
      </c>
      <c r="J2451" s="3">
        <v>4</v>
      </c>
      <c r="K2451" s="3">
        <v>14670.35</v>
      </c>
      <c r="L2451" s="3">
        <f>Table1[[#This Row],[Price Per Unit]]*Table1[[#This Row],[Units Sold]]</f>
        <v>58681.4</v>
      </c>
      <c r="M2451" s="3" t="s">
        <v>310</v>
      </c>
      <c r="N2451" s="3">
        <v>53</v>
      </c>
      <c r="O2451" s="3" t="s">
        <v>54</v>
      </c>
      <c r="P2451" s="3" t="s">
        <v>21</v>
      </c>
      <c r="Q2451" s="4">
        <v>5</v>
      </c>
      <c r="R2451" s="4" t="str">
        <f>IF(Table1[[#This Row],[Customer Ratings]]&gt;=4, "Good",IF(Table1[[#This Row],[Customer Ratings]]=3, "Average","Poor"))</f>
        <v>Good</v>
      </c>
      <c r="S2451" s="3" t="s">
        <v>72</v>
      </c>
    </row>
    <row r="2452" spans="1:19" x14ac:dyDescent="0.25">
      <c r="A2452" s="3">
        <v>2451</v>
      </c>
      <c r="B2452" s="5">
        <f>DATE(Table1[[#This Row],[Year]],Table1[[#This Row],[Month]],Table1[[#This Row],[Day]])</f>
        <v>45173</v>
      </c>
      <c r="C2452" s="3">
        <v>4</v>
      </c>
      <c r="D2452" s="3">
        <v>9</v>
      </c>
      <c r="E2452" s="3">
        <v>2023</v>
      </c>
      <c r="F2452" s="3" t="str">
        <f>"Qtr"&amp; " " &amp;CHOOSE(MONTH(Table1[[#This Row],[Date]]),1,1,1,2,2,2,3,3,3,4,4,4)</f>
        <v>Qtr 3</v>
      </c>
      <c r="G2452" s="3" t="str">
        <f>TEXT(Table1[[#This Row],[Date]],"mmmm")</f>
        <v>September</v>
      </c>
      <c r="H2452" s="3" t="s">
        <v>1081</v>
      </c>
      <c r="I2452" s="3" t="s">
        <v>28</v>
      </c>
      <c r="J2452" s="3">
        <v>5</v>
      </c>
      <c r="K2452" s="3">
        <v>32418.080000000002</v>
      </c>
      <c r="L2452" s="3">
        <f>Table1[[#This Row],[Price Per Unit]]*Table1[[#This Row],[Units Sold]]</f>
        <v>162090.40000000002</v>
      </c>
      <c r="M2452" s="3" t="s">
        <v>464</v>
      </c>
      <c r="N2452" s="3">
        <v>18</v>
      </c>
      <c r="O2452" s="3" t="s">
        <v>102</v>
      </c>
      <c r="P2452" s="3" t="s">
        <v>16</v>
      </c>
      <c r="Q2452" s="4">
        <v>5</v>
      </c>
      <c r="R2452" s="4" t="str">
        <f>IF(Table1[[#This Row],[Customer Ratings]]&gt;=4, "Good",IF(Table1[[#This Row],[Customer Ratings]]=3, "Average","Poor"))</f>
        <v>Good</v>
      </c>
      <c r="S2452" s="3" t="s">
        <v>38</v>
      </c>
    </row>
    <row r="2453" spans="1:19" x14ac:dyDescent="0.25">
      <c r="A2453" s="3">
        <v>2452</v>
      </c>
      <c r="B2453" s="5">
        <f>DATE(Table1[[#This Row],[Year]],Table1[[#This Row],[Month]],Table1[[#This Row],[Day]])</f>
        <v>45173</v>
      </c>
      <c r="C2453" s="3">
        <v>4</v>
      </c>
      <c r="D2453" s="3">
        <v>9</v>
      </c>
      <c r="E2453" s="3">
        <v>2023</v>
      </c>
      <c r="F2453" s="3" t="str">
        <f>"Qtr"&amp; " " &amp;CHOOSE(MONTH(Table1[[#This Row],[Date]]),1,1,1,2,2,2,3,3,3,4,4,4)</f>
        <v>Qtr 3</v>
      </c>
      <c r="G2453" s="3" t="str">
        <f>TEXT(Table1[[#This Row],[Date]],"mmmm")</f>
        <v>September</v>
      </c>
      <c r="H2453" s="3" t="s">
        <v>1081</v>
      </c>
      <c r="I2453" s="3" t="s">
        <v>33</v>
      </c>
      <c r="J2453" s="3">
        <v>8</v>
      </c>
      <c r="K2453" s="3">
        <v>51326.05</v>
      </c>
      <c r="L2453" s="3">
        <f>Table1[[#This Row],[Price Per Unit]]*Table1[[#This Row],[Units Sold]]</f>
        <v>410608.4</v>
      </c>
      <c r="M2453" s="3" t="s">
        <v>552</v>
      </c>
      <c r="N2453" s="3">
        <v>56</v>
      </c>
      <c r="O2453" s="3" t="s">
        <v>24</v>
      </c>
      <c r="P2453" s="3" t="s">
        <v>31</v>
      </c>
      <c r="Q2453" s="4">
        <v>4</v>
      </c>
      <c r="R2453" s="4" t="str">
        <f>IF(Table1[[#This Row],[Customer Ratings]]&gt;=4, "Good",IF(Table1[[#This Row],[Customer Ratings]]=3, "Average","Poor"))</f>
        <v>Good</v>
      </c>
      <c r="S2453" s="3" t="s">
        <v>83</v>
      </c>
    </row>
    <row r="2454" spans="1:19" x14ac:dyDescent="0.25">
      <c r="A2454" s="3">
        <v>2453</v>
      </c>
      <c r="B2454" s="5">
        <f>DATE(Table1[[#This Row],[Year]],Table1[[#This Row],[Month]],Table1[[#This Row],[Day]])</f>
        <v>45174</v>
      </c>
      <c r="C2454" s="3">
        <v>5</v>
      </c>
      <c r="D2454" s="3">
        <v>9</v>
      </c>
      <c r="E2454" s="3">
        <v>2023</v>
      </c>
      <c r="F2454" s="3" t="str">
        <f>"Qtr"&amp; " " &amp;CHOOSE(MONTH(Table1[[#This Row],[Date]]),1,1,1,2,2,2,3,3,3,4,4,4)</f>
        <v>Qtr 3</v>
      </c>
      <c r="G2454" s="3" t="str">
        <f>TEXT(Table1[[#This Row],[Date]],"mmmm")</f>
        <v>September</v>
      </c>
      <c r="H2454" s="3" t="s">
        <v>1082</v>
      </c>
      <c r="I2454" s="3" t="s">
        <v>18</v>
      </c>
      <c r="J2454" s="3">
        <v>2</v>
      </c>
      <c r="K2454" s="3">
        <v>50259.73</v>
      </c>
      <c r="L2454" s="3">
        <f>Table1[[#This Row],[Price Per Unit]]*Table1[[#This Row],[Units Sold]]</f>
        <v>100519.46</v>
      </c>
      <c r="M2454" s="3" t="s">
        <v>452</v>
      </c>
      <c r="N2454" s="3">
        <v>40</v>
      </c>
      <c r="O2454" s="3" t="s">
        <v>54</v>
      </c>
      <c r="P2454" s="3" t="s">
        <v>31</v>
      </c>
      <c r="Q2454" s="4">
        <v>4</v>
      </c>
      <c r="R2454" s="4" t="str">
        <f>IF(Table1[[#This Row],[Customer Ratings]]&gt;=4, "Good",IF(Table1[[#This Row],[Customer Ratings]]=3, "Average","Poor"))</f>
        <v>Good</v>
      </c>
      <c r="S2454" s="3" t="s">
        <v>25</v>
      </c>
    </row>
    <row r="2455" spans="1:19" x14ac:dyDescent="0.25">
      <c r="A2455" s="3">
        <v>2454</v>
      </c>
      <c r="B2455" s="5">
        <f>DATE(Table1[[#This Row],[Year]],Table1[[#This Row],[Month]],Table1[[#This Row],[Day]])</f>
        <v>45174</v>
      </c>
      <c r="C2455" s="3">
        <v>5</v>
      </c>
      <c r="D2455" s="3">
        <v>9</v>
      </c>
      <c r="E2455" s="3">
        <v>2023</v>
      </c>
      <c r="F2455" s="3" t="str">
        <f>"Qtr"&amp; " " &amp;CHOOSE(MONTH(Table1[[#This Row],[Date]]),1,1,1,2,2,2,3,3,3,4,4,4)</f>
        <v>Qtr 3</v>
      </c>
      <c r="G2455" s="3" t="str">
        <f>TEXT(Table1[[#This Row],[Date]],"mmmm")</f>
        <v>September</v>
      </c>
      <c r="H2455" s="3" t="s">
        <v>1082</v>
      </c>
      <c r="I2455" s="3" t="s">
        <v>18</v>
      </c>
      <c r="J2455" s="3">
        <v>5</v>
      </c>
      <c r="K2455" s="3">
        <v>19611.78</v>
      </c>
      <c r="L2455" s="3">
        <f>Table1[[#This Row],[Price Per Unit]]*Table1[[#This Row],[Units Sold]]</f>
        <v>98058.9</v>
      </c>
      <c r="M2455" s="3" t="s">
        <v>50</v>
      </c>
      <c r="N2455" s="3">
        <v>43</v>
      </c>
      <c r="O2455" s="3" t="s">
        <v>120</v>
      </c>
      <c r="P2455" s="3" t="s">
        <v>31</v>
      </c>
      <c r="Q2455" s="4">
        <v>2</v>
      </c>
      <c r="R2455" s="4" t="str">
        <f>IF(Table1[[#This Row],[Customer Ratings]]&gt;=4, "Good",IF(Table1[[#This Row],[Customer Ratings]]=3, "Average","Poor"))</f>
        <v>Poor</v>
      </c>
      <c r="S2455" s="3" t="s">
        <v>55</v>
      </c>
    </row>
    <row r="2456" spans="1:19" x14ac:dyDescent="0.25">
      <c r="A2456" s="3">
        <v>2455</v>
      </c>
      <c r="B2456" s="5">
        <f>DATE(Table1[[#This Row],[Year]],Table1[[#This Row],[Month]],Table1[[#This Row],[Day]])</f>
        <v>45174</v>
      </c>
      <c r="C2456" s="3">
        <v>5</v>
      </c>
      <c r="D2456" s="3">
        <v>9</v>
      </c>
      <c r="E2456" s="3">
        <v>2023</v>
      </c>
      <c r="F2456" s="3" t="str">
        <f>"Qtr"&amp; " " &amp;CHOOSE(MONTH(Table1[[#This Row],[Date]]),1,1,1,2,2,2,3,3,3,4,4,4)</f>
        <v>Qtr 3</v>
      </c>
      <c r="G2456" s="3" t="str">
        <f>TEXT(Table1[[#This Row],[Date]],"mmmm")</f>
        <v>September</v>
      </c>
      <c r="H2456" s="3" t="s">
        <v>1082</v>
      </c>
      <c r="I2456" s="3" t="s">
        <v>13</v>
      </c>
      <c r="J2456" s="3">
        <v>6</v>
      </c>
      <c r="K2456" s="3">
        <v>10467.040000000001</v>
      </c>
      <c r="L2456" s="3">
        <f>Table1[[#This Row],[Price Per Unit]]*Table1[[#This Row],[Units Sold]]</f>
        <v>62802.240000000005</v>
      </c>
      <c r="M2456" s="3" t="s">
        <v>720</v>
      </c>
      <c r="N2456" s="3">
        <v>28</v>
      </c>
      <c r="O2456" s="3" t="s">
        <v>15</v>
      </c>
      <c r="P2456" s="3" t="s">
        <v>45</v>
      </c>
      <c r="Q2456" s="4">
        <v>5</v>
      </c>
      <c r="R2456" s="4" t="str">
        <f>IF(Table1[[#This Row],[Customer Ratings]]&gt;=4, "Good",IF(Table1[[#This Row],[Customer Ratings]]=3, "Average","Poor"))</f>
        <v>Good</v>
      </c>
      <c r="S2456" s="3" t="s">
        <v>72</v>
      </c>
    </row>
    <row r="2457" spans="1:19" x14ac:dyDescent="0.25">
      <c r="A2457" s="3">
        <v>2456</v>
      </c>
      <c r="B2457" s="5">
        <f>DATE(Table1[[#This Row],[Year]],Table1[[#This Row],[Month]],Table1[[#This Row],[Day]])</f>
        <v>45175</v>
      </c>
      <c r="C2457" s="3">
        <v>6</v>
      </c>
      <c r="D2457" s="3">
        <v>9</v>
      </c>
      <c r="E2457" s="3">
        <v>2023</v>
      </c>
      <c r="F2457" s="3" t="str">
        <f>"Qtr"&amp; " " &amp;CHOOSE(MONTH(Table1[[#This Row],[Date]]),1,1,1,2,2,2,3,3,3,4,4,4)</f>
        <v>Qtr 3</v>
      </c>
      <c r="G2457" s="3" t="str">
        <f>TEXT(Table1[[#This Row],[Date]],"mmmm")</f>
        <v>September</v>
      </c>
      <c r="H2457" s="3" t="s">
        <v>1083</v>
      </c>
      <c r="I2457" s="3" t="s">
        <v>28</v>
      </c>
      <c r="J2457" s="3">
        <v>5</v>
      </c>
      <c r="K2457" s="3">
        <v>55178.9</v>
      </c>
      <c r="L2457" s="3">
        <f>Table1[[#This Row],[Price Per Unit]]*Table1[[#This Row],[Units Sold]]</f>
        <v>275894.5</v>
      </c>
      <c r="M2457" s="3" t="s">
        <v>604</v>
      </c>
      <c r="N2457" s="3">
        <v>59</v>
      </c>
      <c r="O2457" s="3" t="s">
        <v>20</v>
      </c>
      <c r="P2457" s="3" t="s">
        <v>16</v>
      </c>
      <c r="Q2457" s="4">
        <v>4</v>
      </c>
      <c r="R2457" s="4" t="str">
        <f>IF(Table1[[#This Row],[Customer Ratings]]&gt;=4, "Good",IF(Table1[[#This Row],[Customer Ratings]]=3, "Average","Poor"))</f>
        <v>Good</v>
      </c>
      <c r="S2457" s="3" t="s">
        <v>32</v>
      </c>
    </row>
    <row r="2458" spans="1:19" x14ac:dyDescent="0.25">
      <c r="A2458" s="3">
        <v>2457</v>
      </c>
      <c r="B2458" s="5">
        <f>DATE(Table1[[#This Row],[Year]],Table1[[#This Row],[Month]],Table1[[#This Row],[Day]])</f>
        <v>45175</v>
      </c>
      <c r="C2458" s="3">
        <v>6</v>
      </c>
      <c r="D2458" s="3">
        <v>9</v>
      </c>
      <c r="E2458" s="3">
        <v>2023</v>
      </c>
      <c r="F2458" s="3" t="str">
        <f>"Qtr"&amp; " " &amp;CHOOSE(MONTH(Table1[[#This Row],[Date]]),1,1,1,2,2,2,3,3,3,4,4,4)</f>
        <v>Qtr 3</v>
      </c>
      <c r="G2458" s="3" t="str">
        <f>TEXT(Table1[[#This Row],[Date]],"mmmm")</f>
        <v>September</v>
      </c>
      <c r="H2458" s="3" t="s">
        <v>1083</v>
      </c>
      <c r="I2458" s="3" t="s">
        <v>28</v>
      </c>
      <c r="J2458" s="3">
        <v>9</v>
      </c>
      <c r="K2458" s="3">
        <v>16382.09</v>
      </c>
      <c r="L2458" s="3">
        <f>Table1[[#This Row],[Price Per Unit]]*Table1[[#This Row],[Units Sold]]</f>
        <v>147438.81</v>
      </c>
      <c r="M2458" s="3" t="s">
        <v>537</v>
      </c>
      <c r="N2458" s="3">
        <v>18</v>
      </c>
      <c r="O2458" s="3" t="s">
        <v>20</v>
      </c>
      <c r="P2458" s="3" t="s">
        <v>45</v>
      </c>
      <c r="Q2458" s="4">
        <v>2</v>
      </c>
      <c r="R2458" s="4" t="str">
        <f>IF(Table1[[#This Row],[Customer Ratings]]&gt;=4, "Good",IF(Table1[[#This Row],[Customer Ratings]]=3, "Average","Poor"))</f>
        <v>Poor</v>
      </c>
      <c r="S2458" s="3" t="s">
        <v>32</v>
      </c>
    </row>
    <row r="2459" spans="1:19" x14ac:dyDescent="0.25">
      <c r="A2459" s="3">
        <v>2458</v>
      </c>
      <c r="B2459" s="5">
        <f>DATE(Table1[[#This Row],[Year]],Table1[[#This Row],[Month]],Table1[[#This Row],[Day]])</f>
        <v>45175</v>
      </c>
      <c r="C2459" s="3">
        <v>6</v>
      </c>
      <c r="D2459" s="3">
        <v>9</v>
      </c>
      <c r="E2459" s="3">
        <v>2023</v>
      </c>
      <c r="F2459" s="3" t="str">
        <f>"Qtr"&amp; " " &amp;CHOOSE(MONTH(Table1[[#This Row],[Date]]),1,1,1,2,2,2,3,3,3,4,4,4)</f>
        <v>Qtr 3</v>
      </c>
      <c r="G2459" s="3" t="str">
        <f>TEXT(Table1[[#This Row],[Date]],"mmmm")</f>
        <v>September</v>
      </c>
      <c r="H2459" s="3" t="s">
        <v>1083</v>
      </c>
      <c r="I2459" s="3" t="s">
        <v>28</v>
      </c>
      <c r="J2459" s="3">
        <v>1</v>
      </c>
      <c r="K2459" s="3">
        <v>14940.95</v>
      </c>
      <c r="L2459" s="3">
        <f>Table1[[#This Row],[Price Per Unit]]*Table1[[#This Row],[Units Sold]]</f>
        <v>14940.95</v>
      </c>
      <c r="M2459" s="3" t="s">
        <v>612</v>
      </c>
      <c r="N2459" s="3">
        <v>28</v>
      </c>
      <c r="O2459" s="3" t="s">
        <v>102</v>
      </c>
      <c r="P2459" s="3" t="s">
        <v>21</v>
      </c>
      <c r="Q2459" s="4">
        <v>3</v>
      </c>
      <c r="R2459" s="4" t="str">
        <f>IF(Table1[[#This Row],[Customer Ratings]]&gt;=4, "Good",IF(Table1[[#This Row],[Customer Ratings]]=3, "Average","Poor"))</f>
        <v>Average</v>
      </c>
      <c r="S2459" s="3" t="s">
        <v>38</v>
      </c>
    </row>
    <row r="2460" spans="1:19" x14ac:dyDescent="0.25">
      <c r="A2460" s="3">
        <v>2459</v>
      </c>
      <c r="B2460" s="5">
        <f>DATE(Table1[[#This Row],[Year]],Table1[[#This Row],[Month]],Table1[[#This Row],[Day]])</f>
        <v>45175</v>
      </c>
      <c r="C2460" s="3">
        <v>6</v>
      </c>
      <c r="D2460" s="3">
        <v>9</v>
      </c>
      <c r="E2460" s="3">
        <v>2023</v>
      </c>
      <c r="F2460" s="3" t="str">
        <f>"Qtr"&amp; " " &amp;CHOOSE(MONTH(Table1[[#This Row],[Date]]),1,1,1,2,2,2,3,3,3,4,4,4)</f>
        <v>Qtr 3</v>
      </c>
      <c r="G2460" s="3" t="str">
        <f>TEXT(Table1[[#This Row],[Date]],"mmmm")</f>
        <v>September</v>
      </c>
      <c r="H2460" s="3" t="s">
        <v>1083</v>
      </c>
      <c r="I2460" s="3" t="s">
        <v>13</v>
      </c>
      <c r="J2460" s="3">
        <v>3</v>
      </c>
      <c r="K2460" s="3">
        <v>10162.07</v>
      </c>
      <c r="L2460" s="3">
        <f>Table1[[#This Row],[Price Per Unit]]*Table1[[#This Row],[Units Sold]]</f>
        <v>30486.21</v>
      </c>
      <c r="M2460" s="3" t="s">
        <v>626</v>
      </c>
      <c r="N2460" s="3">
        <v>41</v>
      </c>
      <c r="O2460" s="3" t="s">
        <v>20</v>
      </c>
      <c r="P2460" s="3" t="s">
        <v>16</v>
      </c>
      <c r="Q2460" s="4">
        <v>5</v>
      </c>
      <c r="R2460" s="4" t="str">
        <f>IF(Table1[[#This Row],[Customer Ratings]]&gt;=4, "Good",IF(Table1[[#This Row],[Customer Ratings]]=3, "Average","Poor"))</f>
        <v>Good</v>
      </c>
      <c r="S2460" s="3" t="s">
        <v>27</v>
      </c>
    </row>
    <row r="2461" spans="1:19" x14ac:dyDescent="0.25">
      <c r="A2461" s="3">
        <v>2460</v>
      </c>
      <c r="B2461" s="5">
        <f>DATE(Table1[[#This Row],[Year]],Table1[[#This Row],[Month]],Table1[[#This Row],[Day]])</f>
        <v>45176</v>
      </c>
      <c r="C2461" s="3">
        <v>7</v>
      </c>
      <c r="D2461" s="3">
        <v>9</v>
      </c>
      <c r="E2461" s="3">
        <v>2023</v>
      </c>
      <c r="F2461" s="3" t="str">
        <f>"Qtr"&amp; " " &amp;CHOOSE(MONTH(Table1[[#This Row],[Date]]),1,1,1,2,2,2,3,3,3,4,4,4)</f>
        <v>Qtr 3</v>
      </c>
      <c r="G2461" s="3" t="str">
        <f>TEXT(Table1[[#This Row],[Date]],"mmmm")</f>
        <v>September</v>
      </c>
      <c r="H2461" s="3" t="s">
        <v>1084</v>
      </c>
      <c r="I2461" s="3" t="s">
        <v>28</v>
      </c>
      <c r="J2461" s="3">
        <v>2</v>
      </c>
      <c r="K2461" s="3">
        <v>35956.080000000002</v>
      </c>
      <c r="L2461" s="3">
        <f>Table1[[#This Row],[Price Per Unit]]*Table1[[#This Row],[Units Sold]]</f>
        <v>71912.160000000003</v>
      </c>
      <c r="M2461" s="3" t="s">
        <v>243</v>
      </c>
      <c r="N2461" s="3">
        <v>27</v>
      </c>
      <c r="O2461" s="3" t="s">
        <v>20</v>
      </c>
      <c r="P2461" s="3" t="s">
        <v>31</v>
      </c>
      <c r="Q2461" s="4">
        <v>5</v>
      </c>
      <c r="R2461" s="4" t="str">
        <f>IF(Table1[[#This Row],[Customer Ratings]]&gt;=4, "Good",IF(Table1[[#This Row],[Customer Ratings]]=3, "Average","Poor"))</f>
        <v>Good</v>
      </c>
      <c r="S2461" s="3" t="s">
        <v>87</v>
      </c>
    </row>
    <row r="2462" spans="1:19" x14ac:dyDescent="0.25">
      <c r="A2462" s="3">
        <v>2461</v>
      </c>
      <c r="B2462" s="5">
        <f>DATE(Table1[[#This Row],[Year]],Table1[[#This Row],[Month]],Table1[[#This Row],[Day]])</f>
        <v>45176</v>
      </c>
      <c r="C2462" s="3">
        <v>7</v>
      </c>
      <c r="D2462" s="3">
        <v>9</v>
      </c>
      <c r="E2462" s="3">
        <v>2023</v>
      </c>
      <c r="F2462" s="3" t="str">
        <f>"Qtr"&amp; " " &amp;CHOOSE(MONTH(Table1[[#This Row],[Date]]),1,1,1,2,2,2,3,3,3,4,4,4)</f>
        <v>Qtr 3</v>
      </c>
      <c r="G2462" s="3" t="str">
        <f>TEXT(Table1[[#This Row],[Date]],"mmmm")</f>
        <v>September</v>
      </c>
      <c r="H2462" s="3" t="s">
        <v>1084</v>
      </c>
      <c r="I2462" s="3" t="s">
        <v>18</v>
      </c>
      <c r="J2462" s="3">
        <v>3</v>
      </c>
      <c r="K2462" s="3">
        <v>40195.83</v>
      </c>
      <c r="L2462" s="3">
        <f>Table1[[#This Row],[Price Per Unit]]*Table1[[#This Row],[Units Sold]]</f>
        <v>120587.49</v>
      </c>
      <c r="M2462" s="3" t="s">
        <v>382</v>
      </c>
      <c r="N2462" s="3">
        <v>31</v>
      </c>
      <c r="O2462" s="3" t="s">
        <v>52</v>
      </c>
      <c r="P2462" s="3" t="s">
        <v>21</v>
      </c>
      <c r="Q2462" s="4">
        <v>5</v>
      </c>
      <c r="R2462" s="4" t="str">
        <f>IF(Table1[[#This Row],[Customer Ratings]]&gt;=4, "Good",IF(Table1[[#This Row],[Customer Ratings]]=3, "Average","Poor"))</f>
        <v>Good</v>
      </c>
      <c r="S2462" s="3" t="s">
        <v>25</v>
      </c>
    </row>
    <row r="2463" spans="1:19" x14ac:dyDescent="0.25">
      <c r="A2463" s="3">
        <v>2462</v>
      </c>
      <c r="B2463" s="5">
        <f>DATE(Table1[[#This Row],[Year]],Table1[[#This Row],[Month]],Table1[[#This Row],[Day]])</f>
        <v>45176</v>
      </c>
      <c r="C2463" s="3">
        <v>7</v>
      </c>
      <c r="D2463" s="3">
        <v>9</v>
      </c>
      <c r="E2463" s="3">
        <v>2023</v>
      </c>
      <c r="F2463" s="3" t="str">
        <f>"Qtr"&amp; " " &amp;CHOOSE(MONTH(Table1[[#This Row],[Date]]),1,1,1,2,2,2,3,3,3,4,4,4)</f>
        <v>Qtr 3</v>
      </c>
      <c r="G2463" s="3" t="str">
        <f>TEXT(Table1[[#This Row],[Date]],"mmmm")</f>
        <v>September</v>
      </c>
      <c r="H2463" s="3" t="s">
        <v>1084</v>
      </c>
      <c r="I2463" s="3" t="s">
        <v>33</v>
      </c>
      <c r="J2463" s="3">
        <v>9</v>
      </c>
      <c r="K2463" s="3">
        <v>48259.839999999997</v>
      </c>
      <c r="L2463" s="3">
        <f>Table1[[#This Row],[Price Per Unit]]*Table1[[#This Row],[Units Sold]]</f>
        <v>434338.55999999994</v>
      </c>
      <c r="M2463" s="3" t="s">
        <v>693</v>
      </c>
      <c r="N2463" s="3">
        <v>31</v>
      </c>
      <c r="O2463" s="3" t="s">
        <v>48</v>
      </c>
      <c r="P2463" s="3" t="s">
        <v>21</v>
      </c>
      <c r="Q2463" s="4">
        <v>4</v>
      </c>
      <c r="R2463" s="4" t="str">
        <f>IF(Table1[[#This Row],[Customer Ratings]]&gt;=4, "Good",IF(Table1[[#This Row],[Customer Ratings]]=3, "Average","Poor"))</f>
        <v>Good</v>
      </c>
      <c r="S2463" s="3" t="s">
        <v>83</v>
      </c>
    </row>
    <row r="2464" spans="1:19" x14ac:dyDescent="0.25">
      <c r="A2464" s="3">
        <v>2463</v>
      </c>
      <c r="B2464" s="5">
        <f>DATE(Table1[[#This Row],[Year]],Table1[[#This Row],[Month]],Table1[[#This Row],[Day]])</f>
        <v>45176</v>
      </c>
      <c r="C2464" s="3">
        <v>7</v>
      </c>
      <c r="D2464" s="3">
        <v>9</v>
      </c>
      <c r="E2464" s="3">
        <v>2023</v>
      </c>
      <c r="F2464" s="3" t="str">
        <f>"Qtr"&amp; " " &amp;CHOOSE(MONTH(Table1[[#This Row],[Date]]),1,1,1,2,2,2,3,3,3,4,4,4)</f>
        <v>Qtr 3</v>
      </c>
      <c r="G2464" s="3" t="str">
        <f>TEXT(Table1[[#This Row],[Date]],"mmmm")</f>
        <v>September</v>
      </c>
      <c r="H2464" s="3" t="s">
        <v>1084</v>
      </c>
      <c r="I2464" s="3" t="s">
        <v>18</v>
      </c>
      <c r="J2464" s="3">
        <v>9</v>
      </c>
      <c r="K2464" s="3">
        <v>27763.83</v>
      </c>
      <c r="L2464" s="3">
        <f>Table1[[#This Row],[Price Per Unit]]*Table1[[#This Row],[Units Sold]]</f>
        <v>249874.47000000003</v>
      </c>
      <c r="M2464" s="3" t="s">
        <v>841</v>
      </c>
      <c r="N2464" s="3">
        <v>24</v>
      </c>
      <c r="O2464" s="3" t="s">
        <v>24</v>
      </c>
      <c r="P2464" s="3" t="s">
        <v>16</v>
      </c>
      <c r="Q2464" s="4">
        <v>5</v>
      </c>
      <c r="R2464" s="4" t="str">
        <f>IF(Table1[[#This Row],[Customer Ratings]]&gt;=4, "Good",IF(Table1[[#This Row],[Customer Ratings]]=3, "Average","Poor"))</f>
        <v>Good</v>
      </c>
      <c r="S2464" s="3" t="s">
        <v>25</v>
      </c>
    </row>
    <row r="2465" spans="1:19" x14ac:dyDescent="0.25">
      <c r="A2465" s="3">
        <v>2464</v>
      </c>
      <c r="B2465" s="5">
        <f>DATE(Table1[[#This Row],[Year]],Table1[[#This Row],[Month]],Table1[[#This Row],[Day]])</f>
        <v>45177</v>
      </c>
      <c r="C2465" s="3">
        <v>8</v>
      </c>
      <c r="D2465" s="3">
        <v>9</v>
      </c>
      <c r="E2465" s="3">
        <v>2023</v>
      </c>
      <c r="F2465" s="3" t="str">
        <f>"Qtr"&amp; " " &amp;CHOOSE(MONTH(Table1[[#This Row],[Date]]),1,1,1,2,2,2,3,3,3,4,4,4)</f>
        <v>Qtr 3</v>
      </c>
      <c r="G2465" s="3" t="str">
        <f>TEXT(Table1[[#This Row],[Date]],"mmmm")</f>
        <v>September</v>
      </c>
      <c r="H2465" s="3" t="s">
        <v>1085</v>
      </c>
      <c r="I2465" s="3" t="s">
        <v>18</v>
      </c>
      <c r="J2465" s="3">
        <v>2</v>
      </c>
      <c r="K2465" s="3">
        <v>52625.48</v>
      </c>
      <c r="L2465" s="3">
        <f>Table1[[#This Row],[Price Per Unit]]*Table1[[#This Row],[Units Sold]]</f>
        <v>105250.96</v>
      </c>
      <c r="M2465" s="3" t="s">
        <v>228</v>
      </c>
      <c r="N2465" s="3">
        <v>40</v>
      </c>
      <c r="O2465" s="3" t="s">
        <v>52</v>
      </c>
      <c r="P2465" s="3" t="s">
        <v>31</v>
      </c>
      <c r="Q2465" s="4">
        <v>5</v>
      </c>
      <c r="R2465" s="4" t="str">
        <f>IF(Table1[[#This Row],[Customer Ratings]]&gt;=4, "Good",IF(Table1[[#This Row],[Customer Ratings]]=3, "Average","Poor"))</f>
        <v>Good</v>
      </c>
      <c r="S2465" s="3" t="s">
        <v>22</v>
      </c>
    </row>
    <row r="2466" spans="1:19" x14ac:dyDescent="0.25">
      <c r="A2466" s="3">
        <v>2465</v>
      </c>
      <c r="B2466" s="5">
        <f>DATE(Table1[[#This Row],[Year]],Table1[[#This Row],[Month]],Table1[[#This Row],[Day]])</f>
        <v>45177</v>
      </c>
      <c r="C2466" s="3">
        <v>8</v>
      </c>
      <c r="D2466" s="3">
        <v>9</v>
      </c>
      <c r="E2466" s="3">
        <v>2023</v>
      </c>
      <c r="F2466" s="3" t="str">
        <f>"Qtr"&amp; " " &amp;CHOOSE(MONTH(Table1[[#This Row],[Date]]),1,1,1,2,2,2,3,3,3,4,4,4)</f>
        <v>Qtr 3</v>
      </c>
      <c r="G2466" s="3" t="str">
        <f>TEXT(Table1[[#This Row],[Date]],"mmmm")</f>
        <v>September</v>
      </c>
      <c r="H2466" s="3" t="s">
        <v>1085</v>
      </c>
      <c r="I2466" s="3" t="s">
        <v>33</v>
      </c>
      <c r="J2466" s="3">
        <v>3</v>
      </c>
      <c r="K2466" s="3">
        <v>20159.91</v>
      </c>
      <c r="L2466" s="3">
        <f>Table1[[#This Row],[Price Per Unit]]*Table1[[#This Row],[Units Sold]]</f>
        <v>60479.729999999996</v>
      </c>
      <c r="M2466" s="3" t="s">
        <v>582</v>
      </c>
      <c r="N2466" s="3">
        <v>39</v>
      </c>
      <c r="O2466" s="3" t="s">
        <v>125</v>
      </c>
      <c r="P2466" s="3" t="s">
        <v>45</v>
      </c>
      <c r="Q2466" s="4">
        <v>5</v>
      </c>
      <c r="R2466" s="4" t="str">
        <f>IF(Table1[[#This Row],[Customer Ratings]]&gt;=4, "Good",IF(Table1[[#This Row],[Customer Ratings]]=3, "Average","Poor"))</f>
        <v>Good</v>
      </c>
      <c r="S2466" s="3" t="s">
        <v>83</v>
      </c>
    </row>
    <row r="2467" spans="1:19" x14ac:dyDescent="0.25">
      <c r="A2467" s="3">
        <v>2466</v>
      </c>
      <c r="B2467" s="5">
        <f>DATE(Table1[[#This Row],[Year]],Table1[[#This Row],[Month]],Table1[[#This Row],[Day]])</f>
        <v>45177</v>
      </c>
      <c r="C2467" s="3">
        <v>8</v>
      </c>
      <c r="D2467" s="3">
        <v>9</v>
      </c>
      <c r="E2467" s="3">
        <v>2023</v>
      </c>
      <c r="F2467" s="3" t="str">
        <f>"Qtr"&amp; " " &amp;CHOOSE(MONTH(Table1[[#This Row],[Date]]),1,1,1,2,2,2,3,3,3,4,4,4)</f>
        <v>Qtr 3</v>
      </c>
      <c r="G2467" s="3" t="str">
        <f>TEXT(Table1[[#This Row],[Date]],"mmmm")</f>
        <v>September</v>
      </c>
      <c r="H2467" s="3" t="s">
        <v>1085</v>
      </c>
      <c r="I2467" s="3" t="s">
        <v>18</v>
      </c>
      <c r="J2467" s="3">
        <v>4</v>
      </c>
      <c r="K2467" s="3">
        <v>59919.4</v>
      </c>
      <c r="L2467" s="3">
        <f>Table1[[#This Row],[Price Per Unit]]*Table1[[#This Row],[Units Sold]]</f>
        <v>239677.6</v>
      </c>
      <c r="M2467" s="3" t="s">
        <v>482</v>
      </c>
      <c r="N2467" s="3">
        <v>53</v>
      </c>
      <c r="O2467" s="3" t="s">
        <v>20</v>
      </c>
      <c r="P2467" s="3" t="s">
        <v>16</v>
      </c>
      <c r="Q2467" s="4">
        <v>4</v>
      </c>
      <c r="R2467" s="4" t="str">
        <f>IF(Table1[[#This Row],[Customer Ratings]]&gt;=4, "Good",IF(Table1[[#This Row],[Customer Ratings]]=3, "Average","Poor"))</f>
        <v>Good</v>
      </c>
      <c r="S2467" s="3" t="s">
        <v>55</v>
      </c>
    </row>
    <row r="2468" spans="1:19" x14ac:dyDescent="0.25">
      <c r="A2468" s="3">
        <v>2467</v>
      </c>
      <c r="B2468" s="5">
        <f>DATE(Table1[[#This Row],[Year]],Table1[[#This Row],[Month]],Table1[[#This Row],[Day]])</f>
        <v>45178</v>
      </c>
      <c r="C2468" s="3">
        <v>9</v>
      </c>
      <c r="D2468" s="3">
        <v>9</v>
      </c>
      <c r="E2468" s="3">
        <v>2023</v>
      </c>
      <c r="F2468" s="3" t="str">
        <f>"Qtr"&amp; " " &amp;CHOOSE(MONTH(Table1[[#This Row],[Date]]),1,1,1,2,2,2,3,3,3,4,4,4)</f>
        <v>Qtr 3</v>
      </c>
      <c r="G2468" s="3" t="str">
        <f>TEXT(Table1[[#This Row],[Date]],"mmmm")</f>
        <v>September</v>
      </c>
      <c r="H2468" s="3" t="s">
        <v>1079</v>
      </c>
      <c r="I2468" s="3" t="s">
        <v>13</v>
      </c>
      <c r="J2468" s="3">
        <v>9</v>
      </c>
      <c r="K2468" s="3">
        <v>44310.9</v>
      </c>
      <c r="L2468" s="3">
        <f>Table1[[#This Row],[Price Per Unit]]*Table1[[#This Row],[Units Sold]]</f>
        <v>398798.10000000003</v>
      </c>
      <c r="M2468" s="3" t="s">
        <v>687</v>
      </c>
      <c r="N2468" s="3">
        <v>44</v>
      </c>
      <c r="O2468" s="3" t="s">
        <v>20</v>
      </c>
      <c r="P2468" s="3" t="s">
        <v>31</v>
      </c>
      <c r="Q2468" s="4">
        <v>3</v>
      </c>
      <c r="R2468" s="4" t="str">
        <f>IF(Table1[[#This Row],[Customer Ratings]]&gt;=4, "Good",IF(Table1[[#This Row],[Customer Ratings]]=3, "Average","Poor"))</f>
        <v>Average</v>
      </c>
      <c r="S2468" s="3" t="s">
        <v>17</v>
      </c>
    </row>
    <row r="2469" spans="1:19" x14ac:dyDescent="0.25">
      <c r="A2469" s="3">
        <v>2468</v>
      </c>
      <c r="B2469" s="5">
        <f>DATE(Table1[[#This Row],[Year]],Table1[[#This Row],[Month]],Table1[[#This Row],[Day]])</f>
        <v>45178</v>
      </c>
      <c r="C2469" s="3">
        <v>9</v>
      </c>
      <c r="D2469" s="3">
        <v>9</v>
      </c>
      <c r="E2469" s="3">
        <v>2023</v>
      </c>
      <c r="F2469" s="3" t="str">
        <f>"Qtr"&amp; " " &amp;CHOOSE(MONTH(Table1[[#This Row],[Date]]),1,1,1,2,2,2,3,3,3,4,4,4)</f>
        <v>Qtr 3</v>
      </c>
      <c r="G2469" s="3" t="str">
        <f>TEXT(Table1[[#This Row],[Date]],"mmmm")</f>
        <v>September</v>
      </c>
      <c r="H2469" s="3" t="s">
        <v>1079</v>
      </c>
      <c r="I2469" s="3" t="s">
        <v>33</v>
      </c>
      <c r="J2469" s="3">
        <v>3</v>
      </c>
      <c r="K2469" s="3">
        <v>45033.39</v>
      </c>
      <c r="L2469" s="3">
        <f>Table1[[#This Row],[Price Per Unit]]*Table1[[#This Row],[Units Sold]]</f>
        <v>135100.16999999998</v>
      </c>
      <c r="M2469" s="3" t="s">
        <v>943</v>
      </c>
      <c r="N2469" s="3">
        <v>19</v>
      </c>
      <c r="O2469" s="3" t="s">
        <v>24</v>
      </c>
      <c r="P2469" s="3" t="s">
        <v>21</v>
      </c>
      <c r="Q2469" s="4">
        <v>4</v>
      </c>
      <c r="R2469" s="4" t="str">
        <f>IF(Table1[[#This Row],[Customer Ratings]]&gt;=4, "Good",IF(Table1[[#This Row],[Customer Ratings]]=3, "Average","Poor"))</f>
        <v>Good</v>
      </c>
      <c r="S2469" s="3" t="s">
        <v>36</v>
      </c>
    </row>
    <row r="2470" spans="1:19" x14ac:dyDescent="0.25">
      <c r="A2470" s="3">
        <v>2469</v>
      </c>
      <c r="B2470" s="5">
        <f>DATE(Table1[[#This Row],[Year]],Table1[[#This Row],[Month]],Table1[[#This Row],[Day]])</f>
        <v>45178</v>
      </c>
      <c r="C2470" s="3">
        <v>9</v>
      </c>
      <c r="D2470" s="3">
        <v>9</v>
      </c>
      <c r="E2470" s="3">
        <v>2023</v>
      </c>
      <c r="F2470" s="3" t="str">
        <f>"Qtr"&amp; " " &amp;CHOOSE(MONTH(Table1[[#This Row],[Date]]),1,1,1,2,2,2,3,3,3,4,4,4)</f>
        <v>Qtr 3</v>
      </c>
      <c r="G2470" s="3" t="str">
        <f>TEXT(Table1[[#This Row],[Date]],"mmmm")</f>
        <v>September</v>
      </c>
      <c r="H2470" s="3" t="s">
        <v>1079</v>
      </c>
      <c r="I2470" s="3" t="s">
        <v>18</v>
      </c>
      <c r="J2470" s="3">
        <v>7</v>
      </c>
      <c r="K2470" s="3">
        <v>22586.52</v>
      </c>
      <c r="L2470" s="3">
        <f>Table1[[#This Row],[Price Per Unit]]*Table1[[#This Row],[Units Sold]]</f>
        <v>158105.64000000001</v>
      </c>
      <c r="M2470" s="3" t="s">
        <v>101</v>
      </c>
      <c r="N2470" s="3">
        <v>56</v>
      </c>
      <c r="O2470" s="3" t="s">
        <v>120</v>
      </c>
      <c r="P2470" s="3" t="s">
        <v>16</v>
      </c>
      <c r="Q2470" s="4">
        <v>2</v>
      </c>
      <c r="R2470" s="4" t="str">
        <f>IF(Table1[[#This Row],[Customer Ratings]]&gt;=4, "Good",IF(Table1[[#This Row],[Customer Ratings]]=3, "Average","Poor"))</f>
        <v>Poor</v>
      </c>
      <c r="S2470" s="3" t="s">
        <v>22</v>
      </c>
    </row>
    <row r="2471" spans="1:19" x14ac:dyDescent="0.25">
      <c r="A2471" s="3">
        <v>2470</v>
      </c>
      <c r="B2471" s="5">
        <f>DATE(Table1[[#This Row],[Year]],Table1[[#This Row],[Month]],Table1[[#This Row],[Day]])</f>
        <v>45178</v>
      </c>
      <c r="C2471" s="3">
        <v>9</v>
      </c>
      <c r="D2471" s="3">
        <v>9</v>
      </c>
      <c r="E2471" s="3">
        <v>2023</v>
      </c>
      <c r="F2471" s="3" t="str">
        <f>"Qtr"&amp; " " &amp;CHOOSE(MONTH(Table1[[#This Row],[Date]]),1,1,1,2,2,2,3,3,3,4,4,4)</f>
        <v>Qtr 3</v>
      </c>
      <c r="G2471" s="3" t="str">
        <f>TEXT(Table1[[#This Row],[Date]],"mmmm")</f>
        <v>September</v>
      </c>
      <c r="H2471" s="3" t="s">
        <v>1079</v>
      </c>
      <c r="I2471" s="3" t="s">
        <v>39</v>
      </c>
      <c r="J2471" s="3">
        <v>3</v>
      </c>
      <c r="K2471" s="3">
        <v>14446.52</v>
      </c>
      <c r="L2471" s="3">
        <f>Table1[[#This Row],[Price Per Unit]]*Table1[[#This Row],[Units Sold]]</f>
        <v>43339.56</v>
      </c>
      <c r="M2471" s="3" t="s">
        <v>975</v>
      </c>
      <c r="N2471" s="3">
        <v>36</v>
      </c>
      <c r="O2471" s="3" t="s">
        <v>20</v>
      </c>
      <c r="P2471" s="3" t="s">
        <v>21</v>
      </c>
      <c r="Q2471" s="4">
        <v>4</v>
      </c>
      <c r="R2471" s="4" t="str">
        <f>IF(Table1[[#This Row],[Customer Ratings]]&gt;=4, "Good",IF(Table1[[#This Row],[Customer Ratings]]=3, "Average","Poor"))</f>
        <v>Good</v>
      </c>
      <c r="S2471" s="3" t="s">
        <v>42</v>
      </c>
    </row>
    <row r="2472" spans="1:19" x14ac:dyDescent="0.25">
      <c r="A2472" s="3">
        <v>2471</v>
      </c>
      <c r="B2472" s="5">
        <f>DATE(Table1[[#This Row],[Year]],Table1[[#This Row],[Month]],Table1[[#This Row],[Day]])</f>
        <v>45179</v>
      </c>
      <c r="C2472" s="3">
        <v>10</v>
      </c>
      <c r="D2472" s="3">
        <v>9</v>
      </c>
      <c r="E2472" s="3">
        <v>2023</v>
      </c>
      <c r="F2472" s="3" t="str">
        <f>"Qtr"&amp; " " &amp;CHOOSE(MONTH(Table1[[#This Row],[Date]]),1,1,1,2,2,2,3,3,3,4,4,4)</f>
        <v>Qtr 3</v>
      </c>
      <c r="G2472" s="3" t="str">
        <f>TEXT(Table1[[#This Row],[Date]],"mmmm")</f>
        <v>September</v>
      </c>
      <c r="H2472" s="3" t="s">
        <v>1080</v>
      </c>
      <c r="I2472" s="3" t="s">
        <v>18</v>
      </c>
      <c r="J2472" s="3">
        <v>7</v>
      </c>
      <c r="K2472" s="3">
        <v>37883.49</v>
      </c>
      <c r="L2472" s="3">
        <f>Table1[[#This Row],[Price Per Unit]]*Table1[[#This Row],[Units Sold]]</f>
        <v>265184.43</v>
      </c>
      <c r="M2472" s="3" t="s">
        <v>976</v>
      </c>
      <c r="N2472" s="3">
        <v>24</v>
      </c>
      <c r="O2472" s="3" t="s">
        <v>48</v>
      </c>
      <c r="P2472" s="3" t="s">
        <v>31</v>
      </c>
      <c r="Q2472" s="4">
        <v>2</v>
      </c>
      <c r="R2472" s="4" t="str">
        <f>IF(Table1[[#This Row],[Customer Ratings]]&gt;=4, "Good",IF(Table1[[#This Row],[Customer Ratings]]=3, "Average","Poor"))</f>
        <v>Poor</v>
      </c>
      <c r="S2472" s="3" t="s">
        <v>55</v>
      </c>
    </row>
    <row r="2473" spans="1:19" x14ac:dyDescent="0.25">
      <c r="A2473" s="3">
        <v>2472</v>
      </c>
      <c r="B2473" s="5">
        <f>DATE(Table1[[#This Row],[Year]],Table1[[#This Row],[Month]],Table1[[#This Row],[Day]])</f>
        <v>45179</v>
      </c>
      <c r="C2473" s="3">
        <v>10</v>
      </c>
      <c r="D2473" s="3">
        <v>9</v>
      </c>
      <c r="E2473" s="3">
        <v>2023</v>
      </c>
      <c r="F2473" s="3" t="str">
        <f>"Qtr"&amp; " " &amp;CHOOSE(MONTH(Table1[[#This Row],[Date]]),1,1,1,2,2,2,3,3,3,4,4,4)</f>
        <v>Qtr 3</v>
      </c>
      <c r="G2473" s="3" t="str">
        <f>TEXT(Table1[[#This Row],[Date]],"mmmm")</f>
        <v>September</v>
      </c>
      <c r="H2473" s="3" t="s">
        <v>1080</v>
      </c>
      <c r="I2473" s="3" t="s">
        <v>13</v>
      </c>
      <c r="J2473" s="3">
        <v>7</v>
      </c>
      <c r="K2473" s="3">
        <v>46936.72</v>
      </c>
      <c r="L2473" s="3">
        <f>Table1[[#This Row],[Price Per Unit]]*Table1[[#This Row],[Units Sold]]</f>
        <v>328557.04000000004</v>
      </c>
      <c r="M2473" s="3" t="s">
        <v>804</v>
      </c>
      <c r="N2473" s="3">
        <v>29</v>
      </c>
      <c r="O2473" s="3" t="s">
        <v>24</v>
      </c>
      <c r="P2473" s="3" t="s">
        <v>45</v>
      </c>
      <c r="Q2473" s="4">
        <v>5</v>
      </c>
      <c r="R2473" s="4" t="str">
        <f>IF(Table1[[#This Row],[Customer Ratings]]&gt;=4, "Good",IF(Table1[[#This Row],[Customer Ratings]]=3, "Average","Poor"))</f>
        <v>Good</v>
      </c>
      <c r="S2473" s="3" t="s">
        <v>27</v>
      </c>
    </row>
    <row r="2474" spans="1:19" x14ac:dyDescent="0.25">
      <c r="A2474" s="3">
        <v>2473</v>
      </c>
      <c r="B2474" s="5">
        <f>DATE(Table1[[#This Row],[Year]],Table1[[#This Row],[Month]],Table1[[#This Row],[Day]])</f>
        <v>45179</v>
      </c>
      <c r="C2474" s="3">
        <v>10</v>
      </c>
      <c r="D2474" s="3">
        <v>9</v>
      </c>
      <c r="E2474" s="3">
        <v>2023</v>
      </c>
      <c r="F2474" s="3" t="str">
        <f>"Qtr"&amp; " " &amp;CHOOSE(MONTH(Table1[[#This Row],[Date]]),1,1,1,2,2,2,3,3,3,4,4,4)</f>
        <v>Qtr 3</v>
      </c>
      <c r="G2474" s="3" t="str">
        <f>TEXT(Table1[[#This Row],[Date]],"mmmm")</f>
        <v>September</v>
      </c>
      <c r="H2474" s="3" t="s">
        <v>1080</v>
      </c>
      <c r="I2474" s="3" t="s">
        <v>28</v>
      </c>
      <c r="J2474" s="3">
        <v>9</v>
      </c>
      <c r="K2474" s="3">
        <v>15702.79</v>
      </c>
      <c r="L2474" s="3">
        <f>Table1[[#This Row],[Price Per Unit]]*Table1[[#This Row],[Units Sold]]</f>
        <v>141325.11000000002</v>
      </c>
      <c r="M2474" s="3" t="s">
        <v>772</v>
      </c>
      <c r="N2474" s="3">
        <v>20</v>
      </c>
      <c r="O2474" s="3" t="s">
        <v>81</v>
      </c>
      <c r="P2474" s="3" t="s">
        <v>45</v>
      </c>
      <c r="Q2474" s="4">
        <v>2</v>
      </c>
      <c r="R2474" s="4" t="str">
        <f>IF(Table1[[#This Row],[Customer Ratings]]&gt;=4, "Good",IF(Table1[[#This Row],[Customer Ratings]]=3, "Average","Poor"))</f>
        <v>Poor</v>
      </c>
      <c r="S2474" s="3" t="s">
        <v>87</v>
      </c>
    </row>
    <row r="2475" spans="1:19" x14ac:dyDescent="0.25">
      <c r="A2475" s="3">
        <v>2474</v>
      </c>
      <c r="B2475" s="5">
        <f>DATE(Table1[[#This Row],[Year]],Table1[[#This Row],[Month]],Table1[[#This Row],[Day]])</f>
        <v>45179</v>
      </c>
      <c r="C2475" s="3">
        <v>10</v>
      </c>
      <c r="D2475" s="3">
        <v>9</v>
      </c>
      <c r="E2475" s="3">
        <v>2023</v>
      </c>
      <c r="F2475" s="3" t="str">
        <f>"Qtr"&amp; " " &amp;CHOOSE(MONTH(Table1[[#This Row],[Date]]),1,1,1,2,2,2,3,3,3,4,4,4)</f>
        <v>Qtr 3</v>
      </c>
      <c r="G2475" s="3" t="str">
        <f>TEXT(Table1[[#This Row],[Date]],"mmmm")</f>
        <v>September</v>
      </c>
      <c r="H2475" s="3" t="s">
        <v>1080</v>
      </c>
      <c r="I2475" s="3" t="s">
        <v>18</v>
      </c>
      <c r="J2475" s="3">
        <v>2</v>
      </c>
      <c r="K2475" s="3">
        <v>67032.070000000007</v>
      </c>
      <c r="L2475" s="3">
        <f>Table1[[#This Row],[Price Per Unit]]*Table1[[#This Row],[Units Sold]]</f>
        <v>134064.14000000001</v>
      </c>
      <c r="M2475" s="3" t="s">
        <v>389</v>
      </c>
      <c r="N2475" s="3">
        <v>22</v>
      </c>
      <c r="O2475" s="3" t="s">
        <v>24</v>
      </c>
      <c r="P2475" s="3" t="s">
        <v>21</v>
      </c>
      <c r="Q2475" s="4">
        <v>5</v>
      </c>
      <c r="R2475" s="4" t="str">
        <f>IF(Table1[[#This Row],[Customer Ratings]]&gt;=4, "Good",IF(Table1[[#This Row],[Customer Ratings]]=3, "Average","Poor"))</f>
        <v>Good</v>
      </c>
      <c r="S2475" s="3" t="s">
        <v>55</v>
      </c>
    </row>
    <row r="2476" spans="1:19" x14ac:dyDescent="0.25">
      <c r="A2476" s="3">
        <v>2475</v>
      </c>
      <c r="B2476" s="5">
        <f>DATE(Table1[[#This Row],[Year]],Table1[[#This Row],[Month]],Table1[[#This Row],[Day]])</f>
        <v>45180</v>
      </c>
      <c r="C2476" s="3">
        <v>11</v>
      </c>
      <c r="D2476" s="3">
        <v>9</v>
      </c>
      <c r="E2476" s="3">
        <v>2023</v>
      </c>
      <c r="F2476" s="3" t="str">
        <f>"Qtr"&amp; " " &amp;CHOOSE(MONTH(Table1[[#This Row],[Date]]),1,1,1,2,2,2,3,3,3,4,4,4)</f>
        <v>Qtr 3</v>
      </c>
      <c r="G2476" s="3" t="str">
        <f>TEXT(Table1[[#This Row],[Date]],"mmmm")</f>
        <v>September</v>
      </c>
      <c r="H2476" s="3" t="s">
        <v>1081</v>
      </c>
      <c r="I2476" s="3" t="s">
        <v>28</v>
      </c>
      <c r="J2476" s="3">
        <v>6</v>
      </c>
      <c r="K2476" s="3">
        <v>68824.86</v>
      </c>
      <c r="L2476" s="3">
        <f>Table1[[#This Row],[Price Per Unit]]*Table1[[#This Row],[Units Sold]]</f>
        <v>412949.16000000003</v>
      </c>
      <c r="M2476" s="3" t="s">
        <v>505</v>
      </c>
      <c r="N2476" s="3">
        <v>25</v>
      </c>
      <c r="O2476" s="3" t="s">
        <v>20</v>
      </c>
      <c r="P2476" s="3" t="s">
        <v>21</v>
      </c>
      <c r="Q2476" s="4">
        <v>2</v>
      </c>
      <c r="R2476" s="4" t="str">
        <f>IF(Table1[[#This Row],[Customer Ratings]]&gt;=4, "Good",IF(Table1[[#This Row],[Customer Ratings]]=3, "Average","Poor"))</f>
        <v>Poor</v>
      </c>
      <c r="S2476" s="3" t="s">
        <v>38</v>
      </c>
    </row>
    <row r="2477" spans="1:19" x14ac:dyDescent="0.25">
      <c r="A2477" s="3">
        <v>2476</v>
      </c>
      <c r="B2477" s="5">
        <f>DATE(Table1[[#This Row],[Year]],Table1[[#This Row],[Month]],Table1[[#This Row],[Day]])</f>
        <v>45180</v>
      </c>
      <c r="C2477" s="3">
        <v>11</v>
      </c>
      <c r="D2477" s="3">
        <v>9</v>
      </c>
      <c r="E2477" s="3">
        <v>2023</v>
      </c>
      <c r="F2477" s="3" t="str">
        <f>"Qtr"&amp; " " &amp;CHOOSE(MONTH(Table1[[#This Row],[Date]]),1,1,1,2,2,2,3,3,3,4,4,4)</f>
        <v>Qtr 3</v>
      </c>
      <c r="G2477" s="3" t="str">
        <f>TEXT(Table1[[#This Row],[Date]],"mmmm")</f>
        <v>September</v>
      </c>
      <c r="H2477" s="3" t="s">
        <v>1081</v>
      </c>
      <c r="I2477" s="3" t="s">
        <v>39</v>
      </c>
      <c r="J2477" s="3">
        <v>9</v>
      </c>
      <c r="K2477" s="3">
        <v>42727.4</v>
      </c>
      <c r="L2477" s="3">
        <f>Table1[[#This Row],[Price Per Unit]]*Table1[[#This Row],[Units Sold]]</f>
        <v>384546.60000000003</v>
      </c>
      <c r="M2477" s="3" t="s">
        <v>977</v>
      </c>
      <c r="N2477" s="3">
        <v>31</v>
      </c>
      <c r="O2477" s="3" t="s">
        <v>52</v>
      </c>
      <c r="P2477" s="3" t="s">
        <v>21</v>
      </c>
      <c r="Q2477" s="4">
        <v>4</v>
      </c>
      <c r="R2477" s="4" t="str">
        <f>IF(Table1[[#This Row],[Customer Ratings]]&gt;=4, "Good",IF(Table1[[#This Row],[Customer Ratings]]=3, "Average","Poor"))</f>
        <v>Good</v>
      </c>
      <c r="S2477" s="3" t="s">
        <v>76</v>
      </c>
    </row>
    <row r="2478" spans="1:19" x14ac:dyDescent="0.25">
      <c r="A2478" s="3">
        <v>2477</v>
      </c>
      <c r="B2478" s="5">
        <f>DATE(Table1[[#This Row],[Year]],Table1[[#This Row],[Month]],Table1[[#This Row],[Day]])</f>
        <v>45180</v>
      </c>
      <c r="C2478" s="3">
        <v>11</v>
      </c>
      <c r="D2478" s="3">
        <v>9</v>
      </c>
      <c r="E2478" s="3">
        <v>2023</v>
      </c>
      <c r="F2478" s="3" t="str">
        <f>"Qtr"&amp; " " &amp;CHOOSE(MONTH(Table1[[#This Row],[Date]]),1,1,1,2,2,2,3,3,3,4,4,4)</f>
        <v>Qtr 3</v>
      </c>
      <c r="G2478" s="3" t="str">
        <f>TEXT(Table1[[#This Row],[Date]],"mmmm")</f>
        <v>September</v>
      </c>
      <c r="H2478" s="3" t="s">
        <v>1081</v>
      </c>
      <c r="I2478" s="3" t="s">
        <v>18</v>
      </c>
      <c r="J2478" s="3">
        <v>2</v>
      </c>
      <c r="K2478" s="3">
        <v>67004.149999999994</v>
      </c>
      <c r="L2478" s="3">
        <f>Table1[[#This Row],[Price Per Unit]]*Table1[[#This Row],[Units Sold]]</f>
        <v>134008.29999999999</v>
      </c>
      <c r="M2478" s="3" t="s">
        <v>403</v>
      </c>
      <c r="N2478" s="3">
        <v>53</v>
      </c>
      <c r="O2478" s="3" t="s">
        <v>20</v>
      </c>
      <c r="P2478" s="3" t="s">
        <v>16</v>
      </c>
      <c r="Q2478" s="4">
        <v>5</v>
      </c>
      <c r="R2478" s="4" t="str">
        <f>IF(Table1[[#This Row],[Customer Ratings]]&gt;=4, "Good",IF(Table1[[#This Row],[Customer Ratings]]=3, "Average","Poor"))</f>
        <v>Good</v>
      </c>
      <c r="S2478" s="3" t="s">
        <v>25</v>
      </c>
    </row>
    <row r="2479" spans="1:19" x14ac:dyDescent="0.25">
      <c r="A2479" s="3">
        <v>2478</v>
      </c>
      <c r="B2479" s="5">
        <f>DATE(Table1[[#This Row],[Year]],Table1[[#This Row],[Month]],Table1[[#This Row],[Day]])</f>
        <v>45181</v>
      </c>
      <c r="C2479" s="3">
        <v>12</v>
      </c>
      <c r="D2479" s="3">
        <v>9</v>
      </c>
      <c r="E2479" s="3">
        <v>2023</v>
      </c>
      <c r="F2479" s="3" t="str">
        <f>"Qtr"&amp; " " &amp;CHOOSE(MONTH(Table1[[#This Row],[Date]]),1,1,1,2,2,2,3,3,3,4,4,4)</f>
        <v>Qtr 3</v>
      </c>
      <c r="G2479" s="3" t="str">
        <f>TEXT(Table1[[#This Row],[Date]],"mmmm")</f>
        <v>September</v>
      </c>
      <c r="H2479" s="3" t="s">
        <v>1082</v>
      </c>
      <c r="I2479" s="3" t="s">
        <v>33</v>
      </c>
      <c r="J2479" s="3">
        <v>2</v>
      </c>
      <c r="K2479" s="3">
        <v>20766.71</v>
      </c>
      <c r="L2479" s="3">
        <f>Table1[[#This Row],[Price Per Unit]]*Table1[[#This Row],[Units Sold]]</f>
        <v>41533.42</v>
      </c>
      <c r="M2479" s="3" t="s">
        <v>260</v>
      </c>
      <c r="N2479" s="3">
        <v>24</v>
      </c>
      <c r="O2479" s="3" t="s">
        <v>20</v>
      </c>
      <c r="P2479" s="3" t="s">
        <v>31</v>
      </c>
      <c r="Q2479" s="4">
        <v>5</v>
      </c>
      <c r="R2479" s="4" t="str">
        <f>IF(Table1[[#This Row],[Customer Ratings]]&gt;=4, "Good",IF(Table1[[#This Row],[Customer Ratings]]=3, "Average","Poor"))</f>
        <v>Good</v>
      </c>
      <c r="S2479" s="3" t="s">
        <v>36</v>
      </c>
    </row>
    <row r="2480" spans="1:19" x14ac:dyDescent="0.25">
      <c r="A2480" s="3">
        <v>2479</v>
      </c>
      <c r="B2480" s="5">
        <f>DATE(Table1[[#This Row],[Year]],Table1[[#This Row],[Month]],Table1[[#This Row],[Day]])</f>
        <v>45181</v>
      </c>
      <c r="C2480" s="3">
        <v>12</v>
      </c>
      <c r="D2480" s="3">
        <v>9</v>
      </c>
      <c r="E2480" s="3">
        <v>2023</v>
      </c>
      <c r="F2480" s="3" t="str">
        <f>"Qtr"&amp; " " &amp;CHOOSE(MONTH(Table1[[#This Row],[Date]]),1,1,1,2,2,2,3,3,3,4,4,4)</f>
        <v>Qtr 3</v>
      </c>
      <c r="G2480" s="3" t="str">
        <f>TEXT(Table1[[#This Row],[Date]],"mmmm")</f>
        <v>September</v>
      </c>
      <c r="H2480" s="3" t="s">
        <v>1082</v>
      </c>
      <c r="I2480" s="3" t="s">
        <v>28</v>
      </c>
      <c r="J2480" s="3">
        <v>5</v>
      </c>
      <c r="K2480" s="3">
        <v>11525.24</v>
      </c>
      <c r="L2480" s="3">
        <f>Table1[[#This Row],[Price Per Unit]]*Table1[[#This Row],[Units Sold]]</f>
        <v>57626.2</v>
      </c>
      <c r="M2480" s="3" t="s">
        <v>299</v>
      </c>
      <c r="N2480" s="3">
        <v>24</v>
      </c>
      <c r="O2480" s="3" t="s">
        <v>78</v>
      </c>
      <c r="P2480" s="3" t="s">
        <v>21</v>
      </c>
      <c r="Q2480" s="4">
        <v>2</v>
      </c>
      <c r="R2480" s="4" t="str">
        <f>IF(Table1[[#This Row],[Customer Ratings]]&gt;=4, "Good",IF(Table1[[#This Row],[Customer Ratings]]=3, "Average","Poor"))</f>
        <v>Poor</v>
      </c>
      <c r="S2480" s="3" t="s">
        <v>38</v>
      </c>
    </row>
    <row r="2481" spans="1:19" x14ac:dyDescent="0.25">
      <c r="A2481" s="3">
        <v>2480</v>
      </c>
      <c r="B2481" s="5">
        <f>DATE(Table1[[#This Row],[Year]],Table1[[#This Row],[Month]],Table1[[#This Row],[Day]])</f>
        <v>45181</v>
      </c>
      <c r="C2481" s="3">
        <v>12</v>
      </c>
      <c r="D2481" s="3">
        <v>9</v>
      </c>
      <c r="E2481" s="3">
        <v>2023</v>
      </c>
      <c r="F2481" s="3" t="str">
        <f>"Qtr"&amp; " " &amp;CHOOSE(MONTH(Table1[[#This Row],[Date]]),1,1,1,2,2,2,3,3,3,4,4,4)</f>
        <v>Qtr 3</v>
      </c>
      <c r="G2481" s="3" t="str">
        <f>TEXT(Table1[[#This Row],[Date]],"mmmm")</f>
        <v>September</v>
      </c>
      <c r="H2481" s="3" t="s">
        <v>1082</v>
      </c>
      <c r="I2481" s="3" t="s">
        <v>39</v>
      </c>
      <c r="J2481" s="3">
        <v>8</v>
      </c>
      <c r="K2481" s="3">
        <v>12364.57</v>
      </c>
      <c r="L2481" s="3">
        <f>Table1[[#This Row],[Price Per Unit]]*Table1[[#This Row],[Units Sold]]</f>
        <v>98916.56</v>
      </c>
      <c r="M2481" s="3" t="s">
        <v>978</v>
      </c>
      <c r="N2481" s="3">
        <v>49</v>
      </c>
      <c r="O2481" s="3" t="s">
        <v>35</v>
      </c>
      <c r="P2481" s="3" t="s">
        <v>21</v>
      </c>
      <c r="Q2481" s="4">
        <v>5</v>
      </c>
      <c r="R2481" s="4" t="str">
        <f>IF(Table1[[#This Row],[Customer Ratings]]&gt;=4, "Good",IF(Table1[[#This Row],[Customer Ratings]]=3, "Average","Poor"))</f>
        <v>Good</v>
      </c>
      <c r="S2481" s="3" t="s">
        <v>76</v>
      </c>
    </row>
    <row r="2482" spans="1:19" x14ac:dyDescent="0.25">
      <c r="A2482" s="3">
        <v>2481</v>
      </c>
      <c r="B2482" s="5">
        <f>DATE(Table1[[#This Row],[Year]],Table1[[#This Row],[Month]],Table1[[#This Row],[Day]])</f>
        <v>45181</v>
      </c>
      <c r="C2482" s="3">
        <v>12</v>
      </c>
      <c r="D2482" s="3">
        <v>9</v>
      </c>
      <c r="E2482" s="3">
        <v>2023</v>
      </c>
      <c r="F2482" s="3" t="str">
        <f>"Qtr"&amp; " " &amp;CHOOSE(MONTH(Table1[[#This Row],[Date]]),1,1,1,2,2,2,3,3,3,4,4,4)</f>
        <v>Qtr 3</v>
      </c>
      <c r="G2482" s="3" t="str">
        <f>TEXT(Table1[[#This Row],[Date]],"mmmm")</f>
        <v>September</v>
      </c>
      <c r="H2482" s="3" t="s">
        <v>1082</v>
      </c>
      <c r="I2482" s="3" t="s">
        <v>33</v>
      </c>
      <c r="J2482" s="3">
        <v>9</v>
      </c>
      <c r="K2482" s="3">
        <v>45250.75</v>
      </c>
      <c r="L2482" s="3">
        <f>Table1[[#This Row],[Price Per Unit]]*Table1[[#This Row],[Units Sold]]</f>
        <v>407256.75</v>
      </c>
      <c r="M2482" s="3" t="s">
        <v>212</v>
      </c>
      <c r="N2482" s="3">
        <v>25</v>
      </c>
      <c r="O2482" s="3" t="s">
        <v>24</v>
      </c>
      <c r="P2482" s="3" t="s">
        <v>21</v>
      </c>
      <c r="Q2482" s="4">
        <v>2</v>
      </c>
      <c r="R2482" s="4" t="str">
        <f>IF(Table1[[#This Row],[Customer Ratings]]&gt;=4, "Good",IF(Table1[[#This Row],[Customer Ratings]]=3, "Average","Poor"))</f>
        <v>Poor</v>
      </c>
      <c r="S2482" s="3" t="s">
        <v>36</v>
      </c>
    </row>
    <row r="2483" spans="1:19" x14ac:dyDescent="0.25">
      <c r="A2483" s="3">
        <v>2482</v>
      </c>
      <c r="B2483" s="5">
        <f>DATE(Table1[[#This Row],[Year]],Table1[[#This Row],[Month]],Table1[[#This Row],[Day]])</f>
        <v>45182</v>
      </c>
      <c r="C2483" s="3">
        <v>13</v>
      </c>
      <c r="D2483" s="3">
        <v>9</v>
      </c>
      <c r="E2483" s="3">
        <v>2023</v>
      </c>
      <c r="F2483" s="3" t="str">
        <f>"Qtr"&amp; " " &amp;CHOOSE(MONTH(Table1[[#This Row],[Date]]),1,1,1,2,2,2,3,3,3,4,4,4)</f>
        <v>Qtr 3</v>
      </c>
      <c r="G2483" s="3" t="str">
        <f>TEXT(Table1[[#This Row],[Date]],"mmmm")</f>
        <v>September</v>
      </c>
      <c r="H2483" s="3" t="s">
        <v>1083</v>
      </c>
      <c r="I2483" s="3" t="s">
        <v>33</v>
      </c>
      <c r="J2483" s="3">
        <v>2</v>
      </c>
      <c r="K2483" s="3">
        <v>13698.51</v>
      </c>
      <c r="L2483" s="3">
        <f>Table1[[#This Row],[Price Per Unit]]*Table1[[#This Row],[Units Sold]]</f>
        <v>27397.02</v>
      </c>
      <c r="M2483" s="3" t="s">
        <v>641</v>
      </c>
      <c r="N2483" s="3">
        <v>29</v>
      </c>
      <c r="O2483" s="3" t="s">
        <v>65</v>
      </c>
      <c r="P2483" s="3" t="s">
        <v>45</v>
      </c>
      <c r="Q2483" s="4">
        <v>2</v>
      </c>
      <c r="R2483" s="4" t="str">
        <f>IF(Table1[[#This Row],[Customer Ratings]]&gt;=4, "Good",IF(Table1[[#This Row],[Customer Ratings]]=3, "Average","Poor"))</f>
        <v>Poor</v>
      </c>
      <c r="S2483" s="3" t="s">
        <v>46</v>
      </c>
    </row>
    <row r="2484" spans="1:19" x14ac:dyDescent="0.25">
      <c r="A2484" s="3">
        <v>2483</v>
      </c>
      <c r="B2484" s="5">
        <f>DATE(Table1[[#This Row],[Year]],Table1[[#This Row],[Month]],Table1[[#This Row],[Day]])</f>
        <v>45182</v>
      </c>
      <c r="C2484" s="3">
        <v>13</v>
      </c>
      <c r="D2484" s="3">
        <v>9</v>
      </c>
      <c r="E2484" s="3">
        <v>2023</v>
      </c>
      <c r="F2484" s="3" t="str">
        <f>"Qtr"&amp; " " &amp;CHOOSE(MONTH(Table1[[#This Row],[Date]]),1,1,1,2,2,2,3,3,3,4,4,4)</f>
        <v>Qtr 3</v>
      </c>
      <c r="G2484" s="3" t="str">
        <f>TEXT(Table1[[#This Row],[Date]],"mmmm")</f>
        <v>September</v>
      </c>
      <c r="H2484" s="3" t="s">
        <v>1083</v>
      </c>
      <c r="I2484" s="3" t="s">
        <v>33</v>
      </c>
      <c r="J2484" s="3">
        <v>5</v>
      </c>
      <c r="K2484" s="3">
        <v>67512.740000000005</v>
      </c>
      <c r="L2484" s="3">
        <f>Table1[[#This Row],[Price Per Unit]]*Table1[[#This Row],[Units Sold]]</f>
        <v>337563.7</v>
      </c>
      <c r="M2484" s="3" t="s">
        <v>649</v>
      </c>
      <c r="N2484" s="3">
        <v>27</v>
      </c>
      <c r="O2484" s="3" t="s">
        <v>102</v>
      </c>
      <c r="P2484" s="3" t="s">
        <v>21</v>
      </c>
      <c r="Q2484" s="4">
        <v>2</v>
      </c>
      <c r="R2484" s="4" t="str">
        <f>IF(Table1[[#This Row],[Customer Ratings]]&gt;=4, "Good",IF(Table1[[#This Row],[Customer Ratings]]=3, "Average","Poor"))</f>
        <v>Poor</v>
      </c>
      <c r="S2484" s="3" t="s">
        <v>83</v>
      </c>
    </row>
    <row r="2485" spans="1:19" x14ac:dyDescent="0.25">
      <c r="A2485" s="3">
        <v>2484</v>
      </c>
      <c r="B2485" s="5">
        <f>DATE(Table1[[#This Row],[Year]],Table1[[#This Row],[Month]],Table1[[#This Row],[Day]])</f>
        <v>45182</v>
      </c>
      <c r="C2485" s="3">
        <v>13</v>
      </c>
      <c r="D2485" s="3">
        <v>9</v>
      </c>
      <c r="E2485" s="3">
        <v>2023</v>
      </c>
      <c r="F2485" s="3" t="str">
        <f>"Qtr"&amp; " " &amp;CHOOSE(MONTH(Table1[[#This Row],[Date]]),1,1,1,2,2,2,3,3,3,4,4,4)</f>
        <v>Qtr 3</v>
      </c>
      <c r="G2485" s="3" t="str">
        <f>TEXT(Table1[[#This Row],[Date]],"mmmm")</f>
        <v>September</v>
      </c>
      <c r="H2485" s="3" t="s">
        <v>1083</v>
      </c>
      <c r="I2485" s="3" t="s">
        <v>33</v>
      </c>
      <c r="J2485" s="3">
        <v>7</v>
      </c>
      <c r="K2485" s="3">
        <v>18515.990000000002</v>
      </c>
      <c r="L2485" s="3">
        <f>Table1[[#This Row],[Price Per Unit]]*Table1[[#This Row],[Units Sold]]</f>
        <v>129611.93000000001</v>
      </c>
      <c r="M2485" s="3" t="s">
        <v>506</v>
      </c>
      <c r="N2485" s="3">
        <v>31</v>
      </c>
      <c r="O2485" s="3" t="s">
        <v>24</v>
      </c>
      <c r="P2485" s="3" t="s">
        <v>31</v>
      </c>
      <c r="Q2485" s="4">
        <v>4</v>
      </c>
      <c r="R2485" s="4" t="str">
        <f>IF(Table1[[#This Row],[Customer Ratings]]&gt;=4, "Good",IF(Table1[[#This Row],[Customer Ratings]]=3, "Average","Poor"))</f>
        <v>Good</v>
      </c>
      <c r="S2485" s="3" t="s">
        <v>36</v>
      </c>
    </row>
    <row r="2486" spans="1:19" x14ac:dyDescent="0.25">
      <c r="A2486" s="3">
        <v>2485</v>
      </c>
      <c r="B2486" s="5">
        <f>DATE(Table1[[#This Row],[Year]],Table1[[#This Row],[Month]],Table1[[#This Row],[Day]])</f>
        <v>45183</v>
      </c>
      <c r="C2486" s="3">
        <v>14</v>
      </c>
      <c r="D2486" s="3">
        <v>9</v>
      </c>
      <c r="E2486" s="3">
        <v>2023</v>
      </c>
      <c r="F2486" s="3" t="str">
        <f>"Qtr"&amp; " " &amp;CHOOSE(MONTH(Table1[[#This Row],[Date]]),1,1,1,2,2,2,3,3,3,4,4,4)</f>
        <v>Qtr 3</v>
      </c>
      <c r="G2486" s="3" t="str">
        <f>TEXT(Table1[[#This Row],[Date]],"mmmm")</f>
        <v>September</v>
      </c>
      <c r="H2486" s="3" t="s">
        <v>1084</v>
      </c>
      <c r="I2486" s="3" t="s">
        <v>18</v>
      </c>
      <c r="J2486" s="3">
        <v>6</v>
      </c>
      <c r="K2486" s="3">
        <v>28283.37</v>
      </c>
      <c r="L2486" s="3">
        <f>Table1[[#This Row],[Price Per Unit]]*Table1[[#This Row],[Units Sold]]</f>
        <v>169700.22</v>
      </c>
      <c r="M2486" s="3" t="s">
        <v>979</v>
      </c>
      <c r="N2486" s="3">
        <v>26</v>
      </c>
      <c r="O2486" s="3" t="s">
        <v>24</v>
      </c>
      <c r="P2486" s="3" t="s">
        <v>45</v>
      </c>
      <c r="Q2486" s="4">
        <v>2</v>
      </c>
      <c r="R2486" s="4" t="str">
        <f>IF(Table1[[#This Row],[Customer Ratings]]&gt;=4, "Good",IF(Table1[[#This Row],[Customer Ratings]]=3, "Average","Poor"))</f>
        <v>Poor</v>
      </c>
      <c r="S2486" s="3" t="s">
        <v>55</v>
      </c>
    </row>
    <row r="2487" spans="1:19" x14ac:dyDescent="0.25">
      <c r="A2487" s="3">
        <v>2486</v>
      </c>
      <c r="B2487" s="5">
        <f>DATE(Table1[[#This Row],[Year]],Table1[[#This Row],[Month]],Table1[[#This Row],[Day]])</f>
        <v>45183</v>
      </c>
      <c r="C2487" s="3">
        <v>14</v>
      </c>
      <c r="D2487" s="3">
        <v>9</v>
      </c>
      <c r="E2487" s="3">
        <v>2023</v>
      </c>
      <c r="F2487" s="3" t="str">
        <f>"Qtr"&amp; " " &amp;CHOOSE(MONTH(Table1[[#This Row],[Date]]),1,1,1,2,2,2,3,3,3,4,4,4)</f>
        <v>Qtr 3</v>
      </c>
      <c r="G2487" s="3" t="str">
        <f>TEXT(Table1[[#This Row],[Date]],"mmmm")</f>
        <v>September</v>
      </c>
      <c r="H2487" s="3" t="s">
        <v>1084</v>
      </c>
      <c r="I2487" s="3" t="s">
        <v>18</v>
      </c>
      <c r="J2487" s="3">
        <v>6</v>
      </c>
      <c r="K2487" s="3">
        <v>59351.07</v>
      </c>
      <c r="L2487" s="3">
        <f>Table1[[#This Row],[Price Per Unit]]*Table1[[#This Row],[Units Sold]]</f>
        <v>356106.42</v>
      </c>
      <c r="M2487" s="3" t="s">
        <v>801</v>
      </c>
      <c r="N2487" s="3">
        <v>55</v>
      </c>
      <c r="O2487" s="3" t="s">
        <v>30</v>
      </c>
      <c r="P2487" s="3" t="s">
        <v>31</v>
      </c>
      <c r="Q2487" s="4">
        <v>5</v>
      </c>
      <c r="R2487" s="4" t="str">
        <f>IF(Table1[[#This Row],[Customer Ratings]]&gt;=4, "Good",IF(Table1[[#This Row],[Customer Ratings]]=3, "Average","Poor"))</f>
        <v>Good</v>
      </c>
      <c r="S2487" s="3" t="s">
        <v>25</v>
      </c>
    </row>
    <row r="2488" spans="1:19" x14ac:dyDescent="0.25">
      <c r="A2488" s="3">
        <v>2487</v>
      </c>
      <c r="B2488" s="5">
        <f>DATE(Table1[[#This Row],[Year]],Table1[[#This Row],[Month]],Table1[[#This Row],[Day]])</f>
        <v>45183</v>
      </c>
      <c r="C2488" s="3">
        <v>14</v>
      </c>
      <c r="D2488" s="3">
        <v>9</v>
      </c>
      <c r="E2488" s="3">
        <v>2023</v>
      </c>
      <c r="F2488" s="3" t="str">
        <f>"Qtr"&amp; " " &amp;CHOOSE(MONTH(Table1[[#This Row],[Date]]),1,1,1,2,2,2,3,3,3,4,4,4)</f>
        <v>Qtr 3</v>
      </c>
      <c r="G2488" s="3" t="str">
        <f>TEXT(Table1[[#This Row],[Date]],"mmmm")</f>
        <v>September</v>
      </c>
      <c r="H2488" s="3" t="s">
        <v>1084</v>
      </c>
      <c r="I2488" s="3" t="s">
        <v>18</v>
      </c>
      <c r="J2488" s="3">
        <v>7</v>
      </c>
      <c r="K2488" s="3">
        <v>23124.42</v>
      </c>
      <c r="L2488" s="3">
        <f>Table1[[#This Row],[Price Per Unit]]*Table1[[#This Row],[Units Sold]]</f>
        <v>161870.94</v>
      </c>
      <c r="M2488" s="3" t="s">
        <v>927</v>
      </c>
      <c r="N2488" s="3">
        <v>47</v>
      </c>
      <c r="O2488" s="3" t="s">
        <v>137</v>
      </c>
      <c r="P2488" s="3" t="s">
        <v>45</v>
      </c>
      <c r="Q2488" s="4">
        <v>2</v>
      </c>
      <c r="R2488" s="4" t="str">
        <f>IF(Table1[[#This Row],[Customer Ratings]]&gt;=4, "Good",IF(Table1[[#This Row],[Customer Ratings]]=3, "Average","Poor"))</f>
        <v>Poor</v>
      </c>
      <c r="S2488" s="3" t="s">
        <v>55</v>
      </c>
    </row>
    <row r="2489" spans="1:19" x14ac:dyDescent="0.25">
      <c r="A2489" s="3">
        <v>2488</v>
      </c>
      <c r="B2489" s="5">
        <f>DATE(Table1[[#This Row],[Year]],Table1[[#This Row],[Month]],Table1[[#This Row],[Day]])</f>
        <v>45184</v>
      </c>
      <c r="C2489" s="3">
        <v>15</v>
      </c>
      <c r="D2489" s="3">
        <v>9</v>
      </c>
      <c r="E2489" s="3">
        <v>2023</v>
      </c>
      <c r="F2489" s="3" t="str">
        <f>"Qtr"&amp; " " &amp;CHOOSE(MONTH(Table1[[#This Row],[Date]]),1,1,1,2,2,2,3,3,3,4,4,4)</f>
        <v>Qtr 3</v>
      </c>
      <c r="G2489" s="3" t="str">
        <f>TEXT(Table1[[#This Row],[Date]],"mmmm")</f>
        <v>September</v>
      </c>
      <c r="H2489" s="3" t="s">
        <v>1085</v>
      </c>
      <c r="I2489" s="3" t="s">
        <v>39</v>
      </c>
      <c r="J2489" s="3">
        <v>3</v>
      </c>
      <c r="K2489" s="3">
        <v>24578.11</v>
      </c>
      <c r="L2489" s="3">
        <f>Table1[[#This Row],[Price Per Unit]]*Table1[[#This Row],[Units Sold]]</f>
        <v>73734.33</v>
      </c>
      <c r="M2489" s="3" t="s">
        <v>104</v>
      </c>
      <c r="N2489" s="3">
        <v>22</v>
      </c>
      <c r="O2489" s="3" t="s">
        <v>30</v>
      </c>
      <c r="P2489" s="3" t="s">
        <v>45</v>
      </c>
      <c r="Q2489" s="4">
        <v>3</v>
      </c>
      <c r="R2489" s="4" t="str">
        <f>IF(Table1[[#This Row],[Customer Ratings]]&gt;=4, "Good",IF(Table1[[#This Row],[Customer Ratings]]=3, "Average","Poor"))</f>
        <v>Average</v>
      </c>
      <c r="S2489" s="3" t="s">
        <v>90</v>
      </c>
    </row>
    <row r="2490" spans="1:19" x14ac:dyDescent="0.25">
      <c r="A2490" s="3">
        <v>2489</v>
      </c>
      <c r="B2490" s="5">
        <f>DATE(Table1[[#This Row],[Year]],Table1[[#This Row],[Month]],Table1[[#This Row],[Day]])</f>
        <v>45184</v>
      </c>
      <c r="C2490" s="3">
        <v>15</v>
      </c>
      <c r="D2490" s="3">
        <v>9</v>
      </c>
      <c r="E2490" s="3">
        <v>2023</v>
      </c>
      <c r="F2490" s="3" t="str">
        <f>"Qtr"&amp; " " &amp;CHOOSE(MONTH(Table1[[#This Row],[Date]]),1,1,1,2,2,2,3,3,3,4,4,4)</f>
        <v>Qtr 3</v>
      </c>
      <c r="G2490" s="3" t="str">
        <f>TEXT(Table1[[#This Row],[Date]],"mmmm")</f>
        <v>September</v>
      </c>
      <c r="H2490" s="3" t="s">
        <v>1085</v>
      </c>
      <c r="I2490" s="3" t="s">
        <v>39</v>
      </c>
      <c r="J2490" s="3">
        <v>3</v>
      </c>
      <c r="K2490" s="3">
        <v>48538.54</v>
      </c>
      <c r="L2490" s="3">
        <f>Table1[[#This Row],[Price Per Unit]]*Table1[[#This Row],[Units Sold]]</f>
        <v>145615.62</v>
      </c>
      <c r="M2490" s="3" t="s">
        <v>537</v>
      </c>
      <c r="N2490" s="3">
        <v>18</v>
      </c>
      <c r="O2490" s="3" t="s">
        <v>78</v>
      </c>
      <c r="P2490" s="3" t="s">
        <v>16</v>
      </c>
      <c r="Q2490" s="4">
        <v>5</v>
      </c>
      <c r="R2490" s="4" t="str">
        <f>IF(Table1[[#This Row],[Customer Ratings]]&gt;=4, "Good",IF(Table1[[#This Row],[Customer Ratings]]=3, "Average","Poor"))</f>
        <v>Good</v>
      </c>
      <c r="S2490" s="3" t="s">
        <v>76</v>
      </c>
    </row>
    <row r="2491" spans="1:19" x14ac:dyDescent="0.25">
      <c r="A2491" s="3">
        <v>2490</v>
      </c>
      <c r="B2491" s="5">
        <f>DATE(Table1[[#This Row],[Year]],Table1[[#This Row],[Month]],Table1[[#This Row],[Day]])</f>
        <v>45184</v>
      </c>
      <c r="C2491" s="3">
        <v>15</v>
      </c>
      <c r="D2491" s="3">
        <v>9</v>
      </c>
      <c r="E2491" s="3">
        <v>2023</v>
      </c>
      <c r="F2491" s="3" t="str">
        <f>"Qtr"&amp; " " &amp;CHOOSE(MONTH(Table1[[#This Row],[Date]]),1,1,1,2,2,2,3,3,3,4,4,4)</f>
        <v>Qtr 3</v>
      </c>
      <c r="G2491" s="3" t="str">
        <f>TEXT(Table1[[#This Row],[Date]],"mmmm")</f>
        <v>September</v>
      </c>
      <c r="H2491" s="3" t="s">
        <v>1085</v>
      </c>
      <c r="I2491" s="3" t="s">
        <v>39</v>
      </c>
      <c r="J2491" s="3">
        <v>9</v>
      </c>
      <c r="K2491" s="3">
        <v>26565.17</v>
      </c>
      <c r="L2491" s="3">
        <f>Table1[[#This Row],[Price Per Unit]]*Table1[[#This Row],[Units Sold]]</f>
        <v>239086.52999999997</v>
      </c>
      <c r="M2491" s="3" t="s">
        <v>543</v>
      </c>
      <c r="N2491" s="3">
        <v>18</v>
      </c>
      <c r="O2491" s="3" t="s">
        <v>30</v>
      </c>
      <c r="P2491" s="3" t="s">
        <v>45</v>
      </c>
      <c r="Q2491" s="4">
        <v>4</v>
      </c>
      <c r="R2491" s="4" t="str">
        <f>IF(Table1[[#This Row],[Customer Ratings]]&gt;=4, "Good",IF(Table1[[#This Row],[Customer Ratings]]=3, "Average","Poor"))</f>
        <v>Good</v>
      </c>
      <c r="S2491" s="3" t="s">
        <v>90</v>
      </c>
    </row>
    <row r="2492" spans="1:19" x14ac:dyDescent="0.25">
      <c r="A2492" s="3">
        <v>2491</v>
      </c>
      <c r="B2492" s="5">
        <f>DATE(Table1[[#This Row],[Year]],Table1[[#This Row],[Month]],Table1[[#This Row],[Day]])</f>
        <v>45184</v>
      </c>
      <c r="C2492" s="3">
        <v>15</v>
      </c>
      <c r="D2492" s="3">
        <v>9</v>
      </c>
      <c r="E2492" s="3">
        <v>2023</v>
      </c>
      <c r="F2492" s="3" t="str">
        <f>"Qtr"&amp; " " &amp;CHOOSE(MONTH(Table1[[#This Row],[Date]]),1,1,1,2,2,2,3,3,3,4,4,4)</f>
        <v>Qtr 3</v>
      </c>
      <c r="G2492" s="3" t="str">
        <f>TEXT(Table1[[#This Row],[Date]],"mmmm")</f>
        <v>September</v>
      </c>
      <c r="H2492" s="3" t="s">
        <v>1085</v>
      </c>
      <c r="I2492" s="3" t="s">
        <v>13</v>
      </c>
      <c r="J2492" s="3">
        <v>8</v>
      </c>
      <c r="K2492" s="3">
        <v>23046.86</v>
      </c>
      <c r="L2492" s="3">
        <f>Table1[[#This Row],[Price Per Unit]]*Table1[[#This Row],[Units Sold]]</f>
        <v>184374.88</v>
      </c>
      <c r="M2492" s="3" t="s">
        <v>109</v>
      </c>
      <c r="N2492" s="3">
        <v>37</v>
      </c>
      <c r="O2492" s="3" t="s">
        <v>24</v>
      </c>
      <c r="P2492" s="3" t="s">
        <v>45</v>
      </c>
      <c r="Q2492" s="4">
        <v>3</v>
      </c>
      <c r="R2492" s="4" t="str">
        <f>IF(Table1[[#This Row],[Customer Ratings]]&gt;=4, "Good",IF(Table1[[#This Row],[Customer Ratings]]=3, "Average","Poor"))</f>
        <v>Average</v>
      </c>
      <c r="S2492" s="3" t="s">
        <v>72</v>
      </c>
    </row>
    <row r="2493" spans="1:19" x14ac:dyDescent="0.25">
      <c r="A2493" s="3">
        <v>2492</v>
      </c>
      <c r="B2493" s="5">
        <f>DATE(Table1[[#This Row],[Year]],Table1[[#This Row],[Month]],Table1[[#This Row],[Day]])</f>
        <v>45185</v>
      </c>
      <c r="C2493" s="3">
        <v>16</v>
      </c>
      <c r="D2493" s="3">
        <v>9</v>
      </c>
      <c r="E2493" s="3">
        <v>2023</v>
      </c>
      <c r="F2493" s="3" t="str">
        <f>"Qtr"&amp; " " &amp;CHOOSE(MONTH(Table1[[#This Row],[Date]]),1,1,1,2,2,2,3,3,3,4,4,4)</f>
        <v>Qtr 3</v>
      </c>
      <c r="G2493" s="3" t="str">
        <f>TEXT(Table1[[#This Row],[Date]],"mmmm")</f>
        <v>September</v>
      </c>
      <c r="H2493" s="3" t="s">
        <v>1079</v>
      </c>
      <c r="I2493" s="3" t="s">
        <v>39</v>
      </c>
      <c r="J2493" s="3">
        <v>5</v>
      </c>
      <c r="K2493" s="3">
        <v>25250.66</v>
      </c>
      <c r="L2493" s="3">
        <f>Table1[[#This Row],[Price Per Unit]]*Table1[[#This Row],[Units Sold]]</f>
        <v>126253.3</v>
      </c>
      <c r="M2493" s="3" t="s">
        <v>980</v>
      </c>
      <c r="N2493" s="3">
        <v>28</v>
      </c>
      <c r="O2493" s="3" t="s">
        <v>24</v>
      </c>
      <c r="P2493" s="3" t="s">
        <v>31</v>
      </c>
      <c r="Q2493" s="4">
        <v>3</v>
      </c>
      <c r="R2493" s="4" t="str">
        <f>IF(Table1[[#This Row],[Customer Ratings]]&gt;=4, "Good",IF(Table1[[#This Row],[Customer Ratings]]=3, "Average","Poor"))</f>
        <v>Average</v>
      </c>
      <c r="S2493" s="3" t="s">
        <v>90</v>
      </c>
    </row>
    <row r="2494" spans="1:19" x14ac:dyDescent="0.25">
      <c r="A2494" s="3">
        <v>2493</v>
      </c>
      <c r="B2494" s="5">
        <f>DATE(Table1[[#This Row],[Year]],Table1[[#This Row],[Month]],Table1[[#This Row],[Day]])</f>
        <v>45185</v>
      </c>
      <c r="C2494" s="3">
        <v>16</v>
      </c>
      <c r="D2494" s="3">
        <v>9</v>
      </c>
      <c r="E2494" s="3">
        <v>2023</v>
      </c>
      <c r="F2494" s="3" t="str">
        <f>"Qtr"&amp; " " &amp;CHOOSE(MONTH(Table1[[#This Row],[Date]]),1,1,1,2,2,2,3,3,3,4,4,4)</f>
        <v>Qtr 3</v>
      </c>
      <c r="G2494" s="3" t="str">
        <f>TEXT(Table1[[#This Row],[Date]],"mmmm")</f>
        <v>September</v>
      </c>
      <c r="H2494" s="3" t="s">
        <v>1079</v>
      </c>
      <c r="I2494" s="3" t="s">
        <v>18</v>
      </c>
      <c r="J2494" s="3">
        <v>6</v>
      </c>
      <c r="K2494" s="3">
        <v>39438.85</v>
      </c>
      <c r="L2494" s="3">
        <f>Table1[[#This Row],[Price Per Unit]]*Table1[[#This Row],[Units Sold]]</f>
        <v>236633.09999999998</v>
      </c>
      <c r="M2494" s="3" t="s">
        <v>180</v>
      </c>
      <c r="N2494" s="3">
        <v>43</v>
      </c>
      <c r="O2494" s="3" t="s">
        <v>81</v>
      </c>
      <c r="P2494" s="3" t="s">
        <v>31</v>
      </c>
      <c r="Q2494" s="4">
        <v>5</v>
      </c>
      <c r="R2494" s="4" t="str">
        <f>IF(Table1[[#This Row],[Customer Ratings]]&gt;=4, "Good",IF(Table1[[#This Row],[Customer Ratings]]=3, "Average","Poor"))</f>
        <v>Good</v>
      </c>
      <c r="S2494" s="3" t="s">
        <v>22</v>
      </c>
    </row>
    <row r="2495" spans="1:19" x14ac:dyDescent="0.25">
      <c r="A2495" s="3">
        <v>2494</v>
      </c>
      <c r="B2495" s="5">
        <f>DATE(Table1[[#This Row],[Year]],Table1[[#This Row],[Month]],Table1[[#This Row],[Day]])</f>
        <v>45185</v>
      </c>
      <c r="C2495" s="3">
        <v>16</v>
      </c>
      <c r="D2495" s="3">
        <v>9</v>
      </c>
      <c r="E2495" s="3">
        <v>2023</v>
      </c>
      <c r="F2495" s="3" t="str">
        <f>"Qtr"&amp; " " &amp;CHOOSE(MONTH(Table1[[#This Row],[Date]]),1,1,1,2,2,2,3,3,3,4,4,4)</f>
        <v>Qtr 3</v>
      </c>
      <c r="G2495" s="3" t="str">
        <f>TEXT(Table1[[#This Row],[Date]],"mmmm")</f>
        <v>September</v>
      </c>
      <c r="H2495" s="3" t="s">
        <v>1079</v>
      </c>
      <c r="I2495" s="3" t="s">
        <v>18</v>
      </c>
      <c r="J2495" s="3">
        <v>1</v>
      </c>
      <c r="K2495" s="3">
        <v>67965.990000000005</v>
      </c>
      <c r="L2495" s="3">
        <f>Table1[[#This Row],[Price Per Unit]]*Table1[[#This Row],[Units Sold]]</f>
        <v>67965.990000000005</v>
      </c>
      <c r="M2495" s="3" t="s">
        <v>183</v>
      </c>
      <c r="N2495" s="3">
        <v>20</v>
      </c>
      <c r="O2495" s="3" t="s">
        <v>65</v>
      </c>
      <c r="P2495" s="3" t="s">
        <v>21</v>
      </c>
      <c r="Q2495" s="4">
        <v>5</v>
      </c>
      <c r="R2495" s="4" t="str">
        <f>IF(Table1[[#This Row],[Customer Ratings]]&gt;=4, "Good",IF(Table1[[#This Row],[Customer Ratings]]=3, "Average","Poor"))</f>
        <v>Good</v>
      </c>
      <c r="S2495" s="3" t="s">
        <v>55</v>
      </c>
    </row>
    <row r="2496" spans="1:19" x14ac:dyDescent="0.25">
      <c r="A2496" s="3">
        <v>2495</v>
      </c>
      <c r="B2496" s="5">
        <f>DATE(Table1[[#This Row],[Year]],Table1[[#This Row],[Month]],Table1[[#This Row],[Day]])</f>
        <v>45185</v>
      </c>
      <c r="C2496" s="3">
        <v>16</v>
      </c>
      <c r="D2496" s="3">
        <v>9</v>
      </c>
      <c r="E2496" s="3">
        <v>2023</v>
      </c>
      <c r="F2496" s="3" t="str">
        <f>"Qtr"&amp; " " &amp;CHOOSE(MONTH(Table1[[#This Row],[Date]]),1,1,1,2,2,2,3,3,3,4,4,4)</f>
        <v>Qtr 3</v>
      </c>
      <c r="G2496" s="3" t="str">
        <f>TEXT(Table1[[#This Row],[Date]],"mmmm")</f>
        <v>September</v>
      </c>
      <c r="H2496" s="3" t="s">
        <v>1079</v>
      </c>
      <c r="I2496" s="3" t="s">
        <v>13</v>
      </c>
      <c r="J2496" s="3">
        <v>1</v>
      </c>
      <c r="K2496" s="3">
        <v>59934.28</v>
      </c>
      <c r="L2496" s="3">
        <f>Table1[[#This Row],[Price Per Unit]]*Table1[[#This Row],[Units Sold]]</f>
        <v>59934.28</v>
      </c>
      <c r="M2496" s="3" t="s">
        <v>348</v>
      </c>
      <c r="N2496" s="3">
        <v>23</v>
      </c>
      <c r="O2496" s="3" t="s">
        <v>30</v>
      </c>
      <c r="P2496" s="3" t="s">
        <v>16</v>
      </c>
      <c r="Q2496" s="4">
        <v>4</v>
      </c>
      <c r="R2496" s="4" t="str">
        <f>IF(Table1[[#This Row],[Customer Ratings]]&gt;=4, "Good",IF(Table1[[#This Row],[Customer Ratings]]=3, "Average","Poor"))</f>
        <v>Good</v>
      </c>
      <c r="S2496" s="3" t="s">
        <v>27</v>
      </c>
    </row>
    <row r="2497" spans="1:19" x14ac:dyDescent="0.25">
      <c r="A2497" s="3">
        <v>2496</v>
      </c>
      <c r="B2497" s="5">
        <f>DATE(Table1[[#This Row],[Year]],Table1[[#This Row],[Month]],Table1[[#This Row],[Day]])</f>
        <v>45186</v>
      </c>
      <c r="C2497" s="3">
        <v>17</v>
      </c>
      <c r="D2497" s="3">
        <v>9</v>
      </c>
      <c r="E2497" s="3">
        <v>2023</v>
      </c>
      <c r="F2497" s="3" t="str">
        <f>"Qtr"&amp; " " &amp;CHOOSE(MONTH(Table1[[#This Row],[Date]]),1,1,1,2,2,2,3,3,3,4,4,4)</f>
        <v>Qtr 3</v>
      </c>
      <c r="G2497" s="3" t="str">
        <f>TEXT(Table1[[#This Row],[Date]],"mmmm")</f>
        <v>September</v>
      </c>
      <c r="H2497" s="3" t="s">
        <v>1080</v>
      </c>
      <c r="I2497" s="3" t="s">
        <v>13</v>
      </c>
      <c r="J2497" s="3">
        <v>4</v>
      </c>
      <c r="K2497" s="3">
        <v>27076.62</v>
      </c>
      <c r="L2497" s="3">
        <f>Table1[[#This Row],[Price Per Unit]]*Table1[[#This Row],[Units Sold]]</f>
        <v>108306.48</v>
      </c>
      <c r="M2497" s="3" t="s">
        <v>748</v>
      </c>
      <c r="N2497" s="3">
        <v>28</v>
      </c>
      <c r="O2497" s="3" t="s">
        <v>20</v>
      </c>
      <c r="P2497" s="3" t="s">
        <v>45</v>
      </c>
      <c r="Q2497" s="4">
        <v>4</v>
      </c>
      <c r="R2497" s="4" t="str">
        <f>IF(Table1[[#This Row],[Customer Ratings]]&gt;=4, "Good",IF(Table1[[#This Row],[Customer Ratings]]=3, "Average","Poor"))</f>
        <v>Good</v>
      </c>
      <c r="S2497" s="3" t="s">
        <v>27</v>
      </c>
    </row>
    <row r="2498" spans="1:19" x14ac:dyDescent="0.25">
      <c r="A2498" s="3">
        <v>2497</v>
      </c>
      <c r="B2498" s="5">
        <f>DATE(Table1[[#This Row],[Year]],Table1[[#This Row],[Month]],Table1[[#This Row],[Day]])</f>
        <v>45186</v>
      </c>
      <c r="C2498" s="3">
        <v>17</v>
      </c>
      <c r="D2498" s="3">
        <v>9</v>
      </c>
      <c r="E2498" s="3">
        <v>2023</v>
      </c>
      <c r="F2498" s="3" t="str">
        <f>"Qtr"&amp; " " &amp;CHOOSE(MONTH(Table1[[#This Row],[Date]]),1,1,1,2,2,2,3,3,3,4,4,4)</f>
        <v>Qtr 3</v>
      </c>
      <c r="G2498" s="3" t="str">
        <f>TEXT(Table1[[#This Row],[Date]],"mmmm")</f>
        <v>September</v>
      </c>
      <c r="H2498" s="3" t="s">
        <v>1080</v>
      </c>
      <c r="I2498" s="3" t="s">
        <v>39</v>
      </c>
      <c r="J2498" s="3">
        <v>2</v>
      </c>
      <c r="K2498" s="3">
        <v>31802.39</v>
      </c>
      <c r="L2498" s="3">
        <f>Table1[[#This Row],[Price Per Unit]]*Table1[[#This Row],[Units Sold]]</f>
        <v>63604.78</v>
      </c>
      <c r="M2498" s="3" t="s">
        <v>724</v>
      </c>
      <c r="N2498" s="3">
        <v>25</v>
      </c>
      <c r="O2498" s="3" t="s">
        <v>65</v>
      </c>
      <c r="P2498" s="3" t="s">
        <v>16</v>
      </c>
      <c r="Q2498" s="4">
        <v>5</v>
      </c>
      <c r="R2498" s="4" t="str">
        <f>IF(Table1[[#This Row],[Customer Ratings]]&gt;=4, "Good",IF(Table1[[#This Row],[Customer Ratings]]=3, "Average","Poor"))</f>
        <v>Good</v>
      </c>
      <c r="S2498" s="3" t="s">
        <v>42</v>
      </c>
    </row>
    <row r="2499" spans="1:19" x14ac:dyDescent="0.25">
      <c r="A2499" s="3">
        <v>2498</v>
      </c>
      <c r="B2499" s="5">
        <f>DATE(Table1[[#This Row],[Year]],Table1[[#This Row],[Month]],Table1[[#This Row],[Day]])</f>
        <v>45186</v>
      </c>
      <c r="C2499" s="3">
        <v>17</v>
      </c>
      <c r="D2499" s="3">
        <v>9</v>
      </c>
      <c r="E2499" s="3">
        <v>2023</v>
      </c>
      <c r="F2499" s="3" t="str">
        <f>"Qtr"&amp; " " &amp;CHOOSE(MONTH(Table1[[#This Row],[Date]]),1,1,1,2,2,2,3,3,3,4,4,4)</f>
        <v>Qtr 3</v>
      </c>
      <c r="G2499" s="3" t="str">
        <f>TEXT(Table1[[#This Row],[Date]],"mmmm")</f>
        <v>September</v>
      </c>
      <c r="H2499" s="3" t="s">
        <v>1080</v>
      </c>
      <c r="I2499" s="3" t="s">
        <v>28</v>
      </c>
      <c r="J2499" s="3">
        <v>7</v>
      </c>
      <c r="K2499" s="3">
        <v>37870.74</v>
      </c>
      <c r="L2499" s="3">
        <f>Table1[[#This Row],[Price Per Unit]]*Table1[[#This Row],[Units Sold]]</f>
        <v>265095.18</v>
      </c>
      <c r="M2499" s="3" t="s">
        <v>981</v>
      </c>
      <c r="N2499" s="3">
        <v>46</v>
      </c>
      <c r="O2499" s="3" t="s">
        <v>65</v>
      </c>
      <c r="P2499" s="3" t="s">
        <v>21</v>
      </c>
      <c r="Q2499" s="4">
        <v>2</v>
      </c>
      <c r="R2499" s="4" t="str">
        <f>IF(Table1[[#This Row],[Customer Ratings]]&gt;=4, "Good",IF(Table1[[#This Row],[Customer Ratings]]=3, "Average","Poor"))</f>
        <v>Poor</v>
      </c>
      <c r="S2499" s="3" t="s">
        <v>38</v>
      </c>
    </row>
    <row r="2500" spans="1:19" x14ac:dyDescent="0.25">
      <c r="A2500" s="3">
        <v>2499</v>
      </c>
      <c r="B2500" s="5">
        <f>DATE(Table1[[#This Row],[Year]],Table1[[#This Row],[Month]],Table1[[#This Row],[Day]])</f>
        <v>45186</v>
      </c>
      <c r="C2500" s="3">
        <v>17</v>
      </c>
      <c r="D2500" s="3">
        <v>9</v>
      </c>
      <c r="E2500" s="3">
        <v>2023</v>
      </c>
      <c r="F2500" s="3" t="str">
        <f>"Qtr"&amp; " " &amp;CHOOSE(MONTH(Table1[[#This Row],[Date]]),1,1,1,2,2,2,3,3,3,4,4,4)</f>
        <v>Qtr 3</v>
      </c>
      <c r="G2500" s="3" t="str">
        <f>TEXT(Table1[[#This Row],[Date]],"mmmm")</f>
        <v>September</v>
      </c>
      <c r="H2500" s="3" t="s">
        <v>1080</v>
      </c>
      <c r="I2500" s="3" t="s">
        <v>13</v>
      </c>
      <c r="J2500" s="3">
        <v>2</v>
      </c>
      <c r="K2500" s="3">
        <v>68735.78</v>
      </c>
      <c r="L2500" s="3">
        <f>Table1[[#This Row],[Price Per Unit]]*Table1[[#This Row],[Units Sold]]</f>
        <v>137471.56</v>
      </c>
      <c r="M2500" s="3" t="s">
        <v>216</v>
      </c>
      <c r="N2500" s="3">
        <v>27</v>
      </c>
      <c r="O2500" s="3" t="s">
        <v>41</v>
      </c>
      <c r="P2500" s="3" t="s">
        <v>16</v>
      </c>
      <c r="Q2500" s="4">
        <v>4</v>
      </c>
      <c r="R2500" s="4" t="str">
        <f>IF(Table1[[#This Row],[Customer Ratings]]&gt;=4, "Good",IF(Table1[[#This Row],[Customer Ratings]]=3, "Average","Poor"))</f>
        <v>Good</v>
      </c>
      <c r="S2500" s="3" t="s">
        <v>72</v>
      </c>
    </row>
    <row r="2501" spans="1:19" x14ac:dyDescent="0.25">
      <c r="A2501" s="3">
        <v>2500</v>
      </c>
      <c r="B2501" s="5">
        <f>DATE(Table1[[#This Row],[Year]],Table1[[#This Row],[Month]],Table1[[#This Row],[Day]])</f>
        <v>45187</v>
      </c>
      <c r="C2501" s="3">
        <v>18</v>
      </c>
      <c r="D2501" s="3">
        <v>9</v>
      </c>
      <c r="E2501" s="3">
        <v>2023</v>
      </c>
      <c r="F2501" s="3" t="str">
        <f>"Qtr"&amp; " " &amp;CHOOSE(MONTH(Table1[[#This Row],[Date]]),1,1,1,2,2,2,3,3,3,4,4,4)</f>
        <v>Qtr 3</v>
      </c>
      <c r="G2501" s="3" t="str">
        <f>TEXT(Table1[[#This Row],[Date]],"mmmm")</f>
        <v>September</v>
      </c>
      <c r="H2501" s="3" t="s">
        <v>1081</v>
      </c>
      <c r="I2501" s="3" t="s">
        <v>33</v>
      </c>
      <c r="J2501" s="3">
        <v>2</v>
      </c>
      <c r="K2501" s="3">
        <v>20343.43</v>
      </c>
      <c r="L2501" s="3">
        <f>Table1[[#This Row],[Price Per Unit]]*Table1[[#This Row],[Units Sold]]</f>
        <v>40686.86</v>
      </c>
      <c r="M2501" s="3" t="s">
        <v>525</v>
      </c>
      <c r="N2501" s="3">
        <v>51</v>
      </c>
      <c r="O2501" s="3" t="s">
        <v>54</v>
      </c>
      <c r="P2501" s="3" t="s">
        <v>45</v>
      </c>
      <c r="Q2501" s="4">
        <v>4</v>
      </c>
      <c r="R2501" s="4" t="str">
        <f>IF(Table1[[#This Row],[Customer Ratings]]&gt;=4, "Good",IF(Table1[[#This Row],[Customer Ratings]]=3, "Average","Poor"))</f>
        <v>Good</v>
      </c>
      <c r="S2501" s="3" t="s">
        <v>36</v>
      </c>
    </row>
    <row r="2502" spans="1:19" x14ac:dyDescent="0.25">
      <c r="A2502" s="3">
        <v>2501</v>
      </c>
      <c r="B2502" s="5">
        <f>DATE(Table1[[#This Row],[Year]],Table1[[#This Row],[Month]],Table1[[#This Row],[Day]])</f>
        <v>45187</v>
      </c>
      <c r="C2502" s="3">
        <v>18</v>
      </c>
      <c r="D2502" s="3">
        <v>9</v>
      </c>
      <c r="E2502" s="3">
        <v>2023</v>
      </c>
      <c r="F2502" s="3" t="str">
        <f>"Qtr"&amp; " " &amp;CHOOSE(MONTH(Table1[[#This Row],[Date]]),1,1,1,2,2,2,3,3,3,4,4,4)</f>
        <v>Qtr 3</v>
      </c>
      <c r="G2502" s="3" t="str">
        <f>TEXT(Table1[[#This Row],[Date]],"mmmm")</f>
        <v>September</v>
      </c>
      <c r="H2502" s="3" t="s">
        <v>1081</v>
      </c>
      <c r="I2502" s="3" t="s">
        <v>18</v>
      </c>
      <c r="J2502" s="3">
        <v>5</v>
      </c>
      <c r="K2502" s="3">
        <v>31448.99</v>
      </c>
      <c r="L2502" s="3">
        <f>Table1[[#This Row],[Price Per Unit]]*Table1[[#This Row],[Units Sold]]</f>
        <v>157244.95000000001</v>
      </c>
      <c r="M2502" s="3" t="s">
        <v>218</v>
      </c>
      <c r="N2502" s="3">
        <v>41</v>
      </c>
      <c r="O2502" s="3" t="s">
        <v>20</v>
      </c>
      <c r="P2502" s="3" t="s">
        <v>31</v>
      </c>
      <c r="Q2502" s="4">
        <v>2</v>
      </c>
      <c r="R2502" s="4" t="str">
        <f>IF(Table1[[#This Row],[Customer Ratings]]&gt;=4, "Good",IF(Table1[[#This Row],[Customer Ratings]]=3, "Average","Poor"))</f>
        <v>Poor</v>
      </c>
      <c r="S2502" s="3" t="s">
        <v>55</v>
      </c>
    </row>
    <row r="2503" spans="1:19" x14ac:dyDescent="0.25">
      <c r="A2503" s="3">
        <v>2502</v>
      </c>
      <c r="B2503" s="5">
        <f>DATE(Table1[[#This Row],[Year]],Table1[[#This Row],[Month]],Table1[[#This Row],[Day]])</f>
        <v>45187</v>
      </c>
      <c r="C2503" s="3">
        <v>18</v>
      </c>
      <c r="D2503" s="3">
        <v>9</v>
      </c>
      <c r="E2503" s="3">
        <v>2023</v>
      </c>
      <c r="F2503" s="3" t="str">
        <f>"Qtr"&amp; " " &amp;CHOOSE(MONTH(Table1[[#This Row],[Date]]),1,1,1,2,2,2,3,3,3,4,4,4)</f>
        <v>Qtr 3</v>
      </c>
      <c r="G2503" s="3" t="str">
        <f>TEXT(Table1[[#This Row],[Date]],"mmmm")</f>
        <v>September</v>
      </c>
      <c r="H2503" s="3" t="s">
        <v>1081</v>
      </c>
      <c r="I2503" s="3" t="s">
        <v>33</v>
      </c>
      <c r="J2503" s="3">
        <v>4</v>
      </c>
      <c r="K2503" s="3">
        <v>53765.57</v>
      </c>
      <c r="L2503" s="3">
        <f>Table1[[#This Row],[Price Per Unit]]*Table1[[#This Row],[Units Sold]]</f>
        <v>215062.28</v>
      </c>
      <c r="M2503" s="3" t="s">
        <v>982</v>
      </c>
      <c r="N2503" s="3">
        <v>34</v>
      </c>
      <c r="O2503" s="3" t="s">
        <v>20</v>
      </c>
      <c r="P2503" s="3" t="s">
        <v>16</v>
      </c>
      <c r="Q2503" s="4">
        <v>5</v>
      </c>
      <c r="R2503" s="4" t="str">
        <f>IF(Table1[[#This Row],[Customer Ratings]]&gt;=4, "Good",IF(Table1[[#This Row],[Customer Ratings]]=3, "Average","Poor"))</f>
        <v>Good</v>
      </c>
      <c r="S2503" s="3" t="s">
        <v>46</v>
      </c>
    </row>
    <row r="2504" spans="1:19" x14ac:dyDescent="0.25">
      <c r="A2504" s="3">
        <v>2503</v>
      </c>
      <c r="B2504" s="5">
        <f>DATE(Table1[[#This Row],[Year]],Table1[[#This Row],[Month]],Table1[[#This Row],[Day]])</f>
        <v>45187</v>
      </c>
      <c r="C2504" s="3">
        <v>18</v>
      </c>
      <c r="D2504" s="3">
        <v>9</v>
      </c>
      <c r="E2504" s="3">
        <v>2023</v>
      </c>
      <c r="F2504" s="3" t="str">
        <f>"Qtr"&amp; " " &amp;CHOOSE(MONTH(Table1[[#This Row],[Date]]),1,1,1,2,2,2,3,3,3,4,4,4)</f>
        <v>Qtr 3</v>
      </c>
      <c r="G2504" s="3" t="str">
        <f>TEXT(Table1[[#This Row],[Date]],"mmmm")</f>
        <v>September</v>
      </c>
      <c r="H2504" s="3" t="s">
        <v>1081</v>
      </c>
      <c r="I2504" s="3" t="s">
        <v>18</v>
      </c>
      <c r="J2504" s="3">
        <v>8</v>
      </c>
      <c r="K2504" s="3">
        <v>67836.62</v>
      </c>
      <c r="L2504" s="3">
        <f>Table1[[#This Row],[Price Per Unit]]*Table1[[#This Row],[Units Sold]]</f>
        <v>542692.96</v>
      </c>
      <c r="M2504" s="3" t="s">
        <v>983</v>
      </c>
      <c r="N2504" s="3">
        <v>49</v>
      </c>
      <c r="O2504" s="3" t="s">
        <v>35</v>
      </c>
      <c r="P2504" s="3" t="s">
        <v>45</v>
      </c>
      <c r="Q2504" s="4">
        <v>5</v>
      </c>
      <c r="R2504" s="4" t="str">
        <f>IF(Table1[[#This Row],[Customer Ratings]]&gt;=4, "Good",IF(Table1[[#This Row],[Customer Ratings]]=3, "Average","Poor"))</f>
        <v>Good</v>
      </c>
      <c r="S2504" s="3" t="s">
        <v>55</v>
      </c>
    </row>
    <row r="2505" spans="1:19" x14ac:dyDescent="0.25">
      <c r="A2505" s="3">
        <v>2504</v>
      </c>
      <c r="B2505" s="5">
        <f>DATE(Table1[[#This Row],[Year]],Table1[[#This Row],[Month]],Table1[[#This Row],[Day]])</f>
        <v>45188</v>
      </c>
      <c r="C2505" s="3">
        <v>19</v>
      </c>
      <c r="D2505" s="3">
        <v>9</v>
      </c>
      <c r="E2505" s="3">
        <v>2023</v>
      </c>
      <c r="F2505" s="3" t="str">
        <f>"Qtr"&amp; " " &amp;CHOOSE(MONTH(Table1[[#This Row],[Date]]),1,1,1,2,2,2,3,3,3,4,4,4)</f>
        <v>Qtr 3</v>
      </c>
      <c r="G2505" s="3" t="str">
        <f>TEXT(Table1[[#This Row],[Date]],"mmmm")</f>
        <v>September</v>
      </c>
      <c r="H2505" s="3" t="s">
        <v>1082</v>
      </c>
      <c r="I2505" s="3" t="s">
        <v>18</v>
      </c>
      <c r="J2505" s="3">
        <v>4</v>
      </c>
      <c r="K2505" s="3">
        <v>19340.509999999998</v>
      </c>
      <c r="L2505" s="3">
        <f>Table1[[#This Row],[Price Per Unit]]*Table1[[#This Row],[Units Sold]]</f>
        <v>77362.039999999994</v>
      </c>
      <c r="M2505" s="3" t="s">
        <v>562</v>
      </c>
      <c r="N2505" s="3">
        <v>28</v>
      </c>
      <c r="O2505" s="3" t="s">
        <v>81</v>
      </c>
      <c r="P2505" s="3" t="s">
        <v>21</v>
      </c>
      <c r="Q2505" s="4">
        <v>5</v>
      </c>
      <c r="R2505" s="4" t="str">
        <f>IF(Table1[[#This Row],[Customer Ratings]]&gt;=4, "Good",IF(Table1[[#This Row],[Customer Ratings]]=3, "Average","Poor"))</f>
        <v>Good</v>
      </c>
      <c r="S2505" s="3" t="s">
        <v>22</v>
      </c>
    </row>
    <row r="2506" spans="1:19" x14ac:dyDescent="0.25">
      <c r="A2506" s="3">
        <v>2505</v>
      </c>
      <c r="B2506" s="5">
        <f>DATE(Table1[[#This Row],[Year]],Table1[[#This Row],[Month]],Table1[[#This Row],[Day]])</f>
        <v>45188</v>
      </c>
      <c r="C2506" s="3">
        <v>19</v>
      </c>
      <c r="D2506" s="3">
        <v>9</v>
      </c>
      <c r="E2506" s="3">
        <v>2023</v>
      </c>
      <c r="F2506" s="3" t="str">
        <f>"Qtr"&amp; " " &amp;CHOOSE(MONTH(Table1[[#This Row],[Date]]),1,1,1,2,2,2,3,3,3,4,4,4)</f>
        <v>Qtr 3</v>
      </c>
      <c r="G2506" s="3" t="str">
        <f>TEXT(Table1[[#This Row],[Date]],"mmmm")</f>
        <v>September</v>
      </c>
      <c r="H2506" s="3" t="s">
        <v>1082</v>
      </c>
      <c r="I2506" s="3" t="s">
        <v>13</v>
      </c>
      <c r="J2506" s="3">
        <v>6</v>
      </c>
      <c r="K2506" s="3">
        <v>23642.799999999999</v>
      </c>
      <c r="L2506" s="3">
        <f>Table1[[#This Row],[Price Per Unit]]*Table1[[#This Row],[Units Sold]]</f>
        <v>141856.79999999999</v>
      </c>
      <c r="M2506" s="3" t="s">
        <v>130</v>
      </c>
      <c r="N2506" s="3">
        <v>51</v>
      </c>
      <c r="O2506" s="3" t="s">
        <v>24</v>
      </c>
      <c r="P2506" s="3" t="s">
        <v>45</v>
      </c>
      <c r="Q2506" s="4">
        <v>2</v>
      </c>
      <c r="R2506" s="4" t="str">
        <f>IF(Table1[[#This Row],[Customer Ratings]]&gt;=4, "Good",IF(Table1[[#This Row],[Customer Ratings]]=3, "Average","Poor"))</f>
        <v>Poor</v>
      </c>
      <c r="S2506" s="3" t="s">
        <v>17</v>
      </c>
    </row>
    <row r="2507" spans="1:19" x14ac:dyDescent="0.25">
      <c r="A2507" s="3">
        <v>2506</v>
      </c>
      <c r="B2507" s="5">
        <f>DATE(Table1[[#This Row],[Year]],Table1[[#This Row],[Month]],Table1[[#This Row],[Day]])</f>
        <v>45188</v>
      </c>
      <c r="C2507" s="3">
        <v>19</v>
      </c>
      <c r="D2507" s="3">
        <v>9</v>
      </c>
      <c r="E2507" s="3">
        <v>2023</v>
      </c>
      <c r="F2507" s="3" t="str">
        <f>"Qtr"&amp; " " &amp;CHOOSE(MONTH(Table1[[#This Row],[Date]]),1,1,1,2,2,2,3,3,3,4,4,4)</f>
        <v>Qtr 3</v>
      </c>
      <c r="G2507" s="3" t="str">
        <f>TEXT(Table1[[#This Row],[Date]],"mmmm")</f>
        <v>September</v>
      </c>
      <c r="H2507" s="3" t="s">
        <v>1082</v>
      </c>
      <c r="I2507" s="3" t="s">
        <v>13</v>
      </c>
      <c r="J2507" s="3">
        <v>5</v>
      </c>
      <c r="K2507" s="3">
        <v>23541.68</v>
      </c>
      <c r="L2507" s="3">
        <f>Table1[[#This Row],[Price Per Unit]]*Table1[[#This Row],[Units Sold]]</f>
        <v>117708.4</v>
      </c>
      <c r="M2507" s="3" t="s">
        <v>851</v>
      </c>
      <c r="N2507" s="3">
        <v>41</v>
      </c>
      <c r="O2507" s="3" t="s">
        <v>20</v>
      </c>
      <c r="P2507" s="3" t="s">
        <v>16</v>
      </c>
      <c r="Q2507" s="4">
        <v>5</v>
      </c>
      <c r="R2507" s="4" t="str">
        <f>IF(Table1[[#This Row],[Customer Ratings]]&gt;=4, "Good",IF(Table1[[#This Row],[Customer Ratings]]=3, "Average","Poor"))</f>
        <v>Good</v>
      </c>
      <c r="S2507" s="3" t="s">
        <v>27</v>
      </c>
    </row>
    <row r="2508" spans="1:19" x14ac:dyDescent="0.25">
      <c r="A2508" s="3">
        <v>2507</v>
      </c>
      <c r="B2508" s="5">
        <f>DATE(Table1[[#This Row],[Year]],Table1[[#This Row],[Month]],Table1[[#This Row],[Day]])</f>
        <v>45189</v>
      </c>
      <c r="C2508" s="3">
        <v>20</v>
      </c>
      <c r="D2508" s="3">
        <v>9</v>
      </c>
      <c r="E2508" s="3">
        <v>2023</v>
      </c>
      <c r="F2508" s="3" t="str">
        <f>"Qtr"&amp; " " &amp;CHOOSE(MONTH(Table1[[#This Row],[Date]]),1,1,1,2,2,2,3,3,3,4,4,4)</f>
        <v>Qtr 3</v>
      </c>
      <c r="G2508" s="3" t="str">
        <f>TEXT(Table1[[#This Row],[Date]],"mmmm")</f>
        <v>September</v>
      </c>
      <c r="H2508" s="3" t="s">
        <v>1083</v>
      </c>
      <c r="I2508" s="3" t="s">
        <v>33</v>
      </c>
      <c r="J2508" s="3">
        <v>2</v>
      </c>
      <c r="K2508" s="3">
        <v>11255.92</v>
      </c>
      <c r="L2508" s="3">
        <f>Table1[[#This Row],[Price Per Unit]]*Table1[[#This Row],[Units Sold]]</f>
        <v>22511.84</v>
      </c>
      <c r="M2508" s="3" t="s">
        <v>983</v>
      </c>
      <c r="N2508" s="3">
        <v>22</v>
      </c>
      <c r="O2508" s="3" t="s">
        <v>30</v>
      </c>
      <c r="P2508" s="3" t="s">
        <v>45</v>
      </c>
      <c r="Q2508" s="4">
        <v>5</v>
      </c>
      <c r="R2508" s="4" t="str">
        <f>IF(Table1[[#This Row],[Customer Ratings]]&gt;=4, "Good",IF(Table1[[#This Row],[Customer Ratings]]=3, "Average","Poor"))</f>
        <v>Good</v>
      </c>
      <c r="S2508" s="3" t="s">
        <v>46</v>
      </c>
    </row>
    <row r="2509" spans="1:19" x14ac:dyDescent="0.25">
      <c r="A2509" s="3">
        <v>2508</v>
      </c>
      <c r="B2509" s="5">
        <f>DATE(Table1[[#This Row],[Year]],Table1[[#This Row],[Month]],Table1[[#This Row],[Day]])</f>
        <v>45189</v>
      </c>
      <c r="C2509" s="3">
        <v>20</v>
      </c>
      <c r="D2509" s="3">
        <v>9</v>
      </c>
      <c r="E2509" s="3">
        <v>2023</v>
      </c>
      <c r="F2509" s="3" t="str">
        <f>"Qtr"&amp; " " &amp;CHOOSE(MONTH(Table1[[#This Row],[Date]]),1,1,1,2,2,2,3,3,3,4,4,4)</f>
        <v>Qtr 3</v>
      </c>
      <c r="G2509" s="3" t="str">
        <f>TEXT(Table1[[#This Row],[Date]],"mmmm")</f>
        <v>September</v>
      </c>
      <c r="H2509" s="3" t="s">
        <v>1083</v>
      </c>
      <c r="I2509" s="3" t="s">
        <v>18</v>
      </c>
      <c r="J2509" s="3">
        <v>8</v>
      </c>
      <c r="K2509" s="3">
        <v>46246.94</v>
      </c>
      <c r="L2509" s="3">
        <f>Table1[[#This Row],[Price Per Unit]]*Table1[[#This Row],[Units Sold]]</f>
        <v>369975.52</v>
      </c>
      <c r="M2509" s="3" t="s">
        <v>162</v>
      </c>
      <c r="N2509" s="3">
        <v>46</v>
      </c>
      <c r="O2509" s="3" t="s">
        <v>78</v>
      </c>
      <c r="P2509" s="3" t="s">
        <v>45</v>
      </c>
      <c r="Q2509" s="4">
        <v>5</v>
      </c>
      <c r="R2509" s="4" t="str">
        <f>IF(Table1[[#This Row],[Customer Ratings]]&gt;=4, "Good",IF(Table1[[#This Row],[Customer Ratings]]=3, "Average","Poor"))</f>
        <v>Good</v>
      </c>
      <c r="S2509" s="3" t="s">
        <v>25</v>
      </c>
    </row>
    <row r="2510" spans="1:19" x14ac:dyDescent="0.25">
      <c r="A2510" s="3">
        <v>2509</v>
      </c>
      <c r="B2510" s="5">
        <f>DATE(Table1[[#This Row],[Year]],Table1[[#This Row],[Month]],Table1[[#This Row],[Day]])</f>
        <v>45189</v>
      </c>
      <c r="C2510" s="3">
        <v>20</v>
      </c>
      <c r="D2510" s="3">
        <v>9</v>
      </c>
      <c r="E2510" s="3">
        <v>2023</v>
      </c>
      <c r="F2510" s="3" t="str">
        <f>"Qtr"&amp; " " &amp;CHOOSE(MONTH(Table1[[#This Row],[Date]]),1,1,1,2,2,2,3,3,3,4,4,4)</f>
        <v>Qtr 3</v>
      </c>
      <c r="G2510" s="3" t="str">
        <f>TEXT(Table1[[#This Row],[Date]],"mmmm")</f>
        <v>September</v>
      </c>
      <c r="H2510" s="3" t="s">
        <v>1083</v>
      </c>
      <c r="I2510" s="3" t="s">
        <v>33</v>
      </c>
      <c r="J2510" s="3">
        <v>2</v>
      </c>
      <c r="K2510" s="3">
        <v>50242.18</v>
      </c>
      <c r="L2510" s="3">
        <f>Table1[[#This Row],[Price Per Unit]]*Table1[[#This Row],[Units Sold]]</f>
        <v>100484.36</v>
      </c>
      <c r="M2510" s="3" t="s">
        <v>906</v>
      </c>
      <c r="N2510" s="3">
        <v>51</v>
      </c>
      <c r="O2510" s="3" t="s">
        <v>15</v>
      </c>
      <c r="P2510" s="3" t="s">
        <v>16</v>
      </c>
      <c r="Q2510" s="4">
        <v>5</v>
      </c>
      <c r="R2510" s="4" t="str">
        <f>IF(Table1[[#This Row],[Customer Ratings]]&gt;=4, "Good",IF(Table1[[#This Row],[Customer Ratings]]=3, "Average","Poor"))</f>
        <v>Good</v>
      </c>
      <c r="S2510" s="3" t="s">
        <v>46</v>
      </c>
    </row>
    <row r="2511" spans="1:19" x14ac:dyDescent="0.25">
      <c r="A2511" s="3">
        <v>2510</v>
      </c>
      <c r="B2511" s="5">
        <f>DATE(Table1[[#This Row],[Year]],Table1[[#This Row],[Month]],Table1[[#This Row],[Day]])</f>
        <v>45189</v>
      </c>
      <c r="C2511" s="3">
        <v>20</v>
      </c>
      <c r="D2511" s="3">
        <v>9</v>
      </c>
      <c r="E2511" s="3">
        <v>2023</v>
      </c>
      <c r="F2511" s="3" t="str">
        <f>"Qtr"&amp; " " &amp;CHOOSE(MONTH(Table1[[#This Row],[Date]]),1,1,1,2,2,2,3,3,3,4,4,4)</f>
        <v>Qtr 3</v>
      </c>
      <c r="G2511" s="3" t="str">
        <f>TEXT(Table1[[#This Row],[Date]],"mmmm")</f>
        <v>September</v>
      </c>
      <c r="H2511" s="3" t="s">
        <v>1083</v>
      </c>
      <c r="I2511" s="3" t="s">
        <v>28</v>
      </c>
      <c r="J2511" s="3">
        <v>9</v>
      </c>
      <c r="K2511" s="3">
        <v>46151.55</v>
      </c>
      <c r="L2511" s="3">
        <f>Table1[[#This Row],[Price Per Unit]]*Table1[[#This Row],[Units Sold]]</f>
        <v>415363.95</v>
      </c>
      <c r="M2511" s="3" t="s">
        <v>718</v>
      </c>
      <c r="N2511" s="3">
        <v>33</v>
      </c>
      <c r="O2511" s="3" t="s">
        <v>105</v>
      </c>
      <c r="P2511" s="3" t="s">
        <v>16</v>
      </c>
      <c r="Q2511" s="4">
        <v>2</v>
      </c>
      <c r="R2511" s="4" t="str">
        <f>IF(Table1[[#This Row],[Customer Ratings]]&gt;=4, "Good",IF(Table1[[#This Row],[Customer Ratings]]=3, "Average","Poor"))</f>
        <v>Poor</v>
      </c>
      <c r="S2511" s="3" t="s">
        <v>38</v>
      </c>
    </row>
    <row r="2512" spans="1:19" x14ac:dyDescent="0.25">
      <c r="A2512" s="3">
        <v>2511</v>
      </c>
      <c r="B2512" s="5">
        <f>DATE(Table1[[#This Row],[Year]],Table1[[#This Row],[Month]],Table1[[#This Row],[Day]])</f>
        <v>45190</v>
      </c>
      <c r="C2512" s="3">
        <v>21</v>
      </c>
      <c r="D2512" s="3">
        <v>9</v>
      </c>
      <c r="E2512" s="3">
        <v>2023</v>
      </c>
      <c r="F2512" s="3" t="str">
        <f>"Qtr"&amp; " " &amp;CHOOSE(MONTH(Table1[[#This Row],[Date]]),1,1,1,2,2,2,3,3,3,4,4,4)</f>
        <v>Qtr 3</v>
      </c>
      <c r="G2512" s="3" t="str">
        <f>TEXT(Table1[[#This Row],[Date]],"mmmm")</f>
        <v>September</v>
      </c>
      <c r="H2512" s="3" t="s">
        <v>1084</v>
      </c>
      <c r="I2512" s="3" t="s">
        <v>33</v>
      </c>
      <c r="J2512" s="3">
        <v>9</v>
      </c>
      <c r="K2512" s="3">
        <v>14279.38</v>
      </c>
      <c r="L2512" s="3">
        <f>Table1[[#This Row],[Price Per Unit]]*Table1[[#This Row],[Units Sold]]</f>
        <v>128514.42</v>
      </c>
      <c r="M2512" s="3" t="s">
        <v>705</v>
      </c>
      <c r="N2512" s="3">
        <v>42</v>
      </c>
      <c r="O2512" s="3" t="s">
        <v>24</v>
      </c>
      <c r="P2512" s="3" t="s">
        <v>21</v>
      </c>
      <c r="Q2512" s="4">
        <v>5</v>
      </c>
      <c r="R2512" s="4" t="str">
        <f>IF(Table1[[#This Row],[Customer Ratings]]&gt;=4, "Good",IF(Table1[[#This Row],[Customer Ratings]]=3, "Average","Poor"))</f>
        <v>Good</v>
      </c>
      <c r="S2512" s="3" t="s">
        <v>83</v>
      </c>
    </row>
    <row r="2513" spans="1:19" x14ac:dyDescent="0.25">
      <c r="A2513" s="3">
        <v>2512</v>
      </c>
      <c r="B2513" s="5">
        <f>DATE(Table1[[#This Row],[Year]],Table1[[#This Row],[Month]],Table1[[#This Row],[Day]])</f>
        <v>45190</v>
      </c>
      <c r="C2513" s="3">
        <v>21</v>
      </c>
      <c r="D2513" s="3">
        <v>9</v>
      </c>
      <c r="E2513" s="3">
        <v>2023</v>
      </c>
      <c r="F2513" s="3" t="str">
        <f>"Qtr"&amp; " " &amp;CHOOSE(MONTH(Table1[[#This Row],[Date]]),1,1,1,2,2,2,3,3,3,4,4,4)</f>
        <v>Qtr 3</v>
      </c>
      <c r="G2513" s="3" t="str">
        <f>TEXT(Table1[[#This Row],[Date]],"mmmm")</f>
        <v>September</v>
      </c>
      <c r="H2513" s="3" t="s">
        <v>1084</v>
      </c>
      <c r="I2513" s="3" t="s">
        <v>39</v>
      </c>
      <c r="J2513" s="3">
        <v>3</v>
      </c>
      <c r="K2513" s="3">
        <v>14153.81</v>
      </c>
      <c r="L2513" s="3">
        <f>Table1[[#This Row],[Price Per Unit]]*Table1[[#This Row],[Units Sold]]</f>
        <v>42461.43</v>
      </c>
      <c r="M2513" s="3" t="s">
        <v>260</v>
      </c>
      <c r="N2513" s="3">
        <v>54</v>
      </c>
      <c r="O2513" s="3" t="s">
        <v>20</v>
      </c>
      <c r="P2513" s="3" t="s">
        <v>45</v>
      </c>
      <c r="Q2513" s="4">
        <v>5</v>
      </c>
      <c r="R2513" s="4" t="str">
        <f>IF(Table1[[#This Row],[Customer Ratings]]&gt;=4, "Good",IF(Table1[[#This Row],[Customer Ratings]]=3, "Average","Poor"))</f>
        <v>Good</v>
      </c>
      <c r="S2513" s="3" t="s">
        <v>42</v>
      </c>
    </row>
    <row r="2514" spans="1:19" x14ac:dyDescent="0.25">
      <c r="A2514" s="3">
        <v>2513</v>
      </c>
      <c r="B2514" s="5">
        <f>DATE(Table1[[#This Row],[Year]],Table1[[#This Row],[Month]],Table1[[#This Row],[Day]])</f>
        <v>45190</v>
      </c>
      <c r="C2514" s="3">
        <v>21</v>
      </c>
      <c r="D2514" s="3">
        <v>9</v>
      </c>
      <c r="E2514" s="3">
        <v>2023</v>
      </c>
      <c r="F2514" s="3" t="str">
        <f>"Qtr"&amp; " " &amp;CHOOSE(MONTH(Table1[[#This Row],[Date]]),1,1,1,2,2,2,3,3,3,4,4,4)</f>
        <v>Qtr 3</v>
      </c>
      <c r="G2514" s="3" t="str">
        <f>TEXT(Table1[[#This Row],[Date]],"mmmm")</f>
        <v>September</v>
      </c>
      <c r="H2514" s="3" t="s">
        <v>1084</v>
      </c>
      <c r="I2514" s="3" t="s">
        <v>33</v>
      </c>
      <c r="J2514" s="3">
        <v>4</v>
      </c>
      <c r="K2514" s="3">
        <v>22623.19</v>
      </c>
      <c r="L2514" s="3">
        <f>Table1[[#This Row],[Price Per Unit]]*Table1[[#This Row],[Units Sold]]</f>
        <v>90492.76</v>
      </c>
      <c r="M2514" s="3" t="s">
        <v>854</v>
      </c>
      <c r="N2514" s="3">
        <v>25</v>
      </c>
      <c r="O2514" s="3" t="s">
        <v>30</v>
      </c>
      <c r="P2514" s="3" t="s">
        <v>31</v>
      </c>
      <c r="Q2514" s="4">
        <v>3</v>
      </c>
      <c r="R2514" s="4" t="str">
        <f>IF(Table1[[#This Row],[Customer Ratings]]&gt;=4, "Good",IF(Table1[[#This Row],[Customer Ratings]]=3, "Average","Poor"))</f>
        <v>Average</v>
      </c>
      <c r="S2514" s="3" t="s">
        <v>83</v>
      </c>
    </row>
    <row r="2515" spans="1:19" x14ac:dyDescent="0.25">
      <c r="A2515" s="3">
        <v>2514</v>
      </c>
      <c r="B2515" s="5">
        <f>DATE(Table1[[#This Row],[Year]],Table1[[#This Row],[Month]],Table1[[#This Row],[Day]])</f>
        <v>45191</v>
      </c>
      <c r="C2515" s="3">
        <v>22</v>
      </c>
      <c r="D2515" s="3">
        <v>9</v>
      </c>
      <c r="E2515" s="3">
        <v>2023</v>
      </c>
      <c r="F2515" s="3" t="str">
        <f>"Qtr"&amp; " " &amp;CHOOSE(MONTH(Table1[[#This Row],[Date]]),1,1,1,2,2,2,3,3,3,4,4,4)</f>
        <v>Qtr 3</v>
      </c>
      <c r="G2515" s="3" t="str">
        <f>TEXT(Table1[[#This Row],[Date]],"mmmm")</f>
        <v>September</v>
      </c>
      <c r="H2515" s="3" t="s">
        <v>1085</v>
      </c>
      <c r="I2515" s="3" t="s">
        <v>39</v>
      </c>
      <c r="J2515" s="3">
        <v>8</v>
      </c>
      <c r="K2515" s="3">
        <v>27417.67</v>
      </c>
      <c r="L2515" s="3">
        <f>Table1[[#This Row],[Price Per Unit]]*Table1[[#This Row],[Units Sold]]</f>
        <v>219341.36</v>
      </c>
      <c r="M2515" s="3" t="s">
        <v>641</v>
      </c>
      <c r="N2515" s="3">
        <v>46</v>
      </c>
      <c r="O2515" s="3" t="s">
        <v>24</v>
      </c>
      <c r="P2515" s="3" t="s">
        <v>16</v>
      </c>
      <c r="Q2515" s="4">
        <v>4</v>
      </c>
      <c r="R2515" s="4" t="str">
        <f>IF(Table1[[#This Row],[Customer Ratings]]&gt;=4, "Good",IF(Table1[[#This Row],[Customer Ratings]]=3, "Average","Poor"))</f>
        <v>Good</v>
      </c>
      <c r="S2515" s="3" t="s">
        <v>90</v>
      </c>
    </row>
    <row r="2516" spans="1:19" x14ac:dyDescent="0.25">
      <c r="A2516" s="3">
        <v>2515</v>
      </c>
      <c r="B2516" s="5">
        <f>DATE(Table1[[#This Row],[Year]],Table1[[#This Row],[Month]],Table1[[#This Row],[Day]])</f>
        <v>45191</v>
      </c>
      <c r="C2516" s="3">
        <v>22</v>
      </c>
      <c r="D2516" s="3">
        <v>9</v>
      </c>
      <c r="E2516" s="3">
        <v>2023</v>
      </c>
      <c r="F2516" s="3" t="str">
        <f>"Qtr"&amp; " " &amp;CHOOSE(MONTH(Table1[[#This Row],[Date]]),1,1,1,2,2,2,3,3,3,4,4,4)</f>
        <v>Qtr 3</v>
      </c>
      <c r="G2516" s="3" t="str">
        <f>TEXT(Table1[[#This Row],[Date]],"mmmm")</f>
        <v>September</v>
      </c>
      <c r="H2516" s="3" t="s">
        <v>1085</v>
      </c>
      <c r="I2516" s="3" t="s">
        <v>39</v>
      </c>
      <c r="J2516" s="3">
        <v>9</v>
      </c>
      <c r="K2516" s="3">
        <v>57192.62</v>
      </c>
      <c r="L2516" s="3">
        <f>Table1[[#This Row],[Price Per Unit]]*Table1[[#This Row],[Units Sold]]</f>
        <v>514733.58</v>
      </c>
      <c r="M2516" s="3" t="s">
        <v>355</v>
      </c>
      <c r="N2516" s="3">
        <v>42</v>
      </c>
      <c r="O2516" s="3" t="s">
        <v>102</v>
      </c>
      <c r="P2516" s="3" t="s">
        <v>45</v>
      </c>
      <c r="Q2516" s="4">
        <v>5</v>
      </c>
      <c r="R2516" s="4" t="str">
        <f>IF(Table1[[#This Row],[Customer Ratings]]&gt;=4, "Good",IF(Table1[[#This Row],[Customer Ratings]]=3, "Average","Poor"))</f>
        <v>Good</v>
      </c>
      <c r="S2516" s="3" t="s">
        <v>76</v>
      </c>
    </row>
    <row r="2517" spans="1:19" x14ac:dyDescent="0.25">
      <c r="A2517" s="3">
        <v>2516</v>
      </c>
      <c r="B2517" s="5">
        <f>DATE(Table1[[#This Row],[Year]],Table1[[#This Row],[Month]],Table1[[#This Row],[Day]])</f>
        <v>45191</v>
      </c>
      <c r="C2517" s="3">
        <v>22</v>
      </c>
      <c r="D2517" s="3">
        <v>9</v>
      </c>
      <c r="E2517" s="3">
        <v>2023</v>
      </c>
      <c r="F2517" s="3" t="str">
        <f>"Qtr"&amp; " " &amp;CHOOSE(MONTH(Table1[[#This Row],[Date]]),1,1,1,2,2,2,3,3,3,4,4,4)</f>
        <v>Qtr 3</v>
      </c>
      <c r="G2517" s="3" t="str">
        <f>TEXT(Table1[[#This Row],[Date]],"mmmm")</f>
        <v>September</v>
      </c>
      <c r="H2517" s="3" t="s">
        <v>1085</v>
      </c>
      <c r="I2517" s="3" t="s">
        <v>39</v>
      </c>
      <c r="J2517" s="3">
        <v>3</v>
      </c>
      <c r="K2517" s="3">
        <v>19563.419999999998</v>
      </c>
      <c r="L2517" s="3">
        <f>Table1[[#This Row],[Price Per Unit]]*Table1[[#This Row],[Units Sold]]</f>
        <v>58690.259999999995</v>
      </c>
      <c r="M2517" s="3" t="s">
        <v>124</v>
      </c>
      <c r="N2517" s="3">
        <v>59</v>
      </c>
      <c r="O2517" s="3" t="s">
        <v>102</v>
      </c>
      <c r="P2517" s="3" t="s">
        <v>31</v>
      </c>
      <c r="Q2517" s="4">
        <v>3</v>
      </c>
      <c r="R2517" s="4" t="str">
        <f>IF(Table1[[#This Row],[Customer Ratings]]&gt;=4, "Good",IF(Table1[[#This Row],[Customer Ratings]]=3, "Average","Poor"))</f>
        <v>Average</v>
      </c>
      <c r="S2517" s="3" t="s">
        <v>76</v>
      </c>
    </row>
    <row r="2518" spans="1:19" x14ac:dyDescent="0.25">
      <c r="A2518" s="3">
        <v>2517</v>
      </c>
      <c r="B2518" s="5">
        <f>DATE(Table1[[#This Row],[Year]],Table1[[#This Row],[Month]],Table1[[#This Row],[Day]])</f>
        <v>45191</v>
      </c>
      <c r="C2518" s="3">
        <v>22</v>
      </c>
      <c r="D2518" s="3">
        <v>9</v>
      </c>
      <c r="E2518" s="3">
        <v>2023</v>
      </c>
      <c r="F2518" s="3" t="str">
        <f>"Qtr"&amp; " " &amp;CHOOSE(MONTH(Table1[[#This Row],[Date]]),1,1,1,2,2,2,3,3,3,4,4,4)</f>
        <v>Qtr 3</v>
      </c>
      <c r="G2518" s="3" t="str">
        <f>TEXT(Table1[[#This Row],[Date]],"mmmm")</f>
        <v>September</v>
      </c>
      <c r="H2518" s="3" t="s">
        <v>1085</v>
      </c>
      <c r="I2518" s="3" t="s">
        <v>28</v>
      </c>
      <c r="J2518" s="3">
        <v>5</v>
      </c>
      <c r="K2518" s="3">
        <v>12645.53</v>
      </c>
      <c r="L2518" s="3">
        <f>Table1[[#This Row],[Price Per Unit]]*Table1[[#This Row],[Units Sold]]</f>
        <v>63227.65</v>
      </c>
      <c r="M2518" s="3" t="s">
        <v>407</v>
      </c>
      <c r="N2518" s="3">
        <v>40</v>
      </c>
      <c r="O2518" s="3" t="s">
        <v>24</v>
      </c>
      <c r="P2518" s="3" t="s">
        <v>31</v>
      </c>
      <c r="Q2518" s="4">
        <v>2</v>
      </c>
      <c r="R2518" s="4" t="str">
        <f>IF(Table1[[#This Row],[Customer Ratings]]&gt;=4, "Good",IF(Table1[[#This Row],[Customer Ratings]]=3, "Average","Poor"))</f>
        <v>Poor</v>
      </c>
      <c r="S2518" s="3" t="s">
        <v>38</v>
      </c>
    </row>
    <row r="2519" spans="1:19" x14ac:dyDescent="0.25">
      <c r="A2519" s="3">
        <v>2518</v>
      </c>
      <c r="B2519" s="5">
        <f>DATE(Table1[[#This Row],[Year]],Table1[[#This Row],[Month]],Table1[[#This Row],[Day]])</f>
        <v>45192</v>
      </c>
      <c r="C2519" s="3">
        <v>23</v>
      </c>
      <c r="D2519" s="3">
        <v>9</v>
      </c>
      <c r="E2519" s="3">
        <v>2023</v>
      </c>
      <c r="F2519" s="3" t="str">
        <f>"Qtr"&amp; " " &amp;CHOOSE(MONTH(Table1[[#This Row],[Date]]),1,1,1,2,2,2,3,3,3,4,4,4)</f>
        <v>Qtr 3</v>
      </c>
      <c r="G2519" s="3" t="str">
        <f>TEXT(Table1[[#This Row],[Date]],"mmmm")</f>
        <v>September</v>
      </c>
      <c r="H2519" s="3" t="s">
        <v>1079</v>
      </c>
      <c r="I2519" s="3" t="s">
        <v>33</v>
      </c>
      <c r="J2519" s="3">
        <v>8</v>
      </c>
      <c r="K2519" s="3">
        <v>33639.25</v>
      </c>
      <c r="L2519" s="3">
        <f>Table1[[#This Row],[Price Per Unit]]*Table1[[#This Row],[Units Sold]]</f>
        <v>269114</v>
      </c>
      <c r="M2519" s="3" t="s">
        <v>14</v>
      </c>
      <c r="N2519" s="3">
        <v>51</v>
      </c>
      <c r="O2519" s="3" t="s">
        <v>20</v>
      </c>
      <c r="P2519" s="3" t="s">
        <v>45</v>
      </c>
      <c r="Q2519" s="4">
        <v>3</v>
      </c>
      <c r="R2519" s="4" t="str">
        <f>IF(Table1[[#This Row],[Customer Ratings]]&gt;=4, "Good",IF(Table1[[#This Row],[Customer Ratings]]=3, "Average","Poor"))</f>
        <v>Average</v>
      </c>
      <c r="S2519" s="3" t="s">
        <v>83</v>
      </c>
    </row>
    <row r="2520" spans="1:19" x14ac:dyDescent="0.25">
      <c r="A2520" s="3">
        <v>2519</v>
      </c>
      <c r="B2520" s="5">
        <f>DATE(Table1[[#This Row],[Year]],Table1[[#This Row],[Month]],Table1[[#This Row],[Day]])</f>
        <v>45192</v>
      </c>
      <c r="C2520" s="3">
        <v>23</v>
      </c>
      <c r="D2520" s="3">
        <v>9</v>
      </c>
      <c r="E2520" s="3">
        <v>2023</v>
      </c>
      <c r="F2520" s="3" t="str">
        <f>"Qtr"&amp; " " &amp;CHOOSE(MONTH(Table1[[#This Row],[Date]]),1,1,1,2,2,2,3,3,3,4,4,4)</f>
        <v>Qtr 3</v>
      </c>
      <c r="G2520" s="3" t="str">
        <f>TEXT(Table1[[#This Row],[Date]],"mmmm")</f>
        <v>September</v>
      </c>
      <c r="H2520" s="3" t="s">
        <v>1079</v>
      </c>
      <c r="I2520" s="3" t="s">
        <v>33</v>
      </c>
      <c r="J2520" s="3">
        <v>3</v>
      </c>
      <c r="K2520" s="3">
        <v>34983.53</v>
      </c>
      <c r="L2520" s="3">
        <f>Table1[[#This Row],[Price Per Unit]]*Table1[[#This Row],[Units Sold]]</f>
        <v>104950.59</v>
      </c>
      <c r="M2520" s="3" t="s">
        <v>787</v>
      </c>
      <c r="N2520" s="3">
        <v>20</v>
      </c>
      <c r="O2520" s="3" t="s">
        <v>52</v>
      </c>
      <c r="P2520" s="3" t="s">
        <v>45</v>
      </c>
      <c r="Q2520" s="4">
        <v>5</v>
      </c>
      <c r="R2520" s="4" t="str">
        <f>IF(Table1[[#This Row],[Customer Ratings]]&gt;=4, "Good",IF(Table1[[#This Row],[Customer Ratings]]=3, "Average","Poor"))</f>
        <v>Good</v>
      </c>
      <c r="S2520" s="3" t="s">
        <v>83</v>
      </c>
    </row>
    <row r="2521" spans="1:19" x14ac:dyDescent="0.25">
      <c r="A2521" s="3">
        <v>2520</v>
      </c>
      <c r="B2521" s="5">
        <f>DATE(Table1[[#This Row],[Year]],Table1[[#This Row],[Month]],Table1[[#This Row],[Day]])</f>
        <v>45192</v>
      </c>
      <c r="C2521" s="3">
        <v>23</v>
      </c>
      <c r="D2521" s="3">
        <v>9</v>
      </c>
      <c r="E2521" s="3">
        <v>2023</v>
      </c>
      <c r="F2521" s="3" t="str">
        <f>"Qtr"&amp; " " &amp;CHOOSE(MONTH(Table1[[#This Row],[Date]]),1,1,1,2,2,2,3,3,3,4,4,4)</f>
        <v>Qtr 3</v>
      </c>
      <c r="G2521" s="3" t="str">
        <f>TEXT(Table1[[#This Row],[Date]],"mmmm")</f>
        <v>September</v>
      </c>
      <c r="H2521" s="3" t="s">
        <v>1079</v>
      </c>
      <c r="I2521" s="3" t="s">
        <v>28</v>
      </c>
      <c r="J2521" s="3">
        <v>7</v>
      </c>
      <c r="K2521" s="3">
        <v>37054.44</v>
      </c>
      <c r="L2521" s="3">
        <f>Table1[[#This Row],[Price Per Unit]]*Table1[[#This Row],[Units Sold]]</f>
        <v>259381.08000000002</v>
      </c>
      <c r="M2521" s="3" t="s">
        <v>737</v>
      </c>
      <c r="N2521" s="3">
        <v>47</v>
      </c>
      <c r="O2521" s="3" t="s">
        <v>20</v>
      </c>
      <c r="P2521" s="3" t="s">
        <v>45</v>
      </c>
      <c r="Q2521" s="4">
        <v>2</v>
      </c>
      <c r="R2521" s="4" t="str">
        <f>IF(Table1[[#This Row],[Customer Ratings]]&gt;=4, "Good",IF(Table1[[#This Row],[Customer Ratings]]=3, "Average","Poor"))</f>
        <v>Poor</v>
      </c>
      <c r="S2521" s="3" t="s">
        <v>38</v>
      </c>
    </row>
    <row r="2522" spans="1:19" x14ac:dyDescent="0.25">
      <c r="A2522" s="3">
        <v>2521</v>
      </c>
      <c r="B2522" s="5">
        <f>DATE(Table1[[#This Row],[Year]],Table1[[#This Row],[Month]],Table1[[#This Row],[Day]])</f>
        <v>45192</v>
      </c>
      <c r="C2522" s="3">
        <v>23</v>
      </c>
      <c r="D2522" s="3">
        <v>9</v>
      </c>
      <c r="E2522" s="3">
        <v>2023</v>
      </c>
      <c r="F2522" s="3" t="str">
        <f>"Qtr"&amp; " " &amp;CHOOSE(MONTH(Table1[[#This Row],[Date]]),1,1,1,2,2,2,3,3,3,4,4,4)</f>
        <v>Qtr 3</v>
      </c>
      <c r="G2522" s="3" t="str">
        <f>TEXT(Table1[[#This Row],[Date]],"mmmm")</f>
        <v>September</v>
      </c>
      <c r="H2522" s="3" t="s">
        <v>1079</v>
      </c>
      <c r="I2522" s="3" t="s">
        <v>18</v>
      </c>
      <c r="J2522" s="3">
        <v>8</v>
      </c>
      <c r="K2522" s="3">
        <v>59614.21</v>
      </c>
      <c r="L2522" s="3">
        <f>Table1[[#This Row],[Price Per Unit]]*Table1[[#This Row],[Units Sold]]</f>
        <v>476913.68</v>
      </c>
      <c r="M2522" s="3" t="s">
        <v>371</v>
      </c>
      <c r="N2522" s="3">
        <v>51</v>
      </c>
      <c r="O2522" s="3" t="s">
        <v>24</v>
      </c>
      <c r="P2522" s="3" t="s">
        <v>31</v>
      </c>
      <c r="Q2522" s="4">
        <v>3</v>
      </c>
      <c r="R2522" s="4" t="str">
        <f>IF(Table1[[#This Row],[Customer Ratings]]&gt;=4, "Good",IF(Table1[[#This Row],[Customer Ratings]]=3, "Average","Poor"))</f>
        <v>Average</v>
      </c>
      <c r="S2522" s="3" t="s">
        <v>22</v>
      </c>
    </row>
    <row r="2523" spans="1:19" x14ac:dyDescent="0.25">
      <c r="A2523" s="3">
        <v>2522</v>
      </c>
      <c r="B2523" s="5">
        <f>DATE(Table1[[#This Row],[Year]],Table1[[#This Row],[Month]],Table1[[#This Row],[Day]])</f>
        <v>45193</v>
      </c>
      <c r="C2523" s="3">
        <v>24</v>
      </c>
      <c r="D2523" s="3">
        <v>9</v>
      </c>
      <c r="E2523" s="3">
        <v>2023</v>
      </c>
      <c r="F2523" s="3" t="str">
        <f>"Qtr"&amp; " " &amp;CHOOSE(MONTH(Table1[[#This Row],[Date]]),1,1,1,2,2,2,3,3,3,4,4,4)</f>
        <v>Qtr 3</v>
      </c>
      <c r="G2523" s="3" t="str">
        <f>TEXT(Table1[[#This Row],[Date]],"mmmm")</f>
        <v>September</v>
      </c>
      <c r="H2523" s="3" t="s">
        <v>1080</v>
      </c>
      <c r="I2523" s="3" t="s">
        <v>13</v>
      </c>
      <c r="J2523" s="3">
        <v>3</v>
      </c>
      <c r="K2523" s="3">
        <v>15880.32</v>
      </c>
      <c r="L2523" s="3">
        <f>Table1[[#This Row],[Price Per Unit]]*Table1[[#This Row],[Units Sold]]</f>
        <v>47640.959999999999</v>
      </c>
      <c r="M2523" s="3" t="s">
        <v>536</v>
      </c>
      <c r="N2523" s="3">
        <v>49</v>
      </c>
      <c r="O2523" s="3" t="s">
        <v>20</v>
      </c>
      <c r="P2523" s="3" t="s">
        <v>45</v>
      </c>
      <c r="Q2523" s="4">
        <v>5</v>
      </c>
      <c r="R2523" s="4" t="str">
        <f>IF(Table1[[#This Row],[Customer Ratings]]&gt;=4, "Good",IF(Table1[[#This Row],[Customer Ratings]]=3, "Average","Poor"))</f>
        <v>Good</v>
      </c>
      <c r="S2523" s="3" t="s">
        <v>17</v>
      </c>
    </row>
    <row r="2524" spans="1:19" x14ac:dyDescent="0.25">
      <c r="A2524" s="3">
        <v>2523</v>
      </c>
      <c r="B2524" s="5">
        <f>DATE(Table1[[#This Row],[Year]],Table1[[#This Row],[Month]],Table1[[#This Row],[Day]])</f>
        <v>45193</v>
      </c>
      <c r="C2524" s="3">
        <v>24</v>
      </c>
      <c r="D2524" s="3">
        <v>9</v>
      </c>
      <c r="E2524" s="3">
        <v>2023</v>
      </c>
      <c r="F2524" s="3" t="str">
        <f>"Qtr"&amp; " " &amp;CHOOSE(MONTH(Table1[[#This Row],[Date]]),1,1,1,2,2,2,3,3,3,4,4,4)</f>
        <v>Qtr 3</v>
      </c>
      <c r="G2524" s="3" t="str">
        <f>TEXT(Table1[[#This Row],[Date]],"mmmm")</f>
        <v>September</v>
      </c>
      <c r="H2524" s="3" t="s">
        <v>1080</v>
      </c>
      <c r="I2524" s="3" t="s">
        <v>33</v>
      </c>
      <c r="J2524" s="3">
        <v>2</v>
      </c>
      <c r="K2524" s="3">
        <v>52236.52</v>
      </c>
      <c r="L2524" s="3">
        <f>Table1[[#This Row],[Price Per Unit]]*Table1[[#This Row],[Units Sold]]</f>
        <v>104473.04</v>
      </c>
      <c r="M2524" s="3" t="s">
        <v>969</v>
      </c>
      <c r="N2524" s="3">
        <v>46</v>
      </c>
      <c r="O2524" s="3" t="s">
        <v>98</v>
      </c>
      <c r="P2524" s="3" t="s">
        <v>16</v>
      </c>
      <c r="Q2524" s="4">
        <v>2</v>
      </c>
      <c r="R2524" s="4" t="str">
        <f>IF(Table1[[#This Row],[Customer Ratings]]&gt;=4, "Good",IF(Table1[[#This Row],[Customer Ratings]]=3, "Average","Poor"))</f>
        <v>Poor</v>
      </c>
      <c r="S2524" s="3" t="s">
        <v>46</v>
      </c>
    </row>
    <row r="2525" spans="1:19" x14ac:dyDescent="0.25">
      <c r="A2525" s="3">
        <v>2524</v>
      </c>
      <c r="B2525" s="5">
        <f>DATE(Table1[[#This Row],[Year]],Table1[[#This Row],[Month]],Table1[[#This Row],[Day]])</f>
        <v>45193</v>
      </c>
      <c r="C2525" s="3">
        <v>24</v>
      </c>
      <c r="D2525" s="3">
        <v>9</v>
      </c>
      <c r="E2525" s="3">
        <v>2023</v>
      </c>
      <c r="F2525" s="3" t="str">
        <f>"Qtr"&amp; " " &amp;CHOOSE(MONTH(Table1[[#This Row],[Date]]),1,1,1,2,2,2,3,3,3,4,4,4)</f>
        <v>Qtr 3</v>
      </c>
      <c r="G2525" s="3" t="str">
        <f>TEXT(Table1[[#This Row],[Date]],"mmmm")</f>
        <v>September</v>
      </c>
      <c r="H2525" s="3" t="s">
        <v>1080</v>
      </c>
      <c r="I2525" s="3" t="s">
        <v>13</v>
      </c>
      <c r="J2525" s="3">
        <v>7</v>
      </c>
      <c r="K2525" s="3">
        <v>30276.73</v>
      </c>
      <c r="L2525" s="3">
        <f>Table1[[#This Row],[Price Per Unit]]*Table1[[#This Row],[Units Sold]]</f>
        <v>211937.11</v>
      </c>
      <c r="M2525" s="3" t="s">
        <v>813</v>
      </c>
      <c r="N2525" s="3">
        <v>26</v>
      </c>
      <c r="O2525" s="3" t="s">
        <v>102</v>
      </c>
      <c r="P2525" s="3" t="s">
        <v>31</v>
      </c>
      <c r="Q2525" s="4">
        <v>2</v>
      </c>
      <c r="R2525" s="4" t="str">
        <f>IF(Table1[[#This Row],[Customer Ratings]]&gt;=4, "Good",IF(Table1[[#This Row],[Customer Ratings]]=3, "Average","Poor"))</f>
        <v>Poor</v>
      </c>
      <c r="S2525" s="3" t="s">
        <v>72</v>
      </c>
    </row>
    <row r="2526" spans="1:19" x14ac:dyDescent="0.25">
      <c r="A2526" s="3">
        <v>2525</v>
      </c>
      <c r="B2526" s="5">
        <f>DATE(Table1[[#This Row],[Year]],Table1[[#This Row],[Month]],Table1[[#This Row],[Day]])</f>
        <v>45193</v>
      </c>
      <c r="C2526" s="3">
        <v>24</v>
      </c>
      <c r="D2526" s="3">
        <v>9</v>
      </c>
      <c r="E2526" s="3">
        <v>2023</v>
      </c>
      <c r="F2526" s="3" t="str">
        <f>"Qtr"&amp; " " &amp;CHOOSE(MONTH(Table1[[#This Row],[Date]]),1,1,1,2,2,2,3,3,3,4,4,4)</f>
        <v>Qtr 3</v>
      </c>
      <c r="G2526" s="3" t="str">
        <f>TEXT(Table1[[#This Row],[Date]],"mmmm")</f>
        <v>September</v>
      </c>
      <c r="H2526" s="3" t="s">
        <v>1080</v>
      </c>
      <c r="I2526" s="3" t="s">
        <v>28</v>
      </c>
      <c r="J2526" s="3">
        <v>9</v>
      </c>
      <c r="K2526" s="3">
        <v>28598.81</v>
      </c>
      <c r="L2526" s="3">
        <f>Table1[[#This Row],[Price Per Unit]]*Table1[[#This Row],[Units Sold]]</f>
        <v>257389.29</v>
      </c>
      <c r="M2526" s="3" t="s">
        <v>984</v>
      </c>
      <c r="N2526" s="3">
        <v>19</v>
      </c>
      <c r="O2526" s="3" t="s">
        <v>24</v>
      </c>
      <c r="P2526" s="3" t="s">
        <v>16</v>
      </c>
      <c r="Q2526" s="4">
        <v>4</v>
      </c>
      <c r="R2526" s="4" t="str">
        <f>IF(Table1[[#This Row],[Customer Ratings]]&gt;=4, "Good",IF(Table1[[#This Row],[Customer Ratings]]=3, "Average","Poor"))</f>
        <v>Good</v>
      </c>
      <c r="S2526" s="3" t="s">
        <v>38</v>
      </c>
    </row>
    <row r="2527" spans="1:19" x14ac:dyDescent="0.25">
      <c r="A2527" s="3">
        <v>2526</v>
      </c>
      <c r="B2527" s="5">
        <f>DATE(Table1[[#This Row],[Year]],Table1[[#This Row],[Month]],Table1[[#This Row],[Day]])</f>
        <v>45194</v>
      </c>
      <c r="C2527" s="3">
        <v>25</v>
      </c>
      <c r="D2527" s="3">
        <v>9</v>
      </c>
      <c r="E2527" s="3">
        <v>2023</v>
      </c>
      <c r="F2527" s="3" t="str">
        <f>"Qtr"&amp; " " &amp;CHOOSE(MONTH(Table1[[#This Row],[Date]]),1,1,1,2,2,2,3,3,3,4,4,4)</f>
        <v>Qtr 3</v>
      </c>
      <c r="G2527" s="3" t="str">
        <f>TEXT(Table1[[#This Row],[Date]],"mmmm")</f>
        <v>September</v>
      </c>
      <c r="H2527" s="3" t="s">
        <v>1081</v>
      </c>
      <c r="I2527" s="3" t="s">
        <v>18</v>
      </c>
      <c r="J2527" s="3">
        <v>1</v>
      </c>
      <c r="K2527" s="3">
        <v>65952.59</v>
      </c>
      <c r="L2527" s="3">
        <f>Table1[[#This Row],[Price Per Unit]]*Table1[[#This Row],[Units Sold]]</f>
        <v>65952.59</v>
      </c>
      <c r="M2527" s="3" t="s">
        <v>592</v>
      </c>
      <c r="N2527" s="3">
        <v>56</v>
      </c>
      <c r="O2527" s="3" t="s">
        <v>24</v>
      </c>
      <c r="P2527" s="3" t="s">
        <v>16</v>
      </c>
      <c r="Q2527" s="4">
        <v>5</v>
      </c>
      <c r="R2527" s="4" t="str">
        <f>IF(Table1[[#This Row],[Customer Ratings]]&gt;=4, "Good",IF(Table1[[#This Row],[Customer Ratings]]=3, "Average","Poor"))</f>
        <v>Good</v>
      </c>
      <c r="S2527" s="3" t="s">
        <v>22</v>
      </c>
    </row>
    <row r="2528" spans="1:19" x14ac:dyDescent="0.25">
      <c r="A2528" s="3">
        <v>2527</v>
      </c>
      <c r="B2528" s="5">
        <f>DATE(Table1[[#This Row],[Year]],Table1[[#This Row],[Month]],Table1[[#This Row],[Day]])</f>
        <v>45194</v>
      </c>
      <c r="C2528" s="3">
        <v>25</v>
      </c>
      <c r="D2528" s="3">
        <v>9</v>
      </c>
      <c r="E2528" s="3">
        <v>2023</v>
      </c>
      <c r="F2528" s="3" t="str">
        <f>"Qtr"&amp; " " &amp;CHOOSE(MONTH(Table1[[#This Row],[Date]]),1,1,1,2,2,2,3,3,3,4,4,4)</f>
        <v>Qtr 3</v>
      </c>
      <c r="G2528" s="3" t="str">
        <f>TEXT(Table1[[#This Row],[Date]],"mmmm")</f>
        <v>September</v>
      </c>
      <c r="H2528" s="3" t="s">
        <v>1081</v>
      </c>
      <c r="I2528" s="3" t="s">
        <v>18</v>
      </c>
      <c r="J2528" s="3">
        <v>3</v>
      </c>
      <c r="K2528" s="3">
        <v>24908.11</v>
      </c>
      <c r="L2528" s="3">
        <f>Table1[[#This Row],[Price Per Unit]]*Table1[[#This Row],[Units Sold]]</f>
        <v>74724.33</v>
      </c>
      <c r="M2528" s="3" t="s">
        <v>439</v>
      </c>
      <c r="N2528" s="3">
        <v>24</v>
      </c>
      <c r="O2528" s="3" t="s">
        <v>20</v>
      </c>
      <c r="P2528" s="3" t="s">
        <v>45</v>
      </c>
      <c r="Q2528" s="4">
        <v>4</v>
      </c>
      <c r="R2528" s="4" t="str">
        <f>IF(Table1[[#This Row],[Customer Ratings]]&gt;=4, "Good",IF(Table1[[#This Row],[Customer Ratings]]=3, "Average","Poor"))</f>
        <v>Good</v>
      </c>
      <c r="S2528" s="3" t="s">
        <v>25</v>
      </c>
    </row>
    <row r="2529" spans="1:19" x14ac:dyDescent="0.25">
      <c r="A2529" s="3">
        <v>2528</v>
      </c>
      <c r="B2529" s="5">
        <f>DATE(Table1[[#This Row],[Year]],Table1[[#This Row],[Month]],Table1[[#This Row],[Day]])</f>
        <v>45194</v>
      </c>
      <c r="C2529" s="3">
        <v>25</v>
      </c>
      <c r="D2529" s="3">
        <v>9</v>
      </c>
      <c r="E2529" s="3">
        <v>2023</v>
      </c>
      <c r="F2529" s="3" t="str">
        <f>"Qtr"&amp; " " &amp;CHOOSE(MONTH(Table1[[#This Row],[Date]]),1,1,1,2,2,2,3,3,3,4,4,4)</f>
        <v>Qtr 3</v>
      </c>
      <c r="G2529" s="3" t="str">
        <f>TEXT(Table1[[#This Row],[Date]],"mmmm")</f>
        <v>September</v>
      </c>
      <c r="H2529" s="3" t="s">
        <v>1081</v>
      </c>
      <c r="I2529" s="3" t="s">
        <v>18</v>
      </c>
      <c r="J2529" s="3">
        <v>5</v>
      </c>
      <c r="K2529" s="3">
        <v>48551.91</v>
      </c>
      <c r="L2529" s="3">
        <f>Table1[[#This Row],[Price Per Unit]]*Table1[[#This Row],[Units Sold]]</f>
        <v>242759.55000000002</v>
      </c>
      <c r="M2529" s="3" t="s">
        <v>782</v>
      </c>
      <c r="N2529" s="3">
        <v>22</v>
      </c>
      <c r="O2529" s="3" t="s">
        <v>98</v>
      </c>
      <c r="P2529" s="3" t="s">
        <v>16</v>
      </c>
      <c r="Q2529" s="4">
        <v>2</v>
      </c>
      <c r="R2529" s="4" t="str">
        <f>IF(Table1[[#This Row],[Customer Ratings]]&gt;=4, "Good",IF(Table1[[#This Row],[Customer Ratings]]=3, "Average","Poor"))</f>
        <v>Poor</v>
      </c>
      <c r="S2529" s="3" t="s">
        <v>55</v>
      </c>
    </row>
    <row r="2530" spans="1:19" x14ac:dyDescent="0.25">
      <c r="A2530" s="3">
        <v>2529</v>
      </c>
      <c r="B2530" s="5">
        <f>DATE(Table1[[#This Row],[Year]],Table1[[#This Row],[Month]],Table1[[#This Row],[Day]])</f>
        <v>45195</v>
      </c>
      <c r="C2530" s="3">
        <v>26</v>
      </c>
      <c r="D2530" s="3">
        <v>9</v>
      </c>
      <c r="E2530" s="3">
        <v>2023</v>
      </c>
      <c r="F2530" s="3" t="str">
        <f>"Qtr"&amp; " " &amp;CHOOSE(MONTH(Table1[[#This Row],[Date]]),1,1,1,2,2,2,3,3,3,4,4,4)</f>
        <v>Qtr 3</v>
      </c>
      <c r="G2530" s="3" t="str">
        <f>TEXT(Table1[[#This Row],[Date]],"mmmm")</f>
        <v>September</v>
      </c>
      <c r="H2530" s="3" t="s">
        <v>1082</v>
      </c>
      <c r="I2530" s="3" t="s">
        <v>28</v>
      </c>
      <c r="J2530" s="3">
        <v>3</v>
      </c>
      <c r="K2530" s="3">
        <v>26507.67</v>
      </c>
      <c r="L2530" s="3">
        <f>Table1[[#This Row],[Price Per Unit]]*Table1[[#This Row],[Units Sold]]</f>
        <v>79523.009999999995</v>
      </c>
      <c r="M2530" s="3" t="s">
        <v>257</v>
      </c>
      <c r="N2530" s="3">
        <v>25</v>
      </c>
      <c r="O2530" s="3" t="s">
        <v>30</v>
      </c>
      <c r="P2530" s="3" t="s">
        <v>45</v>
      </c>
      <c r="Q2530" s="4">
        <v>2</v>
      </c>
      <c r="R2530" s="4" t="str">
        <f>IF(Table1[[#This Row],[Customer Ratings]]&gt;=4, "Good",IF(Table1[[#This Row],[Customer Ratings]]=3, "Average","Poor"))</f>
        <v>Poor</v>
      </c>
      <c r="S2530" s="3" t="s">
        <v>87</v>
      </c>
    </row>
    <row r="2531" spans="1:19" x14ac:dyDescent="0.25">
      <c r="A2531" s="3">
        <v>2530</v>
      </c>
      <c r="B2531" s="5">
        <f>DATE(Table1[[#This Row],[Year]],Table1[[#This Row],[Month]],Table1[[#This Row],[Day]])</f>
        <v>45195</v>
      </c>
      <c r="C2531" s="3">
        <v>26</v>
      </c>
      <c r="D2531" s="3">
        <v>9</v>
      </c>
      <c r="E2531" s="3">
        <v>2023</v>
      </c>
      <c r="F2531" s="3" t="str">
        <f>"Qtr"&amp; " " &amp;CHOOSE(MONTH(Table1[[#This Row],[Date]]),1,1,1,2,2,2,3,3,3,4,4,4)</f>
        <v>Qtr 3</v>
      </c>
      <c r="G2531" s="3" t="str">
        <f>TEXT(Table1[[#This Row],[Date]],"mmmm")</f>
        <v>September</v>
      </c>
      <c r="H2531" s="3" t="s">
        <v>1082</v>
      </c>
      <c r="I2531" s="3" t="s">
        <v>39</v>
      </c>
      <c r="J2531" s="3">
        <v>1</v>
      </c>
      <c r="K2531" s="3">
        <v>40428.629999999997</v>
      </c>
      <c r="L2531" s="3">
        <f>Table1[[#This Row],[Price Per Unit]]*Table1[[#This Row],[Units Sold]]</f>
        <v>40428.629999999997</v>
      </c>
      <c r="M2531" s="3" t="s">
        <v>705</v>
      </c>
      <c r="N2531" s="3">
        <v>49</v>
      </c>
      <c r="O2531" s="3" t="s">
        <v>102</v>
      </c>
      <c r="P2531" s="3" t="s">
        <v>31</v>
      </c>
      <c r="Q2531" s="4">
        <v>3</v>
      </c>
      <c r="R2531" s="4" t="str">
        <f>IF(Table1[[#This Row],[Customer Ratings]]&gt;=4, "Good",IF(Table1[[#This Row],[Customer Ratings]]=3, "Average","Poor"))</f>
        <v>Average</v>
      </c>
      <c r="S2531" s="3" t="s">
        <v>90</v>
      </c>
    </row>
    <row r="2532" spans="1:19" x14ac:dyDescent="0.25">
      <c r="A2532" s="3">
        <v>2531</v>
      </c>
      <c r="B2532" s="5">
        <f>DATE(Table1[[#This Row],[Year]],Table1[[#This Row],[Month]],Table1[[#This Row],[Day]])</f>
        <v>45195</v>
      </c>
      <c r="C2532" s="3">
        <v>26</v>
      </c>
      <c r="D2532" s="3">
        <v>9</v>
      </c>
      <c r="E2532" s="3">
        <v>2023</v>
      </c>
      <c r="F2532" s="3" t="str">
        <f>"Qtr"&amp; " " &amp;CHOOSE(MONTH(Table1[[#This Row],[Date]]),1,1,1,2,2,2,3,3,3,4,4,4)</f>
        <v>Qtr 3</v>
      </c>
      <c r="G2532" s="3" t="str">
        <f>TEXT(Table1[[#This Row],[Date]],"mmmm")</f>
        <v>September</v>
      </c>
      <c r="H2532" s="3" t="s">
        <v>1082</v>
      </c>
      <c r="I2532" s="3" t="s">
        <v>39</v>
      </c>
      <c r="J2532" s="3">
        <v>7</v>
      </c>
      <c r="K2532" s="3">
        <v>57177.57</v>
      </c>
      <c r="L2532" s="3">
        <f>Table1[[#This Row],[Price Per Unit]]*Table1[[#This Row],[Units Sold]]</f>
        <v>400242.99</v>
      </c>
      <c r="M2532" s="3" t="s">
        <v>69</v>
      </c>
      <c r="N2532" s="3">
        <v>35</v>
      </c>
      <c r="O2532" s="3" t="s">
        <v>137</v>
      </c>
      <c r="P2532" s="3" t="s">
        <v>16</v>
      </c>
      <c r="Q2532" s="4">
        <v>4</v>
      </c>
      <c r="R2532" s="4" t="str">
        <f>IF(Table1[[#This Row],[Customer Ratings]]&gt;=4, "Good",IF(Table1[[#This Row],[Customer Ratings]]=3, "Average","Poor"))</f>
        <v>Good</v>
      </c>
      <c r="S2532" s="3" t="s">
        <v>76</v>
      </c>
    </row>
    <row r="2533" spans="1:19" x14ac:dyDescent="0.25">
      <c r="A2533" s="3">
        <v>2532</v>
      </c>
      <c r="B2533" s="5">
        <f>DATE(Table1[[#This Row],[Year]],Table1[[#This Row],[Month]],Table1[[#This Row],[Day]])</f>
        <v>45195</v>
      </c>
      <c r="C2533" s="3">
        <v>26</v>
      </c>
      <c r="D2533" s="3">
        <v>9</v>
      </c>
      <c r="E2533" s="3">
        <v>2023</v>
      </c>
      <c r="F2533" s="3" t="str">
        <f>"Qtr"&amp; " " &amp;CHOOSE(MONTH(Table1[[#This Row],[Date]]),1,1,1,2,2,2,3,3,3,4,4,4)</f>
        <v>Qtr 3</v>
      </c>
      <c r="G2533" s="3" t="str">
        <f>TEXT(Table1[[#This Row],[Date]],"mmmm")</f>
        <v>September</v>
      </c>
      <c r="H2533" s="3" t="s">
        <v>1082</v>
      </c>
      <c r="I2533" s="3" t="s">
        <v>13</v>
      </c>
      <c r="J2533" s="3">
        <v>7</v>
      </c>
      <c r="K2533" s="3">
        <v>62903.35</v>
      </c>
      <c r="L2533" s="3">
        <f>Table1[[#This Row],[Price Per Unit]]*Table1[[#This Row],[Units Sold]]</f>
        <v>440323.45</v>
      </c>
      <c r="M2533" s="3" t="s">
        <v>730</v>
      </c>
      <c r="N2533" s="3">
        <v>55</v>
      </c>
      <c r="O2533" s="3" t="s">
        <v>137</v>
      </c>
      <c r="P2533" s="3" t="s">
        <v>45</v>
      </c>
      <c r="Q2533" s="4">
        <v>5</v>
      </c>
      <c r="R2533" s="4" t="str">
        <f>IF(Table1[[#This Row],[Customer Ratings]]&gt;=4, "Good",IF(Table1[[#This Row],[Customer Ratings]]=3, "Average","Poor"))</f>
        <v>Good</v>
      </c>
      <c r="S2533" s="3" t="s">
        <v>17</v>
      </c>
    </row>
    <row r="2534" spans="1:19" x14ac:dyDescent="0.25">
      <c r="A2534" s="3">
        <v>2533</v>
      </c>
      <c r="B2534" s="5">
        <f>DATE(Table1[[#This Row],[Year]],Table1[[#This Row],[Month]],Table1[[#This Row],[Day]])</f>
        <v>45196</v>
      </c>
      <c r="C2534" s="3">
        <v>27</v>
      </c>
      <c r="D2534" s="3">
        <v>9</v>
      </c>
      <c r="E2534" s="3">
        <v>2023</v>
      </c>
      <c r="F2534" s="3" t="str">
        <f>"Qtr"&amp; " " &amp;CHOOSE(MONTH(Table1[[#This Row],[Date]]),1,1,1,2,2,2,3,3,3,4,4,4)</f>
        <v>Qtr 3</v>
      </c>
      <c r="G2534" s="3" t="str">
        <f>TEXT(Table1[[#This Row],[Date]],"mmmm")</f>
        <v>September</v>
      </c>
      <c r="H2534" s="3" t="s">
        <v>1083</v>
      </c>
      <c r="I2534" s="3" t="s">
        <v>39</v>
      </c>
      <c r="J2534" s="3">
        <v>8</v>
      </c>
      <c r="K2534" s="3">
        <v>60321.83</v>
      </c>
      <c r="L2534" s="3">
        <f>Table1[[#This Row],[Price Per Unit]]*Table1[[#This Row],[Units Sold]]</f>
        <v>482574.64</v>
      </c>
      <c r="M2534" s="3" t="s">
        <v>629</v>
      </c>
      <c r="N2534" s="3">
        <v>35</v>
      </c>
      <c r="O2534" s="3" t="s">
        <v>20</v>
      </c>
      <c r="P2534" s="3" t="s">
        <v>21</v>
      </c>
      <c r="Q2534" s="4">
        <v>5</v>
      </c>
      <c r="R2534" s="4" t="str">
        <f>IF(Table1[[#This Row],[Customer Ratings]]&gt;=4, "Good",IF(Table1[[#This Row],[Customer Ratings]]=3, "Average","Poor"))</f>
        <v>Good</v>
      </c>
      <c r="S2534" s="3" t="s">
        <v>42</v>
      </c>
    </row>
    <row r="2535" spans="1:19" x14ac:dyDescent="0.25">
      <c r="A2535" s="3">
        <v>2534</v>
      </c>
      <c r="B2535" s="5">
        <f>DATE(Table1[[#This Row],[Year]],Table1[[#This Row],[Month]],Table1[[#This Row],[Day]])</f>
        <v>45196</v>
      </c>
      <c r="C2535" s="3">
        <v>27</v>
      </c>
      <c r="D2535" s="3">
        <v>9</v>
      </c>
      <c r="E2535" s="3">
        <v>2023</v>
      </c>
      <c r="F2535" s="3" t="str">
        <f>"Qtr"&amp; " " &amp;CHOOSE(MONTH(Table1[[#This Row],[Date]]),1,1,1,2,2,2,3,3,3,4,4,4)</f>
        <v>Qtr 3</v>
      </c>
      <c r="G2535" s="3" t="str">
        <f>TEXT(Table1[[#This Row],[Date]],"mmmm")</f>
        <v>September</v>
      </c>
      <c r="H2535" s="3" t="s">
        <v>1083</v>
      </c>
      <c r="I2535" s="3" t="s">
        <v>39</v>
      </c>
      <c r="J2535" s="3">
        <v>5</v>
      </c>
      <c r="K2535" s="3">
        <v>44930.84</v>
      </c>
      <c r="L2535" s="3">
        <f>Table1[[#This Row],[Price Per Unit]]*Table1[[#This Row],[Units Sold]]</f>
        <v>224654.19999999998</v>
      </c>
      <c r="M2535" s="3" t="s">
        <v>363</v>
      </c>
      <c r="N2535" s="3">
        <v>58</v>
      </c>
      <c r="O2535" s="3" t="s">
        <v>20</v>
      </c>
      <c r="P2535" s="3" t="s">
        <v>45</v>
      </c>
      <c r="Q2535" s="4">
        <v>4</v>
      </c>
      <c r="R2535" s="4" t="str">
        <f>IF(Table1[[#This Row],[Customer Ratings]]&gt;=4, "Good",IF(Table1[[#This Row],[Customer Ratings]]=3, "Average","Poor"))</f>
        <v>Good</v>
      </c>
      <c r="S2535" s="3" t="s">
        <v>76</v>
      </c>
    </row>
    <row r="2536" spans="1:19" x14ac:dyDescent="0.25">
      <c r="A2536" s="3">
        <v>2535</v>
      </c>
      <c r="B2536" s="5">
        <f>DATE(Table1[[#This Row],[Year]],Table1[[#This Row],[Month]],Table1[[#This Row],[Day]])</f>
        <v>45196</v>
      </c>
      <c r="C2536" s="3">
        <v>27</v>
      </c>
      <c r="D2536" s="3">
        <v>9</v>
      </c>
      <c r="E2536" s="3">
        <v>2023</v>
      </c>
      <c r="F2536" s="3" t="str">
        <f>"Qtr"&amp; " " &amp;CHOOSE(MONTH(Table1[[#This Row],[Date]]),1,1,1,2,2,2,3,3,3,4,4,4)</f>
        <v>Qtr 3</v>
      </c>
      <c r="G2536" s="3" t="str">
        <f>TEXT(Table1[[#This Row],[Date]],"mmmm")</f>
        <v>September</v>
      </c>
      <c r="H2536" s="3" t="s">
        <v>1083</v>
      </c>
      <c r="I2536" s="3" t="s">
        <v>18</v>
      </c>
      <c r="J2536" s="3">
        <v>5</v>
      </c>
      <c r="K2536" s="3">
        <v>24928.98</v>
      </c>
      <c r="L2536" s="3">
        <f>Table1[[#This Row],[Price Per Unit]]*Table1[[#This Row],[Units Sold]]</f>
        <v>124644.9</v>
      </c>
      <c r="M2536" s="3" t="s">
        <v>660</v>
      </c>
      <c r="N2536" s="3">
        <v>33</v>
      </c>
      <c r="O2536" s="3" t="s">
        <v>78</v>
      </c>
      <c r="P2536" s="3" t="s">
        <v>21</v>
      </c>
      <c r="Q2536" s="4">
        <v>2</v>
      </c>
      <c r="R2536" s="4" t="str">
        <f>IF(Table1[[#This Row],[Customer Ratings]]&gt;=4, "Good",IF(Table1[[#This Row],[Customer Ratings]]=3, "Average","Poor"))</f>
        <v>Poor</v>
      </c>
      <c r="S2536" s="3" t="s">
        <v>25</v>
      </c>
    </row>
    <row r="2537" spans="1:19" x14ac:dyDescent="0.25">
      <c r="A2537" s="3">
        <v>2536</v>
      </c>
      <c r="B2537" s="5">
        <f>DATE(Table1[[#This Row],[Year]],Table1[[#This Row],[Month]],Table1[[#This Row],[Day]])</f>
        <v>45196</v>
      </c>
      <c r="C2537" s="3">
        <v>27</v>
      </c>
      <c r="D2537" s="3">
        <v>9</v>
      </c>
      <c r="E2537" s="3">
        <v>2023</v>
      </c>
      <c r="F2537" s="3" t="str">
        <f>"Qtr"&amp; " " &amp;CHOOSE(MONTH(Table1[[#This Row],[Date]]),1,1,1,2,2,2,3,3,3,4,4,4)</f>
        <v>Qtr 3</v>
      </c>
      <c r="G2537" s="3" t="str">
        <f>TEXT(Table1[[#This Row],[Date]],"mmmm")</f>
        <v>September</v>
      </c>
      <c r="H2537" s="3" t="s">
        <v>1083</v>
      </c>
      <c r="I2537" s="3" t="s">
        <v>18</v>
      </c>
      <c r="J2537" s="3">
        <v>5</v>
      </c>
      <c r="K2537" s="3">
        <v>49674</v>
      </c>
      <c r="L2537" s="3">
        <f>Table1[[#This Row],[Price Per Unit]]*Table1[[#This Row],[Units Sold]]</f>
        <v>248370</v>
      </c>
      <c r="M2537" s="3" t="s">
        <v>967</v>
      </c>
      <c r="N2537" s="3">
        <v>38</v>
      </c>
      <c r="O2537" s="3" t="s">
        <v>78</v>
      </c>
      <c r="P2537" s="3" t="s">
        <v>45</v>
      </c>
      <c r="Q2537" s="4">
        <v>3</v>
      </c>
      <c r="R2537" s="4" t="str">
        <f>IF(Table1[[#This Row],[Customer Ratings]]&gt;=4, "Good",IF(Table1[[#This Row],[Customer Ratings]]=3, "Average","Poor"))</f>
        <v>Average</v>
      </c>
      <c r="S2537" s="3" t="s">
        <v>55</v>
      </c>
    </row>
    <row r="2538" spans="1:19" x14ac:dyDescent="0.25">
      <c r="A2538" s="3">
        <v>2537</v>
      </c>
      <c r="B2538" s="5">
        <f>DATE(Table1[[#This Row],[Year]],Table1[[#This Row],[Month]],Table1[[#This Row],[Day]])</f>
        <v>45197</v>
      </c>
      <c r="C2538" s="3">
        <v>28</v>
      </c>
      <c r="D2538" s="3">
        <v>9</v>
      </c>
      <c r="E2538" s="3">
        <v>2023</v>
      </c>
      <c r="F2538" s="3" t="str">
        <f>"Qtr"&amp; " " &amp;CHOOSE(MONTH(Table1[[#This Row],[Date]]),1,1,1,2,2,2,3,3,3,4,4,4)</f>
        <v>Qtr 3</v>
      </c>
      <c r="G2538" s="3" t="str">
        <f>TEXT(Table1[[#This Row],[Date]],"mmmm")</f>
        <v>September</v>
      </c>
      <c r="H2538" s="3" t="s">
        <v>1084</v>
      </c>
      <c r="I2538" s="3" t="s">
        <v>13</v>
      </c>
      <c r="J2538" s="3">
        <v>1</v>
      </c>
      <c r="K2538" s="3">
        <v>52594.3</v>
      </c>
      <c r="L2538" s="3">
        <f>Table1[[#This Row],[Price Per Unit]]*Table1[[#This Row],[Units Sold]]</f>
        <v>52594.3</v>
      </c>
      <c r="M2538" s="3" t="s">
        <v>452</v>
      </c>
      <c r="N2538" s="3">
        <v>27</v>
      </c>
      <c r="O2538" s="3" t="s">
        <v>20</v>
      </c>
      <c r="P2538" s="3" t="s">
        <v>21</v>
      </c>
      <c r="Q2538" s="4">
        <v>5</v>
      </c>
      <c r="R2538" s="4" t="str">
        <f>IF(Table1[[#This Row],[Customer Ratings]]&gt;=4, "Good",IF(Table1[[#This Row],[Customer Ratings]]=3, "Average","Poor"))</f>
        <v>Good</v>
      </c>
      <c r="S2538" s="3" t="s">
        <v>27</v>
      </c>
    </row>
    <row r="2539" spans="1:19" x14ac:dyDescent="0.25">
      <c r="A2539" s="3">
        <v>2538</v>
      </c>
      <c r="B2539" s="5">
        <f>DATE(Table1[[#This Row],[Year]],Table1[[#This Row],[Month]],Table1[[#This Row],[Day]])</f>
        <v>45197</v>
      </c>
      <c r="C2539" s="3">
        <v>28</v>
      </c>
      <c r="D2539" s="3">
        <v>9</v>
      </c>
      <c r="E2539" s="3">
        <v>2023</v>
      </c>
      <c r="F2539" s="3" t="str">
        <f>"Qtr"&amp; " " &amp;CHOOSE(MONTH(Table1[[#This Row],[Date]]),1,1,1,2,2,2,3,3,3,4,4,4)</f>
        <v>Qtr 3</v>
      </c>
      <c r="G2539" s="3" t="str">
        <f>TEXT(Table1[[#This Row],[Date]],"mmmm")</f>
        <v>September</v>
      </c>
      <c r="H2539" s="3" t="s">
        <v>1084</v>
      </c>
      <c r="I2539" s="3" t="s">
        <v>33</v>
      </c>
      <c r="J2539" s="3">
        <v>5</v>
      </c>
      <c r="K2539" s="3">
        <v>10641.52</v>
      </c>
      <c r="L2539" s="3">
        <f>Table1[[#This Row],[Price Per Unit]]*Table1[[#This Row],[Units Sold]]</f>
        <v>53207.600000000006</v>
      </c>
      <c r="M2539" s="3" t="s">
        <v>470</v>
      </c>
      <c r="N2539" s="3">
        <v>59</v>
      </c>
      <c r="O2539" s="3" t="s">
        <v>24</v>
      </c>
      <c r="P2539" s="3" t="s">
        <v>16</v>
      </c>
      <c r="Q2539" s="4">
        <v>5</v>
      </c>
      <c r="R2539" s="4" t="str">
        <f>IF(Table1[[#This Row],[Customer Ratings]]&gt;=4, "Good",IF(Table1[[#This Row],[Customer Ratings]]=3, "Average","Poor"))</f>
        <v>Good</v>
      </c>
      <c r="S2539" s="3" t="s">
        <v>36</v>
      </c>
    </row>
    <row r="2540" spans="1:19" x14ac:dyDescent="0.25">
      <c r="A2540" s="3">
        <v>2539</v>
      </c>
      <c r="B2540" s="5">
        <f>DATE(Table1[[#This Row],[Year]],Table1[[#This Row],[Month]],Table1[[#This Row],[Day]])</f>
        <v>45197</v>
      </c>
      <c r="C2540" s="3">
        <v>28</v>
      </c>
      <c r="D2540" s="3">
        <v>9</v>
      </c>
      <c r="E2540" s="3">
        <v>2023</v>
      </c>
      <c r="F2540" s="3" t="str">
        <f>"Qtr"&amp; " " &amp;CHOOSE(MONTH(Table1[[#This Row],[Date]]),1,1,1,2,2,2,3,3,3,4,4,4)</f>
        <v>Qtr 3</v>
      </c>
      <c r="G2540" s="3" t="str">
        <f>TEXT(Table1[[#This Row],[Date]],"mmmm")</f>
        <v>September</v>
      </c>
      <c r="H2540" s="3" t="s">
        <v>1084</v>
      </c>
      <c r="I2540" s="3" t="s">
        <v>13</v>
      </c>
      <c r="J2540" s="3">
        <v>6</v>
      </c>
      <c r="K2540" s="3">
        <v>36352.629999999997</v>
      </c>
      <c r="L2540" s="3">
        <f>Table1[[#This Row],[Price Per Unit]]*Table1[[#This Row],[Units Sold]]</f>
        <v>218115.77999999997</v>
      </c>
      <c r="M2540" s="3" t="s">
        <v>967</v>
      </c>
      <c r="N2540" s="3">
        <v>21</v>
      </c>
      <c r="O2540" s="3" t="s">
        <v>52</v>
      </c>
      <c r="P2540" s="3" t="s">
        <v>21</v>
      </c>
      <c r="Q2540" s="4">
        <v>3</v>
      </c>
      <c r="R2540" s="4" t="str">
        <f>IF(Table1[[#This Row],[Customer Ratings]]&gt;=4, "Good",IF(Table1[[#This Row],[Customer Ratings]]=3, "Average","Poor"))</f>
        <v>Average</v>
      </c>
      <c r="S2540" s="3" t="s">
        <v>72</v>
      </c>
    </row>
    <row r="2541" spans="1:19" x14ac:dyDescent="0.25">
      <c r="A2541" s="3">
        <v>2540</v>
      </c>
      <c r="B2541" s="5">
        <f>DATE(Table1[[#This Row],[Year]],Table1[[#This Row],[Month]],Table1[[#This Row],[Day]])</f>
        <v>45197</v>
      </c>
      <c r="C2541" s="3">
        <v>28</v>
      </c>
      <c r="D2541" s="3">
        <v>9</v>
      </c>
      <c r="E2541" s="3">
        <v>2023</v>
      </c>
      <c r="F2541" s="3" t="str">
        <f>"Qtr"&amp; " " &amp;CHOOSE(MONTH(Table1[[#This Row],[Date]]),1,1,1,2,2,2,3,3,3,4,4,4)</f>
        <v>Qtr 3</v>
      </c>
      <c r="G2541" s="3" t="str">
        <f>TEXT(Table1[[#This Row],[Date]],"mmmm")</f>
        <v>September</v>
      </c>
      <c r="H2541" s="3" t="s">
        <v>1084</v>
      </c>
      <c r="I2541" s="3" t="s">
        <v>13</v>
      </c>
      <c r="J2541" s="3">
        <v>1</v>
      </c>
      <c r="K2541" s="3">
        <v>60595.72</v>
      </c>
      <c r="L2541" s="3">
        <f>Table1[[#This Row],[Price Per Unit]]*Table1[[#This Row],[Units Sold]]</f>
        <v>60595.72</v>
      </c>
      <c r="M2541" s="3" t="s">
        <v>262</v>
      </c>
      <c r="N2541" s="3">
        <v>25</v>
      </c>
      <c r="O2541" s="3" t="s">
        <v>20</v>
      </c>
      <c r="P2541" s="3" t="s">
        <v>16</v>
      </c>
      <c r="Q2541" s="4">
        <v>2</v>
      </c>
      <c r="R2541" s="4" t="str">
        <f>IF(Table1[[#This Row],[Customer Ratings]]&gt;=4, "Good",IF(Table1[[#This Row],[Customer Ratings]]=3, "Average","Poor"))</f>
        <v>Poor</v>
      </c>
      <c r="S2541" s="3" t="s">
        <v>72</v>
      </c>
    </row>
    <row r="2542" spans="1:19" x14ac:dyDescent="0.25">
      <c r="A2542" s="3">
        <v>2541</v>
      </c>
      <c r="B2542" s="5">
        <f>DATE(Table1[[#This Row],[Year]],Table1[[#This Row],[Month]],Table1[[#This Row],[Day]])</f>
        <v>45198</v>
      </c>
      <c r="C2542" s="3">
        <v>29</v>
      </c>
      <c r="D2542" s="3">
        <v>9</v>
      </c>
      <c r="E2542" s="3">
        <v>2023</v>
      </c>
      <c r="F2542" s="3" t="str">
        <f>"Qtr"&amp; " " &amp;CHOOSE(MONTH(Table1[[#This Row],[Date]]),1,1,1,2,2,2,3,3,3,4,4,4)</f>
        <v>Qtr 3</v>
      </c>
      <c r="G2542" s="3" t="str">
        <f>TEXT(Table1[[#This Row],[Date]],"mmmm")</f>
        <v>September</v>
      </c>
      <c r="H2542" s="3" t="s">
        <v>1085</v>
      </c>
      <c r="I2542" s="3" t="s">
        <v>28</v>
      </c>
      <c r="J2542" s="3">
        <v>7</v>
      </c>
      <c r="K2542" s="3">
        <v>39375.26</v>
      </c>
      <c r="L2542" s="3">
        <f>Table1[[#This Row],[Price Per Unit]]*Table1[[#This Row],[Units Sold]]</f>
        <v>275626.82</v>
      </c>
      <c r="M2542" s="3" t="s">
        <v>985</v>
      </c>
      <c r="N2542" s="3">
        <v>36</v>
      </c>
      <c r="O2542" s="3" t="s">
        <v>137</v>
      </c>
      <c r="P2542" s="3" t="s">
        <v>16</v>
      </c>
      <c r="Q2542" s="4">
        <v>5</v>
      </c>
      <c r="R2542" s="4" t="str">
        <f>IF(Table1[[#This Row],[Customer Ratings]]&gt;=4, "Good",IF(Table1[[#This Row],[Customer Ratings]]=3, "Average","Poor"))</f>
        <v>Good</v>
      </c>
      <c r="S2542" s="3" t="s">
        <v>32</v>
      </c>
    </row>
    <row r="2543" spans="1:19" x14ac:dyDescent="0.25">
      <c r="A2543" s="3">
        <v>2542</v>
      </c>
      <c r="B2543" s="5">
        <f>DATE(Table1[[#This Row],[Year]],Table1[[#This Row],[Month]],Table1[[#This Row],[Day]])</f>
        <v>45198</v>
      </c>
      <c r="C2543" s="3">
        <v>29</v>
      </c>
      <c r="D2543" s="3">
        <v>9</v>
      </c>
      <c r="E2543" s="3">
        <v>2023</v>
      </c>
      <c r="F2543" s="3" t="str">
        <f>"Qtr"&amp; " " &amp;CHOOSE(MONTH(Table1[[#This Row],[Date]]),1,1,1,2,2,2,3,3,3,4,4,4)</f>
        <v>Qtr 3</v>
      </c>
      <c r="G2543" s="3" t="str">
        <f>TEXT(Table1[[#This Row],[Date]],"mmmm")</f>
        <v>September</v>
      </c>
      <c r="H2543" s="3" t="s">
        <v>1085</v>
      </c>
      <c r="I2543" s="3" t="s">
        <v>28</v>
      </c>
      <c r="J2543" s="3">
        <v>1</v>
      </c>
      <c r="K2543" s="3">
        <v>28682.53</v>
      </c>
      <c r="L2543" s="3">
        <f>Table1[[#This Row],[Price Per Unit]]*Table1[[#This Row],[Units Sold]]</f>
        <v>28682.53</v>
      </c>
      <c r="M2543" s="3" t="s">
        <v>263</v>
      </c>
      <c r="N2543" s="3">
        <v>57</v>
      </c>
      <c r="O2543" s="3" t="s">
        <v>137</v>
      </c>
      <c r="P2543" s="3" t="s">
        <v>45</v>
      </c>
      <c r="Q2543" s="4">
        <v>3</v>
      </c>
      <c r="R2543" s="4" t="str">
        <f>IF(Table1[[#This Row],[Customer Ratings]]&gt;=4, "Good",IF(Table1[[#This Row],[Customer Ratings]]=3, "Average","Poor"))</f>
        <v>Average</v>
      </c>
      <c r="S2543" s="3" t="s">
        <v>32</v>
      </c>
    </row>
    <row r="2544" spans="1:19" x14ac:dyDescent="0.25">
      <c r="A2544" s="3">
        <v>2543</v>
      </c>
      <c r="B2544" s="5">
        <f>DATE(Table1[[#This Row],[Year]],Table1[[#This Row],[Month]],Table1[[#This Row],[Day]])</f>
        <v>45198</v>
      </c>
      <c r="C2544" s="3">
        <v>29</v>
      </c>
      <c r="D2544" s="3">
        <v>9</v>
      </c>
      <c r="E2544" s="3">
        <v>2023</v>
      </c>
      <c r="F2544" s="3" t="str">
        <f>"Qtr"&amp; " " &amp;CHOOSE(MONTH(Table1[[#This Row],[Date]]),1,1,1,2,2,2,3,3,3,4,4,4)</f>
        <v>Qtr 3</v>
      </c>
      <c r="G2544" s="3" t="str">
        <f>TEXT(Table1[[#This Row],[Date]],"mmmm")</f>
        <v>September</v>
      </c>
      <c r="H2544" s="3" t="s">
        <v>1085</v>
      </c>
      <c r="I2544" s="3" t="s">
        <v>13</v>
      </c>
      <c r="J2544" s="3">
        <v>2</v>
      </c>
      <c r="K2544" s="3">
        <v>62307.87</v>
      </c>
      <c r="L2544" s="3">
        <f>Table1[[#This Row],[Price Per Unit]]*Table1[[#This Row],[Units Sold]]</f>
        <v>124615.74</v>
      </c>
      <c r="M2544" s="3" t="s">
        <v>555</v>
      </c>
      <c r="N2544" s="3">
        <v>57</v>
      </c>
      <c r="O2544" s="3" t="s">
        <v>52</v>
      </c>
      <c r="P2544" s="3" t="s">
        <v>16</v>
      </c>
      <c r="Q2544" s="4">
        <v>5</v>
      </c>
      <c r="R2544" s="4" t="str">
        <f>IF(Table1[[#This Row],[Customer Ratings]]&gt;=4, "Good",IF(Table1[[#This Row],[Customer Ratings]]=3, "Average","Poor"))</f>
        <v>Good</v>
      </c>
      <c r="S2544" s="3" t="s">
        <v>17</v>
      </c>
    </row>
    <row r="2545" spans="1:19" x14ac:dyDescent="0.25">
      <c r="A2545" s="3">
        <v>2544</v>
      </c>
      <c r="B2545" s="5">
        <f>DATE(Table1[[#This Row],[Year]],Table1[[#This Row],[Month]],Table1[[#This Row],[Day]])</f>
        <v>45198</v>
      </c>
      <c r="C2545" s="3">
        <v>29</v>
      </c>
      <c r="D2545" s="3">
        <v>9</v>
      </c>
      <c r="E2545" s="3">
        <v>2023</v>
      </c>
      <c r="F2545" s="3" t="str">
        <f>"Qtr"&amp; " " &amp;CHOOSE(MONTH(Table1[[#This Row],[Date]]),1,1,1,2,2,2,3,3,3,4,4,4)</f>
        <v>Qtr 3</v>
      </c>
      <c r="G2545" s="3" t="str">
        <f>TEXT(Table1[[#This Row],[Date]],"mmmm")</f>
        <v>September</v>
      </c>
      <c r="H2545" s="3" t="s">
        <v>1085</v>
      </c>
      <c r="I2545" s="3" t="s">
        <v>13</v>
      </c>
      <c r="J2545" s="3">
        <v>2</v>
      </c>
      <c r="K2545" s="3">
        <v>19352.84</v>
      </c>
      <c r="L2545" s="3">
        <f>Table1[[#This Row],[Price Per Unit]]*Table1[[#This Row],[Units Sold]]</f>
        <v>38705.68</v>
      </c>
      <c r="M2545" s="3" t="s">
        <v>533</v>
      </c>
      <c r="N2545" s="3">
        <v>26</v>
      </c>
      <c r="O2545" s="3" t="s">
        <v>120</v>
      </c>
      <c r="P2545" s="3" t="s">
        <v>31</v>
      </c>
      <c r="Q2545" s="4">
        <v>4</v>
      </c>
      <c r="R2545" s="4" t="str">
        <f>IF(Table1[[#This Row],[Customer Ratings]]&gt;=4, "Good",IF(Table1[[#This Row],[Customer Ratings]]=3, "Average","Poor"))</f>
        <v>Good</v>
      </c>
      <c r="S2545" s="3" t="s">
        <v>17</v>
      </c>
    </row>
    <row r="2546" spans="1:19" x14ac:dyDescent="0.25">
      <c r="A2546" s="3">
        <v>2545</v>
      </c>
      <c r="B2546" s="5">
        <f>DATE(Table1[[#This Row],[Year]],Table1[[#This Row],[Month]],Table1[[#This Row],[Day]])</f>
        <v>45199</v>
      </c>
      <c r="C2546" s="3">
        <v>30</v>
      </c>
      <c r="D2546" s="3">
        <v>9</v>
      </c>
      <c r="E2546" s="3">
        <v>2023</v>
      </c>
      <c r="F2546" s="3" t="str">
        <f>"Qtr"&amp; " " &amp;CHOOSE(MONTH(Table1[[#This Row],[Date]]),1,1,1,2,2,2,3,3,3,4,4,4)</f>
        <v>Qtr 3</v>
      </c>
      <c r="G2546" s="3" t="str">
        <f>TEXT(Table1[[#This Row],[Date]],"mmmm")</f>
        <v>September</v>
      </c>
      <c r="H2546" s="3" t="s">
        <v>1079</v>
      </c>
      <c r="I2546" s="3" t="s">
        <v>13</v>
      </c>
      <c r="J2546" s="3">
        <v>5</v>
      </c>
      <c r="K2546" s="3">
        <v>22386.71</v>
      </c>
      <c r="L2546" s="3">
        <f>Table1[[#This Row],[Price Per Unit]]*Table1[[#This Row],[Units Sold]]</f>
        <v>111933.54999999999</v>
      </c>
      <c r="M2546" s="3" t="s">
        <v>791</v>
      </c>
      <c r="N2546" s="3">
        <v>47</v>
      </c>
      <c r="O2546" s="3" t="s">
        <v>20</v>
      </c>
      <c r="P2546" s="3" t="s">
        <v>21</v>
      </c>
      <c r="Q2546" s="4">
        <v>5</v>
      </c>
      <c r="R2546" s="4" t="str">
        <f>IF(Table1[[#This Row],[Customer Ratings]]&gt;=4, "Good",IF(Table1[[#This Row],[Customer Ratings]]=3, "Average","Poor"))</f>
        <v>Good</v>
      </c>
      <c r="S2546" s="3" t="s">
        <v>72</v>
      </c>
    </row>
    <row r="2547" spans="1:19" x14ac:dyDescent="0.25">
      <c r="A2547" s="3">
        <v>2546</v>
      </c>
      <c r="B2547" s="5">
        <f>DATE(Table1[[#This Row],[Year]],Table1[[#This Row],[Month]],Table1[[#This Row],[Day]])</f>
        <v>45199</v>
      </c>
      <c r="C2547" s="3">
        <v>30</v>
      </c>
      <c r="D2547" s="3">
        <v>9</v>
      </c>
      <c r="E2547" s="3">
        <v>2023</v>
      </c>
      <c r="F2547" s="3" t="str">
        <f>"Qtr"&amp; " " &amp;CHOOSE(MONTH(Table1[[#This Row],[Date]]),1,1,1,2,2,2,3,3,3,4,4,4)</f>
        <v>Qtr 3</v>
      </c>
      <c r="G2547" s="3" t="str">
        <f>TEXT(Table1[[#This Row],[Date]],"mmmm")</f>
        <v>September</v>
      </c>
      <c r="H2547" s="3" t="s">
        <v>1079</v>
      </c>
      <c r="I2547" s="3" t="s">
        <v>39</v>
      </c>
      <c r="J2547" s="3">
        <v>7</v>
      </c>
      <c r="K2547" s="3">
        <v>51242.34</v>
      </c>
      <c r="L2547" s="3">
        <f>Table1[[#This Row],[Price Per Unit]]*Table1[[#This Row],[Units Sold]]</f>
        <v>358696.38</v>
      </c>
      <c r="M2547" s="3" t="s">
        <v>883</v>
      </c>
      <c r="N2547" s="3">
        <v>34</v>
      </c>
      <c r="O2547" s="3" t="s">
        <v>20</v>
      </c>
      <c r="P2547" s="3" t="s">
        <v>45</v>
      </c>
      <c r="Q2547" s="4">
        <v>2</v>
      </c>
      <c r="R2547" s="4" t="str">
        <f>IF(Table1[[#This Row],[Customer Ratings]]&gt;=4, "Good",IF(Table1[[#This Row],[Customer Ratings]]=3, "Average","Poor"))</f>
        <v>Poor</v>
      </c>
      <c r="S2547" s="3" t="s">
        <v>76</v>
      </c>
    </row>
    <row r="2548" spans="1:19" x14ac:dyDescent="0.25">
      <c r="A2548" s="3">
        <v>2547</v>
      </c>
      <c r="B2548" s="5">
        <f>DATE(Table1[[#This Row],[Year]],Table1[[#This Row],[Month]],Table1[[#This Row],[Day]])</f>
        <v>45199</v>
      </c>
      <c r="C2548" s="3">
        <v>30</v>
      </c>
      <c r="D2548" s="3">
        <v>9</v>
      </c>
      <c r="E2548" s="3">
        <v>2023</v>
      </c>
      <c r="F2548" s="3" t="str">
        <f>"Qtr"&amp; " " &amp;CHOOSE(MONTH(Table1[[#This Row],[Date]]),1,1,1,2,2,2,3,3,3,4,4,4)</f>
        <v>Qtr 3</v>
      </c>
      <c r="G2548" s="3" t="str">
        <f>TEXT(Table1[[#This Row],[Date]],"mmmm")</f>
        <v>September</v>
      </c>
      <c r="H2548" s="3" t="s">
        <v>1079</v>
      </c>
      <c r="I2548" s="3" t="s">
        <v>28</v>
      </c>
      <c r="J2548" s="3">
        <v>1</v>
      </c>
      <c r="K2548" s="3">
        <v>31146.16</v>
      </c>
      <c r="L2548" s="3">
        <f>Table1[[#This Row],[Price Per Unit]]*Table1[[#This Row],[Units Sold]]</f>
        <v>31146.16</v>
      </c>
      <c r="M2548" s="3" t="s">
        <v>986</v>
      </c>
      <c r="N2548" s="3">
        <v>57</v>
      </c>
      <c r="O2548" s="3" t="s">
        <v>20</v>
      </c>
      <c r="P2548" s="3" t="s">
        <v>16</v>
      </c>
      <c r="Q2548" s="4">
        <v>5</v>
      </c>
      <c r="R2548" s="4" t="str">
        <f>IF(Table1[[#This Row],[Customer Ratings]]&gt;=4, "Good",IF(Table1[[#This Row],[Customer Ratings]]=3, "Average","Poor"))</f>
        <v>Good</v>
      </c>
      <c r="S2548" s="3" t="s">
        <v>32</v>
      </c>
    </row>
    <row r="2549" spans="1:19" x14ac:dyDescent="0.25">
      <c r="A2549" s="3">
        <v>2548</v>
      </c>
      <c r="B2549" s="5">
        <f>DATE(Table1[[#This Row],[Year]],Table1[[#This Row],[Month]],Table1[[#This Row],[Day]])</f>
        <v>45200</v>
      </c>
      <c r="C2549" s="3">
        <v>1</v>
      </c>
      <c r="D2549" s="3">
        <v>10</v>
      </c>
      <c r="E2549" s="3">
        <v>2023</v>
      </c>
      <c r="F2549" s="3" t="str">
        <f>"Qtr"&amp; " " &amp;CHOOSE(MONTH(Table1[[#This Row],[Date]]),1,1,1,2,2,2,3,3,3,4,4,4)</f>
        <v>Qtr 4</v>
      </c>
      <c r="G2549" s="3" t="str">
        <f>TEXT(Table1[[#This Row],[Date]],"mmmm")</f>
        <v>October</v>
      </c>
      <c r="H2549" s="3" t="s">
        <v>1080</v>
      </c>
      <c r="I2549" s="3" t="s">
        <v>13</v>
      </c>
      <c r="J2549" s="3">
        <v>1</v>
      </c>
      <c r="K2549" s="3">
        <v>52781.01</v>
      </c>
      <c r="L2549" s="3">
        <f>Table1[[#This Row],[Price Per Unit]]*Table1[[#This Row],[Units Sold]]</f>
        <v>52781.01</v>
      </c>
      <c r="M2549" s="3" t="s">
        <v>699</v>
      </c>
      <c r="N2549" s="3">
        <v>32</v>
      </c>
      <c r="O2549" s="3" t="s">
        <v>20</v>
      </c>
      <c r="P2549" s="3" t="s">
        <v>21</v>
      </c>
      <c r="Q2549" s="4">
        <v>2</v>
      </c>
      <c r="R2549" s="4" t="str">
        <f>IF(Table1[[#This Row],[Customer Ratings]]&gt;=4, "Good",IF(Table1[[#This Row],[Customer Ratings]]=3, "Average","Poor"))</f>
        <v>Poor</v>
      </c>
      <c r="S2549" s="3" t="s">
        <v>72</v>
      </c>
    </row>
    <row r="2550" spans="1:19" x14ac:dyDescent="0.25">
      <c r="A2550" s="3">
        <v>2549</v>
      </c>
      <c r="B2550" s="5">
        <f>DATE(Table1[[#This Row],[Year]],Table1[[#This Row],[Month]],Table1[[#This Row],[Day]])</f>
        <v>45200</v>
      </c>
      <c r="C2550" s="3">
        <v>1</v>
      </c>
      <c r="D2550" s="3">
        <v>10</v>
      </c>
      <c r="E2550" s="3">
        <v>2023</v>
      </c>
      <c r="F2550" s="3" t="str">
        <f>"Qtr"&amp; " " &amp;CHOOSE(MONTH(Table1[[#This Row],[Date]]),1,1,1,2,2,2,3,3,3,4,4,4)</f>
        <v>Qtr 4</v>
      </c>
      <c r="G2550" s="3" t="str">
        <f>TEXT(Table1[[#This Row],[Date]],"mmmm")</f>
        <v>October</v>
      </c>
      <c r="H2550" s="3" t="s">
        <v>1080</v>
      </c>
      <c r="I2550" s="3" t="s">
        <v>18</v>
      </c>
      <c r="J2550" s="3">
        <v>1</v>
      </c>
      <c r="K2550" s="3">
        <v>19462.22</v>
      </c>
      <c r="L2550" s="3">
        <f>Table1[[#This Row],[Price Per Unit]]*Table1[[#This Row],[Units Sold]]</f>
        <v>19462.22</v>
      </c>
      <c r="M2550" s="3" t="s">
        <v>344</v>
      </c>
      <c r="N2550" s="3">
        <v>21</v>
      </c>
      <c r="O2550" s="3" t="s">
        <v>24</v>
      </c>
      <c r="P2550" s="3" t="s">
        <v>21</v>
      </c>
      <c r="Q2550" s="4">
        <v>4</v>
      </c>
      <c r="R2550" s="4" t="str">
        <f>IF(Table1[[#This Row],[Customer Ratings]]&gt;=4, "Good",IF(Table1[[#This Row],[Customer Ratings]]=3, "Average","Poor"))</f>
        <v>Good</v>
      </c>
      <c r="S2550" s="3" t="s">
        <v>25</v>
      </c>
    </row>
    <row r="2551" spans="1:19" x14ac:dyDescent="0.25">
      <c r="A2551" s="3">
        <v>2550</v>
      </c>
      <c r="B2551" s="5">
        <f>DATE(Table1[[#This Row],[Year]],Table1[[#This Row],[Month]],Table1[[#This Row],[Day]])</f>
        <v>45200</v>
      </c>
      <c r="C2551" s="3">
        <v>1</v>
      </c>
      <c r="D2551" s="3">
        <v>10</v>
      </c>
      <c r="E2551" s="3">
        <v>2023</v>
      </c>
      <c r="F2551" s="3" t="str">
        <f>"Qtr"&amp; " " &amp;CHOOSE(MONTH(Table1[[#This Row],[Date]]),1,1,1,2,2,2,3,3,3,4,4,4)</f>
        <v>Qtr 4</v>
      </c>
      <c r="G2551" s="3" t="str">
        <f>TEXT(Table1[[#This Row],[Date]],"mmmm")</f>
        <v>October</v>
      </c>
      <c r="H2551" s="3" t="s">
        <v>1080</v>
      </c>
      <c r="I2551" s="3" t="s">
        <v>18</v>
      </c>
      <c r="J2551" s="3">
        <v>6</v>
      </c>
      <c r="K2551" s="3">
        <v>25136.15</v>
      </c>
      <c r="L2551" s="3">
        <f>Table1[[#This Row],[Price Per Unit]]*Table1[[#This Row],[Units Sold]]</f>
        <v>150816.90000000002</v>
      </c>
      <c r="M2551" s="3" t="s">
        <v>426</v>
      </c>
      <c r="N2551" s="3">
        <v>23</v>
      </c>
      <c r="O2551" s="3" t="s">
        <v>105</v>
      </c>
      <c r="P2551" s="3" t="s">
        <v>31</v>
      </c>
      <c r="Q2551" s="4">
        <v>5</v>
      </c>
      <c r="R2551" s="4" t="str">
        <f>IF(Table1[[#This Row],[Customer Ratings]]&gt;=4, "Good",IF(Table1[[#This Row],[Customer Ratings]]=3, "Average","Poor"))</f>
        <v>Good</v>
      </c>
      <c r="S2551" s="3" t="s">
        <v>55</v>
      </c>
    </row>
    <row r="2552" spans="1:19" x14ac:dyDescent="0.25">
      <c r="A2552" s="3">
        <v>2551</v>
      </c>
      <c r="B2552" s="5">
        <f>DATE(Table1[[#This Row],[Year]],Table1[[#This Row],[Month]],Table1[[#This Row],[Day]])</f>
        <v>45200</v>
      </c>
      <c r="C2552" s="3">
        <v>1</v>
      </c>
      <c r="D2552" s="3">
        <v>10</v>
      </c>
      <c r="E2552" s="3">
        <v>2023</v>
      </c>
      <c r="F2552" s="3" t="str">
        <f>"Qtr"&amp; " " &amp;CHOOSE(MONTH(Table1[[#This Row],[Date]]),1,1,1,2,2,2,3,3,3,4,4,4)</f>
        <v>Qtr 4</v>
      </c>
      <c r="G2552" s="3" t="str">
        <f>TEXT(Table1[[#This Row],[Date]],"mmmm")</f>
        <v>October</v>
      </c>
      <c r="H2552" s="3" t="s">
        <v>1080</v>
      </c>
      <c r="I2552" s="3" t="s">
        <v>39</v>
      </c>
      <c r="J2552" s="3">
        <v>2</v>
      </c>
      <c r="K2552" s="3">
        <v>19398.84</v>
      </c>
      <c r="L2552" s="3">
        <f>Table1[[#This Row],[Price Per Unit]]*Table1[[#This Row],[Units Sold]]</f>
        <v>38797.68</v>
      </c>
      <c r="M2552" s="3" t="s">
        <v>828</v>
      </c>
      <c r="N2552" s="3">
        <v>33</v>
      </c>
      <c r="O2552" s="3" t="s">
        <v>125</v>
      </c>
      <c r="P2552" s="3" t="s">
        <v>21</v>
      </c>
      <c r="Q2552" s="4">
        <v>2</v>
      </c>
      <c r="R2552" s="4" t="str">
        <f>IF(Table1[[#This Row],[Customer Ratings]]&gt;=4, "Good",IF(Table1[[#This Row],[Customer Ratings]]=3, "Average","Poor"))</f>
        <v>Poor</v>
      </c>
      <c r="S2552" s="3" t="s">
        <v>90</v>
      </c>
    </row>
    <row r="2553" spans="1:19" x14ac:dyDescent="0.25">
      <c r="A2553" s="3">
        <v>2552</v>
      </c>
      <c r="B2553" s="5">
        <f>DATE(Table1[[#This Row],[Year]],Table1[[#This Row],[Month]],Table1[[#This Row],[Day]])</f>
        <v>45201</v>
      </c>
      <c r="C2553" s="3">
        <v>2</v>
      </c>
      <c r="D2553" s="3">
        <v>10</v>
      </c>
      <c r="E2553" s="3">
        <v>2023</v>
      </c>
      <c r="F2553" s="3" t="str">
        <f>"Qtr"&amp; " " &amp;CHOOSE(MONTH(Table1[[#This Row],[Date]]),1,1,1,2,2,2,3,3,3,4,4,4)</f>
        <v>Qtr 4</v>
      </c>
      <c r="G2553" s="3" t="str">
        <f>TEXT(Table1[[#This Row],[Date]],"mmmm")</f>
        <v>October</v>
      </c>
      <c r="H2553" s="3" t="s">
        <v>1081</v>
      </c>
      <c r="I2553" s="3" t="s">
        <v>39</v>
      </c>
      <c r="J2553" s="3">
        <v>1</v>
      </c>
      <c r="K2553" s="3">
        <v>67174.62</v>
      </c>
      <c r="L2553" s="3">
        <f>Table1[[#This Row],[Price Per Unit]]*Table1[[#This Row],[Units Sold]]</f>
        <v>67174.62</v>
      </c>
      <c r="M2553" s="3" t="s">
        <v>841</v>
      </c>
      <c r="N2553" s="3">
        <v>43</v>
      </c>
      <c r="O2553" s="3" t="s">
        <v>102</v>
      </c>
      <c r="P2553" s="3" t="s">
        <v>45</v>
      </c>
      <c r="Q2553" s="4">
        <v>2</v>
      </c>
      <c r="R2553" s="4" t="str">
        <f>IF(Table1[[#This Row],[Customer Ratings]]&gt;=4, "Good",IF(Table1[[#This Row],[Customer Ratings]]=3, "Average","Poor"))</f>
        <v>Poor</v>
      </c>
      <c r="S2553" s="3" t="s">
        <v>90</v>
      </c>
    </row>
    <row r="2554" spans="1:19" x14ac:dyDescent="0.25">
      <c r="A2554" s="3">
        <v>2553</v>
      </c>
      <c r="B2554" s="5">
        <f>DATE(Table1[[#This Row],[Year]],Table1[[#This Row],[Month]],Table1[[#This Row],[Day]])</f>
        <v>45201</v>
      </c>
      <c r="C2554" s="3">
        <v>2</v>
      </c>
      <c r="D2554" s="3">
        <v>10</v>
      </c>
      <c r="E2554" s="3">
        <v>2023</v>
      </c>
      <c r="F2554" s="3" t="str">
        <f>"Qtr"&amp; " " &amp;CHOOSE(MONTH(Table1[[#This Row],[Date]]),1,1,1,2,2,2,3,3,3,4,4,4)</f>
        <v>Qtr 4</v>
      </c>
      <c r="G2554" s="3" t="str">
        <f>TEXT(Table1[[#This Row],[Date]],"mmmm")</f>
        <v>October</v>
      </c>
      <c r="H2554" s="3" t="s">
        <v>1081</v>
      </c>
      <c r="I2554" s="3" t="s">
        <v>33</v>
      </c>
      <c r="J2554" s="3">
        <v>6</v>
      </c>
      <c r="K2554" s="3">
        <v>34324.239999999998</v>
      </c>
      <c r="L2554" s="3">
        <f>Table1[[#This Row],[Price Per Unit]]*Table1[[#This Row],[Units Sold]]</f>
        <v>205945.44</v>
      </c>
      <c r="M2554" s="3" t="s">
        <v>200</v>
      </c>
      <c r="N2554" s="3">
        <v>54</v>
      </c>
      <c r="O2554" s="3" t="s">
        <v>41</v>
      </c>
      <c r="P2554" s="3" t="s">
        <v>45</v>
      </c>
      <c r="Q2554" s="4">
        <v>4</v>
      </c>
      <c r="R2554" s="4" t="str">
        <f>IF(Table1[[#This Row],[Customer Ratings]]&gt;=4, "Good",IF(Table1[[#This Row],[Customer Ratings]]=3, "Average","Poor"))</f>
        <v>Good</v>
      </c>
      <c r="S2554" s="3" t="s">
        <v>83</v>
      </c>
    </row>
    <row r="2555" spans="1:19" x14ac:dyDescent="0.25">
      <c r="A2555" s="3">
        <v>2554</v>
      </c>
      <c r="B2555" s="5">
        <f>DATE(Table1[[#This Row],[Year]],Table1[[#This Row],[Month]],Table1[[#This Row],[Day]])</f>
        <v>45201</v>
      </c>
      <c r="C2555" s="3">
        <v>2</v>
      </c>
      <c r="D2555" s="3">
        <v>10</v>
      </c>
      <c r="E2555" s="3">
        <v>2023</v>
      </c>
      <c r="F2555" s="3" t="str">
        <f>"Qtr"&amp; " " &amp;CHOOSE(MONTH(Table1[[#This Row],[Date]]),1,1,1,2,2,2,3,3,3,4,4,4)</f>
        <v>Qtr 4</v>
      </c>
      <c r="G2555" s="3" t="str">
        <f>TEXT(Table1[[#This Row],[Date]],"mmmm")</f>
        <v>October</v>
      </c>
      <c r="H2555" s="3" t="s">
        <v>1081</v>
      </c>
      <c r="I2555" s="3" t="s">
        <v>33</v>
      </c>
      <c r="J2555" s="3">
        <v>2</v>
      </c>
      <c r="K2555" s="3">
        <v>30233.19</v>
      </c>
      <c r="L2555" s="3">
        <f>Table1[[#This Row],[Price Per Unit]]*Table1[[#This Row],[Units Sold]]</f>
        <v>60466.38</v>
      </c>
      <c r="M2555" s="3" t="s">
        <v>987</v>
      </c>
      <c r="N2555" s="3">
        <v>40</v>
      </c>
      <c r="O2555" s="3" t="s">
        <v>48</v>
      </c>
      <c r="P2555" s="3" t="s">
        <v>16</v>
      </c>
      <c r="Q2555" s="4">
        <v>3</v>
      </c>
      <c r="R2555" s="4" t="str">
        <f>IF(Table1[[#This Row],[Customer Ratings]]&gt;=4, "Good",IF(Table1[[#This Row],[Customer Ratings]]=3, "Average","Poor"))</f>
        <v>Average</v>
      </c>
      <c r="S2555" s="3" t="s">
        <v>36</v>
      </c>
    </row>
    <row r="2556" spans="1:19" x14ac:dyDescent="0.25">
      <c r="A2556" s="3">
        <v>2555</v>
      </c>
      <c r="B2556" s="5">
        <f>DATE(Table1[[#This Row],[Year]],Table1[[#This Row],[Month]],Table1[[#This Row],[Day]])</f>
        <v>45202</v>
      </c>
      <c r="C2556" s="3">
        <v>3</v>
      </c>
      <c r="D2556" s="3">
        <v>10</v>
      </c>
      <c r="E2556" s="3">
        <v>2023</v>
      </c>
      <c r="F2556" s="3" t="str">
        <f>"Qtr"&amp; " " &amp;CHOOSE(MONTH(Table1[[#This Row],[Date]]),1,1,1,2,2,2,3,3,3,4,4,4)</f>
        <v>Qtr 4</v>
      </c>
      <c r="G2556" s="3" t="str">
        <f>TEXT(Table1[[#This Row],[Date]],"mmmm")</f>
        <v>October</v>
      </c>
      <c r="H2556" s="3" t="s">
        <v>1082</v>
      </c>
      <c r="I2556" s="3" t="s">
        <v>33</v>
      </c>
      <c r="J2556" s="3">
        <v>6</v>
      </c>
      <c r="K2556" s="3">
        <v>10852.13</v>
      </c>
      <c r="L2556" s="3">
        <f>Table1[[#This Row],[Price Per Unit]]*Table1[[#This Row],[Units Sold]]</f>
        <v>65112.78</v>
      </c>
      <c r="M2556" s="3" t="s">
        <v>334</v>
      </c>
      <c r="N2556" s="3">
        <v>30</v>
      </c>
      <c r="O2556" s="3" t="s">
        <v>20</v>
      </c>
      <c r="P2556" s="3" t="s">
        <v>16</v>
      </c>
      <c r="Q2556" s="4">
        <v>4</v>
      </c>
      <c r="R2556" s="4" t="str">
        <f>IF(Table1[[#This Row],[Customer Ratings]]&gt;=4, "Good",IF(Table1[[#This Row],[Customer Ratings]]=3, "Average","Poor"))</f>
        <v>Good</v>
      </c>
      <c r="S2556" s="3" t="s">
        <v>46</v>
      </c>
    </row>
    <row r="2557" spans="1:19" x14ac:dyDescent="0.25">
      <c r="A2557" s="3">
        <v>2556</v>
      </c>
      <c r="B2557" s="5">
        <f>DATE(Table1[[#This Row],[Year]],Table1[[#This Row],[Month]],Table1[[#This Row],[Day]])</f>
        <v>45202</v>
      </c>
      <c r="C2557" s="3">
        <v>3</v>
      </c>
      <c r="D2557" s="3">
        <v>10</v>
      </c>
      <c r="E2557" s="3">
        <v>2023</v>
      </c>
      <c r="F2557" s="3" t="str">
        <f>"Qtr"&amp; " " &amp;CHOOSE(MONTH(Table1[[#This Row],[Date]]),1,1,1,2,2,2,3,3,3,4,4,4)</f>
        <v>Qtr 4</v>
      </c>
      <c r="G2557" s="3" t="str">
        <f>TEXT(Table1[[#This Row],[Date]],"mmmm")</f>
        <v>October</v>
      </c>
      <c r="H2557" s="3" t="s">
        <v>1082</v>
      </c>
      <c r="I2557" s="3" t="s">
        <v>39</v>
      </c>
      <c r="J2557" s="3">
        <v>8</v>
      </c>
      <c r="K2557" s="3">
        <v>19205.05</v>
      </c>
      <c r="L2557" s="3">
        <f>Table1[[#This Row],[Price Per Unit]]*Table1[[#This Row],[Units Sold]]</f>
        <v>153640.4</v>
      </c>
      <c r="M2557" s="3" t="s">
        <v>436</v>
      </c>
      <c r="N2557" s="3">
        <v>34</v>
      </c>
      <c r="O2557" s="3" t="s">
        <v>24</v>
      </c>
      <c r="P2557" s="3" t="s">
        <v>45</v>
      </c>
      <c r="Q2557" s="4">
        <v>5</v>
      </c>
      <c r="R2557" s="4" t="str">
        <f>IF(Table1[[#This Row],[Customer Ratings]]&gt;=4, "Good",IF(Table1[[#This Row],[Customer Ratings]]=3, "Average","Poor"))</f>
        <v>Good</v>
      </c>
      <c r="S2557" s="3" t="s">
        <v>90</v>
      </c>
    </row>
    <row r="2558" spans="1:19" x14ac:dyDescent="0.25">
      <c r="A2558" s="3">
        <v>2557</v>
      </c>
      <c r="B2558" s="5">
        <f>DATE(Table1[[#This Row],[Year]],Table1[[#This Row],[Month]],Table1[[#This Row],[Day]])</f>
        <v>45202</v>
      </c>
      <c r="C2558" s="3">
        <v>3</v>
      </c>
      <c r="D2558" s="3">
        <v>10</v>
      </c>
      <c r="E2558" s="3">
        <v>2023</v>
      </c>
      <c r="F2558" s="3" t="str">
        <f>"Qtr"&amp; " " &amp;CHOOSE(MONTH(Table1[[#This Row],[Date]]),1,1,1,2,2,2,3,3,3,4,4,4)</f>
        <v>Qtr 4</v>
      </c>
      <c r="G2558" s="3" t="str">
        <f>TEXT(Table1[[#This Row],[Date]],"mmmm")</f>
        <v>October</v>
      </c>
      <c r="H2558" s="3" t="s">
        <v>1082</v>
      </c>
      <c r="I2558" s="3" t="s">
        <v>39</v>
      </c>
      <c r="J2558" s="3">
        <v>2</v>
      </c>
      <c r="K2558" s="3">
        <v>35268.15</v>
      </c>
      <c r="L2558" s="3">
        <f>Table1[[#This Row],[Price Per Unit]]*Table1[[#This Row],[Units Sold]]</f>
        <v>70536.3</v>
      </c>
      <c r="M2558" s="3" t="s">
        <v>757</v>
      </c>
      <c r="N2558" s="3">
        <v>44</v>
      </c>
      <c r="O2558" s="3" t="s">
        <v>20</v>
      </c>
      <c r="P2558" s="3" t="s">
        <v>21</v>
      </c>
      <c r="Q2558" s="4">
        <v>5</v>
      </c>
      <c r="R2558" s="4" t="str">
        <f>IF(Table1[[#This Row],[Customer Ratings]]&gt;=4, "Good",IF(Table1[[#This Row],[Customer Ratings]]=3, "Average","Poor"))</f>
        <v>Good</v>
      </c>
      <c r="S2558" s="3" t="s">
        <v>42</v>
      </c>
    </row>
    <row r="2559" spans="1:19" x14ac:dyDescent="0.25">
      <c r="A2559" s="3">
        <v>2558</v>
      </c>
      <c r="B2559" s="5">
        <f>DATE(Table1[[#This Row],[Year]],Table1[[#This Row],[Month]],Table1[[#This Row],[Day]])</f>
        <v>45203</v>
      </c>
      <c r="C2559" s="3">
        <v>4</v>
      </c>
      <c r="D2559" s="3">
        <v>10</v>
      </c>
      <c r="E2559" s="3">
        <v>2023</v>
      </c>
      <c r="F2559" s="3" t="str">
        <f>"Qtr"&amp; " " &amp;CHOOSE(MONTH(Table1[[#This Row],[Date]]),1,1,1,2,2,2,3,3,3,4,4,4)</f>
        <v>Qtr 4</v>
      </c>
      <c r="G2559" s="3" t="str">
        <f>TEXT(Table1[[#This Row],[Date]],"mmmm")</f>
        <v>October</v>
      </c>
      <c r="H2559" s="3" t="s">
        <v>1083</v>
      </c>
      <c r="I2559" s="3" t="s">
        <v>39</v>
      </c>
      <c r="J2559" s="3">
        <v>9</v>
      </c>
      <c r="K2559" s="3">
        <v>14110.17</v>
      </c>
      <c r="L2559" s="3">
        <f>Table1[[#This Row],[Price Per Unit]]*Table1[[#This Row],[Units Sold]]</f>
        <v>126991.53</v>
      </c>
      <c r="M2559" s="3" t="s">
        <v>413</v>
      </c>
      <c r="N2559" s="3">
        <v>39</v>
      </c>
      <c r="O2559" s="3" t="s">
        <v>41</v>
      </c>
      <c r="P2559" s="3" t="s">
        <v>21</v>
      </c>
      <c r="Q2559" s="4">
        <v>5</v>
      </c>
      <c r="R2559" s="4" t="str">
        <f>IF(Table1[[#This Row],[Customer Ratings]]&gt;=4, "Good",IF(Table1[[#This Row],[Customer Ratings]]=3, "Average","Poor"))</f>
        <v>Good</v>
      </c>
      <c r="S2559" s="3" t="s">
        <v>42</v>
      </c>
    </row>
    <row r="2560" spans="1:19" x14ac:dyDescent="0.25">
      <c r="A2560" s="3">
        <v>2559</v>
      </c>
      <c r="B2560" s="5">
        <f>DATE(Table1[[#This Row],[Year]],Table1[[#This Row],[Month]],Table1[[#This Row],[Day]])</f>
        <v>45203</v>
      </c>
      <c r="C2560" s="3">
        <v>4</v>
      </c>
      <c r="D2560" s="3">
        <v>10</v>
      </c>
      <c r="E2560" s="3">
        <v>2023</v>
      </c>
      <c r="F2560" s="3" t="str">
        <f>"Qtr"&amp; " " &amp;CHOOSE(MONTH(Table1[[#This Row],[Date]]),1,1,1,2,2,2,3,3,3,4,4,4)</f>
        <v>Qtr 4</v>
      </c>
      <c r="G2560" s="3" t="str">
        <f>TEXT(Table1[[#This Row],[Date]],"mmmm")</f>
        <v>October</v>
      </c>
      <c r="H2560" s="3" t="s">
        <v>1083</v>
      </c>
      <c r="I2560" s="3" t="s">
        <v>18</v>
      </c>
      <c r="J2560" s="3">
        <v>8</v>
      </c>
      <c r="K2560" s="3">
        <v>40644.36</v>
      </c>
      <c r="L2560" s="3">
        <f>Table1[[#This Row],[Price Per Unit]]*Table1[[#This Row],[Units Sold]]</f>
        <v>325154.88</v>
      </c>
      <c r="M2560" s="3" t="s">
        <v>988</v>
      </c>
      <c r="N2560" s="3">
        <v>54</v>
      </c>
      <c r="O2560" s="3" t="s">
        <v>58</v>
      </c>
      <c r="P2560" s="3" t="s">
        <v>31</v>
      </c>
      <c r="Q2560" s="4">
        <v>2</v>
      </c>
      <c r="R2560" s="4" t="str">
        <f>IF(Table1[[#This Row],[Customer Ratings]]&gt;=4, "Good",IF(Table1[[#This Row],[Customer Ratings]]=3, "Average","Poor"))</f>
        <v>Poor</v>
      </c>
      <c r="S2560" s="3" t="s">
        <v>22</v>
      </c>
    </row>
    <row r="2561" spans="1:19" x14ac:dyDescent="0.25">
      <c r="A2561" s="3">
        <v>2560</v>
      </c>
      <c r="B2561" s="5">
        <f>DATE(Table1[[#This Row],[Year]],Table1[[#This Row],[Month]],Table1[[#This Row],[Day]])</f>
        <v>45203</v>
      </c>
      <c r="C2561" s="3">
        <v>4</v>
      </c>
      <c r="D2561" s="3">
        <v>10</v>
      </c>
      <c r="E2561" s="3">
        <v>2023</v>
      </c>
      <c r="F2561" s="3" t="str">
        <f>"Qtr"&amp; " " &amp;CHOOSE(MONTH(Table1[[#This Row],[Date]]),1,1,1,2,2,2,3,3,3,4,4,4)</f>
        <v>Qtr 4</v>
      </c>
      <c r="G2561" s="3" t="str">
        <f>TEXT(Table1[[#This Row],[Date]],"mmmm")</f>
        <v>October</v>
      </c>
      <c r="H2561" s="3" t="s">
        <v>1083</v>
      </c>
      <c r="I2561" s="3" t="s">
        <v>39</v>
      </c>
      <c r="J2561" s="3">
        <v>1</v>
      </c>
      <c r="K2561" s="3">
        <v>37300.93</v>
      </c>
      <c r="L2561" s="3">
        <f>Table1[[#This Row],[Price Per Unit]]*Table1[[#This Row],[Units Sold]]</f>
        <v>37300.93</v>
      </c>
      <c r="M2561" s="3" t="s">
        <v>819</v>
      </c>
      <c r="N2561" s="3">
        <v>36</v>
      </c>
      <c r="O2561" s="3" t="s">
        <v>137</v>
      </c>
      <c r="P2561" s="3" t="s">
        <v>16</v>
      </c>
      <c r="Q2561" s="4">
        <v>5</v>
      </c>
      <c r="R2561" s="4" t="str">
        <f>IF(Table1[[#This Row],[Customer Ratings]]&gt;=4, "Good",IF(Table1[[#This Row],[Customer Ratings]]=3, "Average","Poor"))</f>
        <v>Good</v>
      </c>
      <c r="S2561" s="3" t="s">
        <v>90</v>
      </c>
    </row>
    <row r="2562" spans="1:19" x14ac:dyDescent="0.25">
      <c r="A2562" s="3">
        <v>2561</v>
      </c>
      <c r="B2562" s="5">
        <f>DATE(Table1[[#This Row],[Year]],Table1[[#This Row],[Month]],Table1[[#This Row],[Day]])</f>
        <v>45204</v>
      </c>
      <c r="C2562" s="3">
        <v>5</v>
      </c>
      <c r="D2562" s="3">
        <v>10</v>
      </c>
      <c r="E2562" s="3">
        <v>2023</v>
      </c>
      <c r="F2562" s="3" t="str">
        <f>"Qtr"&amp; " " &amp;CHOOSE(MONTH(Table1[[#This Row],[Date]]),1,1,1,2,2,2,3,3,3,4,4,4)</f>
        <v>Qtr 4</v>
      </c>
      <c r="G2562" s="3" t="str">
        <f>TEXT(Table1[[#This Row],[Date]],"mmmm")</f>
        <v>October</v>
      </c>
      <c r="H2562" s="3" t="s">
        <v>1084</v>
      </c>
      <c r="I2562" s="3" t="s">
        <v>18</v>
      </c>
      <c r="J2562" s="3">
        <v>7</v>
      </c>
      <c r="K2562" s="3">
        <v>56030.09</v>
      </c>
      <c r="L2562" s="3">
        <f>Table1[[#This Row],[Price Per Unit]]*Table1[[#This Row],[Units Sold]]</f>
        <v>392210.63</v>
      </c>
      <c r="M2562" s="3" t="s">
        <v>191</v>
      </c>
      <c r="N2562" s="3">
        <v>56</v>
      </c>
      <c r="O2562" s="3" t="s">
        <v>48</v>
      </c>
      <c r="P2562" s="3" t="s">
        <v>21</v>
      </c>
      <c r="Q2562" s="4">
        <v>3</v>
      </c>
      <c r="R2562" s="4" t="str">
        <f>IF(Table1[[#This Row],[Customer Ratings]]&gt;=4, "Good",IF(Table1[[#This Row],[Customer Ratings]]=3, "Average","Poor"))</f>
        <v>Average</v>
      </c>
      <c r="S2562" s="3" t="s">
        <v>25</v>
      </c>
    </row>
    <row r="2563" spans="1:19" x14ac:dyDescent="0.25">
      <c r="A2563" s="3">
        <v>2562</v>
      </c>
      <c r="B2563" s="5">
        <f>DATE(Table1[[#This Row],[Year]],Table1[[#This Row],[Month]],Table1[[#This Row],[Day]])</f>
        <v>45204</v>
      </c>
      <c r="C2563" s="3">
        <v>5</v>
      </c>
      <c r="D2563" s="3">
        <v>10</v>
      </c>
      <c r="E2563" s="3">
        <v>2023</v>
      </c>
      <c r="F2563" s="3" t="str">
        <f>"Qtr"&amp; " " &amp;CHOOSE(MONTH(Table1[[#This Row],[Date]]),1,1,1,2,2,2,3,3,3,4,4,4)</f>
        <v>Qtr 4</v>
      </c>
      <c r="G2563" s="3" t="str">
        <f>TEXT(Table1[[#This Row],[Date]],"mmmm")</f>
        <v>October</v>
      </c>
      <c r="H2563" s="3" t="s">
        <v>1084</v>
      </c>
      <c r="I2563" s="3" t="s">
        <v>33</v>
      </c>
      <c r="J2563" s="3">
        <v>6</v>
      </c>
      <c r="K2563" s="3">
        <v>49588.160000000003</v>
      </c>
      <c r="L2563" s="3">
        <f>Table1[[#This Row],[Price Per Unit]]*Table1[[#This Row],[Units Sold]]</f>
        <v>297528.96000000002</v>
      </c>
      <c r="M2563" s="3" t="s">
        <v>563</v>
      </c>
      <c r="N2563" s="3">
        <v>52</v>
      </c>
      <c r="O2563" s="3" t="s">
        <v>24</v>
      </c>
      <c r="P2563" s="3" t="s">
        <v>21</v>
      </c>
      <c r="Q2563" s="4">
        <v>3</v>
      </c>
      <c r="R2563" s="4" t="str">
        <f>IF(Table1[[#This Row],[Customer Ratings]]&gt;=4, "Good",IF(Table1[[#This Row],[Customer Ratings]]=3, "Average","Poor"))</f>
        <v>Average</v>
      </c>
      <c r="S2563" s="3" t="s">
        <v>36</v>
      </c>
    </row>
    <row r="2564" spans="1:19" x14ac:dyDescent="0.25">
      <c r="A2564" s="3">
        <v>2563</v>
      </c>
      <c r="B2564" s="5">
        <f>DATE(Table1[[#This Row],[Year]],Table1[[#This Row],[Month]],Table1[[#This Row],[Day]])</f>
        <v>45204</v>
      </c>
      <c r="C2564" s="3">
        <v>5</v>
      </c>
      <c r="D2564" s="3">
        <v>10</v>
      </c>
      <c r="E2564" s="3">
        <v>2023</v>
      </c>
      <c r="F2564" s="3" t="str">
        <f>"Qtr"&amp; " " &amp;CHOOSE(MONTH(Table1[[#This Row],[Date]]),1,1,1,2,2,2,3,3,3,4,4,4)</f>
        <v>Qtr 4</v>
      </c>
      <c r="G2564" s="3" t="str">
        <f>TEXT(Table1[[#This Row],[Date]],"mmmm")</f>
        <v>October</v>
      </c>
      <c r="H2564" s="3" t="s">
        <v>1084</v>
      </c>
      <c r="I2564" s="3" t="s">
        <v>33</v>
      </c>
      <c r="J2564" s="3">
        <v>6</v>
      </c>
      <c r="K2564" s="3">
        <v>36756.839999999997</v>
      </c>
      <c r="L2564" s="3">
        <f>Table1[[#This Row],[Price Per Unit]]*Table1[[#This Row],[Units Sold]]</f>
        <v>220541.03999999998</v>
      </c>
      <c r="M2564" s="3" t="s">
        <v>896</v>
      </c>
      <c r="N2564" s="3">
        <v>30</v>
      </c>
      <c r="O2564" s="3" t="s">
        <v>20</v>
      </c>
      <c r="P2564" s="3" t="s">
        <v>16</v>
      </c>
      <c r="Q2564" s="4">
        <v>4</v>
      </c>
      <c r="R2564" s="4" t="str">
        <f>IF(Table1[[#This Row],[Customer Ratings]]&gt;=4, "Good",IF(Table1[[#This Row],[Customer Ratings]]=3, "Average","Poor"))</f>
        <v>Good</v>
      </c>
      <c r="S2564" s="3" t="s">
        <v>36</v>
      </c>
    </row>
    <row r="2565" spans="1:19" x14ac:dyDescent="0.25">
      <c r="A2565" s="3">
        <v>2564</v>
      </c>
      <c r="B2565" s="5">
        <f>DATE(Table1[[#This Row],[Year]],Table1[[#This Row],[Month]],Table1[[#This Row],[Day]])</f>
        <v>45205</v>
      </c>
      <c r="C2565" s="3">
        <v>6</v>
      </c>
      <c r="D2565" s="3">
        <v>10</v>
      </c>
      <c r="E2565" s="3">
        <v>2023</v>
      </c>
      <c r="F2565" s="3" t="str">
        <f>"Qtr"&amp; " " &amp;CHOOSE(MONTH(Table1[[#This Row],[Date]]),1,1,1,2,2,2,3,3,3,4,4,4)</f>
        <v>Qtr 4</v>
      </c>
      <c r="G2565" s="3" t="str">
        <f>TEXT(Table1[[#This Row],[Date]],"mmmm")</f>
        <v>October</v>
      </c>
      <c r="H2565" s="3" t="s">
        <v>1085</v>
      </c>
      <c r="I2565" s="3" t="s">
        <v>33</v>
      </c>
      <c r="J2565" s="3">
        <v>6</v>
      </c>
      <c r="K2565" s="3">
        <v>23479.64</v>
      </c>
      <c r="L2565" s="3">
        <f>Table1[[#This Row],[Price Per Unit]]*Table1[[#This Row],[Units Sold]]</f>
        <v>140877.84</v>
      </c>
      <c r="M2565" s="3" t="s">
        <v>461</v>
      </c>
      <c r="N2565" s="3">
        <v>31</v>
      </c>
      <c r="O2565" s="3" t="s">
        <v>54</v>
      </c>
      <c r="P2565" s="3" t="s">
        <v>45</v>
      </c>
      <c r="Q2565" s="4">
        <v>5</v>
      </c>
      <c r="R2565" s="4" t="str">
        <f>IF(Table1[[#This Row],[Customer Ratings]]&gt;=4, "Good",IF(Table1[[#This Row],[Customer Ratings]]=3, "Average","Poor"))</f>
        <v>Good</v>
      </c>
      <c r="S2565" s="3" t="s">
        <v>36</v>
      </c>
    </row>
    <row r="2566" spans="1:19" x14ac:dyDescent="0.25">
      <c r="A2566" s="3">
        <v>2565</v>
      </c>
      <c r="B2566" s="5">
        <f>DATE(Table1[[#This Row],[Year]],Table1[[#This Row],[Month]],Table1[[#This Row],[Day]])</f>
        <v>45205</v>
      </c>
      <c r="C2566" s="3">
        <v>6</v>
      </c>
      <c r="D2566" s="3">
        <v>10</v>
      </c>
      <c r="E2566" s="3">
        <v>2023</v>
      </c>
      <c r="F2566" s="3" t="str">
        <f>"Qtr"&amp; " " &amp;CHOOSE(MONTH(Table1[[#This Row],[Date]]),1,1,1,2,2,2,3,3,3,4,4,4)</f>
        <v>Qtr 4</v>
      </c>
      <c r="G2566" s="3" t="str">
        <f>TEXT(Table1[[#This Row],[Date]],"mmmm")</f>
        <v>October</v>
      </c>
      <c r="H2566" s="3" t="s">
        <v>1085</v>
      </c>
      <c r="I2566" s="3" t="s">
        <v>13</v>
      </c>
      <c r="J2566" s="3">
        <v>6</v>
      </c>
      <c r="K2566" s="3">
        <v>53611.81</v>
      </c>
      <c r="L2566" s="3">
        <f>Table1[[#This Row],[Price Per Unit]]*Table1[[#This Row],[Units Sold]]</f>
        <v>321670.86</v>
      </c>
      <c r="M2566" s="3" t="s">
        <v>851</v>
      </c>
      <c r="N2566" s="3">
        <v>48</v>
      </c>
      <c r="O2566" s="3" t="s">
        <v>20</v>
      </c>
      <c r="P2566" s="3" t="s">
        <v>21</v>
      </c>
      <c r="Q2566" s="4">
        <v>5</v>
      </c>
      <c r="R2566" s="4" t="str">
        <f>IF(Table1[[#This Row],[Customer Ratings]]&gt;=4, "Good",IF(Table1[[#This Row],[Customer Ratings]]=3, "Average","Poor"))</f>
        <v>Good</v>
      </c>
      <c r="S2566" s="3" t="s">
        <v>72</v>
      </c>
    </row>
    <row r="2567" spans="1:19" x14ac:dyDescent="0.25">
      <c r="A2567" s="3">
        <v>2566</v>
      </c>
      <c r="B2567" s="5">
        <f>DATE(Table1[[#This Row],[Year]],Table1[[#This Row],[Month]],Table1[[#This Row],[Day]])</f>
        <v>45205</v>
      </c>
      <c r="C2567" s="3">
        <v>6</v>
      </c>
      <c r="D2567" s="3">
        <v>10</v>
      </c>
      <c r="E2567" s="3">
        <v>2023</v>
      </c>
      <c r="F2567" s="3" t="str">
        <f>"Qtr"&amp; " " &amp;CHOOSE(MONTH(Table1[[#This Row],[Date]]),1,1,1,2,2,2,3,3,3,4,4,4)</f>
        <v>Qtr 4</v>
      </c>
      <c r="G2567" s="3" t="str">
        <f>TEXT(Table1[[#This Row],[Date]],"mmmm")</f>
        <v>October</v>
      </c>
      <c r="H2567" s="3" t="s">
        <v>1085</v>
      </c>
      <c r="I2567" s="3" t="s">
        <v>13</v>
      </c>
      <c r="J2567" s="3">
        <v>7</v>
      </c>
      <c r="K2567" s="3">
        <v>52471.73</v>
      </c>
      <c r="L2567" s="3">
        <f>Table1[[#This Row],[Price Per Unit]]*Table1[[#This Row],[Units Sold]]</f>
        <v>367302.11000000004</v>
      </c>
      <c r="M2567" s="3" t="s">
        <v>215</v>
      </c>
      <c r="N2567" s="3">
        <v>19</v>
      </c>
      <c r="O2567" s="3" t="s">
        <v>20</v>
      </c>
      <c r="P2567" s="3" t="s">
        <v>31</v>
      </c>
      <c r="Q2567" s="4">
        <v>5</v>
      </c>
      <c r="R2567" s="4" t="str">
        <f>IF(Table1[[#This Row],[Customer Ratings]]&gt;=4, "Good",IF(Table1[[#This Row],[Customer Ratings]]=3, "Average","Poor"))</f>
        <v>Good</v>
      </c>
      <c r="S2567" s="3" t="s">
        <v>27</v>
      </c>
    </row>
    <row r="2568" spans="1:19" x14ac:dyDescent="0.25">
      <c r="A2568" s="3">
        <v>2567</v>
      </c>
      <c r="B2568" s="5">
        <f>DATE(Table1[[#This Row],[Year]],Table1[[#This Row],[Month]],Table1[[#This Row],[Day]])</f>
        <v>45206</v>
      </c>
      <c r="C2568" s="3">
        <v>7</v>
      </c>
      <c r="D2568" s="3">
        <v>10</v>
      </c>
      <c r="E2568" s="3">
        <v>2023</v>
      </c>
      <c r="F2568" s="3" t="str">
        <f>"Qtr"&amp; " " &amp;CHOOSE(MONTH(Table1[[#This Row],[Date]]),1,1,1,2,2,2,3,3,3,4,4,4)</f>
        <v>Qtr 4</v>
      </c>
      <c r="G2568" s="3" t="str">
        <f>TEXT(Table1[[#This Row],[Date]],"mmmm")</f>
        <v>October</v>
      </c>
      <c r="H2568" s="3" t="s">
        <v>1079</v>
      </c>
      <c r="I2568" s="3" t="s">
        <v>28</v>
      </c>
      <c r="J2568" s="3">
        <v>3</v>
      </c>
      <c r="K2568" s="3">
        <v>19197.77</v>
      </c>
      <c r="L2568" s="3">
        <f>Table1[[#This Row],[Price Per Unit]]*Table1[[#This Row],[Units Sold]]</f>
        <v>57593.31</v>
      </c>
      <c r="M2568" s="3" t="s">
        <v>432</v>
      </c>
      <c r="N2568" s="3">
        <v>56</v>
      </c>
      <c r="O2568" s="3" t="s">
        <v>30</v>
      </c>
      <c r="P2568" s="3" t="s">
        <v>21</v>
      </c>
      <c r="Q2568" s="4">
        <v>5</v>
      </c>
      <c r="R2568" s="4" t="str">
        <f>IF(Table1[[#This Row],[Customer Ratings]]&gt;=4, "Good",IF(Table1[[#This Row],[Customer Ratings]]=3, "Average","Poor"))</f>
        <v>Good</v>
      </c>
      <c r="S2568" s="3" t="s">
        <v>38</v>
      </c>
    </row>
    <row r="2569" spans="1:19" x14ac:dyDescent="0.25">
      <c r="A2569" s="3">
        <v>2568</v>
      </c>
      <c r="B2569" s="5">
        <f>DATE(Table1[[#This Row],[Year]],Table1[[#This Row],[Month]],Table1[[#This Row],[Day]])</f>
        <v>45206</v>
      </c>
      <c r="C2569" s="3">
        <v>7</v>
      </c>
      <c r="D2569" s="3">
        <v>10</v>
      </c>
      <c r="E2569" s="3">
        <v>2023</v>
      </c>
      <c r="F2569" s="3" t="str">
        <f>"Qtr"&amp; " " &amp;CHOOSE(MONTH(Table1[[#This Row],[Date]]),1,1,1,2,2,2,3,3,3,4,4,4)</f>
        <v>Qtr 4</v>
      </c>
      <c r="G2569" s="3" t="str">
        <f>TEXT(Table1[[#This Row],[Date]],"mmmm")</f>
        <v>October</v>
      </c>
      <c r="H2569" s="3" t="s">
        <v>1079</v>
      </c>
      <c r="I2569" s="3" t="s">
        <v>28</v>
      </c>
      <c r="J2569" s="3">
        <v>6</v>
      </c>
      <c r="K2569" s="3">
        <v>64885.11</v>
      </c>
      <c r="L2569" s="3">
        <f>Table1[[#This Row],[Price Per Unit]]*Table1[[#This Row],[Units Sold]]</f>
        <v>389310.66000000003</v>
      </c>
      <c r="M2569" s="3" t="s">
        <v>801</v>
      </c>
      <c r="N2569" s="3">
        <v>54</v>
      </c>
      <c r="O2569" s="3" t="s">
        <v>102</v>
      </c>
      <c r="P2569" s="3" t="s">
        <v>21</v>
      </c>
      <c r="Q2569" s="4">
        <v>5</v>
      </c>
      <c r="R2569" s="4" t="str">
        <f>IF(Table1[[#This Row],[Customer Ratings]]&gt;=4, "Good",IF(Table1[[#This Row],[Customer Ratings]]=3, "Average","Poor"))</f>
        <v>Good</v>
      </c>
      <c r="S2569" s="3" t="s">
        <v>38</v>
      </c>
    </row>
    <row r="2570" spans="1:19" x14ac:dyDescent="0.25">
      <c r="A2570" s="3">
        <v>2569</v>
      </c>
      <c r="B2570" s="5">
        <f>DATE(Table1[[#This Row],[Year]],Table1[[#This Row],[Month]],Table1[[#This Row],[Day]])</f>
        <v>45206</v>
      </c>
      <c r="C2570" s="3">
        <v>7</v>
      </c>
      <c r="D2570" s="3">
        <v>10</v>
      </c>
      <c r="E2570" s="3">
        <v>2023</v>
      </c>
      <c r="F2570" s="3" t="str">
        <f>"Qtr"&amp; " " &amp;CHOOSE(MONTH(Table1[[#This Row],[Date]]),1,1,1,2,2,2,3,3,3,4,4,4)</f>
        <v>Qtr 4</v>
      </c>
      <c r="G2570" s="3" t="str">
        <f>TEXT(Table1[[#This Row],[Date]],"mmmm")</f>
        <v>October</v>
      </c>
      <c r="H2570" s="3" t="s">
        <v>1079</v>
      </c>
      <c r="I2570" s="3" t="s">
        <v>28</v>
      </c>
      <c r="J2570" s="3">
        <v>3</v>
      </c>
      <c r="K2570" s="3">
        <v>13864.31</v>
      </c>
      <c r="L2570" s="3">
        <f>Table1[[#This Row],[Price Per Unit]]*Table1[[#This Row],[Units Sold]]</f>
        <v>41592.93</v>
      </c>
      <c r="M2570" s="3" t="s">
        <v>305</v>
      </c>
      <c r="N2570" s="3">
        <v>31</v>
      </c>
      <c r="O2570" s="3" t="s">
        <v>81</v>
      </c>
      <c r="P2570" s="3" t="s">
        <v>31</v>
      </c>
      <c r="Q2570" s="4">
        <v>5</v>
      </c>
      <c r="R2570" s="4" t="str">
        <f>IF(Table1[[#This Row],[Customer Ratings]]&gt;=4, "Good",IF(Table1[[#This Row],[Customer Ratings]]=3, "Average","Poor"))</f>
        <v>Good</v>
      </c>
      <c r="S2570" s="3" t="s">
        <v>32</v>
      </c>
    </row>
    <row r="2571" spans="1:19" x14ac:dyDescent="0.25">
      <c r="A2571" s="3">
        <v>2570</v>
      </c>
      <c r="B2571" s="5">
        <f>DATE(Table1[[#This Row],[Year]],Table1[[#This Row],[Month]],Table1[[#This Row],[Day]])</f>
        <v>45207</v>
      </c>
      <c r="C2571" s="3">
        <v>8</v>
      </c>
      <c r="D2571" s="3">
        <v>10</v>
      </c>
      <c r="E2571" s="3">
        <v>2023</v>
      </c>
      <c r="F2571" s="3" t="str">
        <f>"Qtr"&amp; " " &amp;CHOOSE(MONTH(Table1[[#This Row],[Date]]),1,1,1,2,2,2,3,3,3,4,4,4)</f>
        <v>Qtr 4</v>
      </c>
      <c r="G2571" s="3" t="str">
        <f>TEXT(Table1[[#This Row],[Date]],"mmmm")</f>
        <v>October</v>
      </c>
      <c r="H2571" s="3" t="s">
        <v>1080</v>
      </c>
      <c r="I2571" s="3" t="s">
        <v>13</v>
      </c>
      <c r="J2571" s="3">
        <v>7</v>
      </c>
      <c r="K2571" s="3">
        <v>13302.26</v>
      </c>
      <c r="L2571" s="3">
        <f>Table1[[#This Row],[Price Per Unit]]*Table1[[#This Row],[Units Sold]]</f>
        <v>93115.82</v>
      </c>
      <c r="M2571" s="3" t="s">
        <v>273</v>
      </c>
      <c r="N2571" s="3">
        <v>26</v>
      </c>
      <c r="O2571" s="3" t="s">
        <v>20</v>
      </c>
      <c r="P2571" s="3" t="s">
        <v>45</v>
      </c>
      <c r="Q2571" s="4">
        <v>4</v>
      </c>
      <c r="R2571" s="4" t="str">
        <f>IF(Table1[[#This Row],[Customer Ratings]]&gt;=4, "Good",IF(Table1[[#This Row],[Customer Ratings]]=3, "Average","Poor"))</f>
        <v>Good</v>
      </c>
      <c r="S2571" s="3" t="s">
        <v>17</v>
      </c>
    </row>
    <row r="2572" spans="1:19" x14ac:dyDescent="0.25">
      <c r="A2572" s="3">
        <v>2571</v>
      </c>
      <c r="B2572" s="5">
        <f>DATE(Table1[[#This Row],[Year]],Table1[[#This Row],[Month]],Table1[[#This Row],[Day]])</f>
        <v>45207</v>
      </c>
      <c r="C2572" s="3">
        <v>8</v>
      </c>
      <c r="D2572" s="3">
        <v>10</v>
      </c>
      <c r="E2572" s="3">
        <v>2023</v>
      </c>
      <c r="F2572" s="3" t="str">
        <f>"Qtr"&amp; " " &amp;CHOOSE(MONTH(Table1[[#This Row],[Date]]),1,1,1,2,2,2,3,3,3,4,4,4)</f>
        <v>Qtr 4</v>
      </c>
      <c r="G2572" s="3" t="str">
        <f>TEXT(Table1[[#This Row],[Date]],"mmmm")</f>
        <v>October</v>
      </c>
      <c r="H2572" s="3" t="s">
        <v>1080</v>
      </c>
      <c r="I2572" s="3" t="s">
        <v>13</v>
      </c>
      <c r="J2572" s="3">
        <v>7</v>
      </c>
      <c r="K2572" s="3">
        <v>21241.03</v>
      </c>
      <c r="L2572" s="3">
        <f>Table1[[#This Row],[Price Per Unit]]*Table1[[#This Row],[Units Sold]]</f>
        <v>148687.21</v>
      </c>
      <c r="M2572" s="3" t="s">
        <v>529</v>
      </c>
      <c r="N2572" s="3">
        <v>27</v>
      </c>
      <c r="O2572" s="3" t="s">
        <v>54</v>
      </c>
      <c r="P2572" s="3" t="s">
        <v>31</v>
      </c>
      <c r="Q2572" s="4">
        <v>4</v>
      </c>
      <c r="R2572" s="4" t="str">
        <f>IF(Table1[[#This Row],[Customer Ratings]]&gt;=4, "Good",IF(Table1[[#This Row],[Customer Ratings]]=3, "Average","Poor"))</f>
        <v>Good</v>
      </c>
      <c r="S2572" s="3" t="s">
        <v>72</v>
      </c>
    </row>
    <row r="2573" spans="1:19" x14ac:dyDescent="0.25">
      <c r="A2573" s="3">
        <v>2572</v>
      </c>
      <c r="B2573" s="5">
        <f>DATE(Table1[[#This Row],[Year]],Table1[[#This Row],[Month]],Table1[[#This Row],[Day]])</f>
        <v>45207</v>
      </c>
      <c r="C2573" s="3">
        <v>8</v>
      </c>
      <c r="D2573" s="3">
        <v>10</v>
      </c>
      <c r="E2573" s="3">
        <v>2023</v>
      </c>
      <c r="F2573" s="3" t="str">
        <f>"Qtr"&amp; " " &amp;CHOOSE(MONTH(Table1[[#This Row],[Date]]),1,1,1,2,2,2,3,3,3,4,4,4)</f>
        <v>Qtr 4</v>
      </c>
      <c r="G2573" s="3" t="str">
        <f>TEXT(Table1[[#This Row],[Date]],"mmmm")</f>
        <v>October</v>
      </c>
      <c r="H2573" s="3" t="s">
        <v>1080</v>
      </c>
      <c r="I2573" s="3" t="s">
        <v>28</v>
      </c>
      <c r="J2573" s="3">
        <v>8</v>
      </c>
      <c r="K2573" s="3">
        <v>64567.65</v>
      </c>
      <c r="L2573" s="3">
        <f>Table1[[#This Row],[Price Per Unit]]*Table1[[#This Row],[Units Sold]]</f>
        <v>516541.2</v>
      </c>
      <c r="M2573" s="3" t="s">
        <v>752</v>
      </c>
      <c r="N2573" s="3">
        <v>24</v>
      </c>
      <c r="O2573" s="3" t="s">
        <v>125</v>
      </c>
      <c r="P2573" s="3" t="s">
        <v>31</v>
      </c>
      <c r="Q2573" s="4">
        <v>4</v>
      </c>
      <c r="R2573" s="4" t="str">
        <f>IF(Table1[[#This Row],[Customer Ratings]]&gt;=4, "Good",IF(Table1[[#This Row],[Customer Ratings]]=3, "Average","Poor"))</f>
        <v>Good</v>
      </c>
      <c r="S2573" s="3" t="s">
        <v>38</v>
      </c>
    </row>
    <row r="2574" spans="1:19" x14ac:dyDescent="0.25">
      <c r="A2574" s="3">
        <v>2573</v>
      </c>
      <c r="B2574" s="5">
        <f>DATE(Table1[[#This Row],[Year]],Table1[[#This Row],[Month]],Table1[[#This Row],[Day]])</f>
        <v>45207</v>
      </c>
      <c r="C2574" s="3">
        <v>8</v>
      </c>
      <c r="D2574" s="3">
        <v>10</v>
      </c>
      <c r="E2574" s="3">
        <v>2023</v>
      </c>
      <c r="F2574" s="3" t="str">
        <f>"Qtr"&amp; " " &amp;CHOOSE(MONTH(Table1[[#This Row],[Date]]),1,1,1,2,2,2,3,3,3,4,4,4)</f>
        <v>Qtr 4</v>
      </c>
      <c r="G2574" s="3" t="str">
        <f>TEXT(Table1[[#This Row],[Date]],"mmmm")</f>
        <v>October</v>
      </c>
      <c r="H2574" s="3" t="s">
        <v>1080</v>
      </c>
      <c r="I2574" s="3" t="s">
        <v>28</v>
      </c>
      <c r="J2574" s="3">
        <v>2</v>
      </c>
      <c r="K2574" s="3">
        <v>41199.89</v>
      </c>
      <c r="L2574" s="3">
        <f>Table1[[#This Row],[Price Per Unit]]*Table1[[#This Row],[Units Sold]]</f>
        <v>82399.78</v>
      </c>
      <c r="M2574" s="3" t="s">
        <v>842</v>
      </c>
      <c r="N2574" s="3">
        <v>45</v>
      </c>
      <c r="O2574" s="3" t="s">
        <v>20</v>
      </c>
      <c r="P2574" s="3" t="s">
        <v>16</v>
      </c>
      <c r="Q2574" s="4">
        <v>4</v>
      </c>
      <c r="R2574" s="4" t="str">
        <f>IF(Table1[[#This Row],[Customer Ratings]]&gt;=4, "Good",IF(Table1[[#This Row],[Customer Ratings]]=3, "Average","Poor"))</f>
        <v>Good</v>
      </c>
      <c r="S2574" s="3" t="s">
        <v>38</v>
      </c>
    </row>
    <row r="2575" spans="1:19" x14ac:dyDescent="0.25">
      <c r="A2575" s="3">
        <v>2574</v>
      </c>
      <c r="B2575" s="5">
        <f>DATE(Table1[[#This Row],[Year]],Table1[[#This Row],[Month]],Table1[[#This Row],[Day]])</f>
        <v>45208</v>
      </c>
      <c r="C2575" s="3">
        <v>9</v>
      </c>
      <c r="D2575" s="3">
        <v>10</v>
      </c>
      <c r="E2575" s="3">
        <v>2023</v>
      </c>
      <c r="F2575" s="3" t="str">
        <f>"Qtr"&amp; " " &amp;CHOOSE(MONTH(Table1[[#This Row],[Date]]),1,1,1,2,2,2,3,3,3,4,4,4)</f>
        <v>Qtr 4</v>
      </c>
      <c r="G2575" s="3" t="str">
        <f>TEXT(Table1[[#This Row],[Date]],"mmmm")</f>
        <v>October</v>
      </c>
      <c r="H2575" s="3" t="s">
        <v>1081</v>
      </c>
      <c r="I2575" s="3" t="s">
        <v>39</v>
      </c>
      <c r="J2575" s="3">
        <v>9</v>
      </c>
      <c r="K2575" s="3">
        <v>57276.46</v>
      </c>
      <c r="L2575" s="3">
        <f>Table1[[#This Row],[Price Per Unit]]*Table1[[#This Row],[Units Sold]]</f>
        <v>515488.14</v>
      </c>
      <c r="M2575" s="3" t="s">
        <v>183</v>
      </c>
      <c r="N2575" s="3">
        <v>42</v>
      </c>
      <c r="O2575" s="3" t="s">
        <v>125</v>
      </c>
      <c r="P2575" s="3" t="s">
        <v>21</v>
      </c>
      <c r="Q2575" s="4">
        <v>3</v>
      </c>
      <c r="R2575" s="4" t="str">
        <f>IF(Table1[[#This Row],[Customer Ratings]]&gt;=4, "Good",IF(Table1[[#This Row],[Customer Ratings]]=3, "Average","Poor"))</f>
        <v>Average</v>
      </c>
      <c r="S2575" s="3" t="s">
        <v>42</v>
      </c>
    </row>
    <row r="2576" spans="1:19" x14ac:dyDescent="0.25">
      <c r="A2576" s="3">
        <v>2575</v>
      </c>
      <c r="B2576" s="5">
        <f>DATE(Table1[[#This Row],[Year]],Table1[[#This Row],[Month]],Table1[[#This Row],[Day]])</f>
        <v>45208</v>
      </c>
      <c r="C2576" s="3">
        <v>9</v>
      </c>
      <c r="D2576" s="3">
        <v>10</v>
      </c>
      <c r="E2576" s="3">
        <v>2023</v>
      </c>
      <c r="F2576" s="3" t="str">
        <f>"Qtr"&amp; " " &amp;CHOOSE(MONTH(Table1[[#This Row],[Date]]),1,1,1,2,2,2,3,3,3,4,4,4)</f>
        <v>Qtr 4</v>
      </c>
      <c r="G2576" s="3" t="str">
        <f>TEXT(Table1[[#This Row],[Date]],"mmmm")</f>
        <v>October</v>
      </c>
      <c r="H2576" s="3" t="s">
        <v>1081</v>
      </c>
      <c r="I2576" s="3" t="s">
        <v>28</v>
      </c>
      <c r="J2576" s="3">
        <v>5</v>
      </c>
      <c r="K2576" s="3">
        <v>23670.59</v>
      </c>
      <c r="L2576" s="3">
        <f>Table1[[#This Row],[Price Per Unit]]*Table1[[#This Row],[Units Sold]]</f>
        <v>118352.95</v>
      </c>
      <c r="M2576" s="3" t="s">
        <v>172</v>
      </c>
      <c r="N2576" s="3">
        <v>45</v>
      </c>
      <c r="O2576" s="3" t="s">
        <v>41</v>
      </c>
      <c r="P2576" s="3" t="s">
        <v>45</v>
      </c>
      <c r="Q2576" s="4">
        <v>5</v>
      </c>
      <c r="R2576" s="4" t="str">
        <f>IF(Table1[[#This Row],[Customer Ratings]]&gt;=4, "Good",IF(Table1[[#This Row],[Customer Ratings]]=3, "Average","Poor"))</f>
        <v>Good</v>
      </c>
      <c r="S2576" s="3" t="s">
        <v>38</v>
      </c>
    </row>
    <row r="2577" spans="1:19" x14ac:dyDescent="0.25">
      <c r="A2577" s="3">
        <v>2576</v>
      </c>
      <c r="B2577" s="5">
        <f>DATE(Table1[[#This Row],[Year]],Table1[[#This Row],[Month]],Table1[[#This Row],[Day]])</f>
        <v>45208</v>
      </c>
      <c r="C2577" s="3">
        <v>9</v>
      </c>
      <c r="D2577" s="3">
        <v>10</v>
      </c>
      <c r="E2577" s="3">
        <v>2023</v>
      </c>
      <c r="F2577" s="3" t="str">
        <f>"Qtr"&amp; " " &amp;CHOOSE(MONTH(Table1[[#This Row],[Date]]),1,1,1,2,2,2,3,3,3,4,4,4)</f>
        <v>Qtr 4</v>
      </c>
      <c r="G2577" s="3" t="str">
        <f>TEXT(Table1[[#This Row],[Date]],"mmmm")</f>
        <v>October</v>
      </c>
      <c r="H2577" s="3" t="s">
        <v>1081</v>
      </c>
      <c r="I2577" s="3" t="s">
        <v>39</v>
      </c>
      <c r="J2577" s="3">
        <v>9</v>
      </c>
      <c r="K2577" s="3">
        <v>39413.32</v>
      </c>
      <c r="L2577" s="3">
        <f>Table1[[#This Row],[Price Per Unit]]*Table1[[#This Row],[Units Sold]]</f>
        <v>354719.88</v>
      </c>
      <c r="M2577" s="3" t="s">
        <v>926</v>
      </c>
      <c r="N2577" s="3">
        <v>19</v>
      </c>
      <c r="O2577" s="3" t="s">
        <v>24</v>
      </c>
      <c r="P2577" s="3" t="s">
        <v>21</v>
      </c>
      <c r="Q2577" s="4">
        <v>2</v>
      </c>
      <c r="R2577" s="4" t="str">
        <f>IF(Table1[[#This Row],[Customer Ratings]]&gt;=4, "Good",IF(Table1[[#This Row],[Customer Ratings]]=3, "Average","Poor"))</f>
        <v>Poor</v>
      </c>
      <c r="S2577" s="3" t="s">
        <v>42</v>
      </c>
    </row>
    <row r="2578" spans="1:19" x14ac:dyDescent="0.25">
      <c r="A2578" s="3">
        <v>2577</v>
      </c>
      <c r="B2578" s="5">
        <f>DATE(Table1[[#This Row],[Year]],Table1[[#This Row],[Month]],Table1[[#This Row],[Day]])</f>
        <v>45209</v>
      </c>
      <c r="C2578" s="3">
        <v>10</v>
      </c>
      <c r="D2578" s="3">
        <v>10</v>
      </c>
      <c r="E2578" s="3">
        <v>2023</v>
      </c>
      <c r="F2578" s="3" t="str">
        <f>"Qtr"&amp; " " &amp;CHOOSE(MONTH(Table1[[#This Row],[Date]]),1,1,1,2,2,2,3,3,3,4,4,4)</f>
        <v>Qtr 4</v>
      </c>
      <c r="G2578" s="3" t="str">
        <f>TEXT(Table1[[#This Row],[Date]],"mmmm")</f>
        <v>October</v>
      </c>
      <c r="H2578" s="3" t="s">
        <v>1082</v>
      </c>
      <c r="I2578" s="3" t="s">
        <v>18</v>
      </c>
      <c r="J2578" s="3">
        <v>5</v>
      </c>
      <c r="K2578" s="3">
        <v>31497.37</v>
      </c>
      <c r="L2578" s="3">
        <f>Table1[[#This Row],[Price Per Unit]]*Table1[[#This Row],[Units Sold]]</f>
        <v>157486.85</v>
      </c>
      <c r="M2578" s="3" t="s">
        <v>203</v>
      </c>
      <c r="N2578" s="3">
        <v>34</v>
      </c>
      <c r="O2578" s="3" t="s">
        <v>20</v>
      </c>
      <c r="P2578" s="3" t="s">
        <v>45</v>
      </c>
      <c r="Q2578" s="4">
        <v>5</v>
      </c>
      <c r="R2578" s="4" t="str">
        <f>IF(Table1[[#This Row],[Customer Ratings]]&gt;=4, "Good",IF(Table1[[#This Row],[Customer Ratings]]=3, "Average","Poor"))</f>
        <v>Good</v>
      </c>
      <c r="S2578" s="3" t="s">
        <v>55</v>
      </c>
    </row>
    <row r="2579" spans="1:19" x14ac:dyDescent="0.25">
      <c r="A2579" s="3">
        <v>2578</v>
      </c>
      <c r="B2579" s="5">
        <f>DATE(Table1[[#This Row],[Year]],Table1[[#This Row],[Month]],Table1[[#This Row],[Day]])</f>
        <v>45209</v>
      </c>
      <c r="C2579" s="3">
        <v>10</v>
      </c>
      <c r="D2579" s="3">
        <v>10</v>
      </c>
      <c r="E2579" s="3">
        <v>2023</v>
      </c>
      <c r="F2579" s="3" t="str">
        <f>"Qtr"&amp; " " &amp;CHOOSE(MONTH(Table1[[#This Row],[Date]]),1,1,1,2,2,2,3,3,3,4,4,4)</f>
        <v>Qtr 4</v>
      </c>
      <c r="G2579" s="3" t="str">
        <f>TEXT(Table1[[#This Row],[Date]],"mmmm")</f>
        <v>October</v>
      </c>
      <c r="H2579" s="3" t="s">
        <v>1082</v>
      </c>
      <c r="I2579" s="3" t="s">
        <v>13</v>
      </c>
      <c r="J2579" s="3">
        <v>7</v>
      </c>
      <c r="K2579" s="3">
        <v>59669.72</v>
      </c>
      <c r="L2579" s="3">
        <f>Table1[[#This Row],[Price Per Unit]]*Table1[[#This Row],[Units Sold]]</f>
        <v>417688.04000000004</v>
      </c>
      <c r="M2579" s="3" t="s">
        <v>325</v>
      </c>
      <c r="N2579" s="3">
        <v>21</v>
      </c>
      <c r="O2579" s="3" t="s">
        <v>48</v>
      </c>
      <c r="P2579" s="3" t="s">
        <v>31</v>
      </c>
      <c r="Q2579" s="4">
        <v>4</v>
      </c>
      <c r="R2579" s="4" t="str">
        <f>IF(Table1[[#This Row],[Customer Ratings]]&gt;=4, "Good",IF(Table1[[#This Row],[Customer Ratings]]=3, "Average","Poor"))</f>
        <v>Good</v>
      </c>
      <c r="S2579" s="3" t="s">
        <v>72</v>
      </c>
    </row>
    <row r="2580" spans="1:19" x14ac:dyDescent="0.25">
      <c r="A2580" s="3">
        <v>2579</v>
      </c>
      <c r="B2580" s="5">
        <f>DATE(Table1[[#This Row],[Year]],Table1[[#This Row],[Month]],Table1[[#This Row],[Day]])</f>
        <v>45209</v>
      </c>
      <c r="C2580" s="3">
        <v>10</v>
      </c>
      <c r="D2580" s="3">
        <v>10</v>
      </c>
      <c r="E2580" s="3">
        <v>2023</v>
      </c>
      <c r="F2580" s="3" t="str">
        <f>"Qtr"&amp; " " &amp;CHOOSE(MONTH(Table1[[#This Row],[Date]]),1,1,1,2,2,2,3,3,3,4,4,4)</f>
        <v>Qtr 4</v>
      </c>
      <c r="G2580" s="3" t="str">
        <f>TEXT(Table1[[#This Row],[Date]],"mmmm")</f>
        <v>October</v>
      </c>
      <c r="H2580" s="3" t="s">
        <v>1082</v>
      </c>
      <c r="I2580" s="3" t="s">
        <v>28</v>
      </c>
      <c r="J2580" s="3">
        <v>9</v>
      </c>
      <c r="K2580" s="3">
        <v>11356.27</v>
      </c>
      <c r="L2580" s="3">
        <f>Table1[[#This Row],[Price Per Unit]]*Table1[[#This Row],[Units Sold]]</f>
        <v>102206.43000000001</v>
      </c>
      <c r="M2580" s="3" t="s">
        <v>572</v>
      </c>
      <c r="N2580" s="3">
        <v>30</v>
      </c>
      <c r="O2580" s="3" t="s">
        <v>81</v>
      </c>
      <c r="P2580" s="3" t="s">
        <v>16</v>
      </c>
      <c r="Q2580" s="4">
        <v>3</v>
      </c>
      <c r="R2580" s="4" t="str">
        <f>IF(Table1[[#This Row],[Customer Ratings]]&gt;=4, "Good",IF(Table1[[#This Row],[Customer Ratings]]=3, "Average","Poor"))</f>
        <v>Average</v>
      </c>
      <c r="S2580" s="3" t="s">
        <v>38</v>
      </c>
    </row>
    <row r="2581" spans="1:19" x14ac:dyDescent="0.25">
      <c r="A2581" s="3">
        <v>2580</v>
      </c>
      <c r="B2581" s="5">
        <f>DATE(Table1[[#This Row],[Year]],Table1[[#This Row],[Month]],Table1[[#This Row],[Day]])</f>
        <v>45210</v>
      </c>
      <c r="C2581" s="3">
        <v>11</v>
      </c>
      <c r="D2581" s="3">
        <v>10</v>
      </c>
      <c r="E2581" s="3">
        <v>2023</v>
      </c>
      <c r="F2581" s="3" t="str">
        <f>"Qtr"&amp; " " &amp;CHOOSE(MONTH(Table1[[#This Row],[Date]]),1,1,1,2,2,2,3,3,3,4,4,4)</f>
        <v>Qtr 4</v>
      </c>
      <c r="G2581" s="3" t="str">
        <f>TEXT(Table1[[#This Row],[Date]],"mmmm")</f>
        <v>October</v>
      </c>
      <c r="H2581" s="3" t="s">
        <v>1083</v>
      </c>
      <c r="I2581" s="3" t="s">
        <v>13</v>
      </c>
      <c r="J2581" s="3">
        <v>4</v>
      </c>
      <c r="K2581" s="3">
        <v>24630.560000000001</v>
      </c>
      <c r="L2581" s="3">
        <f>Table1[[#This Row],[Price Per Unit]]*Table1[[#This Row],[Units Sold]]</f>
        <v>98522.240000000005</v>
      </c>
      <c r="M2581" s="3" t="s">
        <v>471</v>
      </c>
      <c r="N2581" s="3">
        <v>35</v>
      </c>
      <c r="O2581" s="3" t="s">
        <v>20</v>
      </c>
      <c r="P2581" s="3" t="s">
        <v>31</v>
      </c>
      <c r="Q2581" s="4">
        <v>3</v>
      </c>
      <c r="R2581" s="4" t="str">
        <f>IF(Table1[[#This Row],[Customer Ratings]]&gt;=4, "Good",IF(Table1[[#This Row],[Customer Ratings]]=3, "Average","Poor"))</f>
        <v>Average</v>
      </c>
      <c r="S2581" s="3" t="s">
        <v>72</v>
      </c>
    </row>
    <row r="2582" spans="1:19" x14ac:dyDescent="0.25">
      <c r="A2582" s="3">
        <v>2581</v>
      </c>
      <c r="B2582" s="5">
        <f>DATE(Table1[[#This Row],[Year]],Table1[[#This Row],[Month]],Table1[[#This Row],[Day]])</f>
        <v>45210</v>
      </c>
      <c r="C2582" s="3">
        <v>11</v>
      </c>
      <c r="D2582" s="3">
        <v>10</v>
      </c>
      <c r="E2582" s="3">
        <v>2023</v>
      </c>
      <c r="F2582" s="3" t="str">
        <f>"Qtr"&amp; " " &amp;CHOOSE(MONTH(Table1[[#This Row],[Date]]),1,1,1,2,2,2,3,3,3,4,4,4)</f>
        <v>Qtr 4</v>
      </c>
      <c r="G2582" s="3" t="str">
        <f>TEXT(Table1[[#This Row],[Date]],"mmmm")</f>
        <v>October</v>
      </c>
      <c r="H2582" s="3" t="s">
        <v>1083</v>
      </c>
      <c r="I2582" s="3" t="s">
        <v>13</v>
      </c>
      <c r="J2582" s="3">
        <v>2</v>
      </c>
      <c r="K2582" s="3">
        <v>19154.45</v>
      </c>
      <c r="L2582" s="3">
        <f>Table1[[#This Row],[Price Per Unit]]*Table1[[#This Row],[Units Sold]]</f>
        <v>38308.9</v>
      </c>
      <c r="M2582" s="3" t="s">
        <v>144</v>
      </c>
      <c r="N2582" s="3">
        <v>20</v>
      </c>
      <c r="O2582" s="3" t="s">
        <v>98</v>
      </c>
      <c r="P2582" s="3" t="s">
        <v>21</v>
      </c>
      <c r="Q2582" s="4">
        <v>5</v>
      </c>
      <c r="R2582" s="4" t="str">
        <f>IF(Table1[[#This Row],[Customer Ratings]]&gt;=4, "Good",IF(Table1[[#This Row],[Customer Ratings]]=3, "Average","Poor"))</f>
        <v>Good</v>
      </c>
      <c r="S2582" s="3" t="s">
        <v>17</v>
      </c>
    </row>
    <row r="2583" spans="1:19" x14ac:dyDescent="0.25">
      <c r="A2583" s="3">
        <v>2582</v>
      </c>
      <c r="B2583" s="5">
        <f>DATE(Table1[[#This Row],[Year]],Table1[[#This Row],[Month]],Table1[[#This Row],[Day]])</f>
        <v>45210</v>
      </c>
      <c r="C2583" s="3">
        <v>11</v>
      </c>
      <c r="D2583" s="3">
        <v>10</v>
      </c>
      <c r="E2583" s="3">
        <v>2023</v>
      </c>
      <c r="F2583" s="3" t="str">
        <f>"Qtr"&amp; " " &amp;CHOOSE(MONTH(Table1[[#This Row],[Date]]),1,1,1,2,2,2,3,3,3,4,4,4)</f>
        <v>Qtr 4</v>
      </c>
      <c r="G2583" s="3" t="str">
        <f>TEXT(Table1[[#This Row],[Date]],"mmmm")</f>
        <v>October</v>
      </c>
      <c r="H2583" s="3" t="s">
        <v>1083</v>
      </c>
      <c r="I2583" s="3" t="s">
        <v>13</v>
      </c>
      <c r="J2583" s="3">
        <v>9</v>
      </c>
      <c r="K2583" s="3">
        <v>61551.34</v>
      </c>
      <c r="L2583" s="3">
        <f>Table1[[#This Row],[Price Per Unit]]*Table1[[#This Row],[Units Sold]]</f>
        <v>553962.05999999994</v>
      </c>
      <c r="M2583" s="3" t="s">
        <v>629</v>
      </c>
      <c r="N2583" s="3">
        <v>54</v>
      </c>
      <c r="O2583" s="3" t="s">
        <v>35</v>
      </c>
      <c r="P2583" s="3" t="s">
        <v>16</v>
      </c>
      <c r="Q2583" s="4">
        <v>2</v>
      </c>
      <c r="R2583" s="4" t="str">
        <f>IF(Table1[[#This Row],[Customer Ratings]]&gt;=4, "Good",IF(Table1[[#This Row],[Customer Ratings]]=3, "Average","Poor"))</f>
        <v>Poor</v>
      </c>
      <c r="S2583" s="3" t="s">
        <v>27</v>
      </c>
    </row>
    <row r="2584" spans="1:19" x14ac:dyDescent="0.25">
      <c r="A2584" s="3">
        <v>2583</v>
      </c>
      <c r="B2584" s="5">
        <f>DATE(Table1[[#This Row],[Year]],Table1[[#This Row],[Month]],Table1[[#This Row],[Day]])</f>
        <v>45211</v>
      </c>
      <c r="C2584" s="3">
        <v>12</v>
      </c>
      <c r="D2584" s="3">
        <v>10</v>
      </c>
      <c r="E2584" s="3">
        <v>2023</v>
      </c>
      <c r="F2584" s="3" t="str">
        <f>"Qtr"&amp; " " &amp;CHOOSE(MONTH(Table1[[#This Row],[Date]]),1,1,1,2,2,2,3,3,3,4,4,4)</f>
        <v>Qtr 4</v>
      </c>
      <c r="G2584" s="3" t="str">
        <f>TEXT(Table1[[#This Row],[Date]],"mmmm")</f>
        <v>October</v>
      </c>
      <c r="H2584" s="3" t="s">
        <v>1084</v>
      </c>
      <c r="I2584" s="3" t="s">
        <v>18</v>
      </c>
      <c r="J2584" s="3">
        <v>2</v>
      </c>
      <c r="K2584" s="3">
        <v>38052.629999999997</v>
      </c>
      <c r="L2584" s="3">
        <f>Table1[[#This Row],[Price Per Unit]]*Table1[[#This Row],[Units Sold]]</f>
        <v>76105.259999999995</v>
      </c>
      <c r="M2584" s="3" t="s">
        <v>574</v>
      </c>
      <c r="N2584" s="3">
        <v>50</v>
      </c>
      <c r="O2584" s="3" t="s">
        <v>24</v>
      </c>
      <c r="P2584" s="3" t="s">
        <v>16</v>
      </c>
      <c r="Q2584" s="4">
        <v>4</v>
      </c>
      <c r="R2584" s="4" t="str">
        <f>IF(Table1[[#This Row],[Customer Ratings]]&gt;=4, "Good",IF(Table1[[#This Row],[Customer Ratings]]=3, "Average","Poor"))</f>
        <v>Good</v>
      </c>
      <c r="S2584" s="3" t="s">
        <v>25</v>
      </c>
    </row>
    <row r="2585" spans="1:19" x14ac:dyDescent="0.25">
      <c r="A2585" s="3">
        <v>2584</v>
      </c>
      <c r="B2585" s="5">
        <f>DATE(Table1[[#This Row],[Year]],Table1[[#This Row],[Month]],Table1[[#This Row],[Day]])</f>
        <v>45211</v>
      </c>
      <c r="C2585" s="3">
        <v>12</v>
      </c>
      <c r="D2585" s="3">
        <v>10</v>
      </c>
      <c r="E2585" s="3">
        <v>2023</v>
      </c>
      <c r="F2585" s="3" t="str">
        <f>"Qtr"&amp; " " &amp;CHOOSE(MONTH(Table1[[#This Row],[Date]]),1,1,1,2,2,2,3,3,3,4,4,4)</f>
        <v>Qtr 4</v>
      </c>
      <c r="G2585" s="3" t="str">
        <f>TEXT(Table1[[#This Row],[Date]],"mmmm")</f>
        <v>October</v>
      </c>
      <c r="H2585" s="3" t="s">
        <v>1084</v>
      </c>
      <c r="I2585" s="3" t="s">
        <v>33</v>
      </c>
      <c r="J2585" s="3">
        <v>3</v>
      </c>
      <c r="K2585" s="3">
        <v>34253.199999999997</v>
      </c>
      <c r="L2585" s="3">
        <f>Table1[[#This Row],[Price Per Unit]]*Table1[[#This Row],[Units Sold]]</f>
        <v>102759.59999999999</v>
      </c>
      <c r="M2585" s="3" t="s">
        <v>844</v>
      </c>
      <c r="N2585" s="3">
        <v>58</v>
      </c>
      <c r="O2585" s="3" t="s">
        <v>30</v>
      </c>
      <c r="P2585" s="3" t="s">
        <v>21</v>
      </c>
      <c r="Q2585" s="4">
        <v>3</v>
      </c>
      <c r="R2585" s="4" t="str">
        <f>IF(Table1[[#This Row],[Customer Ratings]]&gt;=4, "Good",IF(Table1[[#This Row],[Customer Ratings]]=3, "Average","Poor"))</f>
        <v>Average</v>
      </c>
      <c r="S2585" s="3" t="s">
        <v>36</v>
      </c>
    </row>
    <row r="2586" spans="1:19" x14ac:dyDescent="0.25">
      <c r="A2586" s="3">
        <v>2585</v>
      </c>
      <c r="B2586" s="5">
        <f>DATE(Table1[[#This Row],[Year]],Table1[[#This Row],[Month]],Table1[[#This Row],[Day]])</f>
        <v>45211</v>
      </c>
      <c r="C2586" s="3">
        <v>12</v>
      </c>
      <c r="D2586" s="3">
        <v>10</v>
      </c>
      <c r="E2586" s="3">
        <v>2023</v>
      </c>
      <c r="F2586" s="3" t="str">
        <f>"Qtr"&amp; " " &amp;CHOOSE(MONTH(Table1[[#This Row],[Date]]),1,1,1,2,2,2,3,3,3,4,4,4)</f>
        <v>Qtr 4</v>
      </c>
      <c r="G2586" s="3" t="str">
        <f>TEXT(Table1[[#This Row],[Date]],"mmmm")</f>
        <v>October</v>
      </c>
      <c r="H2586" s="3" t="s">
        <v>1084</v>
      </c>
      <c r="I2586" s="3" t="s">
        <v>28</v>
      </c>
      <c r="J2586" s="3">
        <v>2</v>
      </c>
      <c r="K2586" s="3">
        <v>36968.97</v>
      </c>
      <c r="L2586" s="3">
        <f>Table1[[#This Row],[Price Per Unit]]*Table1[[#This Row],[Units Sold]]</f>
        <v>73937.94</v>
      </c>
      <c r="M2586" s="3" t="s">
        <v>47</v>
      </c>
      <c r="N2586" s="3">
        <v>41</v>
      </c>
      <c r="O2586" s="3" t="s">
        <v>81</v>
      </c>
      <c r="P2586" s="3" t="s">
        <v>45</v>
      </c>
      <c r="Q2586" s="4">
        <v>4</v>
      </c>
      <c r="R2586" s="4" t="str">
        <f>IF(Table1[[#This Row],[Customer Ratings]]&gt;=4, "Good",IF(Table1[[#This Row],[Customer Ratings]]=3, "Average","Poor"))</f>
        <v>Good</v>
      </c>
      <c r="S2586" s="3" t="s">
        <v>87</v>
      </c>
    </row>
    <row r="2587" spans="1:19" x14ac:dyDescent="0.25">
      <c r="A2587" s="3">
        <v>2586</v>
      </c>
      <c r="B2587" s="5">
        <f>DATE(Table1[[#This Row],[Year]],Table1[[#This Row],[Month]],Table1[[#This Row],[Day]])</f>
        <v>45211</v>
      </c>
      <c r="C2587" s="3">
        <v>12</v>
      </c>
      <c r="D2587" s="3">
        <v>10</v>
      </c>
      <c r="E2587" s="3">
        <v>2023</v>
      </c>
      <c r="F2587" s="3" t="str">
        <f>"Qtr"&amp; " " &amp;CHOOSE(MONTH(Table1[[#This Row],[Date]]),1,1,1,2,2,2,3,3,3,4,4,4)</f>
        <v>Qtr 4</v>
      </c>
      <c r="G2587" s="3" t="str">
        <f>TEXT(Table1[[#This Row],[Date]],"mmmm")</f>
        <v>October</v>
      </c>
      <c r="H2587" s="3" t="s">
        <v>1084</v>
      </c>
      <c r="I2587" s="3" t="s">
        <v>33</v>
      </c>
      <c r="J2587" s="3">
        <v>3</v>
      </c>
      <c r="K2587" s="3">
        <v>68315.47</v>
      </c>
      <c r="L2587" s="3">
        <f>Table1[[#This Row],[Price Per Unit]]*Table1[[#This Row],[Units Sold]]</f>
        <v>204946.41</v>
      </c>
      <c r="M2587" s="3" t="s">
        <v>924</v>
      </c>
      <c r="N2587" s="3">
        <v>25</v>
      </c>
      <c r="O2587" s="3" t="s">
        <v>137</v>
      </c>
      <c r="P2587" s="3" t="s">
        <v>16</v>
      </c>
      <c r="Q2587" s="4">
        <v>4</v>
      </c>
      <c r="R2587" s="4" t="str">
        <f>IF(Table1[[#This Row],[Customer Ratings]]&gt;=4, "Good",IF(Table1[[#This Row],[Customer Ratings]]=3, "Average","Poor"))</f>
        <v>Good</v>
      </c>
      <c r="S2587" s="3" t="s">
        <v>36</v>
      </c>
    </row>
    <row r="2588" spans="1:19" x14ac:dyDescent="0.25">
      <c r="A2588" s="3">
        <v>2587</v>
      </c>
      <c r="B2588" s="5">
        <f>DATE(Table1[[#This Row],[Year]],Table1[[#This Row],[Month]],Table1[[#This Row],[Day]])</f>
        <v>45212</v>
      </c>
      <c r="C2588" s="3">
        <v>13</v>
      </c>
      <c r="D2588" s="3">
        <v>10</v>
      </c>
      <c r="E2588" s="3">
        <v>2023</v>
      </c>
      <c r="F2588" s="3" t="str">
        <f>"Qtr"&amp; " " &amp;CHOOSE(MONTH(Table1[[#This Row],[Date]]),1,1,1,2,2,2,3,3,3,4,4,4)</f>
        <v>Qtr 4</v>
      </c>
      <c r="G2588" s="3" t="str">
        <f>TEXT(Table1[[#This Row],[Date]],"mmmm")</f>
        <v>October</v>
      </c>
      <c r="H2588" s="3" t="s">
        <v>1085</v>
      </c>
      <c r="I2588" s="3" t="s">
        <v>33</v>
      </c>
      <c r="J2588" s="3">
        <v>6</v>
      </c>
      <c r="K2588" s="3">
        <v>61016.04</v>
      </c>
      <c r="L2588" s="3">
        <f>Table1[[#This Row],[Price Per Unit]]*Table1[[#This Row],[Units Sold]]</f>
        <v>366096.24</v>
      </c>
      <c r="M2588" s="3" t="s">
        <v>887</v>
      </c>
      <c r="N2588" s="3">
        <v>52</v>
      </c>
      <c r="O2588" s="3" t="s">
        <v>105</v>
      </c>
      <c r="P2588" s="3" t="s">
        <v>45</v>
      </c>
      <c r="Q2588" s="4">
        <v>4</v>
      </c>
      <c r="R2588" s="4" t="str">
        <f>IF(Table1[[#This Row],[Customer Ratings]]&gt;=4, "Good",IF(Table1[[#This Row],[Customer Ratings]]=3, "Average","Poor"))</f>
        <v>Good</v>
      </c>
      <c r="S2588" s="3" t="s">
        <v>36</v>
      </c>
    </row>
    <row r="2589" spans="1:19" x14ac:dyDescent="0.25">
      <c r="A2589" s="3">
        <v>2588</v>
      </c>
      <c r="B2589" s="5">
        <f>DATE(Table1[[#This Row],[Year]],Table1[[#This Row],[Month]],Table1[[#This Row],[Day]])</f>
        <v>45212</v>
      </c>
      <c r="C2589" s="3">
        <v>13</v>
      </c>
      <c r="D2589" s="3">
        <v>10</v>
      </c>
      <c r="E2589" s="3">
        <v>2023</v>
      </c>
      <c r="F2589" s="3" t="str">
        <f>"Qtr"&amp; " " &amp;CHOOSE(MONTH(Table1[[#This Row],[Date]]),1,1,1,2,2,2,3,3,3,4,4,4)</f>
        <v>Qtr 4</v>
      </c>
      <c r="G2589" s="3" t="str">
        <f>TEXT(Table1[[#This Row],[Date]],"mmmm")</f>
        <v>October</v>
      </c>
      <c r="H2589" s="3" t="s">
        <v>1085</v>
      </c>
      <c r="I2589" s="3" t="s">
        <v>33</v>
      </c>
      <c r="J2589" s="3">
        <v>3</v>
      </c>
      <c r="K2589" s="3">
        <v>52382.13</v>
      </c>
      <c r="L2589" s="3">
        <f>Table1[[#This Row],[Price Per Unit]]*Table1[[#This Row],[Units Sold]]</f>
        <v>157146.38999999998</v>
      </c>
      <c r="M2589" s="3" t="s">
        <v>938</v>
      </c>
      <c r="N2589" s="3">
        <v>19</v>
      </c>
      <c r="O2589" s="3" t="s">
        <v>24</v>
      </c>
      <c r="P2589" s="3" t="s">
        <v>45</v>
      </c>
      <c r="Q2589" s="4">
        <v>5</v>
      </c>
      <c r="R2589" s="4" t="str">
        <f>IF(Table1[[#This Row],[Customer Ratings]]&gt;=4, "Good",IF(Table1[[#This Row],[Customer Ratings]]=3, "Average","Poor"))</f>
        <v>Good</v>
      </c>
      <c r="S2589" s="3" t="s">
        <v>36</v>
      </c>
    </row>
    <row r="2590" spans="1:19" x14ac:dyDescent="0.25">
      <c r="A2590" s="3">
        <v>2589</v>
      </c>
      <c r="B2590" s="5">
        <f>DATE(Table1[[#This Row],[Year]],Table1[[#This Row],[Month]],Table1[[#This Row],[Day]])</f>
        <v>45212</v>
      </c>
      <c r="C2590" s="3">
        <v>13</v>
      </c>
      <c r="D2590" s="3">
        <v>10</v>
      </c>
      <c r="E2590" s="3">
        <v>2023</v>
      </c>
      <c r="F2590" s="3" t="str">
        <f>"Qtr"&amp; " " &amp;CHOOSE(MONTH(Table1[[#This Row],[Date]]),1,1,1,2,2,2,3,3,3,4,4,4)</f>
        <v>Qtr 4</v>
      </c>
      <c r="G2590" s="3" t="str">
        <f>TEXT(Table1[[#This Row],[Date]],"mmmm")</f>
        <v>October</v>
      </c>
      <c r="H2590" s="3" t="s">
        <v>1085</v>
      </c>
      <c r="I2590" s="3" t="s">
        <v>13</v>
      </c>
      <c r="J2590" s="3">
        <v>8</v>
      </c>
      <c r="K2590" s="3">
        <v>27428.74</v>
      </c>
      <c r="L2590" s="3">
        <f>Table1[[#This Row],[Price Per Unit]]*Table1[[#This Row],[Units Sold]]</f>
        <v>219429.92</v>
      </c>
      <c r="M2590" s="3" t="s">
        <v>699</v>
      </c>
      <c r="N2590" s="3">
        <v>50</v>
      </c>
      <c r="O2590" s="3" t="s">
        <v>102</v>
      </c>
      <c r="P2590" s="3" t="s">
        <v>45</v>
      </c>
      <c r="Q2590" s="4">
        <v>4</v>
      </c>
      <c r="R2590" s="4" t="str">
        <f>IF(Table1[[#This Row],[Customer Ratings]]&gt;=4, "Good",IF(Table1[[#This Row],[Customer Ratings]]=3, "Average","Poor"))</f>
        <v>Good</v>
      </c>
      <c r="S2590" s="3" t="s">
        <v>17</v>
      </c>
    </row>
    <row r="2591" spans="1:19" x14ac:dyDescent="0.25">
      <c r="A2591" s="3">
        <v>2590</v>
      </c>
      <c r="B2591" s="5">
        <f>DATE(Table1[[#This Row],[Year]],Table1[[#This Row],[Month]],Table1[[#This Row],[Day]])</f>
        <v>45212</v>
      </c>
      <c r="C2591" s="3">
        <v>13</v>
      </c>
      <c r="D2591" s="3">
        <v>10</v>
      </c>
      <c r="E2591" s="3">
        <v>2023</v>
      </c>
      <c r="F2591" s="3" t="str">
        <f>"Qtr"&amp; " " &amp;CHOOSE(MONTH(Table1[[#This Row],[Date]]),1,1,1,2,2,2,3,3,3,4,4,4)</f>
        <v>Qtr 4</v>
      </c>
      <c r="G2591" s="3" t="str">
        <f>TEXT(Table1[[#This Row],[Date]],"mmmm")</f>
        <v>October</v>
      </c>
      <c r="H2591" s="3" t="s">
        <v>1085</v>
      </c>
      <c r="I2591" s="3" t="s">
        <v>39</v>
      </c>
      <c r="J2591" s="3">
        <v>6</v>
      </c>
      <c r="K2591" s="3">
        <v>19910.38</v>
      </c>
      <c r="L2591" s="3">
        <f>Table1[[#This Row],[Price Per Unit]]*Table1[[#This Row],[Units Sold]]</f>
        <v>119462.28</v>
      </c>
      <c r="M2591" s="3" t="s">
        <v>976</v>
      </c>
      <c r="N2591" s="3">
        <v>29</v>
      </c>
      <c r="O2591" s="3" t="s">
        <v>20</v>
      </c>
      <c r="P2591" s="3" t="s">
        <v>16</v>
      </c>
      <c r="Q2591" s="4">
        <v>4</v>
      </c>
      <c r="R2591" s="4" t="str">
        <f>IF(Table1[[#This Row],[Customer Ratings]]&gt;=4, "Good",IF(Table1[[#This Row],[Customer Ratings]]=3, "Average","Poor"))</f>
        <v>Good</v>
      </c>
      <c r="S2591" s="3" t="s">
        <v>42</v>
      </c>
    </row>
    <row r="2592" spans="1:19" x14ac:dyDescent="0.25">
      <c r="A2592" s="3">
        <v>2591</v>
      </c>
      <c r="B2592" s="5">
        <f>DATE(Table1[[#This Row],[Year]],Table1[[#This Row],[Month]],Table1[[#This Row],[Day]])</f>
        <v>45213</v>
      </c>
      <c r="C2592" s="3">
        <v>14</v>
      </c>
      <c r="D2592" s="3">
        <v>10</v>
      </c>
      <c r="E2592" s="3">
        <v>2023</v>
      </c>
      <c r="F2592" s="3" t="str">
        <f>"Qtr"&amp; " " &amp;CHOOSE(MONTH(Table1[[#This Row],[Date]]),1,1,1,2,2,2,3,3,3,4,4,4)</f>
        <v>Qtr 4</v>
      </c>
      <c r="G2592" s="3" t="str">
        <f>TEXT(Table1[[#This Row],[Date]],"mmmm")</f>
        <v>October</v>
      </c>
      <c r="H2592" s="3" t="s">
        <v>1079</v>
      </c>
      <c r="I2592" s="3" t="s">
        <v>13</v>
      </c>
      <c r="J2592" s="3">
        <v>7</v>
      </c>
      <c r="K2592" s="3">
        <v>65286.02</v>
      </c>
      <c r="L2592" s="3">
        <f>Table1[[#This Row],[Price Per Unit]]*Table1[[#This Row],[Units Sold]]</f>
        <v>457002.13999999996</v>
      </c>
      <c r="M2592" s="3" t="s">
        <v>581</v>
      </c>
      <c r="N2592" s="3">
        <v>39</v>
      </c>
      <c r="O2592" s="3" t="s">
        <v>20</v>
      </c>
      <c r="P2592" s="3" t="s">
        <v>31</v>
      </c>
      <c r="Q2592" s="4">
        <v>2</v>
      </c>
      <c r="R2592" s="4" t="str">
        <f>IF(Table1[[#This Row],[Customer Ratings]]&gt;=4, "Good",IF(Table1[[#This Row],[Customer Ratings]]=3, "Average","Poor"))</f>
        <v>Poor</v>
      </c>
      <c r="S2592" s="3" t="s">
        <v>17</v>
      </c>
    </row>
    <row r="2593" spans="1:19" x14ac:dyDescent="0.25">
      <c r="A2593" s="3">
        <v>2592</v>
      </c>
      <c r="B2593" s="5">
        <f>DATE(Table1[[#This Row],[Year]],Table1[[#This Row],[Month]],Table1[[#This Row],[Day]])</f>
        <v>45213</v>
      </c>
      <c r="C2593" s="3">
        <v>14</v>
      </c>
      <c r="D2593" s="3">
        <v>10</v>
      </c>
      <c r="E2593" s="3">
        <v>2023</v>
      </c>
      <c r="F2593" s="3" t="str">
        <f>"Qtr"&amp; " " &amp;CHOOSE(MONTH(Table1[[#This Row],[Date]]),1,1,1,2,2,2,3,3,3,4,4,4)</f>
        <v>Qtr 4</v>
      </c>
      <c r="G2593" s="3" t="str">
        <f>TEXT(Table1[[#This Row],[Date]],"mmmm")</f>
        <v>October</v>
      </c>
      <c r="H2593" s="3" t="s">
        <v>1079</v>
      </c>
      <c r="I2593" s="3" t="s">
        <v>13</v>
      </c>
      <c r="J2593" s="3">
        <v>1</v>
      </c>
      <c r="K2593" s="3">
        <v>35384.53</v>
      </c>
      <c r="L2593" s="3">
        <f>Table1[[#This Row],[Price Per Unit]]*Table1[[#This Row],[Units Sold]]</f>
        <v>35384.53</v>
      </c>
      <c r="M2593" s="3" t="s">
        <v>106</v>
      </c>
      <c r="N2593" s="3">
        <v>30</v>
      </c>
      <c r="O2593" s="3" t="s">
        <v>81</v>
      </c>
      <c r="P2593" s="3" t="s">
        <v>16</v>
      </c>
      <c r="Q2593" s="4">
        <v>2</v>
      </c>
      <c r="R2593" s="4" t="str">
        <f>IF(Table1[[#This Row],[Customer Ratings]]&gt;=4, "Good",IF(Table1[[#This Row],[Customer Ratings]]=3, "Average","Poor"))</f>
        <v>Poor</v>
      </c>
      <c r="S2593" s="3" t="s">
        <v>27</v>
      </c>
    </row>
    <row r="2594" spans="1:19" x14ac:dyDescent="0.25">
      <c r="A2594" s="3">
        <v>2593</v>
      </c>
      <c r="B2594" s="5">
        <f>DATE(Table1[[#This Row],[Year]],Table1[[#This Row],[Month]],Table1[[#This Row],[Day]])</f>
        <v>45213</v>
      </c>
      <c r="C2594" s="3">
        <v>14</v>
      </c>
      <c r="D2594" s="3">
        <v>10</v>
      </c>
      <c r="E2594" s="3">
        <v>2023</v>
      </c>
      <c r="F2594" s="3" t="str">
        <f>"Qtr"&amp; " " &amp;CHOOSE(MONTH(Table1[[#This Row],[Date]]),1,1,1,2,2,2,3,3,3,4,4,4)</f>
        <v>Qtr 4</v>
      </c>
      <c r="G2594" s="3" t="str">
        <f>TEXT(Table1[[#This Row],[Date]],"mmmm")</f>
        <v>October</v>
      </c>
      <c r="H2594" s="3" t="s">
        <v>1079</v>
      </c>
      <c r="I2594" s="3" t="s">
        <v>33</v>
      </c>
      <c r="J2594" s="3">
        <v>3</v>
      </c>
      <c r="K2594" s="3">
        <v>26725.35</v>
      </c>
      <c r="L2594" s="3">
        <f>Table1[[#This Row],[Price Per Unit]]*Table1[[#This Row],[Units Sold]]</f>
        <v>80176.049999999988</v>
      </c>
      <c r="M2594" s="3" t="s">
        <v>199</v>
      </c>
      <c r="N2594" s="3">
        <v>27</v>
      </c>
      <c r="O2594" s="3" t="s">
        <v>120</v>
      </c>
      <c r="P2594" s="3" t="s">
        <v>31</v>
      </c>
      <c r="Q2594" s="4">
        <v>5</v>
      </c>
      <c r="R2594" s="4" t="str">
        <f>IF(Table1[[#This Row],[Customer Ratings]]&gt;=4, "Good",IF(Table1[[#This Row],[Customer Ratings]]=3, "Average","Poor"))</f>
        <v>Good</v>
      </c>
      <c r="S2594" s="3" t="s">
        <v>83</v>
      </c>
    </row>
    <row r="2595" spans="1:19" x14ac:dyDescent="0.25">
      <c r="A2595" s="3">
        <v>2594</v>
      </c>
      <c r="B2595" s="5">
        <f>DATE(Table1[[#This Row],[Year]],Table1[[#This Row],[Month]],Table1[[#This Row],[Day]])</f>
        <v>45214</v>
      </c>
      <c r="C2595" s="3">
        <v>15</v>
      </c>
      <c r="D2595" s="3">
        <v>10</v>
      </c>
      <c r="E2595" s="3">
        <v>2023</v>
      </c>
      <c r="F2595" s="3" t="str">
        <f>"Qtr"&amp; " " &amp;CHOOSE(MONTH(Table1[[#This Row],[Date]]),1,1,1,2,2,2,3,3,3,4,4,4)</f>
        <v>Qtr 4</v>
      </c>
      <c r="G2595" s="3" t="str">
        <f>TEXT(Table1[[#This Row],[Date]],"mmmm")</f>
        <v>October</v>
      </c>
      <c r="H2595" s="3" t="s">
        <v>1080</v>
      </c>
      <c r="I2595" s="3" t="s">
        <v>13</v>
      </c>
      <c r="J2595" s="3">
        <v>3</v>
      </c>
      <c r="K2595" s="3">
        <v>38255.25</v>
      </c>
      <c r="L2595" s="3">
        <f>Table1[[#This Row],[Price Per Unit]]*Table1[[#This Row],[Units Sold]]</f>
        <v>114765.75</v>
      </c>
      <c r="M2595" s="3" t="s">
        <v>141</v>
      </c>
      <c r="N2595" s="3">
        <v>34</v>
      </c>
      <c r="O2595" s="3" t="s">
        <v>48</v>
      </c>
      <c r="P2595" s="3" t="s">
        <v>16</v>
      </c>
      <c r="Q2595" s="4">
        <v>5</v>
      </c>
      <c r="R2595" s="4" t="str">
        <f>IF(Table1[[#This Row],[Customer Ratings]]&gt;=4, "Good",IF(Table1[[#This Row],[Customer Ratings]]=3, "Average","Poor"))</f>
        <v>Good</v>
      </c>
      <c r="S2595" s="3" t="s">
        <v>72</v>
      </c>
    </row>
    <row r="2596" spans="1:19" x14ac:dyDescent="0.25">
      <c r="A2596" s="3">
        <v>2595</v>
      </c>
      <c r="B2596" s="5">
        <f>DATE(Table1[[#This Row],[Year]],Table1[[#This Row],[Month]],Table1[[#This Row],[Day]])</f>
        <v>45214</v>
      </c>
      <c r="C2596" s="3">
        <v>15</v>
      </c>
      <c r="D2596" s="3">
        <v>10</v>
      </c>
      <c r="E2596" s="3">
        <v>2023</v>
      </c>
      <c r="F2596" s="3" t="str">
        <f>"Qtr"&amp; " " &amp;CHOOSE(MONTH(Table1[[#This Row],[Date]]),1,1,1,2,2,2,3,3,3,4,4,4)</f>
        <v>Qtr 4</v>
      </c>
      <c r="G2596" s="3" t="str">
        <f>TEXT(Table1[[#This Row],[Date]],"mmmm")</f>
        <v>October</v>
      </c>
      <c r="H2596" s="3" t="s">
        <v>1080</v>
      </c>
      <c r="I2596" s="3" t="s">
        <v>33</v>
      </c>
      <c r="J2596" s="3">
        <v>2</v>
      </c>
      <c r="K2596" s="3">
        <v>65070.85</v>
      </c>
      <c r="L2596" s="3">
        <f>Table1[[#This Row],[Price Per Unit]]*Table1[[#This Row],[Units Sold]]</f>
        <v>130141.7</v>
      </c>
      <c r="M2596" s="3" t="s">
        <v>857</v>
      </c>
      <c r="N2596" s="3">
        <v>22</v>
      </c>
      <c r="O2596" s="3" t="s">
        <v>20</v>
      </c>
      <c r="P2596" s="3" t="s">
        <v>31</v>
      </c>
      <c r="Q2596" s="4">
        <v>4</v>
      </c>
      <c r="R2596" s="4" t="str">
        <f>IF(Table1[[#This Row],[Customer Ratings]]&gt;=4, "Good",IF(Table1[[#This Row],[Customer Ratings]]=3, "Average","Poor"))</f>
        <v>Good</v>
      </c>
      <c r="S2596" s="3" t="s">
        <v>36</v>
      </c>
    </row>
    <row r="2597" spans="1:19" x14ac:dyDescent="0.25">
      <c r="A2597" s="3">
        <v>2596</v>
      </c>
      <c r="B2597" s="5">
        <f>DATE(Table1[[#This Row],[Year]],Table1[[#This Row],[Month]],Table1[[#This Row],[Day]])</f>
        <v>45214</v>
      </c>
      <c r="C2597" s="3">
        <v>15</v>
      </c>
      <c r="D2597" s="3">
        <v>10</v>
      </c>
      <c r="E2597" s="3">
        <v>2023</v>
      </c>
      <c r="F2597" s="3" t="str">
        <f>"Qtr"&amp; " " &amp;CHOOSE(MONTH(Table1[[#This Row],[Date]]),1,1,1,2,2,2,3,3,3,4,4,4)</f>
        <v>Qtr 4</v>
      </c>
      <c r="G2597" s="3" t="str">
        <f>TEXT(Table1[[#This Row],[Date]],"mmmm")</f>
        <v>October</v>
      </c>
      <c r="H2597" s="3" t="s">
        <v>1080</v>
      </c>
      <c r="I2597" s="3" t="s">
        <v>39</v>
      </c>
      <c r="J2597" s="3">
        <v>7</v>
      </c>
      <c r="K2597" s="3">
        <v>33224.04</v>
      </c>
      <c r="L2597" s="3">
        <f>Table1[[#This Row],[Price Per Unit]]*Table1[[#This Row],[Units Sold]]</f>
        <v>232568.28</v>
      </c>
      <c r="M2597" s="3" t="s">
        <v>535</v>
      </c>
      <c r="N2597" s="3">
        <v>26</v>
      </c>
      <c r="O2597" s="3" t="s">
        <v>20</v>
      </c>
      <c r="P2597" s="3" t="s">
        <v>31</v>
      </c>
      <c r="Q2597" s="4">
        <v>3</v>
      </c>
      <c r="R2597" s="4" t="str">
        <f>IF(Table1[[#This Row],[Customer Ratings]]&gt;=4, "Good",IF(Table1[[#This Row],[Customer Ratings]]=3, "Average","Poor"))</f>
        <v>Average</v>
      </c>
      <c r="S2597" s="3" t="s">
        <v>76</v>
      </c>
    </row>
    <row r="2598" spans="1:19" x14ac:dyDescent="0.25">
      <c r="A2598" s="3">
        <v>2597</v>
      </c>
      <c r="B2598" s="5">
        <f>DATE(Table1[[#This Row],[Year]],Table1[[#This Row],[Month]],Table1[[#This Row],[Day]])</f>
        <v>45214</v>
      </c>
      <c r="C2598" s="3">
        <v>15</v>
      </c>
      <c r="D2598" s="3">
        <v>10</v>
      </c>
      <c r="E2598" s="3">
        <v>2023</v>
      </c>
      <c r="F2598" s="3" t="str">
        <f>"Qtr"&amp; " " &amp;CHOOSE(MONTH(Table1[[#This Row],[Date]]),1,1,1,2,2,2,3,3,3,4,4,4)</f>
        <v>Qtr 4</v>
      </c>
      <c r="G2598" s="3" t="str">
        <f>TEXT(Table1[[#This Row],[Date]],"mmmm")</f>
        <v>October</v>
      </c>
      <c r="H2598" s="3" t="s">
        <v>1080</v>
      </c>
      <c r="I2598" s="3" t="s">
        <v>28</v>
      </c>
      <c r="J2598" s="3">
        <v>9</v>
      </c>
      <c r="K2598" s="3">
        <v>43758.46</v>
      </c>
      <c r="L2598" s="3">
        <f>Table1[[#This Row],[Price Per Unit]]*Table1[[#This Row],[Units Sold]]</f>
        <v>393826.14</v>
      </c>
      <c r="M2598" s="3" t="s">
        <v>972</v>
      </c>
      <c r="N2598" s="3">
        <v>30</v>
      </c>
      <c r="O2598" s="3" t="s">
        <v>20</v>
      </c>
      <c r="P2598" s="3" t="s">
        <v>16</v>
      </c>
      <c r="Q2598" s="4">
        <v>3</v>
      </c>
      <c r="R2598" s="4" t="str">
        <f>IF(Table1[[#This Row],[Customer Ratings]]&gt;=4, "Good",IF(Table1[[#This Row],[Customer Ratings]]=3, "Average","Poor"))</f>
        <v>Average</v>
      </c>
      <c r="S2598" s="3" t="s">
        <v>87</v>
      </c>
    </row>
    <row r="2599" spans="1:19" x14ac:dyDescent="0.25">
      <c r="A2599" s="3">
        <v>2598</v>
      </c>
      <c r="B2599" s="5">
        <f>DATE(Table1[[#This Row],[Year]],Table1[[#This Row],[Month]],Table1[[#This Row],[Day]])</f>
        <v>45215</v>
      </c>
      <c r="C2599" s="3">
        <v>16</v>
      </c>
      <c r="D2599" s="3">
        <v>10</v>
      </c>
      <c r="E2599" s="3">
        <v>2023</v>
      </c>
      <c r="F2599" s="3" t="str">
        <f>"Qtr"&amp; " " &amp;CHOOSE(MONTH(Table1[[#This Row],[Date]]),1,1,1,2,2,2,3,3,3,4,4,4)</f>
        <v>Qtr 4</v>
      </c>
      <c r="G2599" s="3" t="str">
        <f>TEXT(Table1[[#This Row],[Date]],"mmmm")</f>
        <v>October</v>
      </c>
      <c r="H2599" s="3" t="s">
        <v>1081</v>
      </c>
      <c r="I2599" s="3" t="s">
        <v>33</v>
      </c>
      <c r="J2599" s="3">
        <v>4</v>
      </c>
      <c r="K2599" s="3">
        <v>58177.98</v>
      </c>
      <c r="L2599" s="3">
        <f>Table1[[#This Row],[Price Per Unit]]*Table1[[#This Row],[Units Sold]]</f>
        <v>232711.92</v>
      </c>
      <c r="M2599" s="3" t="s">
        <v>767</v>
      </c>
      <c r="N2599" s="3">
        <v>40</v>
      </c>
      <c r="O2599" s="3" t="s">
        <v>65</v>
      </c>
      <c r="P2599" s="3" t="s">
        <v>45</v>
      </c>
      <c r="Q2599" s="4">
        <v>5</v>
      </c>
      <c r="R2599" s="4" t="str">
        <f>IF(Table1[[#This Row],[Customer Ratings]]&gt;=4, "Good",IF(Table1[[#This Row],[Customer Ratings]]=3, "Average","Poor"))</f>
        <v>Good</v>
      </c>
      <c r="S2599" s="3" t="s">
        <v>36</v>
      </c>
    </row>
    <row r="2600" spans="1:19" x14ac:dyDescent="0.25">
      <c r="A2600" s="3">
        <v>2599</v>
      </c>
      <c r="B2600" s="5">
        <f>DATE(Table1[[#This Row],[Year]],Table1[[#This Row],[Month]],Table1[[#This Row],[Day]])</f>
        <v>45215</v>
      </c>
      <c r="C2600" s="3">
        <v>16</v>
      </c>
      <c r="D2600" s="3">
        <v>10</v>
      </c>
      <c r="E2600" s="3">
        <v>2023</v>
      </c>
      <c r="F2600" s="3" t="str">
        <f>"Qtr"&amp; " " &amp;CHOOSE(MONTH(Table1[[#This Row],[Date]]),1,1,1,2,2,2,3,3,3,4,4,4)</f>
        <v>Qtr 4</v>
      </c>
      <c r="G2600" s="3" t="str">
        <f>TEXT(Table1[[#This Row],[Date]],"mmmm")</f>
        <v>October</v>
      </c>
      <c r="H2600" s="3" t="s">
        <v>1081</v>
      </c>
      <c r="I2600" s="3" t="s">
        <v>39</v>
      </c>
      <c r="J2600" s="3">
        <v>5</v>
      </c>
      <c r="K2600" s="3">
        <v>35627.949999999997</v>
      </c>
      <c r="L2600" s="3">
        <f>Table1[[#This Row],[Price Per Unit]]*Table1[[#This Row],[Units Sold]]</f>
        <v>178139.75</v>
      </c>
      <c r="M2600" s="3" t="s">
        <v>591</v>
      </c>
      <c r="N2600" s="3">
        <v>47</v>
      </c>
      <c r="O2600" s="3" t="s">
        <v>52</v>
      </c>
      <c r="P2600" s="3" t="s">
        <v>45</v>
      </c>
      <c r="Q2600" s="4">
        <v>3</v>
      </c>
      <c r="R2600" s="4" t="str">
        <f>IF(Table1[[#This Row],[Customer Ratings]]&gt;=4, "Good",IF(Table1[[#This Row],[Customer Ratings]]=3, "Average","Poor"))</f>
        <v>Average</v>
      </c>
      <c r="S2600" s="3" t="s">
        <v>90</v>
      </c>
    </row>
    <row r="2601" spans="1:19" x14ac:dyDescent="0.25">
      <c r="A2601" s="3">
        <v>2600</v>
      </c>
      <c r="B2601" s="5">
        <f>DATE(Table1[[#This Row],[Year]],Table1[[#This Row],[Month]],Table1[[#This Row],[Day]])</f>
        <v>45215</v>
      </c>
      <c r="C2601" s="3">
        <v>16</v>
      </c>
      <c r="D2601" s="3">
        <v>10</v>
      </c>
      <c r="E2601" s="3">
        <v>2023</v>
      </c>
      <c r="F2601" s="3" t="str">
        <f>"Qtr"&amp; " " &amp;CHOOSE(MONTH(Table1[[#This Row],[Date]]),1,1,1,2,2,2,3,3,3,4,4,4)</f>
        <v>Qtr 4</v>
      </c>
      <c r="G2601" s="3" t="str">
        <f>TEXT(Table1[[#This Row],[Date]],"mmmm")</f>
        <v>October</v>
      </c>
      <c r="H2601" s="3" t="s">
        <v>1081</v>
      </c>
      <c r="I2601" s="3" t="s">
        <v>28</v>
      </c>
      <c r="J2601" s="3">
        <v>3</v>
      </c>
      <c r="K2601" s="3">
        <v>24012.51</v>
      </c>
      <c r="L2601" s="3">
        <f>Table1[[#This Row],[Price Per Unit]]*Table1[[#This Row],[Units Sold]]</f>
        <v>72037.53</v>
      </c>
      <c r="M2601" s="3" t="s">
        <v>181</v>
      </c>
      <c r="N2601" s="3">
        <v>21</v>
      </c>
      <c r="O2601" s="3" t="s">
        <v>24</v>
      </c>
      <c r="P2601" s="3" t="s">
        <v>31</v>
      </c>
      <c r="Q2601" s="4">
        <v>3</v>
      </c>
      <c r="R2601" s="4" t="str">
        <f>IF(Table1[[#This Row],[Customer Ratings]]&gt;=4, "Good",IF(Table1[[#This Row],[Customer Ratings]]=3, "Average","Poor"))</f>
        <v>Average</v>
      </c>
      <c r="S2601" s="3" t="s">
        <v>87</v>
      </c>
    </row>
    <row r="2602" spans="1:19" x14ac:dyDescent="0.25">
      <c r="A2602" s="3">
        <v>2601</v>
      </c>
      <c r="B2602" s="5">
        <f>DATE(Table1[[#This Row],[Year]],Table1[[#This Row],[Month]],Table1[[#This Row],[Day]])</f>
        <v>45216</v>
      </c>
      <c r="C2602" s="3">
        <v>17</v>
      </c>
      <c r="D2602" s="3">
        <v>10</v>
      </c>
      <c r="E2602" s="3">
        <v>2023</v>
      </c>
      <c r="F2602" s="3" t="str">
        <f>"Qtr"&amp; " " &amp;CHOOSE(MONTH(Table1[[#This Row],[Date]]),1,1,1,2,2,2,3,3,3,4,4,4)</f>
        <v>Qtr 4</v>
      </c>
      <c r="G2602" s="3" t="str">
        <f>TEXT(Table1[[#This Row],[Date]],"mmmm")</f>
        <v>October</v>
      </c>
      <c r="H2602" s="3" t="s">
        <v>1082</v>
      </c>
      <c r="I2602" s="3" t="s">
        <v>18</v>
      </c>
      <c r="J2602" s="3">
        <v>9</v>
      </c>
      <c r="K2602" s="3">
        <v>69671.539999999994</v>
      </c>
      <c r="L2602" s="3">
        <f>Table1[[#This Row],[Price Per Unit]]*Table1[[#This Row],[Units Sold]]</f>
        <v>627043.86</v>
      </c>
      <c r="M2602" s="3" t="s">
        <v>989</v>
      </c>
      <c r="N2602" s="3">
        <v>38</v>
      </c>
      <c r="O2602" s="3" t="s">
        <v>54</v>
      </c>
      <c r="P2602" s="3" t="s">
        <v>21</v>
      </c>
      <c r="Q2602" s="4">
        <v>2</v>
      </c>
      <c r="R2602" s="4" t="str">
        <f>IF(Table1[[#This Row],[Customer Ratings]]&gt;=4, "Good",IF(Table1[[#This Row],[Customer Ratings]]=3, "Average","Poor"))</f>
        <v>Poor</v>
      </c>
      <c r="S2602" s="3" t="s">
        <v>25</v>
      </c>
    </row>
    <row r="2603" spans="1:19" x14ac:dyDescent="0.25">
      <c r="A2603" s="3">
        <v>2602</v>
      </c>
      <c r="B2603" s="5">
        <f>DATE(Table1[[#This Row],[Year]],Table1[[#This Row],[Month]],Table1[[#This Row],[Day]])</f>
        <v>45216</v>
      </c>
      <c r="C2603" s="3">
        <v>17</v>
      </c>
      <c r="D2603" s="3">
        <v>10</v>
      </c>
      <c r="E2603" s="3">
        <v>2023</v>
      </c>
      <c r="F2603" s="3" t="str">
        <f>"Qtr"&amp; " " &amp;CHOOSE(MONTH(Table1[[#This Row],[Date]]),1,1,1,2,2,2,3,3,3,4,4,4)</f>
        <v>Qtr 4</v>
      </c>
      <c r="G2603" s="3" t="str">
        <f>TEXT(Table1[[#This Row],[Date]],"mmmm")</f>
        <v>October</v>
      </c>
      <c r="H2603" s="3" t="s">
        <v>1082</v>
      </c>
      <c r="I2603" s="3" t="s">
        <v>33</v>
      </c>
      <c r="J2603" s="3">
        <v>4</v>
      </c>
      <c r="K2603" s="3">
        <v>67394.25</v>
      </c>
      <c r="L2603" s="3">
        <f>Table1[[#This Row],[Price Per Unit]]*Table1[[#This Row],[Units Sold]]</f>
        <v>269577</v>
      </c>
      <c r="M2603" s="3" t="s">
        <v>901</v>
      </c>
      <c r="N2603" s="3">
        <v>26</v>
      </c>
      <c r="O2603" s="3" t="s">
        <v>20</v>
      </c>
      <c r="P2603" s="3" t="s">
        <v>21</v>
      </c>
      <c r="Q2603" s="4">
        <v>5</v>
      </c>
      <c r="R2603" s="4" t="str">
        <f>IF(Table1[[#This Row],[Customer Ratings]]&gt;=4, "Good",IF(Table1[[#This Row],[Customer Ratings]]=3, "Average","Poor"))</f>
        <v>Good</v>
      </c>
      <c r="S2603" s="3" t="s">
        <v>36</v>
      </c>
    </row>
    <row r="2604" spans="1:19" x14ac:dyDescent="0.25">
      <c r="A2604" s="3">
        <v>2603</v>
      </c>
      <c r="B2604" s="5">
        <f>DATE(Table1[[#This Row],[Year]],Table1[[#This Row],[Month]],Table1[[#This Row],[Day]])</f>
        <v>45216</v>
      </c>
      <c r="C2604" s="3">
        <v>17</v>
      </c>
      <c r="D2604" s="3">
        <v>10</v>
      </c>
      <c r="E2604" s="3">
        <v>2023</v>
      </c>
      <c r="F2604" s="3" t="str">
        <f>"Qtr"&amp; " " &amp;CHOOSE(MONTH(Table1[[#This Row],[Date]]),1,1,1,2,2,2,3,3,3,4,4,4)</f>
        <v>Qtr 4</v>
      </c>
      <c r="G2604" s="3" t="str">
        <f>TEXT(Table1[[#This Row],[Date]],"mmmm")</f>
        <v>October</v>
      </c>
      <c r="H2604" s="3" t="s">
        <v>1082</v>
      </c>
      <c r="I2604" s="3" t="s">
        <v>33</v>
      </c>
      <c r="J2604" s="3">
        <v>5</v>
      </c>
      <c r="K2604" s="3">
        <v>60608.75</v>
      </c>
      <c r="L2604" s="3">
        <f>Table1[[#This Row],[Price Per Unit]]*Table1[[#This Row],[Units Sold]]</f>
        <v>303043.75</v>
      </c>
      <c r="M2604" s="3" t="s">
        <v>75</v>
      </c>
      <c r="N2604" s="3">
        <v>24</v>
      </c>
      <c r="O2604" s="3" t="s">
        <v>65</v>
      </c>
      <c r="P2604" s="3" t="s">
        <v>16</v>
      </c>
      <c r="Q2604" s="4">
        <v>5</v>
      </c>
      <c r="R2604" s="4" t="str">
        <f>IF(Table1[[#This Row],[Customer Ratings]]&gt;=4, "Good",IF(Table1[[#This Row],[Customer Ratings]]=3, "Average","Poor"))</f>
        <v>Good</v>
      </c>
      <c r="S2604" s="3" t="s">
        <v>36</v>
      </c>
    </row>
    <row r="2605" spans="1:19" x14ac:dyDescent="0.25">
      <c r="A2605" s="3">
        <v>2604</v>
      </c>
      <c r="B2605" s="5">
        <f>DATE(Table1[[#This Row],[Year]],Table1[[#This Row],[Month]],Table1[[#This Row],[Day]])</f>
        <v>45217</v>
      </c>
      <c r="C2605" s="3">
        <v>18</v>
      </c>
      <c r="D2605" s="3">
        <v>10</v>
      </c>
      <c r="E2605" s="3">
        <v>2023</v>
      </c>
      <c r="F2605" s="3" t="str">
        <f>"Qtr"&amp; " " &amp;CHOOSE(MONTH(Table1[[#This Row],[Date]]),1,1,1,2,2,2,3,3,3,4,4,4)</f>
        <v>Qtr 4</v>
      </c>
      <c r="G2605" s="3" t="str">
        <f>TEXT(Table1[[#This Row],[Date]],"mmmm")</f>
        <v>October</v>
      </c>
      <c r="H2605" s="3" t="s">
        <v>1083</v>
      </c>
      <c r="I2605" s="3" t="s">
        <v>18</v>
      </c>
      <c r="J2605" s="3">
        <v>1</v>
      </c>
      <c r="K2605" s="3">
        <v>51302.43</v>
      </c>
      <c r="L2605" s="3">
        <f>Table1[[#This Row],[Price Per Unit]]*Table1[[#This Row],[Units Sold]]</f>
        <v>51302.43</v>
      </c>
      <c r="M2605" s="3" t="s">
        <v>591</v>
      </c>
      <c r="N2605" s="3">
        <v>33</v>
      </c>
      <c r="O2605" s="3" t="s">
        <v>54</v>
      </c>
      <c r="P2605" s="3" t="s">
        <v>16</v>
      </c>
      <c r="Q2605" s="4">
        <v>2</v>
      </c>
      <c r="R2605" s="4" t="str">
        <f>IF(Table1[[#This Row],[Customer Ratings]]&gt;=4, "Good",IF(Table1[[#This Row],[Customer Ratings]]=3, "Average","Poor"))</f>
        <v>Poor</v>
      </c>
      <c r="S2605" s="3" t="s">
        <v>55</v>
      </c>
    </row>
    <row r="2606" spans="1:19" x14ac:dyDescent="0.25">
      <c r="A2606" s="3">
        <v>2605</v>
      </c>
      <c r="B2606" s="5">
        <f>DATE(Table1[[#This Row],[Year]],Table1[[#This Row],[Month]],Table1[[#This Row],[Day]])</f>
        <v>45217</v>
      </c>
      <c r="C2606" s="3">
        <v>18</v>
      </c>
      <c r="D2606" s="3">
        <v>10</v>
      </c>
      <c r="E2606" s="3">
        <v>2023</v>
      </c>
      <c r="F2606" s="3" t="str">
        <f>"Qtr"&amp; " " &amp;CHOOSE(MONTH(Table1[[#This Row],[Date]]),1,1,1,2,2,2,3,3,3,4,4,4)</f>
        <v>Qtr 4</v>
      </c>
      <c r="G2606" s="3" t="str">
        <f>TEXT(Table1[[#This Row],[Date]],"mmmm")</f>
        <v>October</v>
      </c>
      <c r="H2606" s="3" t="s">
        <v>1083</v>
      </c>
      <c r="I2606" s="3" t="s">
        <v>18</v>
      </c>
      <c r="J2606" s="3">
        <v>2</v>
      </c>
      <c r="K2606" s="3">
        <v>27691.94</v>
      </c>
      <c r="L2606" s="3">
        <f>Table1[[#This Row],[Price Per Unit]]*Table1[[#This Row],[Units Sold]]</f>
        <v>55383.88</v>
      </c>
      <c r="M2606" s="3" t="s">
        <v>578</v>
      </c>
      <c r="N2606" s="3">
        <v>40</v>
      </c>
      <c r="O2606" s="3" t="s">
        <v>58</v>
      </c>
      <c r="P2606" s="3" t="s">
        <v>16</v>
      </c>
      <c r="Q2606" s="4">
        <v>3</v>
      </c>
      <c r="R2606" s="4" t="str">
        <f>IF(Table1[[#This Row],[Customer Ratings]]&gt;=4, "Good",IF(Table1[[#This Row],[Customer Ratings]]=3, "Average","Poor"))</f>
        <v>Average</v>
      </c>
      <c r="S2606" s="3" t="s">
        <v>22</v>
      </c>
    </row>
    <row r="2607" spans="1:19" x14ac:dyDescent="0.25">
      <c r="A2607" s="3">
        <v>2606</v>
      </c>
      <c r="B2607" s="5">
        <f>DATE(Table1[[#This Row],[Year]],Table1[[#This Row],[Month]],Table1[[#This Row],[Day]])</f>
        <v>45217</v>
      </c>
      <c r="C2607" s="3">
        <v>18</v>
      </c>
      <c r="D2607" s="3">
        <v>10</v>
      </c>
      <c r="E2607" s="3">
        <v>2023</v>
      </c>
      <c r="F2607" s="3" t="str">
        <f>"Qtr"&amp; " " &amp;CHOOSE(MONTH(Table1[[#This Row],[Date]]),1,1,1,2,2,2,3,3,3,4,4,4)</f>
        <v>Qtr 4</v>
      </c>
      <c r="G2607" s="3" t="str">
        <f>TEXT(Table1[[#This Row],[Date]],"mmmm")</f>
        <v>October</v>
      </c>
      <c r="H2607" s="3" t="s">
        <v>1083</v>
      </c>
      <c r="I2607" s="3" t="s">
        <v>33</v>
      </c>
      <c r="J2607" s="3">
        <v>9</v>
      </c>
      <c r="K2607" s="3">
        <v>64804.78</v>
      </c>
      <c r="L2607" s="3">
        <f>Table1[[#This Row],[Price Per Unit]]*Table1[[#This Row],[Units Sold]]</f>
        <v>583243.02</v>
      </c>
      <c r="M2607" s="3" t="s">
        <v>990</v>
      </c>
      <c r="N2607" s="3">
        <v>40</v>
      </c>
      <c r="O2607" s="3" t="s">
        <v>58</v>
      </c>
      <c r="P2607" s="3" t="s">
        <v>21</v>
      </c>
      <c r="Q2607" s="4">
        <v>3</v>
      </c>
      <c r="R2607" s="4" t="str">
        <f>IF(Table1[[#This Row],[Customer Ratings]]&gt;=4, "Good",IF(Table1[[#This Row],[Customer Ratings]]=3, "Average","Poor"))</f>
        <v>Average</v>
      </c>
      <c r="S2607" s="3" t="s">
        <v>36</v>
      </c>
    </row>
    <row r="2608" spans="1:19" x14ac:dyDescent="0.25">
      <c r="A2608" s="3">
        <v>2607</v>
      </c>
      <c r="B2608" s="5">
        <f>DATE(Table1[[#This Row],[Year]],Table1[[#This Row],[Month]],Table1[[#This Row],[Day]])</f>
        <v>45217</v>
      </c>
      <c r="C2608" s="3">
        <v>18</v>
      </c>
      <c r="D2608" s="3">
        <v>10</v>
      </c>
      <c r="E2608" s="3">
        <v>2023</v>
      </c>
      <c r="F2608" s="3" t="str">
        <f>"Qtr"&amp; " " &amp;CHOOSE(MONTH(Table1[[#This Row],[Date]]),1,1,1,2,2,2,3,3,3,4,4,4)</f>
        <v>Qtr 4</v>
      </c>
      <c r="G2608" s="3" t="str">
        <f>TEXT(Table1[[#This Row],[Date]],"mmmm")</f>
        <v>October</v>
      </c>
      <c r="H2608" s="3" t="s">
        <v>1083</v>
      </c>
      <c r="I2608" s="3" t="s">
        <v>18</v>
      </c>
      <c r="J2608" s="3">
        <v>2</v>
      </c>
      <c r="K2608" s="3">
        <v>26533.4</v>
      </c>
      <c r="L2608" s="3">
        <f>Table1[[#This Row],[Price Per Unit]]*Table1[[#This Row],[Units Sold]]</f>
        <v>53066.8</v>
      </c>
      <c r="M2608" s="3" t="s">
        <v>690</v>
      </c>
      <c r="N2608" s="3">
        <v>48</v>
      </c>
      <c r="O2608" s="3" t="s">
        <v>20</v>
      </c>
      <c r="P2608" s="3" t="s">
        <v>45</v>
      </c>
      <c r="Q2608" s="4">
        <v>5</v>
      </c>
      <c r="R2608" s="4" t="str">
        <f>IF(Table1[[#This Row],[Customer Ratings]]&gt;=4, "Good",IF(Table1[[#This Row],[Customer Ratings]]=3, "Average","Poor"))</f>
        <v>Good</v>
      </c>
      <c r="S2608" s="3" t="s">
        <v>22</v>
      </c>
    </row>
    <row r="2609" spans="1:19" x14ac:dyDescent="0.25">
      <c r="A2609" s="3">
        <v>2608</v>
      </c>
      <c r="B2609" s="5">
        <f>DATE(Table1[[#This Row],[Year]],Table1[[#This Row],[Month]],Table1[[#This Row],[Day]])</f>
        <v>45218</v>
      </c>
      <c r="C2609" s="3">
        <v>19</v>
      </c>
      <c r="D2609" s="3">
        <v>10</v>
      </c>
      <c r="E2609" s="3">
        <v>2023</v>
      </c>
      <c r="F2609" s="3" t="str">
        <f>"Qtr"&amp; " " &amp;CHOOSE(MONTH(Table1[[#This Row],[Date]]),1,1,1,2,2,2,3,3,3,4,4,4)</f>
        <v>Qtr 4</v>
      </c>
      <c r="G2609" s="3" t="str">
        <f>TEXT(Table1[[#This Row],[Date]],"mmmm")</f>
        <v>October</v>
      </c>
      <c r="H2609" s="3" t="s">
        <v>1084</v>
      </c>
      <c r="I2609" s="3" t="s">
        <v>13</v>
      </c>
      <c r="J2609" s="3">
        <v>5</v>
      </c>
      <c r="K2609" s="3">
        <v>58048.57</v>
      </c>
      <c r="L2609" s="3">
        <f>Table1[[#This Row],[Price Per Unit]]*Table1[[#This Row],[Units Sold]]</f>
        <v>290242.84999999998</v>
      </c>
      <c r="M2609" s="3" t="s">
        <v>769</v>
      </c>
      <c r="N2609" s="3">
        <v>22</v>
      </c>
      <c r="O2609" s="3" t="s">
        <v>41</v>
      </c>
      <c r="P2609" s="3" t="s">
        <v>16</v>
      </c>
      <c r="Q2609" s="4">
        <v>3</v>
      </c>
      <c r="R2609" s="4" t="str">
        <f>IF(Table1[[#This Row],[Customer Ratings]]&gt;=4, "Good",IF(Table1[[#This Row],[Customer Ratings]]=3, "Average","Poor"))</f>
        <v>Average</v>
      </c>
      <c r="S2609" s="3" t="s">
        <v>27</v>
      </c>
    </row>
    <row r="2610" spans="1:19" x14ac:dyDescent="0.25">
      <c r="A2610" s="3">
        <v>2609</v>
      </c>
      <c r="B2610" s="5">
        <f>DATE(Table1[[#This Row],[Year]],Table1[[#This Row],[Month]],Table1[[#This Row],[Day]])</f>
        <v>45218</v>
      </c>
      <c r="C2610" s="3">
        <v>19</v>
      </c>
      <c r="D2610" s="3">
        <v>10</v>
      </c>
      <c r="E2610" s="3">
        <v>2023</v>
      </c>
      <c r="F2610" s="3" t="str">
        <f>"Qtr"&amp; " " &amp;CHOOSE(MONTH(Table1[[#This Row],[Date]]),1,1,1,2,2,2,3,3,3,4,4,4)</f>
        <v>Qtr 4</v>
      </c>
      <c r="G2610" s="3" t="str">
        <f>TEXT(Table1[[#This Row],[Date]],"mmmm")</f>
        <v>October</v>
      </c>
      <c r="H2610" s="3" t="s">
        <v>1084</v>
      </c>
      <c r="I2610" s="3" t="s">
        <v>28</v>
      </c>
      <c r="J2610" s="3">
        <v>8</v>
      </c>
      <c r="K2610" s="3">
        <v>65095.49</v>
      </c>
      <c r="L2610" s="3">
        <f>Table1[[#This Row],[Price Per Unit]]*Table1[[#This Row],[Units Sold]]</f>
        <v>520763.92</v>
      </c>
      <c r="M2610" s="3" t="s">
        <v>299</v>
      </c>
      <c r="N2610" s="3">
        <v>23</v>
      </c>
      <c r="O2610" s="3" t="s">
        <v>20</v>
      </c>
      <c r="P2610" s="3" t="s">
        <v>16</v>
      </c>
      <c r="Q2610" s="4">
        <v>5</v>
      </c>
      <c r="R2610" s="4" t="str">
        <f>IF(Table1[[#This Row],[Customer Ratings]]&gt;=4, "Good",IF(Table1[[#This Row],[Customer Ratings]]=3, "Average","Poor"))</f>
        <v>Good</v>
      </c>
      <c r="S2610" s="3" t="s">
        <v>87</v>
      </c>
    </row>
    <row r="2611" spans="1:19" x14ac:dyDescent="0.25">
      <c r="A2611" s="3">
        <v>2610</v>
      </c>
      <c r="B2611" s="5">
        <f>DATE(Table1[[#This Row],[Year]],Table1[[#This Row],[Month]],Table1[[#This Row],[Day]])</f>
        <v>45218</v>
      </c>
      <c r="C2611" s="3">
        <v>19</v>
      </c>
      <c r="D2611" s="3">
        <v>10</v>
      </c>
      <c r="E2611" s="3">
        <v>2023</v>
      </c>
      <c r="F2611" s="3" t="str">
        <f>"Qtr"&amp; " " &amp;CHOOSE(MONTH(Table1[[#This Row],[Date]]),1,1,1,2,2,2,3,3,3,4,4,4)</f>
        <v>Qtr 4</v>
      </c>
      <c r="G2611" s="3" t="str">
        <f>TEXT(Table1[[#This Row],[Date]],"mmmm")</f>
        <v>October</v>
      </c>
      <c r="H2611" s="3" t="s">
        <v>1084</v>
      </c>
      <c r="I2611" s="3" t="s">
        <v>28</v>
      </c>
      <c r="J2611" s="3">
        <v>3</v>
      </c>
      <c r="K2611" s="3">
        <v>46180.23</v>
      </c>
      <c r="L2611" s="3">
        <f>Table1[[#This Row],[Price Per Unit]]*Table1[[#This Row],[Units Sold]]</f>
        <v>138540.69</v>
      </c>
      <c r="M2611" s="3" t="s">
        <v>598</v>
      </c>
      <c r="N2611" s="3">
        <v>18</v>
      </c>
      <c r="O2611" s="3" t="s">
        <v>20</v>
      </c>
      <c r="P2611" s="3" t="s">
        <v>45</v>
      </c>
      <c r="Q2611" s="4">
        <v>3</v>
      </c>
      <c r="R2611" s="4" t="str">
        <f>IF(Table1[[#This Row],[Customer Ratings]]&gt;=4, "Good",IF(Table1[[#This Row],[Customer Ratings]]=3, "Average","Poor"))</f>
        <v>Average</v>
      </c>
      <c r="S2611" s="3" t="s">
        <v>87</v>
      </c>
    </row>
    <row r="2612" spans="1:19" x14ac:dyDescent="0.25">
      <c r="A2612" s="3">
        <v>2611</v>
      </c>
      <c r="B2612" s="5">
        <f>DATE(Table1[[#This Row],[Year]],Table1[[#This Row],[Month]],Table1[[#This Row],[Day]])</f>
        <v>45219</v>
      </c>
      <c r="C2612" s="3">
        <v>20</v>
      </c>
      <c r="D2612" s="3">
        <v>10</v>
      </c>
      <c r="E2612" s="3">
        <v>2023</v>
      </c>
      <c r="F2612" s="3" t="str">
        <f>"Qtr"&amp; " " &amp;CHOOSE(MONTH(Table1[[#This Row],[Date]]),1,1,1,2,2,2,3,3,3,4,4,4)</f>
        <v>Qtr 4</v>
      </c>
      <c r="G2612" s="3" t="str">
        <f>TEXT(Table1[[#This Row],[Date]],"mmmm")</f>
        <v>October</v>
      </c>
      <c r="H2612" s="3" t="s">
        <v>1085</v>
      </c>
      <c r="I2612" s="3" t="s">
        <v>28</v>
      </c>
      <c r="J2612" s="3">
        <v>6</v>
      </c>
      <c r="K2612" s="3">
        <v>58183.37</v>
      </c>
      <c r="L2612" s="3">
        <f>Table1[[#This Row],[Price Per Unit]]*Table1[[#This Row],[Units Sold]]</f>
        <v>349100.22000000003</v>
      </c>
      <c r="M2612" s="3" t="s">
        <v>68</v>
      </c>
      <c r="N2612" s="3">
        <v>45</v>
      </c>
      <c r="O2612" s="3" t="s">
        <v>35</v>
      </c>
      <c r="P2612" s="3" t="s">
        <v>31</v>
      </c>
      <c r="Q2612" s="4">
        <v>4</v>
      </c>
      <c r="R2612" s="4" t="str">
        <f>IF(Table1[[#This Row],[Customer Ratings]]&gt;=4, "Good",IF(Table1[[#This Row],[Customer Ratings]]=3, "Average","Poor"))</f>
        <v>Good</v>
      </c>
      <c r="S2612" s="3" t="s">
        <v>38</v>
      </c>
    </row>
    <row r="2613" spans="1:19" x14ac:dyDescent="0.25">
      <c r="A2613" s="3">
        <v>2612</v>
      </c>
      <c r="B2613" s="5">
        <f>DATE(Table1[[#This Row],[Year]],Table1[[#This Row],[Month]],Table1[[#This Row],[Day]])</f>
        <v>45219</v>
      </c>
      <c r="C2613" s="3">
        <v>20</v>
      </c>
      <c r="D2613" s="3">
        <v>10</v>
      </c>
      <c r="E2613" s="3">
        <v>2023</v>
      </c>
      <c r="F2613" s="3" t="str">
        <f>"Qtr"&amp; " " &amp;CHOOSE(MONTH(Table1[[#This Row],[Date]]),1,1,1,2,2,2,3,3,3,4,4,4)</f>
        <v>Qtr 4</v>
      </c>
      <c r="G2613" s="3" t="str">
        <f>TEXT(Table1[[#This Row],[Date]],"mmmm")</f>
        <v>October</v>
      </c>
      <c r="H2613" s="3" t="s">
        <v>1085</v>
      </c>
      <c r="I2613" s="3" t="s">
        <v>13</v>
      </c>
      <c r="J2613" s="3">
        <v>4</v>
      </c>
      <c r="K2613" s="3">
        <v>57501.71</v>
      </c>
      <c r="L2613" s="3">
        <f>Table1[[#This Row],[Price Per Unit]]*Table1[[#This Row],[Units Sold]]</f>
        <v>230006.84</v>
      </c>
      <c r="M2613" s="3" t="s">
        <v>916</v>
      </c>
      <c r="N2613" s="3">
        <v>35</v>
      </c>
      <c r="O2613" s="3" t="s">
        <v>20</v>
      </c>
      <c r="P2613" s="3" t="s">
        <v>16</v>
      </c>
      <c r="Q2613" s="4">
        <v>2</v>
      </c>
      <c r="R2613" s="4" t="str">
        <f>IF(Table1[[#This Row],[Customer Ratings]]&gt;=4, "Good",IF(Table1[[#This Row],[Customer Ratings]]=3, "Average","Poor"))</f>
        <v>Poor</v>
      </c>
      <c r="S2613" s="3" t="s">
        <v>72</v>
      </c>
    </row>
    <row r="2614" spans="1:19" x14ac:dyDescent="0.25">
      <c r="A2614" s="3">
        <v>2613</v>
      </c>
      <c r="B2614" s="5">
        <f>DATE(Table1[[#This Row],[Year]],Table1[[#This Row],[Month]],Table1[[#This Row],[Day]])</f>
        <v>45219</v>
      </c>
      <c r="C2614" s="3">
        <v>20</v>
      </c>
      <c r="D2614" s="3">
        <v>10</v>
      </c>
      <c r="E2614" s="3">
        <v>2023</v>
      </c>
      <c r="F2614" s="3" t="str">
        <f>"Qtr"&amp; " " &amp;CHOOSE(MONTH(Table1[[#This Row],[Date]]),1,1,1,2,2,2,3,3,3,4,4,4)</f>
        <v>Qtr 4</v>
      </c>
      <c r="G2614" s="3" t="str">
        <f>TEXT(Table1[[#This Row],[Date]],"mmmm")</f>
        <v>October</v>
      </c>
      <c r="H2614" s="3" t="s">
        <v>1085</v>
      </c>
      <c r="I2614" s="3" t="s">
        <v>18</v>
      </c>
      <c r="J2614" s="3">
        <v>7</v>
      </c>
      <c r="K2614" s="3">
        <v>21589.47</v>
      </c>
      <c r="L2614" s="3">
        <f>Table1[[#This Row],[Price Per Unit]]*Table1[[#This Row],[Units Sold]]</f>
        <v>151126.29</v>
      </c>
      <c r="M2614" s="3" t="s">
        <v>794</v>
      </c>
      <c r="N2614" s="3">
        <v>41</v>
      </c>
      <c r="O2614" s="3" t="s">
        <v>24</v>
      </c>
      <c r="P2614" s="3" t="s">
        <v>21</v>
      </c>
      <c r="Q2614" s="4">
        <v>5</v>
      </c>
      <c r="R2614" s="4" t="str">
        <f>IF(Table1[[#This Row],[Customer Ratings]]&gt;=4, "Good",IF(Table1[[#This Row],[Customer Ratings]]=3, "Average","Poor"))</f>
        <v>Good</v>
      </c>
      <c r="S2614" s="3" t="s">
        <v>22</v>
      </c>
    </row>
    <row r="2615" spans="1:19" x14ac:dyDescent="0.25">
      <c r="A2615" s="3">
        <v>2614</v>
      </c>
      <c r="B2615" s="5">
        <f>DATE(Table1[[#This Row],[Year]],Table1[[#This Row],[Month]],Table1[[#This Row],[Day]])</f>
        <v>45219</v>
      </c>
      <c r="C2615" s="3">
        <v>20</v>
      </c>
      <c r="D2615" s="3">
        <v>10</v>
      </c>
      <c r="E2615" s="3">
        <v>2023</v>
      </c>
      <c r="F2615" s="3" t="str">
        <f>"Qtr"&amp; " " &amp;CHOOSE(MONTH(Table1[[#This Row],[Date]]),1,1,1,2,2,2,3,3,3,4,4,4)</f>
        <v>Qtr 4</v>
      </c>
      <c r="G2615" s="3" t="str">
        <f>TEXT(Table1[[#This Row],[Date]],"mmmm")</f>
        <v>October</v>
      </c>
      <c r="H2615" s="3" t="s">
        <v>1085</v>
      </c>
      <c r="I2615" s="3" t="s">
        <v>39</v>
      </c>
      <c r="J2615" s="3">
        <v>3</v>
      </c>
      <c r="K2615" s="3">
        <v>50075.47</v>
      </c>
      <c r="L2615" s="3">
        <f>Table1[[#This Row],[Price Per Unit]]*Table1[[#This Row],[Units Sold]]</f>
        <v>150226.41</v>
      </c>
      <c r="M2615" s="3" t="s">
        <v>270</v>
      </c>
      <c r="N2615" s="3">
        <v>30</v>
      </c>
      <c r="O2615" s="3" t="s">
        <v>24</v>
      </c>
      <c r="P2615" s="3" t="s">
        <v>21</v>
      </c>
      <c r="Q2615" s="4">
        <v>4</v>
      </c>
      <c r="R2615" s="4" t="str">
        <f>IF(Table1[[#This Row],[Customer Ratings]]&gt;=4, "Good",IF(Table1[[#This Row],[Customer Ratings]]=3, "Average","Poor"))</f>
        <v>Good</v>
      </c>
      <c r="S2615" s="3" t="s">
        <v>76</v>
      </c>
    </row>
    <row r="2616" spans="1:19" x14ac:dyDescent="0.25">
      <c r="A2616" s="3">
        <v>2615</v>
      </c>
      <c r="B2616" s="5">
        <f>DATE(Table1[[#This Row],[Year]],Table1[[#This Row],[Month]],Table1[[#This Row],[Day]])</f>
        <v>45220</v>
      </c>
      <c r="C2616" s="3">
        <v>21</v>
      </c>
      <c r="D2616" s="3">
        <v>10</v>
      </c>
      <c r="E2616" s="3">
        <v>2023</v>
      </c>
      <c r="F2616" s="3" t="str">
        <f>"Qtr"&amp; " " &amp;CHOOSE(MONTH(Table1[[#This Row],[Date]]),1,1,1,2,2,2,3,3,3,4,4,4)</f>
        <v>Qtr 4</v>
      </c>
      <c r="G2616" s="3" t="str">
        <f>TEXT(Table1[[#This Row],[Date]],"mmmm")</f>
        <v>October</v>
      </c>
      <c r="H2616" s="3" t="s">
        <v>1079</v>
      </c>
      <c r="I2616" s="3" t="s">
        <v>18</v>
      </c>
      <c r="J2616" s="3">
        <v>6</v>
      </c>
      <c r="K2616" s="3">
        <v>15608.08</v>
      </c>
      <c r="L2616" s="3">
        <f>Table1[[#This Row],[Price Per Unit]]*Table1[[#This Row],[Units Sold]]</f>
        <v>93648.48</v>
      </c>
      <c r="M2616" s="3" t="s">
        <v>262</v>
      </c>
      <c r="N2616" s="3">
        <v>50</v>
      </c>
      <c r="O2616" s="3" t="s">
        <v>24</v>
      </c>
      <c r="P2616" s="3" t="s">
        <v>16</v>
      </c>
      <c r="Q2616" s="4">
        <v>3</v>
      </c>
      <c r="R2616" s="4" t="str">
        <f>IF(Table1[[#This Row],[Customer Ratings]]&gt;=4, "Good",IF(Table1[[#This Row],[Customer Ratings]]=3, "Average","Poor"))</f>
        <v>Average</v>
      </c>
      <c r="S2616" s="3" t="s">
        <v>55</v>
      </c>
    </row>
    <row r="2617" spans="1:19" x14ac:dyDescent="0.25">
      <c r="A2617" s="3">
        <v>2616</v>
      </c>
      <c r="B2617" s="5">
        <f>DATE(Table1[[#This Row],[Year]],Table1[[#This Row],[Month]],Table1[[#This Row],[Day]])</f>
        <v>45220</v>
      </c>
      <c r="C2617" s="3">
        <v>21</v>
      </c>
      <c r="D2617" s="3">
        <v>10</v>
      </c>
      <c r="E2617" s="3">
        <v>2023</v>
      </c>
      <c r="F2617" s="3" t="str">
        <f>"Qtr"&amp; " " &amp;CHOOSE(MONTH(Table1[[#This Row],[Date]]),1,1,1,2,2,2,3,3,3,4,4,4)</f>
        <v>Qtr 4</v>
      </c>
      <c r="G2617" s="3" t="str">
        <f>TEXT(Table1[[#This Row],[Date]],"mmmm")</f>
        <v>October</v>
      </c>
      <c r="H2617" s="3" t="s">
        <v>1079</v>
      </c>
      <c r="I2617" s="3" t="s">
        <v>33</v>
      </c>
      <c r="J2617" s="3">
        <v>9</v>
      </c>
      <c r="K2617" s="3">
        <v>40471.01</v>
      </c>
      <c r="L2617" s="3">
        <f>Table1[[#This Row],[Price Per Unit]]*Table1[[#This Row],[Units Sold]]</f>
        <v>364239.09</v>
      </c>
      <c r="M2617" s="3" t="s">
        <v>911</v>
      </c>
      <c r="N2617" s="3">
        <v>27</v>
      </c>
      <c r="O2617" s="3" t="s">
        <v>20</v>
      </c>
      <c r="P2617" s="3" t="s">
        <v>21</v>
      </c>
      <c r="Q2617" s="4">
        <v>5</v>
      </c>
      <c r="R2617" s="4" t="str">
        <f>IF(Table1[[#This Row],[Customer Ratings]]&gt;=4, "Good",IF(Table1[[#This Row],[Customer Ratings]]=3, "Average","Poor"))</f>
        <v>Good</v>
      </c>
      <c r="S2617" s="3" t="s">
        <v>83</v>
      </c>
    </row>
    <row r="2618" spans="1:19" x14ac:dyDescent="0.25">
      <c r="A2618" s="3">
        <v>2617</v>
      </c>
      <c r="B2618" s="5">
        <f>DATE(Table1[[#This Row],[Year]],Table1[[#This Row],[Month]],Table1[[#This Row],[Day]])</f>
        <v>45220</v>
      </c>
      <c r="C2618" s="3">
        <v>21</v>
      </c>
      <c r="D2618" s="3">
        <v>10</v>
      </c>
      <c r="E2618" s="3">
        <v>2023</v>
      </c>
      <c r="F2618" s="3" t="str">
        <f>"Qtr"&amp; " " &amp;CHOOSE(MONTH(Table1[[#This Row],[Date]]),1,1,1,2,2,2,3,3,3,4,4,4)</f>
        <v>Qtr 4</v>
      </c>
      <c r="G2618" s="3" t="str">
        <f>TEXT(Table1[[#This Row],[Date]],"mmmm")</f>
        <v>October</v>
      </c>
      <c r="H2618" s="3" t="s">
        <v>1079</v>
      </c>
      <c r="I2618" s="3" t="s">
        <v>28</v>
      </c>
      <c r="J2618" s="3">
        <v>1</v>
      </c>
      <c r="K2618" s="3">
        <v>19734.13</v>
      </c>
      <c r="L2618" s="3">
        <f>Table1[[#This Row],[Price Per Unit]]*Table1[[#This Row],[Units Sold]]</f>
        <v>19734.13</v>
      </c>
      <c r="M2618" s="3" t="s">
        <v>983</v>
      </c>
      <c r="N2618" s="3">
        <v>24</v>
      </c>
      <c r="O2618" s="3" t="s">
        <v>30</v>
      </c>
      <c r="P2618" s="3" t="s">
        <v>45</v>
      </c>
      <c r="Q2618" s="4">
        <v>4</v>
      </c>
      <c r="R2618" s="4" t="str">
        <f>IF(Table1[[#This Row],[Customer Ratings]]&gt;=4, "Good",IF(Table1[[#This Row],[Customer Ratings]]=3, "Average","Poor"))</f>
        <v>Good</v>
      </c>
      <c r="S2618" s="3" t="s">
        <v>87</v>
      </c>
    </row>
    <row r="2619" spans="1:19" x14ac:dyDescent="0.25">
      <c r="A2619" s="3">
        <v>2618</v>
      </c>
      <c r="B2619" s="5">
        <f>DATE(Table1[[#This Row],[Year]],Table1[[#This Row],[Month]],Table1[[#This Row],[Day]])</f>
        <v>45220</v>
      </c>
      <c r="C2619" s="3">
        <v>21</v>
      </c>
      <c r="D2619" s="3">
        <v>10</v>
      </c>
      <c r="E2619" s="3">
        <v>2023</v>
      </c>
      <c r="F2619" s="3" t="str">
        <f>"Qtr"&amp; " " &amp;CHOOSE(MONTH(Table1[[#This Row],[Date]]),1,1,1,2,2,2,3,3,3,4,4,4)</f>
        <v>Qtr 4</v>
      </c>
      <c r="G2619" s="3" t="str">
        <f>TEXT(Table1[[#This Row],[Date]],"mmmm")</f>
        <v>October</v>
      </c>
      <c r="H2619" s="3" t="s">
        <v>1079</v>
      </c>
      <c r="I2619" s="3" t="s">
        <v>18</v>
      </c>
      <c r="J2619" s="3">
        <v>3</v>
      </c>
      <c r="K2619" s="3">
        <v>34980.97</v>
      </c>
      <c r="L2619" s="3">
        <f>Table1[[#This Row],[Price Per Unit]]*Table1[[#This Row],[Units Sold]]</f>
        <v>104942.91</v>
      </c>
      <c r="M2619" s="3" t="s">
        <v>834</v>
      </c>
      <c r="N2619" s="3">
        <v>54</v>
      </c>
      <c r="O2619" s="3" t="s">
        <v>20</v>
      </c>
      <c r="P2619" s="3" t="s">
        <v>31</v>
      </c>
      <c r="Q2619" s="4">
        <v>2</v>
      </c>
      <c r="R2619" s="4" t="str">
        <f>IF(Table1[[#This Row],[Customer Ratings]]&gt;=4, "Good",IF(Table1[[#This Row],[Customer Ratings]]=3, "Average","Poor"))</f>
        <v>Poor</v>
      </c>
      <c r="S2619" s="3" t="s">
        <v>22</v>
      </c>
    </row>
    <row r="2620" spans="1:19" x14ac:dyDescent="0.25">
      <c r="A2620" s="3">
        <v>2619</v>
      </c>
      <c r="B2620" s="5">
        <f>DATE(Table1[[#This Row],[Year]],Table1[[#This Row],[Month]],Table1[[#This Row],[Day]])</f>
        <v>45221</v>
      </c>
      <c r="C2620" s="3">
        <v>22</v>
      </c>
      <c r="D2620" s="3">
        <v>10</v>
      </c>
      <c r="E2620" s="3">
        <v>2023</v>
      </c>
      <c r="F2620" s="3" t="str">
        <f>"Qtr"&amp; " " &amp;CHOOSE(MONTH(Table1[[#This Row],[Date]]),1,1,1,2,2,2,3,3,3,4,4,4)</f>
        <v>Qtr 4</v>
      </c>
      <c r="G2620" s="3" t="str">
        <f>TEXT(Table1[[#This Row],[Date]],"mmmm")</f>
        <v>October</v>
      </c>
      <c r="H2620" s="3" t="s">
        <v>1080</v>
      </c>
      <c r="I2620" s="3" t="s">
        <v>39</v>
      </c>
      <c r="J2620" s="3">
        <v>2</v>
      </c>
      <c r="K2620" s="3">
        <v>59978.92</v>
      </c>
      <c r="L2620" s="3">
        <f>Table1[[#This Row],[Price Per Unit]]*Table1[[#This Row],[Units Sold]]</f>
        <v>119957.84</v>
      </c>
      <c r="M2620" s="3" t="s">
        <v>955</v>
      </c>
      <c r="N2620" s="3">
        <v>49</v>
      </c>
      <c r="O2620" s="3" t="s">
        <v>98</v>
      </c>
      <c r="P2620" s="3" t="s">
        <v>31</v>
      </c>
      <c r="Q2620" s="4">
        <v>5</v>
      </c>
      <c r="R2620" s="4" t="str">
        <f>IF(Table1[[#This Row],[Customer Ratings]]&gt;=4, "Good",IF(Table1[[#This Row],[Customer Ratings]]=3, "Average","Poor"))</f>
        <v>Good</v>
      </c>
      <c r="S2620" s="3" t="s">
        <v>76</v>
      </c>
    </row>
    <row r="2621" spans="1:19" x14ac:dyDescent="0.25">
      <c r="A2621" s="3">
        <v>2620</v>
      </c>
      <c r="B2621" s="5">
        <f>DATE(Table1[[#This Row],[Year]],Table1[[#This Row],[Month]],Table1[[#This Row],[Day]])</f>
        <v>45221</v>
      </c>
      <c r="C2621" s="3">
        <v>22</v>
      </c>
      <c r="D2621" s="3">
        <v>10</v>
      </c>
      <c r="E2621" s="3">
        <v>2023</v>
      </c>
      <c r="F2621" s="3" t="str">
        <f>"Qtr"&amp; " " &amp;CHOOSE(MONTH(Table1[[#This Row],[Date]]),1,1,1,2,2,2,3,3,3,4,4,4)</f>
        <v>Qtr 4</v>
      </c>
      <c r="G2621" s="3" t="str">
        <f>TEXT(Table1[[#This Row],[Date]],"mmmm")</f>
        <v>October</v>
      </c>
      <c r="H2621" s="3" t="s">
        <v>1080</v>
      </c>
      <c r="I2621" s="3" t="s">
        <v>33</v>
      </c>
      <c r="J2621" s="3">
        <v>8</v>
      </c>
      <c r="K2621" s="3">
        <v>69230.070000000007</v>
      </c>
      <c r="L2621" s="3">
        <f>Table1[[#This Row],[Price Per Unit]]*Table1[[#This Row],[Units Sold]]</f>
        <v>553840.56000000006</v>
      </c>
      <c r="M2621" s="3" t="s">
        <v>554</v>
      </c>
      <c r="N2621" s="3">
        <v>39</v>
      </c>
      <c r="O2621" s="3" t="s">
        <v>125</v>
      </c>
      <c r="P2621" s="3" t="s">
        <v>16</v>
      </c>
      <c r="Q2621" s="4">
        <v>5</v>
      </c>
      <c r="R2621" s="4" t="str">
        <f>IF(Table1[[#This Row],[Customer Ratings]]&gt;=4, "Good",IF(Table1[[#This Row],[Customer Ratings]]=3, "Average","Poor"))</f>
        <v>Good</v>
      </c>
      <c r="S2621" s="3" t="s">
        <v>83</v>
      </c>
    </row>
    <row r="2622" spans="1:19" x14ac:dyDescent="0.25">
      <c r="A2622" s="3">
        <v>2621</v>
      </c>
      <c r="B2622" s="5">
        <f>DATE(Table1[[#This Row],[Year]],Table1[[#This Row],[Month]],Table1[[#This Row],[Day]])</f>
        <v>45221</v>
      </c>
      <c r="C2622" s="3">
        <v>22</v>
      </c>
      <c r="D2622" s="3">
        <v>10</v>
      </c>
      <c r="E2622" s="3">
        <v>2023</v>
      </c>
      <c r="F2622" s="3" t="str">
        <f>"Qtr"&amp; " " &amp;CHOOSE(MONTH(Table1[[#This Row],[Date]]),1,1,1,2,2,2,3,3,3,4,4,4)</f>
        <v>Qtr 4</v>
      </c>
      <c r="G2622" s="3" t="str">
        <f>TEXT(Table1[[#This Row],[Date]],"mmmm")</f>
        <v>October</v>
      </c>
      <c r="H2622" s="3" t="s">
        <v>1080</v>
      </c>
      <c r="I2622" s="3" t="s">
        <v>13</v>
      </c>
      <c r="J2622" s="3">
        <v>7</v>
      </c>
      <c r="K2622" s="3">
        <v>29077.59</v>
      </c>
      <c r="L2622" s="3">
        <f>Table1[[#This Row],[Price Per Unit]]*Table1[[#This Row],[Units Sold]]</f>
        <v>203543.13</v>
      </c>
      <c r="M2622" s="3" t="s">
        <v>991</v>
      </c>
      <c r="N2622" s="3">
        <v>33</v>
      </c>
      <c r="O2622" s="3" t="s">
        <v>20</v>
      </c>
      <c r="P2622" s="3" t="s">
        <v>16</v>
      </c>
      <c r="Q2622" s="4">
        <v>2</v>
      </c>
      <c r="R2622" s="4" t="str">
        <f>IF(Table1[[#This Row],[Customer Ratings]]&gt;=4, "Good",IF(Table1[[#This Row],[Customer Ratings]]=3, "Average","Poor"))</f>
        <v>Poor</v>
      </c>
      <c r="S2622" s="3" t="s">
        <v>27</v>
      </c>
    </row>
    <row r="2623" spans="1:19" x14ac:dyDescent="0.25">
      <c r="A2623" s="3">
        <v>2622</v>
      </c>
      <c r="B2623" s="5">
        <f>DATE(Table1[[#This Row],[Year]],Table1[[#This Row],[Month]],Table1[[#This Row],[Day]])</f>
        <v>45222</v>
      </c>
      <c r="C2623" s="3">
        <v>23</v>
      </c>
      <c r="D2623" s="3">
        <v>10</v>
      </c>
      <c r="E2623" s="3">
        <v>2023</v>
      </c>
      <c r="F2623" s="3" t="str">
        <f>"Qtr"&amp; " " &amp;CHOOSE(MONTH(Table1[[#This Row],[Date]]),1,1,1,2,2,2,3,3,3,4,4,4)</f>
        <v>Qtr 4</v>
      </c>
      <c r="G2623" s="3" t="str">
        <f>TEXT(Table1[[#This Row],[Date]],"mmmm")</f>
        <v>October</v>
      </c>
      <c r="H2623" s="3" t="s">
        <v>1081</v>
      </c>
      <c r="I2623" s="3" t="s">
        <v>13</v>
      </c>
      <c r="J2623" s="3">
        <v>2</v>
      </c>
      <c r="K2623" s="3">
        <v>41917.339999999997</v>
      </c>
      <c r="L2623" s="3">
        <f>Table1[[#This Row],[Price Per Unit]]*Table1[[#This Row],[Units Sold]]</f>
        <v>83834.679999999993</v>
      </c>
      <c r="M2623" s="3" t="s">
        <v>874</v>
      </c>
      <c r="N2623" s="3">
        <v>41</v>
      </c>
      <c r="O2623" s="3" t="s">
        <v>120</v>
      </c>
      <c r="P2623" s="3" t="s">
        <v>31</v>
      </c>
      <c r="Q2623" s="4">
        <v>4</v>
      </c>
      <c r="R2623" s="4" t="str">
        <f>IF(Table1[[#This Row],[Customer Ratings]]&gt;=4, "Good",IF(Table1[[#This Row],[Customer Ratings]]=3, "Average","Poor"))</f>
        <v>Good</v>
      </c>
      <c r="S2623" s="3" t="s">
        <v>17</v>
      </c>
    </row>
    <row r="2624" spans="1:19" x14ac:dyDescent="0.25">
      <c r="A2624" s="3">
        <v>2623</v>
      </c>
      <c r="B2624" s="5">
        <f>DATE(Table1[[#This Row],[Year]],Table1[[#This Row],[Month]],Table1[[#This Row],[Day]])</f>
        <v>45222</v>
      </c>
      <c r="C2624" s="3">
        <v>23</v>
      </c>
      <c r="D2624" s="3">
        <v>10</v>
      </c>
      <c r="E2624" s="3">
        <v>2023</v>
      </c>
      <c r="F2624" s="3" t="str">
        <f>"Qtr"&amp; " " &amp;CHOOSE(MONTH(Table1[[#This Row],[Date]]),1,1,1,2,2,2,3,3,3,4,4,4)</f>
        <v>Qtr 4</v>
      </c>
      <c r="G2624" s="3" t="str">
        <f>TEXT(Table1[[#This Row],[Date]],"mmmm")</f>
        <v>October</v>
      </c>
      <c r="H2624" s="3" t="s">
        <v>1081</v>
      </c>
      <c r="I2624" s="3" t="s">
        <v>39</v>
      </c>
      <c r="J2624" s="3">
        <v>6</v>
      </c>
      <c r="K2624" s="3">
        <v>40677.879999999997</v>
      </c>
      <c r="L2624" s="3">
        <f>Table1[[#This Row],[Price Per Unit]]*Table1[[#This Row],[Units Sold]]</f>
        <v>244067.27999999997</v>
      </c>
      <c r="M2624" s="3" t="s">
        <v>944</v>
      </c>
      <c r="N2624" s="3">
        <v>31</v>
      </c>
      <c r="O2624" s="3" t="s">
        <v>41</v>
      </c>
      <c r="P2624" s="3" t="s">
        <v>31</v>
      </c>
      <c r="Q2624" s="4">
        <v>5</v>
      </c>
      <c r="R2624" s="4" t="str">
        <f>IF(Table1[[#This Row],[Customer Ratings]]&gt;=4, "Good",IF(Table1[[#This Row],[Customer Ratings]]=3, "Average","Poor"))</f>
        <v>Good</v>
      </c>
      <c r="S2624" s="3" t="s">
        <v>76</v>
      </c>
    </row>
    <row r="2625" spans="1:19" x14ac:dyDescent="0.25">
      <c r="A2625" s="3">
        <v>2624</v>
      </c>
      <c r="B2625" s="5">
        <f>DATE(Table1[[#This Row],[Year]],Table1[[#This Row],[Month]],Table1[[#This Row],[Day]])</f>
        <v>45222</v>
      </c>
      <c r="C2625" s="3">
        <v>23</v>
      </c>
      <c r="D2625" s="3">
        <v>10</v>
      </c>
      <c r="E2625" s="3">
        <v>2023</v>
      </c>
      <c r="F2625" s="3" t="str">
        <f>"Qtr"&amp; " " &amp;CHOOSE(MONTH(Table1[[#This Row],[Date]]),1,1,1,2,2,2,3,3,3,4,4,4)</f>
        <v>Qtr 4</v>
      </c>
      <c r="G2625" s="3" t="str">
        <f>TEXT(Table1[[#This Row],[Date]],"mmmm")</f>
        <v>October</v>
      </c>
      <c r="H2625" s="3" t="s">
        <v>1081</v>
      </c>
      <c r="I2625" s="3" t="s">
        <v>33</v>
      </c>
      <c r="J2625" s="3">
        <v>3</v>
      </c>
      <c r="K2625" s="3">
        <v>67264.09</v>
      </c>
      <c r="L2625" s="3">
        <f>Table1[[#This Row],[Price Per Unit]]*Table1[[#This Row],[Units Sold]]</f>
        <v>201792.27</v>
      </c>
      <c r="M2625" s="3" t="s">
        <v>992</v>
      </c>
      <c r="N2625" s="3">
        <v>28</v>
      </c>
      <c r="O2625" s="3" t="s">
        <v>24</v>
      </c>
      <c r="P2625" s="3" t="s">
        <v>16</v>
      </c>
      <c r="Q2625" s="4">
        <v>2</v>
      </c>
      <c r="R2625" s="4" t="str">
        <f>IF(Table1[[#This Row],[Customer Ratings]]&gt;=4, "Good",IF(Table1[[#This Row],[Customer Ratings]]=3, "Average","Poor"))</f>
        <v>Poor</v>
      </c>
      <c r="S2625" s="3" t="s">
        <v>36</v>
      </c>
    </row>
    <row r="2626" spans="1:19" x14ac:dyDescent="0.25">
      <c r="A2626" s="3">
        <v>2625</v>
      </c>
      <c r="B2626" s="5">
        <f>DATE(Table1[[#This Row],[Year]],Table1[[#This Row],[Month]],Table1[[#This Row],[Day]])</f>
        <v>45223</v>
      </c>
      <c r="C2626" s="3">
        <v>24</v>
      </c>
      <c r="D2626" s="3">
        <v>10</v>
      </c>
      <c r="E2626" s="3">
        <v>2023</v>
      </c>
      <c r="F2626" s="3" t="str">
        <f>"Qtr"&amp; " " &amp;CHOOSE(MONTH(Table1[[#This Row],[Date]]),1,1,1,2,2,2,3,3,3,4,4,4)</f>
        <v>Qtr 4</v>
      </c>
      <c r="G2626" s="3" t="str">
        <f>TEXT(Table1[[#This Row],[Date]],"mmmm")</f>
        <v>October</v>
      </c>
      <c r="H2626" s="3" t="s">
        <v>1082</v>
      </c>
      <c r="I2626" s="3" t="s">
        <v>28</v>
      </c>
      <c r="J2626" s="3">
        <v>8</v>
      </c>
      <c r="K2626" s="3">
        <v>38715.019999999997</v>
      </c>
      <c r="L2626" s="3">
        <f>Table1[[#This Row],[Price Per Unit]]*Table1[[#This Row],[Units Sold]]</f>
        <v>309720.15999999997</v>
      </c>
      <c r="M2626" s="3" t="s">
        <v>361</v>
      </c>
      <c r="N2626" s="3">
        <v>36</v>
      </c>
      <c r="O2626" s="3" t="s">
        <v>20</v>
      </c>
      <c r="P2626" s="3" t="s">
        <v>21</v>
      </c>
      <c r="Q2626" s="4">
        <v>4</v>
      </c>
      <c r="R2626" s="4" t="str">
        <f>IF(Table1[[#This Row],[Customer Ratings]]&gt;=4, "Good",IF(Table1[[#This Row],[Customer Ratings]]=3, "Average","Poor"))</f>
        <v>Good</v>
      </c>
      <c r="S2626" s="3" t="s">
        <v>87</v>
      </c>
    </row>
    <row r="2627" spans="1:19" x14ac:dyDescent="0.25">
      <c r="A2627" s="3">
        <v>2626</v>
      </c>
      <c r="B2627" s="5">
        <f>DATE(Table1[[#This Row],[Year]],Table1[[#This Row],[Month]],Table1[[#This Row],[Day]])</f>
        <v>45223</v>
      </c>
      <c r="C2627" s="3">
        <v>24</v>
      </c>
      <c r="D2627" s="3">
        <v>10</v>
      </c>
      <c r="E2627" s="3">
        <v>2023</v>
      </c>
      <c r="F2627" s="3" t="str">
        <f>"Qtr"&amp; " " &amp;CHOOSE(MONTH(Table1[[#This Row],[Date]]),1,1,1,2,2,2,3,3,3,4,4,4)</f>
        <v>Qtr 4</v>
      </c>
      <c r="G2627" s="3" t="str">
        <f>TEXT(Table1[[#This Row],[Date]],"mmmm")</f>
        <v>October</v>
      </c>
      <c r="H2627" s="3" t="s">
        <v>1082</v>
      </c>
      <c r="I2627" s="3" t="s">
        <v>18</v>
      </c>
      <c r="J2627" s="3">
        <v>3</v>
      </c>
      <c r="K2627" s="3">
        <v>51946.37</v>
      </c>
      <c r="L2627" s="3">
        <f>Table1[[#This Row],[Price Per Unit]]*Table1[[#This Row],[Units Sold]]</f>
        <v>155839.11000000002</v>
      </c>
      <c r="M2627" s="3" t="s">
        <v>546</v>
      </c>
      <c r="N2627" s="3">
        <v>40</v>
      </c>
      <c r="O2627" s="3" t="s">
        <v>24</v>
      </c>
      <c r="P2627" s="3" t="s">
        <v>16</v>
      </c>
      <c r="Q2627" s="4">
        <v>3</v>
      </c>
      <c r="R2627" s="4" t="str">
        <f>IF(Table1[[#This Row],[Customer Ratings]]&gt;=4, "Good",IF(Table1[[#This Row],[Customer Ratings]]=3, "Average","Poor"))</f>
        <v>Average</v>
      </c>
      <c r="S2627" s="3" t="s">
        <v>22</v>
      </c>
    </row>
    <row r="2628" spans="1:19" x14ac:dyDescent="0.25">
      <c r="A2628" s="3">
        <v>2627</v>
      </c>
      <c r="B2628" s="5">
        <f>DATE(Table1[[#This Row],[Year]],Table1[[#This Row],[Month]],Table1[[#This Row],[Day]])</f>
        <v>45223</v>
      </c>
      <c r="C2628" s="3">
        <v>24</v>
      </c>
      <c r="D2628" s="3">
        <v>10</v>
      </c>
      <c r="E2628" s="3">
        <v>2023</v>
      </c>
      <c r="F2628" s="3" t="str">
        <f>"Qtr"&amp; " " &amp;CHOOSE(MONTH(Table1[[#This Row],[Date]]),1,1,1,2,2,2,3,3,3,4,4,4)</f>
        <v>Qtr 4</v>
      </c>
      <c r="G2628" s="3" t="str">
        <f>TEXT(Table1[[#This Row],[Date]],"mmmm")</f>
        <v>October</v>
      </c>
      <c r="H2628" s="3" t="s">
        <v>1082</v>
      </c>
      <c r="I2628" s="3" t="s">
        <v>33</v>
      </c>
      <c r="J2628" s="3">
        <v>9</v>
      </c>
      <c r="K2628" s="3">
        <v>65307.35</v>
      </c>
      <c r="L2628" s="3">
        <f>Table1[[#This Row],[Price Per Unit]]*Table1[[#This Row],[Units Sold]]</f>
        <v>587766.15</v>
      </c>
      <c r="M2628" s="3" t="s">
        <v>100</v>
      </c>
      <c r="N2628" s="3">
        <v>51</v>
      </c>
      <c r="O2628" s="3" t="s">
        <v>65</v>
      </c>
      <c r="P2628" s="3" t="s">
        <v>45</v>
      </c>
      <c r="Q2628" s="4">
        <v>5</v>
      </c>
      <c r="R2628" s="4" t="str">
        <f>IF(Table1[[#This Row],[Customer Ratings]]&gt;=4, "Good",IF(Table1[[#This Row],[Customer Ratings]]=3, "Average","Poor"))</f>
        <v>Good</v>
      </c>
      <c r="S2628" s="3" t="s">
        <v>83</v>
      </c>
    </row>
    <row r="2629" spans="1:19" x14ac:dyDescent="0.25">
      <c r="A2629" s="3">
        <v>2628</v>
      </c>
      <c r="B2629" s="5">
        <f>DATE(Table1[[#This Row],[Year]],Table1[[#This Row],[Month]],Table1[[#This Row],[Day]])</f>
        <v>45223</v>
      </c>
      <c r="C2629" s="3">
        <v>24</v>
      </c>
      <c r="D2629" s="3">
        <v>10</v>
      </c>
      <c r="E2629" s="3">
        <v>2023</v>
      </c>
      <c r="F2629" s="3" t="str">
        <f>"Qtr"&amp; " " &amp;CHOOSE(MONTH(Table1[[#This Row],[Date]]),1,1,1,2,2,2,3,3,3,4,4,4)</f>
        <v>Qtr 4</v>
      </c>
      <c r="G2629" s="3" t="str">
        <f>TEXT(Table1[[#This Row],[Date]],"mmmm")</f>
        <v>October</v>
      </c>
      <c r="H2629" s="3" t="s">
        <v>1082</v>
      </c>
      <c r="I2629" s="3" t="s">
        <v>13</v>
      </c>
      <c r="J2629" s="3">
        <v>1</v>
      </c>
      <c r="K2629" s="3">
        <v>32402.71</v>
      </c>
      <c r="L2629" s="3">
        <f>Table1[[#This Row],[Price Per Unit]]*Table1[[#This Row],[Units Sold]]</f>
        <v>32402.71</v>
      </c>
      <c r="M2629" s="3" t="s">
        <v>607</v>
      </c>
      <c r="N2629" s="3">
        <v>57</v>
      </c>
      <c r="O2629" s="3" t="s">
        <v>137</v>
      </c>
      <c r="P2629" s="3" t="s">
        <v>16</v>
      </c>
      <c r="Q2629" s="4">
        <v>3</v>
      </c>
      <c r="R2629" s="4" t="str">
        <f>IF(Table1[[#This Row],[Customer Ratings]]&gt;=4, "Good",IF(Table1[[#This Row],[Customer Ratings]]=3, "Average","Poor"))</f>
        <v>Average</v>
      </c>
      <c r="S2629" s="3" t="s">
        <v>72</v>
      </c>
    </row>
    <row r="2630" spans="1:19" x14ac:dyDescent="0.25">
      <c r="A2630" s="3">
        <v>2629</v>
      </c>
      <c r="B2630" s="5">
        <f>DATE(Table1[[#This Row],[Year]],Table1[[#This Row],[Month]],Table1[[#This Row],[Day]])</f>
        <v>45224</v>
      </c>
      <c r="C2630" s="3">
        <v>25</v>
      </c>
      <c r="D2630" s="3">
        <v>10</v>
      </c>
      <c r="E2630" s="3">
        <v>2023</v>
      </c>
      <c r="F2630" s="3" t="str">
        <f>"Qtr"&amp; " " &amp;CHOOSE(MONTH(Table1[[#This Row],[Date]]),1,1,1,2,2,2,3,3,3,4,4,4)</f>
        <v>Qtr 4</v>
      </c>
      <c r="G2630" s="3" t="str">
        <f>TEXT(Table1[[#This Row],[Date]],"mmmm")</f>
        <v>October</v>
      </c>
      <c r="H2630" s="3" t="s">
        <v>1083</v>
      </c>
      <c r="I2630" s="3" t="s">
        <v>39</v>
      </c>
      <c r="J2630" s="3">
        <v>5</v>
      </c>
      <c r="K2630" s="3">
        <v>64127.33</v>
      </c>
      <c r="L2630" s="3">
        <f>Table1[[#This Row],[Price Per Unit]]*Table1[[#This Row],[Units Sold]]</f>
        <v>320636.65000000002</v>
      </c>
      <c r="M2630" s="3" t="s">
        <v>270</v>
      </c>
      <c r="N2630" s="3">
        <v>30</v>
      </c>
      <c r="O2630" s="3" t="s">
        <v>15</v>
      </c>
      <c r="P2630" s="3" t="s">
        <v>16</v>
      </c>
      <c r="Q2630" s="4">
        <v>3</v>
      </c>
      <c r="R2630" s="4" t="str">
        <f>IF(Table1[[#This Row],[Customer Ratings]]&gt;=4, "Good",IF(Table1[[#This Row],[Customer Ratings]]=3, "Average","Poor"))</f>
        <v>Average</v>
      </c>
      <c r="S2630" s="3" t="s">
        <v>42</v>
      </c>
    </row>
    <row r="2631" spans="1:19" x14ac:dyDescent="0.25">
      <c r="A2631" s="3">
        <v>2630</v>
      </c>
      <c r="B2631" s="5">
        <f>DATE(Table1[[#This Row],[Year]],Table1[[#This Row],[Month]],Table1[[#This Row],[Day]])</f>
        <v>45224</v>
      </c>
      <c r="C2631" s="3">
        <v>25</v>
      </c>
      <c r="D2631" s="3">
        <v>10</v>
      </c>
      <c r="E2631" s="3">
        <v>2023</v>
      </c>
      <c r="F2631" s="3" t="str">
        <f>"Qtr"&amp; " " &amp;CHOOSE(MONTH(Table1[[#This Row],[Date]]),1,1,1,2,2,2,3,3,3,4,4,4)</f>
        <v>Qtr 4</v>
      </c>
      <c r="G2631" s="3" t="str">
        <f>TEXT(Table1[[#This Row],[Date]],"mmmm")</f>
        <v>October</v>
      </c>
      <c r="H2631" s="3" t="s">
        <v>1083</v>
      </c>
      <c r="I2631" s="3" t="s">
        <v>39</v>
      </c>
      <c r="J2631" s="3">
        <v>3</v>
      </c>
      <c r="K2631" s="3">
        <v>65047.37</v>
      </c>
      <c r="L2631" s="3">
        <f>Table1[[#This Row],[Price Per Unit]]*Table1[[#This Row],[Units Sold]]</f>
        <v>195142.11000000002</v>
      </c>
      <c r="M2631" s="3" t="s">
        <v>231</v>
      </c>
      <c r="N2631" s="3">
        <v>56</v>
      </c>
      <c r="O2631" s="3" t="s">
        <v>137</v>
      </c>
      <c r="P2631" s="3" t="s">
        <v>16</v>
      </c>
      <c r="Q2631" s="4">
        <v>5</v>
      </c>
      <c r="R2631" s="4" t="str">
        <f>IF(Table1[[#This Row],[Customer Ratings]]&gt;=4, "Good",IF(Table1[[#This Row],[Customer Ratings]]=3, "Average","Poor"))</f>
        <v>Good</v>
      </c>
      <c r="S2631" s="3" t="s">
        <v>42</v>
      </c>
    </row>
    <row r="2632" spans="1:19" x14ac:dyDescent="0.25">
      <c r="A2632" s="3">
        <v>2631</v>
      </c>
      <c r="B2632" s="5">
        <f>DATE(Table1[[#This Row],[Year]],Table1[[#This Row],[Month]],Table1[[#This Row],[Day]])</f>
        <v>45224</v>
      </c>
      <c r="C2632" s="3">
        <v>25</v>
      </c>
      <c r="D2632" s="3">
        <v>10</v>
      </c>
      <c r="E2632" s="3">
        <v>2023</v>
      </c>
      <c r="F2632" s="3" t="str">
        <f>"Qtr"&amp; " " &amp;CHOOSE(MONTH(Table1[[#This Row],[Date]]),1,1,1,2,2,2,3,3,3,4,4,4)</f>
        <v>Qtr 4</v>
      </c>
      <c r="G2632" s="3" t="str">
        <f>TEXT(Table1[[#This Row],[Date]],"mmmm")</f>
        <v>October</v>
      </c>
      <c r="H2632" s="3" t="s">
        <v>1083</v>
      </c>
      <c r="I2632" s="3" t="s">
        <v>18</v>
      </c>
      <c r="J2632" s="3">
        <v>6</v>
      </c>
      <c r="K2632" s="3">
        <v>65839.75</v>
      </c>
      <c r="L2632" s="3">
        <f>Table1[[#This Row],[Price Per Unit]]*Table1[[#This Row],[Units Sold]]</f>
        <v>395038.5</v>
      </c>
      <c r="M2632" s="3" t="s">
        <v>927</v>
      </c>
      <c r="N2632" s="3">
        <v>45</v>
      </c>
      <c r="O2632" s="3" t="s">
        <v>24</v>
      </c>
      <c r="P2632" s="3" t="s">
        <v>16</v>
      </c>
      <c r="Q2632" s="4">
        <v>3</v>
      </c>
      <c r="R2632" s="4" t="str">
        <f>IF(Table1[[#This Row],[Customer Ratings]]&gt;=4, "Good",IF(Table1[[#This Row],[Customer Ratings]]=3, "Average","Poor"))</f>
        <v>Average</v>
      </c>
      <c r="S2632" s="3" t="s">
        <v>22</v>
      </c>
    </row>
    <row r="2633" spans="1:19" x14ac:dyDescent="0.25">
      <c r="A2633" s="3">
        <v>2632</v>
      </c>
      <c r="B2633" s="5">
        <f>DATE(Table1[[#This Row],[Year]],Table1[[#This Row],[Month]],Table1[[#This Row],[Day]])</f>
        <v>45225</v>
      </c>
      <c r="C2633" s="3">
        <v>26</v>
      </c>
      <c r="D2633" s="3">
        <v>10</v>
      </c>
      <c r="E2633" s="3">
        <v>2023</v>
      </c>
      <c r="F2633" s="3" t="str">
        <f>"Qtr"&amp; " " &amp;CHOOSE(MONTH(Table1[[#This Row],[Date]]),1,1,1,2,2,2,3,3,3,4,4,4)</f>
        <v>Qtr 4</v>
      </c>
      <c r="G2633" s="3" t="str">
        <f>TEXT(Table1[[#This Row],[Date]],"mmmm")</f>
        <v>October</v>
      </c>
      <c r="H2633" s="3" t="s">
        <v>1084</v>
      </c>
      <c r="I2633" s="3" t="s">
        <v>39</v>
      </c>
      <c r="J2633" s="3">
        <v>2</v>
      </c>
      <c r="K2633" s="3">
        <v>26226.77</v>
      </c>
      <c r="L2633" s="3">
        <f>Table1[[#This Row],[Price Per Unit]]*Table1[[#This Row],[Units Sold]]</f>
        <v>52453.54</v>
      </c>
      <c r="M2633" s="3" t="s">
        <v>199</v>
      </c>
      <c r="N2633" s="3">
        <v>57</v>
      </c>
      <c r="O2633" s="3" t="s">
        <v>20</v>
      </c>
      <c r="P2633" s="3" t="s">
        <v>16</v>
      </c>
      <c r="Q2633" s="4">
        <v>3</v>
      </c>
      <c r="R2633" s="4" t="str">
        <f>IF(Table1[[#This Row],[Customer Ratings]]&gt;=4, "Good",IF(Table1[[#This Row],[Customer Ratings]]=3, "Average","Poor"))</f>
        <v>Average</v>
      </c>
      <c r="S2633" s="3" t="s">
        <v>76</v>
      </c>
    </row>
    <row r="2634" spans="1:19" x14ac:dyDescent="0.25">
      <c r="A2634" s="3">
        <v>2633</v>
      </c>
      <c r="B2634" s="5">
        <f>DATE(Table1[[#This Row],[Year]],Table1[[#This Row],[Month]],Table1[[#This Row],[Day]])</f>
        <v>45225</v>
      </c>
      <c r="C2634" s="3">
        <v>26</v>
      </c>
      <c r="D2634" s="3">
        <v>10</v>
      </c>
      <c r="E2634" s="3">
        <v>2023</v>
      </c>
      <c r="F2634" s="3" t="str">
        <f>"Qtr"&amp; " " &amp;CHOOSE(MONTH(Table1[[#This Row],[Date]]),1,1,1,2,2,2,3,3,3,4,4,4)</f>
        <v>Qtr 4</v>
      </c>
      <c r="G2634" s="3" t="str">
        <f>TEXT(Table1[[#This Row],[Date]],"mmmm")</f>
        <v>October</v>
      </c>
      <c r="H2634" s="3" t="s">
        <v>1084</v>
      </c>
      <c r="I2634" s="3" t="s">
        <v>39</v>
      </c>
      <c r="J2634" s="3">
        <v>9</v>
      </c>
      <c r="K2634" s="3">
        <v>34021.339999999997</v>
      </c>
      <c r="L2634" s="3">
        <f>Table1[[#This Row],[Price Per Unit]]*Table1[[#This Row],[Units Sold]]</f>
        <v>306192.05999999994</v>
      </c>
      <c r="M2634" s="3" t="s">
        <v>559</v>
      </c>
      <c r="N2634" s="3">
        <v>33</v>
      </c>
      <c r="O2634" s="3" t="s">
        <v>54</v>
      </c>
      <c r="P2634" s="3" t="s">
        <v>16</v>
      </c>
      <c r="Q2634" s="4">
        <v>2</v>
      </c>
      <c r="R2634" s="4" t="str">
        <f>IF(Table1[[#This Row],[Customer Ratings]]&gt;=4, "Good",IF(Table1[[#This Row],[Customer Ratings]]=3, "Average","Poor"))</f>
        <v>Poor</v>
      </c>
      <c r="S2634" s="3" t="s">
        <v>76</v>
      </c>
    </row>
    <row r="2635" spans="1:19" x14ac:dyDescent="0.25">
      <c r="A2635" s="3">
        <v>2634</v>
      </c>
      <c r="B2635" s="5">
        <f>DATE(Table1[[#This Row],[Year]],Table1[[#This Row],[Month]],Table1[[#This Row],[Day]])</f>
        <v>45225</v>
      </c>
      <c r="C2635" s="3">
        <v>26</v>
      </c>
      <c r="D2635" s="3">
        <v>10</v>
      </c>
      <c r="E2635" s="3">
        <v>2023</v>
      </c>
      <c r="F2635" s="3" t="str">
        <f>"Qtr"&amp; " " &amp;CHOOSE(MONTH(Table1[[#This Row],[Date]]),1,1,1,2,2,2,3,3,3,4,4,4)</f>
        <v>Qtr 4</v>
      </c>
      <c r="G2635" s="3" t="str">
        <f>TEXT(Table1[[#This Row],[Date]],"mmmm")</f>
        <v>October</v>
      </c>
      <c r="H2635" s="3" t="s">
        <v>1084</v>
      </c>
      <c r="I2635" s="3" t="s">
        <v>33</v>
      </c>
      <c r="J2635" s="3">
        <v>6</v>
      </c>
      <c r="K2635" s="3">
        <v>62223.75</v>
      </c>
      <c r="L2635" s="3">
        <f>Table1[[#This Row],[Price Per Unit]]*Table1[[#This Row],[Units Sold]]</f>
        <v>373342.5</v>
      </c>
      <c r="M2635" s="3" t="s">
        <v>937</v>
      </c>
      <c r="N2635" s="3">
        <v>45</v>
      </c>
      <c r="O2635" s="3" t="s">
        <v>20</v>
      </c>
      <c r="P2635" s="3" t="s">
        <v>21</v>
      </c>
      <c r="Q2635" s="4">
        <v>2</v>
      </c>
      <c r="R2635" s="4" t="str">
        <f>IF(Table1[[#This Row],[Customer Ratings]]&gt;=4, "Good",IF(Table1[[#This Row],[Customer Ratings]]=3, "Average","Poor"))</f>
        <v>Poor</v>
      </c>
      <c r="S2635" s="3" t="s">
        <v>36</v>
      </c>
    </row>
    <row r="2636" spans="1:19" x14ac:dyDescent="0.25">
      <c r="A2636" s="3">
        <v>2635</v>
      </c>
      <c r="B2636" s="5">
        <f>DATE(Table1[[#This Row],[Year]],Table1[[#This Row],[Month]],Table1[[#This Row],[Day]])</f>
        <v>45226</v>
      </c>
      <c r="C2636" s="3">
        <v>27</v>
      </c>
      <c r="D2636" s="3">
        <v>10</v>
      </c>
      <c r="E2636" s="3">
        <v>2023</v>
      </c>
      <c r="F2636" s="3" t="str">
        <f>"Qtr"&amp; " " &amp;CHOOSE(MONTH(Table1[[#This Row],[Date]]),1,1,1,2,2,2,3,3,3,4,4,4)</f>
        <v>Qtr 4</v>
      </c>
      <c r="G2636" s="3" t="str">
        <f>TEXT(Table1[[#This Row],[Date]],"mmmm")</f>
        <v>October</v>
      </c>
      <c r="H2636" s="3" t="s">
        <v>1085</v>
      </c>
      <c r="I2636" s="3" t="s">
        <v>28</v>
      </c>
      <c r="J2636" s="3">
        <v>7</v>
      </c>
      <c r="K2636" s="3">
        <v>31549.71</v>
      </c>
      <c r="L2636" s="3">
        <f>Table1[[#This Row],[Price Per Unit]]*Table1[[#This Row],[Units Sold]]</f>
        <v>220847.97</v>
      </c>
      <c r="M2636" s="3" t="s">
        <v>967</v>
      </c>
      <c r="N2636" s="3">
        <v>21</v>
      </c>
      <c r="O2636" s="3" t="s">
        <v>120</v>
      </c>
      <c r="P2636" s="3" t="s">
        <v>16</v>
      </c>
      <c r="Q2636" s="4">
        <v>4</v>
      </c>
      <c r="R2636" s="4" t="str">
        <f>IF(Table1[[#This Row],[Customer Ratings]]&gt;=4, "Good",IF(Table1[[#This Row],[Customer Ratings]]=3, "Average","Poor"))</f>
        <v>Good</v>
      </c>
      <c r="S2636" s="3" t="s">
        <v>38</v>
      </c>
    </row>
    <row r="2637" spans="1:19" x14ac:dyDescent="0.25">
      <c r="A2637" s="3">
        <v>2636</v>
      </c>
      <c r="B2637" s="5">
        <f>DATE(Table1[[#This Row],[Year]],Table1[[#This Row],[Month]],Table1[[#This Row],[Day]])</f>
        <v>45226</v>
      </c>
      <c r="C2637" s="3">
        <v>27</v>
      </c>
      <c r="D2637" s="3">
        <v>10</v>
      </c>
      <c r="E2637" s="3">
        <v>2023</v>
      </c>
      <c r="F2637" s="3" t="str">
        <f>"Qtr"&amp; " " &amp;CHOOSE(MONTH(Table1[[#This Row],[Date]]),1,1,1,2,2,2,3,3,3,4,4,4)</f>
        <v>Qtr 4</v>
      </c>
      <c r="G2637" s="3" t="str">
        <f>TEXT(Table1[[#This Row],[Date]],"mmmm")</f>
        <v>October</v>
      </c>
      <c r="H2637" s="3" t="s">
        <v>1085</v>
      </c>
      <c r="I2637" s="3" t="s">
        <v>18</v>
      </c>
      <c r="J2637" s="3">
        <v>5</v>
      </c>
      <c r="K2637" s="3">
        <v>46015.18</v>
      </c>
      <c r="L2637" s="3">
        <f>Table1[[#This Row],[Price Per Unit]]*Table1[[#This Row],[Units Sold]]</f>
        <v>230075.9</v>
      </c>
      <c r="M2637" s="3" t="s">
        <v>409</v>
      </c>
      <c r="N2637" s="3">
        <v>45</v>
      </c>
      <c r="O2637" s="3" t="s">
        <v>98</v>
      </c>
      <c r="P2637" s="3" t="s">
        <v>31</v>
      </c>
      <c r="Q2637" s="4">
        <v>5</v>
      </c>
      <c r="R2637" s="4" t="str">
        <f>IF(Table1[[#This Row],[Customer Ratings]]&gt;=4, "Good",IF(Table1[[#This Row],[Customer Ratings]]=3, "Average","Poor"))</f>
        <v>Good</v>
      </c>
      <c r="S2637" s="3" t="s">
        <v>22</v>
      </c>
    </row>
    <row r="2638" spans="1:19" x14ac:dyDescent="0.25">
      <c r="A2638" s="3">
        <v>2637</v>
      </c>
      <c r="B2638" s="5">
        <f>DATE(Table1[[#This Row],[Year]],Table1[[#This Row],[Month]],Table1[[#This Row],[Day]])</f>
        <v>45226</v>
      </c>
      <c r="C2638" s="3">
        <v>27</v>
      </c>
      <c r="D2638" s="3">
        <v>10</v>
      </c>
      <c r="E2638" s="3">
        <v>2023</v>
      </c>
      <c r="F2638" s="3" t="str">
        <f>"Qtr"&amp; " " &amp;CHOOSE(MONTH(Table1[[#This Row],[Date]]),1,1,1,2,2,2,3,3,3,4,4,4)</f>
        <v>Qtr 4</v>
      </c>
      <c r="G2638" s="3" t="str">
        <f>TEXT(Table1[[#This Row],[Date]],"mmmm")</f>
        <v>October</v>
      </c>
      <c r="H2638" s="3" t="s">
        <v>1085</v>
      </c>
      <c r="I2638" s="3" t="s">
        <v>33</v>
      </c>
      <c r="J2638" s="3">
        <v>9</v>
      </c>
      <c r="K2638" s="3">
        <v>17083.27</v>
      </c>
      <c r="L2638" s="3">
        <f>Table1[[#This Row],[Price Per Unit]]*Table1[[#This Row],[Units Sold]]</f>
        <v>153749.43</v>
      </c>
      <c r="M2638" s="3" t="s">
        <v>923</v>
      </c>
      <c r="N2638" s="3">
        <v>29</v>
      </c>
      <c r="O2638" s="3" t="s">
        <v>105</v>
      </c>
      <c r="P2638" s="3" t="s">
        <v>16</v>
      </c>
      <c r="Q2638" s="4">
        <v>4</v>
      </c>
      <c r="R2638" s="4" t="str">
        <f>IF(Table1[[#This Row],[Customer Ratings]]&gt;=4, "Good",IF(Table1[[#This Row],[Customer Ratings]]=3, "Average","Poor"))</f>
        <v>Good</v>
      </c>
      <c r="S2638" s="3" t="s">
        <v>36</v>
      </c>
    </row>
    <row r="2639" spans="1:19" x14ac:dyDescent="0.25">
      <c r="A2639" s="3">
        <v>2638</v>
      </c>
      <c r="B2639" s="5">
        <f>DATE(Table1[[#This Row],[Year]],Table1[[#This Row],[Month]],Table1[[#This Row],[Day]])</f>
        <v>45227</v>
      </c>
      <c r="C2639" s="3">
        <v>28</v>
      </c>
      <c r="D2639" s="3">
        <v>10</v>
      </c>
      <c r="E2639" s="3">
        <v>2023</v>
      </c>
      <c r="F2639" s="3" t="str">
        <f>"Qtr"&amp; " " &amp;CHOOSE(MONTH(Table1[[#This Row],[Date]]),1,1,1,2,2,2,3,3,3,4,4,4)</f>
        <v>Qtr 4</v>
      </c>
      <c r="G2639" s="3" t="str">
        <f>TEXT(Table1[[#This Row],[Date]],"mmmm")</f>
        <v>October</v>
      </c>
      <c r="H2639" s="3" t="s">
        <v>1079</v>
      </c>
      <c r="I2639" s="3" t="s">
        <v>28</v>
      </c>
      <c r="J2639" s="3">
        <v>1</v>
      </c>
      <c r="K2639" s="3">
        <v>13376.5</v>
      </c>
      <c r="L2639" s="3">
        <f>Table1[[#This Row],[Price Per Unit]]*Table1[[#This Row],[Units Sold]]</f>
        <v>13376.5</v>
      </c>
      <c r="M2639" s="3" t="s">
        <v>805</v>
      </c>
      <c r="N2639" s="3">
        <v>33</v>
      </c>
      <c r="O2639" s="3" t="s">
        <v>52</v>
      </c>
      <c r="P2639" s="3" t="s">
        <v>21</v>
      </c>
      <c r="Q2639" s="4">
        <v>2</v>
      </c>
      <c r="R2639" s="4" t="str">
        <f>IF(Table1[[#This Row],[Customer Ratings]]&gt;=4, "Good",IF(Table1[[#This Row],[Customer Ratings]]=3, "Average","Poor"))</f>
        <v>Poor</v>
      </c>
      <c r="S2639" s="3" t="s">
        <v>38</v>
      </c>
    </row>
    <row r="2640" spans="1:19" x14ac:dyDescent="0.25">
      <c r="A2640" s="3">
        <v>2639</v>
      </c>
      <c r="B2640" s="5">
        <f>DATE(Table1[[#This Row],[Year]],Table1[[#This Row],[Month]],Table1[[#This Row],[Day]])</f>
        <v>45227</v>
      </c>
      <c r="C2640" s="3">
        <v>28</v>
      </c>
      <c r="D2640" s="3">
        <v>10</v>
      </c>
      <c r="E2640" s="3">
        <v>2023</v>
      </c>
      <c r="F2640" s="3" t="str">
        <f>"Qtr"&amp; " " &amp;CHOOSE(MONTH(Table1[[#This Row],[Date]]),1,1,1,2,2,2,3,3,3,4,4,4)</f>
        <v>Qtr 4</v>
      </c>
      <c r="G2640" s="3" t="str">
        <f>TEXT(Table1[[#This Row],[Date]],"mmmm")</f>
        <v>October</v>
      </c>
      <c r="H2640" s="3" t="s">
        <v>1079</v>
      </c>
      <c r="I2640" s="3" t="s">
        <v>33</v>
      </c>
      <c r="J2640" s="3">
        <v>5</v>
      </c>
      <c r="K2640" s="3">
        <v>34719.64</v>
      </c>
      <c r="L2640" s="3">
        <f>Table1[[#This Row],[Price Per Unit]]*Table1[[#This Row],[Units Sold]]</f>
        <v>173598.2</v>
      </c>
      <c r="M2640" s="3" t="s">
        <v>392</v>
      </c>
      <c r="N2640" s="3">
        <v>53</v>
      </c>
      <c r="O2640" s="3" t="s">
        <v>15</v>
      </c>
      <c r="P2640" s="3" t="s">
        <v>45</v>
      </c>
      <c r="Q2640" s="4">
        <v>2</v>
      </c>
      <c r="R2640" s="4" t="str">
        <f>IF(Table1[[#This Row],[Customer Ratings]]&gt;=4, "Good",IF(Table1[[#This Row],[Customer Ratings]]=3, "Average","Poor"))</f>
        <v>Poor</v>
      </c>
      <c r="S2640" s="3" t="s">
        <v>46</v>
      </c>
    </row>
    <row r="2641" spans="1:19" x14ac:dyDescent="0.25">
      <c r="A2641" s="3">
        <v>2640</v>
      </c>
      <c r="B2641" s="5">
        <f>DATE(Table1[[#This Row],[Year]],Table1[[#This Row],[Month]],Table1[[#This Row],[Day]])</f>
        <v>45227</v>
      </c>
      <c r="C2641" s="3">
        <v>28</v>
      </c>
      <c r="D2641" s="3">
        <v>10</v>
      </c>
      <c r="E2641" s="3">
        <v>2023</v>
      </c>
      <c r="F2641" s="3" t="str">
        <f>"Qtr"&amp; " " &amp;CHOOSE(MONTH(Table1[[#This Row],[Date]]),1,1,1,2,2,2,3,3,3,4,4,4)</f>
        <v>Qtr 4</v>
      </c>
      <c r="G2641" s="3" t="str">
        <f>TEXT(Table1[[#This Row],[Date]],"mmmm")</f>
        <v>October</v>
      </c>
      <c r="H2641" s="3" t="s">
        <v>1079</v>
      </c>
      <c r="I2641" s="3" t="s">
        <v>33</v>
      </c>
      <c r="J2641" s="3">
        <v>6</v>
      </c>
      <c r="K2641" s="3">
        <v>44734.99</v>
      </c>
      <c r="L2641" s="3">
        <f>Table1[[#This Row],[Price Per Unit]]*Table1[[#This Row],[Units Sold]]</f>
        <v>268409.94</v>
      </c>
      <c r="M2641" s="3" t="s">
        <v>396</v>
      </c>
      <c r="N2641" s="3">
        <v>37</v>
      </c>
      <c r="O2641" s="3" t="s">
        <v>52</v>
      </c>
      <c r="P2641" s="3" t="s">
        <v>31</v>
      </c>
      <c r="Q2641" s="4">
        <v>5</v>
      </c>
      <c r="R2641" s="4" t="str">
        <f>IF(Table1[[#This Row],[Customer Ratings]]&gt;=4, "Good",IF(Table1[[#This Row],[Customer Ratings]]=3, "Average","Poor"))</f>
        <v>Good</v>
      </c>
      <c r="S2641" s="3" t="s">
        <v>46</v>
      </c>
    </row>
    <row r="2642" spans="1:19" x14ac:dyDescent="0.25">
      <c r="A2642" s="3">
        <v>2641</v>
      </c>
      <c r="B2642" s="5">
        <f>DATE(Table1[[#This Row],[Year]],Table1[[#This Row],[Month]],Table1[[#This Row],[Day]])</f>
        <v>45227</v>
      </c>
      <c r="C2642" s="3">
        <v>28</v>
      </c>
      <c r="D2642" s="3">
        <v>10</v>
      </c>
      <c r="E2642" s="3">
        <v>2023</v>
      </c>
      <c r="F2642" s="3" t="str">
        <f>"Qtr"&amp; " " &amp;CHOOSE(MONTH(Table1[[#This Row],[Date]]),1,1,1,2,2,2,3,3,3,4,4,4)</f>
        <v>Qtr 4</v>
      </c>
      <c r="G2642" s="3" t="str">
        <f>TEXT(Table1[[#This Row],[Date]],"mmmm")</f>
        <v>October</v>
      </c>
      <c r="H2642" s="3" t="s">
        <v>1079</v>
      </c>
      <c r="I2642" s="3" t="s">
        <v>39</v>
      </c>
      <c r="J2642" s="3">
        <v>7</v>
      </c>
      <c r="K2642" s="3">
        <v>33561.949999999997</v>
      </c>
      <c r="L2642" s="3">
        <f>Table1[[#This Row],[Price Per Unit]]*Table1[[#This Row],[Units Sold]]</f>
        <v>234933.64999999997</v>
      </c>
      <c r="M2642" s="3" t="s">
        <v>490</v>
      </c>
      <c r="N2642" s="3">
        <v>43</v>
      </c>
      <c r="O2642" s="3" t="s">
        <v>24</v>
      </c>
      <c r="P2642" s="3" t="s">
        <v>16</v>
      </c>
      <c r="Q2642" s="4">
        <v>5</v>
      </c>
      <c r="R2642" s="4" t="str">
        <f>IF(Table1[[#This Row],[Customer Ratings]]&gt;=4, "Good",IF(Table1[[#This Row],[Customer Ratings]]=3, "Average","Poor"))</f>
        <v>Good</v>
      </c>
      <c r="S2642" s="3" t="s">
        <v>76</v>
      </c>
    </row>
    <row r="2643" spans="1:19" x14ac:dyDescent="0.25">
      <c r="A2643" s="3">
        <v>2642</v>
      </c>
      <c r="B2643" s="5">
        <f>DATE(Table1[[#This Row],[Year]],Table1[[#This Row],[Month]],Table1[[#This Row],[Day]])</f>
        <v>45228</v>
      </c>
      <c r="C2643" s="3">
        <v>29</v>
      </c>
      <c r="D2643" s="3">
        <v>10</v>
      </c>
      <c r="E2643" s="3">
        <v>2023</v>
      </c>
      <c r="F2643" s="3" t="str">
        <f>"Qtr"&amp; " " &amp;CHOOSE(MONTH(Table1[[#This Row],[Date]]),1,1,1,2,2,2,3,3,3,4,4,4)</f>
        <v>Qtr 4</v>
      </c>
      <c r="G2643" s="3" t="str">
        <f>TEXT(Table1[[#This Row],[Date]],"mmmm")</f>
        <v>October</v>
      </c>
      <c r="H2643" s="3" t="s">
        <v>1080</v>
      </c>
      <c r="I2643" s="3" t="s">
        <v>28</v>
      </c>
      <c r="J2643" s="3">
        <v>4</v>
      </c>
      <c r="K2643" s="3">
        <v>44664.15</v>
      </c>
      <c r="L2643" s="3">
        <f>Table1[[#This Row],[Price Per Unit]]*Table1[[#This Row],[Units Sold]]</f>
        <v>178656.6</v>
      </c>
      <c r="M2643" s="3" t="s">
        <v>633</v>
      </c>
      <c r="N2643" s="3">
        <v>43</v>
      </c>
      <c r="O2643" s="3" t="s">
        <v>137</v>
      </c>
      <c r="P2643" s="3" t="s">
        <v>16</v>
      </c>
      <c r="Q2643" s="4">
        <v>2</v>
      </c>
      <c r="R2643" s="4" t="str">
        <f>IF(Table1[[#This Row],[Customer Ratings]]&gt;=4, "Good",IF(Table1[[#This Row],[Customer Ratings]]=3, "Average","Poor"))</f>
        <v>Poor</v>
      </c>
      <c r="S2643" s="3" t="s">
        <v>32</v>
      </c>
    </row>
    <row r="2644" spans="1:19" x14ac:dyDescent="0.25">
      <c r="A2644" s="3">
        <v>2643</v>
      </c>
      <c r="B2644" s="5">
        <f>DATE(Table1[[#This Row],[Year]],Table1[[#This Row],[Month]],Table1[[#This Row],[Day]])</f>
        <v>45228</v>
      </c>
      <c r="C2644" s="3">
        <v>29</v>
      </c>
      <c r="D2644" s="3">
        <v>10</v>
      </c>
      <c r="E2644" s="3">
        <v>2023</v>
      </c>
      <c r="F2644" s="3" t="str">
        <f>"Qtr"&amp; " " &amp;CHOOSE(MONTH(Table1[[#This Row],[Date]]),1,1,1,2,2,2,3,3,3,4,4,4)</f>
        <v>Qtr 4</v>
      </c>
      <c r="G2644" s="3" t="str">
        <f>TEXT(Table1[[#This Row],[Date]],"mmmm")</f>
        <v>October</v>
      </c>
      <c r="H2644" s="3" t="s">
        <v>1080</v>
      </c>
      <c r="I2644" s="3" t="s">
        <v>18</v>
      </c>
      <c r="J2644" s="3">
        <v>1</v>
      </c>
      <c r="K2644" s="3">
        <v>40905.06</v>
      </c>
      <c r="L2644" s="3">
        <f>Table1[[#This Row],[Price Per Unit]]*Table1[[#This Row],[Units Sold]]</f>
        <v>40905.06</v>
      </c>
      <c r="M2644" s="3" t="s">
        <v>993</v>
      </c>
      <c r="N2644" s="3">
        <v>39</v>
      </c>
      <c r="O2644" s="3" t="s">
        <v>125</v>
      </c>
      <c r="P2644" s="3" t="s">
        <v>31</v>
      </c>
      <c r="Q2644" s="4">
        <v>3</v>
      </c>
      <c r="R2644" s="4" t="str">
        <f>IF(Table1[[#This Row],[Customer Ratings]]&gt;=4, "Good",IF(Table1[[#This Row],[Customer Ratings]]=3, "Average","Poor"))</f>
        <v>Average</v>
      </c>
      <c r="S2644" s="3" t="s">
        <v>22</v>
      </c>
    </row>
    <row r="2645" spans="1:19" x14ac:dyDescent="0.25">
      <c r="A2645" s="3">
        <v>2644</v>
      </c>
      <c r="B2645" s="5">
        <f>DATE(Table1[[#This Row],[Year]],Table1[[#This Row],[Month]],Table1[[#This Row],[Day]])</f>
        <v>45228</v>
      </c>
      <c r="C2645" s="3">
        <v>29</v>
      </c>
      <c r="D2645" s="3">
        <v>10</v>
      </c>
      <c r="E2645" s="3">
        <v>2023</v>
      </c>
      <c r="F2645" s="3" t="str">
        <f>"Qtr"&amp; " " &amp;CHOOSE(MONTH(Table1[[#This Row],[Date]]),1,1,1,2,2,2,3,3,3,4,4,4)</f>
        <v>Qtr 4</v>
      </c>
      <c r="G2645" s="3" t="str">
        <f>TEXT(Table1[[#This Row],[Date]],"mmmm")</f>
        <v>October</v>
      </c>
      <c r="H2645" s="3" t="s">
        <v>1080</v>
      </c>
      <c r="I2645" s="3" t="s">
        <v>18</v>
      </c>
      <c r="J2645" s="3">
        <v>8</v>
      </c>
      <c r="K2645" s="3">
        <v>51142.43</v>
      </c>
      <c r="L2645" s="3">
        <f>Table1[[#This Row],[Price Per Unit]]*Table1[[#This Row],[Units Sold]]</f>
        <v>409139.44</v>
      </c>
      <c r="M2645" s="3" t="s">
        <v>847</v>
      </c>
      <c r="N2645" s="3">
        <v>26</v>
      </c>
      <c r="O2645" s="3" t="s">
        <v>58</v>
      </c>
      <c r="P2645" s="3" t="s">
        <v>16</v>
      </c>
      <c r="Q2645" s="4">
        <v>4</v>
      </c>
      <c r="R2645" s="4" t="str">
        <f>IF(Table1[[#This Row],[Customer Ratings]]&gt;=4, "Good",IF(Table1[[#This Row],[Customer Ratings]]=3, "Average","Poor"))</f>
        <v>Good</v>
      </c>
      <c r="S2645" s="3" t="s">
        <v>22</v>
      </c>
    </row>
    <row r="2646" spans="1:19" x14ac:dyDescent="0.25">
      <c r="A2646" s="3">
        <v>2645</v>
      </c>
      <c r="B2646" s="5">
        <f>DATE(Table1[[#This Row],[Year]],Table1[[#This Row],[Month]],Table1[[#This Row],[Day]])</f>
        <v>45228</v>
      </c>
      <c r="C2646" s="3">
        <v>29</v>
      </c>
      <c r="D2646" s="3">
        <v>10</v>
      </c>
      <c r="E2646" s="3">
        <v>2023</v>
      </c>
      <c r="F2646" s="3" t="str">
        <f>"Qtr"&amp; " " &amp;CHOOSE(MONTH(Table1[[#This Row],[Date]]),1,1,1,2,2,2,3,3,3,4,4,4)</f>
        <v>Qtr 4</v>
      </c>
      <c r="G2646" s="3" t="str">
        <f>TEXT(Table1[[#This Row],[Date]],"mmmm")</f>
        <v>October</v>
      </c>
      <c r="H2646" s="3" t="s">
        <v>1080</v>
      </c>
      <c r="I2646" s="3" t="s">
        <v>28</v>
      </c>
      <c r="J2646" s="3">
        <v>4</v>
      </c>
      <c r="K2646" s="3">
        <v>48971.95</v>
      </c>
      <c r="L2646" s="3">
        <f>Table1[[#This Row],[Price Per Unit]]*Table1[[#This Row],[Units Sold]]</f>
        <v>195887.8</v>
      </c>
      <c r="M2646" s="3" t="s">
        <v>208</v>
      </c>
      <c r="N2646" s="3">
        <v>22</v>
      </c>
      <c r="O2646" s="3" t="s">
        <v>41</v>
      </c>
      <c r="P2646" s="3" t="s">
        <v>21</v>
      </c>
      <c r="Q2646" s="4">
        <v>2</v>
      </c>
      <c r="R2646" s="4" t="str">
        <f>IF(Table1[[#This Row],[Customer Ratings]]&gt;=4, "Good",IF(Table1[[#This Row],[Customer Ratings]]=3, "Average","Poor"))</f>
        <v>Poor</v>
      </c>
      <c r="S2646" s="3" t="s">
        <v>87</v>
      </c>
    </row>
    <row r="2647" spans="1:19" x14ac:dyDescent="0.25">
      <c r="A2647" s="3">
        <v>2646</v>
      </c>
      <c r="B2647" s="5">
        <f>DATE(Table1[[#This Row],[Year]],Table1[[#This Row],[Month]],Table1[[#This Row],[Day]])</f>
        <v>45229</v>
      </c>
      <c r="C2647" s="3">
        <v>30</v>
      </c>
      <c r="D2647" s="3">
        <v>10</v>
      </c>
      <c r="E2647" s="3">
        <v>2023</v>
      </c>
      <c r="F2647" s="3" t="str">
        <f>"Qtr"&amp; " " &amp;CHOOSE(MONTH(Table1[[#This Row],[Date]]),1,1,1,2,2,2,3,3,3,4,4,4)</f>
        <v>Qtr 4</v>
      </c>
      <c r="G2647" s="3" t="str">
        <f>TEXT(Table1[[#This Row],[Date]],"mmmm")</f>
        <v>October</v>
      </c>
      <c r="H2647" s="3" t="s">
        <v>1081</v>
      </c>
      <c r="I2647" s="3" t="s">
        <v>39</v>
      </c>
      <c r="J2647" s="3">
        <v>3</v>
      </c>
      <c r="K2647" s="3">
        <v>35454.74</v>
      </c>
      <c r="L2647" s="3">
        <f>Table1[[#This Row],[Price Per Unit]]*Table1[[#This Row],[Units Sold]]</f>
        <v>106364.22</v>
      </c>
      <c r="M2647" s="3" t="s">
        <v>383</v>
      </c>
      <c r="N2647" s="3">
        <v>34</v>
      </c>
      <c r="O2647" s="3" t="s">
        <v>24</v>
      </c>
      <c r="P2647" s="3" t="s">
        <v>16</v>
      </c>
      <c r="Q2647" s="4">
        <v>2</v>
      </c>
      <c r="R2647" s="4" t="str">
        <f>IF(Table1[[#This Row],[Customer Ratings]]&gt;=4, "Good",IF(Table1[[#This Row],[Customer Ratings]]=3, "Average","Poor"))</f>
        <v>Poor</v>
      </c>
      <c r="S2647" s="3" t="s">
        <v>90</v>
      </c>
    </row>
    <row r="2648" spans="1:19" x14ac:dyDescent="0.25">
      <c r="A2648" s="3">
        <v>2647</v>
      </c>
      <c r="B2648" s="5">
        <f>DATE(Table1[[#This Row],[Year]],Table1[[#This Row],[Month]],Table1[[#This Row],[Day]])</f>
        <v>45229</v>
      </c>
      <c r="C2648" s="3">
        <v>30</v>
      </c>
      <c r="D2648" s="3">
        <v>10</v>
      </c>
      <c r="E2648" s="3">
        <v>2023</v>
      </c>
      <c r="F2648" s="3" t="str">
        <f>"Qtr"&amp; " " &amp;CHOOSE(MONTH(Table1[[#This Row],[Date]]),1,1,1,2,2,2,3,3,3,4,4,4)</f>
        <v>Qtr 4</v>
      </c>
      <c r="G2648" s="3" t="str">
        <f>TEXT(Table1[[#This Row],[Date]],"mmmm")</f>
        <v>October</v>
      </c>
      <c r="H2648" s="3" t="s">
        <v>1081</v>
      </c>
      <c r="I2648" s="3" t="s">
        <v>13</v>
      </c>
      <c r="J2648" s="3">
        <v>7</v>
      </c>
      <c r="K2648" s="3">
        <v>35499.71</v>
      </c>
      <c r="L2648" s="3">
        <f>Table1[[#This Row],[Price Per Unit]]*Table1[[#This Row],[Units Sold]]</f>
        <v>248497.97</v>
      </c>
      <c r="M2648" s="3" t="s">
        <v>50</v>
      </c>
      <c r="N2648" s="3">
        <v>51</v>
      </c>
      <c r="O2648" s="3" t="s">
        <v>20</v>
      </c>
      <c r="P2648" s="3" t="s">
        <v>45</v>
      </c>
      <c r="Q2648" s="4">
        <v>5</v>
      </c>
      <c r="R2648" s="4" t="str">
        <f>IF(Table1[[#This Row],[Customer Ratings]]&gt;=4, "Good",IF(Table1[[#This Row],[Customer Ratings]]=3, "Average","Poor"))</f>
        <v>Good</v>
      </c>
      <c r="S2648" s="3" t="s">
        <v>17</v>
      </c>
    </row>
    <row r="2649" spans="1:19" x14ac:dyDescent="0.25">
      <c r="A2649" s="3">
        <v>2648</v>
      </c>
      <c r="B2649" s="5">
        <f>DATE(Table1[[#This Row],[Year]],Table1[[#This Row],[Month]],Table1[[#This Row],[Day]])</f>
        <v>45229</v>
      </c>
      <c r="C2649" s="3">
        <v>30</v>
      </c>
      <c r="D2649" s="3">
        <v>10</v>
      </c>
      <c r="E2649" s="3">
        <v>2023</v>
      </c>
      <c r="F2649" s="3" t="str">
        <f>"Qtr"&amp; " " &amp;CHOOSE(MONTH(Table1[[#This Row],[Date]]),1,1,1,2,2,2,3,3,3,4,4,4)</f>
        <v>Qtr 4</v>
      </c>
      <c r="G2649" s="3" t="str">
        <f>TEXT(Table1[[#This Row],[Date]],"mmmm")</f>
        <v>October</v>
      </c>
      <c r="H2649" s="3" t="s">
        <v>1081</v>
      </c>
      <c r="I2649" s="3" t="s">
        <v>33</v>
      </c>
      <c r="J2649" s="3">
        <v>2</v>
      </c>
      <c r="K2649" s="3">
        <v>18446.7</v>
      </c>
      <c r="L2649" s="3">
        <f>Table1[[#This Row],[Price Per Unit]]*Table1[[#This Row],[Units Sold]]</f>
        <v>36893.4</v>
      </c>
      <c r="M2649" s="3" t="s">
        <v>994</v>
      </c>
      <c r="N2649" s="3">
        <v>19</v>
      </c>
      <c r="O2649" s="3" t="s">
        <v>20</v>
      </c>
      <c r="P2649" s="3" t="s">
        <v>21</v>
      </c>
      <c r="Q2649" s="4">
        <v>4</v>
      </c>
      <c r="R2649" s="4" t="str">
        <f>IF(Table1[[#This Row],[Customer Ratings]]&gt;=4, "Good",IF(Table1[[#This Row],[Customer Ratings]]=3, "Average","Poor"))</f>
        <v>Good</v>
      </c>
      <c r="S2649" s="3" t="s">
        <v>46</v>
      </c>
    </row>
    <row r="2650" spans="1:19" x14ac:dyDescent="0.25">
      <c r="A2650" s="3">
        <v>2649</v>
      </c>
      <c r="B2650" s="5">
        <f>DATE(Table1[[#This Row],[Year]],Table1[[#This Row],[Month]],Table1[[#This Row],[Day]])</f>
        <v>45230</v>
      </c>
      <c r="C2650" s="3">
        <v>31</v>
      </c>
      <c r="D2650" s="3">
        <v>10</v>
      </c>
      <c r="E2650" s="3">
        <v>2023</v>
      </c>
      <c r="F2650" s="3" t="str">
        <f>"Qtr"&amp; " " &amp;CHOOSE(MONTH(Table1[[#This Row],[Date]]),1,1,1,2,2,2,3,3,3,4,4,4)</f>
        <v>Qtr 4</v>
      </c>
      <c r="G2650" s="3" t="str">
        <f>TEXT(Table1[[#This Row],[Date]],"mmmm")</f>
        <v>October</v>
      </c>
      <c r="H2650" s="3" t="s">
        <v>1082</v>
      </c>
      <c r="I2650" s="3" t="s">
        <v>39</v>
      </c>
      <c r="J2650" s="3">
        <v>8</v>
      </c>
      <c r="K2650" s="3">
        <v>40794.31</v>
      </c>
      <c r="L2650" s="3">
        <f>Table1[[#This Row],[Price Per Unit]]*Table1[[#This Row],[Units Sold]]</f>
        <v>326354.48</v>
      </c>
      <c r="M2650" s="3" t="s">
        <v>646</v>
      </c>
      <c r="N2650" s="3">
        <v>24</v>
      </c>
      <c r="O2650" s="3" t="s">
        <v>24</v>
      </c>
      <c r="P2650" s="3" t="s">
        <v>16</v>
      </c>
      <c r="Q2650" s="4">
        <v>4</v>
      </c>
      <c r="R2650" s="4" t="str">
        <f>IF(Table1[[#This Row],[Customer Ratings]]&gt;=4, "Good",IF(Table1[[#This Row],[Customer Ratings]]=3, "Average","Poor"))</f>
        <v>Good</v>
      </c>
      <c r="S2650" s="3" t="s">
        <v>76</v>
      </c>
    </row>
    <row r="2651" spans="1:19" x14ac:dyDescent="0.25">
      <c r="A2651" s="3">
        <v>2650</v>
      </c>
      <c r="B2651" s="5">
        <f>DATE(Table1[[#This Row],[Year]],Table1[[#This Row],[Month]],Table1[[#This Row],[Day]])</f>
        <v>45230</v>
      </c>
      <c r="C2651" s="3">
        <v>31</v>
      </c>
      <c r="D2651" s="3">
        <v>10</v>
      </c>
      <c r="E2651" s="3">
        <v>2023</v>
      </c>
      <c r="F2651" s="3" t="str">
        <f>"Qtr"&amp; " " &amp;CHOOSE(MONTH(Table1[[#This Row],[Date]]),1,1,1,2,2,2,3,3,3,4,4,4)</f>
        <v>Qtr 4</v>
      </c>
      <c r="G2651" s="3" t="str">
        <f>TEXT(Table1[[#This Row],[Date]],"mmmm")</f>
        <v>October</v>
      </c>
      <c r="H2651" s="3" t="s">
        <v>1082</v>
      </c>
      <c r="I2651" s="3" t="s">
        <v>28</v>
      </c>
      <c r="J2651" s="3">
        <v>6</v>
      </c>
      <c r="K2651" s="3">
        <v>45230.75</v>
      </c>
      <c r="L2651" s="3">
        <f>Table1[[#This Row],[Price Per Unit]]*Table1[[#This Row],[Units Sold]]</f>
        <v>271384.5</v>
      </c>
      <c r="M2651" s="3" t="s">
        <v>677</v>
      </c>
      <c r="N2651" s="3">
        <v>53</v>
      </c>
      <c r="O2651" s="3" t="s">
        <v>137</v>
      </c>
      <c r="P2651" s="3" t="s">
        <v>45</v>
      </c>
      <c r="Q2651" s="4">
        <v>5</v>
      </c>
      <c r="R2651" s="4" t="str">
        <f>IF(Table1[[#This Row],[Customer Ratings]]&gt;=4, "Good",IF(Table1[[#This Row],[Customer Ratings]]=3, "Average","Poor"))</f>
        <v>Good</v>
      </c>
      <c r="S2651" s="3" t="s">
        <v>38</v>
      </c>
    </row>
    <row r="2652" spans="1:19" x14ac:dyDescent="0.25">
      <c r="A2652" s="3">
        <v>2651</v>
      </c>
      <c r="B2652" s="5">
        <f>DATE(Table1[[#This Row],[Year]],Table1[[#This Row],[Month]],Table1[[#This Row],[Day]])</f>
        <v>45230</v>
      </c>
      <c r="C2652" s="3">
        <v>31</v>
      </c>
      <c r="D2652" s="3">
        <v>10</v>
      </c>
      <c r="E2652" s="3">
        <v>2023</v>
      </c>
      <c r="F2652" s="3" t="str">
        <f>"Qtr"&amp; " " &amp;CHOOSE(MONTH(Table1[[#This Row],[Date]]),1,1,1,2,2,2,3,3,3,4,4,4)</f>
        <v>Qtr 4</v>
      </c>
      <c r="G2652" s="3" t="str">
        <f>TEXT(Table1[[#This Row],[Date]],"mmmm")</f>
        <v>October</v>
      </c>
      <c r="H2652" s="3" t="s">
        <v>1082</v>
      </c>
      <c r="I2652" s="3" t="s">
        <v>33</v>
      </c>
      <c r="J2652" s="3">
        <v>7</v>
      </c>
      <c r="K2652" s="3">
        <v>38589.360000000001</v>
      </c>
      <c r="L2652" s="3">
        <f>Table1[[#This Row],[Price Per Unit]]*Table1[[#This Row],[Units Sold]]</f>
        <v>270125.52</v>
      </c>
      <c r="M2652" s="3" t="s">
        <v>825</v>
      </c>
      <c r="N2652" s="3">
        <v>30</v>
      </c>
      <c r="O2652" s="3" t="s">
        <v>24</v>
      </c>
      <c r="P2652" s="3" t="s">
        <v>31</v>
      </c>
      <c r="Q2652" s="4">
        <v>2</v>
      </c>
      <c r="R2652" s="4" t="str">
        <f>IF(Table1[[#This Row],[Customer Ratings]]&gt;=4, "Good",IF(Table1[[#This Row],[Customer Ratings]]=3, "Average","Poor"))</f>
        <v>Poor</v>
      </c>
      <c r="S2652" s="3" t="s">
        <v>36</v>
      </c>
    </row>
    <row r="2653" spans="1:19" x14ac:dyDescent="0.25">
      <c r="A2653" s="3">
        <v>2652</v>
      </c>
      <c r="B2653" s="5">
        <f>DATE(Table1[[#This Row],[Year]],Table1[[#This Row],[Month]],Table1[[#This Row],[Day]])</f>
        <v>45230</v>
      </c>
      <c r="C2653" s="3">
        <v>31</v>
      </c>
      <c r="D2653" s="3">
        <v>10</v>
      </c>
      <c r="E2653" s="3">
        <v>2023</v>
      </c>
      <c r="F2653" s="3" t="str">
        <f>"Qtr"&amp; " " &amp;CHOOSE(MONTH(Table1[[#This Row],[Date]]),1,1,1,2,2,2,3,3,3,4,4,4)</f>
        <v>Qtr 4</v>
      </c>
      <c r="G2653" s="3" t="str">
        <f>TEXT(Table1[[#This Row],[Date]],"mmmm")</f>
        <v>October</v>
      </c>
      <c r="H2653" s="3" t="s">
        <v>1082</v>
      </c>
      <c r="I2653" s="3" t="s">
        <v>18</v>
      </c>
      <c r="J2653" s="3">
        <v>5</v>
      </c>
      <c r="K2653" s="3">
        <v>29542.44</v>
      </c>
      <c r="L2653" s="3">
        <f>Table1[[#This Row],[Price Per Unit]]*Table1[[#This Row],[Units Sold]]</f>
        <v>147712.19999999998</v>
      </c>
      <c r="M2653" s="3" t="s">
        <v>614</v>
      </c>
      <c r="N2653" s="3">
        <v>37</v>
      </c>
      <c r="O2653" s="3" t="s">
        <v>48</v>
      </c>
      <c r="P2653" s="3" t="s">
        <v>21</v>
      </c>
      <c r="Q2653" s="4">
        <v>5</v>
      </c>
      <c r="R2653" s="4" t="str">
        <f>IF(Table1[[#This Row],[Customer Ratings]]&gt;=4, "Good",IF(Table1[[#This Row],[Customer Ratings]]=3, "Average","Poor"))</f>
        <v>Good</v>
      </c>
      <c r="S2653" s="3" t="s">
        <v>55</v>
      </c>
    </row>
    <row r="2654" spans="1:19" x14ac:dyDescent="0.25">
      <c r="A2654" s="3">
        <v>2653</v>
      </c>
      <c r="B2654" s="5">
        <f>DATE(Table1[[#This Row],[Year]],Table1[[#This Row],[Month]],Table1[[#This Row],[Day]])</f>
        <v>45231</v>
      </c>
      <c r="C2654" s="3">
        <v>1</v>
      </c>
      <c r="D2654" s="3">
        <v>11</v>
      </c>
      <c r="E2654" s="3">
        <v>2023</v>
      </c>
      <c r="F2654" s="3" t="str">
        <f>"Qtr"&amp; " " &amp;CHOOSE(MONTH(Table1[[#This Row],[Date]]),1,1,1,2,2,2,3,3,3,4,4,4)</f>
        <v>Qtr 4</v>
      </c>
      <c r="G2654" s="3" t="str">
        <f>TEXT(Table1[[#This Row],[Date]],"mmmm")</f>
        <v>November</v>
      </c>
      <c r="H2654" s="3" t="s">
        <v>1083</v>
      </c>
      <c r="I2654" s="3" t="s">
        <v>13</v>
      </c>
      <c r="J2654" s="3">
        <v>9</v>
      </c>
      <c r="K2654" s="3">
        <v>53298.91</v>
      </c>
      <c r="L2654" s="3">
        <f>Table1[[#This Row],[Price Per Unit]]*Table1[[#This Row],[Units Sold]]</f>
        <v>479690.19000000006</v>
      </c>
      <c r="M2654" s="3" t="s">
        <v>355</v>
      </c>
      <c r="N2654" s="3">
        <v>47</v>
      </c>
      <c r="O2654" s="3" t="s">
        <v>78</v>
      </c>
      <c r="P2654" s="3" t="s">
        <v>16</v>
      </c>
      <c r="Q2654" s="4">
        <v>5</v>
      </c>
      <c r="R2654" s="4" t="str">
        <f>IF(Table1[[#This Row],[Customer Ratings]]&gt;=4, "Good",IF(Table1[[#This Row],[Customer Ratings]]=3, "Average","Poor"))</f>
        <v>Good</v>
      </c>
      <c r="S2654" s="3" t="s">
        <v>17</v>
      </c>
    </row>
    <row r="2655" spans="1:19" x14ac:dyDescent="0.25">
      <c r="A2655" s="3">
        <v>2654</v>
      </c>
      <c r="B2655" s="5">
        <f>DATE(Table1[[#This Row],[Year]],Table1[[#This Row],[Month]],Table1[[#This Row],[Day]])</f>
        <v>45231</v>
      </c>
      <c r="C2655" s="3">
        <v>1</v>
      </c>
      <c r="D2655" s="3">
        <v>11</v>
      </c>
      <c r="E2655" s="3">
        <v>2023</v>
      </c>
      <c r="F2655" s="3" t="str">
        <f>"Qtr"&amp; " " &amp;CHOOSE(MONTH(Table1[[#This Row],[Date]]),1,1,1,2,2,2,3,3,3,4,4,4)</f>
        <v>Qtr 4</v>
      </c>
      <c r="G2655" s="3" t="str">
        <f>TEXT(Table1[[#This Row],[Date]],"mmmm")</f>
        <v>November</v>
      </c>
      <c r="H2655" s="3" t="s">
        <v>1083</v>
      </c>
      <c r="I2655" s="3" t="s">
        <v>18</v>
      </c>
      <c r="J2655" s="3">
        <v>5</v>
      </c>
      <c r="K2655" s="3">
        <v>14479.7</v>
      </c>
      <c r="L2655" s="3">
        <f>Table1[[#This Row],[Price Per Unit]]*Table1[[#This Row],[Units Sold]]</f>
        <v>72398.5</v>
      </c>
      <c r="M2655" s="3" t="s">
        <v>240</v>
      </c>
      <c r="N2655" s="3">
        <v>47</v>
      </c>
      <c r="O2655" s="3" t="s">
        <v>20</v>
      </c>
      <c r="P2655" s="3" t="s">
        <v>16</v>
      </c>
      <c r="Q2655" s="4">
        <v>5</v>
      </c>
      <c r="R2655" s="4" t="str">
        <f>IF(Table1[[#This Row],[Customer Ratings]]&gt;=4, "Good",IF(Table1[[#This Row],[Customer Ratings]]=3, "Average","Poor"))</f>
        <v>Good</v>
      </c>
      <c r="S2655" s="3" t="s">
        <v>25</v>
      </c>
    </row>
    <row r="2656" spans="1:19" x14ac:dyDescent="0.25">
      <c r="A2656" s="3">
        <v>2655</v>
      </c>
      <c r="B2656" s="5">
        <f>DATE(Table1[[#This Row],[Year]],Table1[[#This Row],[Month]],Table1[[#This Row],[Day]])</f>
        <v>45231</v>
      </c>
      <c r="C2656" s="3">
        <v>1</v>
      </c>
      <c r="D2656" s="3">
        <v>11</v>
      </c>
      <c r="E2656" s="3">
        <v>2023</v>
      </c>
      <c r="F2656" s="3" t="str">
        <f>"Qtr"&amp; " " &amp;CHOOSE(MONTH(Table1[[#This Row],[Date]]),1,1,1,2,2,2,3,3,3,4,4,4)</f>
        <v>Qtr 4</v>
      </c>
      <c r="G2656" s="3" t="str">
        <f>TEXT(Table1[[#This Row],[Date]],"mmmm")</f>
        <v>November</v>
      </c>
      <c r="H2656" s="3" t="s">
        <v>1083</v>
      </c>
      <c r="I2656" s="3" t="s">
        <v>28</v>
      </c>
      <c r="J2656" s="3">
        <v>5</v>
      </c>
      <c r="K2656" s="3">
        <v>64866.42</v>
      </c>
      <c r="L2656" s="3">
        <f>Table1[[#This Row],[Price Per Unit]]*Table1[[#This Row],[Units Sold]]</f>
        <v>324332.09999999998</v>
      </c>
      <c r="M2656" s="3" t="s">
        <v>851</v>
      </c>
      <c r="N2656" s="3">
        <v>28</v>
      </c>
      <c r="O2656" s="3" t="s">
        <v>65</v>
      </c>
      <c r="P2656" s="3" t="s">
        <v>31</v>
      </c>
      <c r="Q2656" s="4">
        <v>3</v>
      </c>
      <c r="R2656" s="4" t="str">
        <f>IF(Table1[[#This Row],[Customer Ratings]]&gt;=4, "Good",IF(Table1[[#This Row],[Customer Ratings]]=3, "Average","Poor"))</f>
        <v>Average</v>
      </c>
      <c r="S2656" s="3" t="s">
        <v>87</v>
      </c>
    </row>
    <row r="2657" spans="1:19" x14ac:dyDescent="0.25">
      <c r="A2657" s="3">
        <v>2656</v>
      </c>
      <c r="B2657" s="5">
        <f>DATE(Table1[[#This Row],[Year]],Table1[[#This Row],[Month]],Table1[[#This Row],[Day]])</f>
        <v>45231</v>
      </c>
      <c r="C2657" s="3">
        <v>1</v>
      </c>
      <c r="D2657" s="3">
        <v>11</v>
      </c>
      <c r="E2657" s="3">
        <v>2023</v>
      </c>
      <c r="F2657" s="3" t="str">
        <f>"Qtr"&amp; " " &amp;CHOOSE(MONTH(Table1[[#This Row],[Date]]),1,1,1,2,2,2,3,3,3,4,4,4)</f>
        <v>Qtr 4</v>
      </c>
      <c r="G2657" s="3" t="str">
        <f>TEXT(Table1[[#This Row],[Date]],"mmmm")</f>
        <v>November</v>
      </c>
      <c r="H2657" s="3" t="s">
        <v>1083</v>
      </c>
      <c r="I2657" s="3" t="s">
        <v>33</v>
      </c>
      <c r="J2657" s="3">
        <v>3</v>
      </c>
      <c r="K2657" s="3">
        <v>11238.61</v>
      </c>
      <c r="L2657" s="3">
        <f>Table1[[#This Row],[Price Per Unit]]*Table1[[#This Row],[Units Sold]]</f>
        <v>33715.83</v>
      </c>
      <c r="M2657" s="3" t="s">
        <v>533</v>
      </c>
      <c r="N2657" s="3">
        <v>48</v>
      </c>
      <c r="O2657" s="3" t="s">
        <v>24</v>
      </c>
      <c r="P2657" s="3" t="s">
        <v>31</v>
      </c>
      <c r="Q2657" s="4">
        <v>2</v>
      </c>
      <c r="R2657" s="4" t="str">
        <f>IF(Table1[[#This Row],[Customer Ratings]]&gt;=4, "Good",IF(Table1[[#This Row],[Customer Ratings]]=3, "Average","Poor"))</f>
        <v>Poor</v>
      </c>
      <c r="S2657" s="3" t="s">
        <v>46</v>
      </c>
    </row>
    <row r="2658" spans="1:19" x14ac:dyDescent="0.25">
      <c r="A2658" s="3">
        <v>2657</v>
      </c>
      <c r="B2658" s="5">
        <f>DATE(Table1[[#This Row],[Year]],Table1[[#This Row],[Month]],Table1[[#This Row],[Day]])</f>
        <v>45232</v>
      </c>
      <c r="C2658" s="3">
        <v>2</v>
      </c>
      <c r="D2658" s="3">
        <v>11</v>
      </c>
      <c r="E2658" s="3">
        <v>2023</v>
      </c>
      <c r="F2658" s="3" t="str">
        <f>"Qtr"&amp; " " &amp;CHOOSE(MONTH(Table1[[#This Row],[Date]]),1,1,1,2,2,2,3,3,3,4,4,4)</f>
        <v>Qtr 4</v>
      </c>
      <c r="G2658" s="3" t="str">
        <f>TEXT(Table1[[#This Row],[Date]],"mmmm")</f>
        <v>November</v>
      </c>
      <c r="H2658" s="3" t="s">
        <v>1084</v>
      </c>
      <c r="I2658" s="3" t="s">
        <v>28</v>
      </c>
      <c r="J2658" s="3">
        <v>1</v>
      </c>
      <c r="K2658" s="3">
        <v>67741.009999999995</v>
      </c>
      <c r="L2658" s="3">
        <f>Table1[[#This Row],[Price Per Unit]]*Table1[[#This Row],[Units Sold]]</f>
        <v>67741.009999999995</v>
      </c>
      <c r="M2658" s="3" t="s">
        <v>802</v>
      </c>
      <c r="N2658" s="3">
        <v>20</v>
      </c>
      <c r="O2658" s="3" t="s">
        <v>20</v>
      </c>
      <c r="P2658" s="3" t="s">
        <v>21</v>
      </c>
      <c r="Q2658" s="4">
        <v>2</v>
      </c>
      <c r="R2658" s="4" t="str">
        <f>IF(Table1[[#This Row],[Customer Ratings]]&gt;=4, "Good",IF(Table1[[#This Row],[Customer Ratings]]=3, "Average","Poor"))</f>
        <v>Poor</v>
      </c>
      <c r="S2658" s="3" t="s">
        <v>87</v>
      </c>
    </row>
    <row r="2659" spans="1:19" x14ac:dyDescent="0.25">
      <c r="A2659" s="3">
        <v>2658</v>
      </c>
      <c r="B2659" s="5">
        <f>DATE(Table1[[#This Row],[Year]],Table1[[#This Row],[Month]],Table1[[#This Row],[Day]])</f>
        <v>45232</v>
      </c>
      <c r="C2659" s="3">
        <v>2</v>
      </c>
      <c r="D2659" s="3">
        <v>11</v>
      </c>
      <c r="E2659" s="3">
        <v>2023</v>
      </c>
      <c r="F2659" s="3" t="str">
        <f>"Qtr"&amp; " " &amp;CHOOSE(MONTH(Table1[[#This Row],[Date]]),1,1,1,2,2,2,3,3,3,4,4,4)</f>
        <v>Qtr 4</v>
      </c>
      <c r="G2659" s="3" t="str">
        <f>TEXT(Table1[[#This Row],[Date]],"mmmm")</f>
        <v>November</v>
      </c>
      <c r="H2659" s="3" t="s">
        <v>1084</v>
      </c>
      <c r="I2659" s="3" t="s">
        <v>33</v>
      </c>
      <c r="J2659" s="3">
        <v>2</v>
      </c>
      <c r="K2659" s="3">
        <v>37741.339999999997</v>
      </c>
      <c r="L2659" s="3">
        <f>Table1[[#This Row],[Price Per Unit]]*Table1[[#This Row],[Units Sold]]</f>
        <v>75482.679999999993</v>
      </c>
      <c r="M2659" s="3" t="s">
        <v>59</v>
      </c>
      <c r="N2659" s="3">
        <v>19</v>
      </c>
      <c r="O2659" s="3" t="s">
        <v>35</v>
      </c>
      <c r="P2659" s="3" t="s">
        <v>21</v>
      </c>
      <c r="Q2659" s="4">
        <v>4</v>
      </c>
      <c r="R2659" s="4" t="str">
        <f>IF(Table1[[#This Row],[Customer Ratings]]&gt;=4, "Good",IF(Table1[[#This Row],[Customer Ratings]]=3, "Average","Poor"))</f>
        <v>Good</v>
      </c>
      <c r="S2659" s="3" t="s">
        <v>46</v>
      </c>
    </row>
    <row r="2660" spans="1:19" x14ac:dyDescent="0.25">
      <c r="A2660" s="3">
        <v>2659</v>
      </c>
      <c r="B2660" s="5">
        <f>DATE(Table1[[#This Row],[Year]],Table1[[#This Row],[Month]],Table1[[#This Row],[Day]])</f>
        <v>45232</v>
      </c>
      <c r="C2660" s="3">
        <v>2</v>
      </c>
      <c r="D2660" s="3">
        <v>11</v>
      </c>
      <c r="E2660" s="3">
        <v>2023</v>
      </c>
      <c r="F2660" s="3" t="str">
        <f>"Qtr"&amp; " " &amp;CHOOSE(MONTH(Table1[[#This Row],[Date]]),1,1,1,2,2,2,3,3,3,4,4,4)</f>
        <v>Qtr 4</v>
      </c>
      <c r="G2660" s="3" t="str">
        <f>TEXT(Table1[[#This Row],[Date]],"mmmm")</f>
        <v>November</v>
      </c>
      <c r="H2660" s="3" t="s">
        <v>1084</v>
      </c>
      <c r="I2660" s="3" t="s">
        <v>39</v>
      </c>
      <c r="J2660" s="3">
        <v>8</v>
      </c>
      <c r="K2660" s="3">
        <v>34760.199999999997</v>
      </c>
      <c r="L2660" s="3">
        <f>Table1[[#This Row],[Price Per Unit]]*Table1[[#This Row],[Units Sold]]</f>
        <v>278081.59999999998</v>
      </c>
      <c r="M2660" s="3" t="s">
        <v>754</v>
      </c>
      <c r="N2660" s="3">
        <v>20</v>
      </c>
      <c r="O2660" s="3" t="s">
        <v>20</v>
      </c>
      <c r="P2660" s="3" t="s">
        <v>21</v>
      </c>
      <c r="Q2660" s="4">
        <v>5</v>
      </c>
      <c r="R2660" s="4" t="str">
        <f>IF(Table1[[#This Row],[Customer Ratings]]&gt;=4, "Good",IF(Table1[[#This Row],[Customer Ratings]]=3, "Average","Poor"))</f>
        <v>Good</v>
      </c>
      <c r="S2660" s="3" t="s">
        <v>76</v>
      </c>
    </row>
    <row r="2661" spans="1:19" x14ac:dyDescent="0.25">
      <c r="A2661" s="3">
        <v>2660</v>
      </c>
      <c r="B2661" s="5">
        <f>DATE(Table1[[#This Row],[Year]],Table1[[#This Row],[Month]],Table1[[#This Row],[Day]])</f>
        <v>45232</v>
      </c>
      <c r="C2661" s="3">
        <v>2</v>
      </c>
      <c r="D2661" s="3">
        <v>11</v>
      </c>
      <c r="E2661" s="3">
        <v>2023</v>
      </c>
      <c r="F2661" s="3" t="str">
        <f>"Qtr"&amp; " " &amp;CHOOSE(MONTH(Table1[[#This Row],[Date]]),1,1,1,2,2,2,3,3,3,4,4,4)</f>
        <v>Qtr 4</v>
      </c>
      <c r="G2661" s="3" t="str">
        <f>TEXT(Table1[[#This Row],[Date]],"mmmm")</f>
        <v>November</v>
      </c>
      <c r="H2661" s="3" t="s">
        <v>1084</v>
      </c>
      <c r="I2661" s="3" t="s">
        <v>13</v>
      </c>
      <c r="J2661" s="3">
        <v>1</v>
      </c>
      <c r="K2661" s="3">
        <v>25386.639999999999</v>
      </c>
      <c r="L2661" s="3">
        <f>Table1[[#This Row],[Price Per Unit]]*Table1[[#This Row],[Units Sold]]</f>
        <v>25386.639999999999</v>
      </c>
      <c r="M2661" s="3" t="s">
        <v>345</v>
      </c>
      <c r="N2661" s="3">
        <v>32</v>
      </c>
      <c r="O2661" s="3" t="s">
        <v>78</v>
      </c>
      <c r="P2661" s="3" t="s">
        <v>16</v>
      </c>
      <c r="Q2661" s="4">
        <v>4</v>
      </c>
      <c r="R2661" s="4" t="str">
        <f>IF(Table1[[#This Row],[Customer Ratings]]&gt;=4, "Good",IF(Table1[[#This Row],[Customer Ratings]]=3, "Average","Poor"))</f>
        <v>Good</v>
      </c>
      <c r="S2661" s="3" t="s">
        <v>17</v>
      </c>
    </row>
    <row r="2662" spans="1:19" x14ac:dyDescent="0.25">
      <c r="A2662" s="3">
        <v>2661</v>
      </c>
      <c r="B2662" s="5">
        <f>DATE(Table1[[#This Row],[Year]],Table1[[#This Row],[Month]],Table1[[#This Row],[Day]])</f>
        <v>45233</v>
      </c>
      <c r="C2662" s="3">
        <v>3</v>
      </c>
      <c r="D2662" s="3">
        <v>11</v>
      </c>
      <c r="E2662" s="3">
        <v>2023</v>
      </c>
      <c r="F2662" s="3" t="str">
        <f>"Qtr"&amp; " " &amp;CHOOSE(MONTH(Table1[[#This Row],[Date]]),1,1,1,2,2,2,3,3,3,4,4,4)</f>
        <v>Qtr 4</v>
      </c>
      <c r="G2662" s="3" t="str">
        <f>TEXT(Table1[[#This Row],[Date]],"mmmm")</f>
        <v>November</v>
      </c>
      <c r="H2662" s="3" t="s">
        <v>1085</v>
      </c>
      <c r="I2662" s="3" t="s">
        <v>39</v>
      </c>
      <c r="J2662" s="3">
        <v>7</v>
      </c>
      <c r="K2662" s="3">
        <v>10604.27</v>
      </c>
      <c r="L2662" s="3">
        <f>Table1[[#This Row],[Price Per Unit]]*Table1[[#This Row],[Units Sold]]</f>
        <v>74229.89</v>
      </c>
      <c r="M2662" s="3" t="s">
        <v>408</v>
      </c>
      <c r="N2662" s="3">
        <v>34</v>
      </c>
      <c r="O2662" s="3" t="s">
        <v>58</v>
      </c>
      <c r="P2662" s="3" t="s">
        <v>16</v>
      </c>
      <c r="Q2662" s="4">
        <v>5</v>
      </c>
      <c r="R2662" s="4" t="str">
        <f>IF(Table1[[#This Row],[Customer Ratings]]&gt;=4, "Good",IF(Table1[[#This Row],[Customer Ratings]]=3, "Average","Poor"))</f>
        <v>Good</v>
      </c>
      <c r="S2662" s="3" t="s">
        <v>90</v>
      </c>
    </row>
    <row r="2663" spans="1:19" x14ac:dyDescent="0.25">
      <c r="A2663" s="3">
        <v>2662</v>
      </c>
      <c r="B2663" s="5">
        <f>DATE(Table1[[#This Row],[Year]],Table1[[#This Row],[Month]],Table1[[#This Row],[Day]])</f>
        <v>45233</v>
      </c>
      <c r="C2663" s="3">
        <v>3</v>
      </c>
      <c r="D2663" s="3">
        <v>11</v>
      </c>
      <c r="E2663" s="3">
        <v>2023</v>
      </c>
      <c r="F2663" s="3" t="str">
        <f>"Qtr"&amp; " " &amp;CHOOSE(MONTH(Table1[[#This Row],[Date]]),1,1,1,2,2,2,3,3,3,4,4,4)</f>
        <v>Qtr 4</v>
      </c>
      <c r="G2663" s="3" t="str">
        <f>TEXT(Table1[[#This Row],[Date]],"mmmm")</f>
        <v>November</v>
      </c>
      <c r="H2663" s="3" t="s">
        <v>1085</v>
      </c>
      <c r="I2663" s="3" t="s">
        <v>39</v>
      </c>
      <c r="J2663" s="3">
        <v>5</v>
      </c>
      <c r="K2663" s="3">
        <v>26487.42</v>
      </c>
      <c r="L2663" s="3">
        <f>Table1[[#This Row],[Price Per Unit]]*Table1[[#This Row],[Units Sold]]</f>
        <v>132437.09999999998</v>
      </c>
      <c r="M2663" s="3" t="s">
        <v>498</v>
      </c>
      <c r="N2663" s="3">
        <v>24</v>
      </c>
      <c r="O2663" s="3" t="s">
        <v>24</v>
      </c>
      <c r="P2663" s="3" t="s">
        <v>21</v>
      </c>
      <c r="Q2663" s="4">
        <v>5</v>
      </c>
      <c r="R2663" s="4" t="str">
        <f>IF(Table1[[#This Row],[Customer Ratings]]&gt;=4, "Good",IF(Table1[[#This Row],[Customer Ratings]]=3, "Average","Poor"))</f>
        <v>Good</v>
      </c>
      <c r="S2663" s="3" t="s">
        <v>42</v>
      </c>
    </row>
    <row r="2664" spans="1:19" x14ac:dyDescent="0.25">
      <c r="A2664" s="3">
        <v>2663</v>
      </c>
      <c r="B2664" s="5">
        <f>DATE(Table1[[#This Row],[Year]],Table1[[#This Row],[Month]],Table1[[#This Row],[Day]])</f>
        <v>45233</v>
      </c>
      <c r="C2664" s="3">
        <v>3</v>
      </c>
      <c r="D2664" s="3">
        <v>11</v>
      </c>
      <c r="E2664" s="3">
        <v>2023</v>
      </c>
      <c r="F2664" s="3" t="str">
        <f>"Qtr"&amp; " " &amp;CHOOSE(MONTH(Table1[[#This Row],[Date]]),1,1,1,2,2,2,3,3,3,4,4,4)</f>
        <v>Qtr 4</v>
      </c>
      <c r="G2664" s="3" t="str">
        <f>TEXT(Table1[[#This Row],[Date]],"mmmm")</f>
        <v>November</v>
      </c>
      <c r="H2664" s="3" t="s">
        <v>1085</v>
      </c>
      <c r="I2664" s="3" t="s">
        <v>28</v>
      </c>
      <c r="J2664" s="3">
        <v>3</v>
      </c>
      <c r="K2664" s="3">
        <v>16564</v>
      </c>
      <c r="L2664" s="3">
        <f>Table1[[#This Row],[Price Per Unit]]*Table1[[#This Row],[Units Sold]]</f>
        <v>49692</v>
      </c>
      <c r="M2664" s="3" t="s">
        <v>235</v>
      </c>
      <c r="N2664" s="3">
        <v>22</v>
      </c>
      <c r="O2664" s="3" t="s">
        <v>65</v>
      </c>
      <c r="P2664" s="3" t="s">
        <v>16</v>
      </c>
      <c r="Q2664" s="4">
        <v>5</v>
      </c>
      <c r="R2664" s="4" t="str">
        <f>IF(Table1[[#This Row],[Customer Ratings]]&gt;=4, "Good",IF(Table1[[#This Row],[Customer Ratings]]=3, "Average","Poor"))</f>
        <v>Good</v>
      </c>
      <c r="S2664" s="3" t="s">
        <v>32</v>
      </c>
    </row>
    <row r="2665" spans="1:19" x14ac:dyDescent="0.25">
      <c r="A2665" s="3">
        <v>2664</v>
      </c>
      <c r="B2665" s="5">
        <f>DATE(Table1[[#This Row],[Year]],Table1[[#This Row],[Month]],Table1[[#This Row],[Day]])</f>
        <v>45233</v>
      </c>
      <c r="C2665" s="3">
        <v>3</v>
      </c>
      <c r="D2665" s="3">
        <v>11</v>
      </c>
      <c r="E2665" s="3">
        <v>2023</v>
      </c>
      <c r="F2665" s="3" t="str">
        <f>"Qtr"&amp; " " &amp;CHOOSE(MONTH(Table1[[#This Row],[Date]]),1,1,1,2,2,2,3,3,3,4,4,4)</f>
        <v>Qtr 4</v>
      </c>
      <c r="G2665" s="3" t="str">
        <f>TEXT(Table1[[#This Row],[Date]],"mmmm")</f>
        <v>November</v>
      </c>
      <c r="H2665" s="3" t="s">
        <v>1085</v>
      </c>
      <c r="I2665" s="3" t="s">
        <v>13</v>
      </c>
      <c r="J2665" s="3">
        <v>7</v>
      </c>
      <c r="K2665" s="3">
        <v>49589.25</v>
      </c>
      <c r="L2665" s="3">
        <f>Table1[[#This Row],[Price Per Unit]]*Table1[[#This Row],[Units Sold]]</f>
        <v>347124.75</v>
      </c>
      <c r="M2665" s="3" t="s">
        <v>241</v>
      </c>
      <c r="N2665" s="3">
        <v>51</v>
      </c>
      <c r="O2665" s="3" t="s">
        <v>20</v>
      </c>
      <c r="P2665" s="3" t="s">
        <v>31</v>
      </c>
      <c r="Q2665" s="4">
        <v>5</v>
      </c>
      <c r="R2665" s="4" t="str">
        <f>IF(Table1[[#This Row],[Customer Ratings]]&gt;=4, "Good",IF(Table1[[#This Row],[Customer Ratings]]=3, "Average","Poor"))</f>
        <v>Good</v>
      </c>
      <c r="S2665" s="3" t="s">
        <v>72</v>
      </c>
    </row>
    <row r="2666" spans="1:19" x14ac:dyDescent="0.25">
      <c r="A2666" s="3">
        <v>2665</v>
      </c>
      <c r="B2666" s="5">
        <f>DATE(Table1[[#This Row],[Year]],Table1[[#This Row],[Month]],Table1[[#This Row],[Day]])</f>
        <v>45234</v>
      </c>
      <c r="C2666" s="3">
        <v>4</v>
      </c>
      <c r="D2666" s="3">
        <v>11</v>
      </c>
      <c r="E2666" s="3">
        <v>2023</v>
      </c>
      <c r="F2666" s="3" t="str">
        <f>"Qtr"&amp; " " &amp;CHOOSE(MONTH(Table1[[#This Row],[Date]]),1,1,1,2,2,2,3,3,3,4,4,4)</f>
        <v>Qtr 4</v>
      </c>
      <c r="G2666" s="3" t="str">
        <f>TEXT(Table1[[#This Row],[Date]],"mmmm")</f>
        <v>November</v>
      </c>
      <c r="H2666" s="3" t="s">
        <v>1079</v>
      </c>
      <c r="I2666" s="3" t="s">
        <v>33</v>
      </c>
      <c r="J2666" s="3">
        <v>9</v>
      </c>
      <c r="K2666" s="3">
        <v>29144.5</v>
      </c>
      <c r="L2666" s="3">
        <f>Table1[[#This Row],[Price Per Unit]]*Table1[[#This Row],[Units Sold]]</f>
        <v>262300.5</v>
      </c>
      <c r="M2666" s="3" t="s">
        <v>832</v>
      </c>
      <c r="N2666" s="3">
        <v>50</v>
      </c>
      <c r="O2666" s="3" t="s">
        <v>24</v>
      </c>
      <c r="P2666" s="3" t="s">
        <v>45</v>
      </c>
      <c r="Q2666" s="4">
        <v>4</v>
      </c>
      <c r="R2666" s="4" t="str">
        <f>IF(Table1[[#This Row],[Customer Ratings]]&gt;=4, "Good",IF(Table1[[#This Row],[Customer Ratings]]=3, "Average","Poor"))</f>
        <v>Good</v>
      </c>
      <c r="S2666" s="3" t="s">
        <v>36</v>
      </c>
    </row>
    <row r="2667" spans="1:19" x14ac:dyDescent="0.25">
      <c r="A2667" s="3">
        <v>2666</v>
      </c>
      <c r="B2667" s="5">
        <f>DATE(Table1[[#This Row],[Year]],Table1[[#This Row],[Month]],Table1[[#This Row],[Day]])</f>
        <v>45234</v>
      </c>
      <c r="C2667" s="3">
        <v>4</v>
      </c>
      <c r="D2667" s="3">
        <v>11</v>
      </c>
      <c r="E2667" s="3">
        <v>2023</v>
      </c>
      <c r="F2667" s="3" t="str">
        <f>"Qtr"&amp; " " &amp;CHOOSE(MONTH(Table1[[#This Row],[Date]]),1,1,1,2,2,2,3,3,3,4,4,4)</f>
        <v>Qtr 4</v>
      </c>
      <c r="G2667" s="3" t="str">
        <f>TEXT(Table1[[#This Row],[Date]],"mmmm")</f>
        <v>November</v>
      </c>
      <c r="H2667" s="3" t="s">
        <v>1079</v>
      </c>
      <c r="I2667" s="3" t="s">
        <v>33</v>
      </c>
      <c r="J2667" s="3">
        <v>2</v>
      </c>
      <c r="K2667" s="3">
        <v>56030.76</v>
      </c>
      <c r="L2667" s="3">
        <f>Table1[[#This Row],[Price Per Unit]]*Table1[[#This Row],[Units Sold]]</f>
        <v>112061.52</v>
      </c>
      <c r="M2667" s="3" t="s">
        <v>377</v>
      </c>
      <c r="N2667" s="3">
        <v>33</v>
      </c>
      <c r="O2667" s="3" t="s">
        <v>120</v>
      </c>
      <c r="P2667" s="3" t="s">
        <v>16</v>
      </c>
      <c r="Q2667" s="4">
        <v>5</v>
      </c>
      <c r="R2667" s="4" t="str">
        <f>IF(Table1[[#This Row],[Customer Ratings]]&gt;=4, "Good",IF(Table1[[#This Row],[Customer Ratings]]=3, "Average","Poor"))</f>
        <v>Good</v>
      </c>
      <c r="S2667" s="3" t="s">
        <v>36</v>
      </c>
    </row>
    <row r="2668" spans="1:19" x14ac:dyDescent="0.25">
      <c r="A2668" s="3">
        <v>2667</v>
      </c>
      <c r="B2668" s="5">
        <f>DATE(Table1[[#This Row],[Year]],Table1[[#This Row],[Month]],Table1[[#This Row],[Day]])</f>
        <v>45234</v>
      </c>
      <c r="C2668" s="3">
        <v>4</v>
      </c>
      <c r="D2668" s="3">
        <v>11</v>
      </c>
      <c r="E2668" s="3">
        <v>2023</v>
      </c>
      <c r="F2668" s="3" t="str">
        <f>"Qtr"&amp; " " &amp;CHOOSE(MONTH(Table1[[#This Row],[Date]]),1,1,1,2,2,2,3,3,3,4,4,4)</f>
        <v>Qtr 4</v>
      </c>
      <c r="G2668" s="3" t="str">
        <f>TEXT(Table1[[#This Row],[Date]],"mmmm")</f>
        <v>November</v>
      </c>
      <c r="H2668" s="3" t="s">
        <v>1079</v>
      </c>
      <c r="I2668" s="3" t="s">
        <v>18</v>
      </c>
      <c r="J2668" s="3">
        <v>8</v>
      </c>
      <c r="K2668" s="3">
        <v>22414.97</v>
      </c>
      <c r="L2668" s="3">
        <f>Table1[[#This Row],[Price Per Unit]]*Table1[[#This Row],[Units Sold]]</f>
        <v>179319.76</v>
      </c>
      <c r="M2668" s="3" t="s">
        <v>732</v>
      </c>
      <c r="N2668" s="3">
        <v>54</v>
      </c>
      <c r="O2668" s="3" t="s">
        <v>48</v>
      </c>
      <c r="P2668" s="3" t="s">
        <v>21</v>
      </c>
      <c r="Q2668" s="4">
        <v>5</v>
      </c>
      <c r="R2668" s="4" t="str">
        <f>IF(Table1[[#This Row],[Customer Ratings]]&gt;=4, "Good",IF(Table1[[#This Row],[Customer Ratings]]=3, "Average","Poor"))</f>
        <v>Good</v>
      </c>
      <c r="S2668" s="3" t="s">
        <v>25</v>
      </c>
    </row>
    <row r="2669" spans="1:19" x14ac:dyDescent="0.25">
      <c r="A2669" s="3">
        <v>2668</v>
      </c>
      <c r="B2669" s="5">
        <f>DATE(Table1[[#This Row],[Year]],Table1[[#This Row],[Month]],Table1[[#This Row],[Day]])</f>
        <v>45234</v>
      </c>
      <c r="C2669" s="3">
        <v>4</v>
      </c>
      <c r="D2669" s="3">
        <v>11</v>
      </c>
      <c r="E2669" s="3">
        <v>2023</v>
      </c>
      <c r="F2669" s="3" t="str">
        <f>"Qtr"&amp; " " &amp;CHOOSE(MONTH(Table1[[#This Row],[Date]]),1,1,1,2,2,2,3,3,3,4,4,4)</f>
        <v>Qtr 4</v>
      </c>
      <c r="G2669" s="3" t="str">
        <f>TEXT(Table1[[#This Row],[Date]],"mmmm")</f>
        <v>November</v>
      </c>
      <c r="H2669" s="3" t="s">
        <v>1079</v>
      </c>
      <c r="I2669" s="3" t="s">
        <v>33</v>
      </c>
      <c r="J2669" s="3">
        <v>9</v>
      </c>
      <c r="K2669" s="3">
        <v>64014.09</v>
      </c>
      <c r="L2669" s="3">
        <f>Table1[[#This Row],[Price Per Unit]]*Table1[[#This Row],[Units Sold]]</f>
        <v>576126.80999999994</v>
      </c>
      <c r="M2669" s="3" t="s">
        <v>878</v>
      </c>
      <c r="N2669" s="3">
        <v>20</v>
      </c>
      <c r="O2669" s="3" t="s">
        <v>20</v>
      </c>
      <c r="P2669" s="3" t="s">
        <v>16</v>
      </c>
      <c r="Q2669" s="4">
        <v>2</v>
      </c>
      <c r="R2669" s="4" t="str">
        <f>IF(Table1[[#This Row],[Customer Ratings]]&gt;=4, "Good",IF(Table1[[#This Row],[Customer Ratings]]=3, "Average","Poor"))</f>
        <v>Poor</v>
      </c>
      <c r="S2669" s="3" t="s">
        <v>46</v>
      </c>
    </row>
    <row r="2670" spans="1:19" x14ac:dyDescent="0.25">
      <c r="A2670" s="3">
        <v>2669</v>
      </c>
      <c r="B2670" s="5">
        <f>DATE(Table1[[#This Row],[Year]],Table1[[#This Row],[Month]],Table1[[#This Row],[Day]])</f>
        <v>45235</v>
      </c>
      <c r="C2670" s="3">
        <v>5</v>
      </c>
      <c r="D2670" s="3">
        <v>11</v>
      </c>
      <c r="E2670" s="3">
        <v>2023</v>
      </c>
      <c r="F2670" s="3" t="str">
        <f>"Qtr"&amp; " " &amp;CHOOSE(MONTH(Table1[[#This Row],[Date]]),1,1,1,2,2,2,3,3,3,4,4,4)</f>
        <v>Qtr 4</v>
      </c>
      <c r="G2670" s="3" t="str">
        <f>TEXT(Table1[[#This Row],[Date]],"mmmm")</f>
        <v>November</v>
      </c>
      <c r="H2670" s="3" t="s">
        <v>1080</v>
      </c>
      <c r="I2670" s="3" t="s">
        <v>28</v>
      </c>
      <c r="J2670" s="3">
        <v>3</v>
      </c>
      <c r="K2670" s="3">
        <v>41378.89</v>
      </c>
      <c r="L2670" s="3">
        <f>Table1[[#This Row],[Price Per Unit]]*Table1[[#This Row],[Units Sold]]</f>
        <v>124136.67</v>
      </c>
      <c r="M2670" s="3" t="s">
        <v>388</v>
      </c>
      <c r="N2670" s="3">
        <v>38</v>
      </c>
      <c r="O2670" s="3" t="s">
        <v>41</v>
      </c>
      <c r="P2670" s="3" t="s">
        <v>31</v>
      </c>
      <c r="Q2670" s="4">
        <v>2</v>
      </c>
      <c r="R2670" s="4" t="str">
        <f>IF(Table1[[#This Row],[Customer Ratings]]&gt;=4, "Good",IF(Table1[[#This Row],[Customer Ratings]]=3, "Average","Poor"))</f>
        <v>Poor</v>
      </c>
      <c r="S2670" s="3" t="s">
        <v>38</v>
      </c>
    </row>
    <row r="2671" spans="1:19" x14ac:dyDescent="0.25">
      <c r="A2671" s="3">
        <v>2670</v>
      </c>
      <c r="B2671" s="5">
        <f>DATE(Table1[[#This Row],[Year]],Table1[[#This Row],[Month]],Table1[[#This Row],[Day]])</f>
        <v>45235</v>
      </c>
      <c r="C2671" s="3">
        <v>5</v>
      </c>
      <c r="D2671" s="3">
        <v>11</v>
      </c>
      <c r="E2671" s="3">
        <v>2023</v>
      </c>
      <c r="F2671" s="3" t="str">
        <f>"Qtr"&amp; " " &amp;CHOOSE(MONTH(Table1[[#This Row],[Date]]),1,1,1,2,2,2,3,3,3,4,4,4)</f>
        <v>Qtr 4</v>
      </c>
      <c r="G2671" s="3" t="str">
        <f>TEXT(Table1[[#This Row],[Date]],"mmmm")</f>
        <v>November</v>
      </c>
      <c r="H2671" s="3" t="s">
        <v>1080</v>
      </c>
      <c r="I2671" s="3" t="s">
        <v>39</v>
      </c>
      <c r="J2671" s="3">
        <v>2</v>
      </c>
      <c r="K2671" s="3">
        <v>16870.37</v>
      </c>
      <c r="L2671" s="3">
        <f>Table1[[#This Row],[Price Per Unit]]*Table1[[#This Row],[Units Sold]]</f>
        <v>33740.74</v>
      </c>
      <c r="M2671" s="3" t="s">
        <v>525</v>
      </c>
      <c r="N2671" s="3">
        <v>58</v>
      </c>
      <c r="O2671" s="3" t="s">
        <v>24</v>
      </c>
      <c r="P2671" s="3" t="s">
        <v>21</v>
      </c>
      <c r="Q2671" s="4">
        <v>2</v>
      </c>
      <c r="R2671" s="4" t="str">
        <f>IF(Table1[[#This Row],[Customer Ratings]]&gt;=4, "Good",IF(Table1[[#This Row],[Customer Ratings]]=3, "Average","Poor"))</f>
        <v>Poor</v>
      </c>
      <c r="S2671" s="3" t="s">
        <v>90</v>
      </c>
    </row>
    <row r="2672" spans="1:19" x14ac:dyDescent="0.25">
      <c r="A2672" s="3">
        <v>2671</v>
      </c>
      <c r="B2672" s="5">
        <f>DATE(Table1[[#This Row],[Year]],Table1[[#This Row],[Month]],Table1[[#This Row],[Day]])</f>
        <v>45235</v>
      </c>
      <c r="C2672" s="3">
        <v>5</v>
      </c>
      <c r="D2672" s="3">
        <v>11</v>
      </c>
      <c r="E2672" s="3">
        <v>2023</v>
      </c>
      <c r="F2672" s="3" t="str">
        <f>"Qtr"&amp; " " &amp;CHOOSE(MONTH(Table1[[#This Row],[Date]]),1,1,1,2,2,2,3,3,3,4,4,4)</f>
        <v>Qtr 4</v>
      </c>
      <c r="G2672" s="3" t="str">
        <f>TEXT(Table1[[#This Row],[Date]],"mmmm")</f>
        <v>November</v>
      </c>
      <c r="H2672" s="3" t="s">
        <v>1080</v>
      </c>
      <c r="I2672" s="3" t="s">
        <v>39</v>
      </c>
      <c r="J2672" s="3">
        <v>7</v>
      </c>
      <c r="K2672" s="3">
        <v>34050.71</v>
      </c>
      <c r="L2672" s="3">
        <f>Table1[[#This Row],[Price Per Unit]]*Table1[[#This Row],[Units Sold]]</f>
        <v>238354.97</v>
      </c>
      <c r="M2672" s="3" t="s">
        <v>274</v>
      </c>
      <c r="N2672" s="3">
        <v>25</v>
      </c>
      <c r="O2672" s="3" t="s">
        <v>20</v>
      </c>
      <c r="P2672" s="3" t="s">
        <v>45</v>
      </c>
      <c r="Q2672" s="4">
        <v>3</v>
      </c>
      <c r="R2672" s="4" t="str">
        <f>IF(Table1[[#This Row],[Customer Ratings]]&gt;=4, "Good",IF(Table1[[#This Row],[Customer Ratings]]=3, "Average","Poor"))</f>
        <v>Average</v>
      </c>
      <c r="S2672" s="3" t="s">
        <v>76</v>
      </c>
    </row>
    <row r="2673" spans="1:19" x14ac:dyDescent="0.25">
      <c r="A2673" s="3">
        <v>2672</v>
      </c>
      <c r="B2673" s="5">
        <f>DATE(Table1[[#This Row],[Year]],Table1[[#This Row],[Month]],Table1[[#This Row],[Day]])</f>
        <v>45236</v>
      </c>
      <c r="C2673" s="3">
        <v>6</v>
      </c>
      <c r="D2673" s="3">
        <v>11</v>
      </c>
      <c r="E2673" s="3">
        <v>2023</v>
      </c>
      <c r="F2673" s="3" t="str">
        <f>"Qtr"&amp; " " &amp;CHOOSE(MONTH(Table1[[#This Row],[Date]]),1,1,1,2,2,2,3,3,3,4,4,4)</f>
        <v>Qtr 4</v>
      </c>
      <c r="G2673" s="3" t="str">
        <f>TEXT(Table1[[#This Row],[Date]],"mmmm")</f>
        <v>November</v>
      </c>
      <c r="H2673" s="3" t="s">
        <v>1081</v>
      </c>
      <c r="I2673" s="3" t="s">
        <v>39</v>
      </c>
      <c r="J2673" s="3">
        <v>5</v>
      </c>
      <c r="K2673" s="3">
        <v>22405.63</v>
      </c>
      <c r="L2673" s="3">
        <f>Table1[[#This Row],[Price Per Unit]]*Table1[[#This Row],[Units Sold]]</f>
        <v>112028.15000000001</v>
      </c>
      <c r="M2673" s="3" t="s">
        <v>411</v>
      </c>
      <c r="N2673" s="3">
        <v>39</v>
      </c>
      <c r="O2673" s="3" t="s">
        <v>20</v>
      </c>
      <c r="P2673" s="3" t="s">
        <v>21</v>
      </c>
      <c r="Q2673" s="4">
        <v>2</v>
      </c>
      <c r="R2673" s="4" t="str">
        <f>IF(Table1[[#This Row],[Customer Ratings]]&gt;=4, "Good",IF(Table1[[#This Row],[Customer Ratings]]=3, "Average","Poor"))</f>
        <v>Poor</v>
      </c>
      <c r="S2673" s="3" t="s">
        <v>76</v>
      </c>
    </row>
    <row r="2674" spans="1:19" x14ac:dyDescent="0.25">
      <c r="A2674" s="3">
        <v>2673</v>
      </c>
      <c r="B2674" s="5">
        <f>DATE(Table1[[#This Row],[Year]],Table1[[#This Row],[Month]],Table1[[#This Row],[Day]])</f>
        <v>45236</v>
      </c>
      <c r="C2674" s="3">
        <v>6</v>
      </c>
      <c r="D2674" s="3">
        <v>11</v>
      </c>
      <c r="E2674" s="3">
        <v>2023</v>
      </c>
      <c r="F2674" s="3" t="str">
        <f>"Qtr"&amp; " " &amp;CHOOSE(MONTH(Table1[[#This Row],[Date]]),1,1,1,2,2,2,3,3,3,4,4,4)</f>
        <v>Qtr 4</v>
      </c>
      <c r="G2674" s="3" t="str">
        <f>TEXT(Table1[[#This Row],[Date]],"mmmm")</f>
        <v>November</v>
      </c>
      <c r="H2674" s="3" t="s">
        <v>1081</v>
      </c>
      <c r="I2674" s="3" t="s">
        <v>13</v>
      </c>
      <c r="J2674" s="3">
        <v>5</v>
      </c>
      <c r="K2674" s="3">
        <v>21981.13</v>
      </c>
      <c r="L2674" s="3">
        <f>Table1[[#This Row],[Price Per Unit]]*Table1[[#This Row],[Units Sold]]</f>
        <v>109905.65000000001</v>
      </c>
      <c r="M2674" s="3" t="s">
        <v>185</v>
      </c>
      <c r="N2674" s="3">
        <v>22</v>
      </c>
      <c r="O2674" s="3" t="s">
        <v>20</v>
      </c>
      <c r="P2674" s="3" t="s">
        <v>21</v>
      </c>
      <c r="Q2674" s="4">
        <v>3</v>
      </c>
      <c r="R2674" s="4" t="str">
        <f>IF(Table1[[#This Row],[Customer Ratings]]&gt;=4, "Good",IF(Table1[[#This Row],[Customer Ratings]]=3, "Average","Poor"))</f>
        <v>Average</v>
      </c>
      <c r="S2674" s="3" t="s">
        <v>17</v>
      </c>
    </row>
    <row r="2675" spans="1:19" x14ac:dyDescent="0.25">
      <c r="A2675" s="3">
        <v>2674</v>
      </c>
      <c r="B2675" s="5">
        <f>DATE(Table1[[#This Row],[Year]],Table1[[#This Row],[Month]],Table1[[#This Row],[Day]])</f>
        <v>45236</v>
      </c>
      <c r="C2675" s="3">
        <v>6</v>
      </c>
      <c r="D2675" s="3">
        <v>11</v>
      </c>
      <c r="E2675" s="3">
        <v>2023</v>
      </c>
      <c r="F2675" s="3" t="str">
        <f>"Qtr"&amp; " " &amp;CHOOSE(MONTH(Table1[[#This Row],[Date]]),1,1,1,2,2,2,3,3,3,4,4,4)</f>
        <v>Qtr 4</v>
      </c>
      <c r="G2675" s="3" t="str">
        <f>TEXT(Table1[[#This Row],[Date]],"mmmm")</f>
        <v>November</v>
      </c>
      <c r="H2675" s="3" t="s">
        <v>1081</v>
      </c>
      <c r="I2675" s="3" t="s">
        <v>33</v>
      </c>
      <c r="J2675" s="3">
        <v>5</v>
      </c>
      <c r="K2675" s="3">
        <v>40382.18</v>
      </c>
      <c r="L2675" s="3">
        <f>Table1[[#This Row],[Price Per Unit]]*Table1[[#This Row],[Units Sold]]</f>
        <v>201910.9</v>
      </c>
      <c r="M2675" s="3" t="s">
        <v>960</v>
      </c>
      <c r="N2675" s="3">
        <v>34</v>
      </c>
      <c r="O2675" s="3" t="s">
        <v>105</v>
      </c>
      <c r="P2675" s="3" t="s">
        <v>21</v>
      </c>
      <c r="Q2675" s="4">
        <v>3</v>
      </c>
      <c r="R2675" s="4" t="str">
        <f>IF(Table1[[#This Row],[Customer Ratings]]&gt;=4, "Good",IF(Table1[[#This Row],[Customer Ratings]]=3, "Average","Poor"))</f>
        <v>Average</v>
      </c>
      <c r="S2675" s="3" t="s">
        <v>46</v>
      </c>
    </row>
    <row r="2676" spans="1:19" x14ac:dyDescent="0.25">
      <c r="A2676" s="3">
        <v>2675</v>
      </c>
      <c r="B2676" s="5">
        <f>DATE(Table1[[#This Row],[Year]],Table1[[#This Row],[Month]],Table1[[#This Row],[Day]])</f>
        <v>45237</v>
      </c>
      <c r="C2676" s="3">
        <v>7</v>
      </c>
      <c r="D2676" s="3">
        <v>11</v>
      </c>
      <c r="E2676" s="3">
        <v>2023</v>
      </c>
      <c r="F2676" s="3" t="str">
        <f>"Qtr"&amp; " " &amp;CHOOSE(MONTH(Table1[[#This Row],[Date]]),1,1,1,2,2,2,3,3,3,4,4,4)</f>
        <v>Qtr 4</v>
      </c>
      <c r="G2676" s="3" t="str">
        <f>TEXT(Table1[[#This Row],[Date]],"mmmm")</f>
        <v>November</v>
      </c>
      <c r="H2676" s="3" t="s">
        <v>1082</v>
      </c>
      <c r="I2676" s="3" t="s">
        <v>28</v>
      </c>
      <c r="J2676" s="3">
        <v>4</v>
      </c>
      <c r="K2676" s="3">
        <v>50313.52</v>
      </c>
      <c r="L2676" s="3">
        <f>Table1[[#This Row],[Price Per Unit]]*Table1[[#This Row],[Units Sold]]</f>
        <v>201254.08</v>
      </c>
      <c r="M2676" s="3" t="s">
        <v>562</v>
      </c>
      <c r="N2676" s="3">
        <v>54</v>
      </c>
      <c r="O2676" s="3" t="s">
        <v>48</v>
      </c>
      <c r="P2676" s="3" t="s">
        <v>16</v>
      </c>
      <c r="Q2676" s="4">
        <v>4</v>
      </c>
      <c r="R2676" s="4" t="str">
        <f>IF(Table1[[#This Row],[Customer Ratings]]&gt;=4, "Good",IF(Table1[[#This Row],[Customer Ratings]]=3, "Average","Poor"))</f>
        <v>Good</v>
      </c>
      <c r="S2676" s="3" t="s">
        <v>38</v>
      </c>
    </row>
    <row r="2677" spans="1:19" x14ac:dyDescent="0.25">
      <c r="A2677" s="3">
        <v>2676</v>
      </c>
      <c r="B2677" s="5">
        <f>DATE(Table1[[#This Row],[Year]],Table1[[#This Row],[Month]],Table1[[#This Row],[Day]])</f>
        <v>45237</v>
      </c>
      <c r="C2677" s="3">
        <v>7</v>
      </c>
      <c r="D2677" s="3">
        <v>11</v>
      </c>
      <c r="E2677" s="3">
        <v>2023</v>
      </c>
      <c r="F2677" s="3" t="str">
        <f>"Qtr"&amp; " " &amp;CHOOSE(MONTH(Table1[[#This Row],[Date]]),1,1,1,2,2,2,3,3,3,4,4,4)</f>
        <v>Qtr 4</v>
      </c>
      <c r="G2677" s="3" t="str">
        <f>TEXT(Table1[[#This Row],[Date]],"mmmm")</f>
        <v>November</v>
      </c>
      <c r="H2677" s="3" t="s">
        <v>1082</v>
      </c>
      <c r="I2677" s="3" t="s">
        <v>13</v>
      </c>
      <c r="J2677" s="3">
        <v>5</v>
      </c>
      <c r="K2677" s="3">
        <v>64697.09</v>
      </c>
      <c r="L2677" s="3">
        <f>Table1[[#This Row],[Price Per Unit]]*Table1[[#This Row],[Units Sold]]</f>
        <v>323485.44999999995</v>
      </c>
      <c r="M2677" s="3" t="s">
        <v>945</v>
      </c>
      <c r="N2677" s="3">
        <v>31</v>
      </c>
      <c r="O2677" s="3" t="s">
        <v>54</v>
      </c>
      <c r="P2677" s="3" t="s">
        <v>45</v>
      </c>
      <c r="Q2677" s="4">
        <v>2</v>
      </c>
      <c r="R2677" s="4" t="str">
        <f>IF(Table1[[#This Row],[Customer Ratings]]&gt;=4, "Good",IF(Table1[[#This Row],[Customer Ratings]]=3, "Average","Poor"))</f>
        <v>Poor</v>
      </c>
      <c r="S2677" s="3" t="s">
        <v>27</v>
      </c>
    </row>
    <row r="2678" spans="1:19" x14ac:dyDescent="0.25">
      <c r="A2678" s="3">
        <v>2677</v>
      </c>
      <c r="B2678" s="5">
        <f>DATE(Table1[[#This Row],[Year]],Table1[[#This Row],[Month]],Table1[[#This Row],[Day]])</f>
        <v>45237</v>
      </c>
      <c r="C2678" s="3">
        <v>7</v>
      </c>
      <c r="D2678" s="3">
        <v>11</v>
      </c>
      <c r="E2678" s="3">
        <v>2023</v>
      </c>
      <c r="F2678" s="3" t="str">
        <f>"Qtr"&amp; " " &amp;CHOOSE(MONTH(Table1[[#This Row],[Date]]),1,1,1,2,2,2,3,3,3,4,4,4)</f>
        <v>Qtr 4</v>
      </c>
      <c r="G2678" s="3" t="str">
        <f>TEXT(Table1[[#This Row],[Date]],"mmmm")</f>
        <v>November</v>
      </c>
      <c r="H2678" s="3" t="s">
        <v>1082</v>
      </c>
      <c r="I2678" s="3" t="s">
        <v>18</v>
      </c>
      <c r="J2678" s="3">
        <v>4</v>
      </c>
      <c r="K2678" s="3">
        <v>40129.72</v>
      </c>
      <c r="L2678" s="3">
        <f>Table1[[#This Row],[Price Per Unit]]*Table1[[#This Row],[Units Sold]]</f>
        <v>160518.88</v>
      </c>
      <c r="M2678" s="3" t="s">
        <v>270</v>
      </c>
      <c r="N2678" s="3">
        <v>56</v>
      </c>
      <c r="O2678" s="3" t="s">
        <v>137</v>
      </c>
      <c r="P2678" s="3" t="s">
        <v>31</v>
      </c>
      <c r="Q2678" s="4">
        <v>5</v>
      </c>
      <c r="R2678" s="4" t="str">
        <f>IF(Table1[[#This Row],[Customer Ratings]]&gt;=4, "Good",IF(Table1[[#This Row],[Customer Ratings]]=3, "Average","Poor"))</f>
        <v>Good</v>
      </c>
      <c r="S2678" s="3" t="s">
        <v>25</v>
      </c>
    </row>
    <row r="2679" spans="1:19" x14ac:dyDescent="0.25">
      <c r="A2679" s="3">
        <v>2678</v>
      </c>
      <c r="B2679" s="5">
        <f>DATE(Table1[[#This Row],[Year]],Table1[[#This Row],[Month]],Table1[[#This Row],[Day]])</f>
        <v>45238</v>
      </c>
      <c r="C2679" s="3">
        <v>8</v>
      </c>
      <c r="D2679" s="3">
        <v>11</v>
      </c>
      <c r="E2679" s="3">
        <v>2023</v>
      </c>
      <c r="F2679" s="3" t="str">
        <f>"Qtr"&amp; " " &amp;CHOOSE(MONTH(Table1[[#This Row],[Date]]),1,1,1,2,2,2,3,3,3,4,4,4)</f>
        <v>Qtr 4</v>
      </c>
      <c r="G2679" s="3" t="str">
        <f>TEXT(Table1[[#This Row],[Date]],"mmmm")</f>
        <v>November</v>
      </c>
      <c r="H2679" s="3" t="s">
        <v>1083</v>
      </c>
      <c r="I2679" s="3" t="s">
        <v>28</v>
      </c>
      <c r="J2679" s="3">
        <v>6</v>
      </c>
      <c r="K2679" s="3">
        <v>67950.33</v>
      </c>
      <c r="L2679" s="3">
        <f>Table1[[#This Row],[Price Per Unit]]*Table1[[#This Row],[Units Sold]]</f>
        <v>407701.98</v>
      </c>
      <c r="M2679" s="3" t="s">
        <v>995</v>
      </c>
      <c r="N2679" s="3">
        <v>58</v>
      </c>
      <c r="O2679" s="3" t="s">
        <v>20</v>
      </c>
      <c r="P2679" s="3" t="s">
        <v>16</v>
      </c>
      <c r="Q2679" s="4">
        <v>5</v>
      </c>
      <c r="R2679" s="4" t="str">
        <f>IF(Table1[[#This Row],[Customer Ratings]]&gt;=4, "Good",IF(Table1[[#This Row],[Customer Ratings]]=3, "Average","Poor"))</f>
        <v>Good</v>
      </c>
      <c r="S2679" s="3" t="s">
        <v>87</v>
      </c>
    </row>
    <row r="2680" spans="1:19" x14ac:dyDescent="0.25">
      <c r="A2680" s="3">
        <v>2679</v>
      </c>
      <c r="B2680" s="5">
        <f>DATE(Table1[[#This Row],[Year]],Table1[[#This Row],[Month]],Table1[[#This Row],[Day]])</f>
        <v>45238</v>
      </c>
      <c r="C2680" s="3">
        <v>8</v>
      </c>
      <c r="D2680" s="3">
        <v>11</v>
      </c>
      <c r="E2680" s="3">
        <v>2023</v>
      </c>
      <c r="F2680" s="3" t="str">
        <f>"Qtr"&amp; " " &amp;CHOOSE(MONTH(Table1[[#This Row],[Date]]),1,1,1,2,2,2,3,3,3,4,4,4)</f>
        <v>Qtr 4</v>
      </c>
      <c r="G2680" s="3" t="str">
        <f>TEXT(Table1[[#This Row],[Date]],"mmmm")</f>
        <v>November</v>
      </c>
      <c r="H2680" s="3" t="s">
        <v>1083</v>
      </c>
      <c r="I2680" s="3" t="s">
        <v>28</v>
      </c>
      <c r="J2680" s="3">
        <v>4</v>
      </c>
      <c r="K2680" s="3">
        <v>66498.09</v>
      </c>
      <c r="L2680" s="3">
        <f>Table1[[#This Row],[Price Per Unit]]*Table1[[#This Row],[Units Sold]]</f>
        <v>265992.36</v>
      </c>
      <c r="M2680" s="3" t="s">
        <v>829</v>
      </c>
      <c r="N2680" s="3">
        <v>45</v>
      </c>
      <c r="O2680" s="3" t="s">
        <v>52</v>
      </c>
      <c r="P2680" s="3" t="s">
        <v>45</v>
      </c>
      <c r="Q2680" s="4">
        <v>5</v>
      </c>
      <c r="R2680" s="4" t="str">
        <f>IF(Table1[[#This Row],[Customer Ratings]]&gt;=4, "Good",IF(Table1[[#This Row],[Customer Ratings]]=3, "Average","Poor"))</f>
        <v>Good</v>
      </c>
      <c r="S2680" s="3" t="s">
        <v>32</v>
      </c>
    </row>
    <row r="2681" spans="1:19" x14ac:dyDescent="0.25">
      <c r="A2681" s="3">
        <v>2680</v>
      </c>
      <c r="B2681" s="5">
        <f>DATE(Table1[[#This Row],[Year]],Table1[[#This Row],[Month]],Table1[[#This Row],[Day]])</f>
        <v>45238</v>
      </c>
      <c r="C2681" s="3">
        <v>8</v>
      </c>
      <c r="D2681" s="3">
        <v>11</v>
      </c>
      <c r="E2681" s="3">
        <v>2023</v>
      </c>
      <c r="F2681" s="3" t="str">
        <f>"Qtr"&amp; " " &amp;CHOOSE(MONTH(Table1[[#This Row],[Date]]),1,1,1,2,2,2,3,3,3,4,4,4)</f>
        <v>Qtr 4</v>
      </c>
      <c r="G2681" s="3" t="str">
        <f>TEXT(Table1[[#This Row],[Date]],"mmmm")</f>
        <v>November</v>
      </c>
      <c r="H2681" s="3" t="s">
        <v>1083</v>
      </c>
      <c r="I2681" s="3" t="s">
        <v>28</v>
      </c>
      <c r="J2681" s="3">
        <v>2</v>
      </c>
      <c r="K2681" s="3">
        <v>61903.75</v>
      </c>
      <c r="L2681" s="3">
        <f>Table1[[#This Row],[Price Per Unit]]*Table1[[#This Row],[Units Sold]]</f>
        <v>123807.5</v>
      </c>
      <c r="M2681" s="3" t="s">
        <v>869</v>
      </c>
      <c r="N2681" s="3">
        <v>48</v>
      </c>
      <c r="O2681" s="3" t="s">
        <v>137</v>
      </c>
      <c r="P2681" s="3" t="s">
        <v>45</v>
      </c>
      <c r="Q2681" s="4">
        <v>2</v>
      </c>
      <c r="R2681" s="4" t="str">
        <f>IF(Table1[[#This Row],[Customer Ratings]]&gt;=4, "Good",IF(Table1[[#This Row],[Customer Ratings]]=3, "Average","Poor"))</f>
        <v>Poor</v>
      </c>
      <c r="S2681" s="3" t="s">
        <v>32</v>
      </c>
    </row>
    <row r="2682" spans="1:19" x14ac:dyDescent="0.25">
      <c r="A2682" s="3">
        <v>2681</v>
      </c>
      <c r="B2682" s="5">
        <f>DATE(Table1[[#This Row],[Year]],Table1[[#This Row],[Month]],Table1[[#This Row],[Day]])</f>
        <v>45238</v>
      </c>
      <c r="C2682" s="3">
        <v>8</v>
      </c>
      <c r="D2682" s="3">
        <v>11</v>
      </c>
      <c r="E2682" s="3">
        <v>2023</v>
      </c>
      <c r="F2682" s="3" t="str">
        <f>"Qtr"&amp; " " &amp;CHOOSE(MONTH(Table1[[#This Row],[Date]]),1,1,1,2,2,2,3,3,3,4,4,4)</f>
        <v>Qtr 4</v>
      </c>
      <c r="G2682" s="3" t="str">
        <f>TEXT(Table1[[#This Row],[Date]],"mmmm")</f>
        <v>November</v>
      </c>
      <c r="H2682" s="3" t="s">
        <v>1083</v>
      </c>
      <c r="I2682" s="3" t="s">
        <v>39</v>
      </c>
      <c r="J2682" s="3">
        <v>9</v>
      </c>
      <c r="K2682" s="3">
        <v>39998.639999999999</v>
      </c>
      <c r="L2682" s="3">
        <f>Table1[[#This Row],[Price Per Unit]]*Table1[[#This Row],[Units Sold]]</f>
        <v>359987.76</v>
      </c>
      <c r="M2682" s="3" t="s">
        <v>360</v>
      </c>
      <c r="N2682" s="3">
        <v>34</v>
      </c>
      <c r="O2682" s="3" t="s">
        <v>102</v>
      </c>
      <c r="P2682" s="3" t="s">
        <v>16</v>
      </c>
      <c r="Q2682" s="4">
        <v>5</v>
      </c>
      <c r="R2682" s="4" t="str">
        <f>IF(Table1[[#This Row],[Customer Ratings]]&gt;=4, "Good",IF(Table1[[#This Row],[Customer Ratings]]=3, "Average","Poor"))</f>
        <v>Good</v>
      </c>
      <c r="S2682" s="3" t="s">
        <v>90</v>
      </c>
    </row>
    <row r="2683" spans="1:19" x14ac:dyDescent="0.25">
      <c r="A2683" s="3">
        <v>2682</v>
      </c>
      <c r="B2683" s="5">
        <f>DATE(Table1[[#This Row],[Year]],Table1[[#This Row],[Month]],Table1[[#This Row],[Day]])</f>
        <v>45239</v>
      </c>
      <c r="C2683" s="3">
        <v>9</v>
      </c>
      <c r="D2683" s="3">
        <v>11</v>
      </c>
      <c r="E2683" s="3">
        <v>2023</v>
      </c>
      <c r="F2683" s="3" t="str">
        <f>"Qtr"&amp; " " &amp;CHOOSE(MONTH(Table1[[#This Row],[Date]]),1,1,1,2,2,2,3,3,3,4,4,4)</f>
        <v>Qtr 4</v>
      </c>
      <c r="G2683" s="3" t="str">
        <f>TEXT(Table1[[#This Row],[Date]],"mmmm")</f>
        <v>November</v>
      </c>
      <c r="H2683" s="3" t="s">
        <v>1084</v>
      </c>
      <c r="I2683" s="3" t="s">
        <v>28</v>
      </c>
      <c r="J2683" s="3">
        <v>2</v>
      </c>
      <c r="K2683" s="3">
        <v>18454.240000000002</v>
      </c>
      <c r="L2683" s="3">
        <f>Table1[[#This Row],[Price Per Unit]]*Table1[[#This Row],[Units Sold]]</f>
        <v>36908.480000000003</v>
      </c>
      <c r="M2683" s="3" t="s">
        <v>479</v>
      </c>
      <c r="N2683" s="3">
        <v>52</v>
      </c>
      <c r="O2683" s="3" t="s">
        <v>24</v>
      </c>
      <c r="P2683" s="3" t="s">
        <v>21</v>
      </c>
      <c r="Q2683" s="4">
        <v>2</v>
      </c>
      <c r="R2683" s="4" t="str">
        <f>IF(Table1[[#This Row],[Customer Ratings]]&gt;=4, "Good",IF(Table1[[#This Row],[Customer Ratings]]=3, "Average","Poor"))</f>
        <v>Poor</v>
      </c>
      <c r="S2683" s="3" t="s">
        <v>38</v>
      </c>
    </row>
    <row r="2684" spans="1:19" x14ac:dyDescent="0.25">
      <c r="A2684" s="3">
        <v>2683</v>
      </c>
      <c r="B2684" s="5">
        <f>DATE(Table1[[#This Row],[Year]],Table1[[#This Row],[Month]],Table1[[#This Row],[Day]])</f>
        <v>45239</v>
      </c>
      <c r="C2684" s="3">
        <v>9</v>
      </c>
      <c r="D2684" s="3">
        <v>11</v>
      </c>
      <c r="E2684" s="3">
        <v>2023</v>
      </c>
      <c r="F2684" s="3" t="str">
        <f>"Qtr"&amp; " " &amp;CHOOSE(MONTH(Table1[[#This Row],[Date]]),1,1,1,2,2,2,3,3,3,4,4,4)</f>
        <v>Qtr 4</v>
      </c>
      <c r="G2684" s="3" t="str">
        <f>TEXT(Table1[[#This Row],[Date]],"mmmm")</f>
        <v>November</v>
      </c>
      <c r="H2684" s="3" t="s">
        <v>1084</v>
      </c>
      <c r="I2684" s="3" t="s">
        <v>33</v>
      </c>
      <c r="J2684" s="3">
        <v>9</v>
      </c>
      <c r="K2684" s="3">
        <v>23074.27</v>
      </c>
      <c r="L2684" s="3">
        <f>Table1[[#This Row],[Price Per Unit]]*Table1[[#This Row],[Units Sold]]</f>
        <v>207668.43</v>
      </c>
      <c r="M2684" s="3" t="s">
        <v>152</v>
      </c>
      <c r="N2684" s="3">
        <v>57</v>
      </c>
      <c r="O2684" s="3" t="s">
        <v>102</v>
      </c>
      <c r="P2684" s="3" t="s">
        <v>45</v>
      </c>
      <c r="Q2684" s="4">
        <v>2</v>
      </c>
      <c r="R2684" s="4" t="str">
        <f>IF(Table1[[#This Row],[Customer Ratings]]&gt;=4, "Good",IF(Table1[[#This Row],[Customer Ratings]]=3, "Average","Poor"))</f>
        <v>Poor</v>
      </c>
      <c r="S2684" s="3" t="s">
        <v>36</v>
      </c>
    </row>
    <row r="2685" spans="1:19" x14ac:dyDescent="0.25">
      <c r="A2685" s="3">
        <v>2684</v>
      </c>
      <c r="B2685" s="5">
        <f>DATE(Table1[[#This Row],[Year]],Table1[[#This Row],[Month]],Table1[[#This Row],[Day]])</f>
        <v>45239</v>
      </c>
      <c r="C2685" s="3">
        <v>9</v>
      </c>
      <c r="D2685" s="3">
        <v>11</v>
      </c>
      <c r="E2685" s="3">
        <v>2023</v>
      </c>
      <c r="F2685" s="3" t="str">
        <f>"Qtr"&amp; " " &amp;CHOOSE(MONTH(Table1[[#This Row],[Date]]),1,1,1,2,2,2,3,3,3,4,4,4)</f>
        <v>Qtr 4</v>
      </c>
      <c r="G2685" s="3" t="str">
        <f>TEXT(Table1[[#This Row],[Date]],"mmmm")</f>
        <v>November</v>
      </c>
      <c r="H2685" s="3" t="s">
        <v>1084</v>
      </c>
      <c r="I2685" s="3" t="s">
        <v>28</v>
      </c>
      <c r="J2685" s="3">
        <v>6</v>
      </c>
      <c r="K2685" s="3">
        <v>48860.2</v>
      </c>
      <c r="L2685" s="3">
        <f>Table1[[#This Row],[Price Per Unit]]*Table1[[#This Row],[Units Sold]]</f>
        <v>293161.19999999995</v>
      </c>
      <c r="M2685" s="3" t="s">
        <v>353</v>
      </c>
      <c r="N2685" s="3">
        <v>39</v>
      </c>
      <c r="O2685" s="3" t="s">
        <v>65</v>
      </c>
      <c r="P2685" s="3" t="s">
        <v>31</v>
      </c>
      <c r="Q2685" s="4">
        <v>5</v>
      </c>
      <c r="R2685" s="4" t="str">
        <f>IF(Table1[[#This Row],[Customer Ratings]]&gt;=4, "Good",IF(Table1[[#This Row],[Customer Ratings]]=3, "Average","Poor"))</f>
        <v>Good</v>
      </c>
      <c r="S2685" s="3" t="s">
        <v>38</v>
      </c>
    </row>
    <row r="2686" spans="1:19" x14ac:dyDescent="0.25">
      <c r="A2686" s="3">
        <v>2685</v>
      </c>
      <c r="B2686" s="5">
        <f>DATE(Table1[[#This Row],[Year]],Table1[[#This Row],[Month]],Table1[[#This Row],[Day]])</f>
        <v>45239</v>
      </c>
      <c r="C2686" s="3">
        <v>9</v>
      </c>
      <c r="D2686" s="3">
        <v>11</v>
      </c>
      <c r="E2686" s="3">
        <v>2023</v>
      </c>
      <c r="F2686" s="3" t="str">
        <f>"Qtr"&amp; " " &amp;CHOOSE(MONTH(Table1[[#This Row],[Date]]),1,1,1,2,2,2,3,3,3,4,4,4)</f>
        <v>Qtr 4</v>
      </c>
      <c r="G2686" s="3" t="str">
        <f>TEXT(Table1[[#This Row],[Date]],"mmmm")</f>
        <v>November</v>
      </c>
      <c r="H2686" s="3" t="s">
        <v>1084</v>
      </c>
      <c r="I2686" s="3" t="s">
        <v>39</v>
      </c>
      <c r="J2686" s="3">
        <v>9</v>
      </c>
      <c r="K2686" s="3">
        <v>35305.300000000003</v>
      </c>
      <c r="L2686" s="3">
        <f>Table1[[#This Row],[Price Per Unit]]*Table1[[#This Row],[Units Sold]]</f>
        <v>317747.7</v>
      </c>
      <c r="M2686" s="3" t="s">
        <v>996</v>
      </c>
      <c r="N2686" s="3">
        <v>46</v>
      </c>
      <c r="O2686" s="3" t="s">
        <v>20</v>
      </c>
      <c r="P2686" s="3" t="s">
        <v>16</v>
      </c>
      <c r="Q2686" s="4">
        <v>3</v>
      </c>
      <c r="R2686" s="4" t="str">
        <f>IF(Table1[[#This Row],[Customer Ratings]]&gt;=4, "Good",IF(Table1[[#This Row],[Customer Ratings]]=3, "Average","Poor"))</f>
        <v>Average</v>
      </c>
      <c r="S2686" s="3" t="s">
        <v>76</v>
      </c>
    </row>
    <row r="2687" spans="1:19" x14ac:dyDescent="0.25">
      <c r="A2687" s="3">
        <v>2686</v>
      </c>
      <c r="B2687" s="5">
        <f>DATE(Table1[[#This Row],[Year]],Table1[[#This Row],[Month]],Table1[[#This Row],[Day]])</f>
        <v>45240</v>
      </c>
      <c r="C2687" s="3">
        <v>10</v>
      </c>
      <c r="D2687" s="3">
        <v>11</v>
      </c>
      <c r="E2687" s="3">
        <v>2023</v>
      </c>
      <c r="F2687" s="3" t="str">
        <f>"Qtr"&amp; " " &amp;CHOOSE(MONTH(Table1[[#This Row],[Date]]),1,1,1,2,2,2,3,3,3,4,4,4)</f>
        <v>Qtr 4</v>
      </c>
      <c r="G2687" s="3" t="str">
        <f>TEXT(Table1[[#This Row],[Date]],"mmmm")</f>
        <v>November</v>
      </c>
      <c r="H2687" s="3" t="s">
        <v>1085</v>
      </c>
      <c r="I2687" s="3" t="s">
        <v>28</v>
      </c>
      <c r="J2687" s="3">
        <v>9</v>
      </c>
      <c r="K2687" s="3">
        <v>18808.099999999999</v>
      </c>
      <c r="L2687" s="3">
        <f>Table1[[#This Row],[Price Per Unit]]*Table1[[#This Row],[Units Sold]]</f>
        <v>169272.9</v>
      </c>
      <c r="M2687" s="3" t="s">
        <v>415</v>
      </c>
      <c r="N2687" s="3">
        <v>27</v>
      </c>
      <c r="O2687" s="3" t="s">
        <v>41</v>
      </c>
      <c r="P2687" s="3" t="s">
        <v>45</v>
      </c>
      <c r="Q2687" s="4">
        <v>4</v>
      </c>
      <c r="R2687" s="4" t="str">
        <f>IF(Table1[[#This Row],[Customer Ratings]]&gt;=4, "Good",IF(Table1[[#This Row],[Customer Ratings]]=3, "Average","Poor"))</f>
        <v>Good</v>
      </c>
      <c r="S2687" s="3" t="s">
        <v>38</v>
      </c>
    </row>
    <row r="2688" spans="1:19" x14ac:dyDescent="0.25">
      <c r="A2688" s="3">
        <v>2687</v>
      </c>
      <c r="B2688" s="5">
        <f>DATE(Table1[[#This Row],[Year]],Table1[[#This Row],[Month]],Table1[[#This Row],[Day]])</f>
        <v>45240</v>
      </c>
      <c r="C2688" s="3">
        <v>10</v>
      </c>
      <c r="D2688" s="3">
        <v>11</v>
      </c>
      <c r="E2688" s="3">
        <v>2023</v>
      </c>
      <c r="F2688" s="3" t="str">
        <f>"Qtr"&amp; " " &amp;CHOOSE(MONTH(Table1[[#This Row],[Date]]),1,1,1,2,2,2,3,3,3,4,4,4)</f>
        <v>Qtr 4</v>
      </c>
      <c r="G2688" s="3" t="str">
        <f>TEXT(Table1[[#This Row],[Date]],"mmmm")</f>
        <v>November</v>
      </c>
      <c r="H2688" s="3" t="s">
        <v>1085</v>
      </c>
      <c r="I2688" s="3" t="s">
        <v>18</v>
      </c>
      <c r="J2688" s="3">
        <v>3</v>
      </c>
      <c r="K2688" s="3">
        <v>38739.64</v>
      </c>
      <c r="L2688" s="3">
        <f>Table1[[#This Row],[Price Per Unit]]*Table1[[#This Row],[Units Sold]]</f>
        <v>116218.92</v>
      </c>
      <c r="M2688" s="3" t="s">
        <v>732</v>
      </c>
      <c r="N2688" s="3">
        <v>35</v>
      </c>
      <c r="O2688" s="3" t="s">
        <v>54</v>
      </c>
      <c r="P2688" s="3" t="s">
        <v>31</v>
      </c>
      <c r="Q2688" s="4">
        <v>4</v>
      </c>
      <c r="R2688" s="4" t="str">
        <f>IF(Table1[[#This Row],[Customer Ratings]]&gt;=4, "Good",IF(Table1[[#This Row],[Customer Ratings]]=3, "Average","Poor"))</f>
        <v>Good</v>
      </c>
      <c r="S2688" s="3" t="s">
        <v>22</v>
      </c>
    </row>
    <row r="2689" spans="1:19" x14ac:dyDescent="0.25">
      <c r="A2689" s="3">
        <v>2688</v>
      </c>
      <c r="B2689" s="5">
        <f>DATE(Table1[[#This Row],[Year]],Table1[[#This Row],[Month]],Table1[[#This Row],[Day]])</f>
        <v>45240</v>
      </c>
      <c r="C2689" s="3">
        <v>10</v>
      </c>
      <c r="D2689" s="3">
        <v>11</v>
      </c>
      <c r="E2689" s="3">
        <v>2023</v>
      </c>
      <c r="F2689" s="3" t="str">
        <f>"Qtr"&amp; " " &amp;CHOOSE(MONTH(Table1[[#This Row],[Date]]),1,1,1,2,2,2,3,3,3,4,4,4)</f>
        <v>Qtr 4</v>
      </c>
      <c r="G2689" s="3" t="str">
        <f>TEXT(Table1[[#This Row],[Date]],"mmmm")</f>
        <v>November</v>
      </c>
      <c r="H2689" s="3" t="s">
        <v>1085</v>
      </c>
      <c r="I2689" s="3" t="s">
        <v>18</v>
      </c>
      <c r="J2689" s="3">
        <v>1</v>
      </c>
      <c r="K2689" s="3">
        <v>11045.83</v>
      </c>
      <c r="L2689" s="3">
        <f>Table1[[#This Row],[Price Per Unit]]*Table1[[#This Row],[Units Sold]]</f>
        <v>11045.83</v>
      </c>
      <c r="M2689" s="3" t="s">
        <v>887</v>
      </c>
      <c r="N2689" s="3">
        <v>52</v>
      </c>
      <c r="O2689" s="3" t="s">
        <v>20</v>
      </c>
      <c r="P2689" s="3" t="s">
        <v>31</v>
      </c>
      <c r="Q2689" s="4">
        <v>4</v>
      </c>
      <c r="R2689" s="4" t="str">
        <f>IF(Table1[[#This Row],[Customer Ratings]]&gt;=4, "Good",IF(Table1[[#This Row],[Customer Ratings]]=3, "Average","Poor"))</f>
        <v>Good</v>
      </c>
      <c r="S2689" s="3" t="s">
        <v>55</v>
      </c>
    </row>
    <row r="2690" spans="1:19" x14ac:dyDescent="0.25">
      <c r="A2690" s="3">
        <v>2689</v>
      </c>
      <c r="B2690" s="5">
        <f>DATE(Table1[[#This Row],[Year]],Table1[[#This Row],[Month]],Table1[[#This Row],[Day]])</f>
        <v>45241</v>
      </c>
      <c r="C2690" s="3">
        <v>11</v>
      </c>
      <c r="D2690" s="3">
        <v>11</v>
      </c>
      <c r="E2690" s="3">
        <v>2023</v>
      </c>
      <c r="F2690" s="3" t="str">
        <f>"Qtr"&amp; " " &amp;CHOOSE(MONTH(Table1[[#This Row],[Date]]),1,1,1,2,2,2,3,3,3,4,4,4)</f>
        <v>Qtr 4</v>
      </c>
      <c r="G2690" s="3" t="str">
        <f>TEXT(Table1[[#This Row],[Date]],"mmmm")</f>
        <v>November</v>
      </c>
      <c r="H2690" s="3" t="s">
        <v>1079</v>
      </c>
      <c r="I2690" s="3" t="s">
        <v>39</v>
      </c>
      <c r="J2690" s="3">
        <v>1</v>
      </c>
      <c r="K2690" s="3">
        <v>54033.72</v>
      </c>
      <c r="L2690" s="3">
        <f>Table1[[#This Row],[Price Per Unit]]*Table1[[#This Row],[Units Sold]]</f>
        <v>54033.72</v>
      </c>
      <c r="M2690" s="3" t="s">
        <v>692</v>
      </c>
      <c r="N2690" s="3">
        <v>33</v>
      </c>
      <c r="O2690" s="3" t="s">
        <v>15</v>
      </c>
      <c r="P2690" s="3" t="s">
        <v>31</v>
      </c>
      <c r="Q2690" s="4">
        <v>4</v>
      </c>
      <c r="R2690" s="4" t="str">
        <f>IF(Table1[[#This Row],[Customer Ratings]]&gt;=4, "Good",IF(Table1[[#This Row],[Customer Ratings]]=3, "Average","Poor"))</f>
        <v>Good</v>
      </c>
      <c r="S2690" s="3" t="s">
        <v>90</v>
      </c>
    </row>
    <row r="2691" spans="1:19" x14ac:dyDescent="0.25">
      <c r="A2691" s="3">
        <v>2690</v>
      </c>
      <c r="B2691" s="5">
        <f>DATE(Table1[[#This Row],[Year]],Table1[[#This Row],[Month]],Table1[[#This Row],[Day]])</f>
        <v>45241</v>
      </c>
      <c r="C2691" s="3">
        <v>11</v>
      </c>
      <c r="D2691" s="3">
        <v>11</v>
      </c>
      <c r="E2691" s="3">
        <v>2023</v>
      </c>
      <c r="F2691" s="3" t="str">
        <f>"Qtr"&amp; " " &amp;CHOOSE(MONTH(Table1[[#This Row],[Date]]),1,1,1,2,2,2,3,3,3,4,4,4)</f>
        <v>Qtr 4</v>
      </c>
      <c r="G2691" s="3" t="str">
        <f>TEXT(Table1[[#This Row],[Date]],"mmmm")</f>
        <v>November</v>
      </c>
      <c r="H2691" s="3" t="s">
        <v>1079</v>
      </c>
      <c r="I2691" s="3" t="s">
        <v>33</v>
      </c>
      <c r="J2691" s="3">
        <v>3</v>
      </c>
      <c r="K2691" s="3">
        <v>14414.88</v>
      </c>
      <c r="L2691" s="3">
        <f>Table1[[#This Row],[Price Per Unit]]*Table1[[#This Row],[Units Sold]]</f>
        <v>43244.639999999999</v>
      </c>
      <c r="M2691" s="3" t="s">
        <v>644</v>
      </c>
      <c r="N2691" s="3">
        <v>24</v>
      </c>
      <c r="O2691" s="3" t="s">
        <v>120</v>
      </c>
      <c r="P2691" s="3" t="s">
        <v>31</v>
      </c>
      <c r="Q2691" s="4">
        <v>5</v>
      </c>
      <c r="R2691" s="4" t="str">
        <f>IF(Table1[[#This Row],[Customer Ratings]]&gt;=4, "Good",IF(Table1[[#This Row],[Customer Ratings]]=3, "Average","Poor"))</f>
        <v>Good</v>
      </c>
      <c r="S2691" s="3" t="s">
        <v>46</v>
      </c>
    </row>
    <row r="2692" spans="1:19" x14ac:dyDescent="0.25">
      <c r="A2692" s="3">
        <v>2691</v>
      </c>
      <c r="B2692" s="5">
        <f>DATE(Table1[[#This Row],[Year]],Table1[[#This Row],[Month]],Table1[[#This Row],[Day]])</f>
        <v>45241</v>
      </c>
      <c r="C2692" s="3">
        <v>11</v>
      </c>
      <c r="D2692" s="3">
        <v>11</v>
      </c>
      <c r="E2692" s="3">
        <v>2023</v>
      </c>
      <c r="F2692" s="3" t="str">
        <f>"Qtr"&amp; " " &amp;CHOOSE(MONTH(Table1[[#This Row],[Date]]),1,1,1,2,2,2,3,3,3,4,4,4)</f>
        <v>Qtr 4</v>
      </c>
      <c r="G2692" s="3" t="str">
        <f>TEXT(Table1[[#This Row],[Date]],"mmmm")</f>
        <v>November</v>
      </c>
      <c r="H2692" s="3" t="s">
        <v>1079</v>
      </c>
      <c r="I2692" s="3" t="s">
        <v>33</v>
      </c>
      <c r="J2692" s="3">
        <v>5</v>
      </c>
      <c r="K2692" s="3">
        <v>47746.82</v>
      </c>
      <c r="L2692" s="3">
        <f>Table1[[#This Row],[Price Per Unit]]*Table1[[#This Row],[Units Sold]]</f>
        <v>238734.1</v>
      </c>
      <c r="M2692" s="3" t="s">
        <v>887</v>
      </c>
      <c r="N2692" s="3">
        <v>47</v>
      </c>
      <c r="O2692" s="3" t="s">
        <v>35</v>
      </c>
      <c r="P2692" s="3" t="s">
        <v>16</v>
      </c>
      <c r="Q2692" s="4">
        <v>2</v>
      </c>
      <c r="R2692" s="4" t="str">
        <f>IF(Table1[[#This Row],[Customer Ratings]]&gt;=4, "Good",IF(Table1[[#This Row],[Customer Ratings]]=3, "Average","Poor"))</f>
        <v>Poor</v>
      </c>
      <c r="S2692" s="3" t="s">
        <v>36</v>
      </c>
    </row>
    <row r="2693" spans="1:19" x14ac:dyDescent="0.25">
      <c r="A2693" s="3">
        <v>2692</v>
      </c>
      <c r="B2693" s="5">
        <f>DATE(Table1[[#This Row],[Year]],Table1[[#This Row],[Month]],Table1[[#This Row],[Day]])</f>
        <v>45241</v>
      </c>
      <c r="C2693" s="3">
        <v>11</v>
      </c>
      <c r="D2693" s="3">
        <v>11</v>
      </c>
      <c r="E2693" s="3">
        <v>2023</v>
      </c>
      <c r="F2693" s="3" t="str">
        <f>"Qtr"&amp; " " &amp;CHOOSE(MONTH(Table1[[#This Row],[Date]]),1,1,1,2,2,2,3,3,3,4,4,4)</f>
        <v>Qtr 4</v>
      </c>
      <c r="G2693" s="3" t="str">
        <f>TEXT(Table1[[#This Row],[Date]],"mmmm")</f>
        <v>November</v>
      </c>
      <c r="H2693" s="3" t="s">
        <v>1079</v>
      </c>
      <c r="I2693" s="3" t="s">
        <v>13</v>
      </c>
      <c r="J2693" s="3">
        <v>3</v>
      </c>
      <c r="K2693" s="3">
        <v>57580.62</v>
      </c>
      <c r="L2693" s="3">
        <f>Table1[[#This Row],[Price Per Unit]]*Table1[[#This Row],[Units Sold]]</f>
        <v>172741.86000000002</v>
      </c>
      <c r="M2693" s="3" t="s">
        <v>415</v>
      </c>
      <c r="N2693" s="3">
        <v>36</v>
      </c>
      <c r="O2693" s="3" t="s">
        <v>54</v>
      </c>
      <c r="P2693" s="3" t="s">
        <v>31</v>
      </c>
      <c r="Q2693" s="4">
        <v>5</v>
      </c>
      <c r="R2693" s="4" t="str">
        <f>IF(Table1[[#This Row],[Customer Ratings]]&gt;=4, "Good",IF(Table1[[#This Row],[Customer Ratings]]=3, "Average","Poor"))</f>
        <v>Good</v>
      </c>
      <c r="S2693" s="3" t="s">
        <v>17</v>
      </c>
    </row>
    <row r="2694" spans="1:19" x14ac:dyDescent="0.25">
      <c r="A2694" s="3">
        <v>2693</v>
      </c>
      <c r="B2694" s="5">
        <f>DATE(Table1[[#This Row],[Year]],Table1[[#This Row],[Month]],Table1[[#This Row],[Day]])</f>
        <v>45242</v>
      </c>
      <c r="C2694" s="3">
        <v>12</v>
      </c>
      <c r="D2694" s="3">
        <v>11</v>
      </c>
      <c r="E2694" s="3">
        <v>2023</v>
      </c>
      <c r="F2694" s="3" t="str">
        <f>"Qtr"&amp; " " &amp;CHOOSE(MONTH(Table1[[#This Row],[Date]]),1,1,1,2,2,2,3,3,3,4,4,4)</f>
        <v>Qtr 4</v>
      </c>
      <c r="G2694" s="3" t="str">
        <f>TEXT(Table1[[#This Row],[Date]],"mmmm")</f>
        <v>November</v>
      </c>
      <c r="H2694" s="3" t="s">
        <v>1080</v>
      </c>
      <c r="I2694" s="3" t="s">
        <v>39</v>
      </c>
      <c r="J2694" s="3">
        <v>9</v>
      </c>
      <c r="K2694" s="3">
        <v>17958.63</v>
      </c>
      <c r="L2694" s="3">
        <f>Table1[[#This Row],[Price Per Unit]]*Table1[[#This Row],[Units Sold]]</f>
        <v>161627.67000000001</v>
      </c>
      <c r="M2694" s="3" t="s">
        <v>221</v>
      </c>
      <c r="N2694" s="3">
        <v>40</v>
      </c>
      <c r="O2694" s="3" t="s">
        <v>120</v>
      </c>
      <c r="P2694" s="3" t="s">
        <v>16</v>
      </c>
      <c r="Q2694" s="4">
        <v>4</v>
      </c>
      <c r="R2694" s="4" t="str">
        <f>IF(Table1[[#This Row],[Customer Ratings]]&gt;=4, "Good",IF(Table1[[#This Row],[Customer Ratings]]=3, "Average","Poor"))</f>
        <v>Good</v>
      </c>
      <c r="S2694" s="3" t="s">
        <v>90</v>
      </c>
    </row>
    <row r="2695" spans="1:19" x14ac:dyDescent="0.25">
      <c r="A2695" s="3">
        <v>2694</v>
      </c>
      <c r="B2695" s="5">
        <f>DATE(Table1[[#This Row],[Year]],Table1[[#This Row],[Month]],Table1[[#This Row],[Day]])</f>
        <v>45242</v>
      </c>
      <c r="C2695" s="3">
        <v>12</v>
      </c>
      <c r="D2695" s="3">
        <v>11</v>
      </c>
      <c r="E2695" s="3">
        <v>2023</v>
      </c>
      <c r="F2695" s="3" t="str">
        <f>"Qtr"&amp; " " &amp;CHOOSE(MONTH(Table1[[#This Row],[Date]]),1,1,1,2,2,2,3,3,3,4,4,4)</f>
        <v>Qtr 4</v>
      </c>
      <c r="G2695" s="3" t="str">
        <f>TEXT(Table1[[#This Row],[Date]],"mmmm")</f>
        <v>November</v>
      </c>
      <c r="H2695" s="3" t="s">
        <v>1080</v>
      </c>
      <c r="I2695" s="3" t="s">
        <v>28</v>
      </c>
      <c r="J2695" s="3">
        <v>9</v>
      </c>
      <c r="K2695" s="3">
        <v>41118.32</v>
      </c>
      <c r="L2695" s="3">
        <f>Table1[[#This Row],[Price Per Unit]]*Table1[[#This Row],[Units Sold]]</f>
        <v>370064.88</v>
      </c>
      <c r="M2695" s="3" t="s">
        <v>869</v>
      </c>
      <c r="N2695" s="3">
        <v>25</v>
      </c>
      <c r="O2695" s="3" t="s">
        <v>20</v>
      </c>
      <c r="P2695" s="3" t="s">
        <v>31</v>
      </c>
      <c r="Q2695" s="4">
        <v>4</v>
      </c>
      <c r="R2695" s="4" t="str">
        <f>IF(Table1[[#This Row],[Customer Ratings]]&gt;=4, "Good",IF(Table1[[#This Row],[Customer Ratings]]=3, "Average","Poor"))</f>
        <v>Good</v>
      </c>
      <c r="S2695" s="3" t="s">
        <v>32</v>
      </c>
    </row>
    <row r="2696" spans="1:19" x14ac:dyDescent="0.25">
      <c r="A2696" s="3">
        <v>2695</v>
      </c>
      <c r="B2696" s="5">
        <f>DATE(Table1[[#This Row],[Year]],Table1[[#This Row],[Month]],Table1[[#This Row],[Day]])</f>
        <v>45242</v>
      </c>
      <c r="C2696" s="3">
        <v>12</v>
      </c>
      <c r="D2696" s="3">
        <v>11</v>
      </c>
      <c r="E2696" s="3">
        <v>2023</v>
      </c>
      <c r="F2696" s="3" t="str">
        <f>"Qtr"&amp; " " &amp;CHOOSE(MONTH(Table1[[#This Row],[Date]]),1,1,1,2,2,2,3,3,3,4,4,4)</f>
        <v>Qtr 4</v>
      </c>
      <c r="G2696" s="3" t="str">
        <f>TEXT(Table1[[#This Row],[Date]],"mmmm")</f>
        <v>November</v>
      </c>
      <c r="H2696" s="3" t="s">
        <v>1080</v>
      </c>
      <c r="I2696" s="3" t="s">
        <v>39</v>
      </c>
      <c r="J2696" s="3">
        <v>3</v>
      </c>
      <c r="K2696" s="3">
        <v>56744.05</v>
      </c>
      <c r="L2696" s="3">
        <f>Table1[[#This Row],[Price Per Unit]]*Table1[[#This Row],[Units Sold]]</f>
        <v>170232.15000000002</v>
      </c>
      <c r="M2696" s="3" t="s">
        <v>148</v>
      </c>
      <c r="N2696" s="3">
        <v>34</v>
      </c>
      <c r="O2696" s="3" t="s">
        <v>20</v>
      </c>
      <c r="P2696" s="3" t="s">
        <v>31</v>
      </c>
      <c r="Q2696" s="4">
        <v>5</v>
      </c>
      <c r="R2696" s="4" t="str">
        <f>IF(Table1[[#This Row],[Customer Ratings]]&gt;=4, "Good",IF(Table1[[#This Row],[Customer Ratings]]=3, "Average","Poor"))</f>
        <v>Good</v>
      </c>
      <c r="S2696" s="3" t="s">
        <v>42</v>
      </c>
    </row>
    <row r="2697" spans="1:19" x14ac:dyDescent="0.25">
      <c r="A2697" s="3">
        <v>2696</v>
      </c>
      <c r="B2697" s="5">
        <f>DATE(Table1[[#This Row],[Year]],Table1[[#This Row],[Month]],Table1[[#This Row],[Day]])</f>
        <v>45243</v>
      </c>
      <c r="C2697" s="3">
        <v>13</v>
      </c>
      <c r="D2697" s="3">
        <v>11</v>
      </c>
      <c r="E2697" s="3">
        <v>2023</v>
      </c>
      <c r="F2697" s="3" t="str">
        <f>"Qtr"&amp; " " &amp;CHOOSE(MONTH(Table1[[#This Row],[Date]]),1,1,1,2,2,2,3,3,3,4,4,4)</f>
        <v>Qtr 4</v>
      </c>
      <c r="G2697" s="3" t="str">
        <f>TEXT(Table1[[#This Row],[Date]],"mmmm")</f>
        <v>November</v>
      </c>
      <c r="H2697" s="3" t="s">
        <v>1081</v>
      </c>
      <c r="I2697" s="3" t="s">
        <v>13</v>
      </c>
      <c r="J2697" s="3">
        <v>3</v>
      </c>
      <c r="K2697" s="3">
        <v>25638.01</v>
      </c>
      <c r="L2697" s="3">
        <f>Table1[[#This Row],[Price Per Unit]]*Table1[[#This Row],[Units Sold]]</f>
        <v>76914.03</v>
      </c>
      <c r="M2697" s="3" t="s">
        <v>648</v>
      </c>
      <c r="N2697" s="3">
        <v>38</v>
      </c>
      <c r="O2697" s="3" t="s">
        <v>20</v>
      </c>
      <c r="P2697" s="3" t="s">
        <v>16</v>
      </c>
      <c r="Q2697" s="4">
        <v>4</v>
      </c>
      <c r="R2697" s="4" t="str">
        <f>IF(Table1[[#This Row],[Customer Ratings]]&gt;=4, "Good",IF(Table1[[#This Row],[Customer Ratings]]=3, "Average","Poor"))</f>
        <v>Good</v>
      </c>
      <c r="S2697" s="3" t="s">
        <v>72</v>
      </c>
    </row>
    <row r="2698" spans="1:19" x14ac:dyDescent="0.25">
      <c r="A2698" s="3">
        <v>2697</v>
      </c>
      <c r="B2698" s="5">
        <f>DATE(Table1[[#This Row],[Year]],Table1[[#This Row],[Month]],Table1[[#This Row],[Day]])</f>
        <v>45243</v>
      </c>
      <c r="C2698" s="3">
        <v>13</v>
      </c>
      <c r="D2698" s="3">
        <v>11</v>
      </c>
      <c r="E2698" s="3">
        <v>2023</v>
      </c>
      <c r="F2698" s="3" t="str">
        <f>"Qtr"&amp; " " &amp;CHOOSE(MONTH(Table1[[#This Row],[Date]]),1,1,1,2,2,2,3,3,3,4,4,4)</f>
        <v>Qtr 4</v>
      </c>
      <c r="G2698" s="3" t="str">
        <f>TEXT(Table1[[#This Row],[Date]],"mmmm")</f>
        <v>November</v>
      </c>
      <c r="H2698" s="3" t="s">
        <v>1081</v>
      </c>
      <c r="I2698" s="3" t="s">
        <v>39</v>
      </c>
      <c r="J2698" s="3">
        <v>5</v>
      </c>
      <c r="K2698" s="3">
        <v>19775</v>
      </c>
      <c r="L2698" s="3">
        <f>Table1[[#This Row],[Price Per Unit]]*Table1[[#This Row],[Units Sold]]</f>
        <v>98875</v>
      </c>
      <c r="M2698" s="3" t="s">
        <v>122</v>
      </c>
      <c r="N2698" s="3">
        <v>43</v>
      </c>
      <c r="O2698" s="3" t="s">
        <v>24</v>
      </c>
      <c r="P2698" s="3" t="s">
        <v>21</v>
      </c>
      <c r="Q2698" s="4">
        <v>2</v>
      </c>
      <c r="R2698" s="4" t="str">
        <f>IF(Table1[[#This Row],[Customer Ratings]]&gt;=4, "Good",IF(Table1[[#This Row],[Customer Ratings]]=3, "Average","Poor"))</f>
        <v>Poor</v>
      </c>
      <c r="S2698" s="3" t="s">
        <v>42</v>
      </c>
    </row>
    <row r="2699" spans="1:19" x14ac:dyDescent="0.25">
      <c r="A2699" s="3">
        <v>2698</v>
      </c>
      <c r="B2699" s="5">
        <f>DATE(Table1[[#This Row],[Year]],Table1[[#This Row],[Month]],Table1[[#This Row],[Day]])</f>
        <v>45243</v>
      </c>
      <c r="C2699" s="3">
        <v>13</v>
      </c>
      <c r="D2699" s="3">
        <v>11</v>
      </c>
      <c r="E2699" s="3">
        <v>2023</v>
      </c>
      <c r="F2699" s="3" t="str">
        <f>"Qtr"&amp; " " &amp;CHOOSE(MONTH(Table1[[#This Row],[Date]]),1,1,1,2,2,2,3,3,3,4,4,4)</f>
        <v>Qtr 4</v>
      </c>
      <c r="G2699" s="3" t="str">
        <f>TEXT(Table1[[#This Row],[Date]],"mmmm")</f>
        <v>November</v>
      </c>
      <c r="H2699" s="3" t="s">
        <v>1081</v>
      </c>
      <c r="I2699" s="3" t="s">
        <v>39</v>
      </c>
      <c r="J2699" s="3">
        <v>2</v>
      </c>
      <c r="K2699" s="3">
        <v>30209.15</v>
      </c>
      <c r="L2699" s="3">
        <f>Table1[[#This Row],[Price Per Unit]]*Table1[[#This Row],[Units Sold]]</f>
        <v>60418.3</v>
      </c>
      <c r="M2699" s="3" t="s">
        <v>997</v>
      </c>
      <c r="N2699" s="3">
        <v>45</v>
      </c>
      <c r="O2699" s="3" t="s">
        <v>81</v>
      </c>
      <c r="P2699" s="3" t="s">
        <v>45</v>
      </c>
      <c r="Q2699" s="4">
        <v>4</v>
      </c>
      <c r="R2699" s="4" t="str">
        <f>IF(Table1[[#This Row],[Customer Ratings]]&gt;=4, "Good",IF(Table1[[#This Row],[Customer Ratings]]=3, "Average","Poor"))</f>
        <v>Good</v>
      </c>
      <c r="S2699" s="3" t="s">
        <v>90</v>
      </c>
    </row>
    <row r="2700" spans="1:19" x14ac:dyDescent="0.25">
      <c r="A2700" s="3">
        <v>2699</v>
      </c>
      <c r="B2700" s="5">
        <f>DATE(Table1[[#This Row],[Year]],Table1[[#This Row],[Month]],Table1[[#This Row],[Day]])</f>
        <v>45244</v>
      </c>
      <c r="C2700" s="3">
        <v>14</v>
      </c>
      <c r="D2700" s="3">
        <v>11</v>
      </c>
      <c r="E2700" s="3">
        <v>2023</v>
      </c>
      <c r="F2700" s="3" t="str">
        <f>"Qtr"&amp; " " &amp;CHOOSE(MONTH(Table1[[#This Row],[Date]]),1,1,1,2,2,2,3,3,3,4,4,4)</f>
        <v>Qtr 4</v>
      </c>
      <c r="G2700" s="3" t="str">
        <f>TEXT(Table1[[#This Row],[Date]],"mmmm")</f>
        <v>November</v>
      </c>
      <c r="H2700" s="3" t="s">
        <v>1082</v>
      </c>
      <c r="I2700" s="3" t="s">
        <v>13</v>
      </c>
      <c r="J2700" s="3">
        <v>6</v>
      </c>
      <c r="K2700" s="3">
        <v>43281.95</v>
      </c>
      <c r="L2700" s="3">
        <f>Table1[[#This Row],[Price Per Unit]]*Table1[[#This Row],[Units Sold]]</f>
        <v>259691.69999999998</v>
      </c>
      <c r="M2700" s="3" t="s">
        <v>998</v>
      </c>
      <c r="N2700" s="3">
        <v>56</v>
      </c>
      <c r="O2700" s="3" t="s">
        <v>105</v>
      </c>
      <c r="P2700" s="3" t="s">
        <v>45</v>
      </c>
      <c r="Q2700" s="4">
        <v>4</v>
      </c>
      <c r="R2700" s="4" t="str">
        <f>IF(Table1[[#This Row],[Customer Ratings]]&gt;=4, "Good",IF(Table1[[#This Row],[Customer Ratings]]=3, "Average","Poor"))</f>
        <v>Good</v>
      </c>
      <c r="S2700" s="3" t="s">
        <v>27</v>
      </c>
    </row>
    <row r="2701" spans="1:19" x14ac:dyDescent="0.25">
      <c r="A2701" s="3">
        <v>2700</v>
      </c>
      <c r="B2701" s="5">
        <f>DATE(Table1[[#This Row],[Year]],Table1[[#This Row],[Month]],Table1[[#This Row],[Day]])</f>
        <v>45244</v>
      </c>
      <c r="C2701" s="3">
        <v>14</v>
      </c>
      <c r="D2701" s="3">
        <v>11</v>
      </c>
      <c r="E2701" s="3">
        <v>2023</v>
      </c>
      <c r="F2701" s="3" t="str">
        <f>"Qtr"&amp; " " &amp;CHOOSE(MONTH(Table1[[#This Row],[Date]]),1,1,1,2,2,2,3,3,3,4,4,4)</f>
        <v>Qtr 4</v>
      </c>
      <c r="G2701" s="3" t="str">
        <f>TEXT(Table1[[#This Row],[Date]],"mmmm")</f>
        <v>November</v>
      </c>
      <c r="H2701" s="3" t="s">
        <v>1082</v>
      </c>
      <c r="I2701" s="3" t="s">
        <v>33</v>
      </c>
      <c r="J2701" s="3">
        <v>7</v>
      </c>
      <c r="K2701" s="3">
        <v>44516.78</v>
      </c>
      <c r="L2701" s="3">
        <f>Table1[[#This Row],[Price Per Unit]]*Table1[[#This Row],[Units Sold]]</f>
        <v>311617.45999999996</v>
      </c>
      <c r="M2701" s="3" t="s">
        <v>217</v>
      </c>
      <c r="N2701" s="3">
        <v>50</v>
      </c>
      <c r="O2701" s="3" t="s">
        <v>20</v>
      </c>
      <c r="P2701" s="3" t="s">
        <v>16</v>
      </c>
      <c r="Q2701" s="4">
        <v>5</v>
      </c>
      <c r="R2701" s="4" t="str">
        <f>IF(Table1[[#This Row],[Customer Ratings]]&gt;=4, "Good",IF(Table1[[#This Row],[Customer Ratings]]=3, "Average","Poor"))</f>
        <v>Good</v>
      </c>
      <c r="S2701" s="3" t="s">
        <v>46</v>
      </c>
    </row>
    <row r="2702" spans="1:19" x14ac:dyDescent="0.25">
      <c r="A2702" s="3">
        <v>2701</v>
      </c>
      <c r="B2702" s="5">
        <f>DATE(Table1[[#This Row],[Year]],Table1[[#This Row],[Month]],Table1[[#This Row],[Day]])</f>
        <v>45244</v>
      </c>
      <c r="C2702" s="3">
        <v>14</v>
      </c>
      <c r="D2702" s="3">
        <v>11</v>
      </c>
      <c r="E2702" s="3">
        <v>2023</v>
      </c>
      <c r="F2702" s="3" t="str">
        <f>"Qtr"&amp; " " &amp;CHOOSE(MONTH(Table1[[#This Row],[Date]]),1,1,1,2,2,2,3,3,3,4,4,4)</f>
        <v>Qtr 4</v>
      </c>
      <c r="G2702" s="3" t="str">
        <f>TEXT(Table1[[#This Row],[Date]],"mmmm")</f>
        <v>November</v>
      </c>
      <c r="H2702" s="3" t="s">
        <v>1082</v>
      </c>
      <c r="I2702" s="3" t="s">
        <v>28</v>
      </c>
      <c r="J2702" s="3">
        <v>9</v>
      </c>
      <c r="K2702" s="3">
        <v>17852.580000000002</v>
      </c>
      <c r="L2702" s="3">
        <f>Table1[[#This Row],[Price Per Unit]]*Table1[[#This Row],[Units Sold]]</f>
        <v>160673.22000000003</v>
      </c>
      <c r="M2702" s="3" t="s">
        <v>424</v>
      </c>
      <c r="N2702" s="3">
        <v>57</v>
      </c>
      <c r="O2702" s="3" t="s">
        <v>20</v>
      </c>
      <c r="P2702" s="3" t="s">
        <v>31</v>
      </c>
      <c r="Q2702" s="4">
        <v>2</v>
      </c>
      <c r="R2702" s="4" t="str">
        <f>IF(Table1[[#This Row],[Customer Ratings]]&gt;=4, "Good",IF(Table1[[#This Row],[Customer Ratings]]=3, "Average","Poor"))</f>
        <v>Poor</v>
      </c>
      <c r="S2702" s="3" t="s">
        <v>87</v>
      </c>
    </row>
    <row r="2703" spans="1:19" x14ac:dyDescent="0.25">
      <c r="A2703" s="3">
        <v>2702</v>
      </c>
      <c r="B2703" s="5">
        <f>DATE(Table1[[#This Row],[Year]],Table1[[#This Row],[Month]],Table1[[#This Row],[Day]])</f>
        <v>45245</v>
      </c>
      <c r="C2703" s="3">
        <v>15</v>
      </c>
      <c r="D2703" s="3">
        <v>11</v>
      </c>
      <c r="E2703" s="3">
        <v>2023</v>
      </c>
      <c r="F2703" s="3" t="str">
        <f>"Qtr"&amp; " " &amp;CHOOSE(MONTH(Table1[[#This Row],[Date]]),1,1,1,2,2,2,3,3,3,4,4,4)</f>
        <v>Qtr 4</v>
      </c>
      <c r="G2703" s="3" t="str">
        <f>TEXT(Table1[[#This Row],[Date]],"mmmm")</f>
        <v>November</v>
      </c>
      <c r="H2703" s="3" t="s">
        <v>1083</v>
      </c>
      <c r="I2703" s="3" t="s">
        <v>13</v>
      </c>
      <c r="J2703" s="3">
        <v>6</v>
      </c>
      <c r="K2703" s="3">
        <v>37454.129999999997</v>
      </c>
      <c r="L2703" s="3">
        <f>Table1[[#This Row],[Price Per Unit]]*Table1[[#This Row],[Units Sold]]</f>
        <v>224724.77999999997</v>
      </c>
      <c r="M2703" s="3" t="s">
        <v>402</v>
      </c>
      <c r="N2703" s="3">
        <v>36</v>
      </c>
      <c r="O2703" s="3" t="s">
        <v>24</v>
      </c>
      <c r="P2703" s="3" t="s">
        <v>16</v>
      </c>
      <c r="Q2703" s="4">
        <v>3</v>
      </c>
      <c r="R2703" s="4" t="str">
        <f>IF(Table1[[#This Row],[Customer Ratings]]&gt;=4, "Good",IF(Table1[[#This Row],[Customer Ratings]]=3, "Average","Poor"))</f>
        <v>Average</v>
      </c>
      <c r="S2703" s="3" t="s">
        <v>72</v>
      </c>
    </row>
    <row r="2704" spans="1:19" x14ac:dyDescent="0.25">
      <c r="A2704" s="3">
        <v>2703</v>
      </c>
      <c r="B2704" s="5">
        <f>DATE(Table1[[#This Row],[Year]],Table1[[#This Row],[Month]],Table1[[#This Row],[Day]])</f>
        <v>45245</v>
      </c>
      <c r="C2704" s="3">
        <v>15</v>
      </c>
      <c r="D2704" s="3">
        <v>11</v>
      </c>
      <c r="E2704" s="3">
        <v>2023</v>
      </c>
      <c r="F2704" s="3" t="str">
        <f>"Qtr"&amp; " " &amp;CHOOSE(MONTH(Table1[[#This Row],[Date]]),1,1,1,2,2,2,3,3,3,4,4,4)</f>
        <v>Qtr 4</v>
      </c>
      <c r="G2704" s="3" t="str">
        <f>TEXT(Table1[[#This Row],[Date]],"mmmm")</f>
        <v>November</v>
      </c>
      <c r="H2704" s="3" t="s">
        <v>1083</v>
      </c>
      <c r="I2704" s="3" t="s">
        <v>18</v>
      </c>
      <c r="J2704" s="3">
        <v>3</v>
      </c>
      <c r="K2704" s="3">
        <v>26096.93</v>
      </c>
      <c r="L2704" s="3">
        <f>Table1[[#This Row],[Price Per Unit]]*Table1[[#This Row],[Units Sold]]</f>
        <v>78290.790000000008</v>
      </c>
      <c r="M2704" s="3" t="s">
        <v>772</v>
      </c>
      <c r="N2704" s="3">
        <v>46</v>
      </c>
      <c r="O2704" s="3" t="s">
        <v>120</v>
      </c>
      <c r="P2704" s="3" t="s">
        <v>31</v>
      </c>
      <c r="Q2704" s="4">
        <v>5</v>
      </c>
      <c r="R2704" s="4" t="str">
        <f>IF(Table1[[#This Row],[Customer Ratings]]&gt;=4, "Good",IF(Table1[[#This Row],[Customer Ratings]]=3, "Average","Poor"))</f>
        <v>Good</v>
      </c>
      <c r="S2704" s="3" t="s">
        <v>22</v>
      </c>
    </row>
    <row r="2705" spans="1:19" x14ac:dyDescent="0.25">
      <c r="A2705" s="3">
        <v>2704</v>
      </c>
      <c r="B2705" s="5">
        <f>DATE(Table1[[#This Row],[Year]],Table1[[#This Row],[Month]],Table1[[#This Row],[Day]])</f>
        <v>45245</v>
      </c>
      <c r="C2705" s="3">
        <v>15</v>
      </c>
      <c r="D2705" s="3">
        <v>11</v>
      </c>
      <c r="E2705" s="3">
        <v>2023</v>
      </c>
      <c r="F2705" s="3" t="str">
        <f>"Qtr"&amp; " " &amp;CHOOSE(MONTH(Table1[[#This Row],[Date]]),1,1,1,2,2,2,3,3,3,4,4,4)</f>
        <v>Qtr 4</v>
      </c>
      <c r="G2705" s="3" t="str">
        <f>TEXT(Table1[[#This Row],[Date]],"mmmm")</f>
        <v>November</v>
      </c>
      <c r="H2705" s="3" t="s">
        <v>1083</v>
      </c>
      <c r="I2705" s="3" t="s">
        <v>33</v>
      </c>
      <c r="J2705" s="3">
        <v>5</v>
      </c>
      <c r="K2705" s="3">
        <v>60521.45</v>
      </c>
      <c r="L2705" s="3">
        <f>Table1[[#This Row],[Price Per Unit]]*Table1[[#This Row],[Units Sold]]</f>
        <v>302607.25</v>
      </c>
      <c r="M2705" s="3" t="s">
        <v>390</v>
      </c>
      <c r="N2705" s="3">
        <v>37</v>
      </c>
      <c r="O2705" s="3" t="s">
        <v>30</v>
      </c>
      <c r="P2705" s="3" t="s">
        <v>16</v>
      </c>
      <c r="Q2705" s="4">
        <v>3</v>
      </c>
      <c r="R2705" s="4" t="str">
        <f>IF(Table1[[#This Row],[Customer Ratings]]&gt;=4, "Good",IF(Table1[[#This Row],[Customer Ratings]]=3, "Average","Poor"))</f>
        <v>Average</v>
      </c>
      <c r="S2705" s="3" t="s">
        <v>36</v>
      </c>
    </row>
    <row r="2706" spans="1:19" x14ac:dyDescent="0.25">
      <c r="A2706" s="3">
        <v>2705</v>
      </c>
      <c r="B2706" s="5">
        <f>DATE(Table1[[#This Row],[Year]],Table1[[#This Row],[Month]],Table1[[#This Row],[Day]])</f>
        <v>45245</v>
      </c>
      <c r="C2706" s="3">
        <v>15</v>
      </c>
      <c r="D2706" s="3">
        <v>11</v>
      </c>
      <c r="E2706" s="3">
        <v>2023</v>
      </c>
      <c r="F2706" s="3" t="str">
        <f>"Qtr"&amp; " " &amp;CHOOSE(MONTH(Table1[[#This Row],[Date]]),1,1,1,2,2,2,3,3,3,4,4,4)</f>
        <v>Qtr 4</v>
      </c>
      <c r="G2706" s="3" t="str">
        <f>TEXT(Table1[[#This Row],[Date]],"mmmm")</f>
        <v>November</v>
      </c>
      <c r="H2706" s="3" t="s">
        <v>1083</v>
      </c>
      <c r="I2706" s="3" t="s">
        <v>18</v>
      </c>
      <c r="J2706" s="3">
        <v>4</v>
      </c>
      <c r="K2706" s="3">
        <v>28814.51</v>
      </c>
      <c r="L2706" s="3">
        <f>Table1[[#This Row],[Price Per Unit]]*Table1[[#This Row],[Units Sold]]</f>
        <v>115258.04</v>
      </c>
      <c r="M2706" s="3" t="s">
        <v>597</v>
      </c>
      <c r="N2706" s="3">
        <v>37</v>
      </c>
      <c r="O2706" s="3" t="s">
        <v>52</v>
      </c>
      <c r="P2706" s="3" t="s">
        <v>45</v>
      </c>
      <c r="Q2706" s="4">
        <v>5</v>
      </c>
      <c r="R2706" s="4" t="str">
        <f>IF(Table1[[#This Row],[Customer Ratings]]&gt;=4, "Good",IF(Table1[[#This Row],[Customer Ratings]]=3, "Average","Poor"))</f>
        <v>Good</v>
      </c>
      <c r="S2706" s="3" t="s">
        <v>55</v>
      </c>
    </row>
    <row r="2707" spans="1:19" x14ac:dyDescent="0.25">
      <c r="A2707" s="3">
        <v>2706</v>
      </c>
      <c r="B2707" s="5">
        <f>DATE(Table1[[#This Row],[Year]],Table1[[#This Row],[Month]],Table1[[#This Row],[Day]])</f>
        <v>45246</v>
      </c>
      <c r="C2707" s="3">
        <v>16</v>
      </c>
      <c r="D2707" s="3">
        <v>11</v>
      </c>
      <c r="E2707" s="3">
        <v>2023</v>
      </c>
      <c r="F2707" s="3" t="str">
        <f>"Qtr"&amp; " " &amp;CHOOSE(MONTH(Table1[[#This Row],[Date]]),1,1,1,2,2,2,3,3,3,4,4,4)</f>
        <v>Qtr 4</v>
      </c>
      <c r="G2707" s="3" t="str">
        <f>TEXT(Table1[[#This Row],[Date]],"mmmm")</f>
        <v>November</v>
      </c>
      <c r="H2707" s="3" t="s">
        <v>1084</v>
      </c>
      <c r="I2707" s="3" t="s">
        <v>33</v>
      </c>
      <c r="J2707" s="3">
        <v>5</v>
      </c>
      <c r="K2707" s="3">
        <v>60322.27</v>
      </c>
      <c r="L2707" s="3">
        <f>Table1[[#This Row],[Price Per Unit]]*Table1[[#This Row],[Units Sold]]</f>
        <v>301611.34999999998</v>
      </c>
      <c r="M2707" s="3" t="s">
        <v>999</v>
      </c>
      <c r="N2707" s="3">
        <v>27</v>
      </c>
      <c r="O2707" s="3" t="s">
        <v>20</v>
      </c>
      <c r="P2707" s="3" t="s">
        <v>16</v>
      </c>
      <c r="Q2707" s="4">
        <v>4</v>
      </c>
      <c r="R2707" s="4" t="str">
        <f>IF(Table1[[#This Row],[Customer Ratings]]&gt;=4, "Good",IF(Table1[[#This Row],[Customer Ratings]]=3, "Average","Poor"))</f>
        <v>Good</v>
      </c>
      <c r="S2707" s="3" t="s">
        <v>83</v>
      </c>
    </row>
    <row r="2708" spans="1:19" x14ac:dyDescent="0.25">
      <c r="A2708" s="3">
        <v>2707</v>
      </c>
      <c r="B2708" s="5">
        <f>DATE(Table1[[#This Row],[Year]],Table1[[#This Row],[Month]],Table1[[#This Row],[Day]])</f>
        <v>45246</v>
      </c>
      <c r="C2708" s="3">
        <v>16</v>
      </c>
      <c r="D2708" s="3">
        <v>11</v>
      </c>
      <c r="E2708" s="3">
        <v>2023</v>
      </c>
      <c r="F2708" s="3" t="str">
        <f>"Qtr"&amp; " " &amp;CHOOSE(MONTH(Table1[[#This Row],[Date]]),1,1,1,2,2,2,3,3,3,4,4,4)</f>
        <v>Qtr 4</v>
      </c>
      <c r="G2708" s="3" t="str">
        <f>TEXT(Table1[[#This Row],[Date]],"mmmm")</f>
        <v>November</v>
      </c>
      <c r="H2708" s="3" t="s">
        <v>1084</v>
      </c>
      <c r="I2708" s="3" t="s">
        <v>28</v>
      </c>
      <c r="J2708" s="3">
        <v>8</v>
      </c>
      <c r="K2708" s="3">
        <v>35713.879999999997</v>
      </c>
      <c r="L2708" s="3">
        <f>Table1[[#This Row],[Price Per Unit]]*Table1[[#This Row],[Units Sold]]</f>
        <v>285711.03999999998</v>
      </c>
      <c r="M2708" s="3" t="s">
        <v>483</v>
      </c>
      <c r="N2708" s="3">
        <v>29</v>
      </c>
      <c r="O2708" s="3" t="s">
        <v>65</v>
      </c>
      <c r="P2708" s="3" t="s">
        <v>45</v>
      </c>
      <c r="Q2708" s="4">
        <v>5</v>
      </c>
      <c r="R2708" s="4" t="str">
        <f>IF(Table1[[#This Row],[Customer Ratings]]&gt;=4, "Good",IF(Table1[[#This Row],[Customer Ratings]]=3, "Average","Poor"))</f>
        <v>Good</v>
      </c>
      <c r="S2708" s="3" t="s">
        <v>32</v>
      </c>
    </row>
    <row r="2709" spans="1:19" x14ac:dyDescent="0.25">
      <c r="A2709" s="3">
        <v>2708</v>
      </c>
      <c r="B2709" s="5">
        <f>DATE(Table1[[#This Row],[Year]],Table1[[#This Row],[Month]],Table1[[#This Row],[Day]])</f>
        <v>45246</v>
      </c>
      <c r="C2709" s="3">
        <v>16</v>
      </c>
      <c r="D2709" s="3">
        <v>11</v>
      </c>
      <c r="E2709" s="3">
        <v>2023</v>
      </c>
      <c r="F2709" s="3" t="str">
        <f>"Qtr"&amp; " " &amp;CHOOSE(MONTH(Table1[[#This Row],[Date]]),1,1,1,2,2,2,3,3,3,4,4,4)</f>
        <v>Qtr 4</v>
      </c>
      <c r="G2709" s="3" t="str">
        <f>TEXT(Table1[[#This Row],[Date]],"mmmm")</f>
        <v>November</v>
      </c>
      <c r="H2709" s="3" t="s">
        <v>1084</v>
      </c>
      <c r="I2709" s="3" t="s">
        <v>28</v>
      </c>
      <c r="J2709" s="3">
        <v>8</v>
      </c>
      <c r="K2709" s="3">
        <v>53595.15</v>
      </c>
      <c r="L2709" s="3">
        <f>Table1[[#This Row],[Price Per Unit]]*Table1[[#This Row],[Units Sold]]</f>
        <v>428761.2</v>
      </c>
      <c r="M2709" s="3" t="s">
        <v>1000</v>
      </c>
      <c r="N2709" s="3">
        <v>50</v>
      </c>
      <c r="O2709" s="3" t="s">
        <v>81</v>
      </c>
      <c r="P2709" s="3" t="s">
        <v>45</v>
      </c>
      <c r="Q2709" s="4">
        <v>2</v>
      </c>
      <c r="R2709" s="4" t="str">
        <f>IF(Table1[[#This Row],[Customer Ratings]]&gt;=4, "Good",IF(Table1[[#This Row],[Customer Ratings]]=3, "Average","Poor"))</f>
        <v>Poor</v>
      </c>
      <c r="S2709" s="3" t="s">
        <v>87</v>
      </c>
    </row>
    <row r="2710" spans="1:19" x14ac:dyDescent="0.25">
      <c r="A2710" s="3">
        <v>2709</v>
      </c>
      <c r="B2710" s="5">
        <f>DATE(Table1[[#This Row],[Year]],Table1[[#This Row],[Month]],Table1[[#This Row],[Day]])</f>
        <v>45246</v>
      </c>
      <c r="C2710" s="3">
        <v>16</v>
      </c>
      <c r="D2710" s="3">
        <v>11</v>
      </c>
      <c r="E2710" s="3">
        <v>2023</v>
      </c>
      <c r="F2710" s="3" t="str">
        <f>"Qtr"&amp; " " &amp;CHOOSE(MONTH(Table1[[#This Row],[Date]]),1,1,1,2,2,2,3,3,3,4,4,4)</f>
        <v>Qtr 4</v>
      </c>
      <c r="G2710" s="3" t="str">
        <f>TEXT(Table1[[#This Row],[Date]],"mmmm")</f>
        <v>November</v>
      </c>
      <c r="H2710" s="3" t="s">
        <v>1084</v>
      </c>
      <c r="I2710" s="3" t="s">
        <v>39</v>
      </c>
      <c r="J2710" s="3">
        <v>6</v>
      </c>
      <c r="K2710" s="3">
        <v>40603.61</v>
      </c>
      <c r="L2710" s="3">
        <f>Table1[[#This Row],[Price Per Unit]]*Table1[[#This Row],[Units Sold]]</f>
        <v>243621.66</v>
      </c>
      <c r="M2710" s="3" t="s">
        <v>89</v>
      </c>
      <c r="N2710" s="3">
        <v>42</v>
      </c>
      <c r="O2710" s="3" t="s">
        <v>137</v>
      </c>
      <c r="P2710" s="3" t="s">
        <v>45</v>
      </c>
      <c r="Q2710" s="4">
        <v>5</v>
      </c>
      <c r="R2710" s="4" t="str">
        <f>IF(Table1[[#This Row],[Customer Ratings]]&gt;=4, "Good",IF(Table1[[#This Row],[Customer Ratings]]=3, "Average","Poor"))</f>
        <v>Good</v>
      </c>
      <c r="S2710" s="3" t="s">
        <v>76</v>
      </c>
    </row>
    <row r="2711" spans="1:19" x14ac:dyDescent="0.25">
      <c r="A2711" s="3">
        <v>2710</v>
      </c>
      <c r="B2711" s="5">
        <f>DATE(Table1[[#This Row],[Year]],Table1[[#This Row],[Month]],Table1[[#This Row],[Day]])</f>
        <v>45247</v>
      </c>
      <c r="C2711" s="3">
        <v>17</v>
      </c>
      <c r="D2711" s="3">
        <v>11</v>
      </c>
      <c r="E2711" s="3">
        <v>2023</v>
      </c>
      <c r="F2711" s="3" t="str">
        <f>"Qtr"&amp; " " &amp;CHOOSE(MONTH(Table1[[#This Row],[Date]]),1,1,1,2,2,2,3,3,3,4,4,4)</f>
        <v>Qtr 4</v>
      </c>
      <c r="G2711" s="3" t="str">
        <f>TEXT(Table1[[#This Row],[Date]],"mmmm")</f>
        <v>November</v>
      </c>
      <c r="H2711" s="3" t="s">
        <v>1085</v>
      </c>
      <c r="I2711" s="3" t="s">
        <v>18</v>
      </c>
      <c r="J2711" s="3">
        <v>1</v>
      </c>
      <c r="K2711" s="3">
        <v>47317.760000000002</v>
      </c>
      <c r="L2711" s="3">
        <f>Table1[[#This Row],[Price Per Unit]]*Table1[[#This Row],[Units Sold]]</f>
        <v>47317.760000000002</v>
      </c>
      <c r="M2711" s="3" t="s">
        <v>795</v>
      </c>
      <c r="N2711" s="3">
        <v>42</v>
      </c>
      <c r="O2711" s="3" t="s">
        <v>24</v>
      </c>
      <c r="P2711" s="3" t="s">
        <v>16</v>
      </c>
      <c r="Q2711" s="4">
        <v>5</v>
      </c>
      <c r="R2711" s="4" t="str">
        <f>IF(Table1[[#This Row],[Customer Ratings]]&gt;=4, "Good",IF(Table1[[#This Row],[Customer Ratings]]=3, "Average","Poor"))</f>
        <v>Good</v>
      </c>
      <c r="S2711" s="3" t="s">
        <v>25</v>
      </c>
    </row>
    <row r="2712" spans="1:19" x14ac:dyDescent="0.25">
      <c r="A2712" s="3">
        <v>2711</v>
      </c>
      <c r="B2712" s="5">
        <f>DATE(Table1[[#This Row],[Year]],Table1[[#This Row],[Month]],Table1[[#This Row],[Day]])</f>
        <v>45247</v>
      </c>
      <c r="C2712" s="3">
        <v>17</v>
      </c>
      <c r="D2712" s="3">
        <v>11</v>
      </c>
      <c r="E2712" s="3">
        <v>2023</v>
      </c>
      <c r="F2712" s="3" t="str">
        <f>"Qtr"&amp; " " &amp;CHOOSE(MONTH(Table1[[#This Row],[Date]]),1,1,1,2,2,2,3,3,3,4,4,4)</f>
        <v>Qtr 4</v>
      </c>
      <c r="G2712" s="3" t="str">
        <f>TEXT(Table1[[#This Row],[Date]],"mmmm")</f>
        <v>November</v>
      </c>
      <c r="H2712" s="3" t="s">
        <v>1085</v>
      </c>
      <c r="I2712" s="3" t="s">
        <v>33</v>
      </c>
      <c r="J2712" s="3">
        <v>8</v>
      </c>
      <c r="K2712" s="3">
        <v>33721.39</v>
      </c>
      <c r="L2712" s="3">
        <f>Table1[[#This Row],[Price Per Unit]]*Table1[[#This Row],[Units Sold]]</f>
        <v>269771.12</v>
      </c>
      <c r="M2712" s="3" t="s">
        <v>644</v>
      </c>
      <c r="N2712" s="3">
        <v>21</v>
      </c>
      <c r="O2712" s="3" t="s">
        <v>41</v>
      </c>
      <c r="P2712" s="3" t="s">
        <v>21</v>
      </c>
      <c r="Q2712" s="4">
        <v>4</v>
      </c>
      <c r="R2712" s="4" t="str">
        <f>IF(Table1[[#This Row],[Customer Ratings]]&gt;=4, "Good",IF(Table1[[#This Row],[Customer Ratings]]=3, "Average","Poor"))</f>
        <v>Good</v>
      </c>
      <c r="S2712" s="3" t="s">
        <v>46</v>
      </c>
    </row>
    <row r="2713" spans="1:19" x14ac:dyDescent="0.25">
      <c r="A2713" s="3">
        <v>2712</v>
      </c>
      <c r="B2713" s="5">
        <f>DATE(Table1[[#This Row],[Year]],Table1[[#This Row],[Month]],Table1[[#This Row],[Day]])</f>
        <v>45247</v>
      </c>
      <c r="C2713" s="3">
        <v>17</v>
      </c>
      <c r="D2713" s="3">
        <v>11</v>
      </c>
      <c r="E2713" s="3">
        <v>2023</v>
      </c>
      <c r="F2713" s="3" t="str">
        <f>"Qtr"&amp; " " &amp;CHOOSE(MONTH(Table1[[#This Row],[Date]]),1,1,1,2,2,2,3,3,3,4,4,4)</f>
        <v>Qtr 4</v>
      </c>
      <c r="G2713" s="3" t="str">
        <f>TEXT(Table1[[#This Row],[Date]],"mmmm")</f>
        <v>November</v>
      </c>
      <c r="H2713" s="3" t="s">
        <v>1085</v>
      </c>
      <c r="I2713" s="3" t="s">
        <v>28</v>
      </c>
      <c r="J2713" s="3">
        <v>8</v>
      </c>
      <c r="K2713" s="3">
        <v>56092.41</v>
      </c>
      <c r="L2713" s="3">
        <f>Table1[[#This Row],[Price Per Unit]]*Table1[[#This Row],[Units Sold]]</f>
        <v>448739.28</v>
      </c>
      <c r="M2713" s="3" t="s">
        <v>199</v>
      </c>
      <c r="N2713" s="3">
        <v>21</v>
      </c>
      <c r="O2713" s="3" t="s">
        <v>20</v>
      </c>
      <c r="P2713" s="3" t="s">
        <v>16</v>
      </c>
      <c r="Q2713" s="4">
        <v>5</v>
      </c>
      <c r="R2713" s="4" t="str">
        <f>IF(Table1[[#This Row],[Customer Ratings]]&gt;=4, "Good",IF(Table1[[#This Row],[Customer Ratings]]=3, "Average","Poor"))</f>
        <v>Good</v>
      </c>
      <c r="S2713" s="3" t="s">
        <v>32</v>
      </c>
    </row>
    <row r="2714" spans="1:19" x14ac:dyDescent="0.25">
      <c r="A2714" s="3">
        <v>2713</v>
      </c>
      <c r="B2714" s="5">
        <f>DATE(Table1[[#This Row],[Year]],Table1[[#This Row],[Month]],Table1[[#This Row],[Day]])</f>
        <v>45248</v>
      </c>
      <c r="C2714" s="3">
        <v>18</v>
      </c>
      <c r="D2714" s="3">
        <v>11</v>
      </c>
      <c r="E2714" s="3">
        <v>2023</v>
      </c>
      <c r="F2714" s="3" t="str">
        <f>"Qtr"&amp; " " &amp;CHOOSE(MONTH(Table1[[#This Row],[Date]]),1,1,1,2,2,2,3,3,3,4,4,4)</f>
        <v>Qtr 4</v>
      </c>
      <c r="G2714" s="3" t="str">
        <f>TEXT(Table1[[#This Row],[Date]],"mmmm")</f>
        <v>November</v>
      </c>
      <c r="H2714" s="3" t="s">
        <v>1079</v>
      </c>
      <c r="I2714" s="3" t="s">
        <v>13</v>
      </c>
      <c r="J2714" s="3">
        <v>2</v>
      </c>
      <c r="K2714" s="3">
        <v>35511.360000000001</v>
      </c>
      <c r="L2714" s="3">
        <f>Table1[[#This Row],[Price Per Unit]]*Table1[[#This Row],[Units Sold]]</f>
        <v>71022.720000000001</v>
      </c>
      <c r="M2714" s="3" t="s">
        <v>1001</v>
      </c>
      <c r="N2714" s="3">
        <v>26</v>
      </c>
      <c r="O2714" s="3" t="s">
        <v>20</v>
      </c>
      <c r="P2714" s="3" t="s">
        <v>16</v>
      </c>
      <c r="Q2714" s="4">
        <v>2</v>
      </c>
      <c r="R2714" s="4" t="str">
        <f>IF(Table1[[#This Row],[Customer Ratings]]&gt;=4, "Good",IF(Table1[[#This Row],[Customer Ratings]]=3, "Average","Poor"))</f>
        <v>Poor</v>
      </c>
      <c r="S2714" s="3" t="s">
        <v>27</v>
      </c>
    </row>
    <row r="2715" spans="1:19" x14ac:dyDescent="0.25">
      <c r="A2715" s="3">
        <v>2714</v>
      </c>
      <c r="B2715" s="5">
        <f>DATE(Table1[[#This Row],[Year]],Table1[[#This Row],[Month]],Table1[[#This Row],[Day]])</f>
        <v>45248</v>
      </c>
      <c r="C2715" s="3">
        <v>18</v>
      </c>
      <c r="D2715" s="3">
        <v>11</v>
      </c>
      <c r="E2715" s="3">
        <v>2023</v>
      </c>
      <c r="F2715" s="3" t="str">
        <f>"Qtr"&amp; " " &amp;CHOOSE(MONTH(Table1[[#This Row],[Date]]),1,1,1,2,2,2,3,3,3,4,4,4)</f>
        <v>Qtr 4</v>
      </c>
      <c r="G2715" s="3" t="str">
        <f>TEXT(Table1[[#This Row],[Date]],"mmmm")</f>
        <v>November</v>
      </c>
      <c r="H2715" s="3" t="s">
        <v>1079</v>
      </c>
      <c r="I2715" s="3" t="s">
        <v>28</v>
      </c>
      <c r="J2715" s="3">
        <v>4</v>
      </c>
      <c r="K2715" s="3">
        <v>37447.699999999997</v>
      </c>
      <c r="L2715" s="3">
        <f>Table1[[#This Row],[Price Per Unit]]*Table1[[#This Row],[Units Sold]]</f>
        <v>149790.79999999999</v>
      </c>
      <c r="M2715" s="3" t="s">
        <v>796</v>
      </c>
      <c r="N2715" s="3">
        <v>32</v>
      </c>
      <c r="O2715" s="3" t="s">
        <v>30</v>
      </c>
      <c r="P2715" s="3" t="s">
        <v>21</v>
      </c>
      <c r="Q2715" s="4">
        <v>3</v>
      </c>
      <c r="R2715" s="4" t="str">
        <f>IF(Table1[[#This Row],[Customer Ratings]]&gt;=4, "Good",IF(Table1[[#This Row],[Customer Ratings]]=3, "Average","Poor"))</f>
        <v>Average</v>
      </c>
      <c r="S2715" s="3" t="s">
        <v>32</v>
      </c>
    </row>
    <row r="2716" spans="1:19" x14ac:dyDescent="0.25">
      <c r="A2716" s="3">
        <v>2715</v>
      </c>
      <c r="B2716" s="5">
        <f>DATE(Table1[[#This Row],[Year]],Table1[[#This Row],[Month]],Table1[[#This Row],[Day]])</f>
        <v>45248</v>
      </c>
      <c r="C2716" s="3">
        <v>18</v>
      </c>
      <c r="D2716" s="3">
        <v>11</v>
      </c>
      <c r="E2716" s="3">
        <v>2023</v>
      </c>
      <c r="F2716" s="3" t="str">
        <f>"Qtr"&amp; " " &amp;CHOOSE(MONTH(Table1[[#This Row],[Date]]),1,1,1,2,2,2,3,3,3,4,4,4)</f>
        <v>Qtr 4</v>
      </c>
      <c r="G2716" s="3" t="str">
        <f>TEXT(Table1[[#This Row],[Date]],"mmmm")</f>
        <v>November</v>
      </c>
      <c r="H2716" s="3" t="s">
        <v>1079</v>
      </c>
      <c r="I2716" s="3" t="s">
        <v>13</v>
      </c>
      <c r="J2716" s="3">
        <v>2</v>
      </c>
      <c r="K2716" s="3">
        <v>41060.720000000001</v>
      </c>
      <c r="L2716" s="3">
        <f>Table1[[#This Row],[Price Per Unit]]*Table1[[#This Row],[Units Sold]]</f>
        <v>82121.440000000002</v>
      </c>
      <c r="M2716" s="3" t="s">
        <v>155</v>
      </c>
      <c r="N2716" s="3">
        <v>43</v>
      </c>
      <c r="O2716" s="3" t="s">
        <v>58</v>
      </c>
      <c r="P2716" s="3" t="s">
        <v>21</v>
      </c>
      <c r="Q2716" s="4">
        <v>4</v>
      </c>
      <c r="R2716" s="4" t="str">
        <f>IF(Table1[[#This Row],[Customer Ratings]]&gt;=4, "Good",IF(Table1[[#This Row],[Customer Ratings]]=3, "Average","Poor"))</f>
        <v>Good</v>
      </c>
      <c r="S2716" s="3" t="s">
        <v>27</v>
      </c>
    </row>
    <row r="2717" spans="1:19" x14ac:dyDescent="0.25">
      <c r="A2717" s="3">
        <v>2716</v>
      </c>
      <c r="B2717" s="5">
        <f>DATE(Table1[[#This Row],[Year]],Table1[[#This Row],[Month]],Table1[[#This Row],[Day]])</f>
        <v>45249</v>
      </c>
      <c r="C2717" s="3">
        <v>19</v>
      </c>
      <c r="D2717" s="3">
        <v>11</v>
      </c>
      <c r="E2717" s="3">
        <v>2023</v>
      </c>
      <c r="F2717" s="3" t="str">
        <f>"Qtr"&amp; " " &amp;CHOOSE(MONTH(Table1[[#This Row],[Date]]),1,1,1,2,2,2,3,3,3,4,4,4)</f>
        <v>Qtr 4</v>
      </c>
      <c r="G2717" s="3" t="str">
        <f>TEXT(Table1[[#This Row],[Date]],"mmmm")</f>
        <v>November</v>
      </c>
      <c r="H2717" s="3" t="s">
        <v>1080</v>
      </c>
      <c r="I2717" s="3" t="s">
        <v>33</v>
      </c>
      <c r="J2717" s="3">
        <v>4</v>
      </c>
      <c r="K2717" s="3">
        <v>59909.45</v>
      </c>
      <c r="L2717" s="3">
        <f>Table1[[#This Row],[Price Per Unit]]*Table1[[#This Row],[Units Sold]]</f>
        <v>239637.8</v>
      </c>
      <c r="M2717" s="3" t="s">
        <v>550</v>
      </c>
      <c r="N2717" s="3">
        <v>32</v>
      </c>
      <c r="O2717" s="3" t="s">
        <v>24</v>
      </c>
      <c r="P2717" s="3" t="s">
        <v>45</v>
      </c>
      <c r="Q2717" s="4">
        <v>4</v>
      </c>
      <c r="R2717" s="4" t="str">
        <f>IF(Table1[[#This Row],[Customer Ratings]]&gt;=4, "Good",IF(Table1[[#This Row],[Customer Ratings]]=3, "Average","Poor"))</f>
        <v>Good</v>
      </c>
      <c r="S2717" s="3" t="s">
        <v>36</v>
      </c>
    </row>
    <row r="2718" spans="1:19" x14ac:dyDescent="0.25">
      <c r="A2718" s="3">
        <v>2717</v>
      </c>
      <c r="B2718" s="5">
        <f>DATE(Table1[[#This Row],[Year]],Table1[[#This Row],[Month]],Table1[[#This Row],[Day]])</f>
        <v>45249</v>
      </c>
      <c r="C2718" s="3">
        <v>19</v>
      </c>
      <c r="D2718" s="3">
        <v>11</v>
      </c>
      <c r="E2718" s="3">
        <v>2023</v>
      </c>
      <c r="F2718" s="3" t="str">
        <f>"Qtr"&amp; " " &amp;CHOOSE(MONTH(Table1[[#This Row],[Date]]),1,1,1,2,2,2,3,3,3,4,4,4)</f>
        <v>Qtr 4</v>
      </c>
      <c r="G2718" s="3" t="str">
        <f>TEXT(Table1[[#This Row],[Date]],"mmmm")</f>
        <v>November</v>
      </c>
      <c r="H2718" s="3" t="s">
        <v>1080</v>
      </c>
      <c r="I2718" s="3" t="s">
        <v>28</v>
      </c>
      <c r="J2718" s="3">
        <v>7</v>
      </c>
      <c r="K2718" s="3">
        <v>49562.74</v>
      </c>
      <c r="L2718" s="3">
        <f>Table1[[#This Row],[Price Per Unit]]*Table1[[#This Row],[Units Sold]]</f>
        <v>346939.18</v>
      </c>
      <c r="M2718" s="3" t="s">
        <v>186</v>
      </c>
      <c r="N2718" s="3">
        <v>43</v>
      </c>
      <c r="O2718" s="3" t="s">
        <v>102</v>
      </c>
      <c r="P2718" s="3" t="s">
        <v>31</v>
      </c>
      <c r="Q2718" s="4">
        <v>5</v>
      </c>
      <c r="R2718" s="4" t="str">
        <f>IF(Table1[[#This Row],[Customer Ratings]]&gt;=4, "Good",IF(Table1[[#This Row],[Customer Ratings]]=3, "Average","Poor"))</f>
        <v>Good</v>
      </c>
      <c r="S2718" s="3" t="s">
        <v>87</v>
      </c>
    </row>
    <row r="2719" spans="1:19" x14ac:dyDescent="0.25">
      <c r="A2719" s="3">
        <v>2718</v>
      </c>
      <c r="B2719" s="5">
        <f>DATE(Table1[[#This Row],[Year]],Table1[[#This Row],[Month]],Table1[[#This Row],[Day]])</f>
        <v>45249</v>
      </c>
      <c r="C2719" s="3">
        <v>19</v>
      </c>
      <c r="D2719" s="3">
        <v>11</v>
      </c>
      <c r="E2719" s="3">
        <v>2023</v>
      </c>
      <c r="F2719" s="3" t="str">
        <f>"Qtr"&amp; " " &amp;CHOOSE(MONTH(Table1[[#This Row],[Date]]),1,1,1,2,2,2,3,3,3,4,4,4)</f>
        <v>Qtr 4</v>
      </c>
      <c r="G2719" s="3" t="str">
        <f>TEXT(Table1[[#This Row],[Date]],"mmmm")</f>
        <v>November</v>
      </c>
      <c r="H2719" s="3" t="s">
        <v>1080</v>
      </c>
      <c r="I2719" s="3" t="s">
        <v>28</v>
      </c>
      <c r="J2719" s="3">
        <v>9</v>
      </c>
      <c r="K2719" s="3">
        <v>30949.62</v>
      </c>
      <c r="L2719" s="3">
        <f>Table1[[#This Row],[Price Per Unit]]*Table1[[#This Row],[Units Sold]]</f>
        <v>278546.58</v>
      </c>
      <c r="M2719" s="3" t="s">
        <v>419</v>
      </c>
      <c r="N2719" s="3">
        <v>45</v>
      </c>
      <c r="O2719" s="3" t="s">
        <v>54</v>
      </c>
      <c r="P2719" s="3" t="s">
        <v>31</v>
      </c>
      <c r="Q2719" s="4">
        <v>5</v>
      </c>
      <c r="R2719" s="4" t="str">
        <f>IF(Table1[[#This Row],[Customer Ratings]]&gt;=4, "Good",IF(Table1[[#This Row],[Customer Ratings]]=3, "Average","Poor"))</f>
        <v>Good</v>
      </c>
      <c r="S2719" s="3" t="s">
        <v>32</v>
      </c>
    </row>
    <row r="2720" spans="1:19" x14ac:dyDescent="0.25">
      <c r="A2720" s="3">
        <v>2719</v>
      </c>
      <c r="B2720" s="5">
        <f>DATE(Table1[[#This Row],[Year]],Table1[[#This Row],[Month]],Table1[[#This Row],[Day]])</f>
        <v>45250</v>
      </c>
      <c r="C2720" s="3">
        <v>20</v>
      </c>
      <c r="D2720" s="3">
        <v>11</v>
      </c>
      <c r="E2720" s="3">
        <v>2023</v>
      </c>
      <c r="F2720" s="3" t="str">
        <f>"Qtr"&amp; " " &amp;CHOOSE(MONTH(Table1[[#This Row],[Date]]),1,1,1,2,2,2,3,3,3,4,4,4)</f>
        <v>Qtr 4</v>
      </c>
      <c r="G2720" s="3" t="str">
        <f>TEXT(Table1[[#This Row],[Date]],"mmmm")</f>
        <v>November</v>
      </c>
      <c r="H2720" s="3" t="s">
        <v>1081</v>
      </c>
      <c r="I2720" s="3" t="s">
        <v>33</v>
      </c>
      <c r="J2720" s="3">
        <v>8</v>
      </c>
      <c r="K2720" s="3">
        <v>50219.18</v>
      </c>
      <c r="L2720" s="3">
        <f>Table1[[#This Row],[Price Per Unit]]*Table1[[#This Row],[Units Sold]]</f>
        <v>401753.44</v>
      </c>
      <c r="M2720" s="3" t="s">
        <v>1002</v>
      </c>
      <c r="N2720" s="3">
        <v>24</v>
      </c>
      <c r="O2720" s="3" t="s">
        <v>78</v>
      </c>
      <c r="P2720" s="3" t="s">
        <v>45</v>
      </c>
      <c r="Q2720" s="4">
        <v>5</v>
      </c>
      <c r="R2720" s="4" t="str">
        <f>IF(Table1[[#This Row],[Customer Ratings]]&gt;=4, "Good",IF(Table1[[#This Row],[Customer Ratings]]=3, "Average","Poor"))</f>
        <v>Good</v>
      </c>
      <c r="S2720" s="3" t="s">
        <v>36</v>
      </c>
    </row>
    <row r="2721" spans="1:19" x14ac:dyDescent="0.25">
      <c r="A2721" s="3">
        <v>2720</v>
      </c>
      <c r="B2721" s="5">
        <f>DATE(Table1[[#This Row],[Year]],Table1[[#This Row],[Month]],Table1[[#This Row],[Day]])</f>
        <v>45250</v>
      </c>
      <c r="C2721" s="3">
        <v>20</v>
      </c>
      <c r="D2721" s="3">
        <v>11</v>
      </c>
      <c r="E2721" s="3">
        <v>2023</v>
      </c>
      <c r="F2721" s="3" t="str">
        <f>"Qtr"&amp; " " &amp;CHOOSE(MONTH(Table1[[#This Row],[Date]]),1,1,1,2,2,2,3,3,3,4,4,4)</f>
        <v>Qtr 4</v>
      </c>
      <c r="G2721" s="3" t="str">
        <f>TEXT(Table1[[#This Row],[Date]],"mmmm")</f>
        <v>November</v>
      </c>
      <c r="H2721" s="3" t="s">
        <v>1081</v>
      </c>
      <c r="I2721" s="3" t="s">
        <v>28</v>
      </c>
      <c r="J2721" s="3">
        <v>9</v>
      </c>
      <c r="K2721" s="3">
        <v>48545.59</v>
      </c>
      <c r="L2721" s="3">
        <f>Table1[[#This Row],[Price Per Unit]]*Table1[[#This Row],[Units Sold]]</f>
        <v>436910.30999999994</v>
      </c>
      <c r="M2721" s="3" t="s">
        <v>339</v>
      </c>
      <c r="N2721" s="3">
        <v>49</v>
      </c>
      <c r="O2721" s="3" t="s">
        <v>30</v>
      </c>
      <c r="P2721" s="3" t="s">
        <v>16</v>
      </c>
      <c r="Q2721" s="4">
        <v>4</v>
      </c>
      <c r="R2721" s="4" t="str">
        <f>IF(Table1[[#This Row],[Customer Ratings]]&gt;=4, "Good",IF(Table1[[#This Row],[Customer Ratings]]=3, "Average","Poor"))</f>
        <v>Good</v>
      </c>
      <c r="S2721" s="3" t="s">
        <v>32</v>
      </c>
    </row>
    <row r="2722" spans="1:19" x14ac:dyDescent="0.25">
      <c r="A2722" s="3">
        <v>2721</v>
      </c>
      <c r="B2722" s="5">
        <f>DATE(Table1[[#This Row],[Year]],Table1[[#This Row],[Month]],Table1[[#This Row],[Day]])</f>
        <v>45250</v>
      </c>
      <c r="C2722" s="3">
        <v>20</v>
      </c>
      <c r="D2722" s="3">
        <v>11</v>
      </c>
      <c r="E2722" s="3">
        <v>2023</v>
      </c>
      <c r="F2722" s="3" t="str">
        <f>"Qtr"&amp; " " &amp;CHOOSE(MONTH(Table1[[#This Row],[Date]]),1,1,1,2,2,2,3,3,3,4,4,4)</f>
        <v>Qtr 4</v>
      </c>
      <c r="G2722" s="3" t="str">
        <f>TEXT(Table1[[#This Row],[Date]],"mmmm")</f>
        <v>November</v>
      </c>
      <c r="H2722" s="3" t="s">
        <v>1081</v>
      </c>
      <c r="I2722" s="3" t="s">
        <v>13</v>
      </c>
      <c r="J2722" s="3">
        <v>8</v>
      </c>
      <c r="K2722" s="3">
        <v>65861.16</v>
      </c>
      <c r="L2722" s="3">
        <f>Table1[[#This Row],[Price Per Unit]]*Table1[[#This Row],[Units Sold]]</f>
        <v>526889.28</v>
      </c>
      <c r="M2722" s="3" t="s">
        <v>527</v>
      </c>
      <c r="N2722" s="3">
        <v>29</v>
      </c>
      <c r="O2722" s="3" t="s">
        <v>24</v>
      </c>
      <c r="P2722" s="3" t="s">
        <v>31</v>
      </c>
      <c r="Q2722" s="4">
        <v>5</v>
      </c>
      <c r="R2722" s="4" t="str">
        <f>IF(Table1[[#This Row],[Customer Ratings]]&gt;=4, "Good",IF(Table1[[#This Row],[Customer Ratings]]=3, "Average","Poor"))</f>
        <v>Good</v>
      </c>
      <c r="S2722" s="3" t="s">
        <v>17</v>
      </c>
    </row>
    <row r="2723" spans="1:19" x14ac:dyDescent="0.25">
      <c r="A2723" s="3">
        <v>2722</v>
      </c>
      <c r="B2723" s="5">
        <f>DATE(Table1[[#This Row],[Year]],Table1[[#This Row],[Month]],Table1[[#This Row],[Day]])</f>
        <v>45251</v>
      </c>
      <c r="C2723" s="3">
        <v>21</v>
      </c>
      <c r="D2723" s="3">
        <v>11</v>
      </c>
      <c r="E2723" s="3">
        <v>2023</v>
      </c>
      <c r="F2723" s="3" t="str">
        <f>"Qtr"&amp; " " &amp;CHOOSE(MONTH(Table1[[#This Row],[Date]]),1,1,1,2,2,2,3,3,3,4,4,4)</f>
        <v>Qtr 4</v>
      </c>
      <c r="G2723" s="3" t="str">
        <f>TEXT(Table1[[#This Row],[Date]],"mmmm")</f>
        <v>November</v>
      </c>
      <c r="H2723" s="3" t="s">
        <v>1082</v>
      </c>
      <c r="I2723" s="3" t="s">
        <v>28</v>
      </c>
      <c r="J2723" s="3">
        <v>2</v>
      </c>
      <c r="K2723" s="3">
        <v>60484.99</v>
      </c>
      <c r="L2723" s="3">
        <f>Table1[[#This Row],[Price Per Unit]]*Table1[[#This Row],[Units Sold]]</f>
        <v>120969.98</v>
      </c>
      <c r="M2723" s="3" t="s">
        <v>968</v>
      </c>
      <c r="N2723" s="3">
        <v>52</v>
      </c>
      <c r="O2723" s="3" t="s">
        <v>20</v>
      </c>
      <c r="P2723" s="3" t="s">
        <v>16</v>
      </c>
      <c r="Q2723" s="4">
        <v>5</v>
      </c>
      <c r="R2723" s="4" t="str">
        <f>IF(Table1[[#This Row],[Customer Ratings]]&gt;=4, "Good",IF(Table1[[#This Row],[Customer Ratings]]=3, "Average","Poor"))</f>
        <v>Good</v>
      </c>
      <c r="S2723" s="3" t="s">
        <v>87</v>
      </c>
    </row>
    <row r="2724" spans="1:19" x14ac:dyDescent="0.25">
      <c r="A2724" s="3">
        <v>2723</v>
      </c>
      <c r="B2724" s="5">
        <f>DATE(Table1[[#This Row],[Year]],Table1[[#This Row],[Month]],Table1[[#This Row],[Day]])</f>
        <v>45251</v>
      </c>
      <c r="C2724" s="3">
        <v>21</v>
      </c>
      <c r="D2724" s="3">
        <v>11</v>
      </c>
      <c r="E2724" s="3">
        <v>2023</v>
      </c>
      <c r="F2724" s="3" t="str">
        <f>"Qtr"&amp; " " &amp;CHOOSE(MONTH(Table1[[#This Row],[Date]]),1,1,1,2,2,2,3,3,3,4,4,4)</f>
        <v>Qtr 4</v>
      </c>
      <c r="G2724" s="3" t="str">
        <f>TEXT(Table1[[#This Row],[Date]],"mmmm")</f>
        <v>November</v>
      </c>
      <c r="H2724" s="3" t="s">
        <v>1082</v>
      </c>
      <c r="I2724" s="3" t="s">
        <v>18</v>
      </c>
      <c r="J2724" s="3">
        <v>7</v>
      </c>
      <c r="K2724" s="3">
        <v>48846.82</v>
      </c>
      <c r="L2724" s="3">
        <f>Table1[[#This Row],[Price Per Unit]]*Table1[[#This Row],[Units Sold]]</f>
        <v>341927.74</v>
      </c>
      <c r="M2724" s="3" t="s">
        <v>543</v>
      </c>
      <c r="N2724" s="3">
        <v>49</v>
      </c>
      <c r="O2724" s="3" t="s">
        <v>78</v>
      </c>
      <c r="P2724" s="3" t="s">
        <v>21</v>
      </c>
      <c r="Q2724" s="4">
        <v>5</v>
      </c>
      <c r="R2724" s="4" t="str">
        <f>IF(Table1[[#This Row],[Customer Ratings]]&gt;=4, "Good",IF(Table1[[#This Row],[Customer Ratings]]=3, "Average","Poor"))</f>
        <v>Good</v>
      </c>
      <c r="S2724" s="3" t="s">
        <v>22</v>
      </c>
    </row>
    <row r="2725" spans="1:19" x14ac:dyDescent="0.25">
      <c r="A2725" s="3">
        <v>2724</v>
      </c>
      <c r="B2725" s="5">
        <f>DATE(Table1[[#This Row],[Year]],Table1[[#This Row],[Month]],Table1[[#This Row],[Day]])</f>
        <v>45251</v>
      </c>
      <c r="C2725" s="3">
        <v>21</v>
      </c>
      <c r="D2725" s="3">
        <v>11</v>
      </c>
      <c r="E2725" s="3">
        <v>2023</v>
      </c>
      <c r="F2725" s="3" t="str">
        <f>"Qtr"&amp; " " &amp;CHOOSE(MONTH(Table1[[#This Row],[Date]]),1,1,1,2,2,2,3,3,3,4,4,4)</f>
        <v>Qtr 4</v>
      </c>
      <c r="G2725" s="3" t="str">
        <f>TEXT(Table1[[#This Row],[Date]],"mmmm")</f>
        <v>November</v>
      </c>
      <c r="H2725" s="3" t="s">
        <v>1082</v>
      </c>
      <c r="I2725" s="3" t="s">
        <v>39</v>
      </c>
      <c r="J2725" s="3">
        <v>2</v>
      </c>
      <c r="K2725" s="3">
        <v>30490.43</v>
      </c>
      <c r="L2725" s="3">
        <f>Table1[[#This Row],[Price Per Unit]]*Table1[[#This Row],[Units Sold]]</f>
        <v>60980.86</v>
      </c>
      <c r="M2725" s="3" t="s">
        <v>609</v>
      </c>
      <c r="N2725" s="3">
        <v>26</v>
      </c>
      <c r="O2725" s="3" t="s">
        <v>98</v>
      </c>
      <c r="P2725" s="3" t="s">
        <v>21</v>
      </c>
      <c r="Q2725" s="4">
        <v>5</v>
      </c>
      <c r="R2725" s="4" t="str">
        <f>IF(Table1[[#This Row],[Customer Ratings]]&gt;=4, "Good",IF(Table1[[#This Row],[Customer Ratings]]=3, "Average","Poor"))</f>
        <v>Good</v>
      </c>
      <c r="S2725" s="3" t="s">
        <v>90</v>
      </c>
    </row>
    <row r="2726" spans="1:19" x14ac:dyDescent="0.25">
      <c r="A2726" s="3">
        <v>2725</v>
      </c>
      <c r="B2726" s="5">
        <f>DATE(Table1[[#This Row],[Year]],Table1[[#This Row],[Month]],Table1[[#This Row],[Day]])</f>
        <v>45251</v>
      </c>
      <c r="C2726" s="3">
        <v>21</v>
      </c>
      <c r="D2726" s="3">
        <v>11</v>
      </c>
      <c r="E2726" s="3">
        <v>2023</v>
      </c>
      <c r="F2726" s="3" t="str">
        <f>"Qtr"&amp; " " &amp;CHOOSE(MONTH(Table1[[#This Row],[Date]]),1,1,1,2,2,2,3,3,3,4,4,4)</f>
        <v>Qtr 4</v>
      </c>
      <c r="G2726" s="3" t="str">
        <f>TEXT(Table1[[#This Row],[Date]],"mmmm")</f>
        <v>November</v>
      </c>
      <c r="H2726" s="3" t="s">
        <v>1082</v>
      </c>
      <c r="I2726" s="3" t="s">
        <v>13</v>
      </c>
      <c r="J2726" s="3">
        <v>2</v>
      </c>
      <c r="K2726" s="3">
        <v>56774.59</v>
      </c>
      <c r="L2726" s="3">
        <f>Table1[[#This Row],[Price Per Unit]]*Table1[[#This Row],[Units Sold]]</f>
        <v>113549.18</v>
      </c>
      <c r="M2726" s="3" t="s">
        <v>980</v>
      </c>
      <c r="N2726" s="3">
        <v>31</v>
      </c>
      <c r="O2726" s="3" t="s">
        <v>54</v>
      </c>
      <c r="P2726" s="3" t="s">
        <v>45</v>
      </c>
      <c r="Q2726" s="4">
        <v>4</v>
      </c>
      <c r="R2726" s="4" t="str">
        <f>IF(Table1[[#This Row],[Customer Ratings]]&gt;=4, "Good",IF(Table1[[#This Row],[Customer Ratings]]=3, "Average","Poor"))</f>
        <v>Good</v>
      </c>
      <c r="S2726" s="3" t="s">
        <v>17</v>
      </c>
    </row>
    <row r="2727" spans="1:19" x14ac:dyDescent="0.25">
      <c r="A2727" s="3">
        <v>2726</v>
      </c>
      <c r="B2727" s="5">
        <f>DATE(Table1[[#This Row],[Year]],Table1[[#This Row],[Month]],Table1[[#This Row],[Day]])</f>
        <v>45252</v>
      </c>
      <c r="C2727" s="3">
        <v>22</v>
      </c>
      <c r="D2727" s="3">
        <v>11</v>
      </c>
      <c r="E2727" s="3">
        <v>2023</v>
      </c>
      <c r="F2727" s="3" t="str">
        <f>"Qtr"&amp; " " &amp;CHOOSE(MONTH(Table1[[#This Row],[Date]]),1,1,1,2,2,2,3,3,3,4,4,4)</f>
        <v>Qtr 4</v>
      </c>
      <c r="G2727" s="3" t="str">
        <f>TEXT(Table1[[#This Row],[Date]],"mmmm")</f>
        <v>November</v>
      </c>
      <c r="H2727" s="3" t="s">
        <v>1083</v>
      </c>
      <c r="I2727" s="3" t="s">
        <v>18</v>
      </c>
      <c r="J2727" s="3">
        <v>4</v>
      </c>
      <c r="K2727" s="3">
        <v>44512.5</v>
      </c>
      <c r="L2727" s="3">
        <f>Table1[[#This Row],[Price Per Unit]]*Table1[[#This Row],[Units Sold]]</f>
        <v>178050</v>
      </c>
      <c r="M2727" s="3" t="s">
        <v>101</v>
      </c>
      <c r="N2727" s="3">
        <v>30</v>
      </c>
      <c r="O2727" s="3" t="s">
        <v>20</v>
      </c>
      <c r="P2727" s="3" t="s">
        <v>16</v>
      </c>
      <c r="Q2727" s="4">
        <v>5</v>
      </c>
      <c r="R2727" s="4" t="str">
        <f>IF(Table1[[#This Row],[Customer Ratings]]&gt;=4, "Good",IF(Table1[[#This Row],[Customer Ratings]]=3, "Average","Poor"))</f>
        <v>Good</v>
      </c>
      <c r="S2727" s="3" t="s">
        <v>22</v>
      </c>
    </row>
    <row r="2728" spans="1:19" x14ac:dyDescent="0.25">
      <c r="A2728" s="3">
        <v>2727</v>
      </c>
      <c r="B2728" s="5">
        <f>DATE(Table1[[#This Row],[Year]],Table1[[#This Row],[Month]],Table1[[#This Row],[Day]])</f>
        <v>45252</v>
      </c>
      <c r="C2728" s="3">
        <v>22</v>
      </c>
      <c r="D2728" s="3">
        <v>11</v>
      </c>
      <c r="E2728" s="3">
        <v>2023</v>
      </c>
      <c r="F2728" s="3" t="str">
        <f>"Qtr"&amp; " " &amp;CHOOSE(MONTH(Table1[[#This Row],[Date]]),1,1,1,2,2,2,3,3,3,4,4,4)</f>
        <v>Qtr 4</v>
      </c>
      <c r="G2728" s="3" t="str">
        <f>TEXT(Table1[[#This Row],[Date]],"mmmm")</f>
        <v>November</v>
      </c>
      <c r="H2728" s="3" t="s">
        <v>1083</v>
      </c>
      <c r="I2728" s="3" t="s">
        <v>33</v>
      </c>
      <c r="J2728" s="3">
        <v>1</v>
      </c>
      <c r="K2728" s="3">
        <v>69116.2</v>
      </c>
      <c r="L2728" s="3">
        <f>Table1[[#This Row],[Price Per Unit]]*Table1[[#This Row],[Units Sold]]</f>
        <v>69116.2</v>
      </c>
      <c r="M2728" s="3" t="s">
        <v>576</v>
      </c>
      <c r="N2728" s="3">
        <v>50</v>
      </c>
      <c r="O2728" s="3" t="s">
        <v>15</v>
      </c>
      <c r="P2728" s="3" t="s">
        <v>45</v>
      </c>
      <c r="Q2728" s="4">
        <v>2</v>
      </c>
      <c r="R2728" s="4" t="str">
        <f>IF(Table1[[#This Row],[Customer Ratings]]&gt;=4, "Good",IF(Table1[[#This Row],[Customer Ratings]]=3, "Average","Poor"))</f>
        <v>Poor</v>
      </c>
      <c r="S2728" s="3" t="s">
        <v>36</v>
      </c>
    </row>
    <row r="2729" spans="1:19" x14ac:dyDescent="0.25">
      <c r="A2729" s="3">
        <v>2728</v>
      </c>
      <c r="B2729" s="5">
        <f>DATE(Table1[[#This Row],[Year]],Table1[[#This Row],[Month]],Table1[[#This Row],[Day]])</f>
        <v>45252</v>
      </c>
      <c r="C2729" s="3">
        <v>22</v>
      </c>
      <c r="D2729" s="3">
        <v>11</v>
      </c>
      <c r="E2729" s="3">
        <v>2023</v>
      </c>
      <c r="F2729" s="3" t="str">
        <f>"Qtr"&amp; " " &amp;CHOOSE(MONTH(Table1[[#This Row],[Date]]),1,1,1,2,2,2,3,3,3,4,4,4)</f>
        <v>Qtr 4</v>
      </c>
      <c r="G2729" s="3" t="str">
        <f>TEXT(Table1[[#This Row],[Date]],"mmmm")</f>
        <v>November</v>
      </c>
      <c r="H2729" s="3" t="s">
        <v>1083</v>
      </c>
      <c r="I2729" s="3" t="s">
        <v>13</v>
      </c>
      <c r="J2729" s="3">
        <v>5</v>
      </c>
      <c r="K2729" s="3">
        <v>24850.37</v>
      </c>
      <c r="L2729" s="3">
        <f>Table1[[#This Row],[Price Per Unit]]*Table1[[#This Row],[Units Sold]]</f>
        <v>124251.84999999999</v>
      </c>
      <c r="M2729" s="3" t="s">
        <v>800</v>
      </c>
      <c r="N2729" s="3">
        <v>49</v>
      </c>
      <c r="O2729" s="3" t="s">
        <v>24</v>
      </c>
      <c r="P2729" s="3" t="s">
        <v>31</v>
      </c>
      <c r="Q2729" s="4">
        <v>5</v>
      </c>
      <c r="R2729" s="4" t="str">
        <f>IF(Table1[[#This Row],[Customer Ratings]]&gt;=4, "Good",IF(Table1[[#This Row],[Customer Ratings]]=3, "Average","Poor"))</f>
        <v>Good</v>
      </c>
      <c r="S2729" s="3" t="s">
        <v>72</v>
      </c>
    </row>
    <row r="2730" spans="1:19" x14ac:dyDescent="0.25">
      <c r="A2730" s="3">
        <v>2729</v>
      </c>
      <c r="B2730" s="5">
        <f>DATE(Table1[[#This Row],[Year]],Table1[[#This Row],[Month]],Table1[[#This Row],[Day]])</f>
        <v>45252</v>
      </c>
      <c r="C2730" s="3">
        <v>22</v>
      </c>
      <c r="D2730" s="3">
        <v>11</v>
      </c>
      <c r="E2730" s="3">
        <v>2023</v>
      </c>
      <c r="F2730" s="3" t="str">
        <f>"Qtr"&amp; " " &amp;CHOOSE(MONTH(Table1[[#This Row],[Date]]),1,1,1,2,2,2,3,3,3,4,4,4)</f>
        <v>Qtr 4</v>
      </c>
      <c r="G2730" s="3" t="str">
        <f>TEXT(Table1[[#This Row],[Date]],"mmmm")</f>
        <v>November</v>
      </c>
      <c r="H2730" s="3" t="s">
        <v>1083</v>
      </c>
      <c r="I2730" s="3" t="s">
        <v>39</v>
      </c>
      <c r="J2730" s="3">
        <v>6</v>
      </c>
      <c r="K2730" s="3">
        <v>14779.35</v>
      </c>
      <c r="L2730" s="3">
        <f>Table1[[#This Row],[Price Per Unit]]*Table1[[#This Row],[Units Sold]]</f>
        <v>88676.1</v>
      </c>
      <c r="M2730" s="3" t="s">
        <v>1003</v>
      </c>
      <c r="N2730" s="3">
        <v>36</v>
      </c>
      <c r="O2730" s="3" t="s">
        <v>78</v>
      </c>
      <c r="P2730" s="3" t="s">
        <v>31</v>
      </c>
      <c r="Q2730" s="4">
        <v>4</v>
      </c>
      <c r="R2730" s="4" t="str">
        <f>IF(Table1[[#This Row],[Customer Ratings]]&gt;=4, "Good",IF(Table1[[#This Row],[Customer Ratings]]=3, "Average","Poor"))</f>
        <v>Good</v>
      </c>
      <c r="S2730" s="3" t="s">
        <v>76</v>
      </c>
    </row>
    <row r="2731" spans="1:19" x14ac:dyDescent="0.25">
      <c r="A2731" s="3">
        <v>2730</v>
      </c>
      <c r="B2731" s="5">
        <f>DATE(Table1[[#This Row],[Year]],Table1[[#This Row],[Month]],Table1[[#This Row],[Day]])</f>
        <v>45253</v>
      </c>
      <c r="C2731" s="3">
        <v>23</v>
      </c>
      <c r="D2731" s="3">
        <v>11</v>
      </c>
      <c r="E2731" s="3">
        <v>2023</v>
      </c>
      <c r="F2731" s="3" t="str">
        <f>"Qtr"&amp; " " &amp;CHOOSE(MONTH(Table1[[#This Row],[Date]]),1,1,1,2,2,2,3,3,3,4,4,4)</f>
        <v>Qtr 4</v>
      </c>
      <c r="G2731" s="3" t="str">
        <f>TEXT(Table1[[#This Row],[Date]],"mmmm")</f>
        <v>November</v>
      </c>
      <c r="H2731" s="3" t="s">
        <v>1084</v>
      </c>
      <c r="I2731" s="3" t="s">
        <v>39</v>
      </c>
      <c r="J2731" s="3">
        <v>9</v>
      </c>
      <c r="K2731" s="3">
        <v>14193.51</v>
      </c>
      <c r="L2731" s="3">
        <f>Table1[[#This Row],[Price Per Unit]]*Table1[[#This Row],[Units Sold]]</f>
        <v>127741.59</v>
      </c>
      <c r="M2731" s="3" t="s">
        <v>994</v>
      </c>
      <c r="N2731" s="3">
        <v>47</v>
      </c>
      <c r="O2731" s="3" t="s">
        <v>20</v>
      </c>
      <c r="P2731" s="3" t="s">
        <v>31</v>
      </c>
      <c r="Q2731" s="4">
        <v>5</v>
      </c>
      <c r="R2731" s="4" t="str">
        <f>IF(Table1[[#This Row],[Customer Ratings]]&gt;=4, "Good",IF(Table1[[#This Row],[Customer Ratings]]=3, "Average","Poor"))</f>
        <v>Good</v>
      </c>
      <c r="S2731" s="3" t="s">
        <v>76</v>
      </c>
    </row>
    <row r="2732" spans="1:19" x14ac:dyDescent="0.25">
      <c r="A2732" s="3">
        <v>2731</v>
      </c>
      <c r="B2732" s="5">
        <f>DATE(Table1[[#This Row],[Year]],Table1[[#This Row],[Month]],Table1[[#This Row],[Day]])</f>
        <v>45253</v>
      </c>
      <c r="C2732" s="3">
        <v>23</v>
      </c>
      <c r="D2732" s="3">
        <v>11</v>
      </c>
      <c r="E2732" s="3">
        <v>2023</v>
      </c>
      <c r="F2732" s="3" t="str">
        <f>"Qtr"&amp; " " &amp;CHOOSE(MONTH(Table1[[#This Row],[Date]]),1,1,1,2,2,2,3,3,3,4,4,4)</f>
        <v>Qtr 4</v>
      </c>
      <c r="G2732" s="3" t="str">
        <f>TEXT(Table1[[#This Row],[Date]],"mmmm")</f>
        <v>November</v>
      </c>
      <c r="H2732" s="3" t="s">
        <v>1084</v>
      </c>
      <c r="I2732" s="3" t="s">
        <v>33</v>
      </c>
      <c r="J2732" s="3">
        <v>8</v>
      </c>
      <c r="K2732" s="3">
        <v>48401.82</v>
      </c>
      <c r="L2732" s="3">
        <f>Table1[[#This Row],[Price Per Unit]]*Table1[[#This Row],[Units Sold]]</f>
        <v>387214.56</v>
      </c>
      <c r="M2732" s="3" t="s">
        <v>787</v>
      </c>
      <c r="N2732" s="3">
        <v>33</v>
      </c>
      <c r="O2732" s="3" t="s">
        <v>105</v>
      </c>
      <c r="P2732" s="3" t="s">
        <v>16</v>
      </c>
      <c r="Q2732" s="4">
        <v>4</v>
      </c>
      <c r="R2732" s="4" t="str">
        <f>IF(Table1[[#This Row],[Customer Ratings]]&gt;=4, "Good",IF(Table1[[#This Row],[Customer Ratings]]=3, "Average","Poor"))</f>
        <v>Good</v>
      </c>
      <c r="S2732" s="3" t="s">
        <v>36</v>
      </c>
    </row>
    <row r="2733" spans="1:19" x14ac:dyDescent="0.25">
      <c r="A2733" s="3">
        <v>2732</v>
      </c>
      <c r="B2733" s="5">
        <f>DATE(Table1[[#This Row],[Year]],Table1[[#This Row],[Month]],Table1[[#This Row],[Day]])</f>
        <v>45253</v>
      </c>
      <c r="C2733" s="3">
        <v>23</v>
      </c>
      <c r="D2733" s="3">
        <v>11</v>
      </c>
      <c r="E2733" s="3">
        <v>2023</v>
      </c>
      <c r="F2733" s="3" t="str">
        <f>"Qtr"&amp; " " &amp;CHOOSE(MONTH(Table1[[#This Row],[Date]]),1,1,1,2,2,2,3,3,3,4,4,4)</f>
        <v>Qtr 4</v>
      </c>
      <c r="G2733" s="3" t="str">
        <f>TEXT(Table1[[#This Row],[Date]],"mmmm")</f>
        <v>November</v>
      </c>
      <c r="H2733" s="3" t="s">
        <v>1084</v>
      </c>
      <c r="I2733" s="3" t="s">
        <v>33</v>
      </c>
      <c r="J2733" s="3">
        <v>2</v>
      </c>
      <c r="K2733" s="3">
        <v>66355.61</v>
      </c>
      <c r="L2733" s="3">
        <f>Table1[[#This Row],[Price Per Unit]]*Table1[[#This Row],[Units Sold]]</f>
        <v>132711.22</v>
      </c>
      <c r="M2733" s="3" t="s">
        <v>616</v>
      </c>
      <c r="N2733" s="3">
        <v>29</v>
      </c>
      <c r="O2733" s="3" t="s">
        <v>58</v>
      </c>
      <c r="P2733" s="3" t="s">
        <v>45</v>
      </c>
      <c r="Q2733" s="4">
        <v>5</v>
      </c>
      <c r="R2733" s="4" t="str">
        <f>IF(Table1[[#This Row],[Customer Ratings]]&gt;=4, "Good",IF(Table1[[#This Row],[Customer Ratings]]=3, "Average","Poor"))</f>
        <v>Good</v>
      </c>
      <c r="S2733" s="3" t="s">
        <v>83</v>
      </c>
    </row>
    <row r="2734" spans="1:19" x14ac:dyDescent="0.25">
      <c r="A2734" s="3">
        <v>2733</v>
      </c>
      <c r="B2734" s="5">
        <f>DATE(Table1[[#This Row],[Year]],Table1[[#This Row],[Month]],Table1[[#This Row],[Day]])</f>
        <v>45254</v>
      </c>
      <c r="C2734" s="3">
        <v>24</v>
      </c>
      <c r="D2734" s="3">
        <v>11</v>
      </c>
      <c r="E2734" s="3">
        <v>2023</v>
      </c>
      <c r="F2734" s="3" t="str">
        <f>"Qtr"&amp; " " &amp;CHOOSE(MONTH(Table1[[#This Row],[Date]]),1,1,1,2,2,2,3,3,3,4,4,4)</f>
        <v>Qtr 4</v>
      </c>
      <c r="G2734" s="3" t="str">
        <f>TEXT(Table1[[#This Row],[Date]],"mmmm")</f>
        <v>November</v>
      </c>
      <c r="H2734" s="3" t="s">
        <v>1085</v>
      </c>
      <c r="I2734" s="3" t="s">
        <v>13</v>
      </c>
      <c r="J2734" s="3">
        <v>1</v>
      </c>
      <c r="K2734" s="3">
        <v>10115.91</v>
      </c>
      <c r="L2734" s="3">
        <f>Table1[[#This Row],[Price Per Unit]]*Table1[[#This Row],[Units Sold]]</f>
        <v>10115.91</v>
      </c>
      <c r="M2734" s="3" t="s">
        <v>531</v>
      </c>
      <c r="N2734" s="3">
        <v>27</v>
      </c>
      <c r="O2734" s="3" t="s">
        <v>20</v>
      </c>
      <c r="P2734" s="3" t="s">
        <v>45</v>
      </c>
      <c r="Q2734" s="4">
        <v>4</v>
      </c>
      <c r="R2734" s="4" t="str">
        <f>IF(Table1[[#This Row],[Customer Ratings]]&gt;=4, "Good",IF(Table1[[#This Row],[Customer Ratings]]=3, "Average","Poor"))</f>
        <v>Good</v>
      </c>
      <c r="S2734" s="3" t="s">
        <v>72</v>
      </c>
    </row>
    <row r="2735" spans="1:19" x14ac:dyDescent="0.25">
      <c r="A2735" s="3">
        <v>2734</v>
      </c>
      <c r="B2735" s="5">
        <f>DATE(Table1[[#This Row],[Year]],Table1[[#This Row],[Month]],Table1[[#This Row],[Day]])</f>
        <v>45254</v>
      </c>
      <c r="C2735" s="3">
        <v>24</v>
      </c>
      <c r="D2735" s="3">
        <v>11</v>
      </c>
      <c r="E2735" s="3">
        <v>2023</v>
      </c>
      <c r="F2735" s="3" t="str">
        <f>"Qtr"&amp; " " &amp;CHOOSE(MONTH(Table1[[#This Row],[Date]]),1,1,1,2,2,2,3,3,3,4,4,4)</f>
        <v>Qtr 4</v>
      </c>
      <c r="G2735" s="3" t="str">
        <f>TEXT(Table1[[#This Row],[Date]],"mmmm")</f>
        <v>November</v>
      </c>
      <c r="H2735" s="3" t="s">
        <v>1085</v>
      </c>
      <c r="I2735" s="3" t="s">
        <v>28</v>
      </c>
      <c r="J2735" s="3">
        <v>2</v>
      </c>
      <c r="K2735" s="3">
        <v>53546.26</v>
      </c>
      <c r="L2735" s="3">
        <f>Table1[[#This Row],[Price Per Unit]]*Table1[[#This Row],[Units Sold]]</f>
        <v>107092.52</v>
      </c>
      <c r="M2735" s="3" t="s">
        <v>679</v>
      </c>
      <c r="N2735" s="3">
        <v>19</v>
      </c>
      <c r="O2735" s="3" t="s">
        <v>120</v>
      </c>
      <c r="P2735" s="3" t="s">
        <v>31</v>
      </c>
      <c r="Q2735" s="4">
        <v>2</v>
      </c>
      <c r="R2735" s="4" t="str">
        <f>IF(Table1[[#This Row],[Customer Ratings]]&gt;=4, "Good",IF(Table1[[#This Row],[Customer Ratings]]=3, "Average","Poor"))</f>
        <v>Poor</v>
      </c>
      <c r="S2735" s="3" t="s">
        <v>32</v>
      </c>
    </row>
    <row r="2736" spans="1:19" x14ac:dyDescent="0.25">
      <c r="A2736" s="3">
        <v>2735</v>
      </c>
      <c r="B2736" s="5">
        <f>DATE(Table1[[#This Row],[Year]],Table1[[#This Row],[Month]],Table1[[#This Row],[Day]])</f>
        <v>45254</v>
      </c>
      <c r="C2736" s="3">
        <v>24</v>
      </c>
      <c r="D2736" s="3">
        <v>11</v>
      </c>
      <c r="E2736" s="3">
        <v>2023</v>
      </c>
      <c r="F2736" s="3" t="str">
        <f>"Qtr"&amp; " " &amp;CHOOSE(MONTH(Table1[[#This Row],[Date]]),1,1,1,2,2,2,3,3,3,4,4,4)</f>
        <v>Qtr 4</v>
      </c>
      <c r="G2736" s="3" t="str">
        <f>TEXT(Table1[[#This Row],[Date]],"mmmm")</f>
        <v>November</v>
      </c>
      <c r="H2736" s="3" t="s">
        <v>1085</v>
      </c>
      <c r="I2736" s="3" t="s">
        <v>33</v>
      </c>
      <c r="J2736" s="3">
        <v>7</v>
      </c>
      <c r="K2736" s="3">
        <v>49423.91</v>
      </c>
      <c r="L2736" s="3">
        <f>Table1[[#This Row],[Price Per Unit]]*Table1[[#This Row],[Units Sold]]</f>
        <v>345967.37</v>
      </c>
      <c r="M2736" s="3" t="s">
        <v>920</v>
      </c>
      <c r="N2736" s="3">
        <v>35</v>
      </c>
      <c r="O2736" s="3" t="s">
        <v>54</v>
      </c>
      <c r="P2736" s="3" t="s">
        <v>45</v>
      </c>
      <c r="Q2736" s="4">
        <v>4</v>
      </c>
      <c r="R2736" s="4" t="str">
        <f>IF(Table1[[#This Row],[Customer Ratings]]&gt;=4, "Good",IF(Table1[[#This Row],[Customer Ratings]]=3, "Average","Poor"))</f>
        <v>Good</v>
      </c>
      <c r="S2736" s="3" t="s">
        <v>46</v>
      </c>
    </row>
    <row r="2737" spans="1:19" x14ac:dyDescent="0.25">
      <c r="A2737" s="3">
        <v>2736</v>
      </c>
      <c r="B2737" s="5">
        <f>DATE(Table1[[#This Row],[Year]],Table1[[#This Row],[Month]],Table1[[#This Row],[Day]])</f>
        <v>45255</v>
      </c>
      <c r="C2737" s="3">
        <v>25</v>
      </c>
      <c r="D2737" s="3">
        <v>11</v>
      </c>
      <c r="E2737" s="3">
        <v>2023</v>
      </c>
      <c r="F2737" s="3" t="str">
        <f>"Qtr"&amp; " " &amp;CHOOSE(MONTH(Table1[[#This Row],[Date]]),1,1,1,2,2,2,3,3,3,4,4,4)</f>
        <v>Qtr 4</v>
      </c>
      <c r="G2737" s="3" t="str">
        <f>TEXT(Table1[[#This Row],[Date]],"mmmm")</f>
        <v>November</v>
      </c>
      <c r="H2737" s="3" t="s">
        <v>1079</v>
      </c>
      <c r="I2737" s="3" t="s">
        <v>28</v>
      </c>
      <c r="J2737" s="3">
        <v>4</v>
      </c>
      <c r="K2737" s="3">
        <v>53938.25</v>
      </c>
      <c r="L2737" s="3">
        <f>Table1[[#This Row],[Price Per Unit]]*Table1[[#This Row],[Units Sold]]</f>
        <v>215753</v>
      </c>
      <c r="M2737" s="3" t="s">
        <v>1004</v>
      </c>
      <c r="N2737" s="3">
        <v>30</v>
      </c>
      <c r="O2737" s="3" t="s">
        <v>105</v>
      </c>
      <c r="P2737" s="3" t="s">
        <v>21</v>
      </c>
      <c r="Q2737" s="4">
        <v>3</v>
      </c>
      <c r="R2737" s="4" t="str">
        <f>IF(Table1[[#This Row],[Customer Ratings]]&gt;=4, "Good",IF(Table1[[#This Row],[Customer Ratings]]=3, "Average","Poor"))</f>
        <v>Average</v>
      </c>
      <c r="S2737" s="3" t="s">
        <v>38</v>
      </c>
    </row>
    <row r="2738" spans="1:19" x14ac:dyDescent="0.25">
      <c r="A2738" s="3">
        <v>2737</v>
      </c>
      <c r="B2738" s="5">
        <f>DATE(Table1[[#This Row],[Year]],Table1[[#This Row],[Month]],Table1[[#This Row],[Day]])</f>
        <v>45255</v>
      </c>
      <c r="C2738" s="3">
        <v>25</v>
      </c>
      <c r="D2738" s="3">
        <v>11</v>
      </c>
      <c r="E2738" s="3">
        <v>2023</v>
      </c>
      <c r="F2738" s="3" t="str">
        <f>"Qtr"&amp; " " &amp;CHOOSE(MONTH(Table1[[#This Row],[Date]]),1,1,1,2,2,2,3,3,3,4,4,4)</f>
        <v>Qtr 4</v>
      </c>
      <c r="G2738" s="3" t="str">
        <f>TEXT(Table1[[#This Row],[Date]],"mmmm")</f>
        <v>November</v>
      </c>
      <c r="H2738" s="3" t="s">
        <v>1079</v>
      </c>
      <c r="I2738" s="3" t="s">
        <v>18</v>
      </c>
      <c r="J2738" s="3">
        <v>5</v>
      </c>
      <c r="K2738" s="3">
        <v>31324.32</v>
      </c>
      <c r="L2738" s="3">
        <f>Table1[[#This Row],[Price Per Unit]]*Table1[[#This Row],[Units Sold]]</f>
        <v>156621.6</v>
      </c>
      <c r="M2738" s="3" t="s">
        <v>817</v>
      </c>
      <c r="N2738" s="3">
        <v>46</v>
      </c>
      <c r="O2738" s="3" t="s">
        <v>20</v>
      </c>
      <c r="P2738" s="3" t="s">
        <v>21</v>
      </c>
      <c r="Q2738" s="4">
        <v>4</v>
      </c>
      <c r="R2738" s="4" t="str">
        <f>IF(Table1[[#This Row],[Customer Ratings]]&gt;=4, "Good",IF(Table1[[#This Row],[Customer Ratings]]=3, "Average","Poor"))</f>
        <v>Good</v>
      </c>
      <c r="S2738" s="3" t="s">
        <v>55</v>
      </c>
    </row>
    <row r="2739" spans="1:19" x14ac:dyDescent="0.25">
      <c r="A2739" s="3">
        <v>2738</v>
      </c>
      <c r="B2739" s="5">
        <f>DATE(Table1[[#This Row],[Year]],Table1[[#This Row],[Month]],Table1[[#This Row],[Day]])</f>
        <v>45255</v>
      </c>
      <c r="C2739" s="3">
        <v>25</v>
      </c>
      <c r="D2739" s="3">
        <v>11</v>
      </c>
      <c r="E2739" s="3">
        <v>2023</v>
      </c>
      <c r="F2739" s="3" t="str">
        <f>"Qtr"&amp; " " &amp;CHOOSE(MONTH(Table1[[#This Row],[Date]]),1,1,1,2,2,2,3,3,3,4,4,4)</f>
        <v>Qtr 4</v>
      </c>
      <c r="G2739" s="3" t="str">
        <f>TEXT(Table1[[#This Row],[Date]],"mmmm")</f>
        <v>November</v>
      </c>
      <c r="H2739" s="3" t="s">
        <v>1079</v>
      </c>
      <c r="I2739" s="3" t="s">
        <v>39</v>
      </c>
      <c r="J2739" s="3">
        <v>7</v>
      </c>
      <c r="K2739" s="3">
        <v>59229.79</v>
      </c>
      <c r="L2739" s="3">
        <f>Table1[[#This Row],[Price Per Unit]]*Table1[[#This Row],[Units Sold]]</f>
        <v>414608.53</v>
      </c>
      <c r="M2739" s="3" t="s">
        <v>368</v>
      </c>
      <c r="N2739" s="3">
        <v>41</v>
      </c>
      <c r="O2739" s="3" t="s">
        <v>20</v>
      </c>
      <c r="P2739" s="3" t="s">
        <v>21</v>
      </c>
      <c r="Q2739" s="4">
        <v>5</v>
      </c>
      <c r="R2739" s="4" t="str">
        <f>IF(Table1[[#This Row],[Customer Ratings]]&gt;=4, "Good",IF(Table1[[#This Row],[Customer Ratings]]=3, "Average","Poor"))</f>
        <v>Good</v>
      </c>
      <c r="S2739" s="3" t="s">
        <v>76</v>
      </c>
    </row>
    <row r="2740" spans="1:19" x14ac:dyDescent="0.25">
      <c r="A2740" s="3">
        <v>2739</v>
      </c>
      <c r="B2740" s="5">
        <f>DATE(Table1[[#This Row],[Year]],Table1[[#This Row],[Month]],Table1[[#This Row],[Day]])</f>
        <v>45255</v>
      </c>
      <c r="C2740" s="3">
        <v>25</v>
      </c>
      <c r="D2740" s="3">
        <v>11</v>
      </c>
      <c r="E2740" s="3">
        <v>2023</v>
      </c>
      <c r="F2740" s="3" t="str">
        <f>"Qtr"&amp; " " &amp;CHOOSE(MONTH(Table1[[#This Row],[Date]]),1,1,1,2,2,2,3,3,3,4,4,4)</f>
        <v>Qtr 4</v>
      </c>
      <c r="G2740" s="3" t="str">
        <f>TEXT(Table1[[#This Row],[Date]],"mmmm")</f>
        <v>November</v>
      </c>
      <c r="H2740" s="3" t="s">
        <v>1079</v>
      </c>
      <c r="I2740" s="3" t="s">
        <v>28</v>
      </c>
      <c r="J2740" s="3">
        <v>3</v>
      </c>
      <c r="K2740" s="3">
        <v>12682.42</v>
      </c>
      <c r="L2740" s="3">
        <f>Table1[[#This Row],[Price Per Unit]]*Table1[[#This Row],[Units Sold]]</f>
        <v>38047.26</v>
      </c>
      <c r="M2740" s="3" t="s">
        <v>865</v>
      </c>
      <c r="N2740" s="3">
        <v>55</v>
      </c>
      <c r="O2740" s="3" t="s">
        <v>54</v>
      </c>
      <c r="P2740" s="3" t="s">
        <v>21</v>
      </c>
      <c r="Q2740" s="4">
        <v>3</v>
      </c>
      <c r="R2740" s="4" t="str">
        <f>IF(Table1[[#This Row],[Customer Ratings]]&gt;=4, "Good",IF(Table1[[#This Row],[Customer Ratings]]=3, "Average","Poor"))</f>
        <v>Average</v>
      </c>
      <c r="S2740" s="3" t="s">
        <v>32</v>
      </c>
    </row>
    <row r="2741" spans="1:19" x14ac:dyDescent="0.25">
      <c r="A2741" s="3">
        <v>2740</v>
      </c>
      <c r="B2741" s="5">
        <f>DATE(Table1[[#This Row],[Year]],Table1[[#This Row],[Month]],Table1[[#This Row],[Day]])</f>
        <v>45256</v>
      </c>
      <c r="C2741" s="3">
        <v>26</v>
      </c>
      <c r="D2741" s="3">
        <v>11</v>
      </c>
      <c r="E2741" s="3">
        <v>2023</v>
      </c>
      <c r="F2741" s="3" t="str">
        <f>"Qtr"&amp; " " &amp;CHOOSE(MONTH(Table1[[#This Row],[Date]]),1,1,1,2,2,2,3,3,3,4,4,4)</f>
        <v>Qtr 4</v>
      </c>
      <c r="G2741" s="3" t="str">
        <f>TEXT(Table1[[#This Row],[Date]],"mmmm")</f>
        <v>November</v>
      </c>
      <c r="H2741" s="3" t="s">
        <v>1080</v>
      </c>
      <c r="I2741" s="3" t="s">
        <v>39</v>
      </c>
      <c r="J2741" s="3">
        <v>2</v>
      </c>
      <c r="K2741" s="3">
        <v>55325.87</v>
      </c>
      <c r="L2741" s="3">
        <f>Table1[[#This Row],[Price Per Unit]]*Table1[[#This Row],[Units Sold]]</f>
        <v>110651.74</v>
      </c>
      <c r="M2741" s="3" t="s">
        <v>338</v>
      </c>
      <c r="N2741" s="3">
        <v>29</v>
      </c>
      <c r="O2741" s="3" t="s">
        <v>20</v>
      </c>
      <c r="P2741" s="3" t="s">
        <v>45</v>
      </c>
      <c r="Q2741" s="4">
        <v>5</v>
      </c>
      <c r="R2741" s="4" t="str">
        <f>IF(Table1[[#This Row],[Customer Ratings]]&gt;=4, "Good",IF(Table1[[#This Row],[Customer Ratings]]=3, "Average","Poor"))</f>
        <v>Good</v>
      </c>
      <c r="S2741" s="3" t="s">
        <v>90</v>
      </c>
    </row>
    <row r="2742" spans="1:19" x14ac:dyDescent="0.25">
      <c r="A2742" s="3">
        <v>2741</v>
      </c>
      <c r="B2742" s="5">
        <f>DATE(Table1[[#This Row],[Year]],Table1[[#This Row],[Month]],Table1[[#This Row],[Day]])</f>
        <v>45256</v>
      </c>
      <c r="C2742" s="3">
        <v>26</v>
      </c>
      <c r="D2742" s="3">
        <v>11</v>
      </c>
      <c r="E2742" s="3">
        <v>2023</v>
      </c>
      <c r="F2742" s="3" t="str">
        <f>"Qtr"&amp; " " &amp;CHOOSE(MONTH(Table1[[#This Row],[Date]]),1,1,1,2,2,2,3,3,3,4,4,4)</f>
        <v>Qtr 4</v>
      </c>
      <c r="G2742" s="3" t="str">
        <f>TEXT(Table1[[#This Row],[Date]],"mmmm")</f>
        <v>November</v>
      </c>
      <c r="H2742" s="3" t="s">
        <v>1080</v>
      </c>
      <c r="I2742" s="3" t="s">
        <v>28</v>
      </c>
      <c r="J2742" s="3">
        <v>7</v>
      </c>
      <c r="K2742" s="3">
        <v>26024.32</v>
      </c>
      <c r="L2742" s="3">
        <f>Table1[[#This Row],[Price Per Unit]]*Table1[[#This Row],[Units Sold]]</f>
        <v>182170.23999999999</v>
      </c>
      <c r="M2742" s="3" t="s">
        <v>618</v>
      </c>
      <c r="N2742" s="3">
        <v>46</v>
      </c>
      <c r="O2742" s="3" t="s">
        <v>20</v>
      </c>
      <c r="P2742" s="3" t="s">
        <v>21</v>
      </c>
      <c r="Q2742" s="4">
        <v>5</v>
      </c>
      <c r="R2742" s="4" t="str">
        <f>IF(Table1[[#This Row],[Customer Ratings]]&gt;=4, "Good",IF(Table1[[#This Row],[Customer Ratings]]=3, "Average","Poor"))</f>
        <v>Good</v>
      </c>
      <c r="S2742" s="3" t="s">
        <v>87</v>
      </c>
    </row>
    <row r="2743" spans="1:19" x14ac:dyDescent="0.25">
      <c r="A2743" s="3">
        <v>2742</v>
      </c>
      <c r="B2743" s="5">
        <f>DATE(Table1[[#This Row],[Year]],Table1[[#This Row],[Month]],Table1[[#This Row],[Day]])</f>
        <v>45256</v>
      </c>
      <c r="C2743" s="3">
        <v>26</v>
      </c>
      <c r="D2743" s="3">
        <v>11</v>
      </c>
      <c r="E2743" s="3">
        <v>2023</v>
      </c>
      <c r="F2743" s="3" t="str">
        <f>"Qtr"&amp; " " &amp;CHOOSE(MONTH(Table1[[#This Row],[Date]]),1,1,1,2,2,2,3,3,3,4,4,4)</f>
        <v>Qtr 4</v>
      </c>
      <c r="G2743" s="3" t="str">
        <f>TEXT(Table1[[#This Row],[Date]],"mmmm")</f>
        <v>November</v>
      </c>
      <c r="H2743" s="3" t="s">
        <v>1080</v>
      </c>
      <c r="I2743" s="3" t="s">
        <v>18</v>
      </c>
      <c r="J2743" s="3">
        <v>5</v>
      </c>
      <c r="K2743" s="3">
        <v>38610.269999999997</v>
      </c>
      <c r="L2743" s="3">
        <f>Table1[[#This Row],[Price Per Unit]]*Table1[[#This Row],[Units Sold]]</f>
        <v>193051.34999999998</v>
      </c>
      <c r="M2743" s="3" t="s">
        <v>915</v>
      </c>
      <c r="N2743" s="3">
        <v>39</v>
      </c>
      <c r="O2743" s="3" t="s">
        <v>20</v>
      </c>
      <c r="P2743" s="3" t="s">
        <v>21</v>
      </c>
      <c r="Q2743" s="4">
        <v>2</v>
      </c>
      <c r="R2743" s="4" t="str">
        <f>IF(Table1[[#This Row],[Customer Ratings]]&gt;=4, "Good",IF(Table1[[#This Row],[Customer Ratings]]=3, "Average","Poor"))</f>
        <v>Poor</v>
      </c>
      <c r="S2743" s="3" t="s">
        <v>55</v>
      </c>
    </row>
    <row r="2744" spans="1:19" x14ac:dyDescent="0.25">
      <c r="A2744" s="3">
        <v>2743</v>
      </c>
      <c r="B2744" s="5">
        <f>DATE(Table1[[#This Row],[Year]],Table1[[#This Row],[Month]],Table1[[#This Row],[Day]])</f>
        <v>45256</v>
      </c>
      <c r="C2744" s="3">
        <v>26</v>
      </c>
      <c r="D2744" s="3">
        <v>11</v>
      </c>
      <c r="E2744" s="3">
        <v>2023</v>
      </c>
      <c r="F2744" s="3" t="str">
        <f>"Qtr"&amp; " " &amp;CHOOSE(MONTH(Table1[[#This Row],[Date]]),1,1,1,2,2,2,3,3,3,4,4,4)</f>
        <v>Qtr 4</v>
      </c>
      <c r="G2744" s="3" t="str">
        <f>TEXT(Table1[[#This Row],[Date]],"mmmm")</f>
        <v>November</v>
      </c>
      <c r="H2744" s="3" t="s">
        <v>1080</v>
      </c>
      <c r="I2744" s="3" t="s">
        <v>33</v>
      </c>
      <c r="J2744" s="3">
        <v>1</v>
      </c>
      <c r="K2744" s="3">
        <v>59358.18</v>
      </c>
      <c r="L2744" s="3">
        <f>Table1[[#This Row],[Price Per Unit]]*Table1[[#This Row],[Units Sold]]</f>
        <v>59358.18</v>
      </c>
      <c r="M2744" s="3" t="s">
        <v>85</v>
      </c>
      <c r="N2744" s="3">
        <v>53</v>
      </c>
      <c r="O2744" s="3" t="s">
        <v>105</v>
      </c>
      <c r="P2744" s="3" t="s">
        <v>21</v>
      </c>
      <c r="Q2744" s="4">
        <v>4</v>
      </c>
      <c r="R2744" s="4" t="str">
        <f>IF(Table1[[#This Row],[Customer Ratings]]&gt;=4, "Good",IF(Table1[[#This Row],[Customer Ratings]]=3, "Average","Poor"))</f>
        <v>Good</v>
      </c>
      <c r="S2744" s="3" t="s">
        <v>83</v>
      </c>
    </row>
    <row r="2745" spans="1:19" x14ac:dyDescent="0.25">
      <c r="A2745" s="3">
        <v>2744</v>
      </c>
      <c r="B2745" s="5">
        <f>DATE(Table1[[#This Row],[Year]],Table1[[#This Row],[Month]],Table1[[#This Row],[Day]])</f>
        <v>45257</v>
      </c>
      <c r="C2745" s="3">
        <v>27</v>
      </c>
      <c r="D2745" s="3">
        <v>11</v>
      </c>
      <c r="E2745" s="3">
        <v>2023</v>
      </c>
      <c r="F2745" s="3" t="str">
        <f>"Qtr"&amp; " " &amp;CHOOSE(MONTH(Table1[[#This Row],[Date]]),1,1,1,2,2,2,3,3,3,4,4,4)</f>
        <v>Qtr 4</v>
      </c>
      <c r="G2745" s="3" t="str">
        <f>TEXT(Table1[[#This Row],[Date]],"mmmm")</f>
        <v>November</v>
      </c>
      <c r="H2745" s="3" t="s">
        <v>1081</v>
      </c>
      <c r="I2745" s="3" t="s">
        <v>18</v>
      </c>
      <c r="J2745" s="3">
        <v>1</v>
      </c>
      <c r="K2745" s="3">
        <v>26281.54</v>
      </c>
      <c r="L2745" s="3">
        <f>Table1[[#This Row],[Price Per Unit]]*Table1[[#This Row],[Units Sold]]</f>
        <v>26281.54</v>
      </c>
      <c r="M2745" s="3" t="s">
        <v>649</v>
      </c>
      <c r="N2745" s="3">
        <v>18</v>
      </c>
      <c r="O2745" s="3" t="s">
        <v>58</v>
      </c>
      <c r="P2745" s="3" t="s">
        <v>21</v>
      </c>
      <c r="Q2745" s="4">
        <v>4</v>
      </c>
      <c r="R2745" s="4" t="str">
        <f>IF(Table1[[#This Row],[Customer Ratings]]&gt;=4, "Good",IF(Table1[[#This Row],[Customer Ratings]]=3, "Average","Poor"))</f>
        <v>Good</v>
      </c>
      <c r="S2745" s="3" t="s">
        <v>22</v>
      </c>
    </row>
    <row r="2746" spans="1:19" x14ac:dyDescent="0.25">
      <c r="A2746" s="3">
        <v>2745</v>
      </c>
      <c r="B2746" s="5">
        <f>DATE(Table1[[#This Row],[Year]],Table1[[#This Row],[Month]],Table1[[#This Row],[Day]])</f>
        <v>45257</v>
      </c>
      <c r="C2746" s="3">
        <v>27</v>
      </c>
      <c r="D2746" s="3">
        <v>11</v>
      </c>
      <c r="E2746" s="3">
        <v>2023</v>
      </c>
      <c r="F2746" s="3" t="str">
        <f>"Qtr"&amp; " " &amp;CHOOSE(MONTH(Table1[[#This Row],[Date]]),1,1,1,2,2,2,3,3,3,4,4,4)</f>
        <v>Qtr 4</v>
      </c>
      <c r="G2746" s="3" t="str">
        <f>TEXT(Table1[[#This Row],[Date]],"mmmm")</f>
        <v>November</v>
      </c>
      <c r="H2746" s="3" t="s">
        <v>1081</v>
      </c>
      <c r="I2746" s="3" t="s">
        <v>33</v>
      </c>
      <c r="J2746" s="3">
        <v>9</v>
      </c>
      <c r="K2746" s="3">
        <v>21112.45</v>
      </c>
      <c r="L2746" s="3">
        <f>Table1[[#This Row],[Price Per Unit]]*Table1[[#This Row],[Units Sold]]</f>
        <v>190012.05000000002</v>
      </c>
      <c r="M2746" s="3" t="s">
        <v>111</v>
      </c>
      <c r="N2746" s="3">
        <v>57</v>
      </c>
      <c r="O2746" s="3" t="s">
        <v>15</v>
      </c>
      <c r="P2746" s="3" t="s">
        <v>21</v>
      </c>
      <c r="Q2746" s="4">
        <v>5</v>
      </c>
      <c r="R2746" s="4" t="str">
        <f>IF(Table1[[#This Row],[Customer Ratings]]&gt;=4, "Good",IF(Table1[[#This Row],[Customer Ratings]]=3, "Average","Poor"))</f>
        <v>Good</v>
      </c>
      <c r="S2746" s="3" t="s">
        <v>83</v>
      </c>
    </row>
    <row r="2747" spans="1:19" x14ac:dyDescent="0.25">
      <c r="A2747" s="3">
        <v>2746</v>
      </c>
      <c r="B2747" s="5">
        <f>DATE(Table1[[#This Row],[Year]],Table1[[#This Row],[Month]],Table1[[#This Row],[Day]])</f>
        <v>45257</v>
      </c>
      <c r="C2747" s="3">
        <v>27</v>
      </c>
      <c r="D2747" s="3">
        <v>11</v>
      </c>
      <c r="E2747" s="3">
        <v>2023</v>
      </c>
      <c r="F2747" s="3" t="str">
        <f>"Qtr"&amp; " " &amp;CHOOSE(MONTH(Table1[[#This Row],[Date]]),1,1,1,2,2,2,3,3,3,4,4,4)</f>
        <v>Qtr 4</v>
      </c>
      <c r="G2747" s="3" t="str">
        <f>TEXT(Table1[[#This Row],[Date]],"mmmm")</f>
        <v>November</v>
      </c>
      <c r="H2747" s="3" t="s">
        <v>1081</v>
      </c>
      <c r="I2747" s="3" t="s">
        <v>33</v>
      </c>
      <c r="J2747" s="3">
        <v>5</v>
      </c>
      <c r="K2747" s="3">
        <v>50878.79</v>
      </c>
      <c r="L2747" s="3">
        <f>Table1[[#This Row],[Price Per Unit]]*Table1[[#This Row],[Units Sold]]</f>
        <v>254393.95</v>
      </c>
      <c r="M2747" s="3" t="s">
        <v>88</v>
      </c>
      <c r="N2747" s="3">
        <v>51</v>
      </c>
      <c r="O2747" s="3" t="s">
        <v>78</v>
      </c>
      <c r="P2747" s="3" t="s">
        <v>16</v>
      </c>
      <c r="Q2747" s="4">
        <v>4</v>
      </c>
      <c r="R2747" s="4" t="str">
        <f>IF(Table1[[#This Row],[Customer Ratings]]&gt;=4, "Good",IF(Table1[[#This Row],[Customer Ratings]]=3, "Average","Poor"))</f>
        <v>Good</v>
      </c>
      <c r="S2747" s="3" t="s">
        <v>36</v>
      </c>
    </row>
    <row r="2748" spans="1:19" x14ac:dyDescent="0.25">
      <c r="A2748" s="3">
        <v>2747</v>
      </c>
      <c r="B2748" s="5">
        <f>DATE(Table1[[#This Row],[Year]],Table1[[#This Row],[Month]],Table1[[#This Row],[Day]])</f>
        <v>45258</v>
      </c>
      <c r="C2748" s="3">
        <v>28</v>
      </c>
      <c r="D2748" s="3">
        <v>11</v>
      </c>
      <c r="E2748" s="3">
        <v>2023</v>
      </c>
      <c r="F2748" s="3" t="str">
        <f>"Qtr"&amp; " " &amp;CHOOSE(MONTH(Table1[[#This Row],[Date]]),1,1,1,2,2,2,3,3,3,4,4,4)</f>
        <v>Qtr 4</v>
      </c>
      <c r="G2748" s="3" t="str">
        <f>TEXT(Table1[[#This Row],[Date]],"mmmm")</f>
        <v>November</v>
      </c>
      <c r="H2748" s="3" t="s">
        <v>1082</v>
      </c>
      <c r="I2748" s="3" t="s">
        <v>39</v>
      </c>
      <c r="J2748" s="3">
        <v>1</v>
      </c>
      <c r="K2748" s="3">
        <v>42003.69</v>
      </c>
      <c r="L2748" s="3">
        <f>Table1[[#This Row],[Price Per Unit]]*Table1[[#This Row],[Units Sold]]</f>
        <v>42003.69</v>
      </c>
      <c r="M2748" s="3" t="s">
        <v>775</v>
      </c>
      <c r="N2748" s="3">
        <v>51</v>
      </c>
      <c r="O2748" s="3" t="s">
        <v>20</v>
      </c>
      <c r="P2748" s="3" t="s">
        <v>16</v>
      </c>
      <c r="Q2748" s="4">
        <v>4</v>
      </c>
      <c r="R2748" s="4" t="str">
        <f>IF(Table1[[#This Row],[Customer Ratings]]&gt;=4, "Good",IF(Table1[[#This Row],[Customer Ratings]]=3, "Average","Poor"))</f>
        <v>Good</v>
      </c>
      <c r="S2748" s="3" t="s">
        <v>90</v>
      </c>
    </row>
    <row r="2749" spans="1:19" x14ac:dyDescent="0.25">
      <c r="A2749" s="3">
        <v>2748</v>
      </c>
      <c r="B2749" s="5">
        <f>DATE(Table1[[#This Row],[Year]],Table1[[#This Row],[Month]],Table1[[#This Row],[Day]])</f>
        <v>45258</v>
      </c>
      <c r="C2749" s="3">
        <v>28</v>
      </c>
      <c r="D2749" s="3">
        <v>11</v>
      </c>
      <c r="E2749" s="3">
        <v>2023</v>
      </c>
      <c r="F2749" s="3" t="str">
        <f>"Qtr"&amp; " " &amp;CHOOSE(MONTH(Table1[[#This Row],[Date]]),1,1,1,2,2,2,3,3,3,4,4,4)</f>
        <v>Qtr 4</v>
      </c>
      <c r="G2749" s="3" t="str">
        <f>TEXT(Table1[[#This Row],[Date]],"mmmm")</f>
        <v>November</v>
      </c>
      <c r="H2749" s="3" t="s">
        <v>1082</v>
      </c>
      <c r="I2749" s="3" t="s">
        <v>18</v>
      </c>
      <c r="J2749" s="3">
        <v>7</v>
      </c>
      <c r="K2749" s="3">
        <v>40864.230000000003</v>
      </c>
      <c r="L2749" s="3">
        <f>Table1[[#This Row],[Price Per Unit]]*Table1[[#This Row],[Units Sold]]</f>
        <v>286049.61000000004</v>
      </c>
      <c r="M2749" s="3" t="s">
        <v>271</v>
      </c>
      <c r="N2749" s="3">
        <v>50</v>
      </c>
      <c r="O2749" s="3" t="s">
        <v>41</v>
      </c>
      <c r="P2749" s="3" t="s">
        <v>21</v>
      </c>
      <c r="Q2749" s="4">
        <v>5</v>
      </c>
      <c r="R2749" s="4" t="str">
        <f>IF(Table1[[#This Row],[Customer Ratings]]&gt;=4, "Good",IF(Table1[[#This Row],[Customer Ratings]]=3, "Average","Poor"))</f>
        <v>Good</v>
      </c>
      <c r="S2749" s="3" t="s">
        <v>55</v>
      </c>
    </row>
    <row r="2750" spans="1:19" x14ac:dyDescent="0.25">
      <c r="A2750" s="3">
        <v>2749</v>
      </c>
      <c r="B2750" s="5">
        <f>DATE(Table1[[#This Row],[Year]],Table1[[#This Row],[Month]],Table1[[#This Row],[Day]])</f>
        <v>45258</v>
      </c>
      <c r="C2750" s="3">
        <v>28</v>
      </c>
      <c r="D2750" s="3">
        <v>11</v>
      </c>
      <c r="E2750" s="3">
        <v>2023</v>
      </c>
      <c r="F2750" s="3" t="str">
        <f>"Qtr"&amp; " " &amp;CHOOSE(MONTH(Table1[[#This Row],[Date]]),1,1,1,2,2,2,3,3,3,4,4,4)</f>
        <v>Qtr 4</v>
      </c>
      <c r="G2750" s="3" t="str">
        <f>TEXT(Table1[[#This Row],[Date]],"mmmm")</f>
        <v>November</v>
      </c>
      <c r="H2750" s="3" t="s">
        <v>1082</v>
      </c>
      <c r="I2750" s="3" t="s">
        <v>28</v>
      </c>
      <c r="J2750" s="3">
        <v>9</v>
      </c>
      <c r="K2750" s="3">
        <v>25406.17</v>
      </c>
      <c r="L2750" s="3">
        <f>Table1[[#This Row],[Price Per Unit]]*Table1[[#This Row],[Units Sold]]</f>
        <v>228655.52999999997</v>
      </c>
      <c r="M2750" s="3" t="s">
        <v>1005</v>
      </c>
      <c r="N2750" s="3">
        <v>21</v>
      </c>
      <c r="O2750" s="3" t="s">
        <v>24</v>
      </c>
      <c r="P2750" s="3" t="s">
        <v>21</v>
      </c>
      <c r="Q2750" s="4">
        <v>4</v>
      </c>
      <c r="R2750" s="4" t="str">
        <f>IF(Table1[[#This Row],[Customer Ratings]]&gt;=4, "Good",IF(Table1[[#This Row],[Customer Ratings]]=3, "Average","Poor"))</f>
        <v>Good</v>
      </c>
      <c r="S2750" s="3" t="s">
        <v>38</v>
      </c>
    </row>
    <row r="2751" spans="1:19" x14ac:dyDescent="0.25">
      <c r="A2751" s="3">
        <v>2750</v>
      </c>
      <c r="B2751" s="5">
        <f>DATE(Table1[[#This Row],[Year]],Table1[[#This Row],[Month]],Table1[[#This Row],[Day]])</f>
        <v>45259</v>
      </c>
      <c r="C2751" s="3">
        <v>29</v>
      </c>
      <c r="D2751" s="3">
        <v>11</v>
      </c>
      <c r="E2751" s="3">
        <v>2023</v>
      </c>
      <c r="F2751" s="3" t="str">
        <f>"Qtr"&amp; " " &amp;CHOOSE(MONTH(Table1[[#This Row],[Date]]),1,1,1,2,2,2,3,3,3,4,4,4)</f>
        <v>Qtr 4</v>
      </c>
      <c r="G2751" s="3" t="str">
        <f>TEXT(Table1[[#This Row],[Date]],"mmmm")</f>
        <v>November</v>
      </c>
      <c r="H2751" s="3" t="s">
        <v>1083</v>
      </c>
      <c r="I2751" s="3" t="s">
        <v>18</v>
      </c>
      <c r="J2751" s="3">
        <v>1</v>
      </c>
      <c r="K2751" s="3">
        <v>12092.82</v>
      </c>
      <c r="L2751" s="3">
        <f>Table1[[#This Row],[Price Per Unit]]*Table1[[#This Row],[Units Sold]]</f>
        <v>12092.82</v>
      </c>
      <c r="M2751" s="3" t="s">
        <v>947</v>
      </c>
      <c r="N2751" s="3">
        <v>55</v>
      </c>
      <c r="O2751" s="3" t="s">
        <v>24</v>
      </c>
      <c r="P2751" s="3" t="s">
        <v>45</v>
      </c>
      <c r="Q2751" s="4">
        <v>4</v>
      </c>
      <c r="R2751" s="4" t="str">
        <f>IF(Table1[[#This Row],[Customer Ratings]]&gt;=4, "Good",IF(Table1[[#This Row],[Customer Ratings]]=3, "Average","Poor"))</f>
        <v>Good</v>
      </c>
      <c r="S2751" s="3" t="s">
        <v>55</v>
      </c>
    </row>
    <row r="2752" spans="1:19" x14ac:dyDescent="0.25">
      <c r="A2752" s="3">
        <v>2751</v>
      </c>
      <c r="B2752" s="5">
        <f>DATE(Table1[[#This Row],[Year]],Table1[[#This Row],[Month]],Table1[[#This Row],[Day]])</f>
        <v>45259</v>
      </c>
      <c r="C2752" s="3">
        <v>29</v>
      </c>
      <c r="D2752" s="3">
        <v>11</v>
      </c>
      <c r="E2752" s="3">
        <v>2023</v>
      </c>
      <c r="F2752" s="3" t="str">
        <f>"Qtr"&amp; " " &amp;CHOOSE(MONTH(Table1[[#This Row],[Date]]),1,1,1,2,2,2,3,3,3,4,4,4)</f>
        <v>Qtr 4</v>
      </c>
      <c r="G2752" s="3" t="str">
        <f>TEXT(Table1[[#This Row],[Date]],"mmmm")</f>
        <v>November</v>
      </c>
      <c r="H2752" s="3" t="s">
        <v>1083</v>
      </c>
      <c r="I2752" s="3" t="s">
        <v>39</v>
      </c>
      <c r="J2752" s="3">
        <v>4</v>
      </c>
      <c r="K2752" s="3">
        <v>34616.15</v>
      </c>
      <c r="L2752" s="3">
        <f>Table1[[#This Row],[Price Per Unit]]*Table1[[#This Row],[Units Sold]]</f>
        <v>138464.6</v>
      </c>
      <c r="M2752" s="3" t="s">
        <v>1006</v>
      </c>
      <c r="N2752" s="3">
        <v>47</v>
      </c>
      <c r="O2752" s="3" t="s">
        <v>58</v>
      </c>
      <c r="P2752" s="3" t="s">
        <v>21</v>
      </c>
      <c r="Q2752" s="4">
        <v>5</v>
      </c>
      <c r="R2752" s="4" t="str">
        <f>IF(Table1[[#This Row],[Customer Ratings]]&gt;=4, "Good",IF(Table1[[#This Row],[Customer Ratings]]=3, "Average","Poor"))</f>
        <v>Good</v>
      </c>
      <c r="S2752" s="3" t="s">
        <v>90</v>
      </c>
    </row>
    <row r="2753" spans="1:19" x14ac:dyDescent="0.25">
      <c r="A2753" s="3">
        <v>2752</v>
      </c>
      <c r="B2753" s="5">
        <f>DATE(Table1[[#This Row],[Year]],Table1[[#This Row],[Month]],Table1[[#This Row],[Day]])</f>
        <v>45259</v>
      </c>
      <c r="C2753" s="3">
        <v>29</v>
      </c>
      <c r="D2753" s="3">
        <v>11</v>
      </c>
      <c r="E2753" s="3">
        <v>2023</v>
      </c>
      <c r="F2753" s="3" t="str">
        <f>"Qtr"&amp; " " &amp;CHOOSE(MONTH(Table1[[#This Row],[Date]]),1,1,1,2,2,2,3,3,3,4,4,4)</f>
        <v>Qtr 4</v>
      </c>
      <c r="G2753" s="3" t="str">
        <f>TEXT(Table1[[#This Row],[Date]],"mmmm")</f>
        <v>November</v>
      </c>
      <c r="H2753" s="3" t="s">
        <v>1083</v>
      </c>
      <c r="I2753" s="3" t="s">
        <v>33</v>
      </c>
      <c r="J2753" s="3">
        <v>3</v>
      </c>
      <c r="K2753" s="3">
        <v>16393.57</v>
      </c>
      <c r="L2753" s="3">
        <f>Table1[[#This Row],[Price Per Unit]]*Table1[[#This Row],[Units Sold]]</f>
        <v>49180.71</v>
      </c>
      <c r="M2753" s="3" t="s">
        <v>727</v>
      </c>
      <c r="N2753" s="3">
        <v>37</v>
      </c>
      <c r="O2753" s="3" t="s">
        <v>35</v>
      </c>
      <c r="P2753" s="3" t="s">
        <v>31</v>
      </c>
      <c r="Q2753" s="4">
        <v>4</v>
      </c>
      <c r="R2753" s="4" t="str">
        <f>IF(Table1[[#This Row],[Customer Ratings]]&gt;=4, "Good",IF(Table1[[#This Row],[Customer Ratings]]=3, "Average","Poor"))</f>
        <v>Good</v>
      </c>
      <c r="S2753" s="3" t="s">
        <v>46</v>
      </c>
    </row>
    <row r="2754" spans="1:19" x14ac:dyDescent="0.25">
      <c r="A2754" s="3">
        <v>2753</v>
      </c>
      <c r="B2754" s="5">
        <f>DATE(Table1[[#This Row],[Year]],Table1[[#This Row],[Month]],Table1[[#This Row],[Day]])</f>
        <v>45260</v>
      </c>
      <c r="C2754" s="3">
        <v>30</v>
      </c>
      <c r="D2754" s="3">
        <v>11</v>
      </c>
      <c r="E2754" s="3">
        <v>2023</v>
      </c>
      <c r="F2754" s="3" t="str">
        <f>"Qtr"&amp; " " &amp;CHOOSE(MONTH(Table1[[#This Row],[Date]]),1,1,1,2,2,2,3,3,3,4,4,4)</f>
        <v>Qtr 4</v>
      </c>
      <c r="G2754" s="3" t="str">
        <f>TEXT(Table1[[#This Row],[Date]],"mmmm")</f>
        <v>November</v>
      </c>
      <c r="H2754" s="3" t="s">
        <v>1084</v>
      </c>
      <c r="I2754" s="3" t="s">
        <v>39</v>
      </c>
      <c r="J2754" s="3">
        <v>5</v>
      </c>
      <c r="K2754" s="3">
        <v>64359.35</v>
      </c>
      <c r="L2754" s="3">
        <f>Table1[[#This Row],[Price Per Unit]]*Table1[[#This Row],[Units Sold]]</f>
        <v>321796.75</v>
      </c>
      <c r="M2754" s="3" t="s">
        <v>139</v>
      </c>
      <c r="N2754" s="3">
        <v>43</v>
      </c>
      <c r="O2754" s="3" t="s">
        <v>24</v>
      </c>
      <c r="P2754" s="3" t="s">
        <v>16</v>
      </c>
      <c r="Q2754" s="4">
        <v>5</v>
      </c>
      <c r="R2754" s="4" t="str">
        <f>IF(Table1[[#This Row],[Customer Ratings]]&gt;=4, "Good",IF(Table1[[#This Row],[Customer Ratings]]=3, "Average","Poor"))</f>
        <v>Good</v>
      </c>
      <c r="S2754" s="3" t="s">
        <v>76</v>
      </c>
    </row>
    <row r="2755" spans="1:19" x14ac:dyDescent="0.25">
      <c r="A2755" s="3">
        <v>2754</v>
      </c>
      <c r="B2755" s="5">
        <f>DATE(Table1[[#This Row],[Year]],Table1[[#This Row],[Month]],Table1[[#This Row],[Day]])</f>
        <v>45260</v>
      </c>
      <c r="C2755" s="3">
        <v>30</v>
      </c>
      <c r="D2755" s="3">
        <v>11</v>
      </c>
      <c r="E2755" s="3">
        <v>2023</v>
      </c>
      <c r="F2755" s="3" t="str">
        <f>"Qtr"&amp; " " &amp;CHOOSE(MONTH(Table1[[#This Row],[Date]]),1,1,1,2,2,2,3,3,3,4,4,4)</f>
        <v>Qtr 4</v>
      </c>
      <c r="G2755" s="3" t="str">
        <f>TEXT(Table1[[#This Row],[Date]],"mmmm")</f>
        <v>November</v>
      </c>
      <c r="H2755" s="3" t="s">
        <v>1084</v>
      </c>
      <c r="I2755" s="3" t="s">
        <v>13</v>
      </c>
      <c r="J2755" s="3">
        <v>7</v>
      </c>
      <c r="K2755" s="3">
        <v>12475.02</v>
      </c>
      <c r="L2755" s="3">
        <f>Table1[[#This Row],[Price Per Unit]]*Table1[[#This Row],[Units Sold]]</f>
        <v>87325.14</v>
      </c>
      <c r="M2755" s="3" t="s">
        <v>890</v>
      </c>
      <c r="N2755" s="3">
        <v>32</v>
      </c>
      <c r="O2755" s="3" t="s">
        <v>125</v>
      </c>
      <c r="P2755" s="3" t="s">
        <v>21</v>
      </c>
      <c r="Q2755" s="4">
        <v>2</v>
      </c>
      <c r="R2755" s="4" t="str">
        <f>IF(Table1[[#This Row],[Customer Ratings]]&gt;=4, "Good",IF(Table1[[#This Row],[Customer Ratings]]=3, "Average","Poor"))</f>
        <v>Poor</v>
      </c>
      <c r="S2755" s="3" t="s">
        <v>27</v>
      </c>
    </row>
    <row r="2756" spans="1:19" x14ac:dyDescent="0.25">
      <c r="A2756" s="3">
        <v>2755</v>
      </c>
      <c r="B2756" s="5">
        <f>DATE(Table1[[#This Row],[Year]],Table1[[#This Row],[Month]],Table1[[#This Row],[Day]])</f>
        <v>45260</v>
      </c>
      <c r="C2756" s="3">
        <v>30</v>
      </c>
      <c r="D2756" s="3">
        <v>11</v>
      </c>
      <c r="E2756" s="3">
        <v>2023</v>
      </c>
      <c r="F2756" s="3" t="str">
        <f>"Qtr"&amp; " " &amp;CHOOSE(MONTH(Table1[[#This Row],[Date]]),1,1,1,2,2,2,3,3,3,4,4,4)</f>
        <v>Qtr 4</v>
      </c>
      <c r="G2756" s="3" t="str">
        <f>TEXT(Table1[[#This Row],[Date]],"mmmm")</f>
        <v>November</v>
      </c>
      <c r="H2756" s="3" t="s">
        <v>1084</v>
      </c>
      <c r="I2756" s="3" t="s">
        <v>13</v>
      </c>
      <c r="J2756" s="3">
        <v>8</v>
      </c>
      <c r="K2756" s="3">
        <v>35899.050000000003</v>
      </c>
      <c r="L2756" s="3">
        <f>Table1[[#This Row],[Price Per Unit]]*Table1[[#This Row],[Units Sold]]</f>
        <v>287192.40000000002</v>
      </c>
      <c r="M2756" s="3" t="s">
        <v>1007</v>
      </c>
      <c r="N2756" s="3">
        <v>24</v>
      </c>
      <c r="O2756" s="3" t="s">
        <v>58</v>
      </c>
      <c r="P2756" s="3" t="s">
        <v>16</v>
      </c>
      <c r="Q2756" s="4">
        <v>4</v>
      </c>
      <c r="R2756" s="4" t="str">
        <f>IF(Table1[[#This Row],[Customer Ratings]]&gt;=4, "Good",IF(Table1[[#This Row],[Customer Ratings]]=3, "Average","Poor"))</f>
        <v>Good</v>
      </c>
      <c r="S2756" s="3" t="s">
        <v>72</v>
      </c>
    </row>
    <row r="2757" spans="1:19" x14ac:dyDescent="0.25">
      <c r="A2757" s="3">
        <v>2756</v>
      </c>
      <c r="B2757" s="5">
        <f>DATE(Table1[[#This Row],[Year]],Table1[[#This Row],[Month]],Table1[[#This Row],[Day]])</f>
        <v>45260</v>
      </c>
      <c r="C2757" s="3">
        <v>30</v>
      </c>
      <c r="D2757" s="3">
        <v>11</v>
      </c>
      <c r="E2757" s="3">
        <v>2023</v>
      </c>
      <c r="F2757" s="3" t="str">
        <f>"Qtr"&amp; " " &amp;CHOOSE(MONTH(Table1[[#This Row],[Date]]),1,1,1,2,2,2,3,3,3,4,4,4)</f>
        <v>Qtr 4</v>
      </c>
      <c r="G2757" s="3" t="str">
        <f>TEXT(Table1[[#This Row],[Date]],"mmmm")</f>
        <v>November</v>
      </c>
      <c r="H2757" s="3" t="s">
        <v>1084</v>
      </c>
      <c r="I2757" s="3" t="s">
        <v>28</v>
      </c>
      <c r="J2757" s="3">
        <v>2</v>
      </c>
      <c r="K2757" s="3">
        <v>13134.74</v>
      </c>
      <c r="L2757" s="3">
        <f>Table1[[#This Row],[Price Per Unit]]*Table1[[#This Row],[Units Sold]]</f>
        <v>26269.48</v>
      </c>
      <c r="M2757" s="3" t="s">
        <v>339</v>
      </c>
      <c r="N2757" s="3">
        <v>24</v>
      </c>
      <c r="O2757" s="3" t="s">
        <v>35</v>
      </c>
      <c r="P2757" s="3" t="s">
        <v>21</v>
      </c>
      <c r="Q2757" s="4">
        <v>5</v>
      </c>
      <c r="R2757" s="4" t="str">
        <f>IF(Table1[[#This Row],[Customer Ratings]]&gt;=4, "Good",IF(Table1[[#This Row],[Customer Ratings]]=3, "Average","Poor"))</f>
        <v>Good</v>
      </c>
      <c r="S2757" s="3" t="s">
        <v>38</v>
      </c>
    </row>
    <row r="2758" spans="1:19" x14ac:dyDescent="0.25">
      <c r="A2758" s="3">
        <v>2757</v>
      </c>
      <c r="B2758" s="5">
        <f>DATE(Table1[[#This Row],[Year]],Table1[[#This Row],[Month]],Table1[[#This Row],[Day]])</f>
        <v>45261</v>
      </c>
      <c r="C2758" s="3">
        <v>1</v>
      </c>
      <c r="D2758" s="3">
        <v>12</v>
      </c>
      <c r="E2758" s="3">
        <v>2023</v>
      </c>
      <c r="F2758" s="3" t="str">
        <f>"Qtr"&amp; " " &amp;CHOOSE(MONTH(Table1[[#This Row],[Date]]),1,1,1,2,2,2,3,3,3,4,4,4)</f>
        <v>Qtr 4</v>
      </c>
      <c r="G2758" s="3" t="str">
        <f>TEXT(Table1[[#This Row],[Date]],"mmmm")</f>
        <v>December</v>
      </c>
      <c r="H2758" s="3" t="s">
        <v>1085</v>
      </c>
      <c r="I2758" s="3" t="s">
        <v>39</v>
      </c>
      <c r="J2758" s="3">
        <v>7</v>
      </c>
      <c r="K2758" s="3">
        <v>15732.63</v>
      </c>
      <c r="L2758" s="3">
        <f>Table1[[#This Row],[Price Per Unit]]*Table1[[#This Row],[Units Sold]]</f>
        <v>110128.40999999999</v>
      </c>
      <c r="M2758" s="3" t="s">
        <v>468</v>
      </c>
      <c r="N2758" s="3">
        <v>46</v>
      </c>
      <c r="O2758" s="3" t="s">
        <v>52</v>
      </c>
      <c r="P2758" s="3" t="s">
        <v>31</v>
      </c>
      <c r="Q2758" s="4">
        <v>3</v>
      </c>
      <c r="R2758" s="4" t="str">
        <f>IF(Table1[[#This Row],[Customer Ratings]]&gt;=4, "Good",IF(Table1[[#This Row],[Customer Ratings]]=3, "Average","Poor"))</f>
        <v>Average</v>
      </c>
      <c r="S2758" s="3" t="s">
        <v>42</v>
      </c>
    </row>
    <row r="2759" spans="1:19" x14ac:dyDescent="0.25">
      <c r="A2759" s="3">
        <v>2758</v>
      </c>
      <c r="B2759" s="5">
        <f>DATE(Table1[[#This Row],[Year]],Table1[[#This Row],[Month]],Table1[[#This Row],[Day]])</f>
        <v>45261</v>
      </c>
      <c r="C2759" s="3">
        <v>1</v>
      </c>
      <c r="D2759" s="3">
        <v>12</v>
      </c>
      <c r="E2759" s="3">
        <v>2023</v>
      </c>
      <c r="F2759" s="3" t="str">
        <f>"Qtr"&amp; " " &amp;CHOOSE(MONTH(Table1[[#This Row],[Date]]),1,1,1,2,2,2,3,3,3,4,4,4)</f>
        <v>Qtr 4</v>
      </c>
      <c r="G2759" s="3" t="str">
        <f>TEXT(Table1[[#This Row],[Date]],"mmmm")</f>
        <v>December</v>
      </c>
      <c r="H2759" s="3" t="s">
        <v>1085</v>
      </c>
      <c r="I2759" s="3" t="s">
        <v>28</v>
      </c>
      <c r="J2759" s="3">
        <v>1</v>
      </c>
      <c r="K2759" s="3">
        <v>49532</v>
      </c>
      <c r="L2759" s="3">
        <f>Table1[[#This Row],[Price Per Unit]]*Table1[[#This Row],[Units Sold]]</f>
        <v>49532</v>
      </c>
      <c r="M2759" s="3" t="s">
        <v>1008</v>
      </c>
      <c r="N2759" s="3">
        <v>40</v>
      </c>
      <c r="O2759" s="3" t="s">
        <v>20</v>
      </c>
      <c r="P2759" s="3" t="s">
        <v>21</v>
      </c>
      <c r="Q2759" s="4">
        <v>2</v>
      </c>
      <c r="R2759" s="4" t="str">
        <f>IF(Table1[[#This Row],[Customer Ratings]]&gt;=4, "Good",IF(Table1[[#This Row],[Customer Ratings]]=3, "Average","Poor"))</f>
        <v>Poor</v>
      </c>
      <c r="S2759" s="3" t="s">
        <v>87</v>
      </c>
    </row>
    <row r="2760" spans="1:19" x14ac:dyDescent="0.25">
      <c r="A2760" s="3">
        <v>2759</v>
      </c>
      <c r="B2760" s="5">
        <f>DATE(Table1[[#This Row],[Year]],Table1[[#This Row],[Month]],Table1[[#This Row],[Day]])</f>
        <v>45261</v>
      </c>
      <c r="C2760" s="3">
        <v>1</v>
      </c>
      <c r="D2760" s="3">
        <v>12</v>
      </c>
      <c r="E2760" s="3">
        <v>2023</v>
      </c>
      <c r="F2760" s="3" t="str">
        <f>"Qtr"&amp; " " &amp;CHOOSE(MONTH(Table1[[#This Row],[Date]]),1,1,1,2,2,2,3,3,3,4,4,4)</f>
        <v>Qtr 4</v>
      </c>
      <c r="G2760" s="3" t="str">
        <f>TEXT(Table1[[#This Row],[Date]],"mmmm")</f>
        <v>December</v>
      </c>
      <c r="H2760" s="3" t="s">
        <v>1085</v>
      </c>
      <c r="I2760" s="3" t="s">
        <v>28</v>
      </c>
      <c r="J2760" s="3">
        <v>7</v>
      </c>
      <c r="K2760" s="3">
        <v>48826.68</v>
      </c>
      <c r="L2760" s="3">
        <f>Table1[[#This Row],[Price Per Unit]]*Table1[[#This Row],[Units Sold]]</f>
        <v>341786.76</v>
      </c>
      <c r="M2760" s="3" t="s">
        <v>221</v>
      </c>
      <c r="N2760" s="3">
        <v>51</v>
      </c>
      <c r="O2760" s="3" t="s">
        <v>120</v>
      </c>
      <c r="P2760" s="3" t="s">
        <v>16</v>
      </c>
      <c r="Q2760" s="4">
        <v>4</v>
      </c>
      <c r="R2760" s="4" t="str">
        <f>IF(Table1[[#This Row],[Customer Ratings]]&gt;=4, "Good",IF(Table1[[#This Row],[Customer Ratings]]=3, "Average","Poor"))</f>
        <v>Good</v>
      </c>
      <c r="S2760" s="3" t="s">
        <v>38</v>
      </c>
    </row>
    <row r="2761" spans="1:19" x14ac:dyDescent="0.25">
      <c r="A2761" s="3">
        <v>2760</v>
      </c>
      <c r="B2761" s="5">
        <f>DATE(Table1[[#This Row],[Year]],Table1[[#This Row],[Month]],Table1[[#This Row],[Day]])</f>
        <v>45261</v>
      </c>
      <c r="C2761" s="3">
        <v>1</v>
      </c>
      <c r="D2761" s="3">
        <v>12</v>
      </c>
      <c r="E2761" s="3">
        <v>2023</v>
      </c>
      <c r="F2761" s="3" t="str">
        <f>"Qtr"&amp; " " &amp;CHOOSE(MONTH(Table1[[#This Row],[Date]]),1,1,1,2,2,2,3,3,3,4,4,4)</f>
        <v>Qtr 4</v>
      </c>
      <c r="G2761" s="3" t="str">
        <f>TEXT(Table1[[#This Row],[Date]],"mmmm")</f>
        <v>December</v>
      </c>
      <c r="H2761" s="3" t="s">
        <v>1085</v>
      </c>
      <c r="I2761" s="3" t="s">
        <v>13</v>
      </c>
      <c r="J2761" s="3">
        <v>8</v>
      </c>
      <c r="K2761" s="3">
        <v>11983.13</v>
      </c>
      <c r="L2761" s="3">
        <f>Table1[[#This Row],[Price Per Unit]]*Table1[[#This Row],[Units Sold]]</f>
        <v>95865.04</v>
      </c>
      <c r="M2761" s="3" t="s">
        <v>754</v>
      </c>
      <c r="N2761" s="3">
        <v>37</v>
      </c>
      <c r="O2761" s="3" t="s">
        <v>98</v>
      </c>
      <c r="P2761" s="3" t="s">
        <v>16</v>
      </c>
      <c r="Q2761" s="4">
        <v>5</v>
      </c>
      <c r="R2761" s="4" t="str">
        <f>IF(Table1[[#This Row],[Customer Ratings]]&gt;=4, "Good",IF(Table1[[#This Row],[Customer Ratings]]=3, "Average","Poor"))</f>
        <v>Good</v>
      </c>
      <c r="S2761" s="3" t="s">
        <v>27</v>
      </c>
    </row>
    <row r="2762" spans="1:19" x14ac:dyDescent="0.25">
      <c r="A2762" s="3">
        <v>2761</v>
      </c>
      <c r="B2762" s="5">
        <f>DATE(Table1[[#This Row],[Year]],Table1[[#This Row],[Month]],Table1[[#This Row],[Day]])</f>
        <v>45262</v>
      </c>
      <c r="C2762" s="3">
        <v>2</v>
      </c>
      <c r="D2762" s="3">
        <v>12</v>
      </c>
      <c r="E2762" s="3">
        <v>2023</v>
      </c>
      <c r="F2762" s="3" t="str">
        <f>"Qtr"&amp; " " &amp;CHOOSE(MONTH(Table1[[#This Row],[Date]]),1,1,1,2,2,2,3,3,3,4,4,4)</f>
        <v>Qtr 4</v>
      </c>
      <c r="G2762" s="3" t="str">
        <f>TEXT(Table1[[#This Row],[Date]],"mmmm")</f>
        <v>December</v>
      </c>
      <c r="H2762" s="3" t="s">
        <v>1079</v>
      </c>
      <c r="I2762" s="3" t="s">
        <v>28</v>
      </c>
      <c r="J2762" s="3">
        <v>2</v>
      </c>
      <c r="K2762" s="3">
        <v>10067.89</v>
      </c>
      <c r="L2762" s="3">
        <f>Table1[[#This Row],[Price Per Unit]]*Table1[[#This Row],[Units Sold]]</f>
        <v>20135.78</v>
      </c>
      <c r="M2762" s="3" t="s">
        <v>944</v>
      </c>
      <c r="N2762" s="3">
        <v>32</v>
      </c>
      <c r="O2762" s="3" t="s">
        <v>20</v>
      </c>
      <c r="P2762" s="3" t="s">
        <v>16</v>
      </c>
      <c r="Q2762" s="4">
        <v>3</v>
      </c>
      <c r="R2762" s="4" t="str">
        <f>IF(Table1[[#This Row],[Customer Ratings]]&gt;=4, "Good",IF(Table1[[#This Row],[Customer Ratings]]=3, "Average","Poor"))</f>
        <v>Average</v>
      </c>
      <c r="S2762" s="3" t="s">
        <v>32</v>
      </c>
    </row>
    <row r="2763" spans="1:19" x14ac:dyDescent="0.25">
      <c r="A2763" s="3">
        <v>2762</v>
      </c>
      <c r="B2763" s="5">
        <f>DATE(Table1[[#This Row],[Year]],Table1[[#This Row],[Month]],Table1[[#This Row],[Day]])</f>
        <v>45262</v>
      </c>
      <c r="C2763" s="3">
        <v>2</v>
      </c>
      <c r="D2763" s="3">
        <v>12</v>
      </c>
      <c r="E2763" s="3">
        <v>2023</v>
      </c>
      <c r="F2763" s="3" t="str">
        <f>"Qtr"&amp; " " &amp;CHOOSE(MONTH(Table1[[#This Row],[Date]]),1,1,1,2,2,2,3,3,3,4,4,4)</f>
        <v>Qtr 4</v>
      </c>
      <c r="G2763" s="3" t="str">
        <f>TEXT(Table1[[#This Row],[Date]],"mmmm")</f>
        <v>December</v>
      </c>
      <c r="H2763" s="3" t="s">
        <v>1079</v>
      </c>
      <c r="I2763" s="3" t="s">
        <v>13</v>
      </c>
      <c r="J2763" s="3">
        <v>9</v>
      </c>
      <c r="K2763" s="3">
        <v>14729.08</v>
      </c>
      <c r="L2763" s="3">
        <f>Table1[[#This Row],[Price Per Unit]]*Table1[[#This Row],[Units Sold]]</f>
        <v>132561.72</v>
      </c>
      <c r="M2763" s="3" t="s">
        <v>827</v>
      </c>
      <c r="N2763" s="3">
        <v>50</v>
      </c>
      <c r="O2763" s="3" t="s">
        <v>15</v>
      </c>
      <c r="P2763" s="3" t="s">
        <v>45</v>
      </c>
      <c r="Q2763" s="4">
        <v>5</v>
      </c>
      <c r="R2763" s="4" t="str">
        <f>IF(Table1[[#This Row],[Customer Ratings]]&gt;=4, "Good",IF(Table1[[#This Row],[Customer Ratings]]=3, "Average","Poor"))</f>
        <v>Good</v>
      </c>
      <c r="S2763" s="3" t="s">
        <v>17</v>
      </c>
    </row>
    <row r="2764" spans="1:19" x14ac:dyDescent="0.25">
      <c r="A2764" s="3">
        <v>2763</v>
      </c>
      <c r="B2764" s="5">
        <f>DATE(Table1[[#This Row],[Year]],Table1[[#This Row],[Month]],Table1[[#This Row],[Day]])</f>
        <v>45262</v>
      </c>
      <c r="C2764" s="3">
        <v>2</v>
      </c>
      <c r="D2764" s="3">
        <v>12</v>
      </c>
      <c r="E2764" s="3">
        <v>2023</v>
      </c>
      <c r="F2764" s="3" t="str">
        <f>"Qtr"&amp; " " &amp;CHOOSE(MONTH(Table1[[#This Row],[Date]]),1,1,1,2,2,2,3,3,3,4,4,4)</f>
        <v>Qtr 4</v>
      </c>
      <c r="G2764" s="3" t="str">
        <f>TEXT(Table1[[#This Row],[Date]],"mmmm")</f>
        <v>December</v>
      </c>
      <c r="H2764" s="3" t="s">
        <v>1079</v>
      </c>
      <c r="I2764" s="3" t="s">
        <v>33</v>
      </c>
      <c r="J2764" s="3">
        <v>1</v>
      </c>
      <c r="K2764" s="3">
        <v>55779.93</v>
      </c>
      <c r="L2764" s="3">
        <f>Table1[[#This Row],[Price Per Unit]]*Table1[[#This Row],[Units Sold]]</f>
        <v>55779.93</v>
      </c>
      <c r="M2764" s="3" t="s">
        <v>651</v>
      </c>
      <c r="N2764" s="3">
        <v>34</v>
      </c>
      <c r="O2764" s="3" t="s">
        <v>24</v>
      </c>
      <c r="P2764" s="3" t="s">
        <v>16</v>
      </c>
      <c r="Q2764" s="4">
        <v>4</v>
      </c>
      <c r="R2764" s="4" t="str">
        <f>IF(Table1[[#This Row],[Customer Ratings]]&gt;=4, "Good",IF(Table1[[#This Row],[Customer Ratings]]=3, "Average","Poor"))</f>
        <v>Good</v>
      </c>
      <c r="S2764" s="3" t="s">
        <v>83</v>
      </c>
    </row>
    <row r="2765" spans="1:19" x14ac:dyDescent="0.25">
      <c r="A2765" s="3">
        <v>2764</v>
      </c>
      <c r="B2765" s="5">
        <f>DATE(Table1[[#This Row],[Year]],Table1[[#This Row],[Month]],Table1[[#This Row],[Day]])</f>
        <v>45262</v>
      </c>
      <c r="C2765" s="3">
        <v>2</v>
      </c>
      <c r="D2765" s="3">
        <v>12</v>
      </c>
      <c r="E2765" s="3">
        <v>2023</v>
      </c>
      <c r="F2765" s="3" t="str">
        <f>"Qtr"&amp; " " &amp;CHOOSE(MONTH(Table1[[#This Row],[Date]]),1,1,1,2,2,2,3,3,3,4,4,4)</f>
        <v>Qtr 4</v>
      </c>
      <c r="G2765" s="3" t="str">
        <f>TEXT(Table1[[#This Row],[Date]],"mmmm")</f>
        <v>December</v>
      </c>
      <c r="H2765" s="3" t="s">
        <v>1079</v>
      </c>
      <c r="I2765" s="3" t="s">
        <v>39</v>
      </c>
      <c r="J2765" s="3">
        <v>6</v>
      </c>
      <c r="K2765" s="3">
        <v>45074.59</v>
      </c>
      <c r="L2765" s="3">
        <f>Table1[[#This Row],[Price Per Unit]]*Table1[[#This Row],[Units Sold]]</f>
        <v>270447.53999999998</v>
      </c>
      <c r="M2765" s="3" t="s">
        <v>931</v>
      </c>
      <c r="N2765" s="3">
        <v>37</v>
      </c>
      <c r="O2765" s="3" t="s">
        <v>20</v>
      </c>
      <c r="P2765" s="3" t="s">
        <v>21</v>
      </c>
      <c r="Q2765" s="4">
        <v>5</v>
      </c>
      <c r="R2765" s="4" t="str">
        <f>IF(Table1[[#This Row],[Customer Ratings]]&gt;=4, "Good",IF(Table1[[#This Row],[Customer Ratings]]=3, "Average","Poor"))</f>
        <v>Good</v>
      </c>
      <c r="S2765" s="3" t="s">
        <v>76</v>
      </c>
    </row>
    <row r="2766" spans="1:19" x14ac:dyDescent="0.25">
      <c r="A2766" s="3">
        <v>2765</v>
      </c>
      <c r="B2766" s="5">
        <f>DATE(Table1[[#This Row],[Year]],Table1[[#This Row],[Month]],Table1[[#This Row],[Day]])</f>
        <v>45263</v>
      </c>
      <c r="C2766" s="3">
        <v>3</v>
      </c>
      <c r="D2766" s="3">
        <v>12</v>
      </c>
      <c r="E2766" s="3">
        <v>2023</v>
      </c>
      <c r="F2766" s="3" t="str">
        <f>"Qtr"&amp; " " &amp;CHOOSE(MONTH(Table1[[#This Row],[Date]]),1,1,1,2,2,2,3,3,3,4,4,4)</f>
        <v>Qtr 4</v>
      </c>
      <c r="G2766" s="3" t="str">
        <f>TEXT(Table1[[#This Row],[Date]],"mmmm")</f>
        <v>December</v>
      </c>
      <c r="H2766" s="3" t="s">
        <v>1080</v>
      </c>
      <c r="I2766" s="3" t="s">
        <v>28</v>
      </c>
      <c r="J2766" s="3">
        <v>1</v>
      </c>
      <c r="K2766" s="3">
        <v>12287.09</v>
      </c>
      <c r="L2766" s="3">
        <f>Table1[[#This Row],[Price Per Unit]]*Table1[[#This Row],[Units Sold]]</f>
        <v>12287.09</v>
      </c>
      <c r="M2766" s="3" t="s">
        <v>954</v>
      </c>
      <c r="N2766" s="3">
        <v>30</v>
      </c>
      <c r="O2766" s="3" t="s">
        <v>15</v>
      </c>
      <c r="P2766" s="3" t="s">
        <v>31</v>
      </c>
      <c r="Q2766" s="4">
        <v>2</v>
      </c>
      <c r="R2766" s="4" t="str">
        <f>IF(Table1[[#This Row],[Customer Ratings]]&gt;=4, "Good",IF(Table1[[#This Row],[Customer Ratings]]=3, "Average","Poor"))</f>
        <v>Poor</v>
      </c>
      <c r="S2766" s="3" t="s">
        <v>32</v>
      </c>
    </row>
    <row r="2767" spans="1:19" x14ac:dyDescent="0.25">
      <c r="A2767" s="3">
        <v>2766</v>
      </c>
      <c r="B2767" s="5">
        <f>DATE(Table1[[#This Row],[Year]],Table1[[#This Row],[Month]],Table1[[#This Row],[Day]])</f>
        <v>45263</v>
      </c>
      <c r="C2767" s="3">
        <v>3</v>
      </c>
      <c r="D2767" s="3">
        <v>12</v>
      </c>
      <c r="E2767" s="3">
        <v>2023</v>
      </c>
      <c r="F2767" s="3" t="str">
        <f>"Qtr"&amp; " " &amp;CHOOSE(MONTH(Table1[[#This Row],[Date]]),1,1,1,2,2,2,3,3,3,4,4,4)</f>
        <v>Qtr 4</v>
      </c>
      <c r="G2767" s="3" t="str">
        <f>TEXT(Table1[[#This Row],[Date]],"mmmm")</f>
        <v>December</v>
      </c>
      <c r="H2767" s="3" t="s">
        <v>1080</v>
      </c>
      <c r="I2767" s="3" t="s">
        <v>13</v>
      </c>
      <c r="J2767" s="3">
        <v>3</v>
      </c>
      <c r="K2767" s="3">
        <v>39285.82</v>
      </c>
      <c r="L2767" s="3">
        <f>Table1[[#This Row],[Price Per Unit]]*Table1[[#This Row],[Units Sold]]</f>
        <v>117857.45999999999</v>
      </c>
      <c r="M2767" s="3" t="s">
        <v>914</v>
      </c>
      <c r="N2767" s="3">
        <v>41</v>
      </c>
      <c r="O2767" s="3" t="s">
        <v>15</v>
      </c>
      <c r="P2767" s="3" t="s">
        <v>31</v>
      </c>
      <c r="Q2767" s="4">
        <v>3</v>
      </c>
      <c r="R2767" s="4" t="str">
        <f>IF(Table1[[#This Row],[Customer Ratings]]&gt;=4, "Good",IF(Table1[[#This Row],[Customer Ratings]]=3, "Average","Poor"))</f>
        <v>Average</v>
      </c>
      <c r="S2767" s="3" t="s">
        <v>27</v>
      </c>
    </row>
    <row r="2768" spans="1:19" x14ac:dyDescent="0.25">
      <c r="A2768" s="3">
        <v>2767</v>
      </c>
      <c r="B2768" s="5">
        <f>DATE(Table1[[#This Row],[Year]],Table1[[#This Row],[Month]],Table1[[#This Row],[Day]])</f>
        <v>45263</v>
      </c>
      <c r="C2768" s="3">
        <v>3</v>
      </c>
      <c r="D2768" s="3">
        <v>12</v>
      </c>
      <c r="E2768" s="3">
        <v>2023</v>
      </c>
      <c r="F2768" s="3" t="str">
        <f>"Qtr"&amp; " " &amp;CHOOSE(MONTH(Table1[[#This Row],[Date]]),1,1,1,2,2,2,3,3,3,4,4,4)</f>
        <v>Qtr 4</v>
      </c>
      <c r="G2768" s="3" t="str">
        <f>TEXT(Table1[[#This Row],[Date]],"mmmm")</f>
        <v>December</v>
      </c>
      <c r="H2768" s="3" t="s">
        <v>1080</v>
      </c>
      <c r="I2768" s="3" t="s">
        <v>18</v>
      </c>
      <c r="J2768" s="3">
        <v>6</v>
      </c>
      <c r="K2768" s="3">
        <v>52721.760000000002</v>
      </c>
      <c r="L2768" s="3">
        <f>Table1[[#This Row],[Price Per Unit]]*Table1[[#This Row],[Units Sold]]</f>
        <v>316330.56</v>
      </c>
      <c r="M2768" s="3" t="s">
        <v>278</v>
      </c>
      <c r="N2768" s="3">
        <v>54</v>
      </c>
      <c r="O2768" s="3" t="s">
        <v>24</v>
      </c>
      <c r="P2768" s="3" t="s">
        <v>21</v>
      </c>
      <c r="Q2768" s="4">
        <v>3</v>
      </c>
      <c r="R2768" s="4" t="str">
        <f>IF(Table1[[#This Row],[Customer Ratings]]&gt;=4, "Good",IF(Table1[[#This Row],[Customer Ratings]]=3, "Average","Poor"))</f>
        <v>Average</v>
      </c>
      <c r="S2768" s="3" t="s">
        <v>55</v>
      </c>
    </row>
    <row r="2769" spans="1:19" x14ac:dyDescent="0.25">
      <c r="A2769" s="3">
        <v>2768</v>
      </c>
      <c r="B2769" s="5">
        <f>DATE(Table1[[#This Row],[Year]],Table1[[#This Row],[Month]],Table1[[#This Row],[Day]])</f>
        <v>45264</v>
      </c>
      <c r="C2769" s="3">
        <v>4</v>
      </c>
      <c r="D2769" s="3">
        <v>12</v>
      </c>
      <c r="E2769" s="3">
        <v>2023</v>
      </c>
      <c r="F2769" s="3" t="str">
        <f>"Qtr"&amp; " " &amp;CHOOSE(MONTH(Table1[[#This Row],[Date]]),1,1,1,2,2,2,3,3,3,4,4,4)</f>
        <v>Qtr 4</v>
      </c>
      <c r="G2769" s="3" t="str">
        <f>TEXT(Table1[[#This Row],[Date]],"mmmm")</f>
        <v>December</v>
      </c>
      <c r="H2769" s="3" t="s">
        <v>1081</v>
      </c>
      <c r="I2769" s="3" t="s">
        <v>28</v>
      </c>
      <c r="J2769" s="3">
        <v>3</v>
      </c>
      <c r="K2769" s="3">
        <v>62137.08</v>
      </c>
      <c r="L2769" s="3">
        <f>Table1[[#This Row],[Price Per Unit]]*Table1[[#This Row],[Units Sold]]</f>
        <v>186411.24</v>
      </c>
      <c r="M2769" s="3" t="s">
        <v>112</v>
      </c>
      <c r="N2769" s="3">
        <v>24</v>
      </c>
      <c r="O2769" s="3" t="s">
        <v>48</v>
      </c>
      <c r="P2769" s="3" t="s">
        <v>45</v>
      </c>
      <c r="Q2769" s="4">
        <v>5</v>
      </c>
      <c r="R2769" s="4" t="str">
        <f>IF(Table1[[#This Row],[Customer Ratings]]&gt;=4, "Good",IF(Table1[[#This Row],[Customer Ratings]]=3, "Average","Poor"))</f>
        <v>Good</v>
      </c>
      <c r="S2769" s="3" t="s">
        <v>38</v>
      </c>
    </row>
    <row r="2770" spans="1:19" x14ac:dyDescent="0.25">
      <c r="A2770" s="3">
        <v>2769</v>
      </c>
      <c r="B2770" s="5">
        <f>DATE(Table1[[#This Row],[Year]],Table1[[#This Row],[Month]],Table1[[#This Row],[Day]])</f>
        <v>45264</v>
      </c>
      <c r="C2770" s="3">
        <v>4</v>
      </c>
      <c r="D2770" s="3">
        <v>12</v>
      </c>
      <c r="E2770" s="3">
        <v>2023</v>
      </c>
      <c r="F2770" s="3" t="str">
        <f>"Qtr"&amp; " " &amp;CHOOSE(MONTH(Table1[[#This Row],[Date]]),1,1,1,2,2,2,3,3,3,4,4,4)</f>
        <v>Qtr 4</v>
      </c>
      <c r="G2770" s="3" t="str">
        <f>TEXT(Table1[[#This Row],[Date]],"mmmm")</f>
        <v>December</v>
      </c>
      <c r="H2770" s="3" t="s">
        <v>1081</v>
      </c>
      <c r="I2770" s="3" t="s">
        <v>33</v>
      </c>
      <c r="J2770" s="3">
        <v>8</v>
      </c>
      <c r="K2770" s="3">
        <v>66042.19</v>
      </c>
      <c r="L2770" s="3">
        <f>Table1[[#This Row],[Price Per Unit]]*Table1[[#This Row],[Units Sold]]</f>
        <v>528337.52</v>
      </c>
      <c r="M2770" s="3" t="s">
        <v>464</v>
      </c>
      <c r="N2770" s="3">
        <v>25</v>
      </c>
      <c r="O2770" s="3" t="s">
        <v>78</v>
      </c>
      <c r="P2770" s="3" t="s">
        <v>21</v>
      </c>
      <c r="Q2770" s="4">
        <v>5</v>
      </c>
      <c r="R2770" s="4" t="str">
        <f>IF(Table1[[#This Row],[Customer Ratings]]&gt;=4, "Good",IF(Table1[[#This Row],[Customer Ratings]]=3, "Average","Poor"))</f>
        <v>Good</v>
      </c>
      <c r="S2770" s="3" t="s">
        <v>83</v>
      </c>
    </row>
    <row r="2771" spans="1:19" x14ac:dyDescent="0.25">
      <c r="A2771" s="3">
        <v>2770</v>
      </c>
      <c r="B2771" s="5">
        <f>DATE(Table1[[#This Row],[Year]],Table1[[#This Row],[Month]],Table1[[#This Row],[Day]])</f>
        <v>45264</v>
      </c>
      <c r="C2771" s="3">
        <v>4</v>
      </c>
      <c r="D2771" s="3">
        <v>12</v>
      </c>
      <c r="E2771" s="3">
        <v>2023</v>
      </c>
      <c r="F2771" s="3" t="str">
        <f>"Qtr"&amp; " " &amp;CHOOSE(MONTH(Table1[[#This Row],[Date]]),1,1,1,2,2,2,3,3,3,4,4,4)</f>
        <v>Qtr 4</v>
      </c>
      <c r="G2771" s="3" t="str">
        <f>TEXT(Table1[[#This Row],[Date]],"mmmm")</f>
        <v>December</v>
      </c>
      <c r="H2771" s="3" t="s">
        <v>1081</v>
      </c>
      <c r="I2771" s="3" t="s">
        <v>33</v>
      </c>
      <c r="J2771" s="3">
        <v>5</v>
      </c>
      <c r="K2771" s="3">
        <v>29646.43</v>
      </c>
      <c r="L2771" s="3">
        <f>Table1[[#This Row],[Price Per Unit]]*Table1[[#This Row],[Units Sold]]</f>
        <v>148232.15</v>
      </c>
      <c r="M2771" s="3" t="s">
        <v>1009</v>
      </c>
      <c r="N2771" s="3">
        <v>40</v>
      </c>
      <c r="O2771" s="3" t="s">
        <v>20</v>
      </c>
      <c r="P2771" s="3" t="s">
        <v>16</v>
      </c>
      <c r="Q2771" s="4">
        <v>2</v>
      </c>
      <c r="R2771" s="4" t="str">
        <f>IF(Table1[[#This Row],[Customer Ratings]]&gt;=4, "Good",IF(Table1[[#This Row],[Customer Ratings]]=3, "Average","Poor"))</f>
        <v>Poor</v>
      </c>
      <c r="S2771" s="3" t="s">
        <v>46</v>
      </c>
    </row>
    <row r="2772" spans="1:19" x14ac:dyDescent="0.25">
      <c r="A2772" s="3">
        <v>2771</v>
      </c>
      <c r="B2772" s="5">
        <f>DATE(Table1[[#This Row],[Year]],Table1[[#This Row],[Month]],Table1[[#This Row],[Day]])</f>
        <v>45265</v>
      </c>
      <c r="C2772" s="3">
        <v>5</v>
      </c>
      <c r="D2772" s="3">
        <v>12</v>
      </c>
      <c r="E2772" s="3">
        <v>2023</v>
      </c>
      <c r="F2772" s="3" t="str">
        <f>"Qtr"&amp; " " &amp;CHOOSE(MONTH(Table1[[#This Row],[Date]]),1,1,1,2,2,2,3,3,3,4,4,4)</f>
        <v>Qtr 4</v>
      </c>
      <c r="G2772" s="3" t="str">
        <f>TEXT(Table1[[#This Row],[Date]],"mmmm")</f>
        <v>December</v>
      </c>
      <c r="H2772" s="3" t="s">
        <v>1082</v>
      </c>
      <c r="I2772" s="3" t="s">
        <v>18</v>
      </c>
      <c r="J2772" s="3">
        <v>2</v>
      </c>
      <c r="K2772" s="3">
        <v>18149.95</v>
      </c>
      <c r="L2772" s="3">
        <f>Table1[[#This Row],[Price Per Unit]]*Table1[[#This Row],[Units Sold]]</f>
        <v>36299.9</v>
      </c>
      <c r="M2772" s="3" t="s">
        <v>764</v>
      </c>
      <c r="N2772" s="3">
        <v>31</v>
      </c>
      <c r="O2772" s="3" t="s">
        <v>120</v>
      </c>
      <c r="P2772" s="3" t="s">
        <v>45</v>
      </c>
      <c r="Q2772" s="4">
        <v>5</v>
      </c>
      <c r="R2772" s="4" t="str">
        <f>IF(Table1[[#This Row],[Customer Ratings]]&gt;=4, "Good",IF(Table1[[#This Row],[Customer Ratings]]=3, "Average","Poor"))</f>
        <v>Good</v>
      </c>
      <c r="S2772" s="3" t="s">
        <v>22</v>
      </c>
    </row>
    <row r="2773" spans="1:19" x14ac:dyDescent="0.25">
      <c r="A2773" s="3">
        <v>2772</v>
      </c>
      <c r="B2773" s="5">
        <f>DATE(Table1[[#This Row],[Year]],Table1[[#This Row],[Month]],Table1[[#This Row],[Day]])</f>
        <v>45265</v>
      </c>
      <c r="C2773" s="3">
        <v>5</v>
      </c>
      <c r="D2773" s="3">
        <v>12</v>
      </c>
      <c r="E2773" s="3">
        <v>2023</v>
      </c>
      <c r="F2773" s="3" t="str">
        <f>"Qtr"&amp; " " &amp;CHOOSE(MONTH(Table1[[#This Row],[Date]]),1,1,1,2,2,2,3,3,3,4,4,4)</f>
        <v>Qtr 4</v>
      </c>
      <c r="G2773" s="3" t="str">
        <f>TEXT(Table1[[#This Row],[Date]],"mmmm")</f>
        <v>December</v>
      </c>
      <c r="H2773" s="3" t="s">
        <v>1082</v>
      </c>
      <c r="I2773" s="3" t="s">
        <v>13</v>
      </c>
      <c r="J2773" s="3">
        <v>4</v>
      </c>
      <c r="K2773" s="3">
        <v>24215.56</v>
      </c>
      <c r="L2773" s="3">
        <f>Table1[[#This Row],[Price Per Unit]]*Table1[[#This Row],[Units Sold]]</f>
        <v>96862.24</v>
      </c>
      <c r="M2773" s="3" t="s">
        <v>245</v>
      </c>
      <c r="N2773" s="3">
        <v>21</v>
      </c>
      <c r="O2773" s="3" t="s">
        <v>20</v>
      </c>
      <c r="P2773" s="3" t="s">
        <v>21</v>
      </c>
      <c r="Q2773" s="4">
        <v>4</v>
      </c>
      <c r="R2773" s="4" t="str">
        <f>IF(Table1[[#This Row],[Customer Ratings]]&gt;=4, "Good",IF(Table1[[#This Row],[Customer Ratings]]=3, "Average","Poor"))</f>
        <v>Good</v>
      </c>
      <c r="S2773" s="3" t="s">
        <v>17</v>
      </c>
    </row>
    <row r="2774" spans="1:19" x14ac:dyDescent="0.25">
      <c r="A2774" s="3">
        <v>2773</v>
      </c>
      <c r="B2774" s="5">
        <f>DATE(Table1[[#This Row],[Year]],Table1[[#This Row],[Month]],Table1[[#This Row],[Day]])</f>
        <v>45265</v>
      </c>
      <c r="C2774" s="3">
        <v>5</v>
      </c>
      <c r="D2774" s="3">
        <v>12</v>
      </c>
      <c r="E2774" s="3">
        <v>2023</v>
      </c>
      <c r="F2774" s="3" t="str">
        <f>"Qtr"&amp; " " &amp;CHOOSE(MONTH(Table1[[#This Row],[Date]]),1,1,1,2,2,2,3,3,3,4,4,4)</f>
        <v>Qtr 4</v>
      </c>
      <c r="G2774" s="3" t="str">
        <f>TEXT(Table1[[#This Row],[Date]],"mmmm")</f>
        <v>December</v>
      </c>
      <c r="H2774" s="3" t="s">
        <v>1082</v>
      </c>
      <c r="I2774" s="3" t="s">
        <v>28</v>
      </c>
      <c r="J2774" s="3">
        <v>9</v>
      </c>
      <c r="K2774" s="3">
        <v>56570.29</v>
      </c>
      <c r="L2774" s="3">
        <f>Table1[[#This Row],[Price Per Unit]]*Table1[[#This Row],[Units Sold]]</f>
        <v>509132.61</v>
      </c>
      <c r="M2774" s="3" t="s">
        <v>928</v>
      </c>
      <c r="N2774" s="3">
        <v>38</v>
      </c>
      <c r="O2774" s="3" t="s">
        <v>24</v>
      </c>
      <c r="P2774" s="3" t="s">
        <v>45</v>
      </c>
      <c r="Q2774" s="4">
        <v>5</v>
      </c>
      <c r="R2774" s="4" t="str">
        <f>IF(Table1[[#This Row],[Customer Ratings]]&gt;=4, "Good",IF(Table1[[#This Row],[Customer Ratings]]=3, "Average","Poor"))</f>
        <v>Good</v>
      </c>
      <c r="S2774" s="3" t="s">
        <v>32</v>
      </c>
    </row>
    <row r="2775" spans="1:19" x14ac:dyDescent="0.25">
      <c r="A2775" s="3">
        <v>2774</v>
      </c>
      <c r="B2775" s="5">
        <f>DATE(Table1[[#This Row],[Year]],Table1[[#This Row],[Month]],Table1[[#This Row],[Day]])</f>
        <v>45265</v>
      </c>
      <c r="C2775" s="3">
        <v>5</v>
      </c>
      <c r="D2775" s="3">
        <v>12</v>
      </c>
      <c r="E2775" s="3">
        <v>2023</v>
      </c>
      <c r="F2775" s="3" t="str">
        <f>"Qtr"&amp; " " &amp;CHOOSE(MONTH(Table1[[#This Row],[Date]]),1,1,1,2,2,2,3,3,3,4,4,4)</f>
        <v>Qtr 4</v>
      </c>
      <c r="G2775" s="3" t="str">
        <f>TEXT(Table1[[#This Row],[Date]],"mmmm")</f>
        <v>December</v>
      </c>
      <c r="H2775" s="3" t="s">
        <v>1082</v>
      </c>
      <c r="I2775" s="3" t="s">
        <v>13</v>
      </c>
      <c r="J2775" s="3">
        <v>4</v>
      </c>
      <c r="K2775" s="3">
        <v>68289.05</v>
      </c>
      <c r="L2775" s="3">
        <f>Table1[[#This Row],[Price Per Unit]]*Table1[[#This Row],[Units Sold]]</f>
        <v>273156.2</v>
      </c>
      <c r="M2775" s="3" t="s">
        <v>409</v>
      </c>
      <c r="N2775" s="3">
        <v>27</v>
      </c>
      <c r="O2775" s="3" t="s">
        <v>35</v>
      </c>
      <c r="P2775" s="3" t="s">
        <v>31</v>
      </c>
      <c r="Q2775" s="4">
        <v>3</v>
      </c>
      <c r="R2775" s="4" t="str">
        <f>IF(Table1[[#This Row],[Customer Ratings]]&gt;=4, "Good",IF(Table1[[#This Row],[Customer Ratings]]=3, "Average","Poor"))</f>
        <v>Average</v>
      </c>
      <c r="S2775" s="3" t="s">
        <v>27</v>
      </c>
    </row>
    <row r="2776" spans="1:19" x14ac:dyDescent="0.25">
      <c r="A2776" s="3">
        <v>2775</v>
      </c>
      <c r="B2776" s="5">
        <f>DATE(Table1[[#This Row],[Year]],Table1[[#This Row],[Month]],Table1[[#This Row],[Day]])</f>
        <v>45266</v>
      </c>
      <c r="C2776" s="3">
        <v>6</v>
      </c>
      <c r="D2776" s="3">
        <v>12</v>
      </c>
      <c r="E2776" s="3">
        <v>2023</v>
      </c>
      <c r="F2776" s="3" t="str">
        <f>"Qtr"&amp; " " &amp;CHOOSE(MONTH(Table1[[#This Row],[Date]]),1,1,1,2,2,2,3,3,3,4,4,4)</f>
        <v>Qtr 4</v>
      </c>
      <c r="G2776" s="3" t="str">
        <f>TEXT(Table1[[#This Row],[Date]],"mmmm")</f>
        <v>December</v>
      </c>
      <c r="H2776" s="3" t="s">
        <v>1083</v>
      </c>
      <c r="I2776" s="3" t="s">
        <v>33</v>
      </c>
      <c r="J2776" s="3">
        <v>8</v>
      </c>
      <c r="K2776" s="3">
        <v>37983.620000000003</v>
      </c>
      <c r="L2776" s="3">
        <f>Table1[[#This Row],[Price Per Unit]]*Table1[[#This Row],[Units Sold]]</f>
        <v>303868.96000000002</v>
      </c>
      <c r="M2776" s="3" t="s">
        <v>261</v>
      </c>
      <c r="N2776" s="3">
        <v>39</v>
      </c>
      <c r="O2776" s="3" t="s">
        <v>20</v>
      </c>
      <c r="P2776" s="3" t="s">
        <v>21</v>
      </c>
      <c r="Q2776" s="4">
        <v>4</v>
      </c>
      <c r="R2776" s="4" t="str">
        <f>IF(Table1[[#This Row],[Customer Ratings]]&gt;=4, "Good",IF(Table1[[#This Row],[Customer Ratings]]=3, "Average","Poor"))</f>
        <v>Good</v>
      </c>
      <c r="S2776" s="3" t="s">
        <v>36</v>
      </c>
    </row>
    <row r="2777" spans="1:19" x14ac:dyDescent="0.25">
      <c r="A2777" s="3">
        <v>2776</v>
      </c>
      <c r="B2777" s="5">
        <f>DATE(Table1[[#This Row],[Year]],Table1[[#This Row],[Month]],Table1[[#This Row],[Day]])</f>
        <v>45266</v>
      </c>
      <c r="C2777" s="3">
        <v>6</v>
      </c>
      <c r="D2777" s="3">
        <v>12</v>
      </c>
      <c r="E2777" s="3">
        <v>2023</v>
      </c>
      <c r="F2777" s="3" t="str">
        <f>"Qtr"&amp; " " &amp;CHOOSE(MONTH(Table1[[#This Row],[Date]]),1,1,1,2,2,2,3,3,3,4,4,4)</f>
        <v>Qtr 4</v>
      </c>
      <c r="G2777" s="3" t="str">
        <f>TEXT(Table1[[#This Row],[Date]],"mmmm")</f>
        <v>December</v>
      </c>
      <c r="H2777" s="3" t="s">
        <v>1083</v>
      </c>
      <c r="I2777" s="3" t="s">
        <v>13</v>
      </c>
      <c r="J2777" s="3">
        <v>5</v>
      </c>
      <c r="K2777" s="3">
        <v>28321.19</v>
      </c>
      <c r="L2777" s="3">
        <f>Table1[[#This Row],[Price Per Unit]]*Table1[[#This Row],[Units Sold]]</f>
        <v>141605.94999999998</v>
      </c>
      <c r="M2777" s="3" t="s">
        <v>995</v>
      </c>
      <c r="N2777" s="3">
        <v>47</v>
      </c>
      <c r="O2777" s="3" t="s">
        <v>20</v>
      </c>
      <c r="P2777" s="3" t="s">
        <v>21</v>
      </c>
      <c r="Q2777" s="4">
        <v>2</v>
      </c>
      <c r="R2777" s="4" t="str">
        <f>IF(Table1[[#This Row],[Customer Ratings]]&gt;=4, "Good",IF(Table1[[#This Row],[Customer Ratings]]=3, "Average","Poor"))</f>
        <v>Poor</v>
      </c>
      <c r="S2777" s="3" t="s">
        <v>72</v>
      </c>
    </row>
    <row r="2778" spans="1:19" x14ac:dyDescent="0.25">
      <c r="A2778" s="3">
        <v>2777</v>
      </c>
      <c r="B2778" s="5">
        <f>DATE(Table1[[#This Row],[Year]],Table1[[#This Row],[Month]],Table1[[#This Row],[Day]])</f>
        <v>45266</v>
      </c>
      <c r="C2778" s="3">
        <v>6</v>
      </c>
      <c r="D2778" s="3">
        <v>12</v>
      </c>
      <c r="E2778" s="3">
        <v>2023</v>
      </c>
      <c r="F2778" s="3" t="str">
        <f>"Qtr"&amp; " " &amp;CHOOSE(MONTH(Table1[[#This Row],[Date]]),1,1,1,2,2,2,3,3,3,4,4,4)</f>
        <v>Qtr 4</v>
      </c>
      <c r="G2778" s="3" t="str">
        <f>TEXT(Table1[[#This Row],[Date]],"mmmm")</f>
        <v>December</v>
      </c>
      <c r="H2778" s="3" t="s">
        <v>1083</v>
      </c>
      <c r="I2778" s="3" t="s">
        <v>33</v>
      </c>
      <c r="J2778" s="3">
        <v>1</v>
      </c>
      <c r="K2778" s="3">
        <v>35751.43</v>
      </c>
      <c r="L2778" s="3">
        <f>Table1[[#This Row],[Price Per Unit]]*Table1[[#This Row],[Units Sold]]</f>
        <v>35751.43</v>
      </c>
      <c r="M2778" s="3" t="s">
        <v>955</v>
      </c>
      <c r="N2778" s="3">
        <v>47</v>
      </c>
      <c r="O2778" s="3" t="s">
        <v>20</v>
      </c>
      <c r="P2778" s="3" t="s">
        <v>31</v>
      </c>
      <c r="Q2778" s="4">
        <v>5</v>
      </c>
      <c r="R2778" s="4" t="str">
        <f>IF(Table1[[#This Row],[Customer Ratings]]&gt;=4, "Good",IF(Table1[[#This Row],[Customer Ratings]]=3, "Average","Poor"))</f>
        <v>Good</v>
      </c>
      <c r="S2778" s="3" t="s">
        <v>83</v>
      </c>
    </row>
    <row r="2779" spans="1:19" x14ac:dyDescent="0.25">
      <c r="A2779" s="3">
        <v>2778</v>
      </c>
      <c r="B2779" s="5">
        <f>DATE(Table1[[#This Row],[Year]],Table1[[#This Row],[Month]],Table1[[#This Row],[Day]])</f>
        <v>45266</v>
      </c>
      <c r="C2779" s="3">
        <v>6</v>
      </c>
      <c r="D2779" s="3">
        <v>12</v>
      </c>
      <c r="E2779" s="3">
        <v>2023</v>
      </c>
      <c r="F2779" s="3" t="str">
        <f>"Qtr"&amp; " " &amp;CHOOSE(MONTH(Table1[[#This Row],[Date]]),1,1,1,2,2,2,3,3,3,4,4,4)</f>
        <v>Qtr 4</v>
      </c>
      <c r="G2779" s="3" t="str">
        <f>TEXT(Table1[[#This Row],[Date]],"mmmm")</f>
        <v>December</v>
      </c>
      <c r="H2779" s="3" t="s">
        <v>1083</v>
      </c>
      <c r="I2779" s="3" t="s">
        <v>13</v>
      </c>
      <c r="J2779" s="3">
        <v>7</v>
      </c>
      <c r="K2779" s="3">
        <v>28288.79</v>
      </c>
      <c r="L2779" s="3">
        <f>Table1[[#This Row],[Price Per Unit]]*Table1[[#This Row],[Units Sold]]</f>
        <v>198021.53</v>
      </c>
      <c r="M2779" s="3" t="s">
        <v>411</v>
      </c>
      <c r="N2779" s="3">
        <v>33</v>
      </c>
      <c r="O2779" s="3" t="s">
        <v>54</v>
      </c>
      <c r="P2779" s="3" t="s">
        <v>45</v>
      </c>
      <c r="Q2779" s="4">
        <v>5</v>
      </c>
      <c r="R2779" s="4" t="str">
        <f>IF(Table1[[#This Row],[Customer Ratings]]&gt;=4, "Good",IF(Table1[[#This Row],[Customer Ratings]]=3, "Average","Poor"))</f>
        <v>Good</v>
      </c>
      <c r="S2779" s="3" t="s">
        <v>17</v>
      </c>
    </row>
    <row r="2780" spans="1:19" x14ac:dyDescent="0.25">
      <c r="A2780" s="3">
        <v>2779</v>
      </c>
      <c r="B2780" s="5">
        <f>DATE(Table1[[#This Row],[Year]],Table1[[#This Row],[Month]],Table1[[#This Row],[Day]])</f>
        <v>45267</v>
      </c>
      <c r="C2780" s="3">
        <v>7</v>
      </c>
      <c r="D2780" s="3">
        <v>12</v>
      </c>
      <c r="E2780" s="3">
        <v>2023</v>
      </c>
      <c r="F2780" s="3" t="str">
        <f>"Qtr"&amp; " " &amp;CHOOSE(MONTH(Table1[[#This Row],[Date]]),1,1,1,2,2,2,3,3,3,4,4,4)</f>
        <v>Qtr 4</v>
      </c>
      <c r="G2780" s="3" t="str">
        <f>TEXT(Table1[[#This Row],[Date]],"mmmm")</f>
        <v>December</v>
      </c>
      <c r="H2780" s="3" t="s">
        <v>1084</v>
      </c>
      <c r="I2780" s="3" t="s">
        <v>18</v>
      </c>
      <c r="J2780" s="3">
        <v>3</v>
      </c>
      <c r="K2780" s="3">
        <v>25389.25</v>
      </c>
      <c r="L2780" s="3">
        <f>Table1[[#This Row],[Price Per Unit]]*Table1[[#This Row],[Units Sold]]</f>
        <v>76167.75</v>
      </c>
      <c r="M2780" s="3" t="s">
        <v>186</v>
      </c>
      <c r="N2780" s="3">
        <v>28</v>
      </c>
      <c r="O2780" s="3" t="s">
        <v>52</v>
      </c>
      <c r="P2780" s="3" t="s">
        <v>31</v>
      </c>
      <c r="Q2780" s="4">
        <v>4</v>
      </c>
      <c r="R2780" s="4" t="str">
        <f>IF(Table1[[#This Row],[Customer Ratings]]&gt;=4, "Good",IF(Table1[[#This Row],[Customer Ratings]]=3, "Average","Poor"))</f>
        <v>Good</v>
      </c>
      <c r="S2780" s="3" t="s">
        <v>55</v>
      </c>
    </row>
    <row r="2781" spans="1:19" x14ac:dyDescent="0.25">
      <c r="A2781" s="3">
        <v>2780</v>
      </c>
      <c r="B2781" s="5">
        <f>DATE(Table1[[#This Row],[Year]],Table1[[#This Row],[Month]],Table1[[#This Row],[Day]])</f>
        <v>45267</v>
      </c>
      <c r="C2781" s="3">
        <v>7</v>
      </c>
      <c r="D2781" s="3">
        <v>12</v>
      </c>
      <c r="E2781" s="3">
        <v>2023</v>
      </c>
      <c r="F2781" s="3" t="str">
        <f>"Qtr"&amp; " " &amp;CHOOSE(MONTH(Table1[[#This Row],[Date]]),1,1,1,2,2,2,3,3,3,4,4,4)</f>
        <v>Qtr 4</v>
      </c>
      <c r="G2781" s="3" t="str">
        <f>TEXT(Table1[[#This Row],[Date]],"mmmm")</f>
        <v>December</v>
      </c>
      <c r="H2781" s="3" t="s">
        <v>1084</v>
      </c>
      <c r="I2781" s="3" t="s">
        <v>39</v>
      </c>
      <c r="J2781" s="3">
        <v>8</v>
      </c>
      <c r="K2781" s="3">
        <v>45625.05</v>
      </c>
      <c r="L2781" s="3">
        <f>Table1[[#This Row],[Price Per Unit]]*Table1[[#This Row],[Units Sold]]</f>
        <v>365000.4</v>
      </c>
      <c r="M2781" s="3" t="s">
        <v>735</v>
      </c>
      <c r="N2781" s="3">
        <v>39</v>
      </c>
      <c r="O2781" s="3" t="s">
        <v>20</v>
      </c>
      <c r="P2781" s="3" t="s">
        <v>45</v>
      </c>
      <c r="Q2781" s="4">
        <v>2</v>
      </c>
      <c r="R2781" s="4" t="str">
        <f>IF(Table1[[#This Row],[Customer Ratings]]&gt;=4, "Good",IF(Table1[[#This Row],[Customer Ratings]]=3, "Average","Poor"))</f>
        <v>Poor</v>
      </c>
      <c r="S2781" s="3" t="s">
        <v>42</v>
      </c>
    </row>
    <row r="2782" spans="1:19" x14ac:dyDescent="0.25">
      <c r="A2782" s="3">
        <v>2781</v>
      </c>
      <c r="B2782" s="5">
        <f>DATE(Table1[[#This Row],[Year]],Table1[[#This Row],[Month]],Table1[[#This Row],[Day]])</f>
        <v>45267</v>
      </c>
      <c r="C2782" s="3">
        <v>7</v>
      </c>
      <c r="D2782" s="3">
        <v>12</v>
      </c>
      <c r="E2782" s="3">
        <v>2023</v>
      </c>
      <c r="F2782" s="3" t="str">
        <f>"Qtr"&amp; " " &amp;CHOOSE(MONTH(Table1[[#This Row],[Date]]),1,1,1,2,2,2,3,3,3,4,4,4)</f>
        <v>Qtr 4</v>
      </c>
      <c r="G2782" s="3" t="str">
        <f>TEXT(Table1[[#This Row],[Date]],"mmmm")</f>
        <v>December</v>
      </c>
      <c r="H2782" s="3" t="s">
        <v>1084</v>
      </c>
      <c r="I2782" s="3" t="s">
        <v>18</v>
      </c>
      <c r="J2782" s="3">
        <v>3</v>
      </c>
      <c r="K2782" s="3">
        <v>10944.16</v>
      </c>
      <c r="L2782" s="3">
        <f>Table1[[#This Row],[Price Per Unit]]*Table1[[#This Row],[Units Sold]]</f>
        <v>32832.479999999996</v>
      </c>
      <c r="M2782" s="3" t="s">
        <v>206</v>
      </c>
      <c r="N2782" s="3">
        <v>46</v>
      </c>
      <c r="O2782" s="3" t="s">
        <v>35</v>
      </c>
      <c r="P2782" s="3" t="s">
        <v>21</v>
      </c>
      <c r="Q2782" s="4">
        <v>2</v>
      </c>
      <c r="R2782" s="4" t="str">
        <f>IF(Table1[[#This Row],[Customer Ratings]]&gt;=4, "Good",IF(Table1[[#This Row],[Customer Ratings]]=3, "Average","Poor"))</f>
        <v>Poor</v>
      </c>
      <c r="S2782" s="3" t="s">
        <v>22</v>
      </c>
    </row>
    <row r="2783" spans="1:19" x14ac:dyDescent="0.25">
      <c r="A2783" s="3">
        <v>2782</v>
      </c>
      <c r="B2783" s="5">
        <f>DATE(Table1[[#This Row],[Year]],Table1[[#This Row],[Month]],Table1[[#This Row],[Day]])</f>
        <v>45268</v>
      </c>
      <c r="C2783" s="3">
        <v>8</v>
      </c>
      <c r="D2783" s="3">
        <v>12</v>
      </c>
      <c r="E2783" s="3">
        <v>2023</v>
      </c>
      <c r="F2783" s="3" t="str">
        <f>"Qtr"&amp; " " &amp;CHOOSE(MONTH(Table1[[#This Row],[Date]]),1,1,1,2,2,2,3,3,3,4,4,4)</f>
        <v>Qtr 4</v>
      </c>
      <c r="G2783" s="3" t="str">
        <f>TEXT(Table1[[#This Row],[Date]],"mmmm")</f>
        <v>December</v>
      </c>
      <c r="H2783" s="3" t="s">
        <v>1085</v>
      </c>
      <c r="I2783" s="3" t="s">
        <v>18</v>
      </c>
      <c r="J2783" s="3">
        <v>1</v>
      </c>
      <c r="K2783" s="3">
        <v>25573.13</v>
      </c>
      <c r="L2783" s="3">
        <f>Table1[[#This Row],[Price Per Unit]]*Table1[[#This Row],[Units Sold]]</f>
        <v>25573.13</v>
      </c>
      <c r="M2783" s="3" t="s">
        <v>890</v>
      </c>
      <c r="N2783" s="3">
        <v>42</v>
      </c>
      <c r="O2783" s="3" t="s">
        <v>41</v>
      </c>
      <c r="P2783" s="3" t="s">
        <v>45</v>
      </c>
      <c r="Q2783" s="4">
        <v>5</v>
      </c>
      <c r="R2783" s="4" t="str">
        <f>IF(Table1[[#This Row],[Customer Ratings]]&gt;=4, "Good",IF(Table1[[#This Row],[Customer Ratings]]=3, "Average","Poor"))</f>
        <v>Good</v>
      </c>
      <c r="S2783" s="3" t="s">
        <v>55</v>
      </c>
    </row>
    <row r="2784" spans="1:19" x14ac:dyDescent="0.25">
      <c r="A2784" s="3">
        <v>2783</v>
      </c>
      <c r="B2784" s="5">
        <f>DATE(Table1[[#This Row],[Year]],Table1[[#This Row],[Month]],Table1[[#This Row],[Day]])</f>
        <v>45268</v>
      </c>
      <c r="C2784" s="3">
        <v>8</v>
      </c>
      <c r="D2784" s="3">
        <v>12</v>
      </c>
      <c r="E2784" s="3">
        <v>2023</v>
      </c>
      <c r="F2784" s="3" t="str">
        <f>"Qtr"&amp; " " &amp;CHOOSE(MONTH(Table1[[#This Row],[Date]]),1,1,1,2,2,2,3,3,3,4,4,4)</f>
        <v>Qtr 4</v>
      </c>
      <c r="G2784" s="3" t="str">
        <f>TEXT(Table1[[#This Row],[Date]],"mmmm")</f>
        <v>December</v>
      </c>
      <c r="H2784" s="3" t="s">
        <v>1085</v>
      </c>
      <c r="I2784" s="3" t="s">
        <v>39</v>
      </c>
      <c r="J2784" s="3">
        <v>5</v>
      </c>
      <c r="K2784" s="3">
        <v>49682.92</v>
      </c>
      <c r="L2784" s="3">
        <f>Table1[[#This Row],[Price Per Unit]]*Table1[[#This Row],[Units Sold]]</f>
        <v>248414.59999999998</v>
      </c>
      <c r="M2784" s="3" t="s">
        <v>979</v>
      </c>
      <c r="N2784" s="3">
        <v>31</v>
      </c>
      <c r="O2784" s="3" t="s">
        <v>125</v>
      </c>
      <c r="P2784" s="3" t="s">
        <v>45</v>
      </c>
      <c r="Q2784" s="4">
        <v>5</v>
      </c>
      <c r="R2784" s="4" t="str">
        <f>IF(Table1[[#This Row],[Customer Ratings]]&gt;=4, "Good",IF(Table1[[#This Row],[Customer Ratings]]=3, "Average","Poor"))</f>
        <v>Good</v>
      </c>
      <c r="S2784" s="3" t="s">
        <v>42</v>
      </c>
    </row>
    <row r="2785" spans="1:19" x14ac:dyDescent="0.25">
      <c r="A2785" s="3">
        <v>2784</v>
      </c>
      <c r="B2785" s="5">
        <f>DATE(Table1[[#This Row],[Year]],Table1[[#This Row],[Month]],Table1[[#This Row],[Day]])</f>
        <v>45268</v>
      </c>
      <c r="C2785" s="3">
        <v>8</v>
      </c>
      <c r="D2785" s="3">
        <v>12</v>
      </c>
      <c r="E2785" s="3">
        <v>2023</v>
      </c>
      <c r="F2785" s="3" t="str">
        <f>"Qtr"&amp; " " &amp;CHOOSE(MONTH(Table1[[#This Row],[Date]]),1,1,1,2,2,2,3,3,3,4,4,4)</f>
        <v>Qtr 4</v>
      </c>
      <c r="G2785" s="3" t="str">
        <f>TEXT(Table1[[#This Row],[Date]],"mmmm")</f>
        <v>December</v>
      </c>
      <c r="H2785" s="3" t="s">
        <v>1085</v>
      </c>
      <c r="I2785" s="3" t="s">
        <v>39</v>
      </c>
      <c r="J2785" s="3">
        <v>2</v>
      </c>
      <c r="K2785" s="3">
        <v>11923.76</v>
      </c>
      <c r="L2785" s="3">
        <f>Table1[[#This Row],[Price Per Unit]]*Table1[[#This Row],[Units Sold]]</f>
        <v>23847.52</v>
      </c>
      <c r="M2785" s="3" t="s">
        <v>171</v>
      </c>
      <c r="N2785" s="3">
        <v>31</v>
      </c>
      <c r="O2785" s="3" t="s">
        <v>137</v>
      </c>
      <c r="P2785" s="3" t="s">
        <v>16</v>
      </c>
      <c r="Q2785" s="4">
        <v>5</v>
      </c>
      <c r="R2785" s="4" t="str">
        <f>IF(Table1[[#This Row],[Customer Ratings]]&gt;=4, "Good",IF(Table1[[#This Row],[Customer Ratings]]=3, "Average","Poor"))</f>
        <v>Good</v>
      </c>
      <c r="S2785" s="3" t="s">
        <v>42</v>
      </c>
    </row>
    <row r="2786" spans="1:19" x14ac:dyDescent="0.25">
      <c r="A2786" s="3">
        <v>2785</v>
      </c>
      <c r="B2786" s="5">
        <f>DATE(Table1[[#This Row],[Year]],Table1[[#This Row],[Month]],Table1[[#This Row],[Day]])</f>
        <v>45268</v>
      </c>
      <c r="C2786" s="3">
        <v>8</v>
      </c>
      <c r="D2786" s="3">
        <v>12</v>
      </c>
      <c r="E2786" s="3">
        <v>2023</v>
      </c>
      <c r="F2786" s="3" t="str">
        <f>"Qtr"&amp; " " &amp;CHOOSE(MONTH(Table1[[#This Row],[Date]]),1,1,1,2,2,2,3,3,3,4,4,4)</f>
        <v>Qtr 4</v>
      </c>
      <c r="G2786" s="3" t="str">
        <f>TEXT(Table1[[#This Row],[Date]],"mmmm")</f>
        <v>December</v>
      </c>
      <c r="H2786" s="3" t="s">
        <v>1085</v>
      </c>
      <c r="I2786" s="3" t="s">
        <v>28</v>
      </c>
      <c r="J2786" s="3">
        <v>4</v>
      </c>
      <c r="K2786" s="3">
        <v>14992.11</v>
      </c>
      <c r="L2786" s="3">
        <f>Table1[[#This Row],[Price Per Unit]]*Table1[[#This Row],[Units Sold]]</f>
        <v>59968.44</v>
      </c>
      <c r="M2786" s="3" t="s">
        <v>122</v>
      </c>
      <c r="N2786" s="3">
        <v>19</v>
      </c>
      <c r="O2786" s="3" t="s">
        <v>20</v>
      </c>
      <c r="P2786" s="3" t="s">
        <v>16</v>
      </c>
      <c r="Q2786" s="4">
        <v>4</v>
      </c>
      <c r="R2786" s="4" t="str">
        <f>IF(Table1[[#This Row],[Customer Ratings]]&gt;=4, "Good",IF(Table1[[#This Row],[Customer Ratings]]=3, "Average","Poor"))</f>
        <v>Good</v>
      </c>
      <c r="S2786" s="3" t="s">
        <v>38</v>
      </c>
    </row>
    <row r="2787" spans="1:19" x14ac:dyDescent="0.25">
      <c r="A2787" s="3">
        <v>2786</v>
      </c>
      <c r="B2787" s="5">
        <f>DATE(Table1[[#This Row],[Year]],Table1[[#This Row],[Month]],Table1[[#This Row],[Day]])</f>
        <v>45269</v>
      </c>
      <c r="C2787" s="3">
        <v>9</v>
      </c>
      <c r="D2787" s="3">
        <v>12</v>
      </c>
      <c r="E2787" s="3">
        <v>2023</v>
      </c>
      <c r="F2787" s="3" t="str">
        <f>"Qtr"&amp; " " &amp;CHOOSE(MONTH(Table1[[#This Row],[Date]]),1,1,1,2,2,2,3,3,3,4,4,4)</f>
        <v>Qtr 4</v>
      </c>
      <c r="G2787" s="3" t="str">
        <f>TEXT(Table1[[#This Row],[Date]],"mmmm")</f>
        <v>December</v>
      </c>
      <c r="H2787" s="3" t="s">
        <v>1079</v>
      </c>
      <c r="I2787" s="3" t="s">
        <v>28</v>
      </c>
      <c r="J2787" s="3">
        <v>1</v>
      </c>
      <c r="K2787" s="3">
        <v>27603.77</v>
      </c>
      <c r="L2787" s="3">
        <f>Table1[[#This Row],[Price Per Unit]]*Table1[[#This Row],[Units Sold]]</f>
        <v>27603.77</v>
      </c>
      <c r="M2787" s="3" t="s">
        <v>1010</v>
      </c>
      <c r="N2787" s="3">
        <v>30</v>
      </c>
      <c r="O2787" s="3" t="s">
        <v>137</v>
      </c>
      <c r="P2787" s="3" t="s">
        <v>16</v>
      </c>
      <c r="Q2787" s="4">
        <v>2</v>
      </c>
      <c r="R2787" s="4" t="str">
        <f>IF(Table1[[#This Row],[Customer Ratings]]&gt;=4, "Good",IF(Table1[[#This Row],[Customer Ratings]]=3, "Average","Poor"))</f>
        <v>Poor</v>
      </c>
      <c r="S2787" s="3" t="s">
        <v>38</v>
      </c>
    </row>
    <row r="2788" spans="1:19" x14ac:dyDescent="0.25">
      <c r="A2788" s="3">
        <v>2787</v>
      </c>
      <c r="B2788" s="5">
        <f>DATE(Table1[[#This Row],[Year]],Table1[[#This Row],[Month]],Table1[[#This Row],[Day]])</f>
        <v>45269</v>
      </c>
      <c r="C2788" s="3">
        <v>9</v>
      </c>
      <c r="D2788" s="3">
        <v>12</v>
      </c>
      <c r="E2788" s="3">
        <v>2023</v>
      </c>
      <c r="F2788" s="3" t="str">
        <f>"Qtr"&amp; " " &amp;CHOOSE(MONTH(Table1[[#This Row],[Date]]),1,1,1,2,2,2,3,3,3,4,4,4)</f>
        <v>Qtr 4</v>
      </c>
      <c r="G2788" s="3" t="str">
        <f>TEXT(Table1[[#This Row],[Date]],"mmmm")</f>
        <v>December</v>
      </c>
      <c r="H2788" s="3" t="s">
        <v>1079</v>
      </c>
      <c r="I2788" s="3" t="s">
        <v>18</v>
      </c>
      <c r="J2788" s="3">
        <v>9</v>
      </c>
      <c r="K2788" s="3">
        <v>62668.29</v>
      </c>
      <c r="L2788" s="3">
        <f>Table1[[#This Row],[Price Per Unit]]*Table1[[#This Row],[Units Sold]]</f>
        <v>564014.61</v>
      </c>
      <c r="M2788" s="3" t="s">
        <v>962</v>
      </c>
      <c r="N2788" s="3">
        <v>20</v>
      </c>
      <c r="O2788" s="3" t="s">
        <v>125</v>
      </c>
      <c r="P2788" s="3" t="s">
        <v>31</v>
      </c>
      <c r="Q2788" s="4">
        <v>3</v>
      </c>
      <c r="R2788" s="4" t="str">
        <f>IF(Table1[[#This Row],[Customer Ratings]]&gt;=4, "Good",IF(Table1[[#This Row],[Customer Ratings]]=3, "Average","Poor"))</f>
        <v>Average</v>
      </c>
      <c r="S2788" s="3" t="s">
        <v>25</v>
      </c>
    </row>
    <row r="2789" spans="1:19" x14ac:dyDescent="0.25">
      <c r="A2789" s="3">
        <v>2788</v>
      </c>
      <c r="B2789" s="5">
        <f>DATE(Table1[[#This Row],[Year]],Table1[[#This Row],[Month]],Table1[[#This Row],[Day]])</f>
        <v>45269</v>
      </c>
      <c r="C2789" s="3">
        <v>9</v>
      </c>
      <c r="D2789" s="3">
        <v>12</v>
      </c>
      <c r="E2789" s="3">
        <v>2023</v>
      </c>
      <c r="F2789" s="3" t="str">
        <f>"Qtr"&amp; " " &amp;CHOOSE(MONTH(Table1[[#This Row],[Date]]),1,1,1,2,2,2,3,3,3,4,4,4)</f>
        <v>Qtr 4</v>
      </c>
      <c r="G2789" s="3" t="str">
        <f>TEXT(Table1[[#This Row],[Date]],"mmmm")</f>
        <v>December</v>
      </c>
      <c r="H2789" s="3" t="s">
        <v>1079</v>
      </c>
      <c r="I2789" s="3" t="s">
        <v>18</v>
      </c>
      <c r="J2789" s="3">
        <v>6</v>
      </c>
      <c r="K2789" s="3">
        <v>55893.17</v>
      </c>
      <c r="L2789" s="3">
        <f>Table1[[#This Row],[Price Per Unit]]*Table1[[#This Row],[Units Sold]]</f>
        <v>335359.02</v>
      </c>
      <c r="M2789" s="3" t="s">
        <v>259</v>
      </c>
      <c r="N2789" s="3">
        <v>47</v>
      </c>
      <c r="O2789" s="3" t="s">
        <v>20</v>
      </c>
      <c r="P2789" s="3" t="s">
        <v>31</v>
      </c>
      <c r="Q2789" s="4">
        <v>4</v>
      </c>
      <c r="R2789" s="4" t="str">
        <f>IF(Table1[[#This Row],[Customer Ratings]]&gt;=4, "Good",IF(Table1[[#This Row],[Customer Ratings]]=3, "Average","Poor"))</f>
        <v>Good</v>
      </c>
      <c r="S2789" s="3" t="s">
        <v>22</v>
      </c>
    </row>
    <row r="2790" spans="1:19" x14ac:dyDescent="0.25">
      <c r="A2790" s="3">
        <v>2789</v>
      </c>
      <c r="B2790" s="5">
        <f>DATE(Table1[[#This Row],[Year]],Table1[[#This Row],[Month]],Table1[[#This Row],[Day]])</f>
        <v>45269</v>
      </c>
      <c r="C2790" s="3">
        <v>9</v>
      </c>
      <c r="D2790" s="3">
        <v>12</v>
      </c>
      <c r="E2790" s="3">
        <v>2023</v>
      </c>
      <c r="F2790" s="3" t="str">
        <f>"Qtr"&amp; " " &amp;CHOOSE(MONTH(Table1[[#This Row],[Date]]),1,1,1,2,2,2,3,3,3,4,4,4)</f>
        <v>Qtr 4</v>
      </c>
      <c r="G2790" s="3" t="str">
        <f>TEXT(Table1[[#This Row],[Date]],"mmmm")</f>
        <v>December</v>
      </c>
      <c r="H2790" s="3" t="s">
        <v>1079</v>
      </c>
      <c r="I2790" s="3" t="s">
        <v>33</v>
      </c>
      <c r="J2790" s="3">
        <v>8</v>
      </c>
      <c r="K2790" s="3">
        <v>11329.4</v>
      </c>
      <c r="L2790" s="3">
        <f>Table1[[#This Row],[Price Per Unit]]*Table1[[#This Row],[Units Sold]]</f>
        <v>90635.199999999997</v>
      </c>
      <c r="M2790" s="3" t="s">
        <v>113</v>
      </c>
      <c r="N2790" s="3">
        <v>35</v>
      </c>
      <c r="O2790" s="3" t="s">
        <v>137</v>
      </c>
      <c r="P2790" s="3" t="s">
        <v>16</v>
      </c>
      <c r="Q2790" s="4">
        <v>5</v>
      </c>
      <c r="R2790" s="4" t="str">
        <f>IF(Table1[[#This Row],[Customer Ratings]]&gt;=4, "Good",IF(Table1[[#This Row],[Customer Ratings]]=3, "Average","Poor"))</f>
        <v>Good</v>
      </c>
      <c r="S2790" s="3" t="s">
        <v>36</v>
      </c>
    </row>
    <row r="2791" spans="1:19" x14ac:dyDescent="0.25">
      <c r="A2791" s="3">
        <v>2790</v>
      </c>
      <c r="B2791" s="5">
        <f>DATE(Table1[[#This Row],[Year]],Table1[[#This Row],[Month]],Table1[[#This Row],[Day]])</f>
        <v>45270</v>
      </c>
      <c r="C2791" s="3">
        <v>10</v>
      </c>
      <c r="D2791" s="3">
        <v>12</v>
      </c>
      <c r="E2791" s="3">
        <v>2023</v>
      </c>
      <c r="F2791" s="3" t="str">
        <f>"Qtr"&amp; " " &amp;CHOOSE(MONTH(Table1[[#This Row],[Date]]),1,1,1,2,2,2,3,3,3,4,4,4)</f>
        <v>Qtr 4</v>
      </c>
      <c r="G2791" s="3" t="str">
        <f>TEXT(Table1[[#This Row],[Date]],"mmmm")</f>
        <v>December</v>
      </c>
      <c r="H2791" s="3" t="s">
        <v>1080</v>
      </c>
      <c r="I2791" s="3" t="s">
        <v>33</v>
      </c>
      <c r="J2791" s="3">
        <v>4</v>
      </c>
      <c r="K2791" s="3">
        <v>40102.769999999997</v>
      </c>
      <c r="L2791" s="3">
        <f>Table1[[#This Row],[Price Per Unit]]*Table1[[#This Row],[Units Sold]]</f>
        <v>160411.07999999999</v>
      </c>
      <c r="M2791" s="3" t="s">
        <v>59</v>
      </c>
      <c r="N2791" s="3">
        <v>53</v>
      </c>
      <c r="O2791" s="3" t="s">
        <v>24</v>
      </c>
      <c r="P2791" s="3" t="s">
        <v>21</v>
      </c>
      <c r="Q2791" s="4">
        <v>4</v>
      </c>
      <c r="R2791" s="4" t="str">
        <f>IF(Table1[[#This Row],[Customer Ratings]]&gt;=4, "Good",IF(Table1[[#This Row],[Customer Ratings]]=3, "Average","Poor"))</f>
        <v>Good</v>
      </c>
      <c r="S2791" s="3" t="s">
        <v>36</v>
      </c>
    </row>
    <row r="2792" spans="1:19" x14ac:dyDescent="0.25">
      <c r="A2792" s="3">
        <v>2791</v>
      </c>
      <c r="B2792" s="5">
        <f>DATE(Table1[[#This Row],[Year]],Table1[[#This Row],[Month]],Table1[[#This Row],[Day]])</f>
        <v>45270</v>
      </c>
      <c r="C2792" s="3">
        <v>10</v>
      </c>
      <c r="D2792" s="3">
        <v>12</v>
      </c>
      <c r="E2792" s="3">
        <v>2023</v>
      </c>
      <c r="F2792" s="3" t="str">
        <f>"Qtr"&amp; " " &amp;CHOOSE(MONTH(Table1[[#This Row],[Date]]),1,1,1,2,2,2,3,3,3,4,4,4)</f>
        <v>Qtr 4</v>
      </c>
      <c r="G2792" s="3" t="str">
        <f>TEXT(Table1[[#This Row],[Date]],"mmmm")</f>
        <v>December</v>
      </c>
      <c r="H2792" s="3" t="s">
        <v>1080</v>
      </c>
      <c r="I2792" s="3" t="s">
        <v>28</v>
      </c>
      <c r="J2792" s="3">
        <v>9</v>
      </c>
      <c r="K2792" s="3">
        <v>26481.25</v>
      </c>
      <c r="L2792" s="3">
        <f>Table1[[#This Row],[Price Per Unit]]*Table1[[#This Row],[Units Sold]]</f>
        <v>238331.25</v>
      </c>
      <c r="M2792" s="3" t="s">
        <v>392</v>
      </c>
      <c r="N2792" s="3">
        <v>38</v>
      </c>
      <c r="O2792" s="3" t="s">
        <v>52</v>
      </c>
      <c r="P2792" s="3" t="s">
        <v>21</v>
      </c>
      <c r="Q2792" s="4">
        <v>5</v>
      </c>
      <c r="R2792" s="4" t="str">
        <f>IF(Table1[[#This Row],[Customer Ratings]]&gt;=4, "Good",IF(Table1[[#This Row],[Customer Ratings]]=3, "Average","Poor"))</f>
        <v>Good</v>
      </c>
      <c r="S2792" s="3" t="s">
        <v>32</v>
      </c>
    </row>
    <row r="2793" spans="1:19" x14ac:dyDescent="0.25">
      <c r="A2793" s="3">
        <v>2792</v>
      </c>
      <c r="B2793" s="5">
        <f>DATE(Table1[[#This Row],[Year]],Table1[[#This Row],[Month]],Table1[[#This Row],[Day]])</f>
        <v>45270</v>
      </c>
      <c r="C2793" s="3">
        <v>10</v>
      </c>
      <c r="D2793" s="3">
        <v>12</v>
      </c>
      <c r="E2793" s="3">
        <v>2023</v>
      </c>
      <c r="F2793" s="3" t="str">
        <f>"Qtr"&amp; " " &amp;CHOOSE(MONTH(Table1[[#This Row],[Date]]),1,1,1,2,2,2,3,3,3,4,4,4)</f>
        <v>Qtr 4</v>
      </c>
      <c r="G2793" s="3" t="str">
        <f>TEXT(Table1[[#This Row],[Date]],"mmmm")</f>
        <v>December</v>
      </c>
      <c r="H2793" s="3" t="s">
        <v>1080</v>
      </c>
      <c r="I2793" s="3" t="s">
        <v>28</v>
      </c>
      <c r="J2793" s="3">
        <v>2</v>
      </c>
      <c r="K2793" s="3">
        <v>48918.74</v>
      </c>
      <c r="L2793" s="3">
        <f>Table1[[#This Row],[Price Per Unit]]*Table1[[#This Row],[Units Sold]]</f>
        <v>97837.48</v>
      </c>
      <c r="M2793" s="3" t="s">
        <v>970</v>
      </c>
      <c r="N2793" s="3">
        <v>36</v>
      </c>
      <c r="O2793" s="3" t="s">
        <v>15</v>
      </c>
      <c r="P2793" s="3" t="s">
        <v>21</v>
      </c>
      <c r="Q2793" s="4">
        <v>4</v>
      </c>
      <c r="R2793" s="4" t="str">
        <f>IF(Table1[[#This Row],[Customer Ratings]]&gt;=4, "Good",IF(Table1[[#This Row],[Customer Ratings]]=3, "Average","Poor"))</f>
        <v>Good</v>
      </c>
      <c r="S2793" s="3" t="s">
        <v>32</v>
      </c>
    </row>
    <row r="2794" spans="1:19" x14ac:dyDescent="0.25">
      <c r="A2794" s="3">
        <v>2793</v>
      </c>
      <c r="B2794" s="5">
        <f>DATE(Table1[[#This Row],[Year]],Table1[[#This Row],[Month]],Table1[[#This Row],[Day]])</f>
        <v>45271</v>
      </c>
      <c r="C2794" s="3">
        <v>11</v>
      </c>
      <c r="D2794" s="3">
        <v>12</v>
      </c>
      <c r="E2794" s="3">
        <v>2023</v>
      </c>
      <c r="F2794" s="3" t="str">
        <f>"Qtr"&amp; " " &amp;CHOOSE(MONTH(Table1[[#This Row],[Date]]),1,1,1,2,2,2,3,3,3,4,4,4)</f>
        <v>Qtr 4</v>
      </c>
      <c r="G2794" s="3" t="str">
        <f>TEXT(Table1[[#This Row],[Date]],"mmmm")</f>
        <v>December</v>
      </c>
      <c r="H2794" s="3" t="s">
        <v>1081</v>
      </c>
      <c r="I2794" s="3" t="s">
        <v>33</v>
      </c>
      <c r="J2794" s="3">
        <v>9</v>
      </c>
      <c r="K2794" s="3">
        <v>53293.23</v>
      </c>
      <c r="L2794" s="3">
        <f>Table1[[#This Row],[Price Per Unit]]*Table1[[#This Row],[Units Sold]]</f>
        <v>479639.07</v>
      </c>
      <c r="M2794" s="3" t="s">
        <v>955</v>
      </c>
      <c r="N2794" s="3">
        <v>33</v>
      </c>
      <c r="O2794" s="3" t="s">
        <v>24</v>
      </c>
      <c r="P2794" s="3" t="s">
        <v>31</v>
      </c>
      <c r="Q2794" s="4">
        <v>4</v>
      </c>
      <c r="R2794" s="4" t="str">
        <f>IF(Table1[[#This Row],[Customer Ratings]]&gt;=4, "Good",IF(Table1[[#This Row],[Customer Ratings]]=3, "Average","Poor"))</f>
        <v>Good</v>
      </c>
      <c r="S2794" s="3" t="s">
        <v>36</v>
      </c>
    </row>
    <row r="2795" spans="1:19" x14ac:dyDescent="0.25">
      <c r="A2795" s="3">
        <v>2794</v>
      </c>
      <c r="B2795" s="5">
        <f>DATE(Table1[[#This Row],[Year]],Table1[[#This Row],[Month]],Table1[[#This Row],[Day]])</f>
        <v>45271</v>
      </c>
      <c r="C2795" s="3">
        <v>11</v>
      </c>
      <c r="D2795" s="3">
        <v>12</v>
      </c>
      <c r="E2795" s="3">
        <v>2023</v>
      </c>
      <c r="F2795" s="3" t="str">
        <f>"Qtr"&amp; " " &amp;CHOOSE(MONTH(Table1[[#This Row],[Date]]),1,1,1,2,2,2,3,3,3,4,4,4)</f>
        <v>Qtr 4</v>
      </c>
      <c r="G2795" s="3" t="str">
        <f>TEXT(Table1[[#This Row],[Date]],"mmmm")</f>
        <v>December</v>
      </c>
      <c r="H2795" s="3" t="s">
        <v>1081</v>
      </c>
      <c r="I2795" s="3" t="s">
        <v>33</v>
      </c>
      <c r="J2795" s="3">
        <v>5</v>
      </c>
      <c r="K2795" s="3">
        <v>61771.75</v>
      </c>
      <c r="L2795" s="3">
        <f>Table1[[#This Row],[Price Per Unit]]*Table1[[#This Row],[Units Sold]]</f>
        <v>308858.75</v>
      </c>
      <c r="M2795" s="3" t="s">
        <v>628</v>
      </c>
      <c r="N2795" s="3">
        <v>45</v>
      </c>
      <c r="O2795" s="3" t="s">
        <v>137</v>
      </c>
      <c r="P2795" s="3" t="s">
        <v>45</v>
      </c>
      <c r="Q2795" s="4">
        <v>4</v>
      </c>
      <c r="R2795" s="4" t="str">
        <f>IF(Table1[[#This Row],[Customer Ratings]]&gt;=4, "Good",IF(Table1[[#This Row],[Customer Ratings]]=3, "Average","Poor"))</f>
        <v>Good</v>
      </c>
      <c r="S2795" s="3" t="s">
        <v>46</v>
      </c>
    </row>
    <row r="2796" spans="1:19" x14ac:dyDescent="0.25">
      <c r="A2796" s="3">
        <v>2795</v>
      </c>
      <c r="B2796" s="5">
        <f>DATE(Table1[[#This Row],[Year]],Table1[[#This Row],[Month]],Table1[[#This Row],[Day]])</f>
        <v>45271</v>
      </c>
      <c r="C2796" s="3">
        <v>11</v>
      </c>
      <c r="D2796" s="3">
        <v>12</v>
      </c>
      <c r="E2796" s="3">
        <v>2023</v>
      </c>
      <c r="F2796" s="3" t="str">
        <f>"Qtr"&amp; " " &amp;CHOOSE(MONTH(Table1[[#This Row],[Date]]),1,1,1,2,2,2,3,3,3,4,4,4)</f>
        <v>Qtr 4</v>
      </c>
      <c r="G2796" s="3" t="str">
        <f>TEXT(Table1[[#This Row],[Date]],"mmmm")</f>
        <v>December</v>
      </c>
      <c r="H2796" s="3" t="s">
        <v>1081</v>
      </c>
      <c r="I2796" s="3" t="s">
        <v>13</v>
      </c>
      <c r="J2796" s="3">
        <v>6</v>
      </c>
      <c r="K2796" s="3">
        <v>38524.97</v>
      </c>
      <c r="L2796" s="3">
        <f>Table1[[#This Row],[Price Per Unit]]*Table1[[#This Row],[Units Sold]]</f>
        <v>231149.82</v>
      </c>
      <c r="M2796" s="3" t="s">
        <v>994</v>
      </c>
      <c r="N2796" s="3">
        <v>21</v>
      </c>
      <c r="O2796" s="3" t="s">
        <v>20</v>
      </c>
      <c r="P2796" s="3" t="s">
        <v>31</v>
      </c>
      <c r="Q2796" s="4">
        <v>3</v>
      </c>
      <c r="R2796" s="4" t="str">
        <f>IF(Table1[[#This Row],[Customer Ratings]]&gt;=4, "Good",IF(Table1[[#This Row],[Customer Ratings]]=3, "Average","Poor"))</f>
        <v>Average</v>
      </c>
      <c r="S2796" s="3" t="s">
        <v>17</v>
      </c>
    </row>
    <row r="2797" spans="1:19" x14ac:dyDescent="0.25">
      <c r="A2797" s="3">
        <v>2796</v>
      </c>
      <c r="B2797" s="5">
        <f>DATE(Table1[[#This Row],[Year]],Table1[[#This Row],[Month]],Table1[[#This Row],[Day]])</f>
        <v>45271</v>
      </c>
      <c r="C2797" s="3">
        <v>11</v>
      </c>
      <c r="D2797" s="3">
        <v>12</v>
      </c>
      <c r="E2797" s="3">
        <v>2023</v>
      </c>
      <c r="F2797" s="3" t="str">
        <f>"Qtr"&amp; " " &amp;CHOOSE(MONTH(Table1[[#This Row],[Date]]),1,1,1,2,2,2,3,3,3,4,4,4)</f>
        <v>Qtr 4</v>
      </c>
      <c r="G2797" s="3" t="str">
        <f>TEXT(Table1[[#This Row],[Date]],"mmmm")</f>
        <v>December</v>
      </c>
      <c r="H2797" s="3" t="s">
        <v>1081</v>
      </c>
      <c r="I2797" s="3" t="s">
        <v>13</v>
      </c>
      <c r="J2797" s="3">
        <v>3</v>
      </c>
      <c r="K2797" s="3">
        <v>69667.009999999995</v>
      </c>
      <c r="L2797" s="3">
        <f>Table1[[#This Row],[Price Per Unit]]*Table1[[#This Row],[Units Sold]]</f>
        <v>209001.02999999997</v>
      </c>
      <c r="M2797" s="3" t="s">
        <v>574</v>
      </c>
      <c r="N2797" s="3">
        <v>32</v>
      </c>
      <c r="O2797" s="3" t="s">
        <v>52</v>
      </c>
      <c r="P2797" s="3" t="s">
        <v>16</v>
      </c>
      <c r="Q2797" s="4">
        <v>5</v>
      </c>
      <c r="R2797" s="4" t="str">
        <f>IF(Table1[[#This Row],[Customer Ratings]]&gt;=4, "Good",IF(Table1[[#This Row],[Customer Ratings]]=3, "Average","Poor"))</f>
        <v>Good</v>
      </c>
      <c r="S2797" s="3" t="s">
        <v>72</v>
      </c>
    </row>
    <row r="2798" spans="1:19" x14ac:dyDescent="0.25">
      <c r="A2798" s="3">
        <v>2797</v>
      </c>
      <c r="B2798" s="5">
        <f>DATE(Table1[[#This Row],[Year]],Table1[[#This Row],[Month]],Table1[[#This Row],[Day]])</f>
        <v>45272</v>
      </c>
      <c r="C2798" s="3">
        <v>12</v>
      </c>
      <c r="D2798" s="3">
        <v>12</v>
      </c>
      <c r="E2798" s="3">
        <v>2023</v>
      </c>
      <c r="F2798" s="3" t="str">
        <f>"Qtr"&amp; " " &amp;CHOOSE(MONTH(Table1[[#This Row],[Date]]),1,1,1,2,2,2,3,3,3,4,4,4)</f>
        <v>Qtr 4</v>
      </c>
      <c r="G2798" s="3" t="str">
        <f>TEXT(Table1[[#This Row],[Date]],"mmmm")</f>
        <v>December</v>
      </c>
      <c r="H2798" s="3" t="s">
        <v>1082</v>
      </c>
      <c r="I2798" s="3" t="s">
        <v>33</v>
      </c>
      <c r="J2798" s="3">
        <v>4</v>
      </c>
      <c r="K2798" s="3">
        <v>68799.17</v>
      </c>
      <c r="L2798" s="3">
        <f>Table1[[#This Row],[Price Per Unit]]*Table1[[#This Row],[Units Sold]]</f>
        <v>275196.68</v>
      </c>
      <c r="M2798" s="3" t="s">
        <v>223</v>
      </c>
      <c r="N2798" s="3">
        <v>18</v>
      </c>
      <c r="O2798" s="3" t="s">
        <v>20</v>
      </c>
      <c r="P2798" s="3" t="s">
        <v>45</v>
      </c>
      <c r="Q2798" s="4">
        <v>4</v>
      </c>
      <c r="R2798" s="4" t="str">
        <f>IF(Table1[[#This Row],[Customer Ratings]]&gt;=4, "Good",IF(Table1[[#This Row],[Customer Ratings]]=3, "Average","Poor"))</f>
        <v>Good</v>
      </c>
      <c r="S2798" s="3" t="s">
        <v>83</v>
      </c>
    </row>
    <row r="2799" spans="1:19" x14ac:dyDescent="0.25">
      <c r="A2799" s="3">
        <v>2798</v>
      </c>
      <c r="B2799" s="5">
        <f>DATE(Table1[[#This Row],[Year]],Table1[[#This Row],[Month]],Table1[[#This Row],[Day]])</f>
        <v>45272</v>
      </c>
      <c r="C2799" s="3">
        <v>12</v>
      </c>
      <c r="D2799" s="3">
        <v>12</v>
      </c>
      <c r="E2799" s="3">
        <v>2023</v>
      </c>
      <c r="F2799" s="3" t="str">
        <f>"Qtr"&amp; " " &amp;CHOOSE(MONTH(Table1[[#This Row],[Date]]),1,1,1,2,2,2,3,3,3,4,4,4)</f>
        <v>Qtr 4</v>
      </c>
      <c r="G2799" s="3" t="str">
        <f>TEXT(Table1[[#This Row],[Date]],"mmmm")</f>
        <v>December</v>
      </c>
      <c r="H2799" s="3" t="s">
        <v>1082</v>
      </c>
      <c r="I2799" s="3" t="s">
        <v>13</v>
      </c>
      <c r="J2799" s="3">
        <v>6</v>
      </c>
      <c r="K2799" s="3">
        <v>62930</v>
      </c>
      <c r="L2799" s="3">
        <f>Table1[[#This Row],[Price Per Unit]]*Table1[[#This Row],[Units Sold]]</f>
        <v>377580</v>
      </c>
      <c r="M2799" s="3" t="s">
        <v>192</v>
      </c>
      <c r="N2799" s="3">
        <v>33</v>
      </c>
      <c r="O2799" s="3" t="s">
        <v>20</v>
      </c>
      <c r="P2799" s="3" t="s">
        <v>21</v>
      </c>
      <c r="Q2799" s="4">
        <v>4</v>
      </c>
      <c r="R2799" s="4" t="str">
        <f>IF(Table1[[#This Row],[Customer Ratings]]&gt;=4, "Good",IF(Table1[[#This Row],[Customer Ratings]]=3, "Average","Poor"))</f>
        <v>Good</v>
      </c>
      <c r="S2799" s="3" t="s">
        <v>17</v>
      </c>
    </row>
    <row r="2800" spans="1:19" x14ac:dyDescent="0.25">
      <c r="A2800" s="3">
        <v>2799</v>
      </c>
      <c r="B2800" s="5">
        <f>DATE(Table1[[#This Row],[Year]],Table1[[#This Row],[Month]],Table1[[#This Row],[Day]])</f>
        <v>45272</v>
      </c>
      <c r="C2800" s="3">
        <v>12</v>
      </c>
      <c r="D2800" s="3">
        <v>12</v>
      </c>
      <c r="E2800" s="3">
        <v>2023</v>
      </c>
      <c r="F2800" s="3" t="str">
        <f>"Qtr"&amp; " " &amp;CHOOSE(MONTH(Table1[[#This Row],[Date]]),1,1,1,2,2,2,3,3,3,4,4,4)</f>
        <v>Qtr 4</v>
      </c>
      <c r="G2800" s="3" t="str">
        <f>TEXT(Table1[[#This Row],[Date]],"mmmm")</f>
        <v>December</v>
      </c>
      <c r="H2800" s="3" t="s">
        <v>1082</v>
      </c>
      <c r="I2800" s="3" t="s">
        <v>39</v>
      </c>
      <c r="J2800" s="3">
        <v>7</v>
      </c>
      <c r="K2800" s="3">
        <v>44492.17</v>
      </c>
      <c r="L2800" s="3">
        <f>Table1[[#This Row],[Price Per Unit]]*Table1[[#This Row],[Units Sold]]</f>
        <v>311445.19</v>
      </c>
      <c r="M2800" s="3" t="s">
        <v>668</v>
      </c>
      <c r="N2800" s="3">
        <v>37</v>
      </c>
      <c r="O2800" s="3" t="s">
        <v>98</v>
      </c>
      <c r="P2800" s="3" t="s">
        <v>31</v>
      </c>
      <c r="Q2800" s="4">
        <v>3</v>
      </c>
      <c r="R2800" s="4" t="str">
        <f>IF(Table1[[#This Row],[Customer Ratings]]&gt;=4, "Good",IF(Table1[[#This Row],[Customer Ratings]]=3, "Average","Poor"))</f>
        <v>Average</v>
      </c>
      <c r="S2800" s="3" t="s">
        <v>76</v>
      </c>
    </row>
    <row r="2801" spans="1:19" x14ac:dyDescent="0.25">
      <c r="A2801" s="3">
        <v>2800</v>
      </c>
      <c r="B2801" s="5">
        <f>DATE(Table1[[#This Row],[Year]],Table1[[#This Row],[Month]],Table1[[#This Row],[Day]])</f>
        <v>45273</v>
      </c>
      <c r="C2801" s="3">
        <v>13</v>
      </c>
      <c r="D2801" s="3">
        <v>12</v>
      </c>
      <c r="E2801" s="3">
        <v>2023</v>
      </c>
      <c r="F2801" s="3" t="str">
        <f>"Qtr"&amp; " " &amp;CHOOSE(MONTH(Table1[[#This Row],[Date]]),1,1,1,2,2,2,3,3,3,4,4,4)</f>
        <v>Qtr 4</v>
      </c>
      <c r="G2801" s="3" t="str">
        <f>TEXT(Table1[[#This Row],[Date]],"mmmm")</f>
        <v>December</v>
      </c>
      <c r="H2801" s="3" t="s">
        <v>1083</v>
      </c>
      <c r="I2801" s="3" t="s">
        <v>28</v>
      </c>
      <c r="J2801" s="3">
        <v>1</v>
      </c>
      <c r="K2801" s="3">
        <v>33880.39</v>
      </c>
      <c r="L2801" s="3">
        <f>Table1[[#This Row],[Price Per Unit]]*Table1[[#This Row],[Units Sold]]</f>
        <v>33880.39</v>
      </c>
      <c r="M2801" s="3" t="s">
        <v>411</v>
      </c>
      <c r="N2801" s="3">
        <v>50</v>
      </c>
      <c r="O2801" s="3" t="s">
        <v>137</v>
      </c>
      <c r="P2801" s="3" t="s">
        <v>31</v>
      </c>
      <c r="Q2801" s="4">
        <v>2</v>
      </c>
      <c r="R2801" s="4" t="str">
        <f>IF(Table1[[#This Row],[Customer Ratings]]&gt;=4, "Good",IF(Table1[[#This Row],[Customer Ratings]]=3, "Average","Poor"))</f>
        <v>Poor</v>
      </c>
      <c r="S2801" s="3" t="s">
        <v>87</v>
      </c>
    </row>
    <row r="2802" spans="1:19" x14ac:dyDescent="0.25">
      <c r="A2802" s="3">
        <v>2801</v>
      </c>
      <c r="B2802" s="5">
        <f>DATE(Table1[[#This Row],[Year]],Table1[[#This Row],[Month]],Table1[[#This Row],[Day]])</f>
        <v>45273</v>
      </c>
      <c r="C2802" s="3">
        <v>13</v>
      </c>
      <c r="D2802" s="3">
        <v>12</v>
      </c>
      <c r="E2802" s="3">
        <v>2023</v>
      </c>
      <c r="F2802" s="3" t="str">
        <f>"Qtr"&amp; " " &amp;CHOOSE(MONTH(Table1[[#This Row],[Date]]),1,1,1,2,2,2,3,3,3,4,4,4)</f>
        <v>Qtr 4</v>
      </c>
      <c r="G2802" s="3" t="str">
        <f>TEXT(Table1[[#This Row],[Date]],"mmmm")</f>
        <v>December</v>
      </c>
      <c r="H2802" s="3" t="s">
        <v>1083</v>
      </c>
      <c r="I2802" s="3" t="s">
        <v>28</v>
      </c>
      <c r="J2802" s="3">
        <v>7</v>
      </c>
      <c r="K2802" s="3">
        <v>31863.18</v>
      </c>
      <c r="L2802" s="3">
        <f>Table1[[#This Row],[Price Per Unit]]*Table1[[#This Row],[Units Sold]]</f>
        <v>223042.26</v>
      </c>
      <c r="M2802" s="3" t="s">
        <v>312</v>
      </c>
      <c r="N2802" s="3">
        <v>34</v>
      </c>
      <c r="O2802" s="3" t="s">
        <v>20</v>
      </c>
      <c r="P2802" s="3" t="s">
        <v>16</v>
      </c>
      <c r="Q2802" s="4">
        <v>4</v>
      </c>
      <c r="R2802" s="4" t="str">
        <f>IF(Table1[[#This Row],[Customer Ratings]]&gt;=4, "Good",IF(Table1[[#This Row],[Customer Ratings]]=3, "Average","Poor"))</f>
        <v>Good</v>
      </c>
      <c r="S2802" s="3" t="s">
        <v>38</v>
      </c>
    </row>
    <row r="2803" spans="1:19" x14ac:dyDescent="0.25">
      <c r="A2803" s="3">
        <v>2802</v>
      </c>
      <c r="B2803" s="5">
        <f>DATE(Table1[[#This Row],[Year]],Table1[[#This Row],[Month]],Table1[[#This Row],[Day]])</f>
        <v>45273</v>
      </c>
      <c r="C2803" s="3">
        <v>13</v>
      </c>
      <c r="D2803" s="3">
        <v>12</v>
      </c>
      <c r="E2803" s="3">
        <v>2023</v>
      </c>
      <c r="F2803" s="3" t="str">
        <f>"Qtr"&amp; " " &amp;CHOOSE(MONTH(Table1[[#This Row],[Date]]),1,1,1,2,2,2,3,3,3,4,4,4)</f>
        <v>Qtr 4</v>
      </c>
      <c r="G2803" s="3" t="str">
        <f>TEXT(Table1[[#This Row],[Date]],"mmmm")</f>
        <v>December</v>
      </c>
      <c r="H2803" s="3" t="s">
        <v>1083</v>
      </c>
      <c r="I2803" s="3" t="s">
        <v>33</v>
      </c>
      <c r="J2803" s="3">
        <v>1</v>
      </c>
      <c r="K2803" s="3">
        <v>10727.49</v>
      </c>
      <c r="L2803" s="3">
        <f>Table1[[#This Row],[Price Per Unit]]*Table1[[#This Row],[Units Sold]]</f>
        <v>10727.49</v>
      </c>
      <c r="M2803" s="3" t="s">
        <v>242</v>
      </c>
      <c r="N2803" s="3">
        <v>22</v>
      </c>
      <c r="O2803" s="3" t="s">
        <v>105</v>
      </c>
      <c r="P2803" s="3" t="s">
        <v>21</v>
      </c>
      <c r="Q2803" s="4">
        <v>4</v>
      </c>
      <c r="R2803" s="4" t="str">
        <f>IF(Table1[[#This Row],[Customer Ratings]]&gt;=4, "Good",IF(Table1[[#This Row],[Customer Ratings]]=3, "Average","Poor"))</f>
        <v>Good</v>
      </c>
      <c r="S2803" s="3" t="s">
        <v>36</v>
      </c>
    </row>
    <row r="2804" spans="1:19" x14ac:dyDescent="0.25">
      <c r="A2804" s="3">
        <v>2803</v>
      </c>
      <c r="B2804" s="5">
        <f>DATE(Table1[[#This Row],[Year]],Table1[[#This Row],[Month]],Table1[[#This Row],[Day]])</f>
        <v>45274</v>
      </c>
      <c r="C2804" s="3">
        <v>14</v>
      </c>
      <c r="D2804" s="3">
        <v>12</v>
      </c>
      <c r="E2804" s="3">
        <v>2023</v>
      </c>
      <c r="F2804" s="3" t="str">
        <f>"Qtr"&amp; " " &amp;CHOOSE(MONTH(Table1[[#This Row],[Date]]),1,1,1,2,2,2,3,3,3,4,4,4)</f>
        <v>Qtr 4</v>
      </c>
      <c r="G2804" s="3" t="str">
        <f>TEXT(Table1[[#This Row],[Date]],"mmmm")</f>
        <v>December</v>
      </c>
      <c r="H2804" s="3" t="s">
        <v>1084</v>
      </c>
      <c r="I2804" s="3" t="s">
        <v>18</v>
      </c>
      <c r="J2804" s="3">
        <v>5</v>
      </c>
      <c r="K2804" s="3">
        <v>24950.47</v>
      </c>
      <c r="L2804" s="3">
        <f>Table1[[#This Row],[Price Per Unit]]*Table1[[#This Row],[Units Sold]]</f>
        <v>124752.35</v>
      </c>
      <c r="M2804" s="3" t="s">
        <v>713</v>
      </c>
      <c r="N2804" s="3">
        <v>22</v>
      </c>
      <c r="O2804" s="3" t="s">
        <v>30</v>
      </c>
      <c r="P2804" s="3" t="s">
        <v>31</v>
      </c>
      <c r="Q2804" s="4">
        <v>2</v>
      </c>
      <c r="R2804" s="4" t="str">
        <f>IF(Table1[[#This Row],[Customer Ratings]]&gt;=4, "Good",IF(Table1[[#This Row],[Customer Ratings]]=3, "Average","Poor"))</f>
        <v>Poor</v>
      </c>
      <c r="S2804" s="3" t="s">
        <v>22</v>
      </c>
    </row>
    <row r="2805" spans="1:19" x14ac:dyDescent="0.25">
      <c r="A2805" s="3">
        <v>2804</v>
      </c>
      <c r="B2805" s="5">
        <f>DATE(Table1[[#This Row],[Year]],Table1[[#This Row],[Month]],Table1[[#This Row],[Day]])</f>
        <v>45274</v>
      </c>
      <c r="C2805" s="3">
        <v>14</v>
      </c>
      <c r="D2805" s="3">
        <v>12</v>
      </c>
      <c r="E2805" s="3">
        <v>2023</v>
      </c>
      <c r="F2805" s="3" t="str">
        <f>"Qtr"&amp; " " &amp;CHOOSE(MONTH(Table1[[#This Row],[Date]]),1,1,1,2,2,2,3,3,3,4,4,4)</f>
        <v>Qtr 4</v>
      </c>
      <c r="G2805" s="3" t="str">
        <f>TEXT(Table1[[#This Row],[Date]],"mmmm")</f>
        <v>December</v>
      </c>
      <c r="H2805" s="3" t="s">
        <v>1084</v>
      </c>
      <c r="I2805" s="3" t="s">
        <v>33</v>
      </c>
      <c r="J2805" s="3">
        <v>6</v>
      </c>
      <c r="K2805" s="3">
        <v>53128.49</v>
      </c>
      <c r="L2805" s="3">
        <f>Table1[[#This Row],[Price Per Unit]]*Table1[[#This Row],[Units Sold]]</f>
        <v>318770.94</v>
      </c>
      <c r="M2805" s="3" t="s">
        <v>860</v>
      </c>
      <c r="N2805" s="3">
        <v>56</v>
      </c>
      <c r="O2805" s="3" t="s">
        <v>20</v>
      </c>
      <c r="P2805" s="3" t="s">
        <v>31</v>
      </c>
      <c r="Q2805" s="4">
        <v>4</v>
      </c>
      <c r="R2805" s="4" t="str">
        <f>IF(Table1[[#This Row],[Customer Ratings]]&gt;=4, "Good",IF(Table1[[#This Row],[Customer Ratings]]=3, "Average","Poor"))</f>
        <v>Good</v>
      </c>
      <c r="S2805" s="3" t="s">
        <v>83</v>
      </c>
    </row>
    <row r="2806" spans="1:19" x14ac:dyDescent="0.25">
      <c r="A2806" s="3">
        <v>2805</v>
      </c>
      <c r="B2806" s="5">
        <f>DATE(Table1[[#This Row],[Year]],Table1[[#This Row],[Month]],Table1[[#This Row],[Day]])</f>
        <v>45274</v>
      </c>
      <c r="C2806" s="3">
        <v>14</v>
      </c>
      <c r="D2806" s="3">
        <v>12</v>
      </c>
      <c r="E2806" s="3">
        <v>2023</v>
      </c>
      <c r="F2806" s="3" t="str">
        <f>"Qtr"&amp; " " &amp;CHOOSE(MONTH(Table1[[#This Row],[Date]]),1,1,1,2,2,2,3,3,3,4,4,4)</f>
        <v>Qtr 4</v>
      </c>
      <c r="G2806" s="3" t="str">
        <f>TEXT(Table1[[#This Row],[Date]],"mmmm")</f>
        <v>December</v>
      </c>
      <c r="H2806" s="3" t="s">
        <v>1084</v>
      </c>
      <c r="I2806" s="3" t="s">
        <v>13</v>
      </c>
      <c r="J2806" s="3">
        <v>2</v>
      </c>
      <c r="K2806" s="3">
        <v>46217.93</v>
      </c>
      <c r="L2806" s="3">
        <f>Table1[[#This Row],[Price Per Unit]]*Table1[[#This Row],[Units Sold]]</f>
        <v>92435.86</v>
      </c>
      <c r="M2806" s="3" t="s">
        <v>621</v>
      </c>
      <c r="N2806" s="3">
        <v>30</v>
      </c>
      <c r="O2806" s="3" t="s">
        <v>137</v>
      </c>
      <c r="P2806" s="3" t="s">
        <v>45</v>
      </c>
      <c r="Q2806" s="4">
        <v>4</v>
      </c>
      <c r="R2806" s="4" t="str">
        <f>IF(Table1[[#This Row],[Customer Ratings]]&gt;=4, "Good",IF(Table1[[#This Row],[Customer Ratings]]=3, "Average","Poor"))</f>
        <v>Good</v>
      </c>
      <c r="S2806" s="3" t="s">
        <v>17</v>
      </c>
    </row>
    <row r="2807" spans="1:19" x14ac:dyDescent="0.25">
      <c r="A2807" s="3">
        <v>2806</v>
      </c>
      <c r="B2807" s="5">
        <f>DATE(Table1[[#This Row],[Year]],Table1[[#This Row],[Month]],Table1[[#This Row],[Day]])</f>
        <v>45275</v>
      </c>
      <c r="C2807" s="3">
        <v>15</v>
      </c>
      <c r="D2807" s="3">
        <v>12</v>
      </c>
      <c r="E2807" s="3">
        <v>2023</v>
      </c>
      <c r="F2807" s="3" t="str">
        <f>"Qtr"&amp; " " &amp;CHOOSE(MONTH(Table1[[#This Row],[Date]]),1,1,1,2,2,2,3,3,3,4,4,4)</f>
        <v>Qtr 4</v>
      </c>
      <c r="G2807" s="3" t="str">
        <f>TEXT(Table1[[#This Row],[Date]],"mmmm")</f>
        <v>December</v>
      </c>
      <c r="H2807" s="3" t="s">
        <v>1085</v>
      </c>
      <c r="I2807" s="3" t="s">
        <v>18</v>
      </c>
      <c r="J2807" s="3">
        <v>9</v>
      </c>
      <c r="K2807" s="3">
        <v>64985.33</v>
      </c>
      <c r="L2807" s="3">
        <f>Table1[[#This Row],[Price Per Unit]]*Table1[[#This Row],[Units Sold]]</f>
        <v>584867.97</v>
      </c>
      <c r="M2807" s="3" t="s">
        <v>762</v>
      </c>
      <c r="N2807" s="3">
        <v>53</v>
      </c>
      <c r="O2807" s="3" t="s">
        <v>20</v>
      </c>
      <c r="P2807" s="3" t="s">
        <v>31</v>
      </c>
      <c r="Q2807" s="4">
        <v>4</v>
      </c>
      <c r="R2807" s="4" t="str">
        <f>IF(Table1[[#This Row],[Customer Ratings]]&gt;=4, "Good",IF(Table1[[#This Row],[Customer Ratings]]=3, "Average","Poor"))</f>
        <v>Good</v>
      </c>
      <c r="S2807" s="3" t="s">
        <v>55</v>
      </c>
    </row>
    <row r="2808" spans="1:19" x14ac:dyDescent="0.25">
      <c r="A2808" s="3">
        <v>2807</v>
      </c>
      <c r="B2808" s="5">
        <f>DATE(Table1[[#This Row],[Year]],Table1[[#This Row],[Month]],Table1[[#This Row],[Day]])</f>
        <v>45275</v>
      </c>
      <c r="C2808" s="3">
        <v>15</v>
      </c>
      <c r="D2808" s="3">
        <v>12</v>
      </c>
      <c r="E2808" s="3">
        <v>2023</v>
      </c>
      <c r="F2808" s="3" t="str">
        <f>"Qtr"&amp; " " &amp;CHOOSE(MONTH(Table1[[#This Row],[Date]]),1,1,1,2,2,2,3,3,3,4,4,4)</f>
        <v>Qtr 4</v>
      </c>
      <c r="G2808" s="3" t="str">
        <f>TEXT(Table1[[#This Row],[Date]],"mmmm")</f>
        <v>December</v>
      </c>
      <c r="H2808" s="3" t="s">
        <v>1085</v>
      </c>
      <c r="I2808" s="3" t="s">
        <v>13</v>
      </c>
      <c r="J2808" s="3">
        <v>6</v>
      </c>
      <c r="K2808" s="3">
        <v>13001.34</v>
      </c>
      <c r="L2808" s="3">
        <f>Table1[[#This Row],[Price Per Unit]]*Table1[[#This Row],[Units Sold]]</f>
        <v>78008.040000000008</v>
      </c>
      <c r="M2808" s="3" t="s">
        <v>330</v>
      </c>
      <c r="N2808" s="3">
        <v>47</v>
      </c>
      <c r="O2808" s="3" t="s">
        <v>24</v>
      </c>
      <c r="P2808" s="3" t="s">
        <v>45</v>
      </c>
      <c r="Q2808" s="4">
        <v>5</v>
      </c>
      <c r="R2808" s="4" t="str">
        <f>IF(Table1[[#This Row],[Customer Ratings]]&gt;=4, "Good",IF(Table1[[#This Row],[Customer Ratings]]=3, "Average","Poor"))</f>
        <v>Good</v>
      </c>
      <c r="S2808" s="3" t="s">
        <v>27</v>
      </c>
    </row>
    <row r="2809" spans="1:19" x14ac:dyDescent="0.25">
      <c r="A2809" s="3">
        <v>2808</v>
      </c>
      <c r="B2809" s="5">
        <f>DATE(Table1[[#This Row],[Year]],Table1[[#This Row],[Month]],Table1[[#This Row],[Day]])</f>
        <v>45275</v>
      </c>
      <c r="C2809" s="3">
        <v>15</v>
      </c>
      <c r="D2809" s="3">
        <v>12</v>
      </c>
      <c r="E2809" s="3">
        <v>2023</v>
      </c>
      <c r="F2809" s="3" t="str">
        <f>"Qtr"&amp; " " &amp;CHOOSE(MONTH(Table1[[#This Row],[Date]]),1,1,1,2,2,2,3,3,3,4,4,4)</f>
        <v>Qtr 4</v>
      </c>
      <c r="G2809" s="3" t="str">
        <f>TEXT(Table1[[#This Row],[Date]],"mmmm")</f>
        <v>December</v>
      </c>
      <c r="H2809" s="3" t="s">
        <v>1085</v>
      </c>
      <c r="I2809" s="3" t="s">
        <v>39</v>
      </c>
      <c r="J2809" s="3">
        <v>7</v>
      </c>
      <c r="K2809" s="3">
        <v>19316.599999999999</v>
      </c>
      <c r="L2809" s="3">
        <f>Table1[[#This Row],[Price Per Unit]]*Table1[[#This Row],[Units Sold]]</f>
        <v>135216.19999999998</v>
      </c>
      <c r="M2809" s="3" t="s">
        <v>861</v>
      </c>
      <c r="N2809" s="3">
        <v>21</v>
      </c>
      <c r="O2809" s="3" t="s">
        <v>20</v>
      </c>
      <c r="P2809" s="3" t="s">
        <v>31</v>
      </c>
      <c r="Q2809" s="4">
        <v>2</v>
      </c>
      <c r="R2809" s="4" t="str">
        <f>IF(Table1[[#This Row],[Customer Ratings]]&gt;=4, "Good",IF(Table1[[#This Row],[Customer Ratings]]=3, "Average","Poor"))</f>
        <v>Poor</v>
      </c>
      <c r="S2809" s="3" t="s">
        <v>90</v>
      </c>
    </row>
    <row r="2810" spans="1:19" x14ac:dyDescent="0.25">
      <c r="A2810" s="3">
        <v>2809</v>
      </c>
      <c r="B2810" s="5">
        <f>DATE(Table1[[#This Row],[Year]],Table1[[#This Row],[Month]],Table1[[#This Row],[Day]])</f>
        <v>45276</v>
      </c>
      <c r="C2810" s="3">
        <v>16</v>
      </c>
      <c r="D2810" s="3">
        <v>12</v>
      </c>
      <c r="E2810" s="3">
        <v>2023</v>
      </c>
      <c r="F2810" s="3" t="str">
        <f>"Qtr"&amp; " " &amp;CHOOSE(MONTH(Table1[[#This Row],[Date]]),1,1,1,2,2,2,3,3,3,4,4,4)</f>
        <v>Qtr 4</v>
      </c>
      <c r="G2810" s="3" t="str">
        <f>TEXT(Table1[[#This Row],[Date]],"mmmm")</f>
        <v>December</v>
      </c>
      <c r="H2810" s="3" t="s">
        <v>1079</v>
      </c>
      <c r="I2810" s="3" t="s">
        <v>13</v>
      </c>
      <c r="J2810" s="3">
        <v>8</v>
      </c>
      <c r="K2810" s="3">
        <v>57354.63</v>
      </c>
      <c r="L2810" s="3">
        <f>Table1[[#This Row],[Price Per Unit]]*Table1[[#This Row],[Units Sold]]</f>
        <v>458837.04</v>
      </c>
      <c r="M2810" s="3" t="s">
        <v>625</v>
      </c>
      <c r="N2810" s="3">
        <v>40</v>
      </c>
      <c r="O2810" s="3" t="s">
        <v>41</v>
      </c>
      <c r="P2810" s="3" t="s">
        <v>21</v>
      </c>
      <c r="Q2810" s="4">
        <v>5</v>
      </c>
      <c r="R2810" s="4" t="str">
        <f>IF(Table1[[#This Row],[Customer Ratings]]&gt;=4, "Good",IF(Table1[[#This Row],[Customer Ratings]]=3, "Average","Poor"))</f>
        <v>Good</v>
      </c>
      <c r="S2810" s="3" t="s">
        <v>72</v>
      </c>
    </row>
    <row r="2811" spans="1:19" x14ac:dyDescent="0.25">
      <c r="A2811" s="3">
        <v>2810</v>
      </c>
      <c r="B2811" s="5">
        <f>DATE(Table1[[#This Row],[Year]],Table1[[#This Row],[Month]],Table1[[#This Row],[Day]])</f>
        <v>45276</v>
      </c>
      <c r="C2811" s="3">
        <v>16</v>
      </c>
      <c r="D2811" s="3">
        <v>12</v>
      </c>
      <c r="E2811" s="3">
        <v>2023</v>
      </c>
      <c r="F2811" s="3" t="str">
        <f>"Qtr"&amp; " " &amp;CHOOSE(MONTH(Table1[[#This Row],[Date]]),1,1,1,2,2,2,3,3,3,4,4,4)</f>
        <v>Qtr 4</v>
      </c>
      <c r="G2811" s="3" t="str">
        <f>TEXT(Table1[[#This Row],[Date]],"mmmm")</f>
        <v>December</v>
      </c>
      <c r="H2811" s="3" t="s">
        <v>1079</v>
      </c>
      <c r="I2811" s="3" t="s">
        <v>39</v>
      </c>
      <c r="J2811" s="3">
        <v>1</v>
      </c>
      <c r="K2811" s="3">
        <v>31510.46</v>
      </c>
      <c r="L2811" s="3">
        <f>Table1[[#This Row],[Price Per Unit]]*Table1[[#This Row],[Units Sold]]</f>
        <v>31510.46</v>
      </c>
      <c r="M2811" s="3" t="s">
        <v>923</v>
      </c>
      <c r="N2811" s="3">
        <v>38</v>
      </c>
      <c r="O2811" s="3" t="s">
        <v>105</v>
      </c>
      <c r="P2811" s="3" t="s">
        <v>16</v>
      </c>
      <c r="Q2811" s="4">
        <v>2</v>
      </c>
      <c r="R2811" s="4" t="str">
        <f>IF(Table1[[#This Row],[Customer Ratings]]&gt;=4, "Good",IF(Table1[[#This Row],[Customer Ratings]]=3, "Average","Poor"))</f>
        <v>Poor</v>
      </c>
      <c r="S2811" s="3" t="s">
        <v>42</v>
      </c>
    </row>
    <row r="2812" spans="1:19" x14ac:dyDescent="0.25">
      <c r="A2812" s="3">
        <v>2811</v>
      </c>
      <c r="B2812" s="5">
        <f>DATE(Table1[[#This Row],[Year]],Table1[[#This Row],[Month]],Table1[[#This Row],[Day]])</f>
        <v>45276</v>
      </c>
      <c r="C2812" s="3">
        <v>16</v>
      </c>
      <c r="D2812" s="3">
        <v>12</v>
      </c>
      <c r="E2812" s="3">
        <v>2023</v>
      </c>
      <c r="F2812" s="3" t="str">
        <f>"Qtr"&amp; " " &amp;CHOOSE(MONTH(Table1[[#This Row],[Date]]),1,1,1,2,2,2,3,3,3,4,4,4)</f>
        <v>Qtr 4</v>
      </c>
      <c r="G2812" s="3" t="str">
        <f>TEXT(Table1[[#This Row],[Date]],"mmmm")</f>
        <v>December</v>
      </c>
      <c r="H2812" s="3" t="s">
        <v>1079</v>
      </c>
      <c r="I2812" s="3" t="s">
        <v>39</v>
      </c>
      <c r="J2812" s="3">
        <v>8</v>
      </c>
      <c r="K2812" s="3">
        <v>17100.72</v>
      </c>
      <c r="L2812" s="3">
        <f>Table1[[#This Row],[Price Per Unit]]*Table1[[#This Row],[Units Sold]]</f>
        <v>136805.76000000001</v>
      </c>
      <c r="M2812" s="3" t="s">
        <v>433</v>
      </c>
      <c r="N2812" s="3">
        <v>38</v>
      </c>
      <c r="O2812" s="3" t="s">
        <v>24</v>
      </c>
      <c r="P2812" s="3" t="s">
        <v>21</v>
      </c>
      <c r="Q2812" s="4">
        <v>5</v>
      </c>
      <c r="R2812" s="4" t="str">
        <f>IF(Table1[[#This Row],[Customer Ratings]]&gt;=4, "Good",IF(Table1[[#This Row],[Customer Ratings]]=3, "Average","Poor"))</f>
        <v>Good</v>
      </c>
      <c r="S2812" s="3" t="s">
        <v>42</v>
      </c>
    </row>
    <row r="2813" spans="1:19" x14ac:dyDescent="0.25">
      <c r="A2813" s="3">
        <v>2812</v>
      </c>
      <c r="B2813" s="5">
        <f>DATE(Table1[[#This Row],[Year]],Table1[[#This Row],[Month]],Table1[[#This Row],[Day]])</f>
        <v>45277</v>
      </c>
      <c r="C2813" s="3">
        <v>17</v>
      </c>
      <c r="D2813" s="3">
        <v>12</v>
      </c>
      <c r="E2813" s="3">
        <v>2023</v>
      </c>
      <c r="F2813" s="3" t="str">
        <f>"Qtr"&amp; " " &amp;CHOOSE(MONTH(Table1[[#This Row],[Date]]),1,1,1,2,2,2,3,3,3,4,4,4)</f>
        <v>Qtr 4</v>
      </c>
      <c r="G2813" s="3" t="str">
        <f>TEXT(Table1[[#This Row],[Date]],"mmmm")</f>
        <v>December</v>
      </c>
      <c r="H2813" s="3" t="s">
        <v>1080</v>
      </c>
      <c r="I2813" s="3" t="s">
        <v>13</v>
      </c>
      <c r="J2813" s="3">
        <v>4</v>
      </c>
      <c r="K2813" s="3">
        <v>69787.03</v>
      </c>
      <c r="L2813" s="3">
        <f>Table1[[#This Row],[Price Per Unit]]*Table1[[#This Row],[Units Sold]]</f>
        <v>279148.12</v>
      </c>
      <c r="M2813" s="3" t="s">
        <v>464</v>
      </c>
      <c r="N2813" s="3">
        <v>23</v>
      </c>
      <c r="O2813" s="3" t="s">
        <v>24</v>
      </c>
      <c r="P2813" s="3" t="s">
        <v>16</v>
      </c>
      <c r="Q2813" s="4">
        <v>5</v>
      </c>
      <c r="R2813" s="4" t="str">
        <f>IF(Table1[[#This Row],[Customer Ratings]]&gt;=4, "Good",IF(Table1[[#This Row],[Customer Ratings]]=3, "Average","Poor"))</f>
        <v>Good</v>
      </c>
      <c r="S2813" s="3" t="s">
        <v>27</v>
      </c>
    </row>
    <row r="2814" spans="1:19" x14ac:dyDescent="0.25">
      <c r="A2814" s="3">
        <v>2813</v>
      </c>
      <c r="B2814" s="5">
        <f>DATE(Table1[[#This Row],[Year]],Table1[[#This Row],[Month]],Table1[[#This Row],[Day]])</f>
        <v>45277</v>
      </c>
      <c r="C2814" s="3">
        <v>17</v>
      </c>
      <c r="D2814" s="3">
        <v>12</v>
      </c>
      <c r="E2814" s="3">
        <v>2023</v>
      </c>
      <c r="F2814" s="3" t="str">
        <f>"Qtr"&amp; " " &amp;CHOOSE(MONTH(Table1[[#This Row],[Date]]),1,1,1,2,2,2,3,3,3,4,4,4)</f>
        <v>Qtr 4</v>
      </c>
      <c r="G2814" s="3" t="str">
        <f>TEXT(Table1[[#This Row],[Date]],"mmmm")</f>
        <v>December</v>
      </c>
      <c r="H2814" s="3" t="s">
        <v>1080</v>
      </c>
      <c r="I2814" s="3" t="s">
        <v>13</v>
      </c>
      <c r="J2814" s="3">
        <v>8</v>
      </c>
      <c r="K2814" s="3">
        <v>57235.02</v>
      </c>
      <c r="L2814" s="3">
        <f>Table1[[#This Row],[Price Per Unit]]*Table1[[#This Row],[Units Sold]]</f>
        <v>457880.16</v>
      </c>
      <c r="M2814" s="3" t="s">
        <v>785</v>
      </c>
      <c r="N2814" s="3">
        <v>41</v>
      </c>
      <c r="O2814" s="3" t="s">
        <v>48</v>
      </c>
      <c r="P2814" s="3" t="s">
        <v>31</v>
      </c>
      <c r="Q2814" s="4">
        <v>3</v>
      </c>
      <c r="R2814" s="4" t="str">
        <f>IF(Table1[[#This Row],[Customer Ratings]]&gt;=4, "Good",IF(Table1[[#This Row],[Customer Ratings]]=3, "Average","Poor"))</f>
        <v>Average</v>
      </c>
      <c r="S2814" s="3" t="s">
        <v>17</v>
      </c>
    </row>
    <row r="2815" spans="1:19" x14ac:dyDescent="0.25">
      <c r="A2815" s="3">
        <v>2814</v>
      </c>
      <c r="B2815" s="5">
        <f>DATE(Table1[[#This Row],[Year]],Table1[[#This Row],[Month]],Table1[[#This Row],[Day]])</f>
        <v>45277</v>
      </c>
      <c r="C2815" s="3">
        <v>17</v>
      </c>
      <c r="D2815" s="3">
        <v>12</v>
      </c>
      <c r="E2815" s="3">
        <v>2023</v>
      </c>
      <c r="F2815" s="3" t="str">
        <f>"Qtr"&amp; " " &amp;CHOOSE(MONTH(Table1[[#This Row],[Date]]),1,1,1,2,2,2,3,3,3,4,4,4)</f>
        <v>Qtr 4</v>
      </c>
      <c r="G2815" s="3" t="str">
        <f>TEXT(Table1[[#This Row],[Date]],"mmmm")</f>
        <v>December</v>
      </c>
      <c r="H2815" s="3" t="s">
        <v>1080</v>
      </c>
      <c r="I2815" s="3" t="s">
        <v>39</v>
      </c>
      <c r="J2815" s="3">
        <v>6</v>
      </c>
      <c r="K2815" s="3">
        <v>34524.46</v>
      </c>
      <c r="L2815" s="3">
        <f>Table1[[#This Row],[Price Per Unit]]*Table1[[#This Row],[Units Sold]]</f>
        <v>207146.76</v>
      </c>
      <c r="M2815" s="3" t="s">
        <v>979</v>
      </c>
      <c r="N2815" s="3">
        <v>48</v>
      </c>
      <c r="O2815" s="3" t="s">
        <v>52</v>
      </c>
      <c r="P2815" s="3" t="s">
        <v>21</v>
      </c>
      <c r="Q2815" s="4">
        <v>2</v>
      </c>
      <c r="R2815" s="4" t="str">
        <f>IF(Table1[[#This Row],[Customer Ratings]]&gt;=4, "Good",IF(Table1[[#This Row],[Customer Ratings]]=3, "Average","Poor"))</f>
        <v>Poor</v>
      </c>
      <c r="S2815" s="3" t="s">
        <v>90</v>
      </c>
    </row>
    <row r="2816" spans="1:19" x14ac:dyDescent="0.25">
      <c r="A2816" s="3">
        <v>2815</v>
      </c>
      <c r="B2816" s="5">
        <f>DATE(Table1[[#This Row],[Year]],Table1[[#This Row],[Month]],Table1[[#This Row],[Day]])</f>
        <v>45278</v>
      </c>
      <c r="C2816" s="3">
        <v>18</v>
      </c>
      <c r="D2816" s="3">
        <v>12</v>
      </c>
      <c r="E2816" s="3">
        <v>2023</v>
      </c>
      <c r="F2816" s="3" t="str">
        <f>"Qtr"&amp; " " &amp;CHOOSE(MONTH(Table1[[#This Row],[Date]]),1,1,1,2,2,2,3,3,3,4,4,4)</f>
        <v>Qtr 4</v>
      </c>
      <c r="G2816" s="3" t="str">
        <f>TEXT(Table1[[#This Row],[Date]],"mmmm")</f>
        <v>December</v>
      </c>
      <c r="H2816" s="3" t="s">
        <v>1081</v>
      </c>
      <c r="I2816" s="3" t="s">
        <v>18</v>
      </c>
      <c r="J2816" s="3">
        <v>9</v>
      </c>
      <c r="K2816" s="3">
        <v>59400.85</v>
      </c>
      <c r="L2816" s="3">
        <f>Table1[[#This Row],[Price Per Unit]]*Table1[[#This Row],[Units Sold]]</f>
        <v>534607.65</v>
      </c>
      <c r="M2816" s="3" t="s">
        <v>390</v>
      </c>
      <c r="N2816" s="3">
        <v>36</v>
      </c>
      <c r="O2816" s="3" t="s">
        <v>20</v>
      </c>
      <c r="P2816" s="3" t="s">
        <v>45</v>
      </c>
      <c r="Q2816" s="4">
        <v>2</v>
      </c>
      <c r="R2816" s="4" t="str">
        <f>IF(Table1[[#This Row],[Customer Ratings]]&gt;=4, "Good",IF(Table1[[#This Row],[Customer Ratings]]=3, "Average","Poor"))</f>
        <v>Poor</v>
      </c>
      <c r="S2816" s="3" t="s">
        <v>25</v>
      </c>
    </row>
    <row r="2817" spans="1:19" x14ac:dyDescent="0.25">
      <c r="A2817" s="3">
        <v>2816</v>
      </c>
      <c r="B2817" s="5">
        <f>DATE(Table1[[#This Row],[Year]],Table1[[#This Row],[Month]],Table1[[#This Row],[Day]])</f>
        <v>45278</v>
      </c>
      <c r="C2817" s="3">
        <v>18</v>
      </c>
      <c r="D2817" s="3">
        <v>12</v>
      </c>
      <c r="E2817" s="3">
        <v>2023</v>
      </c>
      <c r="F2817" s="3" t="str">
        <f>"Qtr"&amp; " " &amp;CHOOSE(MONTH(Table1[[#This Row],[Date]]),1,1,1,2,2,2,3,3,3,4,4,4)</f>
        <v>Qtr 4</v>
      </c>
      <c r="G2817" s="3" t="str">
        <f>TEXT(Table1[[#This Row],[Date]],"mmmm")</f>
        <v>December</v>
      </c>
      <c r="H2817" s="3" t="s">
        <v>1081</v>
      </c>
      <c r="I2817" s="3" t="s">
        <v>39</v>
      </c>
      <c r="J2817" s="3">
        <v>4</v>
      </c>
      <c r="K2817" s="3">
        <v>50836.23</v>
      </c>
      <c r="L2817" s="3">
        <f>Table1[[#This Row],[Price Per Unit]]*Table1[[#This Row],[Units Sold]]</f>
        <v>203344.92</v>
      </c>
      <c r="M2817" s="3" t="s">
        <v>777</v>
      </c>
      <c r="N2817" s="3">
        <v>55</v>
      </c>
      <c r="O2817" s="3" t="s">
        <v>24</v>
      </c>
      <c r="P2817" s="3" t="s">
        <v>16</v>
      </c>
      <c r="Q2817" s="4">
        <v>2</v>
      </c>
      <c r="R2817" s="4" t="str">
        <f>IF(Table1[[#This Row],[Customer Ratings]]&gt;=4, "Good",IF(Table1[[#This Row],[Customer Ratings]]=3, "Average","Poor"))</f>
        <v>Poor</v>
      </c>
      <c r="S2817" s="3" t="s">
        <v>76</v>
      </c>
    </row>
    <row r="2818" spans="1:19" x14ac:dyDescent="0.25">
      <c r="A2818" s="3">
        <v>2817</v>
      </c>
      <c r="B2818" s="5">
        <f>DATE(Table1[[#This Row],[Year]],Table1[[#This Row],[Month]],Table1[[#This Row],[Day]])</f>
        <v>45278</v>
      </c>
      <c r="C2818" s="3">
        <v>18</v>
      </c>
      <c r="D2818" s="3">
        <v>12</v>
      </c>
      <c r="E2818" s="3">
        <v>2023</v>
      </c>
      <c r="F2818" s="3" t="str">
        <f>"Qtr"&amp; " " &amp;CHOOSE(MONTH(Table1[[#This Row],[Date]]),1,1,1,2,2,2,3,3,3,4,4,4)</f>
        <v>Qtr 4</v>
      </c>
      <c r="G2818" s="3" t="str">
        <f>TEXT(Table1[[#This Row],[Date]],"mmmm")</f>
        <v>December</v>
      </c>
      <c r="H2818" s="3" t="s">
        <v>1081</v>
      </c>
      <c r="I2818" s="3" t="s">
        <v>28</v>
      </c>
      <c r="J2818" s="3">
        <v>2</v>
      </c>
      <c r="K2818" s="3">
        <v>57398.49</v>
      </c>
      <c r="L2818" s="3">
        <f>Table1[[#This Row],[Price Per Unit]]*Table1[[#This Row],[Units Sold]]</f>
        <v>114796.98</v>
      </c>
      <c r="M2818" s="3" t="s">
        <v>175</v>
      </c>
      <c r="N2818" s="3">
        <v>29</v>
      </c>
      <c r="O2818" s="3" t="s">
        <v>105</v>
      </c>
      <c r="P2818" s="3" t="s">
        <v>16</v>
      </c>
      <c r="Q2818" s="4">
        <v>5</v>
      </c>
      <c r="R2818" s="4" t="str">
        <f>IF(Table1[[#This Row],[Customer Ratings]]&gt;=4, "Good",IF(Table1[[#This Row],[Customer Ratings]]=3, "Average","Poor"))</f>
        <v>Good</v>
      </c>
      <c r="S2818" s="3" t="s">
        <v>32</v>
      </c>
    </row>
    <row r="2819" spans="1:19" x14ac:dyDescent="0.25">
      <c r="A2819" s="3">
        <v>2818</v>
      </c>
      <c r="B2819" s="5">
        <f>DATE(Table1[[#This Row],[Year]],Table1[[#This Row],[Month]],Table1[[#This Row],[Day]])</f>
        <v>45279</v>
      </c>
      <c r="C2819" s="3">
        <v>19</v>
      </c>
      <c r="D2819" s="3">
        <v>12</v>
      </c>
      <c r="E2819" s="3">
        <v>2023</v>
      </c>
      <c r="F2819" s="3" t="str">
        <f>"Qtr"&amp; " " &amp;CHOOSE(MONTH(Table1[[#This Row],[Date]]),1,1,1,2,2,2,3,3,3,4,4,4)</f>
        <v>Qtr 4</v>
      </c>
      <c r="G2819" s="3" t="str">
        <f>TEXT(Table1[[#This Row],[Date]],"mmmm")</f>
        <v>December</v>
      </c>
      <c r="H2819" s="3" t="s">
        <v>1082</v>
      </c>
      <c r="I2819" s="3" t="s">
        <v>39</v>
      </c>
      <c r="J2819" s="3">
        <v>2</v>
      </c>
      <c r="K2819" s="3">
        <v>58912.38</v>
      </c>
      <c r="L2819" s="3">
        <f>Table1[[#This Row],[Price Per Unit]]*Table1[[#This Row],[Units Sold]]</f>
        <v>117824.76</v>
      </c>
      <c r="M2819" s="3" t="s">
        <v>1011</v>
      </c>
      <c r="N2819" s="3">
        <v>31</v>
      </c>
      <c r="O2819" s="3" t="s">
        <v>20</v>
      </c>
      <c r="P2819" s="3" t="s">
        <v>31</v>
      </c>
      <c r="Q2819" s="4">
        <v>2</v>
      </c>
      <c r="R2819" s="4" t="str">
        <f>IF(Table1[[#This Row],[Customer Ratings]]&gt;=4, "Good",IF(Table1[[#This Row],[Customer Ratings]]=3, "Average","Poor"))</f>
        <v>Poor</v>
      </c>
      <c r="S2819" s="3" t="s">
        <v>76</v>
      </c>
    </row>
    <row r="2820" spans="1:19" x14ac:dyDescent="0.25">
      <c r="A2820" s="3">
        <v>2819</v>
      </c>
      <c r="B2820" s="5">
        <f>DATE(Table1[[#This Row],[Year]],Table1[[#This Row],[Month]],Table1[[#This Row],[Day]])</f>
        <v>45279</v>
      </c>
      <c r="C2820" s="3">
        <v>19</v>
      </c>
      <c r="D2820" s="3">
        <v>12</v>
      </c>
      <c r="E2820" s="3">
        <v>2023</v>
      </c>
      <c r="F2820" s="3" t="str">
        <f>"Qtr"&amp; " " &amp;CHOOSE(MONTH(Table1[[#This Row],[Date]]),1,1,1,2,2,2,3,3,3,4,4,4)</f>
        <v>Qtr 4</v>
      </c>
      <c r="G2820" s="3" t="str">
        <f>TEXT(Table1[[#This Row],[Date]],"mmmm")</f>
        <v>December</v>
      </c>
      <c r="H2820" s="3" t="s">
        <v>1082</v>
      </c>
      <c r="I2820" s="3" t="s">
        <v>18</v>
      </c>
      <c r="J2820" s="3">
        <v>5</v>
      </c>
      <c r="K2820" s="3">
        <v>15083.72</v>
      </c>
      <c r="L2820" s="3">
        <f>Table1[[#This Row],[Price Per Unit]]*Table1[[#This Row],[Units Sold]]</f>
        <v>75418.599999999991</v>
      </c>
      <c r="M2820" s="3" t="s">
        <v>521</v>
      </c>
      <c r="N2820" s="3">
        <v>29</v>
      </c>
      <c r="O2820" s="3" t="s">
        <v>41</v>
      </c>
      <c r="P2820" s="3" t="s">
        <v>16</v>
      </c>
      <c r="Q2820" s="4">
        <v>3</v>
      </c>
      <c r="R2820" s="4" t="str">
        <f>IF(Table1[[#This Row],[Customer Ratings]]&gt;=4, "Good",IF(Table1[[#This Row],[Customer Ratings]]=3, "Average","Poor"))</f>
        <v>Average</v>
      </c>
      <c r="S2820" s="3" t="s">
        <v>55</v>
      </c>
    </row>
    <row r="2821" spans="1:19" x14ac:dyDescent="0.25">
      <c r="A2821" s="3">
        <v>2820</v>
      </c>
      <c r="B2821" s="5">
        <f>DATE(Table1[[#This Row],[Year]],Table1[[#This Row],[Month]],Table1[[#This Row],[Day]])</f>
        <v>45279</v>
      </c>
      <c r="C2821" s="3">
        <v>19</v>
      </c>
      <c r="D2821" s="3">
        <v>12</v>
      </c>
      <c r="E2821" s="3">
        <v>2023</v>
      </c>
      <c r="F2821" s="3" t="str">
        <f>"Qtr"&amp; " " &amp;CHOOSE(MONTH(Table1[[#This Row],[Date]]),1,1,1,2,2,2,3,3,3,4,4,4)</f>
        <v>Qtr 4</v>
      </c>
      <c r="G2821" s="3" t="str">
        <f>TEXT(Table1[[#This Row],[Date]],"mmmm")</f>
        <v>December</v>
      </c>
      <c r="H2821" s="3" t="s">
        <v>1082</v>
      </c>
      <c r="I2821" s="3" t="s">
        <v>28</v>
      </c>
      <c r="J2821" s="3">
        <v>9</v>
      </c>
      <c r="K2821" s="3">
        <v>47378.37</v>
      </c>
      <c r="L2821" s="3">
        <f>Table1[[#This Row],[Price Per Unit]]*Table1[[#This Row],[Units Sold]]</f>
        <v>426405.33</v>
      </c>
      <c r="M2821" s="3" t="s">
        <v>593</v>
      </c>
      <c r="N2821" s="3">
        <v>32</v>
      </c>
      <c r="O2821" s="3" t="s">
        <v>24</v>
      </c>
      <c r="P2821" s="3" t="s">
        <v>16</v>
      </c>
      <c r="Q2821" s="4">
        <v>4</v>
      </c>
      <c r="R2821" s="4" t="str">
        <f>IF(Table1[[#This Row],[Customer Ratings]]&gt;=4, "Good",IF(Table1[[#This Row],[Customer Ratings]]=3, "Average","Poor"))</f>
        <v>Good</v>
      </c>
      <c r="S2821" s="3" t="s">
        <v>32</v>
      </c>
    </row>
    <row r="2822" spans="1:19" x14ac:dyDescent="0.25">
      <c r="A2822" s="3">
        <v>2821</v>
      </c>
      <c r="B2822" s="5">
        <f>DATE(Table1[[#This Row],[Year]],Table1[[#This Row],[Month]],Table1[[#This Row],[Day]])</f>
        <v>45279</v>
      </c>
      <c r="C2822" s="3">
        <v>19</v>
      </c>
      <c r="D2822" s="3">
        <v>12</v>
      </c>
      <c r="E2822" s="3">
        <v>2023</v>
      </c>
      <c r="F2822" s="3" t="str">
        <f>"Qtr"&amp; " " &amp;CHOOSE(MONTH(Table1[[#This Row],[Date]]),1,1,1,2,2,2,3,3,3,4,4,4)</f>
        <v>Qtr 4</v>
      </c>
      <c r="G2822" s="3" t="str">
        <f>TEXT(Table1[[#This Row],[Date]],"mmmm")</f>
        <v>December</v>
      </c>
      <c r="H2822" s="3" t="s">
        <v>1082</v>
      </c>
      <c r="I2822" s="3" t="s">
        <v>33</v>
      </c>
      <c r="J2822" s="3">
        <v>3</v>
      </c>
      <c r="K2822" s="3">
        <v>10407.129999999999</v>
      </c>
      <c r="L2822" s="3">
        <f>Table1[[#This Row],[Price Per Unit]]*Table1[[#This Row],[Units Sold]]</f>
        <v>31221.39</v>
      </c>
      <c r="M2822" s="3" t="s">
        <v>47</v>
      </c>
      <c r="N2822" s="3">
        <v>36</v>
      </c>
      <c r="O2822" s="3" t="s">
        <v>41</v>
      </c>
      <c r="P2822" s="3" t="s">
        <v>16</v>
      </c>
      <c r="Q2822" s="4">
        <v>5</v>
      </c>
      <c r="R2822" s="4" t="str">
        <f>IF(Table1[[#This Row],[Customer Ratings]]&gt;=4, "Good",IF(Table1[[#This Row],[Customer Ratings]]=3, "Average","Poor"))</f>
        <v>Good</v>
      </c>
      <c r="S2822" s="3" t="s">
        <v>36</v>
      </c>
    </row>
    <row r="2823" spans="1:19" x14ac:dyDescent="0.25">
      <c r="A2823" s="3">
        <v>2822</v>
      </c>
      <c r="B2823" s="5">
        <f>DATE(Table1[[#This Row],[Year]],Table1[[#This Row],[Month]],Table1[[#This Row],[Day]])</f>
        <v>45280</v>
      </c>
      <c r="C2823" s="3">
        <v>20</v>
      </c>
      <c r="D2823" s="3">
        <v>12</v>
      </c>
      <c r="E2823" s="3">
        <v>2023</v>
      </c>
      <c r="F2823" s="3" t="str">
        <f>"Qtr"&amp; " " &amp;CHOOSE(MONTH(Table1[[#This Row],[Date]]),1,1,1,2,2,2,3,3,3,4,4,4)</f>
        <v>Qtr 4</v>
      </c>
      <c r="G2823" s="3" t="str">
        <f>TEXT(Table1[[#This Row],[Date]],"mmmm")</f>
        <v>December</v>
      </c>
      <c r="H2823" s="3" t="s">
        <v>1083</v>
      </c>
      <c r="I2823" s="3" t="s">
        <v>33</v>
      </c>
      <c r="J2823" s="3">
        <v>8</v>
      </c>
      <c r="K2823" s="3">
        <v>12607.37</v>
      </c>
      <c r="L2823" s="3">
        <f>Table1[[#This Row],[Price Per Unit]]*Table1[[#This Row],[Units Sold]]</f>
        <v>100858.96</v>
      </c>
      <c r="M2823" s="3" t="s">
        <v>832</v>
      </c>
      <c r="N2823" s="3">
        <v>45</v>
      </c>
      <c r="O2823" s="3" t="s">
        <v>78</v>
      </c>
      <c r="P2823" s="3" t="s">
        <v>31</v>
      </c>
      <c r="Q2823" s="4">
        <v>4</v>
      </c>
      <c r="R2823" s="4" t="str">
        <f>IF(Table1[[#This Row],[Customer Ratings]]&gt;=4, "Good",IF(Table1[[#This Row],[Customer Ratings]]=3, "Average","Poor"))</f>
        <v>Good</v>
      </c>
      <c r="S2823" s="3" t="s">
        <v>36</v>
      </c>
    </row>
    <row r="2824" spans="1:19" x14ac:dyDescent="0.25">
      <c r="A2824" s="3">
        <v>2823</v>
      </c>
      <c r="B2824" s="5">
        <f>DATE(Table1[[#This Row],[Year]],Table1[[#This Row],[Month]],Table1[[#This Row],[Day]])</f>
        <v>45280</v>
      </c>
      <c r="C2824" s="3">
        <v>20</v>
      </c>
      <c r="D2824" s="3">
        <v>12</v>
      </c>
      <c r="E2824" s="3">
        <v>2023</v>
      </c>
      <c r="F2824" s="3" t="str">
        <f>"Qtr"&amp; " " &amp;CHOOSE(MONTH(Table1[[#This Row],[Date]]),1,1,1,2,2,2,3,3,3,4,4,4)</f>
        <v>Qtr 4</v>
      </c>
      <c r="G2824" s="3" t="str">
        <f>TEXT(Table1[[#This Row],[Date]],"mmmm")</f>
        <v>December</v>
      </c>
      <c r="H2824" s="3" t="s">
        <v>1083</v>
      </c>
      <c r="I2824" s="3" t="s">
        <v>18</v>
      </c>
      <c r="J2824" s="3">
        <v>4</v>
      </c>
      <c r="K2824" s="3">
        <v>64238.8</v>
      </c>
      <c r="L2824" s="3">
        <f>Table1[[#This Row],[Price Per Unit]]*Table1[[#This Row],[Units Sold]]</f>
        <v>256955.2</v>
      </c>
      <c r="M2824" s="3" t="s">
        <v>896</v>
      </c>
      <c r="N2824" s="3">
        <v>57</v>
      </c>
      <c r="O2824" s="3" t="s">
        <v>98</v>
      </c>
      <c r="P2824" s="3" t="s">
        <v>21</v>
      </c>
      <c r="Q2824" s="4">
        <v>4</v>
      </c>
      <c r="R2824" s="4" t="str">
        <f>IF(Table1[[#This Row],[Customer Ratings]]&gt;=4, "Good",IF(Table1[[#This Row],[Customer Ratings]]=3, "Average","Poor"))</f>
        <v>Good</v>
      </c>
      <c r="S2824" s="3" t="s">
        <v>55</v>
      </c>
    </row>
    <row r="2825" spans="1:19" x14ac:dyDescent="0.25">
      <c r="A2825" s="3">
        <v>2824</v>
      </c>
      <c r="B2825" s="5">
        <f>DATE(Table1[[#This Row],[Year]],Table1[[#This Row],[Month]],Table1[[#This Row],[Day]])</f>
        <v>45280</v>
      </c>
      <c r="C2825" s="3">
        <v>20</v>
      </c>
      <c r="D2825" s="3">
        <v>12</v>
      </c>
      <c r="E2825" s="3">
        <v>2023</v>
      </c>
      <c r="F2825" s="3" t="str">
        <f>"Qtr"&amp; " " &amp;CHOOSE(MONTH(Table1[[#This Row],[Date]]),1,1,1,2,2,2,3,3,3,4,4,4)</f>
        <v>Qtr 4</v>
      </c>
      <c r="G2825" s="3" t="str">
        <f>TEXT(Table1[[#This Row],[Date]],"mmmm")</f>
        <v>December</v>
      </c>
      <c r="H2825" s="3" t="s">
        <v>1083</v>
      </c>
      <c r="I2825" s="3" t="s">
        <v>39</v>
      </c>
      <c r="J2825" s="3">
        <v>6</v>
      </c>
      <c r="K2825" s="3">
        <v>41653.82</v>
      </c>
      <c r="L2825" s="3">
        <f>Table1[[#This Row],[Price Per Unit]]*Table1[[#This Row],[Units Sold]]</f>
        <v>249922.91999999998</v>
      </c>
      <c r="M2825" s="3" t="s">
        <v>541</v>
      </c>
      <c r="N2825" s="3">
        <v>58</v>
      </c>
      <c r="O2825" s="3" t="s">
        <v>20</v>
      </c>
      <c r="P2825" s="3" t="s">
        <v>31</v>
      </c>
      <c r="Q2825" s="4">
        <v>5</v>
      </c>
      <c r="R2825" s="4" t="str">
        <f>IF(Table1[[#This Row],[Customer Ratings]]&gt;=4, "Good",IF(Table1[[#This Row],[Customer Ratings]]=3, "Average","Poor"))</f>
        <v>Good</v>
      </c>
      <c r="S2825" s="3" t="s">
        <v>76</v>
      </c>
    </row>
    <row r="2826" spans="1:19" x14ac:dyDescent="0.25">
      <c r="A2826" s="3">
        <v>2825</v>
      </c>
      <c r="B2826" s="5">
        <f>DATE(Table1[[#This Row],[Year]],Table1[[#This Row],[Month]],Table1[[#This Row],[Day]])</f>
        <v>45281</v>
      </c>
      <c r="C2826" s="3">
        <v>21</v>
      </c>
      <c r="D2826" s="3">
        <v>12</v>
      </c>
      <c r="E2826" s="3">
        <v>2023</v>
      </c>
      <c r="F2826" s="3" t="str">
        <f>"Qtr"&amp; " " &amp;CHOOSE(MONTH(Table1[[#This Row],[Date]]),1,1,1,2,2,2,3,3,3,4,4,4)</f>
        <v>Qtr 4</v>
      </c>
      <c r="G2826" s="3" t="str">
        <f>TEXT(Table1[[#This Row],[Date]],"mmmm")</f>
        <v>December</v>
      </c>
      <c r="H2826" s="3" t="s">
        <v>1084</v>
      </c>
      <c r="I2826" s="3" t="s">
        <v>13</v>
      </c>
      <c r="J2826" s="3">
        <v>6</v>
      </c>
      <c r="K2826" s="3">
        <v>54154.12</v>
      </c>
      <c r="L2826" s="3">
        <f>Table1[[#This Row],[Price Per Unit]]*Table1[[#This Row],[Units Sold]]</f>
        <v>324924.72000000003</v>
      </c>
      <c r="M2826" s="3" t="s">
        <v>237</v>
      </c>
      <c r="N2826" s="3">
        <v>22</v>
      </c>
      <c r="O2826" s="3" t="s">
        <v>58</v>
      </c>
      <c r="P2826" s="3" t="s">
        <v>45</v>
      </c>
      <c r="Q2826" s="4">
        <v>5</v>
      </c>
      <c r="R2826" s="4" t="str">
        <f>IF(Table1[[#This Row],[Customer Ratings]]&gt;=4, "Good",IF(Table1[[#This Row],[Customer Ratings]]=3, "Average","Poor"))</f>
        <v>Good</v>
      </c>
      <c r="S2826" s="3" t="s">
        <v>72</v>
      </c>
    </row>
    <row r="2827" spans="1:19" x14ac:dyDescent="0.25">
      <c r="A2827" s="3">
        <v>2826</v>
      </c>
      <c r="B2827" s="5">
        <f>DATE(Table1[[#This Row],[Year]],Table1[[#This Row],[Month]],Table1[[#This Row],[Day]])</f>
        <v>45281</v>
      </c>
      <c r="C2827" s="3">
        <v>21</v>
      </c>
      <c r="D2827" s="3">
        <v>12</v>
      </c>
      <c r="E2827" s="3">
        <v>2023</v>
      </c>
      <c r="F2827" s="3" t="str">
        <f>"Qtr"&amp; " " &amp;CHOOSE(MONTH(Table1[[#This Row],[Date]]),1,1,1,2,2,2,3,3,3,4,4,4)</f>
        <v>Qtr 4</v>
      </c>
      <c r="G2827" s="3" t="str">
        <f>TEXT(Table1[[#This Row],[Date]],"mmmm")</f>
        <v>December</v>
      </c>
      <c r="H2827" s="3" t="s">
        <v>1084</v>
      </c>
      <c r="I2827" s="3" t="s">
        <v>18</v>
      </c>
      <c r="J2827" s="3">
        <v>3</v>
      </c>
      <c r="K2827" s="3">
        <v>60310.06</v>
      </c>
      <c r="L2827" s="3">
        <f>Table1[[#This Row],[Price Per Unit]]*Table1[[#This Row],[Units Sold]]</f>
        <v>180930.18</v>
      </c>
      <c r="M2827" s="3" t="s">
        <v>658</v>
      </c>
      <c r="N2827" s="3">
        <v>22</v>
      </c>
      <c r="O2827" s="3" t="s">
        <v>105</v>
      </c>
      <c r="P2827" s="3" t="s">
        <v>16</v>
      </c>
      <c r="Q2827" s="4">
        <v>2</v>
      </c>
      <c r="R2827" s="4" t="str">
        <f>IF(Table1[[#This Row],[Customer Ratings]]&gt;=4, "Good",IF(Table1[[#This Row],[Customer Ratings]]=3, "Average","Poor"))</f>
        <v>Poor</v>
      </c>
      <c r="S2827" s="3" t="s">
        <v>55</v>
      </c>
    </row>
    <row r="2828" spans="1:19" x14ac:dyDescent="0.25">
      <c r="A2828" s="3">
        <v>2827</v>
      </c>
      <c r="B2828" s="5">
        <f>DATE(Table1[[#This Row],[Year]],Table1[[#This Row],[Month]],Table1[[#This Row],[Day]])</f>
        <v>45281</v>
      </c>
      <c r="C2828" s="3">
        <v>21</v>
      </c>
      <c r="D2828" s="3">
        <v>12</v>
      </c>
      <c r="E2828" s="3">
        <v>2023</v>
      </c>
      <c r="F2828" s="3" t="str">
        <f>"Qtr"&amp; " " &amp;CHOOSE(MONTH(Table1[[#This Row],[Date]]),1,1,1,2,2,2,3,3,3,4,4,4)</f>
        <v>Qtr 4</v>
      </c>
      <c r="G2828" s="3" t="str">
        <f>TEXT(Table1[[#This Row],[Date]],"mmmm")</f>
        <v>December</v>
      </c>
      <c r="H2828" s="3" t="s">
        <v>1084</v>
      </c>
      <c r="I2828" s="3" t="s">
        <v>28</v>
      </c>
      <c r="J2828" s="3">
        <v>5</v>
      </c>
      <c r="K2828" s="3">
        <v>66975.210000000006</v>
      </c>
      <c r="L2828" s="3">
        <f>Table1[[#This Row],[Price Per Unit]]*Table1[[#This Row],[Units Sold]]</f>
        <v>334876.05000000005</v>
      </c>
      <c r="M2828" s="3" t="s">
        <v>827</v>
      </c>
      <c r="N2828" s="3">
        <v>23</v>
      </c>
      <c r="O2828" s="3" t="s">
        <v>52</v>
      </c>
      <c r="P2828" s="3" t="s">
        <v>16</v>
      </c>
      <c r="Q2828" s="4">
        <v>3</v>
      </c>
      <c r="R2828" s="4" t="str">
        <f>IF(Table1[[#This Row],[Customer Ratings]]&gt;=4, "Good",IF(Table1[[#This Row],[Customer Ratings]]=3, "Average","Poor"))</f>
        <v>Average</v>
      </c>
      <c r="S2828" s="3" t="s">
        <v>32</v>
      </c>
    </row>
    <row r="2829" spans="1:19" x14ac:dyDescent="0.25">
      <c r="A2829" s="3">
        <v>2828</v>
      </c>
      <c r="B2829" s="5">
        <f>DATE(Table1[[#This Row],[Year]],Table1[[#This Row],[Month]],Table1[[#This Row],[Day]])</f>
        <v>45282</v>
      </c>
      <c r="C2829" s="3">
        <v>22</v>
      </c>
      <c r="D2829" s="3">
        <v>12</v>
      </c>
      <c r="E2829" s="3">
        <v>2023</v>
      </c>
      <c r="F2829" s="3" t="str">
        <f>"Qtr"&amp; " " &amp;CHOOSE(MONTH(Table1[[#This Row],[Date]]),1,1,1,2,2,2,3,3,3,4,4,4)</f>
        <v>Qtr 4</v>
      </c>
      <c r="G2829" s="3" t="str">
        <f>TEXT(Table1[[#This Row],[Date]],"mmmm")</f>
        <v>December</v>
      </c>
      <c r="H2829" s="3" t="s">
        <v>1085</v>
      </c>
      <c r="I2829" s="3" t="s">
        <v>28</v>
      </c>
      <c r="J2829" s="3">
        <v>3</v>
      </c>
      <c r="K2829" s="3">
        <v>62161.17</v>
      </c>
      <c r="L2829" s="3">
        <f>Table1[[#This Row],[Price Per Unit]]*Table1[[#This Row],[Units Sold]]</f>
        <v>186483.51</v>
      </c>
      <c r="M2829" s="3" t="s">
        <v>384</v>
      </c>
      <c r="N2829" s="3">
        <v>40</v>
      </c>
      <c r="O2829" s="3" t="s">
        <v>54</v>
      </c>
      <c r="P2829" s="3" t="s">
        <v>21</v>
      </c>
      <c r="Q2829" s="4">
        <v>5</v>
      </c>
      <c r="R2829" s="4" t="str">
        <f>IF(Table1[[#This Row],[Customer Ratings]]&gt;=4, "Good",IF(Table1[[#This Row],[Customer Ratings]]=3, "Average","Poor"))</f>
        <v>Good</v>
      </c>
      <c r="S2829" s="3" t="s">
        <v>38</v>
      </c>
    </row>
    <row r="2830" spans="1:19" x14ac:dyDescent="0.25">
      <c r="A2830" s="3">
        <v>2829</v>
      </c>
      <c r="B2830" s="5">
        <f>DATE(Table1[[#This Row],[Year]],Table1[[#This Row],[Month]],Table1[[#This Row],[Day]])</f>
        <v>45282</v>
      </c>
      <c r="C2830" s="3">
        <v>22</v>
      </c>
      <c r="D2830" s="3">
        <v>12</v>
      </c>
      <c r="E2830" s="3">
        <v>2023</v>
      </c>
      <c r="F2830" s="3" t="str">
        <f>"Qtr"&amp; " " &amp;CHOOSE(MONTH(Table1[[#This Row],[Date]]),1,1,1,2,2,2,3,3,3,4,4,4)</f>
        <v>Qtr 4</v>
      </c>
      <c r="G2830" s="3" t="str">
        <f>TEXT(Table1[[#This Row],[Date]],"mmmm")</f>
        <v>December</v>
      </c>
      <c r="H2830" s="3" t="s">
        <v>1085</v>
      </c>
      <c r="I2830" s="3" t="s">
        <v>33</v>
      </c>
      <c r="J2830" s="3">
        <v>1</v>
      </c>
      <c r="K2830" s="3">
        <v>38998.69</v>
      </c>
      <c r="L2830" s="3">
        <f>Table1[[#This Row],[Price Per Unit]]*Table1[[#This Row],[Units Sold]]</f>
        <v>38998.69</v>
      </c>
      <c r="M2830" s="3" t="s">
        <v>650</v>
      </c>
      <c r="N2830" s="3">
        <v>20</v>
      </c>
      <c r="O2830" s="3" t="s">
        <v>65</v>
      </c>
      <c r="P2830" s="3" t="s">
        <v>16</v>
      </c>
      <c r="Q2830" s="4">
        <v>4</v>
      </c>
      <c r="R2830" s="4" t="str">
        <f>IF(Table1[[#This Row],[Customer Ratings]]&gt;=4, "Good",IF(Table1[[#This Row],[Customer Ratings]]=3, "Average","Poor"))</f>
        <v>Good</v>
      </c>
      <c r="S2830" s="3" t="s">
        <v>46</v>
      </c>
    </row>
    <row r="2831" spans="1:19" x14ac:dyDescent="0.25">
      <c r="A2831" s="3">
        <v>2830</v>
      </c>
      <c r="B2831" s="5">
        <f>DATE(Table1[[#This Row],[Year]],Table1[[#This Row],[Month]],Table1[[#This Row],[Day]])</f>
        <v>45282</v>
      </c>
      <c r="C2831" s="3">
        <v>22</v>
      </c>
      <c r="D2831" s="3">
        <v>12</v>
      </c>
      <c r="E2831" s="3">
        <v>2023</v>
      </c>
      <c r="F2831" s="3" t="str">
        <f>"Qtr"&amp; " " &amp;CHOOSE(MONTH(Table1[[#This Row],[Date]]),1,1,1,2,2,2,3,3,3,4,4,4)</f>
        <v>Qtr 4</v>
      </c>
      <c r="G2831" s="3" t="str">
        <f>TEXT(Table1[[#This Row],[Date]],"mmmm")</f>
        <v>December</v>
      </c>
      <c r="H2831" s="3" t="s">
        <v>1085</v>
      </c>
      <c r="I2831" s="3" t="s">
        <v>28</v>
      </c>
      <c r="J2831" s="3">
        <v>7</v>
      </c>
      <c r="K2831" s="3">
        <v>30158.22</v>
      </c>
      <c r="L2831" s="3">
        <f>Table1[[#This Row],[Price Per Unit]]*Table1[[#This Row],[Units Sold]]</f>
        <v>211107.54</v>
      </c>
      <c r="M2831" s="3" t="s">
        <v>846</v>
      </c>
      <c r="N2831" s="3">
        <v>54</v>
      </c>
      <c r="O2831" s="3" t="s">
        <v>58</v>
      </c>
      <c r="P2831" s="3" t="s">
        <v>21</v>
      </c>
      <c r="Q2831" s="4">
        <v>5</v>
      </c>
      <c r="R2831" s="4" t="str">
        <f>IF(Table1[[#This Row],[Customer Ratings]]&gt;=4, "Good",IF(Table1[[#This Row],[Customer Ratings]]=3, "Average","Poor"))</f>
        <v>Good</v>
      </c>
      <c r="S2831" s="3" t="s">
        <v>87</v>
      </c>
    </row>
    <row r="2832" spans="1:19" x14ac:dyDescent="0.25">
      <c r="A2832" s="3">
        <v>2831</v>
      </c>
      <c r="B2832" s="5">
        <f>DATE(Table1[[#This Row],[Year]],Table1[[#This Row],[Month]],Table1[[#This Row],[Day]])</f>
        <v>45282</v>
      </c>
      <c r="C2832" s="3">
        <v>22</v>
      </c>
      <c r="D2832" s="3">
        <v>12</v>
      </c>
      <c r="E2832" s="3">
        <v>2023</v>
      </c>
      <c r="F2832" s="3" t="str">
        <f>"Qtr"&amp; " " &amp;CHOOSE(MONTH(Table1[[#This Row],[Date]]),1,1,1,2,2,2,3,3,3,4,4,4)</f>
        <v>Qtr 4</v>
      </c>
      <c r="G2832" s="3" t="str">
        <f>TEXT(Table1[[#This Row],[Date]],"mmmm")</f>
        <v>December</v>
      </c>
      <c r="H2832" s="3" t="s">
        <v>1085</v>
      </c>
      <c r="I2832" s="3" t="s">
        <v>18</v>
      </c>
      <c r="J2832" s="3">
        <v>4</v>
      </c>
      <c r="K2832" s="3">
        <v>19269.59</v>
      </c>
      <c r="L2832" s="3">
        <f>Table1[[#This Row],[Price Per Unit]]*Table1[[#This Row],[Units Sold]]</f>
        <v>77078.36</v>
      </c>
      <c r="M2832" s="3" t="s">
        <v>61</v>
      </c>
      <c r="N2832" s="3">
        <v>50</v>
      </c>
      <c r="O2832" s="3" t="s">
        <v>20</v>
      </c>
      <c r="P2832" s="3" t="s">
        <v>16</v>
      </c>
      <c r="Q2832" s="4">
        <v>3</v>
      </c>
      <c r="R2832" s="4" t="str">
        <f>IF(Table1[[#This Row],[Customer Ratings]]&gt;=4, "Good",IF(Table1[[#This Row],[Customer Ratings]]=3, "Average","Poor"))</f>
        <v>Average</v>
      </c>
      <c r="S2832" s="3" t="s">
        <v>22</v>
      </c>
    </row>
    <row r="2833" spans="1:19" x14ac:dyDescent="0.25">
      <c r="A2833" s="3">
        <v>2832</v>
      </c>
      <c r="B2833" s="5">
        <f>DATE(Table1[[#This Row],[Year]],Table1[[#This Row],[Month]],Table1[[#This Row],[Day]])</f>
        <v>45283</v>
      </c>
      <c r="C2833" s="3">
        <v>23</v>
      </c>
      <c r="D2833" s="3">
        <v>12</v>
      </c>
      <c r="E2833" s="3">
        <v>2023</v>
      </c>
      <c r="F2833" s="3" t="str">
        <f>"Qtr"&amp; " " &amp;CHOOSE(MONTH(Table1[[#This Row],[Date]]),1,1,1,2,2,2,3,3,3,4,4,4)</f>
        <v>Qtr 4</v>
      </c>
      <c r="G2833" s="3" t="str">
        <f>TEXT(Table1[[#This Row],[Date]],"mmmm")</f>
        <v>December</v>
      </c>
      <c r="H2833" s="3" t="s">
        <v>1079</v>
      </c>
      <c r="I2833" s="3" t="s">
        <v>28</v>
      </c>
      <c r="J2833" s="3">
        <v>7</v>
      </c>
      <c r="K2833" s="3">
        <v>34019.29</v>
      </c>
      <c r="L2833" s="3">
        <f>Table1[[#This Row],[Price Per Unit]]*Table1[[#This Row],[Units Sold]]</f>
        <v>238135.03</v>
      </c>
      <c r="M2833" s="3" t="s">
        <v>390</v>
      </c>
      <c r="N2833" s="3">
        <v>38</v>
      </c>
      <c r="O2833" s="3" t="s">
        <v>120</v>
      </c>
      <c r="P2833" s="3" t="s">
        <v>16</v>
      </c>
      <c r="Q2833" s="4">
        <v>2</v>
      </c>
      <c r="R2833" s="4" t="str">
        <f>IF(Table1[[#This Row],[Customer Ratings]]&gt;=4, "Good",IF(Table1[[#This Row],[Customer Ratings]]=3, "Average","Poor"))</f>
        <v>Poor</v>
      </c>
      <c r="S2833" s="3" t="s">
        <v>38</v>
      </c>
    </row>
    <row r="2834" spans="1:19" x14ac:dyDescent="0.25">
      <c r="A2834" s="3">
        <v>2833</v>
      </c>
      <c r="B2834" s="5">
        <f>DATE(Table1[[#This Row],[Year]],Table1[[#This Row],[Month]],Table1[[#This Row],[Day]])</f>
        <v>45283</v>
      </c>
      <c r="C2834" s="3">
        <v>23</v>
      </c>
      <c r="D2834" s="3">
        <v>12</v>
      </c>
      <c r="E2834" s="3">
        <v>2023</v>
      </c>
      <c r="F2834" s="3" t="str">
        <f>"Qtr"&amp; " " &amp;CHOOSE(MONTH(Table1[[#This Row],[Date]]),1,1,1,2,2,2,3,3,3,4,4,4)</f>
        <v>Qtr 4</v>
      </c>
      <c r="G2834" s="3" t="str">
        <f>TEXT(Table1[[#This Row],[Date]],"mmmm")</f>
        <v>December</v>
      </c>
      <c r="H2834" s="3" t="s">
        <v>1079</v>
      </c>
      <c r="I2834" s="3" t="s">
        <v>18</v>
      </c>
      <c r="J2834" s="3">
        <v>3</v>
      </c>
      <c r="K2834" s="3">
        <v>31989.61</v>
      </c>
      <c r="L2834" s="3">
        <f>Table1[[#This Row],[Price Per Unit]]*Table1[[#This Row],[Units Sold]]</f>
        <v>95968.83</v>
      </c>
      <c r="M2834" s="3" t="s">
        <v>364</v>
      </c>
      <c r="N2834" s="3">
        <v>37</v>
      </c>
      <c r="O2834" s="3" t="s">
        <v>102</v>
      </c>
      <c r="P2834" s="3" t="s">
        <v>31</v>
      </c>
      <c r="Q2834" s="4">
        <v>4</v>
      </c>
      <c r="R2834" s="4" t="str">
        <f>IF(Table1[[#This Row],[Customer Ratings]]&gt;=4, "Good",IF(Table1[[#This Row],[Customer Ratings]]=3, "Average","Poor"))</f>
        <v>Good</v>
      </c>
      <c r="S2834" s="3" t="s">
        <v>22</v>
      </c>
    </row>
    <row r="2835" spans="1:19" x14ac:dyDescent="0.25">
      <c r="A2835" s="3">
        <v>2834</v>
      </c>
      <c r="B2835" s="5">
        <f>DATE(Table1[[#This Row],[Year]],Table1[[#This Row],[Month]],Table1[[#This Row],[Day]])</f>
        <v>45283</v>
      </c>
      <c r="C2835" s="3">
        <v>23</v>
      </c>
      <c r="D2835" s="3">
        <v>12</v>
      </c>
      <c r="E2835" s="3">
        <v>2023</v>
      </c>
      <c r="F2835" s="3" t="str">
        <f>"Qtr"&amp; " " &amp;CHOOSE(MONTH(Table1[[#This Row],[Date]]),1,1,1,2,2,2,3,3,3,4,4,4)</f>
        <v>Qtr 4</v>
      </c>
      <c r="G2835" s="3" t="str">
        <f>TEXT(Table1[[#This Row],[Date]],"mmmm")</f>
        <v>December</v>
      </c>
      <c r="H2835" s="3" t="s">
        <v>1079</v>
      </c>
      <c r="I2835" s="3" t="s">
        <v>13</v>
      </c>
      <c r="J2835" s="3">
        <v>5</v>
      </c>
      <c r="K2835" s="3">
        <v>43574.49</v>
      </c>
      <c r="L2835" s="3">
        <f>Table1[[#This Row],[Price Per Unit]]*Table1[[#This Row],[Units Sold]]</f>
        <v>217872.44999999998</v>
      </c>
      <c r="M2835" s="3" t="s">
        <v>652</v>
      </c>
      <c r="N2835" s="3">
        <v>18</v>
      </c>
      <c r="O2835" s="3" t="s">
        <v>52</v>
      </c>
      <c r="P2835" s="3" t="s">
        <v>31</v>
      </c>
      <c r="Q2835" s="4">
        <v>2</v>
      </c>
      <c r="R2835" s="4" t="str">
        <f>IF(Table1[[#This Row],[Customer Ratings]]&gt;=4, "Good",IF(Table1[[#This Row],[Customer Ratings]]=3, "Average","Poor"))</f>
        <v>Poor</v>
      </c>
      <c r="S2835" s="3" t="s">
        <v>27</v>
      </c>
    </row>
    <row r="2836" spans="1:19" x14ac:dyDescent="0.25">
      <c r="A2836" s="3">
        <v>2835</v>
      </c>
      <c r="B2836" s="5">
        <f>DATE(Table1[[#This Row],[Year]],Table1[[#This Row],[Month]],Table1[[#This Row],[Day]])</f>
        <v>45283</v>
      </c>
      <c r="C2836" s="3">
        <v>23</v>
      </c>
      <c r="D2836" s="3">
        <v>12</v>
      </c>
      <c r="E2836" s="3">
        <v>2023</v>
      </c>
      <c r="F2836" s="3" t="str">
        <f>"Qtr"&amp; " " &amp;CHOOSE(MONTH(Table1[[#This Row],[Date]]),1,1,1,2,2,2,3,3,3,4,4,4)</f>
        <v>Qtr 4</v>
      </c>
      <c r="G2836" s="3" t="str">
        <f>TEXT(Table1[[#This Row],[Date]],"mmmm")</f>
        <v>December</v>
      </c>
      <c r="H2836" s="3" t="s">
        <v>1079</v>
      </c>
      <c r="I2836" s="3" t="s">
        <v>33</v>
      </c>
      <c r="J2836" s="3">
        <v>5</v>
      </c>
      <c r="K2836" s="3">
        <v>49930.559999999998</v>
      </c>
      <c r="L2836" s="3">
        <f>Table1[[#This Row],[Price Per Unit]]*Table1[[#This Row],[Units Sold]]</f>
        <v>249652.8</v>
      </c>
      <c r="M2836" s="3" t="s">
        <v>247</v>
      </c>
      <c r="N2836" s="3">
        <v>56</v>
      </c>
      <c r="O2836" s="3" t="s">
        <v>20</v>
      </c>
      <c r="P2836" s="3" t="s">
        <v>45</v>
      </c>
      <c r="Q2836" s="4">
        <v>2</v>
      </c>
      <c r="R2836" s="4" t="str">
        <f>IF(Table1[[#This Row],[Customer Ratings]]&gt;=4, "Good",IF(Table1[[#This Row],[Customer Ratings]]=3, "Average","Poor"))</f>
        <v>Poor</v>
      </c>
      <c r="S2836" s="3" t="s">
        <v>83</v>
      </c>
    </row>
    <row r="2837" spans="1:19" x14ac:dyDescent="0.25">
      <c r="A2837" s="3">
        <v>2836</v>
      </c>
      <c r="B2837" s="5">
        <f>DATE(Table1[[#This Row],[Year]],Table1[[#This Row],[Month]],Table1[[#This Row],[Day]])</f>
        <v>45284</v>
      </c>
      <c r="C2837" s="3">
        <v>24</v>
      </c>
      <c r="D2837" s="3">
        <v>12</v>
      </c>
      <c r="E2837" s="3">
        <v>2023</v>
      </c>
      <c r="F2837" s="3" t="str">
        <f>"Qtr"&amp; " " &amp;CHOOSE(MONTH(Table1[[#This Row],[Date]]),1,1,1,2,2,2,3,3,3,4,4,4)</f>
        <v>Qtr 4</v>
      </c>
      <c r="G2837" s="3" t="str">
        <f>TEXT(Table1[[#This Row],[Date]],"mmmm")</f>
        <v>December</v>
      </c>
      <c r="H2837" s="3" t="s">
        <v>1080</v>
      </c>
      <c r="I2837" s="3" t="s">
        <v>28</v>
      </c>
      <c r="J2837" s="3">
        <v>2</v>
      </c>
      <c r="K2837" s="3">
        <v>68699.53</v>
      </c>
      <c r="L2837" s="3">
        <f>Table1[[#This Row],[Price Per Unit]]*Table1[[#This Row],[Units Sold]]</f>
        <v>137399.06</v>
      </c>
      <c r="M2837" s="3" t="s">
        <v>328</v>
      </c>
      <c r="N2837" s="3">
        <v>34</v>
      </c>
      <c r="O2837" s="3" t="s">
        <v>30</v>
      </c>
      <c r="P2837" s="3" t="s">
        <v>21</v>
      </c>
      <c r="Q2837" s="4">
        <v>3</v>
      </c>
      <c r="R2837" s="4" t="str">
        <f>IF(Table1[[#This Row],[Customer Ratings]]&gt;=4, "Good",IF(Table1[[#This Row],[Customer Ratings]]=3, "Average","Poor"))</f>
        <v>Average</v>
      </c>
      <c r="S2837" s="3" t="s">
        <v>87</v>
      </c>
    </row>
    <row r="2838" spans="1:19" x14ac:dyDescent="0.25">
      <c r="A2838" s="3">
        <v>2837</v>
      </c>
      <c r="B2838" s="5">
        <f>DATE(Table1[[#This Row],[Year]],Table1[[#This Row],[Month]],Table1[[#This Row],[Day]])</f>
        <v>45284</v>
      </c>
      <c r="C2838" s="3">
        <v>24</v>
      </c>
      <c r="D2838" s="3">
        <v>12</v>
      </c>
      <c r="E2838" s="3">
        <v>2023</v>
      </c>
      <c r="F2838" s="3" t="str">
        <f>"Qtr"&amp; " " &amp;CHOOSE(MONTH(Table1[[#This Row],[Date]]),1,1,1,2,2,2,3,3,3,4,4,4)</f>
        <v>Qtr 4</v>
      </c>
      <c r="G2838" s="3" t="str">
        <f>TEXT(Table1[[#This Row],[Date]],"mmmm")</f>
        <v>December</v>
      </c>
      <c r="H2838" s="3" t="s">
        <v>1080</v>
      </c>
      <c r="I2838" s="3" t="s">
        <v>18</v>
      </c>
      <c r="J2838" s="3">
        <v>2</v>
      </c>
      <c r="K2838" s="3">
        <v>53703.17</v>
      </c>
      <c r="L2838" s="3">
        <f>Table1[[#This Row],[Price Per Unit]]*Table1[[#This Row],[Units Sold]]</f>
        <v>107406.34</v>
      </c>
      <c r="M2838" s="3" t="s">
        <v>112</v>
      </c>
      <c r="N2838" s="3">
        <v>46</v>
      </c>
      <c r="O2838" s="3" t="s">
        <v>120</v>
      </c>
      <c r="P2838" s="3" t="s">
        <v>45</v>
      </c>
      <c r="Q2838" s="4">
        <v>5</v>
      </c>
      <c r="R2838" s="4" t="str">
        <f>IF(Table1[[#This Row],[Customer Ratings]]&gt;=4, "Good",IF(Table1[[#This Row],[Customer Ratings]]=3, "Average","Poor"))</f>
        <v>Good</v>
      </c>
      <c r="S2838" s="3" t="s">
        <v>22</v>
      </c>
    </row>
    <row r="2839" spans="1:19" x14ac:dyDescent="0.25">
      <c r="A2839" s="3">
        <v>2838</v>
      </c>
      <c r="B2839" s="5">
        <f>DATE(Table1[[#This Row],[Year]],Table1[[#This Row],[Month]],Table1[[#This Row],[Day]])</f>
        <v>45284</v>
      </c>
      <c r="C2839" s="3">
        <v>24</v>
      </c>
      <c r="D2839" s="3">
        <v>12</v>
      </c>
      <c r="E2839" s="3">
        <v>2023</v>
      </c>
      <c r="F2839" s="3" t="str">
        <f>"Qtr"&amp; " " &amp;CHOOSE(MONTH(Table1[[#This Row],[Date]]),1,1,1,2,2,2,3,3,3,4,4,4)</f>
        <v>Qtr 4</v>
      </c>
      <c r="G2839" s="3" t="str">
        <f>TEXT(Table1[[#This Row],[Date]],"mmmm")</f>
        <v>December</v>
      </c>
      <c r="H2839" s="3" t="s">
        <v>1080</v>
      </c>
      <c r="I2839" s="3" t="s">
        <v>39</v>
      </c>
      <c r="J2839" s="3">
        <v>4</v>
      </c>
      <c r="K2839" s="3">
        <v>48624.91</v>
      </c>
      <c r="L2839" s="3">
        <f>Table1[[#This Row],[Price Per Unit]]*Table1[[#This Row],[Units Sold]]</f>
        <v>194499.64</v>
      </c>
      <c r="M2839" s="3" t="s">
        <v>991</v>
      </c>
      <c r="N2839" s="3">
        <v>25</v>
      </c>
      <c r="O2839" s="3" t="s">
        <v>48</v>
      </c>
      <c r="P2839" s="3" t="s">
        <v>31</v>
      </c>
      <c r="Q2839" s="4">
        <v>2</v>
      </c>
      <c r="R2839" s="4" t="str">
        <f>IF(Table1[[#This Row],[Customer Ratings]]&gt;=4, "Good",IF(Table1[[#This Row],[Customer Ratings]]=3, "Average","Poor"))</f>
        <v>Poor</v>
      </c>
      <c r="S2839" s="3" t="s">
        <v>42</v>
      </c>
    </row>
    <row r="2840" spans="1:19" x14ac:dyDescent="0.25">
      <c r="A2840" s="3">
        <v>2839</v>
      </c>
      <c r="B2840" s="5">
        <f>DATE(Table1[[#This Row],[Year]],Table1[[#This Row],[Month]],Table1[[#This Row],[Day]])</f>
        <v>45284</v>
      </c>
      <c r="C2840" s="3">
        <v>24</v>
      </c>
      <c r="D2840" s="3">
        <v>12</v>
      </c>
      <c r="E2840" s="3">
        <v>2023</v>
      </c>
      <c r="F2840" s="3" t="str">
        <f>"Qtr"&amp; " " &amp;CHOOSE(MONTH(Table1[[#This Row],[Date]]),1,1,1,2,2,2,3,3,3,4,4,4)</f>
        <v>Qtr 4</v>
      </c>
      <c r="G2840" s="3" t="str">
        <f>TEXT(Table1[[#This Row],[Date]],"mmmm")</f>
        <v>December</v>
      </c>
      <c r="H2840" s="3" t="s">
        <v>1080</v>
      </c>
      <c r="I2840" s="3" t="s">
        <v>33</v>
      </c>
      <c r="J2840" s="3">
        <v>4</v>
      </c>
      <c r="K2840" s="3">
        <v>30105.55</v>
      </c>
      <c r="L2840" s="3">
        <f>Table1[[#This Row],[Price Per Unit]]*Table1[[#This Row],[Units Sold]]</f>
        <v>120422.2</v>
      </c>
      <c r="M2840" s="3" t="s">
        <v>550</v>
      </c>
      <c r="N2840" s="3">
        <v>43</v>
      </c>
      <c r="O2840" s="3" t="s">
        <v>65</v>
      </c>
      <c r="P2840" s="3" t="s">
        <v>21</v>
      </c>
      <c r="Q2840" s="4">
        <v>2</v>
      </c>
      <c r="R2840" s="4" t="str">
        <f>IF(Table1[[#This Row],[Customer Ratings]]&gt;=4, "Good",IF(Table1[[#This Row],[Customer Ratings]]=3, "Average","Poor"))</f>
        <v>Poor</v>
      </c>
      <c r="S2840" s="3" t="s">
        <v>46</v>
      </c>
    </row>
    <row r="2841" spans="1:19" x14ac:dyDescent="0.25">
      <c r="A2841" s="3">
        <v>2840</v>
      </c>
      <c r="B2841" s="5">
        <f>DATE(Table1[[#This Row],[Year]],Table1[[#This Row],[Month]],Table1[[#This Row],[Day]])</f>
        <v>45285</v>
      </c>
      <c r="C2841" s="3">
        <v>25</v>
      </c>
      <c r="D2841" s="3">
        <v>12</v>
      </c>
      <c r="E2841" s="3">
        <v>2023</v>
      </c>
      <c r="F2841" s="3" t="str">
        <f>"Qtr"&amp; " " &amp;CHOOSE(MONTH(Table1[[#This Row],[Date]]),1,1,1,2,2,2,3,3,3,4,4,4)</f>
        <v>Qtr 4</v>
      </c>
      <c r="G2841" s="3" t="str">
        <f>TEXT(Table1[[#This Row],[Date]],"mmmm")</f>
        <v>December</v>
      </c>
      <c r="H2841" s="3" t="s">
        <v>1081</v>
      </c>
      <c r="I2841" s="3" t="s">
        <v>13</v>
      </c>
      <c r="J2841" s="3">
        <v>4</v>
      </c>
      <c r="K2841" s="3">
        <v>12070.23</v>
      </c>
      <c r="L2841" s="3">
        <f>Table1[[#This Row],[Price Per Unit]]*Table1[[#This Row],[Units Sold]]</f>
        <v>48280.92</v>
      </c>
      <c r="M2841" s="3" t="s">
        <v>971</v>
      </c>
      <c r="N2841" s="3">
        <v>45</v>
      </c>
      <c r="O2841" s="3" t="s">
        <v>20</v>
      </c>
      <c r="P2841" s="3" t="s">
        <v>31</v>
      </c>
      <c r="Q2841" s="4">
        <v>5</v>
      </c>
      <c r="R2841" s="4" t="str">
        <f>IF(Table1[[#This Row],[Customer Ratings]]&gt;=4, "Good",IF(Table1[[#This Row],[Customer Ratings]]=3, "Average","Poor"))</f>
        <v>Good</v>
      </c>
      <c r="S2841" s="3" t="s">
        <v>27</v>
      </c>
    </row>
    <row r="2842" spans="1:19" x14ac:dyDescent="0.25">
      <c r="A2842" s="3">
        <v>2841</v>
      </c>
      <c r="B2842" s="5">
        <f>DATE(Table1[[#This Row],[Year]],Table1[[#This Row],[Month]],Table1[[#This Row],[Day]])</f>
        <v>45285</v>
      </c>
      <c r="C2842" s="3">
        <v>25</v>
      </c>
      <c r="D2842" s="3">
        <v>12</v>
      </c>
      <c r="E2842" s="3">
        <v>2023</v>
      </c>
      <c r="F2842" s="3" t="str">
        <f>"Qtr"&amp; " " &amp;CHOOSE(MONTH(Table1[[#This Row],[Date]]),1,1,1,2,2,2,3,3,3,4,4,4)</f>
        <v>Qtr 4</v>
      </c>
      <c r="G2842" s="3" t="str">
        <f>TEXT(Table1[[#This Row],[Date]],"mmmm")</f>
        <v>December</v>
      </c>
      <c r="H2842" s="3" t="s">
        <v>1081</v>
      </c>
      <c r="I2842" s="3" t="s">
        <v>18</v>
      </c>
      <c r="J2842" s="3">
        <v>6</v>
      </c>
      <c r="K2842" s="3">
        <v>27287.51</v>
      </c>
      <c r="L2842" s="3">
        <f>Table1[[#This Row],[Price Per Unit]]*Table1[[#This Row],[Units Sold]]</f>
        <v>163725.06</v>
      </c>
      <c r="M2842" s="3" t="s">
        <v>492</v>
      </c>
      <c r="N2842" s="3">
        <v>51</v>
      </c>
      <c r="O2842" s="3" t="s">
        <v>24</v>
      </c>
      <c r="P2842" s="3" t="s">
        <v>21</v>
      </c>
      <c r="Q2842" s="4">
        <v>4</v>
      </c>
      <c r="R2842" s="4" t="str">
        <f>IF(Table1[[#This Row],[Customer Ratings]]&gt;=4, "Good",IF(Table1[[#This Row],[Customer Ratings]]=3, "Average","Poor"))</f>
        <v>Good</v>
      </c>
      <c r="S2842" s="3" t="s">
        <v>22</v>
      </c>
    </row>
    <row r="2843" spans="1:19" x14ac:dyDescent="0.25">
      <c r="A2843" s="3">
        <v>2842</v>
      </c>
      <c r="B2843" s="5">
        <f>DATE(Table1[[#This Row],[Year]],Table1[[#This Row],[Month]],Table1[[#This Row],[Day]])</f>
        <v>45285</v>
      </c>
      <c r="C2843" s="3">
        <v>25</v>
      </c>
      <c r="D2843" s="3">
        <v>12</v>
      </c>
      <c r="E2843" s="3">
        <v>2023</v>
      </c>
      <c r="F2843" s="3" t="str">
        <f>"Qtr"&amp; " " &amp;CHOOSE(MONTH(Table1[[#This Row],[Date]]),1,1,1,2,2,2,3,3,3,4,4,4)</f>
        <v>Qtr 4</v>
      </c>
      <c r="G2843" s="3" t="str">
        <f>TEXT(Table1[[#This Row],[Date]],"mmmm")</f>
        <v>December</v>
      </c>
      <c r="H2843" s="3" t="s">
        <v>1081</v>
      </c>
      <c r="I2843" s="3" t="s">
        <v>13</v>
      </c>
      <c r="J2843" s="3">
        <v>2</v>
      </c>
      <c r="K2843" s="3">
        <v>56106.87</v>
      </c>
      <c r="L2843" s="3">
        <f>Table1[[#This Row],[Price Per Unit]]*Table1[[#This Row],[Units Sold]]</f>
        <v>112213.74</v>
      </c>
      <c r="M2843" s="3" t="s">
        <v>811</v>
      </c>
      <c r="N2843" s="3">
        <v>43</v>
      </c>
      <c r="O2843" s="3" t="s">
        <v>102</v>
      </c>
      <c r="P2843" s="3" t="s">
        <v>16</v>
      </c>
      <c r="Q2843" s="4">
        <v>5</v>
      </c>
      <c r="R2843" s="4" t="str">
        <f>IF(Table1[[#This Row],[Customer Ratings]]&gt;=4, "Good",IF(Table1[[#This Row],[Customer Ratings]]=3, "Average","Poor"))</f>
        <v>Good</v>
      </c>
      <c r="S2843" s="3" t="s">
        <v>72</v>
      </c>
    </row>
    <row r="2844" spans="1:19" x14ac:dyDescent="0.25">
      <c r="A2844" s="3">
        <v>2843</v>
      </c>
      <c r="B2844" s="5">
        <f>DATE(Table1[[#This Row],[Year]],Table1[[#This Row],[Month]],Table1[[#This Row],[Day]])</f>
        <v>45286</v>
      </c>
      <c r="C2844" s="3">
        <v>26</v>
      </c>
      <c r="D2844" s="3">
        <v>12</v>
      </c>
      <c r="E2844" s="3">
        <v>2023</v>
      </c>
      <c r="F2844" s="3" t="str">
        <f>"Qtr"&amp; " " &amp;CHOOSE(MONTH(Table1[[#This Row],[Date]]),1,1,1,2,2,2,3,3,3,4,4,4)</f>
        <v>Qtr 4</v>
      </c>
      <c r="G2844" s="3" t="str">
        <f>TEXT(Table1[[#This Row],[Date]],"mmmm")</f>
        <v>December</v>
      </c>
      <c r="H2844" s="3" t="s">
        <v>1082</v>
      </c>
      <c r="I2844" s="3" t="s">
        <v>13</v>
      </c>
      <c r="J2844" s="3">
        <v>6</v>
      </c>
      <c r="K2844" s="3">
        <v>22316.32</v>
      </c>
      <c r="L2844" s="3">
        <f>Table1[[#This Row],[Price Per Unit]]*Table1[[#This Row],[Units Sold]]</f>
        <v>133897.91999999998</v>
      </c>
      <c r="M2844" s="3" t="s">
        <v>347</v>
      </c>
      <c r="N2844" s="3">
        <v>30</v>
      </c>
      <c r="O2844" s="3" t="s">
        <v>58</v>
      </c>
      <c r="P2844" s="3" t="s">
        <v>45</v>
      </c>
      <c r="Q2844" s="4">
        <v>3</v>
      </c>
      <c r="R2844" s="4" t="str">
        <f>IF(Table1[[#This Row],[Customer Ratings]]&gt;=4, "Good",IF(Table1[[#This Row],[Customer Ratings]]=3, "Average","Poor"))</f>
        <v>Average</v>
      </c>
      <c r="S2844" s="3" t="s">
        <v>27</v>
      </c>
    </row>
    <row r="2845" spans="1:19" x14ac:dyDescent="0.25">
      <c r="A2845" s="3">
        <v>2844</v>
      </c>
      <c r="B2845" s="5">
        <f>DATE(Table1[[#This Row],[Year]],Table1[[#This Row],[Month]],Table1[[#This Row],[Day]])</f>
        <v>45286</v>
      </c>
      <c r="C2845" s="3">
        <v>26</v>
      </c>
      <c r="D2845" s="3">
        <v>12</v>
      </c>
      <c r="E2845" s="3">
        <v>2023</v>
      </c>
      <c r="F2845" s="3" t="str">
        <f>"Qtr"&amp; " " &amp;CHOOSE(MONTH(Table1[[#This Row],[Date]]),1,1,1,2,2,2,3,3,3,4,4,4)</f>
        <v>Qtr 4</v>
      </c>
      <c r="G2845" s="3" t="str">
        <f>TEXT(Table1[[#This Row],[Date]],"mmmm")</f>
        <v>December</v>
      </c>
      <c r="H2845" s="3" t="s">
        <v>1082</v>
      </c>
      <c r="I2845" s="3" t="s">
        <v>28</v>
      </c>
      <c r="J2845" s="3">
        <v>7</v>
      </c>
      <c r="K2845" s="3">
        <v>52731.29</v>
      </c>
      <c r="L2845" s="3">
        <f>Table1[[#This Row],[Price Per Unit]]*Table1[[#This Row],[Units Sold]]</f>
        <v>369119.03</v>
      </c>
      <c r="M2845" s="3" t="s">
        <v>924</v>
      </c>
      <c r="N2845" s="3">
        <v>54</v>
      </c>
      <c r="O2845" s="3" t="s">
        <v>30</v>
      </c>
      <c r="P2845" s="3" t="s">
        <v>45</v>
      </c>
      <c r="Q2845" s="4">
        <v>3</v>
      </c>
      <c r="R2845" s="4" t="str">
        <f>IF(Table1[[#This Row],[Customer Ratings]]&gt;=4, "Good",IF(Table1[[#This Row],[Customer Ratings]]=3, "Average","Poor"))</f>
        <v>Average</v>
      </c>
      <c r="S2845" s="3" t="s">
        <v>38</v>
      </c>
    </row>
    <row r="2846" spans="1:19" x14ac:dyDescent="0.25">
      <c r="A2846" s="3">
        <v>2845</v>
      </c>
      <c r="B2846" s="5">
        <f>DATE(Table1[[#This Row],[Year]],Table1[[#This Row],[Month]],Table1[[#This Row],[Day]])</f>
        <v>45286</v>
      </c>
      <c r="C2846" s="3">
        <v>26</v>
      </c>
      <c r="D2846" s="3">
        <v>12</v>
      </c>
      <c r="E2846" s="3">
        <v>2023</v>
      </c>
      <c r="F2846" s="3" t="str">
        <f>"Qtr"&amp; " " &amp;CHOOSE(MONTH(Table1[[#This Row],[Date]]),1,1,1,2,2,2,3,3,3,4,4,4)</f>
        <v>Qtr 4</v>
      </c>
      <c r="G2846" s="3" t="str">
        <f>TEXT(Table1[[#This Row],[Date]],"mmmm")</f>
        <v>December</v>
      </c>
      <c r="H2846" s="3" t="s">
        <v>1082</v>
      </c>
      <c r="I2846" s="3" t="s">
        <v>28</v>
      </c>
      <c r="J2846" s="3">
        <v>3</v>
      </c>
      <c r="K2846" s="3">
        <v>44786.79</v>
      </c>
      <c r="L2846" s="3">
        <f>Table1[[#This Row],[Price Per Unit]]*Table1[[#This Row],[Units Sold]]</f>
        <v>134360.37</v>
      </c>
      <c r="M2846" s="3" t="s">
        <v>822</v>
      </c>
      <c r="N2846" s="3">
        <v>30</v>
      </c>
      <c r="O2846" s="3" t="s">
        <v>78</v>
      </c>
      <c r="P2846" s="3" t="s">
        <v>21</v>
      </c>
      <c r="Q2846" s="4">
        <v>4</v>
      </c>
      <c r="R2846" s="4" t="str">
        <f>IF(Table1[[#This Row],[Customer Ratings]]&gt;=4, "Good",IF(Table1[[#This Row],[Customer Ratings]]=3, "Average","Poor"))</f>
        <v>Good</v>
      </c>
      <c r="S2846" s="3" t="s">
        <v>32</v>
      </c>
    </row>
    <row r="2847" spans="1:19" x14ac:dyDescent="0.25">
      <c r="A2847" s="3">
        <v>2846</v>
      </c>
      <c r="B2847" s="5">
        <f>DATE(Table1[[#This Row],[Year]],Table1[[#This Row],[Month]],Table1[[#This Row],[Day]])</f>
        <v>45286</v>
      </c>
      <c r="C2847" s="3">
        <v>26</v>
      </c>
      <c r="D2847" s="3">
        <v>12</v>
      </c>
      <c r="E2847" s="3">
        <v>2023</v>
      </c>
      <c r="F2847" s="3" t="str">
        <f>"Qtr"&amp; " " &amp;CHOOSE(MONTH(Table1[[#This Row],[Date]]),1,1,1,2,2,2,3,3,3,4,4,4)</f>
        <v>Qtr 4</v>
      </c>
      <c r="G2847" s="3" t="str">
        <f>TEXT(Table1[[#This Row],[Date]],"mmmm")</f>
        <v>December</v>
      </c>
      <c r="H2847" s="3" t="s">
        <v>1082</v>
      </c>
      <c r="I2847" s="3" t="s">
        <v>18</v>
      </c>
      <c r="J2847" s="3">
        <v>8</v>
      </c>
      <c r="K2847" s="3">
        <v>20311.41</v>
      </c>
      <c r="L2847" s="3">
        <f>Table1[[#This Row],[Price Per Unit]]*Table1[[#This Row],[Units Sold]]</f>
        <v>162491.28</v>
      </c>
      <c r="M2847" s="3" t="s">
        <v>968</v>
      </c>
      <c r="N2847" s="3">
        <v>55</v>
      </c>
      <c r="O2847" s="3" t="s">
        <v>15</v>
      </c>
      <c r="P2847" s="3" t="s">
        <v>45</v>
      </c>
      <c r="Q2847" s="4">
        <v>4</v>
      </c>
      <c r="R2847" s="4" t="str">
        <f>IF(Table1[[#This Row],[Customer Ratings]]&gt;=4, "Good",IF(Table1[[#This Row],[Customer Ratings]]=3, "Average","Poor"))</f>
        <v>Good</v>
      </c>
      <c r="S2847" s="3" t="s">
        <v>25</v>
      </c>
    </row>
    <row r="2848" spans="1:19" x14ac:dyDescent="0.25">
      <c r="A2848" s="3">
        <v>2847</v>
      </c>
      <c r="B2848" s="5">
        <f>DATE(Table1[[#This Row],[Year]],Table1[[#This Row],[Month]],Table1[[#This Row],[Day]])</f>
        <v>45287</v>
      </c>
      <c r="C2848" s="3">
        <v>27</v>
      </c>
      <c r="D2848" s="3">
        <v>12</v>
      </c>
      <c r="E2848" s="3">
        <v>2023</v>
      </c>
      <c r="F2848" s="3" t="str">
        <f>"Qtr"&amp; " " &amp;CHOOSE(MONTH(Table1[[#This Row],[Date]]),1,1,1,2,2,2,3,3,3,4,4,4)</f>
        <v>Qtr 4</v>
      </c>
      <c r="G2848" s="3" t="str">
        <f>TEXT(Table1[[#This Row],[Date]],"mmmm")</f>
        <v>December</v>
      </c>
      <c r="H2848" s="3" t="s">
        <v>1083</v>
      </c>
      <c r="I2848" s="3" t="s">
        <v>39</v>
      </c>
      <c r="J2848" s="3">
        <v>2</v>
      </c>
      <c r="K2848" s="3">
        <v>25697.49</v>
      </c>
      <c r="L2848" s="3">
        <f>Table1[[#This Row],[Price Per Unit]]*Table1[[#This Row],[Units Sold]]</f>
        <v>51394.98</v>
      </c>
      <c r="M2848" s="3" t="s">
        <v>786</v>
      </c>
      <c r="N2848" s="3">
        <v>42</v>
      </c>
      <c r="O2848" s="3" t="s">
        <v>58</v>
      </c>
      <c r="P2848" s="3" t="s">
        <v>31</v>
      </c>
      <c r="Q2848" s="4">
        <v>4</v>
      </c>
      <c r="R2848" s="4" t="str">
        <f>IF(Table1[[#This Row],[Customer Ratings]]&gt;=4, "Good",IF(Table1[[#This Row],[Customer Ratings]]=3, "Average","Poor"))</f>
        <v>Good</v>
      </c>
      <c r="S2848" s="3" t="s">
        <v>76</v>
      </c>
    </row>
    <row r="2849" spans="1:19" x14ac:dyDescent="0.25">
      <c r="A2849" s="3">
        <v>2848</v>
      </c>
      <c r="B2849" s="5">
        <f>DATE(Table1[[#This Row],[Year]],Table1[[#This Row],[Month]],Table1[[#This Row],[Day]])</f>
        <v>45287</v>
      </c>
      <c r="C2849" s="3">
        <v>27</v>
      </c>
      <c r="D2849" s="3">
        <v>12</v>
      </c>
      <c r="E2849" s="3">
        <v>2023</v>
      </c>
      <c r="F2849" s="3" t="str">
        <f>"Qtr"&amp; " " &amp;CHOOSE(MONTH(Table1[[#This Row],[Date]]),1,1,1,2,2,2,3,3,3,4,4,4)</f>
        <v>Qtr 4</v>
      </c>
      <c r="G2849" s="3" t="str">
        <f>TEXT(Table1[[#This Row],[Date]],"mmmm")</f>
        <v>December</v>
      </c>
      <c r="H2849" s="3" t="s">
        <v>1083</v>
      </c>
      <c r="I2849" s="3" t="s">
        <v>18</v>
      </c>
      <c r="J2849" s="3">
        <v>8</v>
      </c>
      <c r="K2849" s="3">
        <v>39778.22</v>
      </c>
      <c r="L2849" s="3">
        <f>Table1[[#This Row],[Price Per Unit]]*Table1[[#This Row],[Units Sold]]</f>
        <v>318225.76</v>
      </c>
      <c r="M2849" s="3" t="s">
        <v>332</v>
      </c>
      <c r="N2849" s="3">
        <v>40</v>
      </c>
      <c r="O2849" s="3" t="s">
        <v>105</v>
      </c>
      <c r="P2849" s="3" t="s">
        <v>45</v>
      </c>
      <c r="Q2849" s="4">
        <v>3</v>
      </c>
      <c r="R2849" s="4" t="str">
        <f>IF(Table1[[#This Row],[Customer Ratings]]&gt;=4, "Good",IF(Table1[[#This Row],[Customer Ratings]]=3, "Average","Poor"))</f>
        <v>Average</v>
      </c>
      <c r="S2849" s="3" t="s">
        <v>25</v>
      </c>
    </row>
    <row r="2850" spans="1:19" x14ac:dyDescent="0.25">
      <c r="A2850" s="3">
        <v>2849</v>
      </c>
      <c r="B2850" s="5">
        <f>DATE(Table1[[#This Row],[Year]],Table1[[#This Row],[Month]],Table1[[#This Row],[Day]])</f>
        <v>45287</v>
      </c>
      <c r="C2850" s="3">
        <v>27</v>
      </c>
      <c r="D2850" s="3">
        <v>12</v>
      </c>
      <c r="E2850" s="3">
        <v>2023</v>
      </c>
      <c r="F2850" s="3" t="str">
        <f>"Qtr"&amp; " " &amp;CHOOSE(MONTH(Table1[[#This Row],[Date]]),1,1,1,2,2,2,3,3,3,4,4,4)</f>
        <v>Qtr 4</v>
      </c>
      <c r="G2850" s="3" t="str">
        <f>TEXT(Table1[[#This Row],[Date]],"mmmm")</f>
        <v>December</v>
      </c>
      <c r="H2850" s="3" t="s">
        <v>1083</v>
      </c>
      <c r="I2850" s="3" t="s">
        <v>39</v>
      </c>
      <c r="J2850" s="3">
        <v>5</v>
      </c>
      <c r="K2850" s="3">
        <v>35102.480000000003</v>
      </c>
      <c r="L2850" s="3">
        <f>Table1[[#This Row],[Price Per Unit]]*Table1[[#This Row],[Units Sold]]</f>
        <v>175512.40000000002</v>
      </c>
      <c r="M2850" s="3" t="s">
        <v>248</v>
      </c>
      <c r="N2850" s="3">
        <v>39</v>
      </c>
      <c r="O2850" s="3" t="s">
        <v>24</v>
      </c>
      <c r="P2850" s="3" t="s">
        <v>21</v>
      </c>
      <c r="Q2850" s="4">
        <v>5</v>
      </c>
      <c r="R2850" s="4" t="str">
        <f>IF(Table1[[#This Row],[Customer Ratings]]&gt;=4, "Good",IF(Table1[[#This Row],[Customer Ratings]]=3, "Average","Poor"))</f>
        <v>Good</v>
      </c>
      <c r="S2850" s="3" t="s">
        <v>42</v>
      </c>
    </row>
    <row r="2851" spans="1:19" x14ac:dyDescent="0.25">
      <c r="A2851" s="3">
        <v>2850</v>
      </c>
      <c r="B2851" s="5">
        <f>DATE(Table1[[#This Row],[Year]],Table1[[#This Row],[Month]],Table1[[#This Row],[Day]])</f>
        <v>45288</v>
      </c>
      <c r="C2851" s="3">
        <v>28</v>
      </c>
      <c r="D2851" s="3">
        <v>12</v>
      </c>
      <c r="E2851" s="3">
        <v>2023</v>
      </c>
      <c r="F2851" s="3" t="str">
        <f>"Qtr"&amp; " " &amp;CHOOSE(MONTH(Table1[[#This Row],[Date]]),1,1,1,2,2,2,3,3,3,4,4,4)</f>
        <v>Qtr 4</v>
      </c>
      <c r="G2851" s="3" t="str">
        <f>TEXT(Table1[[#This Row],[Date]],"mmmm")</f>
        <v>December</v>
      </c>
      <c r="H2851" s="3" t="s">
        <v>1084</v>
      </c>
      <c r="I2851" s="3" t="s">
        <v>13</v>
      </c>
      <c r="J2851" s="3">
        <v>2</v>
      </c>
      <c r="K2851" s="3">
        <v>56713.83</v>
      </c>
      <c r="L2851" s="3">
        <f>Table1[[#This Row],[Price Per Unit]]*Table1[[#This Row],[Units Sold]]</f>
        <v>113427.66</v>
      </c>
      <c r="M2851" s="3" t="s">
        <v>343</v>
      </c>
      <c r="N2851" s="3">
        <v>38</v>
      </c>
      <c r="O2851" s="3" t="s">
        <v>120</v>
      </c>
      <c r="P2851" s="3" t="s">
        <v>45</v>
      </c>
      <c r="Q2851" s="4">
        <v>2</v>
      </c>
      <c r="R2851" s="4" t="str">
        <f>IF(Table1[[#This Row],[Customer Ratings]]&gt;=4, "Good",IF(Table1[[#This Row],[Customer Ratings]]=3, "Average","Poor"))</f>
        <v>Poor</v>
      </c>
      <c r="S2851" s="3" t="s">
        <v>72</v>
      </c>
    </row>
    <row r="2852" spans="1:19" x14ac:dyDescent="0.25">
      <c r="A2852" s="3">
        <v>2851</v>
      </c>
      <c r="B2852" s="5">
        <f>DATE(Table1[[#This Row],[Year]],Table1[[#This Row],[Month]],Table1[[#This Row],[Day]])</f>
        <v>45288</v>
      </c>
      <c r="C2852" s="3">
        <v>28</v>
      </c>
      <c r="D2852" s="3">
        <v>12</v>
      </c>
      <c r="E2852" s="3">
        <v>2023</v>
      </c>
      <c r="F2852" s="3" t="str">
        <f>"Qtr"&amp; " " &amp;CHOOSE(MONTH(Table1[[#This Row],[Date]]),1,1,1,2,2,2,3,3,3,4,4,4)</f>
        <v>Qtr 4</v>
      </c>
      <c r="G2852" s="3" t="str">
        <f>TEXT(Table1[[#This Row],[Date]],"mmmm")</f>
        <v>December</v>
      </c>
      <c r="H2852" s="3" t="s">
        <v>1084</v>
      </c>
      <c r="I2852" s="3" t="s">
        <v>33</v>
      </c>
      <c r="J2852" s="3">
        <v>7</v>
      </c>
      <c r="K2852" s="3">
        <v>54064.28</v>
      </c>
      <c r="L2852" s="3">
        <f>Table1[[#This Row],[Price Per Unit]]*Table1[[#This Row],[Units Sold]]</f>
        <v>378449.95999999996</v>
      </c>
      <c r="M2852" s="3" t="s">
        <v>135</v>
      </c>
      <c r="N2852" s="3">
        <v>47</v>
      </c>
      <c r="O2852" s="3" t="s">
        <v>102</v>
      </c>
      <c r="P2852" s="3" t="s">
        <v>45</v>
      </c>
      <c r="Q2852" s="4">
        <v>2</v>
      </c>
      <c r="R2852" s="4" t="str">
        <f>IF(Table1[[#This Row],[Customer Ratings]]&gt;=4, "Good",IF(Table1[[#This Row],[Customer Ratings]]=3, "Average","Poor"))</f>
        <v>Poor</v>
      </c>
      <c r="S2852" s="3" t="s">
        <v>46</v>
      </c>
    </row>
    <row r="2853" spans="1:19" x14ac:dyDescent="0.25">
      <c r="A2853" s="3">
        <v>2852</v>
      </c>
      <c r="B2853" s="5">
        <f>DATE(Table1[[#This Row],[Year]],Table1[[#This Row],[Month]],Table1[[#This Row],[Day]])</f>
        <v>45288</v>
      </c>
      <c r="C2853" s="3">
        <v>28</v>
      </c>
      <c r="D2853" s="3">
        <v>12</v>
      </c>
      <c r="E2853" s="3">
        <v>2023</v>
      </c>
      <c r="F2853" s="3" t="str">
        <f>"Qtr"&amp; " " &amp;CHOOSE(MONTH(Table1[[#This Row],[Date]]),1,1,1,2,2,2,3,3,3,4,4,4)</f>
        <v>Qtr 4</v>
      </c>
      <c r="G2853" s="3" t="str">
        <f>TEXT(Table1[[#This Row],[Date]],"mmmm")</f>
        <v>December</v>
      </c>
      <c r="H2853" s="3" t="s">
        <v>1084</v>
      </c>
      <c r="I2853" s="3" t="s">
        <v>18</v>
      </c>
      <c r="J2853" s="3">
        <v>2</v>
      </c>
      <c r="K2853" s="3">
        <v>44474.47</v>
      </c>
      <c r="L2853" s="3">
        <f>Table1[[#This Row],[Price Per Unit]]*Table1[[#This Row],[Units Sold]]</f>
        <v>88948.94</v>
      </c>
      <c r="M2853" s="3" t="s">
        <v>206</v>
      </c>
      <c r="N2853" s="3">
        <v>28</v>
      </c>
      <c r="O2853" s="3" t="s">
        <v>20</v>
      </c>
      <c r="P2853" s="3" t="s">
        <v>31</v>
      </c>
      <c r="Q2853" s="4">
        <v>2</v>
      </c>
      <c r="R2853" s="4" t="str">
        <f>IF(Table1[[#This Row],[Customer Ratings]]&gt;=4, "Good",IF(Table1[[#This Row],[Customer Ratings]]=3, "Average","Poor"))</f>
        <v>Poor</v>
      </c>
      <c r="S2853" s="3" t="s">
        <v>55</v>
      </c>
    </row>
    <row r="2854" spans="1:19" x14ac:dyDescent="0.25">
      <c r="A2854" s="3">
        <v>2853</v>
      </c>
      <c r="B2854" s="5">
        <f>DATE(Table1[[#This Row],[Year]],Table1[[#This Row],[Month]],Table1[[#This Row],[Day]])</f>
        <v>45289</v>
      </c>
      <c r="C2854" s="3">
        <v>29</v>
      </c>
      <c r="D2854" s="3">
        <v>12</v>
      </c>
      <c r="E2854" s="3">
        <v>2023</v>
      </c>
      <c r="F2854" s="3" t="str">
        <f>"Qtr"&amp; " " &amp;CHOOSE(MONTH(Table1[[#This Row],[Date]]),1,1,1,2,2,2,3,3,3,4,4,4)</f>
        <v>Qtr 4</v>
      </c>
      <c r="G2854" s="3" t="str">
        <f>TEXT(Table1[[#This Row],[Date]],"mmmm")</f>
        <v>December</v>
      </c>
      <c r="H2854" s="3" t="s">
        <v>1085</v>
      </c>
      <c r="I2854" s="3" t="s">
        <v>18</v>
      </c>
      <c r="J2854" s="3">
        <v>6</v>
      </c>
      <c r="K2854" s="3">
        <v>59336.480000000003</v>
      </c>
      <c r="L2854" s="3">
        <f>Table1[[#This Row],[Price Per Unit]]*Table1[[#This Row],[Units Sold]]</f>
        <v>356018.88</v>
      </c>
      <c r="M2854" s="3" t="s">
        <v>666</v>
      </c>
      <c r="N2854" s="3">
        <v>21</v>
      </c>
      <c r="O2854" s="3" t="s">
        <v>54</v>
      </c>
      <c r="P2854" s="3" t="s">
        <v>16</v>
      </c>
      <c r="Q2854" s="4">
        <v>3</v>
      </c>
      <c r="R2854" s="4" t="str">
        <f>IF(Table1[[#This Row],[Customer Ratings]]&gt;=4, "Good",IF(Table1[[#This Row],[Customer Ratings]]=3, "Average","Poor"))</f>
        <v>Average</v>
      </c>
      <c r="S2854" s="3" t="s">
        <v>22</v>
      </c>
    </row>
    <row r="2855" spans="1:19" x14ac:dyDescent="0.25">
      <c r="A2855" s="3">
        <v>2854</v>
      </c>
      <c r="B2855" s="5">
        <f>DATE(Table1[[#This Row],[Year]],Table1[[#This Row],[Month]],Table1[[#This Row],[Day]])</f>
        <v>45289</v>
      </c>
      <c r="C2855" s="3">
        <v>29</v>
      </c>
      <c r="D2855" s="3">
        <v>12</v>
      </c>
      <c r="E2855" s="3">
        <v>2023</v>
      </c>
      <c r="F2855" s="3" t="str">
        <f>"Qtr"&amp; " " &amp;CHOOSE(MONTH(Table1[[#This Row],[Date]]),1,1,1,2,2,2,3,3,3,4,4,4)</f>
        <v>Qtr 4</v>
      </c>
      <c r="G2855" s="3" t="str">
        <f>TEXT(Table1[[#This Row],[Date]],"mmmm")</f>
        <v>December</v>
      </c>
      <c r="H2855" s="3" t="s">
        <v>1085</v>
      </c>
      <c r="I2855" s="3" t="s">
        <v>39</v>
      </c>
      <c r="J2855" s="3">
        <v>3</v>
      </c>
      <c r="K2855" s="3">
        <v>43760.17</v>
      </c>
      <c r="L2855" s="3">
        <f>Table1[[#This Row],[Price Per Unit]]*Table1[[#This Row],[Units Sold]]</f>
        <v>131280.51</v>
      </c>
      <c r="M2855" s="3" t="s">
        <v>955</v>
      </c>
      <c r="N2855" s="3">
        <v>50</v>
      </c>
      <c r="O2855" s="3" t="s">
        <v>81</v>
      </c>
      <c r="P2855" s="3" t="s">
        <v>31</v>
      </c>
      <c r="Q2855" s="4">
        <v>4</v>
      </c>
      <c r="R2855" s="4" t="str">
        <f>IF(Table1[[#This Row],[Customer Ratings]]&gt;=4, "Good",IF(Table1[[#This Row],[Customer Ratings]]=3, "Average","Poor"))</f>
        <v>Good</v>
      </c>
      <c r="S2855" s="3" t="s">
        <v>90</v>
      </c>
    </row>
    <row r="2856" spans="1:19" x14ac:dyDescent="0.25">
      <c r="A2856" s="3">
        <v>2855</v>
      </c>
      <c r="B2856" s="5">
        <f>DATE(Table1[[#This Row],[Year]],Table1[[#This Row],[Month]],Table1[[#This Row],[Day]])</f>
        <v>45289</v>
      </c>
      <c r="C2856" s="3">
        <v>29</v>
      </c>
      <c r="D2856" s="3">
        <v>12</v>
      </c>
      <c r="E2856" s="3">
        <v>2023</v>
      </c>
      <c r="F2856" s="3" t="str">
        <f>"Qtr"&amp; " " &amp;CHOOSE(MONTH(Table1[[#This Row],[Date]]),1,1,1,2,2,2,3,3,3,4,4,4)</f>
        <v>Qtr 4</v>
      </c>
      <c r="G2856" s="3" t="str">
        <f>TEXT(Table1[[#This Row],[Date]],"mmmm")</f>
        <v>December</v>
      </c>
      <c r="H2856" s="3" t="s">
        <v>1085</v>
      </c>
      <c r="I2856" s="3" t="s">
        <v>13</v>
      </c>
      <c r="J2856" s="3">
        <v>9</v>
      </c>
      <c r="K2856" s="3">
        <v>67863.360000000001</v>
      </c>
      <c r="L2856" s="3">
        <f>Table1[[#This Row],[Price Per Unit]]*Table1[[#This Row],[Units Sold]]</f>
        <v>610770.24</v>
      </c>
      <c r="M2856" s="3" t="s">
        <v>917</v>
      </c>
      <c r="N2856" s="3">
        <v>29</v>
      </c>
      <c r="O2856" s="3" t="s">
        <v>15</v>
      </c>
      <c r="P2856" s="3" t="s">
        <v>45</v>
      </c>
      <c r="Q2856" s="4">
        <v>5</v>
      </c>
      <c r="R2856" s="4" t="str">
        <f>IF(Table1[[#This Row],[Customer Ratings]]&gt;=4, "Good",IF(Table1[[#This Row],[Customer Ratings]]=3, "Average","Poor"))</f>
        <v>Good</v>
      </c>
      <c r="S2856" s="3" t="s">
        <v>72</v>
      </c>
    </row>
    <row r="2857" spans="1:19" x14ac:dyDescent="0.25">
      <c r="A2857" s="3">
        <v>2856</v>
      </c>
      <c r="B2857" s="5">
        <f>DATE(Table1[[#This Row],[Year]],Table1[[#This Row],[Month]],Table1[[#This Row],[Day]])</f>
        <v>45290</v>
      </c>
      <c r="C2857" s="3">
        <v>30</v>
      </c>
      <c r="D2857" s="3">
        <v>12</v>
      </c>
      <c r="E2857" s="3">
        <v>2023</v>
      </c>
      <c r="F2857" s="3" t="str">
        <f>"Qtr"&amp; " " &amp;CHOOSE(MONTH(Table1[[#This Row],[Date]]),1,1,1,2,2,2,3,3,3,4,4,4)</f>
        <v>Qtr 4</v>
      </c>
      <c r="G2857" s="3" t="str">
        <f>TEXT(Table1[[#This Row],[Date]],"mmmm")</f>
        <v>December</v>
      </c>
      <c r="H2857" s="3" t="s">
        <v>1079</v>
      </c>
      <c r="I2857" s="3" t="s">
        <v>13</v>
      </c>
      <c r="J2857" s="3">
        <v>3</v>
      </c>
      <c r="K2857" s="3">
        <v>23033.45</v>
      </c>
      <c r="L2857" s="3">
        <f>Table1[[#This Row],[Price Per Unit]]*Table1[[#This Row],[Units Sold]]</f>
        <v>69100.350000000006</v>
      </c>
      <c r="M2857" s="3" t="s">
        <v>525</v>
      </c>
      <c r="N2857" s="3">
        <v>26</v>
      </c>
      <c r="O2857" s="3" t="s">
        <v>35</v>
      </c>
      <c r="P2857" s="3" t="s">
        <v>45</v>
      </c>
      <c r="Q2857" s="4">
        <v>3</v>
      </c>
      <c r="R2857" s="4" t="str">
        <f>IF(Table1[[#This Row],[Customer Ratings]]&gt;=4, "Good",IF(Table1[[#This Row],[Customer Ratings]]=3, "Average","Poor"))</f>
        <v>Average</v>
      </c>
      <c r="S2857" s="3" t="s">
        <v>17</v>
      </c>
    </row>
    <row r="2858" spans="1:19" x14ac:dyDescent="0.25">
      <c r="A2858" s="3">
        <v>2857</v>
      </c>
      <c r="B2858" s="5">
        <f>DATE(Table1[[#This Row],[Year]],Table1[[#This Row],[Month]],Table1[[#This Row],[Day]])</f>
        <v>45290</v>
      </c>
      <c r="C2858" s="3">
        <v>30</v>
      </c>
      <c r="D2858" s="3">
        <v>12</v>
      </c>
      <c r="E2858" s="3">
        <v>2023</v>
      </c>
      <c r="F2858" s="3" t="str">
        <f>"Qtr"&amp; " " &amp;CHOOSE(MONTH(Table1[[#This Row],[Date]]),1,1,1,2,2,2,3,3,3,4,4,4)</f>
        <v>Qtr 4</v>
      </c>
      <c r="G2858" s="3" t="str">
        <f>TEXT(Table1[[#This Row],[Date]],"mmmm")</f>
        <v>December</v>
      </c>
      <c r="H2858" s="3" t="s">
        <v>1079</v>
      </c>
      <c r="I2858" s="3" t="s">
        <v>39</v>
      </c>
      <c r="J2858" s="3">
        <v>3</v>
      </c>
      <c r="K2858" s="3">
        <v>52847.92</v>
      </c>
      <c r="L2858" s="3">
        <f>Table1[[#This Row],[Price Per Unit]]*Table1[[#This Row],[Units Sold]]</f>
        <v>158543.76</v>
      </c>
      <c r="M2858" s="3" t="s">
        <v>491</v>
      </c>
      <c r="N2858" s="3">
        <v>49</v>
      </c>
      <c r="O2858" s="3" t="s">
        <v>65</v>
      </c>
      <c r="P2858" s="3" t="s">
        <v>16</v>
      </c>
      <c r="Q2858" s="4">
        <v>2</v>
      </c>
      <c r="R2858" s="4" t="str">
        <f>IF(Table1[[#This Row],[Customer Ratings]]&gt;=4, "Good",IF(Table1[[#This Row],[Customer Ratings]]=3, "Average","Poor"))</f>
        <v>Poor</v>
      </c>
      <c r="S2858" s="3" t="s">
        <v>42</v>
      </c>
    </row>
    <row r="2859" spans="1:19" x14ac:dyDescent="0.25">
      <c r="A2859" s="3">
        <v>2858</v>
      </c>
      <c r="B2859" s="5">
        <f>DATE(Table1[[#This Row],[Year]],Table1[[#This Row],[Month]],Table1[[#This Row],[Day]])</f>
        <v>45290</v>
      </c>
      <c r="C2859" s="3">
        <v>30</v>
      </c>
      <c r="D2859" s="3">
        <v>12</v>
      </c>
      <c r="E2859" s="3">
        <v>2023</v>
      </c>
      <c r="F2859" s="3" t="str">
        <f>"Qtr"&amp; " " &amp;CHOOSE(MONTH(Table1[[#This Row],[Date]]),1,1,1,2,2,2,3,3,3,4,4,4)</f>
        <v>Qtr 4</v>
      </c>
      <c r="G2859" s="3" t="str">
        <f>TEXT(Table1[[#This Row],[Date]],"mmmm")</f>
        <v>December</v>
      </c>
      <c r="H2859" s="3" t="s">
        <v>1079</v>
      </c>
      <c r="I2859" s="3" t="s">
        <v>13</v>
      </c>
      <c r="J2859" s="3">
        <v>5</v>
      </c>
      <c r="K2859" s="3">
        <v>32196.65</v>
      </c>
      <c r="L2859" s="3">
        <f>Table1[[#This Row],[Price Per Unit]]*Table1[[#This Row],[Units Sold]]</f>
        <v>160983.25</v>
      </c>
      <c r="M2859" s="3" t="s">
        <v>817</v>
      </c>
      <c r="N2859" s="3">
        <v>28</v>
      </c>
      <c r="O2859" s="3" t="s">
        <v>24</v>
      </c>
      <c r="P2859" s="3" t="s">
        <v>16</v>
      </c>
      <c r="Q2859" s="4">
        <v>2</v>
      </c>
      <c r="R2859" s="4" t="str">
        <f>IF(Table1[[#This Row],[Customer Ratings]]&gt;=4, "Good",IF(Table1[[#This Row],[Customer Ratings]]=3, "Average","Poor"))</f>
        <v>Poor</v>
      </c>
      <c r="S2859" s="3" t="s">
        <v>72</v>
      </c>
    </row>
    <row r="2860" spans="1:19" x14ac:dyDescent="0.25">
      <c r="A2860" s="3">
        <v>2859</v>
      </c>
      <c r="B2860" s="5">
        <f>DATE(Table1[[#This Row],[Year]],Table1[[#This Row],[Month]],Table1[[#This Row],[Day]])</f>
        <v>45291</v>
      </c>
      <c r="C2860" s="3">
        <v>31</v>
      </c>
      <c r="D2860" s="3">
        <v>12</v>
      </c>
      <c r="E2860" s="3">
        <v>2023</v>
      </c>
      <c r="F2860" s="3" t="str">
        <f>"Qtr"&amp; " " &amp;CHOOSE(MONTH(Table1[[#This Row],[Date]]),1,1,1,2,2,2,3,3,3,4,4,4)</f>
        <v>Qtr 4</v>
      </c>
      <c r="G2860" s="3" t="str">
        <f>TEXT(Table1[[#This Row],[Date]],"mmmm")</f>
        <v>December</v>
      </c>
      <c r="H2860" s="3" t="s">
        <v>1080</v>
      </c>
      <c r="I2860" s="3" t="s">
        <v>28</v>
      </c>
      <c r="J2860" s="3">
        <v>7</v>
      </c>
      <c r="K2860" s="3">
        <v>26737.97</v>
      </c>
      <c r="L2860" s="3">
        <f>Table1[[#This Row],[Price Per Unit]]*Table1[[#This Row],[Units Sold]]</f>
        <v>187165.79</v>
      </c>
      <c r="M2860" s="3" t="s">
        <v>217</v>
      </c>
      <c r="N2860" s="3">
        <v>54</v>
      </c>
      <c r="O2860" s="3" t="s">
        <v>48</v>
      </c>
      <c r="P2860" s="3" t="s">
        <v>31</v>
      </c>
      <c r="Q2860" s="4">
        <v>5</v>
      </c>
      <c r="R2860" s="4" t="str">
        <f>IF(Table1[[#This Row],[Customer Ratings]]&gt;=4, "Good",IF(Table1[[#This Row],[Customer Ratings]]=3, "Average","Poor"))</f>
        <v>Good</v>
      </c>
      <c r="S2860" s="3" t="s">
        <v>38</v>
      </c>
    </row>
    <row r="2861" spans="1:19" x14ac:dyDescent="0.25">
      <c r="A2861" s="3">
        <v>2860</v>
      </c>
      <c r="B2861" s="5">
        <f>DATE(Table1[[#This Row],[Year]],Table1[[#This Row],[Month]],Table1[[#This Row],[Day]])</f>
        <v>45291</v>
      </c>
      <c r="C2861" s="3">
        <v>31</v>
      </c>
      <c r="D2861" s="3">
        <v>12</v>
      </c>
      <c r="E2861" s="3">
        <v>2023</v>
      </c>
      <c r="F2861" s="3" t="str">
        <f>"Qtr"&amp; " " &amp;CHOOSE(MONTH(Table1[[#This Row],[Date]]),1,1,1,2,2,2,3,3,3,4,4,4)</f>
        <v>Qtr 4</v>
      </c>
      <c r="G2861" s="3" t="str">
        <f>TEXT(Table1[[#This Row],[Date]],"mmmm")</f>
        <v>December</v>
      </c>
      <c r="H2861" s="3" t="s">
        <v>1080</v>
      </c>
      <c r="I2861" s="3" t="s">
        <v>33</v>
      </c>
      <c r="J2861" s="3">
        <v>8</v>
      </c>
      <c r="K2861" s="3">
        <v>20823.25</v>
      </c>
      <c r="L2861" s="3">
        <f>Table1[[#This Row],[Price Per Unit]]*Table1[[#This Row],[Units Sold]]</f>
        <v>166586</v>
      </c>
      <c r="M2861" s="3" t="s">
        <v>1012</v>
      </c>
      <c r="N2861" s="3">
        <v>41</v>
      </c>
      <c r="O2861" s="3" t="s">
        <v>41</v>
      </c>
      <c r="P2861" s="3" t="s">
        <v>16</v>
      </c>
      <c r="Q2861" s="4">
        <v>2</v>
      </c>
      <c r="R2861" s="4" t="str">
        <f>IF(Table1[[#This Row],[Customer Ratings]]&gt;=4, "Good",IF(Table1[[#This Row],[Customer Ratings]]=3, "Average","Poor"))</f>
        <v>Poor</v>
      </c>
      <c r="S2861" s="3" t="s">
        <v>36</v>
      </c>
    </row>
    <row r="2862" spans="1:19" x14ac:dyDescent="0.25">
      <c r="A2862" s="3">
        <v>2861</v>
      </c>
      <c r="B2862" s="5">
        <f>DATE(Table1[[#This Row],[Year]],Table1[[#This Row],[Month]],Table1[[#This Row],[Day]])</f>
        <v>45291</v>
      </c>
      <c r="C2862" s="3">
        <v>31</v>
      </c>
      <c r="D2862" s="3">
        <v>12</v>
      </c>
      <c r="E2862" s="3">
        <v>2023</v>
      </c>
      <c r="F2862" s="3" t="str">
        <f>"Qtr"&amp; " " &amp;CHOOSE(MONTH(Table1[[#This Row],[Date]]),1,1,1,2,2,2,3,3,3,4,4,4)</f>
        <v>Qtr 4</v>
      </c>
      <c r="G2862" s="3" t="str">
        <f>TEXT(Table1[[#This Row],[Date]],"mmmm")</f>
        <v>December</v>
      </c>
      <c r="H2862" s="3" t="s">
        <v>1080</v>
      </c>
      <c r="I2862" s="3" t="s">
        <v>18</v>
      </c>
      <c r="J2862" s="3">
        <v>7</v>
      </c>
      <c r="K2862" s="3">
        <v>43150.21</v>
      </c>
      <c r="L2862" s="3">
        <f>Table1[[#This Row],[Price Per Unit]]*Table1[[#This Row],[Units Sold]]</f>
        <v>302051.46999999997</v>
      </c>
      <c r="M2862" s="3" t="s">
        <v>114</v>
      </c>
      <c r="N2862" s="3">
        <v>24</v>
      </c>
      <c r="O2862" s="3" t="s">
        <v>137</v>
      </c>
      <c r="P2862" s="3" t="s">
        <v>31</v>
      </c>
      <c r="Q2862" s="4">
        <v>5</v>
      </c>
      <c r="R2862" s="4" t="str">
        <f>IF(Table1[[#This Row],[Customer Ratings]]&gt;=4, "Good",IF(Table1[[#This Row],[Customer Ratings]]=3, "Average","Poor"))</f>
        <v>Good</v>
      </c>
      <c r="S2862" s="3" t="s">
        <v>22</v>
      </c>
    </row>
    <row r="2863" spans="1:19" x14ac:dyDescent="0.25">
      <c r="A2863" s="3">
        <v>2862</v>
      </c>
      <c r="B2863" s="5">
        <f>DATE(Table1[[#This Row],[Year]],Table1[[#This Row],[Month]],Table1[[#This Row],[Day]])</f>
        <v>45291</v>
      </c>
      <c r="C2863" s="3">
        <v>31</v>
      </c>
      <c r="D2863" s="3">
        <v>12</v>
      </c>
      <c r="E2863" s="3">
        <v>2023</v>
      </c>
      <c r="F2863" s="3" t="str">
        <f>"Qtr"&amp; " " &amp;CHOOSE(MONTH(Table1[[#This Row],[Date]]),1,1,1,2,2,2,3,3,3,4,4,4)</f>
        <v>Qtr 4</v>
      </c>
      <c r="G2863" s="3" t="str">
        <f>TEXT(Table1[[#This Row],[Date]],"mmmm")</f>
        <v>December</v>
      </c>
      <c r="H2863" s="3" t="s">
        <v>1080</v>
      </c>
      <c r="I2863" s="3" t="s">
        <v>33</v>
      </c>
      <c r="J2863" s="3">
        <v>9</v>
      </c>
      <c r="K2863" s="3">
        <v>22928.17</v>
      </c>
      <c r="L2863" s="3">
        <f>Table1[[#This Row],[Price Per Unit]]*Table1[[#This Row],[Units Sold]]</f>
        <v>206353.52999999997</v>
      </c>
      <c r="M2863" s="3" t="s">
        <v>158</v>
      </c>
      <c r="N2863" s="3">
        <v>25</v>
      </c>
      <c r="O2863" s="3" t="s">
        <v>24</v>
      </c>
      <c r="P2863" s="3" t="s">
        <v>21</v>
      </c>
      <c r="Q2863" s="4">
        <v>4</v>
      </c>
      <c r="R2863" s="4" t="str">
        <f>IF(Table1[[#This Row],[Customer Ratings]]&gt;=4, "Good",IF(Table1[[#This Row],[Customer Ratings]]=3, "Average","Poor"))</f>
        <v>Good</v>
      </c>
      <c r="S2863" s="3" t="s">
        <v>46</v>
      </c>
    </row>
    <row r="2864" spans="1:19" x14ac:dyDescent="0.25">
      <c r="A2864" s="3">
        <v>2863</v>
      </c>
      <c r="B2864" s="5">
        <f>DATE(Table1[[#This Row],[Year]],Table1[[#This Row],[Month]],Table1[[#This Row],[Day]])</f>
        <v>45292</v>
      </c>
      <c r="C2864" s="3">
        <v>1</v>
      </c>
      <c r="D2864" s="3">
        <v>1</v>
      </c>
      <c r="E2864" s="3">
        <v>2024</v>
      </c>
      <c r="F2864" s="3" t="str">
        <f>"Qtr"&amp; " " &amp;CHOOSE(MONTH(Table1[[#This Row],[Date]]),1,1,1,2,2,2,3,3,3,4,4,4)</f>
        <v>Qtr 1</v>
      </c>
      <c r="G2864" s="3" t="str">
        <f>TEXT(Table1[[#This Row],[Date]],"mmmm")</f>
        <v>January</v>
      </c>
      <c r="H2864" s="3" t="s">
        <v>1081</v>
      </c>
      <c r="I2864" s="3" t="s">
        <v>18</v>
      </c>
      <c r="J2864" s="3">
        <v>5</v>
      </c>
      <c r="K2864" s="3">
        <v>22021.05</v>
      </c>
      <c r="L2864" s="3">
        <f>Table1[[#This Row],[Price Per Unit]]*Table1[[#This Row],[Units Sold]]</f>
        <v>110105.25</v>
      </c>
      <c r="M2864" s="3" t="s">
        <v>754</v>
      </c>
      <c r="N2864" s="3">
        <v>50</v>
      </c>
      <c r="O2864" s="3" t="s">
        <v>48</v>
      </c>
      <c r="P2864" s="3" t="s">
        <v>45</v>
      </c>
      <c r="Q2864" s="4">
        <v>5</v>
      </c>
      <c r="R2864" s="4" t="str">
        <f>IF(Table1[[#This Row],[Customer Ratings]]&gt;=4, "Good",IF(Table1[[#This Row],[Customer Ratings]]=3, "Average","Poor"))</f>
        <v>Good</v>
      </c>
      <c r="S2864" s="3" t="s">
        <v>55</v>
      </c>
    </row>
    <row r="2865" spans="1:19" x14ac:dyDescent="0.25">
      <c r="A2865" s="3">
        <v>2864</v>
      </c>
      <c r="B2865" s="5">
        <f>DATE(Table1[[#This Row],[Year]],Table1[[#This Row],[Month]],Table1[[#This Row],[Day]])</f>
        <v>45292</v>
      </c>
      <c r="C2865" s="3">
        <v>1</v>
      </c>
      <c r="D2865" s="3">
        <v>1</v>
      </c>
      <c r="E2865" s="3">
        <v>2024</v>
      </c>
      <c r="F2865" s="3" t="str">
        <f>"Qtr"&amp; " " &amp;CHOOSE(MONTH(Table1[[#This Row],[Date]]),1,1,1,2,2,2,3,3,3,4,4,4)</f>
        <v>Qtr 1</v>
      </c>
      <c r="G2865" s="3" t="str">
        <f>TEXT(Table1[[#This Row],[Date]],"mmmm")</f>
        <v>January</v>
      </c>
      <c r="H2865" s="3" t="s">
        <v>1081</v>
      </c>
      <c r="I2865" s="3" t="s">
        <v>28</v>
      </c>
      <c r="J2865" s="3">
        <v>3</v>
      </c>
      <c r="K2865" s="3">
        <v>69431.91</v>
      </c>
      <c r="L2865" s="3">
        <f>Table1[[#This Row],[Price Per Unit]]*Table1[[#This Row],[Units Sold]]</f>
        <v>208295.73</v>
      </c>
      <c r="M2865" s="3" t="s">
        <v>583</v>
      </c>
      <c r="N2865" s="3">
        <v>42</v>
      </c>
      <c r="O2865" s="3" t="s">
        <v>58</v>
      </c>
      <c r="P2865" s="3" t="s">
        <v>16</v>
      </c>
      <c r="Q2865" s="4">
        <v>4</v>
      </c>
      <c r="R2865" s="4" t="str">
        <f>IF(Table1[[#This Row],[Customer Ratings]]&gt;=4, "Good",IF(Table1[[#This Row],[Customer Ratings]]=3, "Average","Poor"))</f>
        <v>Good</v>
      </c>
      <c r="S2865" s="3" t="s">
        <v>38</v>
      </c>
    </row>
    <row r="2866" spans="1:19" x14ac:dyDescent="0.25">
      <c r="A2866" s="3">
        <v>2865</v>
      </c>
      <c r="B2866" s="5">
        <f>DATE(Table1[[#This Row],[Year]],Table1[[#This Row],[Month]],Table1[[#This Row],[Day]])</f>
        <v>45292</v>
      </c>
      <c r="C2866" s="3">
        <v>1</v>
      </c>
      <c r="D2866" s="3">
        <v>1</v>
      </c>
      <c r="E2866" s="3">
        <v>2024</v>
      </c>
      <c r="F2866" s="3" t="str">
        <f>"Qtr"&amp; " " &amp;CHOOSE(MONTH(Table1[[#This Row],[Date]]),1,1,1,2,2,2,3,3,3,4,4,4)</f>
        <v>Qtr 1</v>
      </c>
      <c r="G2866" s="3" t="str">
        <f>TEXT(Table1[[#This Row],[Date]],"mmmm")</f>
        <v>January</v>
      </c>
      <c r="H2866" s="3" t="s">
        <v>1081</v>
      </c>
      <c r="I2866" s="3" t="s">
        <v>13</v>
      </c>
      <c r="J2866" s="3">
        <v>6</v>
      </c>
      <c r="K2866" s="3">
        <v>58104.85</v>
      </c>
      <c r="L2866" s="3">
        <f>Table1[[#This Row],[Price Per Unit]]*Table1[[#This Row],[Units Sold]]</f>
        <v>348629.1</v>
      </c>
      <c r="M2866" s="3" t="s">
        <v>778</v>
      </c>
      <c r="N2866" s="3">
        <v>18</v>
      </c>
      <c r="O2866" s="3" t="s">
        <v>24</v>
      </c>
      <c r="P2866" s="3" t="s">
        <v>21</v>
      </c>
      <c r="Q2866" s="4">
        <v>3</v>
      </c>
      <c r="R2866" s="4" t="str">
        <f>IF(Table1[[#This Row],[Customer Ratings]]&gt;=4, "Good",IF(Table1[[#This Row],[Customer Ratings]]=3, "Average","Poor"))</f>
        <v>Average</v>
      </c>
      <c r="S2866" s="3" t="s">
        <v>17</v>
      </c>
    </row>
    <row r="2867" spans="1:19" x14ac:dyDescent="0.25">
      <c r="A2867" s="3">
        <v>2866</v>
      </c>
      <c r="B2867" s="5">
        <f>DATE(Table1[[#This Row],[Year]],Table1[[#This Row],[Month]],Table1[[#This Row],[Day]])</f>
        <v>45292</v>
      </c>
      <c r="C2867" s="3">
        <v>1</v>
      </c>
      <c r="D2867" s="3">
        <v>1</v>
      </c>
      <c r="E2867" s="3">
        <v>2024</v>
      </c>
      <c r="F2867" s="3" t="str">
        <f>"Qtr"&amp; " " &amp;CHOOSE(MONTH(Table1[[#This Row],[Date]]),1,1,1,2,2,2,3,3,3,4,4,4)</f>
        <v>Qtr 1</v>
      </c>
      <c r="G2867" s="3" t="str">
        <f>TEXT(Table1[[#This Row],[Date]],"mmmm")</f>
        <v>January</v>
      </c>
      <c r="H2867" s="3" t="s">
        <v>1081</v>
      </c>
      <c r="I2867" s="3" t="s">
        <v>39</v>
      </c>
      <c r="J2867" s="3">
        <v>5</v>
      </c>
      <c r="K2867" s="3">
        <v>54896.61</v>
      </c>
      <c r="L2867" s="3">
        <f>Table1[[#This Row],[Price Per Unit]]*Table1[[#This Row],[Units Sold]]</f>
        <v>274483.05</v>
      </c>
      <c r="M2867" s="3" t="s">
        <v>536</v>
      </c>
      <c r="N2867" s="3">
        <v>20</v>
      </c>
      <c r="O2867" s="3" t="s">
        <v>20</v>
      </c>
      <c r="P2867" s="3" t="s">
        <v>21</v>
      </c>
      <c r="Q2867" s="4">
        <v>2</v>
      </c>
      <c r="R2867" s="4" t="str">
        <f>IF(Table1[[#This Row],[Customer Ratings]]&gt;=4, "Good",IF(Table1[[#This Row],[Customer Ratings]]=3, "Average","Poor"))</f>
        <v>Poor</v>
      </c>
      <c r="S2867" s="3" t="s">
        <v>90</v>
      </c>
    </row>
    <row r="2868" spans="1:19" x14ac:dyDescent="0.25">
      <c r="A2868" s="3">
        <v>2867</v>
      </c>
      <c r="B2868" s="5">
        <f>DATE(Table1[[#This Row],[Year]],Table1[[#This Row],[Month]],Table1[[#This Row],[Day]])</f>
        <v>45293</v>
      </c>
      <c r="C2868" s="3">
        <v>2</v>
      </c>
      <c r="D2868" s="3">
        <v>1</v>
      </c>
      <c r="E2868" s="3">
        <v>2024</v>
      </c>
      <c r="F2868" s="3" t="str">
        <f>"Qtr"&amp; " " &amp;CHOOSE(MONTH(Table1[[#This Row],[Date]]),1,1,1,2,2,2,3,3,3,4,4,4)</f>
        <v>Qtr 1</v>
      </c>
      <c r="G2868" s="3" t="str">
        <f>TEXT(Table1[[#This Row],[Date]],"mmmm")</f>
        <v>January</v>
      </c>
      <c r="H2868" s="3" t="s">
        <v>1082</v>
      </c>
      <c r="I2868" s="3" t="s">
        <v>28</v>
      </c>
      <c r="J2868" s="3">
        <v>4</v>
      </c>
      <c r="K2868" s="3">
        <v>57643.64</v>
      </c>
      <c r="L2868" s="3">
        <f>Table1[[#This Row],[Price Per Unit]]*Table1[[#This Row],[Units Sold]]</f>
        <v>230574.56</v>
      </c>
      <c r="M2868" s="3" t="s">
        <v>987</v>
      </c>
      <c r="N2868" s="3">
        <v>57</v>
      </c>
      <c r="O2868" s="3" t="s">
        <v>20</v>
      </c>
      <c r="P2868" s="3" t="s">
        <v>31</v>
      </c>
      <c r="Q2868" s="4">
        <v>5</v>
      </c>
      <c r="R2868" s="4" t="str">
        <f>IF(Table1[[#This Row],[Customer Ratings]]&gt;=4, "Good",IF(Table1[[#This Row],[Customer Ratings]]=3, "Average","Poor"))</f>
        <v>Good</v>
      </c>
      <c r="S2868" s="3" t="s">
        <v>38</v>
      </c>
    </row>
    <row r="2869" spans="1:19" x14ac:dyDescent="0.25">
      <c r="A2869" s="3">
        <v>2868</v>
      </c>
      <c r="B2869" s="5">
        <f>DATE(Table1[[#This Row],[Year]],Table1[[#This Row],[Month]],Table1[[#This Row],[Day]])</f>
        <v>45293</v>
      </c>
      <c r="C2869" s="3">
        <v>2</v>
      </c>
      <c r="D2869" s="3">
        <v>1</v>
      </c>
      <c r="E2869" s="3">
        <v>2024</v>
      </c>
      <c r="F2869" s="3" t="str">
        <f>"Qtr"&amp; " " &amp;CHOOSE(MONTH(Table1[[#This Row],[Date]]),1,1,1,2,2,2,3,3,3,4,4,4)</f>
        <v>Qtr 1</v>
      </c>
      <c r="G2869" s="3" t="str">
        <f>TEXT(Table1[[#This Row],[Date]],"mmmm")</f>
        <v>January</v>
      </c>
      <c r="H2869" s="3" t="s">
        <v>1082</v>
      </c>
      <c r="I2869" s="3" t="s">
        <v>33</v>
      </c>
      <c r="J2869" s="3">
        <v>2</v>
      </c>
      <c r="K2869" s="3">
        <v>68135.37</v>
      </c>
      <c r="L2869" s="3">
        <f>Table1[[#This Row],[Price Per Unit]]*Table1[[#This Row],[Units Sold]]</f>
        <v>136270.74</v>
      </c>
      <c r="M2869" s="3" t="s">
        <v>222</v>
      </c>
      <c r="N2869" s="3">
        <v>45</v>
      </c>
      <c r="O2869" s="3" t="s">
        <v>41</v>
      </c>
      <c r="P2869" s="3" t="s">
        <v>31</v>
      </c>
      <c r="Q2869" s="4">
        <v>5</v>
      </c>
      <c r="R2869" s="4" t="str">
        <f>IF(Table1[[#This Row],[Customer Ratings]]&gt;=4, "Good",IF(Table1[[#This Row],[Customer Ratings]]=3, "Average","Poor"))</f>
        <v>Good</v>
      </c>
      <c r="S2869" s="3" t="s">
        <v>83</v>
      </c>
    </row>
    <row r="2870" spans="1:19" x14ac:dyDescent="0.25">
      <c r="A2870" s="3">
        <v>2869</v>
      </c>
      <c r="B2870" s="5">
        <f>DATE(Table1[[#This Row],[Year]],Table1[[#This Row],[Month]],Table1[[#This Row],[Day]])</f>
        <v>45293</v>
      </c>
      <c r="C2870" s="3">
        <v>2</v>
      </c>
      <c r="D2870" s="3">
        <v>1</v>
      </c>
      <c r="E2870" s="3">
        <v>2024</v>
      </c>
      <c r="F2870" s="3" t="str">
        <f>"Qtr"&amp; " " &amp;CHOOSE(MONTH(Table1[[#This Row],[Date]]),1,1,1,2,2,2,3,3,3,4,4,4)</f>
        <v>Qtr 1</v>
      </c>
      <c r="G2870" s="3" t="str">
        <f>TEXT(Table1[[#This Row],[Date]],"mmmm")</f>
        <v>January</v>
      </c>
      <c r="H2870" s="3" t="s">
        <v>1082</v>
      </c>
      <c r="I2870" s="3" t="s">
        <v>39</v>
      </c>
      <c r="J2870" s="3">
        <v>7</v>
      </c>
      <c r="K2870" s="3">
        <v>44396.6</v>
      </c>
      <c r="L2870" s="3">
        <f>Table1[[#This Row],[Price Per Unit]]*Table1[[#This Row],[Units Sold]]</f>
        <v>310776.2</v>
      </c>
      <c r="M2870" s="3" t="s">
        <v>702</v>
      </c>
      <c r="N2870" s="3">
        <v>50</v>
      </c>
      <c r="O2870" s="3" t="s">
        <v>125</v>
      </c>
      <c r="P2870" s="3" t="s">
        <v>16</v>
      </c>
      <c r="Q2870" s="4">
        <v>2</v>
      </c>
      <c r="R2870" s="4" t="str">
        <f>IF(Table1[[#This Row],[Customer Ratings]]&gt;=4, "Good",IF(Table1[[#This Row],[Customer Ratings]]=3, "Average","Poor"))</f>
        <v>Poor</v>
      </c>
      <c r="S2870" s="3" t="s">
        <v>90</v>
      </c>
    </row>
    <row r="2871" spans="1:19" x14ac:dyDescent="0.25">
      <c r="A2871" s="3">
        <v>2870</v>
      </c>
      <c r="B2871" s="5">
        <f>DATE(Table1[[#This Row],[Year]],Table1[[#This Row],[Month]],Table1[[#This Row],[Day]])</f>
        <v>45294</v>
      </c>
      <c r="C2871" s="3">
        <v>3</v>
      </c>
      <c r="D2871" s="3">
        <v>1</v>
      </c>
      <c r="E2871" s="3">
        <v>2024</v>
      </c>
      <c r="F2871" s="3" t="str">
        <f>"Qtr"&amp; " " &amp;CHOOSE(MONTH(Table1[[#This Row],[Date]]),1,1,1,2,2,2,3,3,3,4,4,4)</f>
        <v>Qtr 1</v>
      </c>
      <c r="G2871" s="3" t="str">
        <f>TEXT(Table1[[#This Row],[Date]],"mmmm")</f>
        <v>January</v>
      </c>
      <c r="H2871" s="3" t="s">
        <v>1083</v>
      </c>
      <c r="I2871" s="3" t="s">
        <v>13</v>
      </c>
      <c r="J2871" s="3">
        <v>5</v>
      </c>
      <c r="K2871" s="3">
        <v>23214.63</v>
      </c>
      <c r="L2871" s="3">
        <f>Table1[[#This Row],[Price Per Unit]]*Table1[[#This Row],[Units Sold]]</f>
        <v>116073.15000000001</v>
      </c>
      <c r="M2871" s="3" t="s">
        <v>158</v>
      </c>
      <c r="N2871" s="3">
        <v>18</v>
      </c>
      <c r="O2871" s="3" t="s">
        <v>78</v>
      </c>
      <c r="P2871" s="3" t="s">
        <v>31</v>
      </c>
      <c r="Q2871" s="4">
        <v>2</v>
      </c>
      <c r="R2871" s="4" t="str">
        <f>IF(Table1[[#This Row],[Customer Ratings]]&gt;=4, "Good",IF(Table1[[#This Row],[Customer Ratings]]=3, "Average","Poor"))</f>
        <v>Poor</v>
      </c>
      <c r="S2871" s="3" t="s">
        <v>72</v>
      </c>
    </row>
    <row r="2872" spans="1:19" x14ac:dyDescent="0.25">
      <c r="A2872" s="3">
        <v>2871</v>
      </c>
      <c r="B2872" s="5">
        <f>DATE(Table1[[#This Row],[Year]],Table1[[#This Row],[Month]],Table1[[#This Row],[Day]])</f>
        <v>45294</v>
      </c>
      <c r="C2872" s="3">
        <v>3</v>
      </c>
      <c r="D2872" s="3">
        <v>1</v>
      </c>
      <c r="E2872" s="3">
        <v>2024</v>
      </c>
      <c r="F2872" s="3" t="str">
        <f>"Qtr"&amp; " " &amp;CHOOSE(MONTH(Table1[[#This Row],[Date]]),1,1,1,2,2,2,3,3,3,4,4,4)</f>
        <v>Qtr 1</v>
      </c>
      <c r="G2872" s="3" t="str">
        <f>TEXT(Table1[[#This Row],[Date]],"mmmm")</f>
        <v>January</v>
      </c>
      <c r="H2872" s="3" t="s">
        <v>1083</v>
      </c>
      <c r="I2872" s="3" t="s">
        <v>28</v>
      </c>
      <c r="J2872" s="3">
        <v>4</v>
      </c>
      <c r="K2872" s="3">
        <v>61732.58</v>
      </c>
      <c r="L2872" s="3">
        <f>Table1[[#This Row],[Price Per Unit]]*Table1[[#This Row],[Units Sold]]</f>
        <v>246930.32</v>
      </c>
      <c r="M2872" s="3" t="s">
        <v>879</v>
      </c>
      <c r="N2872" s="3">
        <v>55</v>
      </c>
      <c r="O2872" s="3" t="s">
        <v>24</v>
      </c>
      <c r="P2872" s="3" t="s">
        <v>21</v>
      </c>
      <c r="Q2872" s="4">
        <v>3</v>
      </c>
      <c r="R2872" s="4" t="str">
        <f>IF(Table1[[#This Row],[Customer Ratings]]&gt;=4, "Good",IF(Table1[[#This Row],[Customer Ratings]]=3, "Average","Poor"))</f>
        <v>Average</v>
      </c>
      <c r="S2872" s="3" t="s">
        <v>38</v>
      </c>
    </row>
    <row r="2873" spans="1:19" x14ac:dyDescent="0.25">
      <c r="A2873" s="3">
        <v>2872</v>
      </c>
      <c r="B2873" s="5">
        <f>DATE(Table1[[#This Row],[Year]],Table1[[#This Row],[Month]],Table1[[#This Row],[Day]])</f>
        <v>45294</v>
      </c>
      <c r="C2873" s="3">
        <v>3</v>
      </c>
      <c r="D2873" s="3">
        <v>1</v>
      </c>
      <c r="E2873" s="3">
        <v>2024</v>
      </c>
      <c r="F2873" s="3" t="str">
        <f>"Qtr"&amp; " " &amp;CHOOSE(MONTH(Table1[[#This Row],[Date]]),1,1,1,2,2,2,3,3,3,4,4,4)</f>
        <v>Qtr 1</v>
      </c>
      <c r="G2873" s="3" t="str">
        <f>TEXT(Table1[[#This Row],[Date]],"mmmm")</f>
        <v>January</v>
      </c>
      <c r="H2873" s="3" t="s">
        <v>1083</v>
      </c>
      <c r="I2873" s="3" t="s">
        <v>39</v>
      </c>
      <c r="J2873" s="3">
        <v>8</v>
      </c>
      <c r="K2873" s="3">
        <v>54563.839999999997</v>
      </c>
      <c r="L2873" s="3">
        <f>Table1[[#This Row],[Price Per Unit]]*Table1[[#This Row],[Units Sold]]</f>
        <v>436510.71999999997</v>
      </c>
      <c r="M2873" s="3" t="s">
        <v>936</v>
      </c>
      <c r="N2873" s="3">
        <v>44</v>
      </c>
      <c r="O2873" s="3" t="s">
        <v>41</v>
      </c>
      <c r="P2873" s="3" t="s">
        <v>21</v>
      </c>
      <c r="Q2873" s="4">
        <v>4</v>
      </c>
      <c r="R2873" s="4" t="str">
        <f>IF(Table1[[#This Row],[Customer Ratings]]&gt;=4, "Good",IF(Table1[[#This Row],[Customer Ratings]]=3, "Average","Poor"))</f>
        <v>Good</v>
      </c>
      <c r="S2873" s="3" t="s">
        <v>90</v>
      </c>
    </row>
    <row r="2874" spans="1:19" x14ac:dyDescent="0.25">
      <c r="A2874" s="3">
        <v>2873</v>
      </c>
      <c r="B2874" s="5">
        <f>DATE(Table1[[#This Row],[Year]],Table1[[#This Row],[Month]],Table1[[#This Row],[Day]])</f>
        <v>45295</v>
      </c>
      <c r="C2874" s="3">
        <v>4</v>
      </c>
      <c r="D2874" s="3">
        <v>1</v>
      </c>
      <c r="E2874" s="3">
        <v>2024</v>
      </c>
      <c r="F2874" s="3" t="str">
        <f>"Qtr"&amp; " " &amp;CHOOSE(MONTH(Table1[[#This Row],[Date]]),1,1,1,2,2,2,3,3,3,4,4,4)</f>
        <v>Qtr 1</v>
      </c>
      <c r="G2874" s="3" t="str">
        <f>TEXT(Table1[[#This Row],[Date]],"mmmm")</f>
        <v>January</v>
      </c>
      <c r="H2874" s="3" t="s">
        <v>1084</v>
      </c>
      <c r="I2874" s="3" t="s">
        <v>28</v>
      </c>
      <c r="J2874" s="3">
        <v>9</v>
      </c>
      <c r="K2874" s="3">
        <v>34858.5</v>
      </c>
      <c r="L2874" s="3">
        <f>Table1[[#This Row],[Price Per Unit]]*Table1[[#This Row],[Units Sold]]</f>
        <v>313726.5</v>
      </c>
      <c r="M2874" s="3" t="s">
        <v>762</v>
      </c>
      <c r="N2874" s="3">
        <v>55</v>
      </c>
      <c r="O2874" s="3" t="s">
        <v>102</v>
      </c>
      <c r="P2874" s="3" t="s">
        <v>45</v>
      </c>
      <c r="Q2874" s="4">
        <v>3</v>
      </c>
      <c r="R2874" s="4" t="str">
        <f>IF(Table1[[#This Row],[Customer Ratings]]&gt;=4, "Good",IF(Table1[[#This Row],[Customer Ratings]]=3, "Average","Poor"))</f>
        <v>Average</v>
      </c>
      <c r="S2874" s="3" t="s">
        <v>38</v>
      </c>
    </row>
    <row r="2875" spans="1:19" x14ac:dyDescent="0.25">
      <c r="A2875" s="3">
        <v>2874</v>
      </c>
      <c r="B2875" s="5">
        <f>DATE(Table1[[#This Row],[Year]],Table1[[#This Row],[Month]],Table1[[#This Row],[Day]])</f>
        <v>45295</v>
      </c>
      <c r="C2875" s="3">
        <v>4</v>
      </c>
      <c r="D2875" s="3">
        <v>1</v>
      </c>
      <c r="E2875" s="3">
        <v>2024</v>
      </c>
      <c r="F2875" s="3" t="str">
        <f>"Qtr"&amp; " " &amp;CHOOSE(MONTH(Table1[[#This Row],[Date]]),1,1,1,2,2,2,3,3,3,4,4,4)</f>
        <v>Qtr 1</v>
      </c>
      <c r="G2875" s="3" t="str">
        <f>TEXT(Table1[[#This Row],[Date]],"mmmm")</f>
        <v>January</v>
      </c>
      <c r="H2875" s="3" t="s">
        <v>1084</v>
      </c>
      <c r="I2875" s="3" t="s">
        <v>28</v>
      </c>
      <c r="J2875" s="3">
        <v>9</v>
      </c>
      <c r="K2875" s="3">
        <v>38414.17</v>
      </c>
      <c r="L2875" s="3">
        <f>Table1[[#This Row],[Price Per Unit]]*Table1[[#This Row],[Units Sold]]</f>
        <v>345727.52999999997</v>
      </c>
      <c r="M2875" s="3" t="s">
        <v>844</v>
      </c>
      <c r="N2875" s="3">
        <v>52</v>
      </c>
      <c r="O2875" s="3" t="s">
        <v>24</v>
      </c>
      <c r="P2875" s="3" t="s">
        <v>21</v>
      </c>
      <c r="Q2875" s="4">
        <v>2</v>
      </c>
      <c r="R2875" s="4" t="str">
        <f>IF(Table1[[#This Row],[Customer Ratings]]&gt;=4, "Good",IF(Table1[[#This Row],[Customer Ratings]]=3, "Average","Poor"))</f>
        <v>Poor</v>
      </c>
      <c r="S2875" s="3" t="s">
        <v>87</v>
      </c>
    </row>
    <row r="2876" spans="1:19" x14ac:dyDescent="0.25">
      <c r="A2876" s="3">
        <v>2875</v>
      </c>
      <c r="B2876" s="5">
        <f>DATE(Table1[[#This Row],[Year]],Table1[[#This Row],[Month]],Table1[[#This Row],[Day]])</f>
        <v>45295</v>
      </c>
      <c r="C2876" s="3">
        <v>4</v>
      </c>
      <c r="D2876" s="3">
        <v>1</v>
      </c>
      <c r="E2876" s="3">
        <v>2024</v>
      </c>
      <c r="F2876" s="3" t="str">
        <f>"Qtr"&amp; " " &amp;CHOOSE(MONTH(Table1[[#This Row],[Date]]),1,1,1,2,2,2,3,3,3,4,4,4)</f>
        <v>Qtr 1</v>
      </c>
      <c r="G2876" s="3" t="str">
        <f>TEXT(Table1[[#This Row],[Date]],"mmmm")</f>
        <v>January</v>
      </c>
      <c r="H2876" s="3" t="s">
        <v>1084</v>
      </c>
      <c r="I2876" s="3" t="s">
        <v>13</v>
      </c>
      <c r="J2876" s="3">
        <v>3</v>
      </c>
      <c r="K2876" s="3">
        <v>34675.14</v>
      </c>
      <c r="L2876" s="3">
        <f>Table1[[#This Row],[Price Per Unit]]*Table1[[#This Row],[Units Sold]]</f>
        <v>104025.42</v>
      </c>
      <c r="M2876" s="3" t="s">
        <v>903</v>
      </c>
      <c r="N2876" s="3">
        <v>27</v>
      </c>
      <c r="O2876" s="3" t="s">
        <v>54</v>
      </c>
      <c r="P2876" s="3" t="s">
        <v>16</v>
      </c>
      <c r="Q2876" s="4">
        <v>3</v>
      </c>
      <c r="R2876" s="4" t="str">
        <f>IF(Table1[[#This Row],[Customer Ratings]]&gt;=4, "Good",IF(Table1[[#This Row],[Customer Ratings]]=3, "Average","Poor"))</f>
        <v>Average</v>
      </c>
      <c r="S2876" s="3" t="s">
        <v>17</v>
      </c>
    </row>
    <row r="2877" spans="1:19" x14ac:dyDescent="0.25">
      <c r="A2877" s="3">
        <v>2876</v>
      </c>
      <c r="B2877" s="5">
        <f>DATE(Table1[[#This Row],[Year]],Table1[[#This Row],[Month]],Table1[[#This Row],[Day]])</f>
        <v>45296</v>
      </c>
      <c r="C2877" s="3">
        <v>5</v>
      </c>
      <c r="D2877" s="3">
        <v>1</v>
      </c>
      <c r="E2877" s="3">
        <v>2024</v>
      </c>
      <c r="F2877" s="3" t="str">
        <f>"Qtr"&amp; " " &amp;CHOOSE(MONTH(Table1[[#This Row],[Date]]),1,1,1,2,2,2,3,3,3,4,4,4)</f>
        <v>Qtr 1</v>
      </c>
      <c r="G2877" s="3" t="str">
        <f>TEXT(Table1[[#This Row],[Date]],"mmmm")</f>
        <v>January</v>
      </c>
      <c r="H2877" s="3" t="s">
        <v>1085</v>
      </c>
      <c r="I2877" s="3" t="s">
        <v>18</v>
      </c>
      <c r="J2877" s="3">
        <v>3</v>
      </c>
      <c r="K2877" s="3">
        <v>65796.53</v>
      </c>
      <c r="L2877" s="3">
        <f>Table1[[#This Row],[Price Per Unit]]*Table1[[#This Row],[Units Sold]]</f>
        <v>197389.59</v>
      </c>
      <c r="M2877" s="3" t="s">
        <v>73</v>
      </c>
      <c r="N2877" s="3">
        <v>29</v>
      </c>
      <c r="O2877" s="3" t="s">
        <v>105</v>
      </c>
      <c r="P2877" s="3" t="s">
        <v>45</v>
      </c>
      <c r="Q2877" s="4">
        <v>4</v>
      </c>
      <c r="R2877" s="4" t="str">
        <f>IF(Table1[[#This Row],[Customer Ratings]]&gt;=4, "Good",IF(Table1[[#This Row],[Customer Ratings]]=3, "Average","Poor"))</f>
        <v>Good</v>
      </c>
      <c r="S2877" s="3" t="s">
        <v>25</v>
      </c>
    </row>
    <row r="2878" spans="1:19" x14ac:dyDescent="0.25">
      <c r="A2878" s="3">
        <v>2877</v>
      </c>
      <c r="B2878" s="5">
        <f>DATE(Table1[[#This Row],[Year]],Table1[[#This Row],[Month]],Table1[[#This Row],[Day]])</f>
        <v>45296</v>
      </c>
      <c r="C2878" s="3">
        <v>5</v>
      </c>
      <c r="D2878" s="3">
        <v>1</v>
      </c>
      <c r="E2878" s="3">
        <v>2024</v>
      </c>
      <c r="F2878" s="3" t="str">
        <f>"Qtr"&amp; " " &amp;CHOOSE(MONTH(Table1[[#This Row],[Date]]),1,1,1,2,2,2,3,3,3,4,4,4)</f>
        <v>Qtr 1</v>
      </c>
      <c r="G2878" s="3" t="str">
        <f>TEXT(Table1[[#This Row],[Date]],"mmmm")</f>
        <v>January</v>
      </c>
      <c r="H2878" s="3" t="s">
        <v>1085</v>
      </c>
      <c r="I2878" s="3" t="s">
        <v>39</v>
      </c>
      <c r="J2878" s="3">
        <v>5</v>
      </c>
      <c r="K2878" s="3">
        <v>30611.9</v>
      </c>
      <c r="L2878" s="3">
        <f>Table1[[#This Row],[Price Per Unit]]*Table1[[#This Row],[Units Sold]]</f>
        <v>153059.5</v>
      </c>
      <c r="M2878" s="3" t="s">
        <v>840</v>
      </c>
      <c r="N2878" s="3">
        <v>27</v>
      </c>
      <c r="O2878" s="3" t="s">
        <v>24</v>
      </c>
      <c r="P2878" s="3" t="s">
        <v>31</v>
      </c>
      <c r="Q2878" s="4">
        <v>2</v>
      </c>
      <c r="R2878" s="4" t="str">
        <f>IF(Table1[[#This Row],[Customer Ratings]]&gt;=4, "Good",IF(Table1[[#This Row],[Customer Ratings]]=3, "Average","Poor"))</f>
        <v>Poor</v>
      </c>
      <c r="S2878" s="3" t="s">
        <v>90</v>
      </c>
    </row>
    <row r="2879" spans="1:19" x14ac:dyDescent="0.25">
      <c r="A2879" s="3">
        <v>2878</v>
      </c>
      <c r="B2879" s="5">
        <f>DATE(Table1[[#This Row],[Year]],Table1[[#This Row],[Month]],Table1[[#This Row],[Day]])</f>
        <v>45296</v>
      </c>
      <c r="C2879" s="3">
        <v>5</v>
      </c>
      <c r="D2879" s="3">
        <v>1</v>
      </c>
      <c r="E2879" s="3">
        <v>2024</v>
      </c>
      <c r="F2879" s="3" t="str">
        <f>"Qtr"&amp; " " &amp;CHOOSE(MONTH(Table1[[#This Row],[Date]]),1,1,1,2,2,2,3,3,3,4,4,4)</f>
        <v>Qtr 1</v>
      </c>
      <c r="G2879" s="3" t="str">
        <f>TEXT(Table1[[#This Row],[Date]],"mmmm")</f>
        <v>January</v>
      </c>
      <c r="H2879" s="3" t="s">
        <v>1085</v>
      </c>
      <c r="I2879" s="3" t="s">
        <v>13</v>
      </c>
      <c r="J2879" s="3">
        <v>5</v>
      </c>
      <c r="K2879" s="3">
        <v>67809.06</v>
      </c>
      <c r="L2879" s="3">
        <f>Table1[[#This Row],[Price Per Unit]]*Table1[[#This Row],[Units Sold]]</f>
        <v>339045.3</v>
      </c>
      <c r="M2879" s="3" t="s">
        <v>316</v>
      </c>
      <c r="N2879" s="3">
        <v>51</v>
      </c>
      <c r="O2879" s="3" t="s">
        <v>125</v>
      </c>
      <c r="P2879" s="3" t="s">
        <v>45</v>
      </c>
      <c r="Q2879" s="4">
        <v>2</v>
      </c>
      <c r="R2879" s="4" t="str">
        <f>IF(Table1[[#This Row],[Customer Ratings]]&gt;=4, "Good",IF(Table1[[#This Row],[Customer Ratings]]=3, "Average","Poor"))</f>
        <v>Poor</v>
      </c>
      <c r="S2879" s="3" t="s">
        <v>27</v>
      </c>
    </row>
    <row r="2880" spans="1:19" x14ac:dyDescent="0.25">
      <c r="A2880" s="3">
        <v>2879</v>
      </c>
      <c r="B2880" s="5">
        <f>DATE(Table1[[#This Row],[Year]],Table1[[#This Row],[Month]],Table1[[#This Row],[Day]])</f>
        <v>45296</v>
      </c>
      <c r="C2880" s="3">
        <v>5</v>
      </c>
      <c r="D2880" s="3">
        <v>1</v>
      </c>
      <c r="E2880" s="3">
        <v>2024</v>
      </c>
      <c r="F2880" s="3" t="str">
        <f>"Qtr"&amp; " " &amp;CHOOSE(MONTH(Table1[[#This Row],[Date]]),1,1,1,2,2,2,3,3,3,4,4,4)</f>
        <v>Qtr 1</v>
      </c>
      <c r="G2880" s="3" t="str">
        <f>TEXT(Table1[[#This Row],[Date]],"mmmm")</f>
        <v>January</v>
      </c>
      <c r="H2880" s="3" t="s">
        <v>1085</v>
      </c>
      <c r="I2880" s="3" t="s">
        <v>28</v>
      </c>
      <c r="J2880" s="3">
        <v>2</v>
      </c>
      <c r="K2880" s="3">
        <v>64616.31</v>
      </c>
      <c r="L2880" s="3">
        <f>Table1[[#This Row],[Price Per Unit]]*Table1[[#This Row],[Units Sold]]</f>
        <v>129232.62</v>
      </c>
      <c r="M2880" s="3" t="s">
        <v>593</v>
      </c>
      <c r="N2880" s="3">
        <v>41</v>
      </c>
      <c r="O2880" s="3" t="s">
        <v>98</v>
      </c>
      <c r="P2880" s="3" t="s">
        <v>21</v>
      </c>
      <c r="Q2880" s="4">
        <v>5</v>
      </c>
      <c r="R2880" s="4" t="str">
        <f>IF(Table1[[#This Row],[Customer Ratings]]&gt;=4, "Good",IF(Table1[[#This Row],[Customer Ratings]]=3, "Average","Poor"))</f>
        <v>Good</v>
      </c>
      <c r="S2880" s="3" t="s">
        <v>32</v>
      </c>
    </row>
    <row r="2881" spans="1:19" x14ac:dyDescent="0.25">
      <c r="A2881" s="3">
        <v>2880</v>
      </c>
      <c r="B2881" s="5">
        <f>DATE(Table1[[#This Row],[Year]],Table1[[#This Row],[Month]],Table1[[#This Row],[Day]])</f>
        <v>45297</v>
      </c>
      <c r="C2881" s="3">
        <v>6</v>
      </c>
      <c r="D2881" s="3">
        <v>1</v>
      </c>
      <c r="E2881" s="3">
        <v>2024</v>
      </c>
      <c r="F2881" s="3" t="str">
        <f>"Qtr"&amp; " " &amp;CHOOSE(MONTH(Table1[[#This Row],[Date]]),1,1,1,2,2,2,3,3,3,4,4,4)</f>
        <v>Qtr 1</v>
      </c>
      <c r="G2881" s="3" t="str">
        <f>TEXT(Table1[[#This Row],[Date]],"mmmm")</f>
        <v>January</v>
      </c>
      <c r="H2881" s="3" t="s">
        <v>1079</v>
      </c>
      <c r="I2881" s="3" t="s">
        <v>13</v>
      </c>
      <c r="J2881" s="3">
        <v>1</v>
      </c>
      <c r="K2881" s="3">
        <v>47831.27</v>
      </c>
      <c r="L2881" s="3">
        <f>Table1[[#This Row],[Price Per Unit]]*Table1[[#This Row],[Units Sold]]</f>
        <v>47831.27</v>
      </c>
      <c r="M2881" s="3" t="s">
        <v>1013</v>
      </c>
      <c r="N2881" s="3">
        <v>45</v>
      </c>
      <c r="O2881" s="3" t="s">
        <v>35</v>
      </c>
      <c r="P2881" s="3" t="s">
        <v>16</v>
      </c>
      <c r="Q2881" s="4">
        <v>5</v>
      </c>
      <c r="R2881" s="4" t="str">
        <f>IF(Table1[[#This Row],[Customer Ratings]]&gt;=4, "Good",IF(Table1[[#This Row],[Customer Ratings]]=3, "Average","Poor"))</f>
        <v>Good</v>
      </c>
      <c r="S2881" s="3" t="s">
        <v>72</v>
      </c>
    </row>
    <row r="2882" spans="1:19" x14ac:dyDescent="0.25">
      <c r="A2882" s="3">
        <v>2881</v>
      </c>
      <c r="B2882" s="5">
        <f>DATE(Table1[[#This Row],[Year]],Table1[[#This Row],[Month]],Table1[[#This Row],[Day]])</f>
        <v>45297</v>
      </c>
      <c r="C2882" s="3">
        <v>6</v>
      </c>
      <c r="D2882" s="3">
        <v>1</v>
      </c>
      <c r="E2882" s="3">
        <v>2024</v>
      </c>
      <c r="F2882" s="3" t="str">
        <f>"Qtr"&amp; " " &amp;CHOOSE(MONTH(Table1[[#This Row],[Date]]),1,1,1,2,2,2,3,3,3,4,4,4)</f>
        <v>Qtr 1</v>
      </c>
      <c r="G2882" s="3" t="str">
        <f>TEXT(Table1[[#This Row],[Date]],"mmmm")</f>
        <v>January</v>
      </c>
      <c r="H2882" s="3" t="s">
        <v>1079</v>
      </c>
      <c r="I2882" s="3" t="s">
        <v>18</v>
      </c>
      <c r="J2882" s="3">
        <v>8</v>
      </c>
      <c r="K2882" s="3">
        <v>44789.31</v>
      </c>
      <c r="L2882" s="3">
        <f>Table1[[#This Row],[Price Per Unit]]*Table1[[#This Row],[Units Sold]]</f>
        <v>358314.48</v>
      </c>
      <c r="M2882" s="3" t="s">
        <v>731</v>
      </c>
      <c r="N2882" s="3">
        <v>39</v>
      </c>
      <c r="O2882" s="3" t="s">
        <v>30</v>
      </c>
      <c r="P2882" s="3" t="s">
        <v>31</v>
      </c>
      <c r="Q2882" s="4">
        <v>2</v>
      </c>
      <c r="R2882" s="4" t="str">
        <f>IF(Table1[[#This Row],[Customer Ratings]]&gt;=4, "Good",IF(Table1[[#This Row],[Customer Ratings]]=3, "Average","Poor"))</f>
        <v>Poor</v>
      </c>
      <c r="S2882" s="3" t="s">
        <v>22</v>
      </c>
    </row>
    <row r="2883" spans="1:19" x14ac:dyDescent="0.25">
      <c r="A2883" s="3">
        <v>2882</v>
      </c>
      <c r="B2883" s="5">
        <f>DATE(Table1[[#This Row],[Year]],Table1[[#This Row],[Month]],Table1[[#This Row],[Day]])</f>
        <v>45297</v>
      </c>
      <c r="C2883" s="3">
        <v>6</v>
      </c>
      <c r="D2883" s="3">
        <v>1</v>
      </c>
      <c r="E2883" s="3">
        <v>2024</v>
      </c>
      <c r="F2883" s="3" t="str">
        <f>"Qtr"&amp; " " &amp;CHOOSE(MONTH(Table1[[#This Row],[Date]]),1,1,1,2,2,2,3,3,3,4,4,4)</f>
        <v>Qtr 1</v>
      </c>
      <c r="G2883" s="3" t="str">
        <f>TEXT(Table1[[#This Row],[Date]],"mmmm")</f>
        <v>January</v>
      </c>
      <c r="H2883" s="3" t="s">
        <v>1079</v>
      </c>
      <c r="I2883" s="3" t="s">
        <v>39</v>
      </c>
      <c r="J2883" s="3">
        <v>3</v>
      </c>
      <c r="K2883" s="3">
        <v>32205.360000000001</v>
      </c>
      <c r="L2883" s="3">
        <f>Table1[[#This Row],[Price Per Unit]]*Table1[[#This Row],[Units Sold]]</f>
        <v>96616.08</v>
      </c>
      <c r="M2883" s="3" t="s">
        <v>262</v>
      </c>
      <c r="N2883" s="3">
        <v>33</v>
      </c>
      <c r="O2883" s="3" t="s">
        <v>15</v>
      </c>
      <c r="P2883" s="3" t="s">
        <v>31</v>
      </c>
      <c r="Q2883" s="4">
        <v>3</v>
      </c>
      <c r="R2883" s="4" t="str">
        <f>IF(Table1[[#This Row],[Customer Ratings]]&gt;=4, "Good",IF(Table1[[#This Row],[Customer Ratings]]=3, "Average","Poor"))</f>
        <v>Average</v>
      </c>
      <c r="S2883" s="3" t="s">
        <v>90</v>
      </c>
    </row>
    <row r="2884" spans="1:19" x14ac:dyDescent="0.25">
      <c r="A2884" s="3">
        <v>2883</v>
      </c>
      <c r="B2884" s="5">
        <f>DATE(Table1[[#This Row],[Year]],Table1[[#This Row],[Month]],Table1[[#This Row],[Day]])</f>
        <v>45298</v>
      </c>
      <c r="C2884" s="3">
        <v>7</v>
      </c>
      <c r="D2884" s="3">
        <v>1</v>
      </c>
      <c r="E2884" s="3">
        <v>2024</v>
      </c>
      <c r="F2884" s="3" t="str">
        <f>"Qtr"&amp; " " &amp;CHOOSE(MONTH(Table1[[#This Row],[Date]]),1,1,1,2,2,2,3,3,3,4,4,4)</f>
        <v>Qtr 1</v>
      </c>
      <c r="G2884" s="3" t="str">
        <f>TEXT(Table1[[#This Row],[Date]],"mmmm")</f>
        <v>January</v>
      </c>
      <c r="H2884" s="3" t="s">
        <v>1080</v>
      </c>
      <c r="I2884" s="3" t="s">
        <v>18</v>
      </c>
      <c r="J2884" s="3">
        <v>1</v>
      </c>
      <c r="K2884" s="3">
        <v>11100.3</v>
      </c>
      <c r="L2884" s="3">
        <f>Table1[[#This Row],[Price Per Unit]]*Table1[[#This Row],[Units Sold]]</f>
        <v>11100.3</v>
      </c>
      <c r="M2884" s="3" t="s">
        <v>475</v>
      </c>
      <c r="N2884" s="3">
        <v>30</v>
      </c>
      <c r="O2884" s="3" t="s">
        <v>54</v>
      </c>
      <c r="P2884" s="3" t="s">
        <v>21</v>
      </c>
      <c r="Q2884" s="4">
        <v>5</v>
      </c>
      <c r="R2884" s="4" t="str">
        <f>IF(Table1[[#This Row],[Customer Ratings]]&gt;=4, "Good",IF(Table1[[#This Row],[Customer Ratings]]=3, "Average","Poor"))</f>
        <v>Good</v>
      </c>
      <c r="S2884" s="3" t="s">
        <v>22</v>
      </c>
    </row>
    <row r="2885" spans="1:19" x14ac:dyDescent="0.25">
      <c r="A2885" s="3">
        <v>2884</v>
      </c>
      <c r="B2885" s="5">
        <f>DATE(Table1[[#This Row],[Year]],Table1[[#This Row],[Month]],Table1[[#This Row],[Day]])</f>
        <v>45298</v>
      </c>
      <c r="C2885" s="3">
        <v>7</v>
      </c>
      <c r="D2885" s="3">
        <v>1</v>
      </c>
      <c r="E2885" s="3">
        <v>2024</v>
      </c>
      <c r="F2885" s="3" t="str">
        <f>"Qtr"&amp; " " &amp;CHOOSE(MONTH(Table1[[#This Row],[Date]]),1,1,1,2,2,2,3,3,3,4,4,4)</f>
        <v>Qtr 1</v>
      </c>
      <c r="G2885" s="3" t="str">
        <f>TEXT(Table1[[#This Row],[Date]],"mmmm")</f>
        <v>January</v>
      </c>
      <c r="H2885" s="3" t="s">
        <v>1080</v>
      </c>
      <c r="I2885" s="3" t="s">
        <v>33</v>
      </c>
      <c r="J2885" s="3">
        <v>1</v>
      </c>
      <c r="K2885" s="3">
        <v>17657.39</v>
      </c>
      <c r="L2885" s="3">
        <f>Table1[[#This Row],[Price Per Unit]]*Table1[[#This Row],[Units Sold]]</f>
        <v>17657.39</v>
      </c>
      <c r="M2885" s="3" t="s">
        <v>257</v>
      </c>
      <c r="N2885" s="3">
        <v>53</v>
      </c>
      <c r="O2885" s="3" t="s">
        <v>24</v>
      </c>
      <c r="P2885" s="3" t="s">
        <v>16</v>
      </c>
      <c r="Q2885" s="4">
        <v>2</v>
      </c>
      <c r="R2885" s="4" t="str">
        <f>IF(Table1[[#This Row],[Customer Ratings]]&gt;=4, "Good",IF(Table1[[#This Row],[Customer Ratings]]=3, "Average","Poor"))</f>
        <v>Poor</v>
      </c>
      <c r="S2885" s="3" t="s">
        <v>46</v>
      </c>
    </row>
    <row r="2886" spans="1:19" x14ac:dyDescent="0.25">
      <c r="A2886" s="3">
        <v>2885</v>
      </c>
      <c r="B2886" s="5">
        <f>DATE(Table1[[#This Row],[Year]],Table1[[#This Row],[Month]],Table1[[#This Row],[Day]])</f>
        <v>45298</v>
      </c>
      <c r="C2886" s="3">
        <v>7</v>
      </c>
      <c r="D2886" s="3">
        <v>1</v>
      </c>
      <c r="E2886" s="3">
        <v>2024</v>
      </c>
      <c r="F2886" s="3" t="str">
        <f>"Qtr"&amp; " " &amp;CHOOSE(MONTH(Table1[[#This Row],[Date]]),1,1,1,2,2,2,3,3,3,4,4,4)</f>
        <v>Qtr 1</v>
      </c>
      <c r="G2886" s="3" t="str">
        <f>TEXT(Table1[[#This Row],[Date]],"mmmm")</f>
        <v>January</v>
      </c>
      <c r="H2886" s="3" t="s">
        <v>1080</v>
      </c>
      <c r="I2886" s="3" t="s">
        <v>39</v>
      </c>
      <c r="J2886" s="3">
        <v>2</v>
      </c>
      <c r="K2886" s="3">
        <v>55253.88</v>
      </c>
      <c r="L2886" s="3">
        <f>Table1[[#This Row],[Price Per Unit]]*Table1[[#This Row],[Units Sold]]</f>
        <v>110507.76</v>
      </c>
      <c r="M2886" s="3" t="s">
        <v>143</v>
      </c>
      <c r="N2886" s="3">
        <v>53</v>
      </c>
      <c r="O2886" s="3" t="s">
        <v>20</v>
      </c>
      <c r="P2886" s="3" t="s">
        <v>21</v>
      </c>
      <c r="Q2886" s="4">
        <v>4</v>
      </c>
      <c r="R2886" s="4" t="str">
        <f>IF(Table1[[#This Row],[Customer Ratings]]&gt;=4, "Good",IF(Table1[[#This Row],[Customer Ratings]]=3, "Average","Poor"))</f>
        <v>Good</v>
      </c>
      <c r="S2886" s="3" t="s">
        <v>76</v>
      </c>
    </row>
    <row r="2887" spans="1:19" x14ac:dyDescent="0.25">
      <c r="A2887" s="3">
        <v>2886</v>
      </c>
      <c r="B2887" s="5">
        <f>DATE(Table1[[#This Row],[Year]],Table1[[#This Row],[Month]],Table1[[#This Row],[Day]])</f>
        <v>45299</v>
      </c>
      <c r="C2887" s="3">
        <v>8</v>
      </c>
      <c r="D2887" s="3">
        <v>1</v>
      </c>
      <c r="E2887" s="3">
        <v>2024</v>
      </c>
      <c r="F2887" s="3" t="str">
        <f>"Qtr"&amp; " " &amp;CHOOSE(MONTH(Table1[[#This Row],[Date]]),1,1,1,2,2,2,3,3,3,4,4,4)</f>
        <v>Qtr 1</v>
      </c>
      <c r="G2887" s="3" t="str">
        <f>TEXT(Table1[[#This Row],[Date]],"mmmm")</f>
        <v>January</v>
      </c>
      <c r="H2887" s="3" t="s">
        <v>1081</v>
      </c>
      <c r="I2887" s="3" t="s">
        <v>18</v>
      </c>
      <c r="J2887" s="3">
        <v>6</v>
      </c>
      <c r="K2887" s="3">
        <v>38292.410000000003</v>
      </c>
      <c r="L2887" s="3">
        <f>Table1[[#This Row],[Price Per Unit]]*Table1[[#This Row],[Units Sold]]</f>
        <v>229754.46000000002</v>
      </c>
      <c r="M2887" s="3" t="s">
        <v>298</v>
      </c>
      <c r="N2887" s="3">
        <v>40</v>
      </c>
      <c r="O2887" s="3" t="s">
        <v>24</v>
      </c>
      <c r="P2887" s="3" t="s">
        <v>21</v>
      </c>
      <c r="Q2887" s="4">
        <v>3</v>
      </c>
      <c r="R2887" s="4" t="str">
        <f>IF(Table1[[#This Row],[Customer Ratings]]&gt;=4, "Good",IF(Table1[[#This Row],[Customer Ratings]]=3, "Average","Poor"))</f>
        <v>Average</v>
      </c>
      <c r="S2887" s="3" t="s">
        <v>55</v>
      </c>
    </row>
    <row r="2888" spans="1:19" x14ac:dyDescent="0.25">
      <c r="A2888" s="3">
        <v>2887</v>
      </c>
      <c r="B2888" s="5">
        <f>DATE(Table1[[#This Row],[Year]],Table1[[#This Row],[Month]],Table1[[#This Row],[Day]])</f>
        <v>45299</v>
      </c>
      <c r="C2888" s="3">
        <v>8</v>
      </c>
      <c r="D2888" s="3">
        <v>1</v>
      </c>
      <c r="E2888" s="3">
        <v>2024</v>
      </c>
      <c r="F2888" s="3" t="str">
        <f>"Qtr"&amp; " " &amp;CHOOSE(MONTH(Table1[[#This Row],[Date]]),1,1,1,2,2,2,3,3,3,4,4,4)</f>
        <v>Qtr 1</v>
      </c>
      <c r="G2888" s="3" t="str">
        <f>TEXT(Table1[[#This Row],[Date]],"mmmm")</f>
        <v>January</v>
      </c>
      <c r="H2888" s="3" t="s">
        <v>1081</v>
      </c>
      <c r="I2888" s="3" t="s">
        <v>28</v>
      </c>
      <c r="J2888" s="3">
        <v>6</v>
      </c>
      <c r="K2888" s="3">
        <v>18990.29</v>
      </c>
      <c r="L2888" s="3">
        <f>Table1[[#This Row],[Price Per Unit]]*Table1[[#This Row],[Units Sold]]</f>
        <v>113941.74</v>
      </c>
      <c r="M2888" s="3" t="s">
        <v>674</v>
      </c>
      <c r="N2888" s="3">
        <v>31</v>
      </c>
      <c r="O2888" s="3" t="s">
        <v>65</v>
      </c>
      <c r="P2888" s="3" t="s">
        <v>16</v>
      </c>
      <c r="Q2888" s="4">
        <v>4</v>
      </c>
      <c r="R2888" s="4" t="str">
        <f>IF(Table1[[#This Row],[Customer Ratings]]&gt;=4, "Good",IF(Table1[[#This Row],[Customer Ratings]]=3, "Average","Poor"))</f>
        <v>Good</v>
      </c>
      <c r="S2888" s="3" t="s">
        <v>32</v>
      </c>
    </row>
    <row r="2889" spans="1:19" x14ac:dyDescent="0.25">
      <c r="A2889" s="3">
        <v>2888</v>
      </c>
      <c r="B2889" s="5">
        <f>DATE(Table1[[#This Row],[Year]],Table1[[#This Row],[Month]],Table1[[#This Row],[Day]])</f>
        <v>45299</v>
      </c>
      <c r="C2889" s="3">
        <v>8</v>
      </c>
      <c r="D2889" s="3">
        <v>1</v>
      </c>
      <c r="E2889" s="3">
        <v>2024</v>
      </c>
      <c r="F2889" s="3" t="str">
        <f>"Qtr"&amp; " " &amp;CHOOSE(MONTH(Table1[[#This Row],[Date]]),1,1,1,2,2,2,3,3,3,4,4,4)</f>
        <v>Qtr 1</v>
      </c>
      <c r="G2889" s="3" t="str">
        <f>TEXT(Table1[[#This Row],[Date]],"mmmm")</f>
        <v>January</v>
      </c>
      <c r="H2889" s="3" t="s">
        <v>1081</v>
      </c>
      <c r="I2889" s="3" t="s">
        <v>39</v>
      </c>
      <c r="J2889" s="3">
        <v>3</v>
      </c>
      <c r="K2889" s="3">
        <v>25837.65</v>
      </c>
      <c r="L2889" s="3">
        <f>Table1[[#This Row],[Price Per Unit]]*Table1[[#This Row],[Units Sold]]</f>
        <v>77512.950000000012</v>
      </c>
      <c r="M2889" s="3" t="s">
        <v>247</v>
      </c>
      <c r="N2889" s="3">
        <v>49</v>
      </c>
      <c r="O2889" s="3" t="s">
        <v>24</v>
      </c>
      <c r="P2889" s="3" t="s">
        <v>21</v>
      </c>
      <c r="Q2889" s="4">
        <v>3</v>
      </c>
      <c r="R2889" s="4" t="str">
        <f>IF(Table1[[#This Row],[Customer Ratings]]&gt;=4, "Good",IF(Table1[[#This Row],[Customer Ratings]]=3, "Average","Poor"))</f>
        <v>Average</v>
      </c>
      <c r="S2889" s="3" t="s">
        <v>42</v>
      </c>
    </row>
    <row r="2890" spans="1:19" x14ac:dyDescent="0.25">
      <c r="A2890" s="3">
        <v>2889</v>
      </c>
      <c r="B2890" s="5">
        <f>DATE(Table1[[#This Row],[Year]],Table1[[#This Row],[Month]],Table1[[#This Row],[Day]])</f>
        <v>45299</v>
      </c>
      <c r="C2890" s="3">
        <v>8</v>
      </c>
      <c r="D2890" s="3">
        <v>1</v>
      </c>
      <c r="E2890" s="3">
        <v>2024</v>
      </c>
      <c r="F2890" s="3" t="str">
        <f>"Qtr"&amp; " " &amp;CHOOSE(MONTH(Table1[[#This Row],[Date]]),1,1,1,2,2,2,3,3,3,4,4,4)</f>
        <v>Qtr 1</v>
      </c>
      <c r="G2890" s="3" t="str">
        <f>TEXT(Table1[[#This Row],[Date]],"mmmm")</f>
        <v>January</v>
      </c>
      <c r="H2890" s="3" t="s">
        <v>1081</v>
      </c>
      <c r="I2890" s="3" t="s">
        <v>39</v>
      </c>
      <c r="J2890" s="3">
        <v>4</v>
      </c>
      <c r="K2890" s="3">
        <v>66870.210000000006</v>
      </c>
      <c r="L2890" s="3">
        <f>Table1[[#This Row],[Price Per Unit]]*Table1[[#This Row],[Units Sold]]</f>
        <v>267480.84000000003</v>
      </c>
      <c r="M2890" s="3" t="s">
        <v>846</v>
      </c>
      <c r="N2890" s="3">
        <v>20</v>
      </c>
      <c r="O2890" s="3" t="s">
        <v>48</v>
      </c>
      <c r="P2890" s="3" t="s">
        <v>16</v>
      </c>
      <c r="Q2890" s="4">
        <v>2</v>
      </c>
      <c r="R2890" s="4" t="str">
        <f>IF(Table1[[#This Row],[Customer Ratings]]&gt;=4, "Good",IF(Table1[[#This Row],[Customer Ratings]]=3, "Average","Poor"))</f>
        <v>Poor</v>
      </c>
      <c r="S2890" s="3" t="s">
        <v>76</v>
      </c>
    </row>
    <row r="2891" spans="1:19" x14ac:dyDescent="0.25">
      <c r="A2891" s="3">
        <v>2890</v>
      </c>
      <c r="B2891" s="5">
        <f>DATE(Table1[[#This Row],[Year]],Table1[[#This Row],[Month]],Table1[[#This Row],[Day]])</f>
        <v>45300</v>
      </c>
      <c r="C2891" s="3">
        <v>9</v>
      </c>
      <c r="D2891" s="3">
        <v>1</v>
      </c>
      <c r="E2891" s="3">
        <v>2024</v>
      </c>
      <c r="F2891" s="3" t="str">
        <f>"Qtr"&amp; " " &amp;CHOOSE(MONTH(Table1[[#This Row],[Date]]),1,1,1,2,2,2,3,3,3,4,4,4)</f>
        <v>Qtr 1</v>
      </c>
      <c r="G2891" s="3" t="str">
        <f>TEXT(Table1[[#This Row],[Date]],"mmmm")</f>
        <v>January</v>
      </c>
      <c r="H2891" s="3" t="s">
        <v>1082</v>
      </c>
      <c r="I2891" s="3" t="s">
        <v>13</v>
      </c>
      <c r="J2891" s="3">
        <v>2</v>
      </c>
      <c r="K2891" s="3">
        <v>32027.97</v>
      </c>
      <c r="L2891" s="3">
        <f>Table1[[#This Row],[Price Per Unit]]*Table1[[#This Row],[Units Sold]]</f>
        <v>64055.94</v>
      </c>
      <c r="M2891" s="3" t="s">
        <v>683</v>
      </c>
      <c r="N2891" s="3">
        <v>44</v>
      </c>
      <c r="O2891" s="3" t="s">
        <v>20</v>
      </c>
      <c r="P2891" s="3" t="s">
        <v>16</v>
      </c>
      <c r="Q2891" s="4">
        <v>4</v>
      </c>
      <c r="R2891" s="4" t="str">
        <f>IF(Table1[[#This Row],[Customer Ratings]]&gt;=4, "Good",IF(Table1[[#This Row],[Customer Ratings]]=3, "Average","Poor"))</f>
        <v>Good</v>
      </c>
      <c r="S2891" s="3" t="s">
        <v>27</v>
      </c>
    </row>
    <row r="2892" spans="1:19" x14ac:dyDescent="0.25">
      <c r="A2892" s="3">
        <v>2891</v>
      </c>
      <c r="B2892" s="5">
        <f>DATE(Table1[[#This Row],[Year]],Table1[[#This Row],[Month]],Table1[[#This Row],[Day]])</f>
        <v>45300</v>
      </c>
      <c r="C2892" s="3">
        <v>9</v>
      </c>
      <c r="D2892" s="3">
        <v>1</v>
      </c>
      <c r="E2892" s="3">
        <v>2024</v>
      </c>
      <c r="F2892" s="3" t="str">
        <f>"Qtr"&amp; " " &amp;CHOOSE(MONTH(Table1[[#This Row],[Date]]),1,1,1,2,2,2,3,3,3,4,4,4)</f>
        <v>Qtr 1</v>
      </c>
      <c r="G2892" s="3" t="str">
        <f>TEXT(Table1[[#This Row],[Date]],"mmmm")</f>
        <v>January</v>
      </c>
      <c r="H2892" s="3" t="s">
        <v>1082</v>
      </c>
      <c r="I2892" s="3" t="s">
        <v>28</v>
      </c>
      <c r="J2892" s="3">
        <v>2</v>
      </c>
      <c r="K2892" s="3">
        <v>64460.92</v>
      </c>
      <c r="L2892" s="3">
        <f>Table1[[#This Row],[Price Per Unit]]*Table1[[#This Row],[Units Sold]]</f>
        <v>128921.84</v>
      </c>
      <c r="M2892" s="3" t="s">
        <v>128</v>
      </c>
      <c r="N2892" s="3">
        <v>36</v>
      </c>
      <c r="O2892" s="3" t="s">
        <v>52</v>
      </c>
      <c r="P2892" s="3" t="s">
        <v>21</v>
      </c>
      <c r="Q2892" s="4">
        <v>2</v>
      </c>
      <c r="R2892" s="4" t="str">
        <f>IF(Table1[[#This Row],[Customer Ratings]]&gt;=4, "Good",IF(Table1[[#This Row],[Customer Ratings]]=3, "Average","Poor"))</f>
        <v>Poor</v>
      </c>
      <c r="S2892" s="3" t="s">
        <v>38</v>
      </c>
    </row>
    <row r="2893" spans="1:19" x14ac:dyDescent="0.25">
      <c r="A2893" s="3">
        <v>2892</v>
      </c>
      <c r="B2893" s="5">
        <f>DATE(Table1[[#This Row],[Year]],Table1[[#This Row],[Month]],Table1[[#This Row],[Day]])</f>
        <v>45300</v>
      </c>
      <c r="C2893" s="3">
        <v>9</v>
      </c>
      <c r="D2893" s="3">
        <v>1</v>
      </c>
      <c r="E2893" s="3">
        <v>2024</v>
      </c>
      <c r="F2893" s="3" t="str">
        <f>"Qtr"&amp; " " &amp;CHOOSE(MONTH(Table1[[#This Row],[Date]]),1,1,1,2,2,2,3,3,3,4,4,4)</f>
        <v>Qtr 1</v>
      </c>
      <c r="G2893" s="3" t="str">
        <f>TEXT(Table1[[#This Row],[Date]],"mmmm")</f>
        <v>January</v>
      </c>
      <c r="H2893" s="3" t="s">
        <v>1082</v>
      </c>
      <c r="I2893" s="3" t="s">
        <v>33</v>
      </c>
      <c r="J2893" s="3">
        <v>7</v>
      </c>
      <c r="K2893" s="3">
        <v>28278.15</v>
      </c>
      <c r="L2893" s="3">
        <f>Table1[[#This Row],[Price Per Unit]]*Table1[[#This Row],[Units Sold]]</f>
        <v>197947.05000000002</v>
      </c>
      <c r="M2893" s="3" t="s">
        <v>308</v>
      </c>
      <c r="N2893" s="3">
        <v>39</v>
      </c>
      <c r="O2893" s="3" t="s">
        <v>20</v>
      </c>
      <c r="P2893" s="3" t="s">
        <v>21</v>
      </c>
      <c r="Q2893" s="4">
        <v>4</v>
      </c>
      <c r="R2893" s="4" t="str">
        <f>IF(Table1[[#This Row],[Customer Ratings]]&gt;=4, "Good",IF(Table1[[#This Row],[Customer Ratings]]=3, "Average","Poor"))</f>
        <v>Good</v>
      </c>
      <c r="S2893" s="3" t="s">
        <v>46</v>
      </c>
    </row>
    <row r="2894" spans="1:19" x14ac:dyDescent="0.25">
      <c r="A2894" s="3">
        <v>2893</v>
      </c>
      <c r="B2894" s="5">
        <f>DATE(Table1[[#This Row],[Year]],Table1[[#This Row],[Month]],Table1[[#This Row],[Day]])</f>
        <v>45300</v>
      </c>
      <c r="C2894" s="3">
        <v>9</v>
      </c>
      <c r="D2894" s="3">
        <v>1</v>
      </c>
      <c r="E2894" s="3">
        <v>2024</v>
      </c>
      <c r="F2894" s="3" t="str">
        <f>"Qtr"&amp; " " &amp;CHOOSE(MONTH(Table1[[#This Row],[Date]]),1,1,1,2,2,2,3,3,3,4,4,4)</f>
        <v>Qtr 1</v>
      </c>
      <c r="G2894" s="3" t="str">
        <f>TEXT(Table1[[#This Row],[Date]],"mmmm")</f>
        <v>January</v>
      </c>
      <c r="H2894" s="3" t="s">
        <v>1082</v>
      </c>
      <c r="I2894" s="3" t="s">
        <v>18</v>
      </c>
      <c r="J2894" s="3">
        <v>1</v>
      </c>
      <c r="K2894" s="3">
        <v>42593.21</v>
      </c>
      <c r="L2894" s="3">
        <f>Table1[[#This Row],[Price Per Unit]]*Table1[[#This Row],[Units Sold]]</f>
        <v>42593.21</v>
      </c>
      <c r="M2894" s="3" t="s">
        <v>554</v>
      </c>
      <c r="N2894" s="3">
        <v>18</v>
      </c>
      <c r="O2894" s="3" t="s">
        <v>20</v>
      </c>
      <c r="P2894" s="3" t="s">
        <v>45</v>
      </c>
      <c r="Q2894" s="4">
        <v>3</v>
      </c>
      <c r="R2894" s="4" t="str">
        <f>IF(Table1[[#This Row],[Customer Ratings]]&gt;=4, "Good",IF(Table1[[#This Row],[Customer Ratings]]=3, "Average","Poor"))</f>
        <v>Average</v>
      </c>
      <c r="S2894" s="3" t="s">
        <v>25</v>
      </c>
    </row>
    <row r="2895" spans="1:19" x14ac:dyDescent="0.25">
      <c r="A2895" s="3">
        <v>2894</v>
      </c>
      <c r="B2895" s="5">
        <f>DATE(Table1[[#This Row],[Year]],Table1[[#This Row],[Month]],Table1[[#This Row],[Day]])</f>
        <v>45301</v>
      </c>
      <c r="C2895" s="3">
        <v>10</v>
      </c>
      <c r="D2895" s="3">
        <v>1</v>
      </c>
      <c r="E2895" s="3">
        <v>2024</v>
      </c>
      <c r="F2895" s="3" t="str">
        <f>"Qtr"&amp; " " &amp;CHOOSE(MONTH(Table1[[#This Row],[Date]]),1,1,1,2,2,2,3,3,3,4,4,4)</f>
        <v>Qtr 1</v>
      </c>
      <c r="G2895" s="3" t="str">
        <f>TEXT(Table1[[#This Row],[Date]],"mmmm")</f>
        <v>January</v>
      </c>
      <c r="H2895" s="3" t="s">
        <v>1083</v>
      </c>
      <c r="I2895" s="3" t="s">
        <v>13</v>
      </c>
      <c r="J2895" s="3">
        <v>7</v>
      </c>
      <c r="K2895" s="3">
        <v>11228.63</v>
      </c>
      <c r="L2895" s="3">
        <f>Table1[[#This Row],[Price Per Unit]]*Table1[[#This Row],[Units Sold]]</f>
        <v>78600.409999999989</v>
      </c>
      <c r="M2895" s="3" t="s">
        <v>300</v>
      </c>
      <c r="N2895" s="3">
        <v>22</v>
      </c>
      <c r="O2895" s="3" t="s">
        <v>20</v>
      </c>
      <c r="P2895" s="3" t="s">
        <v>31</v>
      </c>
      <c r="Q2895" s="4">
        <v>2</v>
      </c>
      <c r="R2895" s="4" t="str">
        <f>IF(Table1[[#This Row],[Customer Ratings]]&gt;=4, "Good",IF(Table1[[#This Row],[Customer Ratings]]=3, "Average","Poor"))</f>
        <v>Poor</v>
      </c>
      <c r="S2895" s="3" t="s">
        <v>17</v>
      </c>
    </row>
    <row r="2896" spans="1:19" x14ac:dyDescent="0.25">
      <c r="A2896" s="3">
        <v>2895</v>
      </c>
      <c r="B2896" s="5">
        <f>DATE(Table1[[#This Row],[Year]],Table1[[#This Row],[Month]],Table1[[#This Row],[Day]])</f>
        <v>45301</v>
      </c>
      <c r="C2896" s="3">
        <v>10</v>
      </c>
      <c r="D2896" s="3">
        <v>1</v>
      </c>
      <c r="E2896" s="3">
        <v>2024</v>
      </c>
      <c r="F2896" s="3" t="str">
        <f>"Qtr"&amp; " " &amp;CHOOSE(MONTH(Table1[[#This Row],[Date]]),1,1,1,2,2,2,3,3,3,4,4,4)</f>
        <v>Qtr 1</v>
      </c>
      <c r="G2896" s="3" t="str">
        <f>TEXT(Table1[[#This Row],[Date]],"mmmm")</f>
        <v>January</v>
      </c>
      <c r="H2896" s="3" t="s">
        <v>1083</v>
      </c>
      <c r="I2896" s="3" t="s">
        <v>18</v>
      </c>
      <c r="J2896" s="3">
        <v>1</v>
      </c>
      <c r="K2896" s="3">
        <v>41312.51</v>
      </c>
      <c r="L2896" s="3">
        <f>Table1[[#This Row],[Price Per Unit]]*Table1[[#This Row],[Units Sold]]</f>
        <v>41312.51</v>
      </c>
      <c r="M2896" s="3" t="s">
        <v>1004</v>
      </c>
      <c r="N2896" s="3">
        <v>50</v>
      </c>
      <c r="O2896" s="3" t="s">
        <v>120</v>
      </c>
      <c r="P2896" s="3" t="s">
        <v>31</v>
      </c>
      <c r="Q2896" s="4">
        <v>3</v>
      </c>
      <c r="R2896" s="4" t="str">
        <f>IF(Table1[[#This Row],[Customer Ratings]]&gt;=4, "Good",IF(Table1[[#This Row],[Customer Ratings]]=3, "Average","Poor"))</f>
        <v>Average</v>
      </c>
      <c r="S2896" s="3" t="s">
        <v>22</v>
      </c>
    </row>
    <row r="2897" spans="1:19" x14ac:dyDescent="0.25">
      <c r="A2897" s="3">
        <v>2896</v>
      </c>
      <c r="B2897" s="5">
        <f>DATE(Table1[[#This Row],[Year]],Table1[[#This Row],[Month]],Table1[[#This Row],[Day]])</f>
        <v>45301</v>
      </c>
      <c r="C2897" s="3">
        <v>10</v>
      </c>
      <c r="D2897" s="3">
        <v>1</v>
      </c>
      <c r="E2897" s="3">
        <v>2024</v>
      </c>
      <c r="F2897" s="3" t="str">
        <f>"Qtr"&amp; " " &amp;CHOOSE(MONTH(Table1[[#This Row],[Date]]),1,1,1,2,2,2,3,3,3,4,4,4)</f>
        <v>Qtr 1</v>
      </c>
      <c r="G2897" s="3" t="str">
        <f>TEXT(Table1[[#This Row],[Date]],"mmmm")</f>
        <v>January</v>
      </c>
      <c r="H2897" s="3" t="s">
        <v>1083</v>
      </c>
      <c r="I2897" s="3" t="s">
        <v>33</v>
      </c>
      <c r="J2897" s="3">
        <v>6</v>
      </c>
      <c r="K2897" s="3">
        <v>48216.52</v>
      </c>
      <c r="L2897" s="3">
        <f>Table1[[#This Row],[Price Per Unit]]*Table1[[#This Row],[Units Sold]]</f>
        <v>289299.12</v>
      </c>
      <c r="M2897" s="3" t="s">
        <v>932</v>
      </c>
      <c r="N2897" s="3">
        <v>36</v>
      </c>
      <c r="O2897" s="3" t="s">
        <v>24</v>
      </c>
      <c r="P2897" s="3" t="s">
        <v>16</v>
      </c>
      <c r="Q2897" s="4">
        <v>3</v>
      </c>
      <c r="R2897" s="4" t="str">
        <f>IF(Table1[[#This Row],[Customer Ratings]]&gt;=4, "Good",IF(Table1[[#This Row],[Customer Ratings]]=3, "Average","Poor"))</f>
        <v>Average</v>
      </c>
      <c r="S2897" s="3" t="s">
        <v>46</v>
      </c>
    </row>
    <row r="2898" spans="1:19" x14ac:dyDescent="0.25">
      <c r="A2898" s="3">
        <v>2897</v>
      </c>
      <c r="B2898" s="5">
        <f>DATE(Table1[[#This Row],[Year]],Table1[[#This Row],[Month]],Table1[[#This Row],[Day]])</f>
        <v>45302</v>
      </c>
      <c r="C2898" s="3">
        <v>11</v>
      </c>
      <c r="D2898" s="3">
        <v>1</v>
      </c>
      <c r="E2898" s="3">
        <v>2024</v>
      </c>
      <c r="F2898" s="3" t="str">
        <f>"Qtr"&amp; " " &amp;CHOOSE(MONTH(Table1[[#This Row],[Date]]),1,1,1,2,2,2,3,3,3,4,4,4)</f>
        <v>Qtr 1</v>
      </c>
      <c r="G2898" s="3" t="str">
        <f>TEXT(Table1[[#This Row],[Date]],"mmmm")</f>
        <v>January</v>
      </c>
      <c r="H2898" s="3" t="s">
        <v>1084</v>
      </c>
      <c r="I2898" s="3" t="s">
        <v>33</v>
      </c>
      <c r="J2898" s="3">
        <v>3</v>
      </c>
      <c r="K2898" s="3">
        <v>24058.31</v>
      </c>
      <c r="L2898" s="3">
        <f>Table1[[#This Row],[Price Per Unit]]*Table1[[#This Row],[Units Sold]]</f>
        <v>72174.930000000008</v>
      </c>
      <c r="M2898" s="3" t="s">
        <v>842</v>
      </c>
      <c r="N2898" s="3">
        <v>53</v>
      </c>
      <c r="O2898" s="3" t="s">
        <v>20</v>
      </c>
      <c r="P2898" s="3" t="s">
        <v>45</v>
      </c>
      <c r="Q2898" s="4">
        <v>4</v>
      </c>
      <c r="R2898" s="4" t="str">
        <f>IF(Table1[[#This Row],[Customer Ratings]]&gt;=4, "Good",IF(Table1[[#This Row],[Customer Ratings]]=3, "Average","Poor"))</f>
        <v>Good</v>
      </c>
      <c r="S2898" s="3" t="s">
        <v>83</v>
      </c>
    </row>
    <row r="2899" spans="1:19" x14ac:dyDescent="0.25">
      <c r="A2899" s="3">
        <v>2898</v>
      </c>
      <c r="B2899" s="5">
        <f>DATE(Table1[[#This Row],[Year]],Table1[[#This Row],[Month]],Table1[[#This Row],[Day]])</f>
        <v>45302</v>
      </c>
      <c r="C2899" s="3">
        <v>11</v>
      </c>
      <c r="D2899" s="3">
        <v>1</v>
      </c>
      <c r="E2899" s="3">
        <v>2024</v>
      </c>
      <c r="F2899" s="3" t="str">
        <f>"Qtr"&amp; " " &amp;CHOOSE(MONTH(Table1[[#This Row],[Date]]),1,1,1,2,2,2,3,3,3,4,4,4)</f>
        <v>Qtr 1</v>
      </c>
      <c r="G2899" s="3" t="str">
        <f>TEXT(Table1[[#This Row],[Date]],"mmmm")</f>
        <v>January</v>
      </c>
      <c r="H2899" s="3" t="s">
        <v>1084</v>
      </c>
      <c r="I2899" s="3" t="s">
        <v>39</v>
      </c>
      <c r="J2899" s="3">
        <v>8</v>
      </c>
      <c r="K2899" s="3">
        <v>44736.23</v>
      </c>
      <c r="L2899" s="3">
        <f>Table1[[#This Row],[Price Per Unit]]*Table1[[#This Row],[Units Sold]]</f>
        <v>357889.84</v>
      </c>
      <c r="M2899" s="3" t="s">
        <v>873</v>
      </c>
      <c r="N2899" s="3">
        <v>23</v>
      </c>
      <c r="O2899" s="3" t="s">
        <v>20</v>
      </c>
      <c r="P2899" s="3" t="s">
        <v>16</v>
      </c>
      <c r="Q2899" s="4">
        <v>4</v>
      </c>
      <c r="R2899" s="4" t="str">
        <f>IF(Table1[[#This Row],[Customer Ratings]]&gt;=4, "Good",IF(Table1[[#This Row],[Customer Ratings]]=3, "Average","Poor"))</f>
        <v>Good</v>
      </c>
      <c r="S2899" s="3" t="s">
        <v>76</v>
      </c>
    </row>
    <row r="2900" spans="1:19" x14ac:dyDescent="0.25">
      <c r="A2900" s="3">
        <v>2899</v>
      </c>
      <c r="B2900" s="5">
        <f>DATE(Table1[[#This Row],[Year]],Table1[[#This Row],[Month]],Table1[[#This Row],[Day]])</f>
        <v>45302</v>
      </c>
      <c r="C2900" s="3">
        <v>11</v>
      </c>
      <c r="D2900" s="3">
        <v>1</v>
      </c>
      <c r="E2900" s="3">
        <v>2024</v>
      </c>
      <c r="F2900" s="3" t="str">
        <f>"Qtr"&amp; " " &amp;CHOOSE(MONTH(Table1[[#This Row],[Date]]),1,1,1,2,2,2,3,3,3,4,4,4)</f>
        <v>Qtr 1</v>
      </c>
      <c r="G2900" s="3" t="str">
        <f>TEXT(Table1[[#This Row],[Date]],"mmmm")</f>
        <v>January</v>
      </c>
      <c r="H2900" s="3" t="s">
        <v>1084</v>
      </c>
      <c r="I2900" s="3" t="s">
        <v>33</v>
      </c>
      <c r="J2900" s="3">
        <v>6</v>
      </c>
      <c r="K2900" s="3">
        <v>48830.07</v>
      </c>
      <c r="L2900" s="3">
        <f>Table1[[#This Row],[Price Per Unit]]*Table1[[#This Row],[Units Sold]]</f>
        <v>292980.42</v>
      </c>
      <c r="M2900" s="3" t="s">
        <v>699</v>
      </c>
      <c r="N2900" s="3">
        <v>32</v>
      </c>
      <c r="O2900" s="3" t="s">
        <v>102</v>
      </c>
      <c r="P2900" s="3" t="s">
        <v>45</v>
      </c>
      <c r="Q2900" s="4">
        <v>2</v>
      </c>
      <c r="R2900" s="4" t="str">
        <f>IF(Table1[[#This Row],[Customer Ratings]]&gt;=4, "Good",IF(Table1[[#This Row],[Customer Ratings]]=3, "Average","Poor"))</f>
        <v>Poor</v>
      </c>
      <c r="S2900" s="3" t="s">
        <v>36</v>
      </c>
    </row>
    <row r="2901" spans="1:19" x14ac:dyDescent="0.25">
      <c r="A2901" s="3">
        <v>2900</v>
      </c>
      <c r="B2901" s="5">
        <f>DATE(Table1[[#This Row],[Year]],Table1[[#This Row],[Month]],Table1[[#This Row],[Day]])</f>
        <v>45302</v>
      </c>
      <c r="C2901" s="3">
        <v>11</v>
      </c>
      <c r="D2901" s="3">
        <v>1</v>
      </c>
      <c r="E2901" s="3">
        <v>2024</v>
      </c>
      <c r="F2901" s="3" t="str">
        <f>"Qtr"&amp; " " &amp;CHOOSE(MONTH(Table1[[#This Row],[Date]]),1,1,1,2,2,2,3,3,3,4,4,4)</f>
        <v>Qtr 1</v>
      </c>
      <c r="G2901" s="3" t="str">
        <f>TEXT(Table1[[#This Row],[Date]],"mmmm")</f>
        <v>January</v>
      </c>
      <c r="H2901" s="3" t="s">
        <v>1084</v>
      </c>
      <c r="I2901" s="3" t="s">
        <v>18</v>
      </c>
      <c r="J2901" s="3">
        <v>2</v>
      </c>
      <c r="K2901" s="3">
        <v>51213.16</v>
      </c>
      <c r="L2901" s="3">
        <f>Table1[[#This Row],[Price Per Unit]]*Table1[[#This Row],[Units Sold]]</f>
        <v>102426.32</v>
      </c>
      <c r="M2901" s="3" t="s">
        <v>1014</v>
      </c>
      <c r="N2901" s="3">
        <v>53</v>
      </c>
      <c r="O2901" s="3" t="s">
        <v>105</v>
      </c>
      <c r="P2901" s="3" t="s">
        <v>16</v>
      </c>
      <c r="Q2901" s="4">
        <v>5</v>
      </c>
      <c r="R2901" s="4" t="str">
        <f>IF(Table1[[#This Row],[Customer Ratings]]&gt;=4, "Good",IF(Table1[[#This Row],[Customer Ratings]]=3, "Average","Poor"))</f>
        <v>Good</v>
      </c>
      <c r="S2901" s="3" t="s">
        <v>55</v>
      </c>
    </row>
    <row r="2902" spans="1:19" x14ac:dyDescent="0.25">
      <c r="A2902" s="3">
        <v>2901</v>
      </c>
      <c r="B2902" s="5">
        <f>DATE(Table1[[#This Row],[Year]],Table1[[#This Row],[Month]],Table1[[#This Row],[Day]])</f>
        <v>45303</v>
      </c>
      <c r="C2902" s="3">
        <v>12</v>
      </c>
      <c r="D2902" s="3">
        <v>1</v>
      </c>
      <c r="E2902" s="3">
        <v>2024</v>
      </c>
      <c r="F2902" s="3" t="str">
        <f>"Qtr"&amp; " " &amp;CHOOSE(MONTH(Table1[[#This Row],[Date]]),1,1,1,2,2,2,3,3,3,4,4,4)</f>
        <v>Qtr 1</v>
      </c>
      <c r="G2902" s="3" t="str">
        <f>TEXT(Table1[[#This Row],[Date]],"mmmm")</f>
        <v>January</v>
      </c>
      <c r="H2902" s="3" t="s">
        <v>1085</v>
      </c>
      <c r="I2902" s="3" t="s">
        <v>28</v>
      </c>
      <c r="J2902" s="3">
        <v>8</v>
      </c>
      <c r="K2902" s="3">
        <v>56584.2</v>
      </c>
      <c r="L2902" s="3">
        <f>Table1[[#This Row],[Price Per Unit]]*Table1[[#This Row],[Units Sold]]</f>
        <v>452673.6</v>
      </c>
      <c r="M2902" s="3" t="s">
        <v>836</v>
      </c>
      <c r="N2902" s="3">
        <v>50</v>
      </c>
      <c r="O2902" s="3" t="s">
        <v>58</v>
      </c>
      <c r="P2902" s="3" t="s">
        <v>31</v>
      </c>
      <c r="Q2902" s="4">
        <v>2</v>
      </c>
      <c r="R2902" s="4" t="str">
        <f>IF(Table1[[#This Row],[Customer Ratings]]&gt;=4, "Good",IF(Table1[[#This Row],[Customer Ratings]]=3, "Average","Poor"))</f>
        <v>Poor</v>
      </c>
      <c r="S2902" s="3" t="s">
        <v>38</v>
      </c>
    </row>
    <row r="2903" spans="1:19" x14ac:dyDescent="0.25">
      <c r="A2903" s="3">
        <v>2902</v>
      </c>
      <c r="B2903" s="5">
        <f>DATE(Table1[[#This Row],[Year]],Table1[[#This Row],[Month]],Table1[[#This Row],[Day]])</f>
        <v>45303</v>
      </c>
      <c r="C2903" s="3">
        <v>12</v>
      </c>
      <c r="D2903" s="3">
        <v>1</v>
      </c>
      <c r="E2903" s="3">
        <v>2024</v>
      </c>
      <c r="F2903" s="3" t="str">
        <f>"Qtr"&amp; " " &amp;CHOOSE(MONTH(Table1[[#This Row],[Date]]),1,1,1,2,2,2,3,3,3,4,4,4)</f>
        <v>Qtr 1</v>
      </c>
      <c r="G2903" s="3" t="str">
        <f>TEXT(Table1[[#This Row],[Date]],"mmmm")</f>
        <v>January</v>
      </c>
      <c r="H2903" s="3" t="s">
        <v>1085</v>
      </c>
      <c r="I2903" s="3" t="s">
        <v>28</v>
      </c>
      <c r="J2903" s="3">
        <v>5</v>
      </c>
      <c r="K2903" s="3">
        <v>28680.35</v>
      </c>
      <c r="L2903" s="3">
        <f>Table1[[#This Row],[Price Per Unit]]*Table1[[#This Row],[Units Sold]]</f>
        <v>143401.75</v>
      </c>
      <c r="M2903" s="3" t="s">
        <v>576</v>
      </c>
      <c r="N2903" s="3">
        <v>41</v>
      </c>
      <c r="O2903" s="3" t="s">
        <v>24</v>
      </c>
      <c r="P2903" s="3" t="s">
        <v>45</v>
      </c>
      <c r="Q2903" s="4">
        <v>4</v>
      </c>
      <c r="R2903" s="4" t="str">
        <f>IF(Table1[[#This Row],[Customer Ratings]]&gt;=4, "Good",IF(Table1[[#This Row],[Customer Ratings]]=3, "Average","Poor"))</f>
        <v>Good</v>
      </c>
      <c r="S2903" s="3" t="s">
        <v>32</v>
      </c>
    </row>
    <row r="2904" spans="1:19" x14ac:dyDescent="0.25">
      <c r="A2904" s="3">
        <v>2903</v>
      </c>
      <c r="B2904" s="5">
        <f>DATE(Table1[[#This Row],[Year]],Table1[[#This Row],[Month]],Table1[[#This Row],[Day]])</f>
        <v>45303</v>
      </c>
      <c r="C2904" s="3">
        <v>12</v>
      </c>
      <c r="D2904" s="3">
        <v>1</v>
      </c>
      <c r="E2904" s="3">
        <v>2024</v>
      </c>
      <c r="F2904" s="3" t="str">
        <f>"Qtr"&amp; " " &amp;CHOOSE(MONTH(Table1[[#This Row],[Date]]),1,1,1,2,2,2,3,3,3,4,4,4)</f>
        <v>Qtr 1</v>
      </c>
      <c r="G2904" s="3" t="str">
        <f>TEXT(Table1[[#This Row],[Date]],"mmmm")</f>
        <v>January</v>
      </c>
      <c r="H2904" s="3" t="s">
        <v>1085</v>
      </c>
      <c r="I2904" s="3" t="s">
        <v>39</v>
      </c>
      <c r="J2904" s="3">
        <v>8</v>
      </c>
      <c r="K2904" s="3">
        <v>44066.62</v>
      </c>
      <c r="L2904" s="3">
        <f>Table1[[#This Row],[Price Per Unit]]*Table1[[#This Row],[Units Sold]]</f>
        <v>352532.96</v>
      </c>
      <c r="M2904" s="3" t="s">
        <v>608</v>
      </c>
      <c r="N2904" s="3">
        <v>44</v>
      </c>
      <c r="O2904" s="3" t="s">
        <v>98</v>
      </c>
      <c r="P2904" s="3" t="s">
        <v>21</v>
      </c>
      <c r="Q2904" s="4">
        <v>3</v>
      </c>
      <c r="R2904" s="4" t="str">
        <f>IF(Table1[[#This Row],[Customer Ratings]]&gt;=4, "Good",IF(Table1[[#This Row],[Customer Ratings]]=3, "Average","Poor"))</f>
        <v>Average</v>
      </c>
      <c r="S2904" s="3" t="s">
        <v>90</v>
      </c>
    </row>
    <row r="2905" spans="1:19" x14ac:dyDescent="0.25">
      <c r="A2905" s="3">
        <v>2904</v>
      </c>
      <c r="B2905" s="5">
        <f>DATE(Table1[[#This Row],[Year]],Table1[[#This Row],[Month]],Table1[[#This Row],[Day]])</f>
        <v>45303</v>
      </c>
      <c r="C2905" s="3">
        <v>12</v>
      </c>
      <c r="D2905" s="3">
        <v>1</v>
      </c>
      <c r="E2905" s="3">
        <v>2024</v>
      </c>
      <c r="F2905" s="3" t="str">
        <f>"Qtr"&amp; " " &amp;CHOOSE(MONTH(Table1[[#This Row],[Date]]),1,1,1,2,2,2,3,3,3,4,4,4)</f>
        <v>Qtr 1</v>
      </c>
      <c r="G2905" s="3" t="str">
        <f>TEXT(Table1[[#This Row],[Date]],"mmmm")</f>
        <v>January</v>
      </c>
      <c r="H2905" s="3" t="s">
        <v>1085</v>
      </c>
      <c r="I2905" s="3" t="s">
        <v>18</v>
      </c>
      <c r="J2905" s="3">
        <v>8</v>
      </c>
      <c r="K2905" s="3">
        <v>68894.740000000005</v>
      </c>
      <c r="L2905" s="3">
        <f>Table1[[#This Row],[Price Per Unit]]*Table1[[#This Row],[Units Sold]]</f>
        <v>551157.92000000004</v>
      </c>
      <c r="M2905" s="3" t="s">
        <v>739</v>
      </c>
      <c r="N2905" s="3">
        <v>28</v>
      </c>
      <c r="O2905" s="3" t="s">
        <v>20</v>
      </c>
      <c r="P2905" s="3" t="s">
        <v>21</v>
      </c>
      <c r="Q2905" s="4">
        <v>2</v>
      </c>
      <c r="R2905" s="4" t="str">
        <f>IF(Table1[[#This Row],[Customer Ratings]]&gt;=4, "Good",IF(Table1[[#This Row],[Customer Ratings]]=3, "Average","Poor"))</f>
        <v>Poor</v>
      </c>
      <c r="S2905" s="3" t="s">
        <v>22</v>
      </c>
    </row>
    <row r="2906" spans="1:19" x14ac:dyDescent="0.25">
      <c r="A2906" s="3">
        <v>2905</v>
      </c>
      <c r="B2906" s="5">
        <f>DATE(Table1[[#This Row],[Year]],Table1[[#This Row],[Month]],Table1[[#This Row],[Day]])</f>
        <v>45304</v>
      </c>
      <c r="C2906" s="3">
        <v>13</v>
      </c>
      <c r="D2906" s="3">
        <v>1</v>
      </c>
      <c r="E2906" s="3">
        <v>2024</v>
      </c>
      <c r="F2906" s="3" t="str">
        <f>"Qtr"&amp; " " &amp;CHOOSE(MONTH(Table1[[#This Row],[Date]]),1,1,1,2,2,2,3,3,3,4,4,4)</f>
        <v>Qtr 1</v>
      </c>
      <c r="G2906" s="3" t="str">
        <f>TEXT(Table1[[#This Row],[Date]],"mmmm")</f>
        <v>January</v>
      </c>
      <c r="H2906" s="3" t="s">
        <v>1079</v>
      </c>
      <c r="I2906" s="3" t="s">
        <v>18</v>
      </c>
      <c r="J2906" s="3">
        <v>6</v>
      </c>
      <c r="K2906" s="3">
        <v>63888.65</v>
      </c>
      <c r="L2906" s="3">
        <f>Table1[[#This Row],[Price Per Unit]]*Table1[[#This Row],[Units Sold]]</f>
        <v>383331.9</v>
      </c>
      <c r="M2906" s="3" t="s">
        <v>610</v>
      </c>
      <c r="N2906" s="3">
        <v>40</v>
      </c>
      <c r="O2906" s="3" t="s">
        <v>15</v>
      </c>
      <c r="P2906" s="3" t="s">
        <v>31</v>
      </c>
      <c r="Q2906" s="4">
        <v>2</v>
      </c>
      <c r="R2906" s="4" t="str">
        <f>IF(Table1[[#This Row],[Customer Ratings]]&gt;=4, "Good",IF(Table1[[#This Row],[Customer Ratings]]=3, "Average","Poor"))</f>
        <v>Poor</v>
      </c>
      <c r="S2906" s="3" t="s">
        <v>55</v>
      </c>
    </row>
    <row r="2907" spans="1:19" x14ac:dyDescent="0.25">
      <c r="A2907" s="3">
        <v>2906</v>
      </c>
      <c r="B2907" s="5">
        <f>DATE(Table1[[#This Row],[Year]],Table1[[#This Row],[Month]],Table1[[#This Row],[Day]])</f>
        <v>45304</v>
      </c>
      <c r="C2907" s="3">
        <v>13</v>
      </c>
      <c r="D2907" s="3">
        <v>1</v>
      </c>
      <c r="E2907" s="3">
        <v>2024</v>
      </c>
      <c r="F2907" s="3" t="str">
        <f>"Qtr"&amp; " " &amp;CHOOSE(MONTH(Table1[[#This Row],[Date]]),1,1,1,2,2,2,3,3,3,4,4,4)</f>
        <v>Qtr 1</v>
      </c>
      <c r="G2907" s="3" t="str">
        <f>TEXT(Table1[[#This Row],[Date]],"mmmm")</f>
        <v>January</v>
      </c>
      <c r="H2907" s="3" t="s">
        <v>1079</v>
      </c>
      <c r="I2907" s="3" t="s">
        <v>33</v>
      </c>
      <c r="J2907" s="3">
        <v>2</v>
      </c>
      <c r="K2907" s="3">
        <v>67159.929999999993</v>
      </c>
      <c r="L2907" s="3">
        <f>Table1[[#This Row],[Price Per Unit]]*Table1[[#This Row],[Units Sold]]</f>
        <v>134319.85999999999</v>
      </c>
      <c r="M2907" s="3" t="s">
        <v>203</v>
      </c>
      <c r="N2907" s="3">
        <v>50</v>
      </c>
      <c r="O2907" s="3" t="s">
        <v>20</v>
      </c>
      <c r="P2907" s="3" t="s">
        <v>45</v>
      </c>
      <c r="Q2907" s="4">
        <v>2</v>
      </c>
      <c r="R2907" s="4" t="str">
        <f>IF(Table1[[#This Row],[Customer Ratings]]&gt;=4, "Good",IF(Table1[[#This Row],[Customer Ratings]]=3, "Average","Poor"))</f>
        <v>Poor</v>
      </c>
      <c r="S2907" s="3" t="s">
        <v>46</v>
      </c>
    </row>
    <row r="2908" spans="1:19" x14ac:dyDescent="0.25">
      <c r="A2908" s="3">
        <v>2907</v>
      </c>
      <c r="B2908" s="5">
        <f>DATE(Table1[[#This Row],[Year]],Table1[[#This Row],[Month]],Table1[[#This Row],[Day]])</f>
        <v>45304</v>
      </c>
      <c r="C2908" s="3">
        <v>13</v>
      </c>
      <c r="D2908" s="3">
        <v>1</v>
      </c>
      <c r="E2908" s="3">
        <v>2024</v>
      </c>
      <c r="F2908" s="3" t="str">
        <f>"Qtr"&amp; " " &amp;CHOOSE(MONTH(Table1[[#This Row],[Date]]),1,1,1,2,2,2,3,3,3,4,4,4)</f>
        <v>Qtr 1</v>
      </c>
      <c r="G2908" s="3" t="str">
        <f>TEXT(Table1[[#This Row],[Date]],"mmmm")</f>
        <v>January</v>
      </c>
      <c r="H2908" s="3" t="s">
        <v>1079</v>
      </c>
      <c r="I2908" s="3" t="s">
        <v>18</v>
      </c>
      <c r="J2908" s="3">
        <v>8</v>
      </c>
      <c r="K2908" s="3">
        <v>33168.18</v>
      </c>
      <c r="L2908" s="3">
        <f>Table1[[#This Row],[Price Per Unit]]*Table1[[#This Row],[Units Sold]]</f>
        <v>265345.44</v>
      </c>
      <c r="M2908" s="3" t="s">
        <v>717</v>
      </c>
      <c r="N2908" s="3">
        <v>58</v>
      </c>
      <c r="O2908" s="3" t="s">
        <v>20</v>
      </c>
      <c r="P2908" s="3" t="s">
        <v>21</v>
      </c>
      <c r="Q2908" s="4">
        <v>2</v>
      </c>
      <c r="R2908" s="4" t="str">
        <f>IF(Table1[[#This Row],[Customer Ratings]]&gt;=4, "Good",IF(Table1[[#This Row],[Customer Ratings]]=3, "Average","Poor"))</f>
        <v>Poor</v>
      </c>
      <c r="S2908" s="3" t="s">
        <v>22</v>
      </c>
    </row>
    <row r="2909" spans="1:19" x14ac:dyDescent="0.25">
      <c r="A2909" s="3">
        <v>2908</v>
      </c>
      <c r="B2909" s="5">
        <f>DATE(Table1[[#This Row],[Year]],Table1[[#This Row],[Month]],Table1[[#This Row],[Day]])</f>
        <v>45305</v>
      </c>
      <c r="C2909" s="3">
        <v>14</v>
      </c>
      <c r="D2909" s="3">
        <v>1</v>
      </c>
      <c r="E2909" s="3">
        <v>2024</v>
      </c>
      <c r="F2909" s="3" t="str">
        <f>"Qtr"&amp; " " &amp;CHOOSE(MONTH(Table1[[#This Row],[Date]]),1,1,1,2,2,2,3,3,3,4,4,4)</f>
        <v>Qtr 1</v>
      </c>
      <c r="G2909" s="3" t="str">
        <f>TEXT(Table1[[#This Row],[Date]],"mmmm")</f>
        <v>January</v>
      </c>
      <c r="H2909" s="3" t="s">
        <v>1080</v>
      </c>
      <c r="I2909" s="3" t="s">
        <v>13</v>
      </c>
      <c r="J2909" s="3">
        <v>6</v>
      </c>
      <c r="K2909" s="3">
        <v>57215.69</v>
      </c>
      <c r="L2909" s="3">
        <f>Table1[[#This Row],[Price Per Unit]]*Table1[[#This Row],[Units Sold]]</f>
        <v>343294.14</v>
      </c>
      <c r="M2909" s="3" t="s">
        <v>464</v>
      </c>
      <c r="N2909" s="3">
        <v>46</v>
      </c>
      <c r="O2909" s="3" t="s">
        <v>24</v>
      </c>
      <c r="P2909" s="3" t="s">
        <v>21</v>
      </c>
      <c r="Q2909" s="4">
        <v>5</v>
      </c>
      <c r="R2909" s="4" t="str">
        <f>IF(Table1[[#This Row],[Customer Ratings]]&gt;=4, "Good",IF(Table1[[#This Row],[Customer Ratings]]=3, "Average","Poor"))</f>
        <v>Good</v>
      </c>
      <c r="S2909" s="3" t="s">
        <v>27</v>
      </c>
    </row>
    <row r="2910" spans="1:19" x14ac:dyDescent="0.25">
      <c r="A2910" s="3">
        <v>2909</v>
      </c>
      <c r="B2910" s="5">
        <f>DATE(Table1[[#This Row],[Year]],Table1[[#This Row],[Month]],Table1[[#This Row],[Day]])</f>
        <v>45305</v>
      </c>
      <c r="C2910" s="3">
        <v>14</v>
      </c>
      <c r="D2910" s="3">
        <v>1</v>
      </c>
      <c r="E2910" s="3">
        <v>2024</v>
      </c>
      <c r="F2910" s="3" t="str">
        <f>"Qtr"&amp; " " &amp;CHOOSE(MONTH(Table1[[#This Row],[Date]]),1,1,1,2,2,2,3,3,3,4,4,4)</f>
        <v>Qtr 1</v>
      </c>
      <c r="G2910" s="3" t="str">
        <f>TEXT(Table1[[#This Row],[Date]],"mmmm")</f>
        <v>January</v>
      </c>
      <c r="H2910" s="3" t="s">
        <v>1080</v>
      </c>
      <c r="I2910" s="3" t="s">
        <v>33</v>
      </c>
      <c r="J2910" s="3">
        <v>6</v>
      </c>
      <c r="K2910" s="3">
        <v>47193.88</v>
      </c>
      <c r="L2910" s="3">
        <f>Table1[[#This Row],[Price Per Unit]]*Table1[[#This Row],[Units Sold]]</f>
        <v>283163.27999999997</v>
      </c>
      <c r="M2910" s="3" t="s">
        <v>934</v>
      </c>
      <c r="N2910" s="3">
        <v>48</v>
      </c>
      <c r="O2910" s="3" t="s">
        <v>125</v>
      </c>
      <c r="P2910" s="3" t="s">
        <v>21</v>
      </c>
      <c r="Q2910" s="4">
        <v>5</v>
      </c>
      <c r="R2910" s="4" t="str">
        <f>IF(Table1[[#This Row],[Customer Ratings]]&gt;=4, "Good",IF(Table1[[#This Row],[Customer Ratings]]=3, "Average","Poor"))</f>
        <v>Good</v>
      </c>
      <c r="S2910" s="3" t="s">
        <v>46</v>
      </c>
    </row>
    <row r="2911" spans="1:19" x14ac:dyDescent="0.25">
      <c r="A2911" s="3">
        <v>2910</v>
      </c>
      <c r="B2911" s="5">
        <f>DATE(Table1[[#This Row],[Year]],Table1[[#This Row],[Month]],Table1[[#This Row],[Day]])</f>
        <v>45305</v>
      </c>
      <c r="C2911" s="3">
        <v>14</v>
      </c>
      <c r="D2911" s="3">
        <v>1</v>
      </c>
      <c r="E2911" s="3">
        <v>2024</v>
      </c>
      <c r="F2911" s="3" t="str">
        <f>"Qtr"&amp; " " &amp;CHOOSE(MONTH(Table1[[#This Row],[Date]]),1,1,1,2,2,2,3,3,3,4,4,4)</f>
        <v>Qtr 1</v>
      </c>
      <c r="G2911" s="3" t="str">
        <f>TEXT(Table1[[#This Row],[Date]],"mmmm")</f>
        <v>January</v>
      </c>
      <c r="H2911" s="3" t="s">
        <v>1080</v>
      </c>
      <c r="I2911" s="3" t="s">
        <v>13</v>
      </c>
      <c r="J2911" s="3">
        <v>8</v>
      </c>
      <c r="K2911" s="3">
        <v>14964.1</v>
      </c>
      <c r="L2911" s="3">
        <f>Table1[[#This Row],[Price Per Unit]]*Table1[[#This Row],[Units Sold]]</f>
        <v>119712.8</v>
      </c>
      <c r="M2911" s="3" t="s">
        <v>868</v>
      </c>
      <c r="N2911" s="3">
        <v>18</v>
      </c>
      <c r="O2911" s="3" t="s">
        <v>24</v>
      </c>
      <c r="P2911" s="3" t="s">
        <v>31</v>
      </c>
      <c r="Q2911" s="4">
        <v>2</v>
      </c>
      <c r="R2911" s="4" t="str">
        <f>IF(Table1[[#This Row],[Customer Ratings]]&gt;=4, "Good",IF(Table1[[#This Row],[Customer Ratings]]=3, "Average","Poor"))</f>
        <v>Poor</v>
      </c>
      <c r="S2911" s="3" t="s">
        <v>17</v>
      </c>
    </row>
    <row r="2912" spans="1:19" x14ac:dyDescent="0.25">
      <c r="A2912" s="3">
        <v>2911</v>
      </c>
      <c r="B2912" s="5">
        <f>DATE(Table1[[#This Row],[Year]],Table1[[#This Row],[Month]],Table1[[#This Row],[Day]])</f>
        <v>45305</v>
      </c>
      <c r="C2912" s="3">
        <v>14</v>
      </c>
      <c r="D2912" s="3">
        <v>1</v>
      </c>
      <c r="E2912" s="3">
        <v>2024</v>
      </c>
      <c r="F2912" s="3" t="str">
        <f>"Qtr"&amp; " " &amp;CHOOSE(MONTH(Table1[[#This Row],[Date]]),1,1,1,2,2,2,3,3,3,4,4,4)</f>
        <v>Qtr 1</v>
      </c>
      <c r="G2912" s="3" t="str">
        <f>TEXT(Table1[[#This Row],[Date]],"mmmm")</f>
        <v>January</v>
      </c>
      <c r="H2912" s="3" t="s">
        <v>1080</v>
      </c>
      <c r="I2912" s="3" t="s">
        <v>39</v>
      </c>
      <c r="J2912" s="3">
        <v>1</v>
      </c>
      <c r="K2912" s="3">
        <v>59438.82</v>
      </c>
      <c r="L2912" s="3">
        <f>Table1[[#This Row],[Price Per Unit]]*Table1[[#This Row],[Units Sold]]</f>
        <v>59438.82</v>
      </c>
      <c r="M2912" s="3" t="s">
        <v>935</v>
      </c>
      <c r="N2912" s="3">
        <v>51</v>
      </c>
      <c r="O2912" s="3" t="s">
        <v>15</v>
      </c>
      <c r="P2912" s="3" t="s">
        <v>16</v>
      </c>
      <c r="Q2912" s="4">
        <v>5</v>
      </c>
      <c r="R2912" s="4" t="str">
        <f>IF(Table1[[#This Row],[Customer Ratings]]&gt;=4, "Good",IF(Table1[[#This Row],[Customer Ratings]]=3, "Average","Poor"))</f>
        <v>Good</v>
      </c>
      <c r="S2912" s="3" t="s">
        <v>42</v>
      </c>
    </row>
    <row r="2913" spans="1:19" x14ac:dyDescent="0.25">
      <c r="A2913" s="3">
        <v>2912</v>
      </c>
      <c r="B2913" s="5">
        <f>DATE(Table1[[#This Row],[Year]],Table1[[#This Row],[Month]],Table1[[#This Row],[Day]])</f>
        <v>45306</v>
      </c>
      <c r="C2913" s="3">
        <v>15</v>
      </c>
      <c r="D2913" s="3">
        <v>1</v>
      </c>
      <c r="E2913" s="3">
        <v>2024</v>
      </c>
      <c r="F2913" s="3" t="str">
        <f>"Qtr"&amp; " " &amp;CHOOSE(MONTH(Table1[[#This Row],[Date]]),1,1,1,2,2,2,3,3,3,4,4,4)</f>
        <v>Qtr 1</v>
      </c>
      <c r="G2913" s="3" t="str">
        <f>TEXT(Table1[[#This Row],[Date]],"mmmm")</f>
        <v>January</v>
      </c>
      <c r="H2913" s="3" t="s">
        <v>1081</v>
      </c>
      <c r="I2913" s="3" t="s">
        <v>28</v>
      </c>
      <c r="J2913" s="3">
        <v>2</v>
      </c>
      <c r="K2913" s="3">
        <v>50626.080000000002</v>
      </c>
      <c r="L2913" s="3">
        <f>Table1[[#This Row],[Price Per Unit]]*Table1[[#This Row],[Units Sold]]</f>
        <v>101252.16</v>
      </c>
      <c r="M2913" s="3" t="s">
        <v>86</v>
      </c>
      <c r="N2913" s="3">
        <v>35</v>
      </c>
      <c r="O2913" s="3" t="s">
        <v>24</v>
      </c>
      <c r="P2913" s="3" t="s">
        <v>21</v>
      </c>
      <c r="Q2913" s="4">
        <v>5</v>
      </c>
      <c r="R2913" s="4" t="str">
        <f>IF(Table1[[#This Row],[Customer Ratings]]&gt;=4, "Good",IF(Table1[[#This Row],[Customer Ratings]]=3, "Average","Poor"))</f>
        <v>Good</v>
      </c>
      <c r="S2913" s="3" t="s">
        <v>38</v>
      </c>
    </row>
    <row r="2914" spans="1:19" x14ac:dyDescent="0.25">
      <c r="A2914" s="3">
        <v>2913</v>
      </c>
      <c r="B2914" s="5">
        <f>DATE(Table1[[#This Row],[Year]],Table1[[#This Row],[Month]],Table1[[#This Row],[Day]])</f>
        <v>45306</v>
      </c>
      <c r="C2914" s="3">
        <v>15</v>
      </c>
      <c r="D2914" s="3">
        <v>1</v>
      </c>
      <c r="E2914" s="3">
        <v>2024</v>
      </c>
      <c r="F2914" s="3" t="str">
        <f>"Qtr"&amp; " " &amp;CHOOSE(MONTH(Table1[[#This Row],[Date]]),1,1,1,2,2,2,3,3,3,4,4,4)</f>
        <v>Qtr 1</v>
      </c>
      <c r="G2914" s="3" t="str">
        <f>TEXT(Table1[[#This Row],[Date]],"mmmm")</f>
        <v>January</v>
      </c>
      <c r="H2914" s="3" t="s">
        <v>1081</v>
      </c>
      <c r="I2914" s="3" t="s">
        <v>39</v>
      </c>
      <c r="J2914" s="3">
        <v>9</v>
      </c>
      <c r="K2914" s="3">
        <v>21935.040000000001</v>
      </c>
      <c r="L2914" s="3">
        <f>Table1[[#This Row],[Price Per Unit]]*Table1[[#This Row],[Units Sold]]</f>
        <v>197415.36000000002</v>
      </c>
      <c r="M2914" s="3" t="s">
        <v>1015</v>
      </c>
      <c r="N2914" s="3">
        <v>35</v>
      </c>
      <c r="O2914" s="3" t="s">
        <v>48</v>
      </c>
      <c r="P2914" s="3" t="s">
        <v>21</v>
      </c>
      <c r="Q2914" s="4">
        <v>2</v>
      </c>
      <c r="R2914" s="4" t="str">
        <f>IF(Table1[[#This Row],[Customer Ratings]]&gt;=4, "Good",IF(Table1[[#This Row],[Customer Ratings]]=3, "Average","Poor"))</f>
        <v>Poor</v>
      </c>
      <c r="S2914" s="3" t="s">
        <v>90</v>
      </c>
    </row>
    <row r="2915" spans="1:19" x14ac:dyDescent="0.25">
      <c r="A2915" s="3">
        <v>2914</v>
      </c>
      <c r="B2915" s="5">
        <f>DATE(Table1[[#This Row],[Year]],Table1[[#This Row],[Month]],Table1[[#This Row],[Day]])</f>
        <v>45306</v>
      </c>
      <c r="C2915" s="3">
        <v>15</v>
      </c>
      <c r="D2915" s="3">
        <v>1</v>
      </c>
      <c r="E2915" s="3">
        <v>2024</v>
      </c>
      <c r="F2915" s="3" t="str">
        <f>"Qtr"&amp; " " &amp;CHOOSE(MONTH(Table1[[#This Row],[Date]]),1,1,1,2,2,2,3,3,3,4,4,4)</f>
        <v>Qtr 1</v>
      </c>
      <c r="G2915" s="3" t="str">
        <f>TEXT(Table1[[#This Row],[Date]],"mmmm")</f>
        <v>January</v>
      </c>
      <c r="H2915" s="3" t="s">
        <v>1081</v>
      </c>
      <c r="I2915" s="3" t="s">
        <v>28</v>
      </c>
      <c r="J2915" s="3">
        <v>8</v>
      </c>
      <c r="K2915" s="3">
        <v>14784.31</v>
      </c>
      <c r="L2915" s="3">
        <f>Table1[[#This Row],[Price Per Unit]]*Table1[[#This Row],[Units Sold]]</f>
        <v>118274.48</v>
      </c>
      <c r="M2915" s="3" t="s">
        <v>747</v>
      </c>
      <c r="N2915" s="3">
        <v>23</v>
      </c>
      <c r="O2915" s="3" t="s">
        <v>20</v>
      </c>
      <c r="P2915" s="3" t="s">
        <v>16</v>
      </c>
      <c r="Q2915" s="4">
        <v>4</v>
      </c>
      <c r="R2915" s="4" t="str">
        <f>IF(Table1[[#This Row],[Customer Ratings]]&gt;=4, "Good",IF(Table1[[#This Row],[Customer Ratings]]=3, "Average","Poor"))</f>
        <v>Good</v>
      </c>
      <c r="S2915" s="3" t="s">
        <v>87</v>
      </c>
    </row>
    <row r="2916" spans="1:19" x14ac:dyDescent="0.25">
      <c r="A2916" s="3">
        <v>2915</v>
      </c>
      <c r="B2916" s="5">
        <f>DATE(Table1[[#This Row],[Year]],Table1[[#This Row],[Month]],Table1[[#This Row],[Day]])</f>
        <v>45307</v>
      </c>
      <c r="C2916" s="3">
        <v>16</v>
      </c>
      <c r="D2916" s="3">
        <v>1</v>
      </c>
      <c r="E2916" s="3">
        <v>2024</v>
      </c>
      <c r="F2916" s="3" t="str">
        <f>"Qtr"&amp; " " &amp;CHOOSE(MONTH(Table1[[#This Row],[Date]]),1,1,1,2,2,2,3,3,3,4,4,4)</f>
        <v>Qtr 1</v>
      </c>
      <c r="G2916" s="3" t="str">
        <f>TEXT(Table1[[#This Row],[Date]],"mmmm")</f>
        <v>January</v>
      </c>
      <c r="H2916" s="3" t="s">
        <v>1082</v>
      </c>
      <c r="I2916" s="3" t="s">
        <v>39</v>
      </c>
      <c r="J2916" s="3">
        <v>7</v>
      </c>
      <c r="K2916" s="3">
        <v>60221.33</v>
      </c>
      <c r="L2916" s="3">
        <f>Table1[[#This Row],[Price Per Unit]]*Table1[[#This Row],[Units Sold]]</f>
        <v>421549.31</v>
      </c>
      <c r="M2916" s="3" t="s">
        <v>220</v>
      </c>
      <c r="N2916" s="3">
        <v>57</v>
      </c>
      <c r="O2916" s="3" t="s">
        <v>20</v>
      </c>
      <c r="P2916" s="3" t="s">
        <v>21</v>
      </c>
      <c r="Q2916" s="4">
        <v>5</v>
      </c>
      <c r="R2916" s="4" t="str">
        <f>IF(Table1[[#This Row],[Customer Ratings]]&gt;=4, "Good",IF(Table1[[#This Row],[Customer Ratings]]=3, "Average","Poor"))</f>
        <v>Good</v>
      </c>
      <c r="S2916" s="3" t="s">
        <v>76</v>
      </c>
    </row>
    <row r="2917" spans="1:19" x14ac:dyDescent="0.25">
      <c r="A2917" s="3">
        <v>2916</v>
      </c>
      <c r="B2917" s="5">
        <f>DATE(Table1[[#This Row],[Year]],Table1[[#This Row],[Month]],Table1[[#This Row],[Day]])</f>
        <v>45307</v>
      </c>
      <c r="C2917" s="3">
        <v>16</v>
      </c>
      <c r="D2917" s="3">
        <v>1</v>
      </c>
      <c r="E2917" s="3">
        <v>2024</v>
      </c>
      <c r="F2917" s="3" t="str">
        <f>"Qtr"&amp; " " &amp;CHOOSE(MONTH(Table1[[#This Row],[Date]]),1,1,1,2,2,2,3,3,3,4,4,4)</f>
        <v>Qtr 1</v>
      </c>
      <c r="G2917" s="3" t="str">
        <f>TEXT(Table1[[#This Row],[Date]],"mmmm")</f>
        <v>January</v>
      </c>
      <c r="H2917" s="3" t="s">
        <v>1082</v>
      </c>
      <c r="I2917" s="3" t="s">
        <v>18</v>
      </c>
      <c r="J2917" s="3">
        <v>7</v>
      </c>
      <c r="K2917" s="3">
        <v>14734.11</v>
      </c>
      <c r="L2917" s="3">
        <f>Table1[[#This Row],[Price Per Unit]]*Table1[[#This Row],[Units Sold]]</f>
        <v>103138.77</v>
      </c>
      <c r="M2917" s="3" t="s">
        <v>543</v>
      </c>
      <c r="N2917" s="3">
        <v>18</v>
      </c>
      <c r="O2917" s="3" t="s">
        <v>78</v>
      </c>
      <c r="P2917" s="3" t="s">
        <v>45</v>
      </c>
      <c r="Q2917" s="4">
        <v>2</v>
      </c>
      <c r="R2917" s="4" t="str">
        <f>IF(Table1[[#This Row],[Customer Ratings]]&gt;=4, "Good",IF(Table1[[#This Row],[Customer Ratings]]=3, "Average","Poor"))</f>
        <v>Poor</v>
      </c>
      <c r="S2917" s="3" t="s">
        <v>25</v>
      </c>
    </row>
    <row r="2918" spans="1:19" x14ac:dyDescent="0.25">
      <c r="A2918" s="3">
        <v>2917</v>
      </c>
      <c r="B2918" s="5">
        <f>DATE(Table1[[#This Row],[Year]],Table1[[#This Row],[Month]],Table1[[#This Row],[Day]])</f>
        <v>45307</v>
      </c>
      <c r="C2918" s="3">
        <v>16</v>
      </c>
      <c r="D2918" s="3">
        <v>1</v>
      </c>
      <c r="E2918" s="3">
        <v>2024</v>
      </c>
      <c r="F2918" s="3" t="str">
        <f>"Qtr"&amp; " " &amp;CHOOSE(MONTH(Table1[[#This Row],[Date]]),1,1,1,2,2,2,3,3,3,4,4,4)</f>
        <v>Qtr 1</v>
      </c>
      <c r="G2918" s="3" t="str">
        <f>TEXT(Table1[[#This Row],[Date]],"mmmm")</f>
        <v>January</v>
      </c>
      <c r="H2918" s="3" t="s">
        <v>1082</v>
      </c>
      <c r="I2918" s="3" t="s">
        <v>13</v>
      </c>
      <c r="J2918" s="3">
        <v>5</v>
      </c>
      <c r="K2918" s="3">
        <v>15481.23</v>
      </c>
      <c r="L2918" s="3">
        <f>Table1[[#This Row],[Price Per Unit]]*Table1[[#This Row],[Units Sold]]</f>
        <v>77406.149999999994</v>
      </c>
      <c r="M2918" s="3" t="s">
        <v>753</v>
      </c>
      <c r="N2918" s="3">
        <v>59</v>
      </c>
      <c r="O2918" s="3" t="s">
        <v>24</v>
      </c>
      <c r="P2918" s="3" t="s">
        <v>21</v>
      </c>
      <c r="Q2918" s="4">
        <v>4</v>
      </c>
      <c r="R2918" s="4" t="str">
        <f>IF(Table1[[#This Row],[Customer Ratings]]&gt;=4, "Good",IF(Table1[[#This Row],[Customer Ratings]]=3, "Average","Poor"))</f>
        <v>Good</v>
      </c>
      <c r="S2918" s="3" t="s">
        <v>17</v>
      </c>
    </row>
    <row r="2919" spans="1:19" x14ac:dyDescent="0.25">
      <c r="A2919" s="3">
        <v>2918</v>
      </c>
      <c r="B2919" s="5">
        <f>DATE(Table1[[#This Row],[Year]],Table1[[#This Row],[Month]],Table1[[#This Row],[Day]])</f>
        <v>45307</v>
      </c>
      <c r="C2919" s="3">
        <v>16</v>
      </c>
      <c r="D2919" s="3">
        <v>1</v>
      </c>
      <c r="E2919" s="3">
        <v>2024</v>
      </c>
      <c r="F2919" s="3" t="str">
        <f>"Qtr"&amp; " " &amp;CHOOSE(MONTH(Table1[[#This Row],[Date]]),1,1,1,2,2,2,3,3,3,4,4,4)</f>
        <v>Qtr 1</v>
      </c>
      <c r="G2919" s="3" t="str">
        <f>TEXT(Table1[[#This Row],[Date]],"mmmm")</f>
        <v>January</v>
      </c>
      <c r="H2919" s="3" t="s">
        <v>1082</v>
      </c>
      <c r="I2919" s="3" t="s">
        <v>28</v>
      </c>
      <c r="J2919" s="3">
        <v>2</v>
      </c>
      <c r="K2919" s="3">
        <v>35644.5</v>
      </c>
      <c r="L2919" s="3">
        <f>Table1[[#This Row],[Price Per Unit]]*Table1[[#This Row],[Units Sold]]</f>
        <v>71289</v>
      </c>
      <c r="M2919" s="3" t="s">
        <v>873</v>
      </c>
      <c r="N2919" s="3">
        <v>47</v>
      </c>
      <c r="O2919" s="3" t="s">
        <v>41</v>
      </c>
      <c r="P2919" s="3" t="s">
        <v>16</v>
      </c>
      <c r="Q2919" s="4">
        <v>5</v>
      </c>
      <c r="R2919" s="4" t="str">
        <f>IF(Table1[[#This Row],[Customer Ratings]]&gt;=4, "Good",IF(Table1[[#This Row],[Customer Ratings]]=3, "Average","Poor"))</f>
        <v>Good</v>
      </c>
      <c r="S2919" s="3" t="s">
        <v>32</v>
      </c>
    </row>
    <row r="2920" spans="1:19" x14ac:dyDescent="0.25">
      <c r="A2920" s="3">
        <v>2919</v>
      </c>
      <c r="B2920" s="5">
        <f>DATE(Table1[[#This Row],[Year]],Table1[[#This Row],[Month]],Table1[[#This Row],[Day]])</f>
        <v>45308</v>
      </c>
      <c r="C2920" s="3">
        <v>17</v>
      </c>
      <c r="D2920" s="3">
        <v>1</v>
      </c>
      <c r="E2920" s="3">
        <v>2024</v>
      </c>
      <c r="F2920" s="3" t="str">
        <f>"Qtr"&amp; " " &amp;CHOOSE(MONTH(Table1[[#This Row],[Date]]),1,1,1,2,2,2,3,3,3,4,4,4)</f>
        <v>Qtr 1</v>
      </c>
      <c r="G2920" s="3" t="str">
        <f>TEXT(Table1[[#This Row],[Date]],"mmmm")</f>
        <v>January</v>
      </c>
      <c r="H2920" s="3" t="s">
        <v>1083</v>
      </c>
      <c r="I2920" s="3" t="s">
        <v>33</v>
      </c>
      <c r="J2920" s="3">
        <v>6</v>
      </c>
      <c r="K2920" s="3">
        <v>18087.87</v>
      </c>
      <c r="L2920" s="3">
        <f>Table1[[#This Row],[Price Per Unit]]*Table1[[#This Row],[Units Sold]]</f>
        <v>108527.22</v>
      </c>
      <c r="M2920" s="3" t="s">
        <v>820</v>
      </c>
      <c r="N2920" s="3">
        <v>21</v>
      </c>
      <c r="O2920" s="3" t="s">
        <v>20</v>
      </c>
      <c r="P2920" s="3" t="s">
        <v>31</v>
      </c>
      <c r="Q2920" s="4">
        <v>2</v>
      </c>
      <c r="R2920" s="4" t="str">
        <f>IF(Table1[[#This Row],[Customer Ratings]]&gt;=4, "Good",IF(Table1[[#This Row],[Customer Ratings]]=3, "Average","Poor"))</f>
        <v>Poor</v>
      </c>
      <c r="S2920" s="3" t="s">
        <v>46</v>
      </c>
    </row>
    <row r="2921" spans="1:19" x14ac:dyDescent="0.25">
      <c r="A2921" s="3">
        <v>2920</v>
      </c>
      <c r="B2921" s="5">
        <f>DATE(Table1[[#This Row],[Year]],Table1[[#This Row],[Month]],Table1[[#This Row],[Day]])</f>
        <v>45308</v>
      </c>
      <c r="C2921" s="3">
        <v>17</v>
      </c>
      <c r="D2921" s="3">
        <v>1</v>
      </c>
      <c r="E2921" s="3">
        <v>2024</v>
      </c>
      <c r="F2921" s="3" t="str">
        <f>"Qtr"&amp; " " &amp;CHOOSE(MONTH(Table1[[#This Row],[Date]]),1,1,1,2,2,2,3,3,3,4,4,4)</f>
        <v>Qtr 1</v>
      </c>
      <c r="G2921" s="3" t="str">
        <f>TEXT(Table1[[#This Row],[Date]],"mmmm")</f>
        <v>January</v>
      </c>
      <c r="H2921" s="3" t="s">
        <v>1083</v>
      </c>
      <c r="I2921" s="3" t="s">
        <v>13</v>
      </c>
      <c r="J2921" s="3">
        <v>3</v>
      </c>
      <c r="K2921" s="3">
        <v>64820.18</v>
      </c>
      <c r="L2921" s="3">
        <f>Table1[[#This Row],[Price Per Unit]]*Table1[[#This Row],[Units Sold]]</f>
        <v>194460.54</v>
      </c>
      <c r="M2921" s="3" t="s">
        <v>400</v>
      </c>
      <c r="N2921" s="3">
        <v>49</v>
      </c>
      <c r="O2921" s="3" t="s">
        <v>24</v>
      </c>
      <c r="P2921" s="3" t="s">
        <v>31</v>
      </c>
      <c r="Q2921" s="4">
        <v>5</v>
      </c>
      <c r="R2921" s="4" t="str">
        <f>IF(Table1[[#This Row],[Customer Ratings]]&gt;=4, "Good",IF(Table1[[#This Row],[Customer Ratings]]=3, "Average","Poor"))</f>
        <v>Good</v>
      </c>
      <c r="S2921" s="3" t="s">
        <v>27</v>
      </c>
    </row>
    <row r="2922" spans="1:19" x14ac:dyDescent="0.25">
      <c r="A2922" s="3">
        <v>2921</v>
      </c>
      <c r="B2922" s="5">
        <f>DATE(Table1[[#This Row],[Year]],Table1[[#This Row],[Month]],Table1[[#This Row],[Day]])</f>
        <v>45308</v>
      </c>
      <c r="C2922" s="3">
        <v>17</v>
      </c>
      <c r="D2922" s="3">
        <v>1</v>
      </c>
      <c r="E2922" s="3">
        <v>2024</v>
      </c>
      <c r="F2922" s="3" t="str">
        <f>"Qtr"&amp; " " &amp;CHOOSE(MONTH(Table1[[#This Row],[Date]]),1,1,1,2,2,2,3,3,3,4,4,4)</f>
        <v>Qtr 1</v>
      </c>
      <c r="G2922" s="3" t="str">
        <f>TEXT(Table1[[#This Row],[Date]],"mmmm")</f>
        <v>January</v>
      </c>
      <c r="H2922" s="3" t="s">
        <v>1083</v>
      </c>
      <c r="I2922" s="3" t="s">
        <v>33</v>
      </c>
      <c r="J2922" s="3">
        <v>4</v>
      </c>
      <c r="K2922" s="3">
        <v>38217.040000000001</v>
      </c>
      <c r="L2922" s="3">
        <f>Table1[[#This Row],[Price Per Unit]]*Table1[[#This Row],[Units Sold]]</f>
        <v>152868.16</v>
      </c>
      <c r="M2922" s="3" t="s">
        <v>947</v>
      </c>
      <c r="N2922" s="3">
        <v>27</v>
      </c>
      <c r="O2922" s="3" t="s">
        <v>20</v>
      </c>
      <c r="P2922" s="3" t="s">
        <v>45</v>
      </c>
      <c r="Q2922" s="4">
        <v>4</v>
      </c>
      <c r="R2922" s="4" t="str">
        <f>IF(Table1[[#This Row],[Customer Ratings]]&gt;=4, "Good",IF(Table1[[#This Row],[Customer Ratings]]=3, "Average","Poor"))</f>
        <v>Good</v>
      </c>
      <c r="S2922" s="3" t="s">
        <v>83</v>
      </c>
    </row>
    <row r="2923" spans="1:19" x14ac:dyDescent="0.25">
      <c r="A2923" s="3">
        <v>2922</v>
      </c>
      <c r="B2923" s="5">
        <f>DATE(Table1[[#This Row],[Year]],Table1[[#This Row],[Month]],Table1[[#This Row],[Day]])</f>
        <v>45309</v>
      </c>
      <c r="C2923" s="3">
        <v>18</v>
      </c>
      <c r="D2923" s="3">
        <v>1</v>
      </c>
      <c r="E2923" s="3">
        <v>2024</v>
      </c>
      <c r="F2923" s="3" t="str">
        <f>"Qtr"&amp; " " &amp;CHOOSE(MONTH(Table1[[#This Row],[Date]]),1,1,1,2,2,2,3,3,3,4,4,4)</f>
        <v>Qtr 1</v>
      </c>
      <c r="G2923" s="3" t="str">
        <f>TEXT(Table1[[#This Row],[Date]],"mmmm")</f>
        <v>January</v>
      </c>
      <c r="H2923" s="3" t="s">
        <v>1084</v>
      </c>
      <c r="I2923" s="3" t="s">
        <v>13</v>
      </c>
      <c r="J2923" s="3">
        <v>2</v>
      </c>
      <c r="K2923" s="3">
        <v>44149.06</v>
      </c>
      <c r="L2923" s="3">
        <f>Table1[[#This Row],[Price Per Unit]]*Table1[[#This Row],[Units Sold]]</f>
        <v>88298.12</v>
      </c>
      <c r="M2923" s="3" t="s">
        <v>986</v>
      </c>
      <c r="N2923" s="3">
        <v>22</v>
      </c>
      <c r="O2923" s="3" t="s">
        <v>20</v>
      </c>
      <c r="P2923" s="3" t="s">
        <v>21</v>
      </c>
      <c r="Q2923" s="4">
        <v>2</v>
      </c>
      <c r="R2923" s="4" t="str">
        <f>IF(Table1[[#This Row],[Customer Ratings]]&gt;=4, "Good",IF(Table1[[#This Row],[Customer Ratings]]=3, "Average","Poor"))</f>
        <v>Poor</v>
      </c>
      <c r="S2923" s="3" t="s">
        <v>72</v>
      </c>
    </row>
    <row r="2924" spans="1:19" x14ac:dyDescent="0.25">
      <c r="A2924" s="3">
        <v>2923</v>
      </c>
      <c r="B2924" s="5">
        <f>DATE(Table1[[#This Row],[Year]],Table1[[#This Row],[Month]],Table1[[#This Row],[Day]])</f>
        <v>45309</v>
      </c>
      <c r="C2924" s="3">
        <v>18</v>
      </c>
      <c r="D2924" s="3">
        <v>1</v>
      </c>
      <c r="E2924" s="3">
        <v>2024</v>
      </c>
      <c r="F2924" s="3" t="str">
        <f>"Qtr"&amp; " " &amp;CHOOSE(MONTH(Table1[[#This Row],[Date]]),1,1,1,2,2,2,3,3,3,4,4,4)</f>
        <v>Qtr 1</v>
      </c>
      <c r="G2924" s="3" t="str">
        <f>TEXT(Table1[[#This Row],[Date]],"mmmm")</f>
        <v>January</v>
      </c>
      <c r="H2924" s="3" t="s">
        <v>1084</v>
      </c>
      <c r="I2924" s="3" t="s">
        <v>13</v>
      </c>
      <c r="J2924" s="3">
        <v>2</v>
      </c>
      <c r="K2924" s="3">
        <v>65686.37</v>
      </c>
      <c r="L2924" s="3">
        <f>Table1[[#This Row],[Price Per Unit]]*Table1[[#This Row],[Units Sold]]</f>
        <v>131372.74</v>
      </c>
      <c r="M2924" s="3" t="s">
        <v>519</v>
      </c>
      <c r="N2924" s="3">
        <v>26</v>
      </c>
      <c r="O2924" s="3" t="s">
        <v>24</v>
      </c>
      <c r="P2924" s="3" t="s">
        <v>21</v>
      </c>
      <c r="Q2924" s="4">
        <v>4</v>
      </c>
      <c r="R2924" s="4" t="str">
        <f>IF(Table1[[#This Row],[Customer Ratings]]&gt;=4, "Good",IF(Table1[[#This Row],[Customer Ratings]]=3, "Average","Poor"))</f>
        <v>Good</v>
      </c>
      <c r="S2924" s="3" t="s">
        <v>27</v>
      </c>
    </row>
    <row r="2925" spans="1:19" x14ac:dyDescent="0.25">
      <c r="A2925" s="3">
        <v>2924</v>
      </c>
      <c r="B2925" s="5">
        <f>DATE(Table1[[#This Row],[Year]],Table1[[#This Row],[Month]],Table1[[#This Row],[Day]])</f>
        <v>45309</v>
      </c>
      <c r="C2925" s="3">
        <v>18</v>
      </c>
      <c r="D2925" s="3">
        <v>1</v>
      </c>
      <c r="E2925" s="3">
        <v>2024</v>
      </c>
      <c r="F2925" s="3" t="str">
        <f>"Qtr"&amp; " " &amp;CHOOSE(MONTH(Table1[[#This Row],[Date]]),1,1,1,2,2,2,3,3,3,4,4,4)</f>
        <v>Qtr 1</v>
      </c>
      <c r="G2925" s="3" t="str">
        <f>TEXT(Table1[[#This Row],[Date]],"mmmm")</f>
        <v>January</v>
      </c>
      <c r="H2925" s="3" t="s">
        <v>1084</v>
      </c>
      <c r="I2925" s="3" t="s">
        <v>39</v>
      </c>
      <c r="J2925" s="3">
        <v>8</v>
      </c>
      <c r="K2925" s="3">
        <v>41815.79</v>
      </c>
      <c r="L2925" s="3">
        <f>Table1[[#This Row],[Price Per Unit]]*Table1[[#This Row],[Units Sold]]</f>
        <v>334526.32</v>
      </c>
      <c r="M2925" s="3" t="s">
        <v>358</v>
      </c>
      <c r="N2925" s="3">
        <v>22</v>
      </c>
      <c r="O2925" s="3" t="s">
        <v>15</v>
      </c>
      <c r="P2925" s="3" t="s">
        <v>16</v>
      </c>
      <c r="Q2925" s="4">
        <v>3</v>
      </c>
      <c r="R2925" s="4" t="str">
        <f>IF(Table1[[#This Row],[Customer Ratings]]&gt;=4, "Good",IF(Table1[[#This Row],[Customer Ratings]]=3, "Average","Poor"))</f>
        <v>Average</v>
      </c>
      <c r="S2925" s="3" t="s">
        <v>42</v>
      </c>
    </row>
    <row r="2926" spans="1:19" x14ac:dyDescent="0.25">
      <c r="A2926" s="3">
        <v>2925</v>
      </c>
      <c r="B2926" s="5">
        <f>DATE(Table1[[#This Row],[Year]],Table1[[#This Row],[Month]],Table1[[#This Row],[Day]])</f>
        <v>45310</v>
      </c>
      <c r="C2926" s="3">
        <v>19</v>
      </c>
      <c r="D2926" s="3">
        <v>1</v>
      </c>
      <c r="E2926" s="3">
        <v>2024</v>
      </c>
      <c r="F2926" s="3" t="str">
        <f>"Qtr"&amp; " " &amp;CHOOSE(MONTH(Table1[[#This Row],[Date]]),1,1,1,2,2,2,3,3,3,4,4,4)</f>
        <v>Qtr 1</v>
      </c>
      <c r="G2926" s="3" t="str">
        <f>TEXT(Table1[[#This Row],[Date]],"mmmm")</f>
        <v>January</v>
      </c>
      <c r="H2926" s="3" t="s">
        <v>1085</v>
      </c>
      <c r="I2926" s="3" t="s">
        <v>28</v>
      </c>
      <c r="J2926" s="3">
        <v>8</v>
      </c>
      <c r="K2926" s="3">
        <v>31215.47</v>
      </c>
      <c r="L2926" s="3">
        <f>Table1[[#This Row],[Price Per Unit]]*Table1[[#This Row],[Units Sold]]</f>
        <v>249723.76</v>
      </c>
      <c r="M2926" s="3" t="s">
        <v>660</v>
      </c>
      <c r="N2926" s="3">
        <v>28</v>
      </c>
      <c r="O2926" s="3" t="s">
        <v>20</v>
      </c>
      <c r="P2926" s="3" t="s">
        <v>16</v>
      </c>
      <c r="Q2926" s="4">
        <v>2</v>
      </c>
      <c r="R2926" s="4" t="str">
        <f>IF(Table1[[#This Row],[Customer Ratings]]&gt;=4, "Good",IF(Table1[[#This Row],[Customer Ratings]]=3, "Average","Poor"))</f>
        <v>Poor</v>
      </c>
      <c r="S2926" s="3" t="s">
        <v>38</v>
      </c>
    </row>
    <row r="2927" spans="1:19" x14ac:dyDescent="0.25">
      <c r="A2927" s="3">
        <v>2926</v>
      </c>
      <c r="B2927" s="5">
        <f>DATE(Table1[[#This Row],[Year]],Table1[[#This Row],[Month]],Table1[[#This Row],[Day]])</f>
        <v>45310</v>
      </c>
      <c r="C2927" s="3">
        <v>19</v>
      </c>
      <c r="D2927" s="3">
        <v>1</v>
      </c>
      <c r="E2927" s="3">
        <v>2024</v>
      </c>
      <c r="F2927" s="3" t="str">
        <f>"Qtr"&amp; " " &amp;CHOOSE(MONTH(Table1[[#This Row],[Date]]),1,1,1,2,2,2,3,3,3,4,4,4)</f>
        <v>Qtr 1</v>
      </c>
      <c r="G2927" s="3" t="str">
        <f>TEXT(Table1[[#This Row],[Date]],"mmmm")</f>
        <v>January</v>
      </c>
      <c r="H2927" s="3" t="s">
        <v>1085</v>
      </c>
      <c r="I2927" s="3" t="s">
        <v>28</v>
      </c>
      <c r="J2927" s="3">
        <v>6</v>
      </c>
      <c r="K2927" s="3">
        <v>57829.31</v>
      </c>
      <c r="L2927" s="3">
        <f>Table1[[#This Row],[Price Per Unit]]*Table1[[#This Row],[Units Sold]]</f>
        <v>346975.86</v>
      </c>
      <c r="M2927" s="3" t="s">
        <v>352</v>
      </c>
      <c r="N2927" s="3">
        <v>52</v>
      </c>
      <c r="O2927" s="3" t="s">
        <v>20</v>
      </c>
      <c r="P2927" s="3" t="s">
        <v>45</v>
      </c>
      <c r="Q2927" s="4">
        <v>3</v>
      </c>
      <c r="R2927" s="4" t="str">
        <f>IF(Table1[[#This Row],[Customer Ratings]]&gt;=4, "Good",IF(Table1[[#This Row],[Customer Ratings]]=3, "Average","Poor"))</f>
        <v>Average</v>
      </c>
      <c r="S2927" s="3" t="s">
        <v>38</v>
      </c>
    </row>
    <row r="2928" spans="1:19" x14ac:dyDescent="0.25">
      <c r="A2928" s="3">
        <v>2927</v>
      </c>
      <c r="B2928" s="5">
        <f>DATE(Table1[[#This Row],[Year]],Table1[[#This Row],[Month]],Table1[[#This Row],[Day]])</f>
        <v>45310</v>
      </c>
      <c r="C2928" s="3">
        <v>19</v>
      </c>
      <c r="D2928" s="3">
        <v>1</v>
      </c>
      <c r="E2928" s="3">
        <v>2024</v>
      </c>
      <c r="F2928" s="3" t="str">
        <f>"Qtr"&amp; " " &amp;CHOOSE(MONTH(Table1[[#This Row],[Date]]),1,1,1,2,2,2,3,3,3,4,4,4)</f>
        <v>Qtr 1</v>
      </c>
      <c r="G2928" s="3" t="str">
        <f>TEXT(Table1[[#This Row],[Date]],"mmmm")</f>
        <v>January</v>
      </c>
      <c r="H2928" s="3" t="s">
        <v>1085</v>
      </c>
      <c r="I2928" s="3" t="s">
        <v>13</v>
      </c>
      <c r="J2928" s="3">
        <v>5</v>
      </c>
      <c r="K2928" s="3">
        <v>36571.01</v>
      </c>
      <c r="L2928" s="3">
        <f>Table1[[#This Row],[Price Per Unit]]*Table1[[#This Row],[Units Sold]]</f>
        <v>182855.05000000002</v>
      </c>
      <c r="M2928" s="3" t="s">
        <v>485</v>
      </c>
      <c r="N2928" s="3">
        <v>44</v>
      </c>
      <c r="O2928" s="3" t="s">
        <v>24</v>
      </c>
      <c r="P2928" s="3" t="s">
        <v>45</v>
      </c>
      <c r="Q2928" s="4">
        <v>5</v>
      </c>
      <c r="R2928" s="4" t="str">
        <f>IF(Table1[[#This Row],[Customer Ratings]]&gt;=4, "Good",IF(Table1[[#This Row],[Customer Ratings]]=3, "Average","Poor"))</f>
        <v>Good</v>
      </c>
      <c r="S2928" s="3" t="s">
        <v>27</v>
      </c>
    </row>
    <row r="2929" spans="1:19" x14ac:dyDescent="0.25">
      <c r="A2929" s="3">
        <v>2928</v>
      </c>
      <c r="B2929" s="5">
        <f>DATE(Table1[[#This Row],[Year]],Table1[[#This Row],[Month]],Table1[[#This Row],[Day]])</f>
        <v>45311</v>
      </c>
      <c r="C2929" s="3">
        <v>20</v>
      </c>
      <c r="D2929" s="3">
        <v>1</v>
      </c>
      <c r="E2929" s="3">
        <v>2024</v>
      </c>
      <c r="F2929" s="3" t="str">
        <f>"Qtr"&amp; " " &amp;CHOOSE(MONTH(Table1[[#This Row],[Date]]),1,1,1,2,2,2,3,3,3,4,4,4)</f>
        <v>Qtr 1</v>
      </c>
      <c r="G2929" s="3" t="str">
        <f>TEXT(Table1[[#This Row],[Date]],"mmmm")</f>
        <v>January</v>
      </c>
      <c r="H2929" s="3" t="s">
        <v>1079</v>
      </c>
      <c r="I2929" s="3" t="s">
        <v>18</v>
      </c>
      <c r="J2929" s="3">
        <v>8</v>
      </c>
      <c r="K2929" s="3">
        <v>29108.17</v>
      </c>
      <c r="L2929" s="3">
        <f>Table1[[#This Row],[Price Per Unit]]*Table1[[#This Row],[Units Sold]]</f>
        <v>232865.36</v>
      </c>
      <c r="M2929" s="3" t="s">
        <v>319</v>
      </c>
      <c r="N2929" s="3">
        <v>21</v>
      </c>
      <c r="O2929" s="3" t="s">
        <v>24</v>
      </c>
      <c r="P2929" s="3" t="s">
        <v>21</v>
      </c>
      <c r="Q2929" s="4">
        <v>4</v>
      </c>
      <c r="R2929" s="4" t="str">
        <f>IF(Table1[[#This Row],[Customer Ratings]]&gt;=4, "Good",IF(Table1[[#This Row],[Customer Ratings]]=3, "Average","Poor"))</f>
        <v>Good</v>
      </c>
      <c r="S2929" s="3" t="s">
        <v>22</v>
      </c>
    </row>
    <row r="2930" spans="1:19" x14ac:dyDescent="0.25">
      <c r="A2930" s="3">
        <v>2929</v>
      </c>
      <c r="B2930" s="5">
        <f>DATE(Table1[[#This Row],[Year]],Table1[[#This Row],[Month]],Table1[[#This Row],[Day]])</f>
        <v>45311</v>
      </c>
      <c r="C2930" s="3">
        <v>20</v>
      </c>
      <c r="D2930" s="3">
        <v>1</v>
      </c>
      <c r="E2930" s="3">
        <v>2024</v>
      </c>
      <c r="F2930" s="3" t="str">
        <f>"Qtr"&amp; " " &amp;CHOOSE(MONTH(Table1[[#This Row],[Date]]),1,1,1,2,2,2,3,3,3,4,4,4)</f>
        <v>Qtr 1</v>
      </c>
      <c r="G2930" s="3" t="str">
        <f>TEXT(Table1[[#This Row],[Date]],"mmmm")</f>
        <v>January</v>
      </c>
      <c r="H2930" s="3" t="s">
        <v>1079</v>
      </c>
      <c r="I2930" s="3" t="s">
        <v>18</v>
      </c>
      <c r="J2930" s="3">
        <v>4</v>
      </c>
      <c r="K2930" s="3">
        <v>53393.77</v>
      </c>
      <c r="L2930" s="3">
        <f>Table1[[#This Row],[Price Per Unit]]*Table1[[#This Row],[Units Sold]]</f>
        <v>213575.08</v>
      </c>
      <c r="M2930" s="3" t="s">
        <v>220</v>
      </c>
      <c r="N2930" s="3">
        <v>27</v>
      </c>
      <c r="O2930" s="3" t="s">
        <v>30</v>
      </c>
      <c r="P2930" s="3" t="s">
        <v>21</v>
      </c>
      <c r="Q2930" s="4">
        <v>2</v>
      </c>
      <c r="R2930" s="4" t="str">
        <f>IF(Table1[[#This Row],[Customer Ratings]]&gt;=4, "Good",IF(Table1[[#This Row],[Customer Ratings]]=3, "Average","Poor"))</f>
        <v>Poor</v>
      </c>
      <c r="S2930" s="3" t="s">
        <v>25</v>
      </c>
    </row>
    <row r="2931" spans="1:19" x14ac:dyDescent="0.25">
      <c r="A2931" s="3">
        <v>2930</v>
      </c>
      <c r="B2931" s="5">
        <f>DATE(Table1[[#This Row],[Year]],Table1[[#This Row],[Month]],Table1[[#This Row],[Day]])</f>
        <v>45311</v>
      </c>
      <c r="C2931" s="3">
        <v>20</v>
      </c>
      <c r="D2931" s="3">
        <v>1</v>
      </c>
      <c r="E2931" s="3">
        <v>2024</v>
      </c>
      <c r="F2931" s="3" t="str">
        <f>"Qtr"&amp; " " &amp;CHOOSE(MONTH(Table1[[#This Row],[Date]]),1,1,1,2,2,2,3,3,3,4,4,4)</f>
        <v>Qtr 1</v>
      </c>
      <c r="G2931" s="3" t="str">
        <f>TEXT(Table1[[#This Row],[Date]],"mmmm")</f>
        <v>January</v>
      </c>
      <c r="H2931" s="3" t="s">
        <v>1079</v>
      </c>
      <c r="I2931" s="3" t="s">
        <v>33</v>
      </c>
      <c r="J2931" s="3">
        <v>4</v>
      </c>
      <c r="K2931" s="3">
        <v>58096.34</v>
      </c>
      <c r="L2931" s="3">
        <f>Table1[[#This Row],[Price Per Unit]]*Table1[[#This Row],[Units Sold]]</f>
        <v>232385.36</v>
      </c>
      <c r="M2931" s="3" t="s">
        <v>313</v>
      </c>
      <c r="N2931" s="3">
        <v>56</v>
      </c>
      <c r="O2931" s="3" t="s">
        <v>105</v>
      </c>
      <c r="P2931" s="3" t="s">
        <v>45</v>
      </c>
      <c r="Q2931" s="4">
        <v>4</v>
      </c>
      <c r="R2931" s="4" t="str">
        <f>IF(Table1[[#This Row],[Customer Ratings]]&gt;=4, "Good",IF(Table1[[#This Row],[Customer Ratings]]=3, "Average","Poor"))</f>
        <v>Good</v>
      </c>
      <c r="S2931" s="3" t="s">
        <v>36</v>
      </c>
    </row>
    <row r="2932" spans="1:19" x14ac:dyDescent="0.25">
      <c r="A2932" s="3">
        <v>2931</v>
      </c>
      <c r="B2932" s="5">
        <f>DATE(Table1[[#This Row],[Year]],Table1[[#This Row],[Month]],Table1[[#This Row],[Day]])</f>
        <v>45311</v>
      </c>
      <c r="C2932" s="3">
        <v>20</v>
      </c>
      <c r="D2932" s="3">
        <v>1</v>
      </c>
      <c r="E2932" s="3">
        <v>2024</v>
      </c>
      <c r="F2932" s="3" t="str">
        <f>"Qtr"&amp; " " &amp;CHOOSE(MONTH(Table1[[#This Row],[Date]]),1,1,1,2,2,2,3,3,3,4,4,4)</f>
        <v>Qtr 1</v>
      </c>
      <c r="G2932" s="3" t="str">
        <f>TEXT(Table1[[#This Row],[Date]],"mmmm")</f>
        <v>January</v>
      </c>
      <c r="H2932" s="3" t="s">
        <v>1079</v>
      </c>
      <c r="I2932" s="3" t="s">
        <v>33</v>
      </c>
      <c r="J2932" s="3">
        <v>5</v>
      </c>
      <c r="K2932" s="3">
        <v>57502.97</v>
      </c>
      <c r="L2932" s="3">
        <f>Table1[[#This Row],[Price Per Unit]]*Table1[[#This Row],[Units Sold]]</f>
        <v>287514.84999999998</v>
      </c>
      <c r="M2932" s="3" t="s">
        <v>567</v>
      </c>
      <c r="N2932" s="3">
        <v>50</v>
      </c>
      <c r="O2932" s="3" t="s">
        <v>15</v>
      </c>
      <c r="P2932" s="3" t="s">
        <v>31</v>
      </c>
      <c r="Q2932" s="4">
        <v>5</v>
      </c>
      <c r="R2932" s="4" t="str">
        <f>IF(Table1[[#This Row],[Customer Ratings]]&gt;=4, "Good",IF(Table1[[#This Row],[Customer Ratings]]=3, "Average","Poor"))</f>
        <v>Good</v>
      </c>
      <c r="S2932" s="3" t="s">
        <v>46</v>
      </c>
    </row>
    <row r="2933" spans="1:19" x14ac:dyDescent="0.25">
      <c r="A2933" s="3">
        <v>2932</v>
      </c>
      <c r="B2933" s="5">
        <f>DATE(Table1[[#This Row],[Year]],Table1[[#This Row],[Month]],Table1[[#This Row],[Day]])</f>
        <v>45312</v>
      </c>
      <c r="C2933" s="3">
        <v>21</v>
      </c>
      <c r="D2933" s="3">
        <v>1</v>
      </c>
      <c r="E2933" s="3">
        <v>2024</v>
      </c>
      <c r="F2933" s="3" t="str">
        <f>"Qtr"&amp; " " &amp;CHOOSE(MONTH(Table1[[#This Row],[Date]]),1,1,1,2,2,2,3,3,3,4,4,4)</f>
        <v>Qtr 1</v>
      </c>
      <c r="G2933" s="3" t="str">
        <f>TEXT(Table1[[#This Row],[Date]],"mmmm")</f>
        <v>January</v>
      </c>
      <c r="H2933" s="3" t="s">
        <v>1080</v>
      </c>
      <c r="I2933" s="3" t="s">
        <v>39</v>
      </c>
      <c r="J2933" s="3">
        <v>1</v>
      </c>
      <c r="K2933" s="3">
        <v>68660.460000000006</v>
      </c>
      <c r="L2933" s="3">
        <f>Table1[[#This Row],[Price Per Unit]]*Table1[[#This Row],[Units Sold]]</f>
        <v>68660.460000000006</v>
      </c>
      <c r="M2933" s="3" t="s">
        <v>880</v>
      </c>
      <c r="N2933" s="3">
        <v>55</v>
      </c>
      <c r="O2933" s="3" t="s">
        <v>20</v>
      </c>
      <c r="P2933" s="3" t="s">
        <v>31</v>
      </c>
      <c r="Q2933" s="4">
        <v>2</v>
      </c>
      <c r="R2933" s="4" t="str">
        <f>IF(Table1[[#This Row],[Customer Ratings]]&gt;=4, "Good",IF(Table1[[#This Row],[Customer Ratings]]=3, "Average","Poor"))</f>
        <v>Poor</v>
      </c>
      <c r="S2933" s="3" t="s">
        <v>90</v>
      </c>
    </row>
    <row r="2934" spans="1:19" x14ac:dyDescent="0.25">
      <c r="A2934" s="3">
        <v>2933</v>
      </c>
      <c r="B2934" s="5">
        <f>DATE(Table1[[#This Row],[Year]],Table1[[#This Row],[Month]],Table1[[#This Row],[Day]])</f>
        <v>45312</v>
      </c>
      <c r="C2934" s="3">
        <v>21</v>
      </c>
      <c r="D2934" s="3">
        <v>1</v>
      </c>
      <c r="E2934" s="3">
        <v>2024</v>
      </c>
      <c r="F2934" s="3" t="str">
        <f>"Qtr"&amp; " " &amp;CHOOSE(MONTH(Table1[[#This Row],[Date]]),1,1,1,2,2,2,3,3,3,4,4,4)</f>
        <v>Qtr 1</v>
      </c>
      <c r="G2934" s="3" t="str">
        <f>TEXT(Table1[[#This Row],[Date]],"mmmm")</f>
        <v>January</v>
      </c>
      <c r="H2934" s="3" t="s">
        <v>1080</v>
      </c>
      <c r="I2934" s="3" t="s">
        <v>13</v>
      </c>
      <c r="J2934" s="3">
        <v>1</v>
      </c>
      <c r="K2934" s="3">
        <v>57200.02</v>
      </c>
      <c r="L2934" s="3">
        <f>Table1[[#This Row],[Price Per Unit]]*Table1[[#This Row],[Units Sold]]</f>
        <v>57200.02</v>
      </c>
      <c r="M2934" s="3" t="s">
        <v>386</v>
      </c>
      <c r="N2934" s="3">
        <v>25</v>
      </c>
      <c r="O2934" s="3" t="s">
        <v>20</v>
      </c>
      <c r="P2934" s="3" t="s">
        <v>31</v>
      </c>
      <c r="Q2934" s="4">
        <v>3</v>
      </c>
      <c r="R2934" s="4" t="str">
        <f>IF(Table1[[#This Row],[Customer Ratings]]&gt;=4, "Good",IF(Table1[[#This Row],[Customer Ratings]]=3, "Average","Poor"))</f>
        <v>Average</v>
      </c>
      <c r="S2934" s="3" t="s">
        <v>27</v>
      </c>
    </row>
    <row r="2935" spans="1:19" x14ac:dyDescent="0.25">
      <c r="A2935" s="3">
        <v>2934</v>
      </c>
      <c r="B2935" s="5">
        <f>DATE(Table1[[#This Row],[Year]],Table1[[#This Row],[Month]],Table1[[#This Row],[Day]])</f>
        <v>45312</v>
      </c>
      <c r="C2935" s="3">
        <v>21</v>
      </c>
      <c r="D2935" s="3">
        <v>1</v>
      </c>
      <c r="E2935" s="3">
        <v>2024</v>
      </c>
      <c r="F2935" s="3" t="str">
        <f>"Qtr"&amp; " " &amp;CHOOSE(MONTH(Table1[[#This Row],[Date]]),1,1,1,2,2,2,3,3,3,4,4,4)</f>
        <v>Qtr 1</v>
      </c>
      <c r="G2935" s="3" t="str">
        <f>TEXT(Table1[[#This Row],[Date]],"mmmm")</f>
        <v>January</v>
      </c>
      <c r="H2935" s="3" t="s">
        <v>1080</v>
      </c>
      <c r="I2935" s="3" t="s">
        <v>33</v>
      </c>
      <c r="J2935" s="3">
        <v>2</v>
      </c>
      <c r="K2935" s="3">
        <v>56196.01</v>
      </c>
      <c r="L2935" s="3">
        <f>Table1[[#This Row],[Price Per Unit]]*Table1[[#This Row],[Units Sold]]</f>
        <v>112392.02</v>
      </c>
      <c r="M2935" s="3" t="s">
        <v>831</v>
      </c>
      <c r="N2935" s="3">
        <v>41</v>
      </c>
      <c r="O2935" s="3" t="s">
        <v>30</v>
      </c>
      <c r="P2935" s="3" t="s">
        <v>31</v>
      </c>
      <c r="Q2935" s="4">
        <v>4</v>
      </c>
      <c r="R2935" s="4" t="str">
        <f>IF(Table1[[#This Row],[Customer Ratings]]&gt;=4, "Good",IF(Table1[[#This Row],[Customer Ratings]]=3, "Average","Poor"))</f>
        <v>Good</v>
      </c>
      <c r="S2935" s="3" t="s">
        <v>83</v>
      </c>
    </row>
    <row r="2936" spans="1:19" x14ac:dyDescent="0.25">
      <c r="A2936" s="3">
        <v>2935</v>
      </c>
      <c r="B2936" s="5">
        <f>DATE(Table1[[#This Row],[Year]],Table1[[#This Row],[Month]],Table1[[#This Row],[Day]])</f>
        <v>45313</v>
      </c>
      <c r="C2936" s="3">
        <v>22</v>
      </c>
      <c r="D2936" s="3">
        <v>1</v>
      </c>
      <c r="E2936" s="3">
        <v>2024</v>
      </c>
      <c r="F2936" s="3" t="str">
        <f>"Qtr"&amp; " " &amp;CHOOSE(MONTH(Table1[[#This Row],[Date]]),1,1,1,2,2,2,3,3,3,4,4,4)</f>
        <v>Qtr 1</v>
      </c>
      <c r="G2936" s="3" t="str">
        <f>TEXT(Table1[[#This Row],[Date]],"mmmm")</f>
        <v>January</v>
      </c>
      <c r="H2936" s="3" t="s">
        <v>1081</v>
      </c>
      <c r="I2936" s="3" t="s">
        <v>33</v>
      </c>
      <c r="J2936" s="3">
        <v>8</v>
      </c>
      <c r="K2936" s="3">
        <v>61449.120000000003</v>
      </c>
      <c r="L2936" s="3">
        <f>Table1[[#This Row],[Price Per Unit]]*Table1[[#This Row],[Units Sold]]</f>
        <v>491592.96000000002</v>
      </c>
      <c r="M2936" s="3" t="s">
        <v>128</v>
      </c>
      <c r="N2936" s="3">
        <v>56</v>
      </c>
      <c r="O2936" s="3" t="s">
        <v>102</v>
      </c>
      <c r="P2936" s="3" t="s">
        <v>45</v>
      </c>
      <c r="Q2936" s="4">
        <v>2</v>
      </c>
      <c r="R2936" s="4" t="str">
        <f>IF(Table1[[#This Row],[Customer Ratings]]&gt;=4, "Good",IF(Table1[[#This Row],[Customer Ratings]]=3, "Average","Poor"))</f>
        <v>Poor</v>
      </c>
      <c r="S2936" s="3" t="s">
        <v>83</v>
      </c>
    </row>
    <row r="2937" spans="1:19" x14ac:dyDescent="0.25">
      <c r="A2937" s="3">
        <v>2936</v>
      </c>
      <c r="B2937" s="5">
        <f>DATE(Table1[[#This Row],[Year]],Table1[[#This Row],[Month]],Table1[[#This Row],[Day]])</f>
        <v>45313</v>
      </c>
      <c r="C2937" s="3">
        <v>22</v>
      </c>
      <c r="D2937" s="3">
        <v>1</v>
      </c>
      <c r="E2937" s="3">
        <v>2024</v>
      </c>
      <c r="F2937" s="3" t="str">
        <f>"Qtr"&amp; " " &amp;CHOOSE(MONTH(Table1[[#This Row],[Date]]),1,1,1,2,2,2,3,3,3,4,4,4)</f>
        <v>Qtr 1</v>
      </c>
      <c r="G2937" s="3" t="str">
        <f>TEXT(Table1[[#This Row],[Date]],"mmmm")</f>
        <v>January</v>
      </c>
      <c r="H2937" s="3" t="s">
        <v>1081</v>
      </c>
      <c r="I2937" s="3" t="s">
        <v>13</v>
      </c>
      <c r="J2937" s="3">
        <v>7</v>
      </c>
      <c r="K2937" s="3">
        <v>10011.11</v>
      </c>
      <c r="L2937" s="3">
        <f>Table1[[#This Row],[Price Per Unit]]*Table1[[#This Row],[Units Sold]]</f>
        <v>70077.77</v>
      </c>
      <c r="M2937" s="3" t="s">
        <v>1012</v>
      </c>
      <c r="N2937" s="3">
        <v>50</v>
      </c>
      <c r="O2937" s="3" t="s">
        <v>105</v>
      </c>
      <c r="P2937" s="3" t="s">
        <v>16</v>
      </c>
      <c r="Q2937" s="4">
        <v>5</v>
      </c>
      <c r="R2937" s="4" t="str">
        <f>IF(Table1[[#This Row],[Customer Ratings]]&gt;=4, "Good",IF(Table1[[#This Row],[Customer Ratings]]=3, "Average","Poor"))</f>
        <v>Good</v>
      </c>
      <c r="S2937" s="3" t="s">
        <v>27</v>
      </c>
    </row>
    <row r="2938" spans="1:19" x14ac:dyDescent="0.25">
      <c r="A2938" s="3">
        <v>2937</v>
      </c>
      <c r="B2938" s="5">
        <f>DATE(Table1[[#This Row],[Year]],Table1[[#This Row],[Month]],Table1[[#This Row],[Day]])</f>
        <v>45313</v>
      </c>
      <c r="C2938" s="3">
        <v>22</v>
      </c>
      <c r="D2938" s="3">
        <v>1</v>
      </c>
      <c r="E2938" s="3">
        <v>2024</v>
      </c>
      <c r="F2938" s="3" t="str">
        <f>"Qtr"&amp; " " &amp;CHOOSE(MONTH(Table1[[#This Row],[Date]]),1,1,1,2,2,2,3,3,3,4,4,4)</f>
        <v>Qtr 1</v>
      </c>
      <c r="G2938" s="3" t="str">
        <f>TEXT(Table1[[#This Row],[Date]],"mmmm")</f>
        <v>January</v>
      </c>
      <c r="H2938" s="3" t="s">
        <v>1081</v>
      </c>
      <c r="I2938" s="3" t="s">
        <v>39</v>
      </c>
      <c r="J2938" s="3">
        <v>9</v>
      </c>
      <c r="K2938" s="3">
        <v>31745.88</v>
      </c>
      <c r="L2938" s="3">
        <f>Table1[[#This Row],[Price Per Unit]]*Table1[[#This Row],[Units Sold]]</f>
        <v>285712.92</v>
      </c>
      <c r="M2938" s="3" t="s">
        <v>156</v>
      </c>
      <c r="N2938" s="3">
        <v>58</v>
      </c>
      <c r="O2938" s="3" t="s">
        <v>20</v>
      </c>
      <c r="P2938" s="3" t="s">
        <v>31</v>
      </c>
      <c r="Q2938" s="4">
        <v>5</v>
      </c>
      <c r="R2938" s="4" t="str">
        <f>IF(Table1[[#This Row],[Customer Ratings]]&gt;=4, "Good",IF(Table1[[#This Row],[Customer Ratings]]=3, "Average","Poor"))</f>
        <v>Good</v>
      </c>
      <c r="S2938" s="3" t="s">
        <v>76</v>
      </c>
    </row>
    <row r="2939" spans="1:19" x14ac:dyDescent="0.25">
      <c r="A2939" s="3">
        <v>2938</v>
      </c>
      <c r="B2939" s="5">
        <f>DATE(Table1[[#This Row],[Year]],Table1[[#This Row],[Month]],Table1[[#This Row],[Day]])</f>
        <v>45313</v>
      </c>
      <c r="C2939" s="3">
        <v>22</v>
      </c>
      <c r="D2939" s="3">
        <v>1</v>
      </c>
      <c r="E2939" s="3">
        <v>2024</v>
      </c>
      <c r="F2939" s="3" t="str">
        <f>"Qtr"&amp; " " &amp;CHOOSE(MONTH(Table1[[#This Row],[Date]]),1,1,1,2,2,2,3,3,3,4,4,4)</f>
        <v>Qtr 1</v>
      </c>
      <c r="G2939" s="3" t="str">
        <f>TEXT(Table1[[#This Row],[Date]],"mmmm")</f>
        <v>January</v>
      </c>
      <c r="H2939" s="3" t="s">
        <v>1081</v>
      </c>
      <c r="I2939" s="3" t="s">
        <v>33</v>
      </c>
      <c r="J2939" s="3">
        <v>5</v>
      </c>
      <c r="K2939" s="3">
        <v>54256.19</v>
      </c>
      <c r="L2939" s="3">
        <f>Table1[[#This Row],[Price Per Unit]]*Table1[[#This Row],[Units Sold]]</f>
        <v>271280.95</v>
      </c>
      <c r="M2939" s="3" t="s">
        <v>215</v>
      </c>
      <c r="N2939" s="3">
        <v>36</v>
      </c>
      <c r="O2939" s="3" t="s">
        <v>78</v>
      </c>
      <c r="P2939" s="3" t="s">
        <v>45</v>
      </c>
      <c r="Q2939" s="4">
        <v>4</v>
      </c>
      <c r="R2939" s="4" t="str">
        <f>IF(Table1[[#This Row],[Customer Ratings]]&gt;=4, "Good",IF(Table1[[#This Row],[Customer Ratings]]=3, "Average","Poor"))</f>
        <v>Good</v>
      </c>
      <c r="S2939" s="3" t="s">
        <v>36</v>
      </c>
    </row>
    <row r="2940" spans="1:19" x14ac:dyDescent="0.25">
      <c r="A2940" s="3">
        <v>2939</v>
      </c>
      <c r="B2940" s="5">
        <f>DATE(Table1[[#This Row],[Year]],Table1[[#This Row],[Month]],Table1[[#This Row],[Day]])</f>
        <v>45314</v>
      </c>
      <c r="C2940" s="3">
        <v>23</v>
      </c>
      <c r="D2940" s="3">
        <v>1</v>
      </c>
      <c r="E2940" s="3">
        <v>2024</v>
      </c>
      <c r="F2940" s="3" t="str">
        <f>"Qtr"&amp; " " &amp;CHOOSE(MONTH(Table1[[#This Row],[Date]]),1,1,1,2,2,2,3,3,3,4,4,4)</f>
        <v>Qtr 1</v>
      </c>
      <c r="G2940" s="3" t="str">
        <f>TEXT(Table1[[#This Row],[Date]],"mmmm")</f>
        <v>January</v>
      </c>
      <c r="H2940" s="3" t="s">
        <v>1082</v>
      </c>
      <c r="I2940" s="3" t="s">
        <v>39</v>
      </c>
      <c r="J2940" s="3">
        <v>2</v>
      </c>
      <c r="K2940" s="3">
        <v>45983.14</v>
      </c>
      <c r="L2940" s="3">
        <f>Table1[[#This Row],[Price Per Unit]]*Table1[[#This Row],[Units Sold]]</f>
        <v>91966.28</v>
      </c>
      <c r="M2940" s="3" t="s">
        <v>68</v>
      </c>
      <c r="N2940" s="3">
        <v>19</v>
      </c>
      <c r="O2940" s="3" t="s">
        <v>20</v>
      </c>
      <c r="P2940" s="3" t="s">
        <v>31</v>
      </c>
      <c r="Q2940" s="4">
        <v>3</v>
      </c>
      <c r="R2940" s="4" t="str">
        <f>IF(Table1[[#This Row],[Customer Ratings]]&gt;=4, "Good",IF(Table1[[#This Row],[Customer Ratings]]=3, "Average","Poor"))</f>
        <v>Average</v>
      </c>
      <c r="S2940" s="3" t="s">
        <v>42</v>
      </c>
    </row>
    <row r="2941" spans="1:19" x14ac:dyDescent="0.25">
      <c r="A2941" s="3">
        <v>2940</v>
      </c>
      <c r="B2941" s="5">
        <f>DATE(Table1[[#This Row],[Year]],Table1[[#This Row],[Month]],Table1[[#This Row],[Day]])</f>
        <v>45314</v>
      </c>
      <c r="C2941" s="3">
        <v>23</v>
      </c>
      <c r="D2941" s="3">
        <v>1</v>
      </c>
      <c r="E2941" s="3">
        <v>2024</v>
      </c>
      <c r="F2941" s="3" t="str">
        <f>"Qtr"&amp; " " &amp;CHOOSE(MONTH(Table1[[#This Row],[Date]]),1,1,1,2,2,2,3,3,3,4,4,4)</f>
        <v>Qtr 1</v>
      </c>
      <c r="G2941" s="3" t="str">
        <f>TEXT(Table1[[#This Row],[Date]],"mmmm")</f>
        <v>January</v>
      </c>
      <c r="H2941" s="3" t="s">
        <v>1082</v>
      </c>
      <c r="I2941" s="3" t="s">
        <v>28</v>
      </c>
      <c r="J2941" s="3">
        <v>7</v>
      </c>
      <c r="K2941" s="3">
        <v>20654.32</v>
      </c>
      <c r="L2941" s="3">
        <f>Table1[[#This Row],[Price Per Unit]]*Table1[[#This Row],[Units Sold]]</f>
        <v>144580.24</v>
      </c>
      <c r="M2941" s="3" t="s">
        <v>668</v>
      </c>
      <c r="N2941" s="3">
        <v>28</v>
      </c>
      <c r="O2941" s="3" t="s">
        <v>20</v>
      </c>
      <c r="P2941" s="3" t="s">
        <v>21</v>
      </c>
      <c r="Q2941" s="4">
        <v>3</v>
      </c>
      <c r="R2941" s="4" t="str">
        <f>IF(Table1[[#This Row],[Customer Ratings]]&gt;=4, "Good",IF(Table1[[#This Row],[Customer Ratings]]=3, "Average","Poor"))</f>
        <v>Average</v>
      </c>
      <c r="S2941" s="3" t="s">
        <v>38</v>
      </c>
    </row>
    <row r="2942" spans="1:19" x14ac:dyDescent="0.25">
      <c r="A2942" s="3">
        <v>2941</v>
      </c>
      <c r="B2942" s="5">
        <f>DATE(Table1[[#This Row],[Year]],Table1[[#This Row],[Month]],Table1[[#This Row],[Day]])</f>
        <v>45314</v>
      </c>
      <c r="C2942" s="3">
        <v>23</v>
      </c>
      <c r="D2942" s="3">
        <v>1</v>
      </c>
      <c r="E2942" s="3">
        <v>2024</v>
      </c>
      <c r="F2942" s="3" t="str">
        <f>"Qtr"&amp; " " &amp;CHOOSE(MONTH(Table1[[#This Row],[Date]]),1,1,1,2,2,2,3,3,3,4,4,4)</f>
        <v>Qtr 1</v>
      </c>
      <c r="G2942" s="3" t="str">
        <f>TEXT(Table1[[#This Row],[Date]],"mmmm")</f>
        <v>January</v>
      </c>
      <c r="H2942" s="3" t="s">
        <v>1082</v>
      </c>
      <c r="I2942" s="3" t="s">
        <v>39</v>
      </c>
      <c r="J2942" s="3">
        <v>8</v>
      </c>
      <c r="K2942" s="3">
        <v>28223.99</v>
      </c>
      <c r="L2942" s="3">
        <f>Table1[[#This Row],[Price Per Unit]]*Table1[[#This Row],[Units Sold]]</f>
        <v>225791.92</v>
      </c>
      <c r="M2942" s="3" t="s">
        <v>401</v>
      </c>
      <c r="N2942" s="3">
        <v>52</v>
      </c>
      <c r="O2942" s="3" t="s">
        <v>105</v>
      </c>
      <c r="P2942" s="3" t="s">
        <v>31</v>
      </c>
      <c r="Q2942" s="4">
        <v>2</v>
      </c>
      <c r="R2942" s="4" t="str">
        <f>IF(Table1[[#This Row],[Customer Ratings]]&gt;=4, "Good",IF(Table1[[#This Row],[Customer Ratings]]=3, "Average","Poor"))</f>
        <v>Poor</v>
      </c>
      <c r="S2942" s="3" t="s">
        <v>90</v>
      </c>
    </row>
    <row r="2943" spans="1:19" x14ac:dyDescent="0.25">
      <c r="A2943" s="3">
        <v>2942</v>
      </c>
      <c r="B2943" s="5">
        <f>DATE(Table1[[#This Row],[Year]],Table1[[#This Row],[Month]],Table1[[#This Row],[Day]])</f>
        <v>45315</v>
      </c>
      <c r="C2943" s="3">
        <v>24</v>
      </c>
      <c r="D2943" s="3">
        <v>1</v>
      </c>
      <c r="E2943" s="3">
        <v>2024</v>
      </c>
      <c r="F2943" s="3" t="str">
        <f>"Qtr"&amp; " " &amp;CHOOSE(MONTH(Table1[[#This Row],[Date]]),1,1,1,2,2,2,3,3,3,4,4,4)</f>
        <v>Qtr 1</v>
      </c>
      <c r="G2943" s="3" t="str">
        <f>TEXT(Table1[[#This Row],[Date]],"mmmm")</f>
        <v>January</v>
      </c>
      <c r="H2943" s="3" t="s">
        <v>1083</v>
      </c>
      <c r="I2943" s="3" t="s">
        <v>18</v>
      </c>
      <c r="J2943" s="3">
        <v>7</v>
      </c>
      <c r="K2943" s="3">
        <v>30207.56</v>
      </c>
      <c r="L2943" s="3">
        <f>Table1[[#This Row],[Price Per Unit]]*Table1[[#This Row],[Units Sold]]</f>
        <v>211452.92</v>
      </c>
      <c r="M2943" s="3" t="s">
        <v>443</v>
      </c>
      <c r="N2943" s="3">
        <v>34</v>
      </c>
      <c r="O2943" s="3" t="s">
        <v>24</v>
      </c>
      <c r="P2943" s="3" t="s">
        <v>45</v>
      </c>
      <c r="Q2943" s="4">
        <v>2</v>
      </c>
      <c r="R2943" s="4" t="str">
        <f>IF(Table1[[#This Row],[Customer Ratings]]&gt;=4, "Good",IF(Table1[[#This Row],[Customer Ratings]]=3, "Average","Poor"))</f>
        <v>Poor</v>
      </c>
      <c r="S2943" s="3" t="s">
        <v>22</v>
      </c>
    </row>
    <row r="2944" spans="1:19" x14ac:dyDescent="0.25">
      <c r="A2944" s="3">
        <v>2943</v>
      </c>
      <c r="B2944" s="5">
        <f>DATE(Table1[[#This Row],[Year]],Table1[[#This Row],[Month]],Table1[[#This Row],[Day]])</f>
        <v>45315</v>
      </c>
      <c r="C2944" s="3">
        <v>24</v>
      </c>
      <c r="D2944" s="3">
        <v>1</v>
      </c>
      <c r="E2944" s="3">
        <v>2024</v>
      </c>
      <c r="F2944" s="3" t="str">
        <f>"Qtr"&amp; " " &amp;CHOOSE(MONTH(Table1[[#This Row],[Date]]),1,1,1,2,2,2,3,3,3,4,4,4)</f>
        <v>Qtr 1</v>
      </c>
      <c r="G2944" s="3" t="str">
        <f>TEXT(Table1[[#This Row],[Date]],"mmmm")</f>
        <v>January</v>
      </c>
      <c r="H2944" s="3" t="s">
        <v>1083</v>
      </c>
      <c r="I2944" s="3" t="s">
        <v>18</v>
      </c>
      <c r="J2944" s="3">
        <v>7</v>
      </c>
      <c r="K2944" s="3">
        <v>44069.69</v>
      </c>
      <c r="L2944" s="3">
        <f>Table1[[#This Row],[Price Per Unit]]*Table1[[#This Row],[Units Sold]]</f>
        <v>308487.83</v>
      </c>
      <c r="M2944" s="3" t="s">
        <v>449</v>
      </c>
      <c r="N2944" s="3">
        <v>59</v>
      </c>
      <c r="O2944" s="3" t="s">
        <v>20</v>
      </c>
      <c r="P2944" s="3" t="s">
        <v>21</v>
      </c>
      <c r="Q2944" s="4">
        <v>4</v>
      </c>
      <c r="R2944" s="4" t="str">
        <f>IF(Table1[[#This Row],[Customer Ratings]]&gt;=4, "Good",IF(Table1[[#This Row],[Customer Ratings]]=3, "Average","Poor"))</f>
        <v>Good</v>
      </c>
      <c r="S2944" s="3" t="s">
        <v>22</v>
      </c>
    </row>
    <row r="2945" spans="1:19" x14ac:dyDescent="0.25">
      <c r="A2945" s="3">
        <v>2944</v>
      </c>
      <c r="B2945" s="5">
        <f>DATE(Table1[[#This Row],[Year]],Table1[[#This Row],[Month]],Table1[[#This Row],[Day]])</f>
        <v>45315</v>
      </c>
      <c r="C2945" s="3">
        <v>24</v>
      </c>
      <c r="D2945" s="3">
        <v>1</v>
      </c>
      <c r="E2945" s="3">
        <v>2024</v>
      </c>
      <c r="F2945" s="3" t="str">
        <f>"Qtr"&amp; " " &amp;CHOOSE(MONTH(Table1[[#This Row],[Date]]),1,1,1,2,2,2,3,3,3,4,4,4)</f>
        <v>Qtr 1</v>
      </c>
      <c r="G2945" s="3" t="str">
        <f>TEXT(Table1[[#This Row],[Date]],"mmmm")</f>
        <v>January</v>
      </c>
      <c r="H2945" s="3" t="s">
        <v>1083</v>
      </c>
      <c r="I2945" s="3" t="s">
        <v>39</v>
      </c>
      <c r="J2945" s="3">
        <v>5</v>
      </c>
      <c r="K2945" s="3">
        <v>59895.9</v>
      </c>
      <c r="L2945" s="3">
        <f>Table1[[#This Row],[Price Per Unit]]*Table1[[#This Row],[Units Sold]]</f>
        <v>299479.5</v>
      </c>
      <c r="M2945" s="3" t="s">
        <v>583</v>
      </c>
      <c r="N2945" s="3">
        <v>20</v>
      </c>
      <c r="O2945" s="3" t="s">
        <v>137</v>
      </c>
      <c r="P2945" s="3" t="s">
        <v>21</v>
      </c>
      <c r="Q2945" s="4">
        <v>2</v>
      </c>
      <c r="R2945" s="4" t="str">
        <f>IF(Table1[[#This Row],[Customer Ratings]]&gt;=4, "Good",IF(Table1[[#This Row],[Customer Ratings]]=3, "Average","Poor"))</f>
        <v>Poor</v>
      </c>
      <c r="S2945" s="3" t="s">
        <v>90</v>
      </c>
    </row>
    <row r="2946" spans="1:19" x14ac:dyDescent="0.25">
      <c r="A2946" s="3">
        <v>2945</v>
      </c>
      <c r="B2946" s="5">
        <f>DATE(Table1[[#This Row],[Year]],Table1[[#This Row],[Month]],Table1[[#This Row],[Day]])</f>
        <v>45316</v>
      </c>
      <c r="C2946" s="3">
        <v>25</v>
      </c>
      <c r="D2946" s="3">
        <v>1</v>
      </c>
      <c r="E2946" s="3">
        <v>2024</v>
      </c>
      <c r="F2946" s="3" t="str">
        <f>"Qtr"&amp; " " &amp;CHOOSE(MONTH(Table1[[#This Row],[Date]]),1,1,1,2,2,2,3,3,3,4,4,4)</f>
        <v>Qtr 1</v>
      </c>
      <c r="G2946" s="3" t="str">
        <f>TEXT(Table1[[#This Row],[Date]],"mmmm")</f>
        <v>January</v>
      </c>
      <c r="H2946" s="3" t="s">
        <v>1084</v>
      </c>
      <c r="I2946" s="3" t="s">
        <v>18</v>
      </c>
      <c r="J2946" s="3">
        <v>2</v>
      </c>
      <c r="K2946" s="3">
        <v>65949.509999999995</v>
      </c>
      <c r="L2946" s="3">
        <f>Table1[[#This Row],[Price Per Unit]]*Table1[[#This Row],[Units Sold]]</f>
        <v>131899.01999999999</v>
      </c>
      <c r="M2946" s="3" t="s">
        <v>885</v>
      </c>
      <c r="N2946" s="3">
        <v>39</v>
      </c>
      <c r="O2946" s="3" t="s">
        <v>20</v>
      </c>
      <c r="P2946" s="3" t="s">
        <v>31</v>
      </c>
      <c r="Q2946" s="4">
        <v>3</v>
      </c>
      <c r="R2946" s="4" t="str">
        <f>IF(Table1[[#This Row],[Customer Ratings]]&gt;=4, "Good",IF(Table1[[#This Row],[Customer Ratings]]=3, "Average","Poor"))</f>
        <v>Average</v>
      </c>
      <c r="S2946" s="3" t="s">
        <v>55</v>
      </c>
    </row>
    <row r="2947" spans="1:19" x14ac:dyDescent="0.25">
      <c r="A2947" s="3">
        <v>2946</v>
      </c>
      <c r="B2947" s="5">
        <f>DATE(Table1[[#This Row],[Year]],Table1[[#This Row],[Month]],Table1[[#This Row],[Day]])</f>
        <v>45316</v>
      </c>
      <c r="C2947" s="3">
        <v>25</v>
      </c>
      <c r="D2947" s="3">
        <v>1</v>
      </c>
      <c r="E2947" s="3">
        <v>2024</v>
      </c>
      <c r="F2947" s="3" t="str">
        <f>"Qtr"&amp; " " &amp;CHOOSE(MONTH(Table1[[#This Row],[Date]]),1,1,1,2,2,2,3,3,3,4,4,4)</f>
        <v>Qtr 1</v>
      </c>
      <c r="G2947" s="3" t="str">
        <f>TEXT(Table1[[#This Row],[Date]],"mmmm")</f>
        <v>January</v>
      </c>
      <c r="H2947" s="3" t="s">
        <v>1084</v>
      </c>
      <c r="I2947" s="3" t="s">
        <v>28</v>
      </c>
      <c r="J2947" s="3">
        <v>6</v>
      </c>
      <c r="K2947" s="3">
        <v>55005.54</v>
      </c>
      <c r="L2947" s="3">
        <f>Table1[[#This Row],[Price Per Unit]]*Table1[[#This Row],[Units Sold]]</f>
        <v>330033.24</v>
      </c>
      <c r="M2947" s="3" t="s">
        <v>234</v>
      </c>
      <c r="N2947" s="3">
        <v>52</v>
      </c>
      <c r="O2947" s="3" t="s">
        <v>20</v>
      </c>
      <c r="P2947" s="3" t="s">
        <v>31</v>
      </c>
      <c r="Q2947" s="4">
        <v>2</v>
      </c>
      <c r="R2947" s="4" t="str">
        <f>IF(Table1[[#This Row],[Customer Ratings]]&gt;=4, "Good",IF(Table1[[#This Row],[Customer Ratings]]=3, "Average","Poor"))</f>
        <v>Poor</v>
      </c>
      <c r="S2947" s="3" t="s">
        <v>32</v>
      </c>
    </row>
    <row r="2948" spans="1:19" x14ac:dyDescent="0.25">
      <c r="A2948" s="3">
        <v>2947</v>
      </c>
      <c r="B2948" s="5">
        <f>DATE(Table1[[#This Row],[Year]],Table1[[#This Row],[Month]],Table1[[#This Row],[Day]])</f>
        <v>45316</v>
      </c>
      <c r="C2948" s="3">
        <v>25</v>
      </c>
      <c r="D2948" s="3">
        <v>1</v>
      </c>
      <c r="E2948" s="3">
        <v>2024</v>
      </c>
      <c r="F2948" s="3" t="str">
        <f>"Qtr"&amp; " " &amp;CHOOSE(MONTH(Table1[[#This Row],[Date]]),1,1,1,2,2,2,3,3,3,4,4,4)</f>
        <v>Qtr 1</v>
      </c>
      <c r="G2948" s="3" t="str">
        <f>TEXT(Table1[[#This Row],[Date]],"mmmm")</f>
        <v>January</v>
      </c>
      <c r="H2948" s="3" t="s">
        <v>1084</v>
      </c>
      <c r="I2948" s="3" t="s">
        <v>13</v>
      </c>
      <c r="J2948" s="3">
        <v>4</v>
      </c>
      <c r="K2948" s="3">
        <v>60577.02</v>
      </c>
      <c r="L2948" s="3">
        <f>Table1[[#This Row],[Price Per Unit]]*Table1[[#This Row],[Units Sold]]</f>
        <v>242308.08</v>
      </c>
      <c r="M2948" s="3" t="s">
        <v>19</v>
      </c>
      <c r="N2948" s="3">
        <v>38</v>
      </c>
      <c r="O2948" s="3" t="s">
        <v>48</v>
      </c>
      <c r="P2948" s="3" t="s">
        <v>21</v>
      </c>
      <c r="Q2948" s="4">
        <v>2</v>
      </c>
      <c r="R2948" s="4" t="str">
        <f>IF(Table1[[#This Row],[Customer Ratings]]&gt;=4, "Good",IF(Table1[[#This Row],[Customer Ratings]]=3, "Average","Poor"))</f>
        <v>Poor</v>
      </c>
      <c r="S2948" s="3" t="s">
        <v>17</v>
      </c>
    </row>
    <row r="2949" spans="1:19" x14ac:dyDescent="0.25">
      <c r="A2949" s="3">
        <v>2948</v>
      </c>
      <c r="B2949" s="5">
        <f>DATE(Table1[[#This Row],[Year]],Table1[[#This Row],[Month]],Table1[[#This Row],[Day]])</f>
        <v>45316</v>
      </c>
      <c r="C2949" s="3">
        <v>25</v>
      </c>
      <c r="D2949" s="3">
        <v>1</v>
      </c>
      <c r="E2949" s="3">
        <v>2024</v>
      </c>
      <c r="F2949" s="3" t="str">
        <f>"Qtr"&amp; " " &amp;CHOOSE(MONTH(Table1[[#This Row],[Date]]),1,1,1,2,2,2,3,3,3,4,4,4)</f>
        <v>Qtr 1</v>
      </c>
      <c r="G2949" s="3" t="str">
        <f>TEXT(Table1[[#This Row],[Date]],"mmmm")</f>
        <v>January</v>
      </c>
      <c r="H2949" s="3" t="s">
        <v>1084</v>
      </c>
      <c r="I2949" s="3" t="s">
        <v>18</v>
      </c>
      <c r="J2949" s="3">
        <v>2</v>
      </c>
      <c r="K2949" s="3">
        <v>38205.760000000002</v>
      </c>
      <c r="L2949" s="3">
        <f>Table1[[#This Row],[Price Per Unit]]*Table1[[#This Row],[Units Sold]]</f>
        <v>76411.520000000004</v>
      </c>
      <c r="M2949" s="3" t="s">
        <v>381</v>
      </c>
      <c r="N2949" s="3">
        <v>42</v>
      </c>
      <c r="O2949" s="3" t="s">
        <v>24</v>
      </c>
      <c r="P2949" s="3" t="s">
        <v>16</v>
      </c>
      <c r="Q2949" s="4">
        <v>4</v>
      </c>
      <c r="R2949" s="4" t="str">
        <f>IF(Table1[[#This Row],[Customer Ratings]]&gt;=4, "Good",IF(Table1[[#This Row],[Customer Ratings]]=3, "Average","Poor"))</f>
        <v>Good</v>
      </c>
      <c r="S2949" s="3" t="s">
        <v>55</v>
      </c>
    </row>
    <row r="2950" spans="1:19" x14ac:dyDescent="0.25">
      <c r="A2950" s="3">
        <v>2949</v>
      </c>
      <c r="B2950" s="5">
        <f>DATE(Table1[[#This Row],[Year]],Table1[[#This Row],[Month]],Table1[[#This Row],[Day]])</f>
        <v>45317</v>
      </c>
      <c r="C2950" s="3">
        <v>26</v>
      </c>
      <c r="D2950" s="3">
        <v>1</v>
      </c>
      <c r="E2950" s="3">
        <v>2024</v>
      </c>
      <c r="F2950" s="3" t="str">
        <f>"Qtr"&amp; " " &amp;CHOOSE(MONTH(Table1[[#This Row],[Date]]),1,1,1,2,2,2,3,3,3,4,4,4)</f>
        <v>Qtr 1</v>
      </c>
      <c r="G2950" s="3" t="str">
        <f>TEXT(Table1[[#This Row],[Date]],"mmmm")</f>
        <v>January</v>
      </c>
      <c r="H2950" s="3" t="s">
        <v>1085</v>
      </c>
      <c r="I2950" s="3" t="s">
        <v>18</v>
      </c>
      <c r="J2950" s="3">
        <v>9</v>
      </c>
      <c r="K2950" s="3">
        <v>33386.519999999997</v>
      </c>
      <c r="L2950" s="3">
        <f>Table1[[#This Row],[Price Per Unit]]*Table1[[#This Row],[Units Sold]]</f>
        <v>300478.68</v>
      </c>
      <c r="M2950" s="3" t="s">
        <v>597</v>
      </c>
      <c r="N2950" s="3">
        <v>56</v>
      </c>
      <c r="O2950" s="3" t="s">
        <v>20</v>
      </c>
      <c r="P2950" s="3" t="s">
        <v>45</v>
      </c>
      <c r="Q2950" s="4">
        <v>2</v>
      </c>
      <c r="R2950" s="4" t="str">
        <f>IF(Table1[[#This Row],[Customer Ratings]]&gt;=4, "Good",IF(Table1[[#This Row],[Customer Ratings]]=3, "Average","Poor"))</f>
        <v>Poor</v>
      </c>
      <c r="S2950" s="3" t="s">
        <v>25</v>
      </c>
    </row>
    <row r="2951" spans="1:19" x14ac:dyDescent="0.25">
      <c r="A2951" s="3">
        <v>2950</v>
      </c>
      <c r="B2951" s="5">
        <f>DATE(Table1[[#This Row],[Year]],Table1[[#This Row],[Month]],Table1[[#This Row],[Day]])</f>
        <v>45317</v>
      </c>
      <c r="C2951" s="3">
        <v>26</v>
      </c>
      <c r="D2951" s="3">
        <v>1</v>
      </c>
      <c r="E2951" s="3">
        <v>2024</v>
      </c>
      <c r="F2951" s="3" t="str">
        <f>"Qtr"&amp; " " &amp;CHOOSE(MONTH(Table1[[#This Row],[Date]]),1,1,1,2,2,2,3,3,3,4,4,4)</f>
        <v>Qtr 1</v>
      </c>
      <c r="G2951" s="3" t="str">
        <f>TEXT(Table1[[#This Row],[Date]],"mmmm")</f>
        <v>January</v>
      </c>
      <c r="H2951" s="3" t="s">
        <v>1085</v>
      </c>
      <c r="I2951" s="3" t="s">
        <v>39</v>
      </c>
      <c r="J2951" s="3">
        <v>7</v>
      </c>
      <c r="K2951" s="3">
        <v>33562.51</v>
      </c>
      <c r="L2951" s="3">
        <f>Table1[[#This Row],[Price Per Unit]]*Table1[[#This Row],[Units Sold]]</f>
        <v>234937.57</v>
      </c>
      <c r="M2951" s="3" t="s">
        <v>193</v>
      </c>
      <c r="N2951" s="3">
        <v>19</v>
      </c>
      <c r="O2951" s="3" t="s">
        <v>98</v>
      </c>
      <c r="P2951" s="3" t="s">
        <v>45</v>
      </c>
      <c r="Q2951" s="4">
        <v>2</v>
      </c>
      <c r="R2951" s="4" t="str">
        <f>IF(Table1[[#This Row],[Customer Ratings]]&gt;=4, "Good",IF(Table1[[#This Row],[Customer Ratings]]=3, "Average","Poor"))</f>
        <v>Poor</v>
      </c>
      <c r="S2951" s="3" t="s">
        <v>76</v>
      </c>
    </row>
    <row r="2952" spans="1:19" x14ac:dyDescent="0.25">
      <c r="A2952" s="3">
        <v>2951</v>
      </c>
      <c r="B2952" s="5">
        <f>DATE(Table1[[#This Row],[Year]],Table1[[#This Row],[Month]],Table1[[#This Row],[Day]])</f>
        <v>45317</v>
      </c>
      <c r="C2952" s="3">
        <v>26</v>
      </c>
      <c r="D2952" s="3">
        <v>1</v>
      </c>
      <c r="E2952" s="3">
        <v>2024</v>
      </c>
      <c r="F2952" s="3" t="str">
        <f>"Qtr"&amp; " " &amp;CHOOSE(MONTH(Table1[[#This Row],[Date]]),1,1,1,2,2,2,3,3,3,4,4,4)</f>
        <v>Qtr 1</v>
      </c>
      <c r="G2952" s="3" t="str">
        <f>TEXT(Table1[[#This Row],[Date]],"mmmm")</f>
        <v>January</v>
      </c>
      <c r="H2952" s="3" t="s">
        <v>1085</v>
      </c>
      <c r="I2952" s="3" t="s">
        <v>28</v>
      </c>
      <c r="J2952" s="3">
        <v>6</v>
      </c>
      <c r="K2952" s="3">
        <v>46962.31</v>
      </c>
      <c r="L2952" s="3">
        <f>Table1[[#This Row],[Price Per Unit]]*Table1[[#This Row],[Units Sold]]</f>
        <v>281773.86</v>
      </c>
      <c r="M2952" s="3" t="s">
        <v>963</v>
      </c>
      <c r="N2952" s="3">
        <v>18</v>
      </c>
      <c r="O2952" s="3" t="s">
        <v>54</v>
      </c>
      <c r="P2952" s="3" t="s">
        <v>45</v>
      </c>
      <c r="Q2952" s="4">
        <v>4</v>
      </c>
      <c r="R2952" s="4" t="str">
        <f>IF(Table1[[#This Row],[Customer Ratings]]&gt;=4, "Good",IF(Table1[[#This Row],[Customer Ratings]]=3, "Average","Poor"))</f>
        <v>Good</v>
      </c>
      <c r="S2952" s="3" t="s">
        <v>38</v>
      </c>
    </row>
    <row r="2953" spans="1:19" x14ac:dyDescent="0.25">
      <c r="A2953" s="3">
        <v>2952</v>
      </c>
      <c r="B2953" s="5">
        <f>DATE(Table1[[#This Row],[Year]],Table1[[#This Row],[Month]],Table1[[#This Row],[Day]])</f>
        <v>45318</v>
      </c>
      <c r="C2953" s="3">
        <v>27</v>
      </c>
      <c r="D2953" s="3">
        <v>1</v>
      </c>
      <c r="E2953" s="3">
        <v>2024</v>
      </c>
      <c r="F2953" s="3" t="str">
        <f>"Qtr"&amp; " " &amp;CHOOSE(MONTH(Table1[[#This Row],[Date]]),1,1,1,2,2,2,3,3,3,4,4,4)</f>
        <v>Qtr 1</v>
      </c>
      <c r="G2953" s="3" t="str">
        <f>TEXT(Table1[[#This Row],[Date]],"mmmm")</f>
        <v>January</v>
      </c>
      <c r="H2953" s="3" t="s">
        <v>1079</v>
      </c>
      <c r="I2953" s="3" t="s">
        <v>13</v>
      </c>
      <c r="J2953" s="3">
        <v>5</v>
      </c>
      <c r="K2953" s="3">
        <v>17454.2</v>
      </c>
      <c r="L2953" s="3">
        <f>Table1[[#This Row],[Price Per Unit]]*Table1[[#This Row],[Units Sold]]</f>
        <v>87271</v>
      </c>
      <c r="M2953" s="3" t="s">
        <v>958</v>
      </c>
      <c r="N2953" s="3">
        <v>24</v>
      </c>
      <c r="O2953" s="3" t="s">
        <v>52</v>
      </c>
      <c r="P2953" s="3" t="s">
        <v>45</v>
      </c>
      <c r="Q2953" s="4">
        <v>2</v>
      </c>
      <c r="R2953" s="4" t="str">
        <f>IF(Table1[[#This Row],[Customer Ratings]]&gt;=4, "Good",IF(Table1[[#This Row],[Customer Ratings]]=3, "Average","Poor"))</f>
        <v>Poor</v>
      </c>
      <c r="S2953" s="3" t="s">
        <v>27</v>
      </c>
    </row>
    <row r="2954" spans="1:19" x14ac:dyDescent="0.25">
      <c r="A2954" s="3">
        <v>2953</v>
      </c>
      <c r="B2954" s="5">
        <f>DATE(Table1[[#This Row],[Year]],Table1[[#This Row],[Month]],Table1[[#This Row],[Day]])</f>
        <v>45318</v>
      </c>
      <c r="C2954" s="3">
        <v>27</v>
      </c>
      <c r="D2954" s="3">
        <v>1</v>
      </c>
      <c r="E2954" s="3">
        <v>2024</v>
      </c>
      <c r="F2954" s="3" t="str">
        <f>"Qtr"&amp; " " &amp;CHOOSE(MONTH(Table1[[#This Row],[Date]]),1,1,1,2,2,2,3,3,3,4,4,4)</f>
        <v>Qtr 1</v>
      </c>
      <c r="G2954" s="3" t="str">
        <f>TEXT(Table1[[#This Row],[Date]],"mmmm")</f>
        <v>January</v>
      </c>
      <c r="H2954" s="3" t="s">
        <v>1079</v>
      </c>
      <c r="I2954" s="3" t="s">
        <v>39</v>
      </c>
      <c r="J2954" s="3">
        <v>3</v>
      </c>
      <c r="K2954" s="3">
        <v>44769.65</v>
      </c>
      <c r="L2954" s="3">
        <f>Table1[[#This Row],[Price Per Unit]]*Table1[[#This Row],[Units Sold]]</f>
        <v>134308.95000000001</v>
      </c>
      <c r="M2954" s="3" t="s">
        <v>508</v>
      </c>
      <c r="N2954" s="3">
        <v>37</v>
      </c>
      <c r="O2954" s="3" t="s">
        <v>20</v>
      </c>
      <c r="P2954" s="3" t="s">
        <v>45</v>
      </c>
      <c r="Q2954" s="4">
        <v>2</v>
      </c>
      <c r="R2954" s="4" t="str">
        <f>IF(Table1[[#This Row],[Customer Ratings]]&gt;=4, "Good",IF(Table1[[#This Row],[Customer Ratings]]=3, "Average","Poor"))</f>
        <v>Poor</v>
      </c>
      <c r="S2954" s="3" t="s">
        <v>76</v>
      </c>
    </row>
    <row r="2955" spans="1:19" x14ac:dyDescent="0.25">
      <c r="A2955" s="3">
        <v>2954</v>
      </c>
      <c r="B2955" s="5">
        <f>DATE(Table1[[#This Row],[Year]],Table1[[#This Row],[Month]],Table1[[#This Row],[Day]])</f>
        <v>45318</v>
      </c>
      <c r="C2955" s="3">
        <v>27</v>
      </c>
      <c r="D2955" s="3">
        <v>1</v>
      </c>
      <c r="E2955" s="3">
        <v>2024</v>
      </c>
      <c r="F2955" s="3" t="str">
        <f>"Qtr"&amp; " " &amp;CHOOSE(MONTH(Table1[[#This Row],[Date]]),1,1,1,2,2,2,3,3,3,4,4,4)</f>
        <v>Qtr 1</v>
      </c>
      <c r="G2955" s="3" t="str">
        <f>TEXT(Table1[[#This Row],[Date]],"mmmm")</f>
        <v>January</v>
      </c>
      <c r="H2955" s="3" t="s">
        <v>1079</v>
      </c>
      <c r="I2955" s="3" t="s">
        <v>39</v>
      </c>
      <c r="J2955" s="3">
        <v>4</v>
      </c>
      <c r="K2955" s="3">
        <v>49907.97</v>
      </c>
      <c r="L2955" s="3">
        <f>Table1[[#This Row],[Price Per Unit]]*Table1[[#This Row],[Units Sold]]</f>
        <v>199631.88</v>
      </c>
      <c r="M2955" s="3" t="s">
        <v>523</v>
      </c>
      <c r="N2955" s="3">
        <v>23</v>
      </c>
      <c r="O2955" s="3" t="s">
        <v>24</v>
      </c>
      <c r="P2955" s="3" t="s">
        <v>21</v>
      </c>
      <c r="Q2955" s="4">
        <v>2</v>
      </c>
      <c r="R2955" s="4" t="str">
        <f>IF(Table1[[#This Row],[Customer Ratings]]&gt;=4, "Good",IF(Table1[[#This Row],[Customer Ratings]]=3, "Average","Poor"))</f>
        <v>Poor</v>
      </c>
      <c r="S2955" s="3" t="s">
        <v>42</v>
      </c>
    </row>
    <row r="2956" spans="1:19" x14ac:dyDescent="0.25">
      <c r="A2956" s="3">
        <v>2955</v>
      </c>
      <c r="B2956" s="5">
        <f>DATE(Table1[[#This Row],[Year]],Table1[[#This Row],[Month]],Table1[[#This Row],[Day]])</f>
        <v>45319</v>
      </c>
      <c r="C2956" s="3">
        <v>28</v>
      </c>
      <c r="D2956" s="3">
        <v>1</v>
      </c>
      <c r="E2956" s="3">
        <v>2024</v>
      </c>
      <c r="F2956" s="3" t="str">
        <f>"Qtr"&amp; " " &amp;CHOOSE(MONTH(Table1[[#This Row],[Date]]),1,1,1,2,2,2,3,3,3,4,4,4)</f>
        <v>Qtr 1</v>
      </c>
      <c r="G2956" s="3" t="str">
        <f>TEXT(Table1[[#This Row],[Date]],"mmmm")</f>
        <v>January</v>
      </c>
      <c r="H2956" s="3" t="s">
        <v>1080</v>
      </c>
      <c r="I2956" s="3" t="s">
        <v>28</v>
      </c>
      <c r="J2956" s="3">
        <v>3</v>
      </c>
      <c r="K2956" s="3">
        <v>36334.519999999997</v>
      </c>
      <c r="L2956" s="3">
        <f>Table1[[#This Row],[Price Per Unit]]*Table1[[#This Row],[Units Sold]]</f>
        <v>109003.56</v>
      </c>
      <c r="M2956" s="3" t="s">
        <v>312</v>
      </c>
      <c r="N2956" s="3">
        <v>53</v>
      </c>
      <c r="O2956" s="3" t="s">
        <v>24</v>
      </c>
      <c r="P2956" s="3" t="s">
        <v>45</v>
      </c>
      <c r="Q2956" s="4">
        <v>2</v>
      </c>
      <c r="R2956" s="4" t="str">
        <f>IF(Table1[[#This Row],[Customer Ratings]]&gt;=4, "Good",IF(Table1[[#This Row],[Customer Ratings]]=3, "Average","Poor"))</f>
        <v>Poor</v>
      </c>
      <c r="S2956" s="3" t="s">
        <v>32</v>
      </c>
    </row>
    <row r="2957" spans="1:19" x14ac:dyDescent="0.25">
      <c r="A2957" s="3">
        <v>2956</v>
      </c>
      <c r="B2957" s="5">
        <f>DATE(Table1[[#This Row],[Year]],Table1[[#This Row],[Month]],Table1[[#This Row],[Day]])</f>
        <v>45319</v>
      </c>
      <c r="C2957" s="3">
        <v>28</v>
      </c>
      <c r="D2957" s="3">
        <v>1</v>
      </c>
      <c r="E2957" s="3">
        <v>2024</v>
      </c>
      <c r="F2957" s="3" t="str">
        <f>"Qtr"&amp; " " &amp;CHOOSE(MONTH(Table1[[#This Row],[Date]]),1,1,1,2,2,2,3,3,3,4,4,4)</f>
        <v>Qtr 1</v>
      </c>
      <c r="G2957" s="3" t="str">
        <f>TEXT(Table1[[#This Row],[Date]],"mmmm")</f>
        <v>January</v>
      </c>
      <c r="H2957" s="3" t="s">
        <v>1080</v>
      </c>
      <c r="I2957" s="3" t="s">
        <v>13</v>
      </c>
      <c r="J2957" s="3">
        <v>8</v>
      </c>
      <c r="K2957" s="3">
        <v>67190.03</v>
      </c>
      <c r="L2957" s="3">
        <f>Table1[[#This Row],[Price Per Unit]]*Table1[[#This Row],[Units Sold]]</f>
        <v>537520.24</v>
      </c>
      <c r="M2957" s="3" t="s">
        <v>170</v>
      </c>
      <c r="N2957" s="3">
        <v>38</v>
      </c>
      <c r="O2957" s="3" t="s">
        <v>20</v>
      </c>
      <c r="P2957" s="3" t="s">
        <v>16</v>
      </c>
      <c r="Q2957" s="4">
        <v>2</v>
      </c>
      <c r="R2957" s="4" t="str">
        <f>IF(Table1[[#This Row],[Customer Ratings]]&gt;=4, "Good",IF(Table1[[#This Row],[Customer Ratings]]=3, "Average","Poor"))</f>
        <v>Poor</v>
      </c>
      <c r="S2957" s="3" t="s">
        <v>27</v>
      </c>
    </row>
    <row r="2958" spans="1:19" x14ac:dyDescent="0.25">
      <c r="A2958" s="3">
        <v>2957</v>
      </c>
      <c r="B2958" s="5">
        <f>DATE(Table1[[#This Row],[Year]],Table1[[#This Row],[Month]],Table1[[#This Row],[Day]])</f>
        <v>45319</v>
      </c>
      <c r="C2958" s="3">
        <v>28</v>
      </c>
      <c r="D2958" s="3">
        <v>1</v>
      </c>
      <c r="E2958" s="3">
        <v>2024</v>
      </c>
      <c r="F2958" s="3" t="str">
        <f>"Qtr"&amp; " " &amp;CHOOSE(MONTH(Table1[[#This Row],[Date]]),1,1,1,2,2,2,3,3,3,4,4,4)</f>
        <v>Qtr 1</v>
      </c>
      <c r="G2958" s="3" t="str">
        <f>TEXT(Table1[[#This Row],[Date]],"mmmm")</f>
        <v>January</v>
      </c>
      <c r="H2958" s="3" t="s">
        <v>1080</v>
      </c>
      <c r="I2958" s="3" t="s">
        <v>28</v>
      </c>
      <c r="J2958" s="3">
        <v>3</v>
      </c>
      <c r="K2958" s="3">
        <v>46492.800000000003</v>
      </c>
      <c r="L2958" s="3">
        <f>Table1[[#This Row],[Price Per Unit]]*Table1[[#This Row],[Units Sold]]</f>
        <v>139478.40000000002</v>
      </c>
      <c r="M2958" s="3" t="s">
        <v>947</v>
      </c>
      <c r="N2958" s="3">
        <v>52</v>
      </c>
      <c r="O2958" s="3" t="s">
        <v>41</v>
      </c>
      <c r="P2958" s="3" t="s">
        <v>16</v>
      </c>
      <c r="Q2958" s="4">
        <v>5</v>
      </c>
      <c r="R2958" s="4" t="str">
        <f>IF(Table1[[#This Row],[Customer Ratings]]&gt;=4, "Good",IF(Table1[[#This Row],[Customer Ratings]]=3, "Average","Poor"))</f>
        <v>Good</v>
      </c>
      <c r="S2958" s="3" t="s">
        <v>38</v>
      </c>
    </row>
    <row r="2959" spans="1:19" x14ac:dyDescent="0.25">
      <c r="A2959" s="3">
        <v>2958</v>
      </c>
      <c r="B2959" s="5">
        <f>DATE(Table1[[#This Row],[Year]],Table1[[#This Row],[Month]],Table1[[#This Row],[Day]])</f>
        <v>45319</v>
      </c>
      <c r="C2959" s="3">
        <v>28</v>
      </c>
      <c r="D2959" s="3">
        <v>1</v>
      </c>
      <c r="E2959" s="3">
        <v>2024</v>
      </c>
      <c r="F2959" s="3" t="str">
        <f>"Qtr"&amp; " " &amp;CHOOSE(MONTH(Table1[[#This Row],[Date]]),1,1,1,2,2,2,3,3,3,4,4,4)</f>
        <v>Qtr 1</v>
      </c>
      <c r="G2959" s="3" t="str">
        <f>TEXT(Table1[[#This Row],[Date]],"mmmm")</f>
        <v>January</v>
      </c>
      <c r="H2959" s="3" t="s">
        <v>1080</v>
      </c>
      <c r="I2959" s="3" t="s">
        <v>13</v>
      </c>
      <c r="J2959" s="3">
        <v>7</v>
      </c>
      <c r="K2959" s="3">
        <v>23199.97</v>
      </c>
      <c r="L2959" s="3">
        <f>Table1[[#This Row],[Price Per Unit]]*Table1[[#This Row],[Units Sold]]</f>
        <v>162399.79</v>
      </c>
      <c r="M2959" s="3" t="s">
        <v>409</v>
      </c>
      <c r="N2959" s="3">
        <v>53</v>
      </c>
      <c r="O2959" s="3" t="s">
        <v>65</v>
      </c>
      <c r="P2959" s="3" t="s">
        <v>31</v>
      </c>
      <c r="Q2959" s="4">
        <v>5</v>
      </c>
      <c r="R2959" s="4" t="str">
        <f>IF(Table1[[#This Row],[Customer Ratings]]&gt;=4, "Good",IF(Table1[[#This Row],[Customer Ratings]]=3, "Average","Poor"))</f>
        <v>Good</v>
      </c>
      <c r="S2959" s="3" t="s">
        <v>27</v>
      </c>
    </row>
    <row r="2960" spans="1:19" x14ac:dyDescent="0.25">
      <c r="A2960" s="3">
        <v>2959</v>
      </c>
      <c r="B2960" s="5">
        <f>DATE(Table1[[#This Row],[Year]],Table1[[#This Row],[Month]],Table1[[#This Row],[Day]])</f>
        <v>45320</v>
      </c>
      <c r="C2960" s="3">
        <v>29</v>
      </c>
      <c r="D2960" s="3">
        <v>1</v>
      </c>
      <c r="E2960" s="3">
        <v>2024</v>
      </c>
      <c r="F2960" s="3" t="str">
        <f>"Qtr"&amp; " " &amp;CHOOSE(MONTH(Table1[[#This Row],[Date]]),1,1,1,2,2,2,3,3,3,4,4,4)</f>
        <v>Qtr 1</v>
      </c>
      <c r="G2960" s="3" t="str">
        <f>TEXT(Table1[[#This Row],[Date]],"mmmm")</f>
        <v>January</v>
      </c>
      <c r="H2960" s="3" t="s">
        <v>1081</v>
      </c>
      <c r="I2960" s="3" t="s">
        <v>28</v>
      </c>
      <c r="J2960" s="3">
        <v>7</v>
      </c>
      <c r="K2960" s="3">
        <v>38752.980000000003</v>
      </c>
      <c r="L2960" s="3">
        <f>Table1[[#This Row],[Price Per Unit]]*Table1[[#This Row],[Units Sold]]</f>
        <v>271270.86000000004</v>
      </c>
      <c r="M2960" s="3" t="s">
        <v>222</v>
      </c>
      <c r="N2960" s="3">
        <v>25</v>
      </c>
      <c r="O2960" s="3" t="s">
        <v>20</v>
      </c>
      <c r="P2960" s="3" t="s">
        <v>31</v>
      </c>
      <c r="Q2960" s="4">
        <v>4</v>
      </c>
      <c r="R2960" s="4" t="str">
        <f>IF(Table1[[#This Row],[Customer Ratings]]&gt;=4, "Good",IF(Table1[[#This Row],[Customer Ratings]]=3, "Average","Poor"))</f>
        <v>Good</v>
      </c>
      <c r="S2960" s="3" t="s">
        <v>87</v>
      </c>
    </row>
    <row r="2961" spans="1:19" x14ac:dyDescent="0.25">
      <c r="A2961" s="3">
        <v>2960</v>
      </c>
      <c r="B2961" s="5">
        <f>DATE(Table1[[#This Row],[Year]],Table1[[#This Row],[Month]],Table1[[#This Row],[Day]])</f>
        <v>45320</v>
      </c>
      <c r="C2961" s="3">
        <v>29</v>
      </c>
      <c r="D2961" s="3">
        <v>1</v>
      </c>
      <c r="E2961" s="3">
        <v>2024</v>
      </c>
      <c r="F2961" s="3" t="str">
        <f>"Qtr"&amp; " " &amp;CHOOSE(MONTH(Table1[[#This Row],[Date]]),1,1,1,2,2,2,3,3,3,4,4,4)</f>
        <v>Qtr 1</v>
      </c>
      <c r="G2961" s="3" t="str">
        <f>TEXT(Table1[[#This Row],[Date]],"mmmm")</f>
        <v>January</v>
      </c>
      <c r="H2961" s="3" t="s">
        <v>1081</v>
      </c>
      <c r="I2961" s="3" t="s">
        <v>39</v>
      </c>
      <c r="J2961" s="3">
        <v>7</v>
      </c>
      <c r="K2961" s="3">
        <v>50524.27</v>
      </c>
      <c r="L2961" s="3">
        <f>Table1[[#This Row],[Price Per Unit]]*Table1[[#This Row],[Units Sold]]</f>
        <v>353669.88999999996</v>
      </c>
      <c r="M2961" s="3" t="s">
        <v>635</v>
      </c>
      <c r="N2961" s="3">
        <v>21</v>
      </c>
      <c r="O2961" s="3" t="s">
        <v>24</v>
      </c>
      <c r="P2961" s="3" t="s">
        <v>31</v>
      </c>
      <c r="Q2961" s="4">
        <v>4</v>
      </c>
      <c r="R2961" s="4" t="str">
        <f>IF(Table1[[#This Row],[Customer Ratings]]&gt;=4, "Good",IF(Table1[[#This Row],[Customer Ratings]]=3, "Average","Poor"))</f>
        <v>Good</v>
      </c>
      <c r="S2961" s="3" t="s">
        <v>76</v>
      </c>
    </row>
    <row r="2962" spans="1:19" x14ac:dyDescent="0.25">
      <c r="A2962" s="3">
        <v>2961</v>
      </c>
      <c r="B2962" s="5">
        <f>DATE(Table1[[#This Row],[Year]],Table1[[#This Row],[Month]],Table1[[#This Row],[Day]])</f>
        <v>45320</v>
      </c>
      <c r="C2962" s="3">
        <v>29</v>
      </c>
      <c r="D2962" s="3">
        <v>1</v>
      </c>
      <c r="E2962" s="3">
        <v>2024</v>
      </c>
      <c r="F2962" s="3" t="str">
        <f>"Qtr"&amp; " " &amp;CHOOSE(MONTH(Table1[[#This Row],[Date]]),1,1,1,2,2,2,3,3,3,4,4,4)</f>
        <v>Qtr 1</v>
      </c>
      <c r="G2962" s="3" t="str">
        <f>TEXT(Table1[[#This Row],[Date]],"mmmm")</f>
        <v>January</v>
      </c>
      <c r="H2962" s="3" t="s">
        <v>1081</v>
      </c>
      <c r="I2962" s="3" t="s">
        <v>39</v>
      </c>
      <c r="J2962" s="3">
        <v>7</v>
      </c>
      <c r="K2962" s="3">
        <v>29417.75</v>
      </c>
      <c r="L2962" s="3">
        <f>Table1[[#This Row],[Price Per Unit]]*Table1[[#This Row],[Units Sold]]</f>
        <v>205924.25</v>
      </c>
      <c r="M2962" s="3" t="s">
        <v>696</v>
      </c>
      <c r="N2962" s="3">
        <v>33</v>
      </c>
      <c r="O2962" s="3" t="s">
        <v>20</v>
      </c>
      <c r="P2962" s="3" t="s">
        <v>31</v>
      </c>
      <c r="Q2962" s="4">
        <v>3</v>
      </c>
      <c r="R2962" s="4" t="str">
        <f>IF(Table1[[#This Row],[Customer Ratings]]&gt;=4, "Good",IF(Table1[[#This Row],[Customer Ratings]]=3, "Average","Poor"))</f>
        <v>Average</v>
      </c>
      <c r="S2962" s="3" t="s">
        <v>90</v>
      </c>
    </row>
    <row r="2963" spans="1:19" x14ac:dyDescent="0.25">
      <c r="A2963" s="3">
        <v>2962</v>
      </c>
      <c r="B2963" s="5">
        <f>DATE(Table1[[#This Row],[Year]],Table1[[#This Row],[Month]],Table1[[#This Row],[Day]])</f>
        <v>45321</v>
      </c>
      <c r="C2963" s="3">
        <v>30</v>
      </c>
      <c r="D2963" s="3">
        <v>1</v>
      </c>
      <c r="E2963" s="3">
        <v>2024</v>
      </c>
      <c r="F2963" s="3" t="str">
        <f>"Qtr"&amp; " " &amp;CHOOSE(MONTH(Table1[[#This Row],[Date]]),1,1,1,2,2,2,3,3,3,4,4,4)</f>
        <v>Qtr 1</v>
      </c>
      <c r="G2963" s="3" t="str">
        <f>TEXT(Table1[[#This Row],[Date]],"mmmm")</f>
        <v>January</v>
      </c>
      <c r="H2963" s="3" t="s">
        <v>1082</v>
      </c>
      <c r="I2963" s="3" t="s">
        <v>33</v>
      </c>
      <c r="J2963" s="3">
        <v>2</v>
      </c>
      <c r="K2963" s="3">
        <v>14778.5</v>
      </c>
      <c r="L2963" s="3">
        <f>Table1[[#This Row],[Price Per Unit]]*Table1[[#This Row],[Units Sold]]</f>
        <v>29557</v>
      </c>
      <c r="M2963" s="3" t="s">
        <v>930</v>
      </c>
      <c r="N2963" s="3">
        <v>20</v>
      </c>
      <c r="O2963" s="3" t="s">
        <v>58</v>
      </c>
      <c r="P2963" s="3" t="s">
        <v>21</v>
      </c>
      <c r="Q2963" s="4">
        <v>5</v>
      </c>
      <c r="R2963" s="4" t="str">
        <f>IF(Table1[[#This Row],[Customer Ratings]]&gt;=4, "Good",IF(Table1[[#This Row],[Customer Ratings]]=3, "Average","Poor"))</f>
        <v>Good</v>
      </c>
      <c r="S2963" s="3" t="s">
        <v>46</v>
      </c>
    </row>
    <row r="2964" spans="1:19" x14ac:dyDescent="0.25">
      <c r="A2964" s="3">
        <v>2963</v>
      </c>
      <c r="B2964" s="5">
        <f>DATE(Table1[[#This Row],[Year]],Table1[[#This Row],[Month]],Table1[[#This Row],[Day]])</f>
        <v>45321</v>
      </c>
      <c r="C2964" s="3">
        <v>30</v>
      </c>
      <c r="D2964" s="3">
        <v>1</v>
      </c>
      <c r="E2964" s="3">
        <v>2024</v>
      </c>
      <c r="F2964" s="3" t="str">
        <f>"Qtr"&amp; " " &amp;CHOOSE(MONTH(Table1[[#This Row],[Date]]),1,1,1,2,2,2,3,3,3,4,4,4)</f>
        <v>Qtr 1</v>
      </c>
      <c r="G2964" s="3" t="str">
        <f>TEXT(Table1[[#This Row],[Date]],"mmmm")</f>
        <v>January</v>
      </c>
      <c r="H2964" s="3" t="s">
        <v>1082</v>
      </c>
      <c r="I2964" s="3" t="s">
        <v>18</v>
      </c>
      <c r="J2964" s="3">
        <v>3</v>
      </c>
      <c r="K2964" s="3">
        <v>45006.14</v>
      </c>
      <c r="L2964" s="3">
        <f>Table1[[#This Row],[Price Per Unit]]*Table1[[#This Row],[Units Sold]]</f>
        <v>135018.41999999998</v>
      </c>
      <c r="M2964" s="3" t="s">
        <v>878</v>
      </c>
      <c r="N2964" s="3">
        <v>24</v>
      </c>
      <c r="O2964" s="3" t="s">
        <v>20</v>
      </c>
      <c r="P2964" s="3" t="s">
        <v>16</v>
      </c>
      <c r="Q2964" s="4">
        <v>2</v>
      </c>
      <c r="R2964" s="4" t="str">
        <f>IF(Table1[[#This Row],[Customer Ratings]]&gt;=4, "Good",IF(Table1[[#This Row],[Customer Ratings]]=3, "Average","Poor"))</f>
        <v>Poor</v>
      </c>
      <c r="S2964" s="3" t="s">
        <v>25</v>
      </c>
    </row>
    <row r="2965" spans="1:19" x14ac:dyDescent="0.25">
      <c r="A2965" s="3">
        <v>2964</v>
      </c>
      <c r="B2965" s="5">
        <f>DATE(Table1[[#This Row],[Year]],Table1[[#This Row],[Month]],Table1[[#This Row],[Day]])</f>
        <v>45321</v>
      </c>
      <c r="C2965" s="3">
        <v>30</v>
      </c>
      <c r="D2965" s="3">
        <v>1</v>
      </c>
      <c r="E2965" s="3">
        <v>2024</v>
      </c>
      <c r="F2965" s="3" t="str">
        <f>"Qtr"&amp; " " &amp;CHOOSE(MONTH(Table1[[#This Row],[Date]]),1,1,1,2,2,2,3,3,3,4,4,4)</f>
        <v>Qtr 1</v>
      </c>
      <c r="G2965" s="3" t="str">
        <f>TEXT(Table1[[#This Row],[Date]],"mmmm")</f>
        <v>January</v>
      </c>
      <c r="H2965" s="3" t="s">
        <v>1082</v>
      </c>
      <c r="I2965" s="3" t="s">
        <v>28</v>
      </c>
      <c r="J2965" s="3">
        <v>9</v>
      </c>
      <c r="K2965" s="3">
        <v>66872.210000000006</v>
      </c>
      <c r="L2965" s="3">
        <f>Table1[[#This Row],[Price Per Unit]]*Table1[[#This Row],[Units Sold]]</f>
        <v>601849.89</v>
      </c>
      <c r="M2965" s="3" t="s">
        <v>1016</v>
      </c>
      <c r="N2965" s="3">
        <v>19</v>
      </c>
      <c r="O2965" s="3" t="s">
        <v>78</v>
      </c>
      <c r="P2965" s="3" t="s">
        <v>21</v>
      </c>
      <c r="Q2965" s="4">
        <v>5</v>
      </c>
      <c r="R2965" s="4" t="str">
        <f>IF(Table1[[#This Row],[Customer Ratings]]&gt;=4, "Good",IF(Table1[[#This Row],[Customer Ratings]]=3, "Average","Poor"))</f>
        <v>Good</v>
      </c>
      <c r="S2965" s="3" t="s">
        <v>87</v>
      </c>
    </row>
    <row r="2966" spans="1:19" x14ac:dyDescent="0.25">
      <c r="A2966" s="3">
        <v>2965</v>
      </c>
      <c r="B2966" s="5">
        <f>DATE(Table1[[#This Row],[Year]],Table1[[#This Row],[Month]],Table1[[#This Row],[Day]])</f>
        <v>45322</v>
      </c>
      <c r="C2966" s="3">
        <v>31</v>
      </c>
      <c r="D2966" s="3">
        <v>1</v>
      </c>
      <c r="E2966" s="3">
        <v>2024</v>
      </c>
      <c r="F2966" s="3" t="str">
        <f>"Qtr"&amp; " " &amp;CHOOSE(MONTH(Table1[[#This Row],[Date]]),1,1,1,2,2,2,3,3,3,4,4,4)</f>
        <v>Qtr 1</v>
      </c>
      <c r="G2966" s="3" t="str">
        <f>TEXT(Table1[[#This Row],[Date]],"mmmm")</f>
        <v>January</v>
      </c>
      <c r="H2966" s="3" t="s">
        <v>1083</v>
      </c>
      <c r="I2966" s="3" t="s">
        <v>33</v>
      </c>
      <c r="J2966" s="3">
        <v>3</v>
      </c>
      <c r="K2966" s="3">
        <v>39104.32</v>
      </c>
      <c r="L2966" s="3">
        <f>Table1[[#This Row],[Price Per Unit]]*Table1[[#This Row],[Units Sold]]</f>
        <v>117312.95999999999</v>
      </c>
      <c r="M2966" s="3" t="s">
        <v>772</v>
      </c>
      <c r="N2966" s="3">
        <v>18</v>
      </c>
      <c r="O2966" s="3" t="s">
        <v>30</v>
      </c>
      <c r="P2966" s="3" t="s">
        <v>16</v>
      </c>
      <c r="Q2966" s="4">
        <v>4</v>
      </c>
      <c r="R2966" s="4" t="str">
        <f>IF(Table1[[#This Row],[Customer Ratings]]&gt;=4, "Good",IF(Table1[[#This Row],[Customer Ratings]]=3, "Average","Poor"))</f>
        <v>Good</v>
      </c>
      <c r="S2966" s="3" t="s">
        <v>83</v>
      </c>
    </row>
    <row r="2967" spans="1:19" x14ac:dyDescent="0.25">
      <c r="A2967" s="3">
        <v>2966</v>
      </c>
      <c r="B2967" s="5">
        <f>DATE(Table1[[#This Row],[Year]],Table1[[#This Row],[Month]],Table1[[#This Row],[Day]])</f>
        <v>45322</v>
      </c>
      <c r="C2967" s="3">
        <v>31</v>
      </c>
      <c r="D2967" s="3">
        <v>1</v>
      </c>
      <c r="E2967" s="3">
        <v>2024</v>
      </c>
      <c r="F2967" s="3" t="str">
        <f>"Qtr"&amp; " " &amp;CHOOSE(MONTH(Table1[[#This Row],[Date]]),1,1,1,2,2,2,3,3,3,4,4,4)</f>
        <v>Qtr 1</v>
      </c>
      <c r="G2967" s="3" t="str">
        <f>TEXT(Table1[[#This Row],[Date]],"mmmm")</f>
        <v>January</v>
      </c>
      <c r="H2967" s="3" t="s">
        <v>1083</v>
      </c>
      <c r="I2967" s="3" t="s">
        <v>18</v>
      </c>
      <c r="J2967" s="3">
        <v>2</v>
      </c>
      <c r="K2967" s="3">
        <v>64366.54</v>
      </c>
      <c r="L2967" s="3">
        <f>Table1[[#This Row],[Price Per Unit]]*Table1[[#This Row],[Units Sold]]</f>
        <v>128733.08</v>
      </c>
      <c r="M2967" s="3" t="s">
        <v>656</v>
      </c>
      <c r="N2967" s="3">
        <v>18</v>
      </c>
      <c r="O2967" s="3" t="s">
        <v>102</v>
      </c>
      <c r="P2967" s="3" t="s">
        <v>21</v>
      </c>
      <c r="Q2967" s="4">
        <v>4</v>
      </c>
      <c r="R2967" s="4" t="str">
        <f>IF(Table1[[#This Row],[Customer Ratings]]&gt;=4, "Good",IF(Table1[[#This Row],[Customer Ratings]]=3, "Average","Poor"))</f>
        <v>Good</v>
      </c>
      <c r="S2967" s="3" t="s">
        <v>25</v>
      </c>
    </row>
    <row r="2968" spans="1:19" x14ac:dyDescent="0.25">
      <c r="A2968" s="3">
        <v>2967</v>
      </c>
      <c r="B2968" s="5">
        <f>DATE(Table1[[#This Row],[Year]],Table1[[#This Row],[Month]],Table1[[#This Row],[Day]])</f>
        <v>45322</v>
      </c>
      <c r="C2968" s="3">
        <v>31</v>
      </c>
      <c r="D2968" s="3">
        <v>1</v>
      </c>
      <c r="E2968" s="3">
        <v>2024</v>
      </c>
      <c r="F2968" s="3" t="str">
        <f>"Qtr"&amp; " " &amp;CHOOSE(MONTH(Table1[[#This Row],[Date]]),1,1,1,2,2,2,3,3,3,4,4,4)</f>
        <v>Qtr 1</v>
      </c>
      <c r="G2968" s="3" t="str">
        <f>TEXT(Table1[[#This Row],[Date]],"mmmm")</f>
        <v>January</v>
      </c>
      <c r="H2968" s="3" t="s">
        <v>1083</v>
      </c>
      <c r="I2968" s="3" t="s">
        <v>28</v>
      </c>
      <c r="J2968" s="3">
        <v>9</v>
      </c>
      <c r="K2968" s="3">
        <v>60101.42</v>
      </c>
      <c r="L2968" s="3">
        <f>Table1[[#This Row],[Price Per Unit]]*Table1[[#This Row],[Units Sold]]</f>
        <v>540912.78</v>
      </c>
      <c r="M2968" s="3" t="s">
        <v>711</v>
      </c>
      <c r="N2968" s="3">
        <v>55</v>
      </c>
      <c r="O2968" s="3" t="s">
        <v>48</v>
      </c>
      <c r="P2968" s="3" t="s">
        <v>16</v>
      </c>
      <c r="Q2968" s="4">
        <v>4</v>
      </c>
      <c r="R2968" s="4" t="str">
        <f>IF(Table1[[#This Row],[Customer Ratings]]&gt;=4, "Good",IF(Table1[[#This Row],[Customer Ratings]]=3, "Average","Poor"))</f>
        <v>Good</v>
      </c>
      <c r="S2968" s="3" t="s">
        <v>32</v>
      </c>
    </row>
    <row r="2969" spans="1:19" x14ac:dyDescent="0.25">
      <c r="A2969" s="3">
        <v>2968</v>
      </c>
      <c r="B2969" s="5">
        <f>DATE(Table1[[#This Row],[Year]],Table1[[#This Row],[Month]],Table1[[#This Row],[Day]])</f>
        <v>45323</v>
      </c>
      <c r="C2969" s="3">
        <v>1</v>
      </c>
      <c r="D2969" s="3">
        <v>2</v>
      </c>
      <c r="E2969" s="3">
        <v>2024</v>
      </c>
      <c r="F2969" s="3" t="str">
        <f>"Qtr"&amp; " " &amp;CHOOSE(MONTH(Table1[[#This Row],[Date]]),1,1,1,2,2,2,3,3,3,4,4,4)</f>
        <v>Qtr 1</v>
      </c>
      <c r="G2969" s="3" t="str">
        <f>TEXT(Table1[[#This Row],[Date]],"mmmm")</f>
        <v>February</v>
      </c>
      <c r="H2969" s="3" t="s">
        <v>1084</v>
      </c>
      <c r="I2969" s="3" t="s">
        <v>13</v>
      </c>
      <c r="J2969" s="3">
        <v>9</v>
      </c>
      <c r="K2969" s="3">
        <v>18844.77</v>
      </c>
      <c r="L2969" s="3">
        <f>Table1[[#This Row],[Price Per Unit]]*Table1[[#This Row],[Units Sold]]</f>
        <v>169602.93</v>
      </c>
      <c r="M2969" s="3" t="s">
        <v>461</v>
      </c>
      <c r="N2969" s="3">
        <v>24</v>
      </c>
      <c r="O2969" s="3" t="s">
        <v>30</v>
      </c>
      <c r="P2969" s="3" t="s">
        <v>31</v>
      </c>
      <c r="Q2969" s="4">
        <v>2</v>
      </c>
      <c r="R2969" s="4" t="str">
        <f>IF(Table1[[#This Row],[Customer Ratings]]&gt;=4, "Good",IF(Table1[[#This Row],[Customer Ratings]]=3, "Average","Poor"))</f>
        <v>Poor</v>
      </c>
      <c r="S2969" s="3" t="s">
        <v>17</v>
      </c>
    </row>
    <row r="2970" spans="1:19" x14ac:dyDescent="0.25">
      <c r="A2970" s="3">
        <v>2969</v>
      </c>
      <c r="B2970" s="5">
        <f>DATE(Table1[[#This Row],[Year]],Table1[[#This Row],[Month]],Table1[[#This Row],[Day]])</f>
        <v>45323</v>
      </c>
      <c r="C2970" s="3">
        <v>1</v>
      </c>
      <c r="D2970" s="3">
        <v>2</v>
      </c>
      <c r="E2970" s="3">
        <v>2024</v>
      </c>
      <c r="F2970" s="3" t="str">
        <f>"Qtr"&amp; " " &amp;CHOOSE(MONTH(Table1[[#This Row],[Date]]),1,1,1,2,2,2,3,3,3,4,4,4)</f>
        <v>Qtr 1</v>
      </c>
      <c r="G2970" s="3" t="str">
        <f>TEXT(Table1[[#This Row],[Date]],"mmmm")</f>
        <v>February</v>
      </c>
      <c r="H2970" s="3" t="s">
        <v>1084</v>
      </c>
      <c r="I2970" s="3" t="s">
        <v>18</v>
      </c>
      <c r="J2970" s="3">
        <v>4</v>
      </c>
      <c r="K2970" s="3">
        <v>52490.2</v>
      </c>
      <c r="L2970" s="3">
        <f>Table1[[#This Row],[Price Per Unit]]*Table1[[#This Row],[Units Sold]]</f>
        <v>209960.8</v>
      </c>
      <c r="M2970" s="3" t="s">
        <v>140</v>
      </c>
      <c r="N2970" s="3">
        <v>41</v>
      </c>
      <c r="O2970" s="3" t="s">
        <v>78</v>
      </c>
      <c r="P2970" s="3" t="s">
        <v>16</v>
      </c>
      <c r="Q2970" s="4">
        <v>1</v>
      </c>
      <c r="R2970" s="4" t="str">
        <f>IF(Table1[[#This Row],[Customer Ratings]]&gt;=4, "Good",IF(Table1[[#This Row],[Customer Ratings]]=3, "Average","Poor"))</f>
        <v>Poor</v>
      </c>
      <c r="S2970" s="3" t="s">
        <v>25</v>
      </c>
    </row>
    <row r="2971" spans="1:19" x14ac:dyDescent="0.25">
      <c r="A2971" s="3">
        <v>2970</v>
      </c>
      <c r="B2971" s="5">
        <f>DATE(Table1[[#This Row],[Year]],Table1[[#This Row],[Month]],Table1[[#This Row],[Day]])</f>
        <v>45323</v>
      </c>
      <c r="C2971" s="3">
        <v>1</v>
      </c>
      <c r="D2971" s="3">
        <v>2</v>
      </c>
      <c r="E2971" s="3">
        <v>2024</v>
      </c>
      <c r="F2971" s="3" t="str">
        <f>"Qtr"&amp; " " &amp;CHOOSE(MONTH(Table1[[#This Row],[Date]]),1,1,1,2,2,2,3,3,3,4,4,4)</f>
        <v>Qtr 1</v>
      </c>
      <c r="G2971" s="3" t="str">
        <f>TEXT(Table1[[#This Row],[Date]],"mmmm")</f>
        <v>February</v>
      </c>
      <c r="H2971" s="3" t="s">
        <v>1084</v>
      </c>
      <c r="I2971" s="3" t="s">
        <v>39</v>
      </c>
      <c r="J2971" s="3">
        <v>9</v>
      </c>
      <c r="K2971" s="3">
        <v>36127.93</v>
      </c>
      <c r="L2971" s="3">
        <f>Table1[[#This Row],[Price Per Unit]]*Table1[[#This Row],[Units Sold]]</f>
        <v>325151.37</v>
      </c>
      <c r="M2971" s="3" t="s">
        <v>539</v>
      </c>
      <c r="N2971" s="3">
        <v>22</v>
      </c>
      <c r="O2971" s="3" t="s">
        <v>24</v>
      </c>
      <c r="P2971" s="3" t="s">
        <v>31</v>
      </c>
      <c r="Q2971" s="4">
        <v>4</v>
      </c>
      <c r="R2971" s="4" t="str">
        <f>IF(Table1[[#This Row],[Customer Ratings]]&gt;=4, "Good",IF(Table1[[#This Row],[Customer Ratings]]=3, "Average","Poor"))</f>
        <v>Good</v>
      </c>
      <c r="S2971" s="3" t="s">
        <v>42</v>
      </c>
    </row>
    <row r="2972" spans="1:19" x14ac:dyDescent="0.25">
      <c r="A2972" s="3">
        <v>2971</v>
      </c>
      <c r="B2972" s="5">
        <f>DATE(Table1[[#This Row],[Year]],Table1[[#This Row],[Month]],Table1[[#This Row],[Day]])</f>
        <v>45324</v>
      </c>
      <c r="C2972" s="3">
        <v>2</v>
      </c>
      <c r="D2972" s="3">
        <v>2</v>
      </c>
      <c r="E2972" s="3">
        <v>2024</v>
      </c>
      <c r="F2972" s="3" t="str">
        <f>"Qtr"&amp; " " &amp;CHOOSE(MONTH(Table1[[#This Row],[Date]]),1,1,1,2,2,2,3,3,3,4,4,4)</f>
        <v>Qtr 1</v>
      </c>
      <c r="G2972" s="3" t="str">
        <f>TEXT(Table1[[#This Row],[Date]],"mmmm")</f>
        <v>February</v>
      </c>
      <c r="H2972" s="3" t="s">
        <v>1085</v>
      </c>
      <c r="I2972" s="3" t="s">
        <v>33</v>
      </c>
      <c r="J2972" s="3">
        <v>3</v>
      </c>
      <c r="K2972" s="3">
        <v>25014.78</v>
      </c>
      <c r="L2972" s="3">
        <f>Table1[[#This Row],[Price Per Unit]]*Table1[[#This Row],[Units Sold]]</f>
        <v>75044.34</v>
      </c>
      <c r="M2972" s="3" t="s">
        <v>949</v>
      </c>
      <c r="N2972" s="3">
        <v>38</v>
      </c>
      <c r="O2972" s="3" t="s">
        <v>24</v>
      </c>
      <c r="P2972" s="3" t="s">
        <v>16</v>
      </c>
      <c r="Q2972" s="4">
        <v>5</v>
      </c>
      <c r="R2972" s="4" t="str">
        <f>IF(Table1[[#This Row],[Customer Ratings]]&gt;=4, "Good",IF(Table1[[#This Row],[Customer Ratings]]=3, "Average","Poor"))</f>
        <v>Good</v>
      </c>
      <c r="S2972" s="3" t="s">
        <v>36</v>
      </c>
    </row>
    <row r="2973" spans="1:19" x14ac:dyDescent="0.25">
      <c r="A2973" s="3">
        <v>2972</v>
      </c>
      <c r="B2973" s="5">
        <f>DATE(Table1[[#This Row],[Year]],Table1[[#This Row],[Month]],Table1[[#This Row],[Day]])</f>
        <v>45324</v>
      </c>
      <c r="C2973" s="3">
        <v>2</v>
      </c>
      <c r="D2973" s="3">
        <v>2</v>
      </c>
      <c r="E2973" s="3">
        <v>2024</v>
      </c>
      <c r="F2973" s="3" t="str">
        <f>"Qtr"&amp; " " &amp;CHOOSE(MONTH(Table1[[#This Row],[Date]]),1,1,1,2,2,2,3,3,3,4,4,4)</f>
        <v>Qtr 1</v>
      </c>
      <c r="G2973" s="3" t="str">
        <f>TEXT(Table1[[#This Row],[Date]],"mmmm")</f>
        <v>February</v>
      </c>
      <c r="H2973" s="3" t="s">
        <v>1085</v>
      </c>
      <c r="I2973" s="3" t="s">
        <v>18</v>
      </c>
      <c r="J2973" s="3">
        <v>7</v>
      </c>
      <c r="K2973" s="3">
        <v>51216.3</v>
      </c>
      <c r="L2973" s="3">
        <f>Table1[[#This Row],[Price Per Unit]]*Table1[[#This Row],[Units Sold]]</f>
        <v>358514.10000000003</v>
      </c>
      <c r="M2973" s="3" t="s">
        <v>128</v>
      </c>
      <c r="N2973" s="3">
        <v>45</v>
      </c>
      <c r="O2973" s="3" t="s">
        <v>125</v>
      </c>
      <c r="P2973" s="3" t="s">
        <v>21</v>
      </c>
      <c r="Q2973" s="4">
        <v>1</v>
      </c>
      <c r="R2973" s="4" t="str">
        <f>IF(Table1[[#This Row],[Customer Ratings]]&gt;=4, "Good",IF(Table1[[#This Row],[Customer Ratings]]=3, "Average","Poor"))</f>
        <v>Poor</v>
      </c>
      <c r="S2973" s="3" t="s">
        <v>22</v>
      </c>
    </row>
    <row r="2974" spans="1:19" x14ac:dyDescent="0.25">
      <c r="A2974" s="3">
        <v>2973</v>
      </c>
      <c r="B2974" s="5">
        <f>DATE(Table1[[#This Row],[Year]],Table1[[#This Row],[Month]],Table1[[#This Row],[Day]])</f>
        <v>45324</v>
      </c>
      <c r="C2974" s="3">
        <v>2</v>
      </c>
      <c r="D2974" s="3">
        <v>2</v>
      </c>
      <c r="E2974" s="3">
        <v>2024</v>
      </c>
      <c r="F2974" s="3" t="str">
        <f>"Qtr"&amp; " " &amp;CHOOSE(MONTH(Table1[[#This Row],[Date]]),1,1,1,2,2,2,3,3,3,4,4,4)</f>
        <v>Qtr 1</v>
      </c>
      <c r="G2974" s="3" t="str">
        <f>TEXT(Table1[[#This Row],[Date]],"mmmm")</f>
        <v>February</v>
      </c>
      <c r="H2974" s="3" t="s">
        <v>1085</v>
      </c>
      <c r="I2974" s="3" t="s">
        <v>18</v>
      </c>
      <c r="J2974" s="3">
        <v>7</v>
      </c>
      <c r="K2974" s="3">
        <v>54559.64</v>
      </c>
      <c r="L2974" s="3">
        <f>Table1[[#This Row],[Price Per Unit]]*Table1[[#This Row],[Units Sold]]</f>
        <v>381917.48</v>
      </c>
      <c r="M2974" s="3" t="s">
        <v>691</v>
      </c>
      <c r="N2974" s="3">
        <v>35</v>
      </c>
      <c r="O2974" s="3" t="s">
        <v>48</v>
      </c>
      <c r="P2974" s="3" t="s">
        <v>45</v>
      </c>
      <c r="Q2974" s="4">
        <v>5</v>
      </c>
      <c r="R2974" s="4" t="str">
        <f>IF(Table1[[#This Row],[Customer Ratings]]&gt;=4, "Good",IF(Table1[[#This Row],[Customer Ratings]]=3, "Average","Poor"))</f>
        <v>Good</v>
      </c>
      <c r="S2974" s="3" t="s">
        <v>55</v>
      </c>
    </row>
    <row r="2975" spans="1:19" x14ac:dyDescent="0.25">
      <c r="A2975" s="3">
        <v>2974</v>
      </c>
      <c r="B2975" s="5">
        <f>DATE(Table1[[#This Row],[Year]],Table1[[#This Row],[Month]],Table1[[#This Row],[Day]])</f>
        <v>45324</v>
      </c>
      <c r="C2975" s="3">
        <v>2</v>
      </c>
      <c r="D2975" s="3">
        <v>2</v>
      </c>
      <c r="E2975" s="3">
        <v>2024</v>
      </c>
      <c r="F2975" s="3" t="str">
        <f>"Qtr"&amp; " " &amp;CHOOSE(MONTH(Table1[[#This Row],[Date]]),1,1,1,2,2,2,3,3,3,4,4,4)</f>
        <v>Qtr 1</v>
      </c>
      <c r="G2975" s="3" t="str">
        <f>TEXT(Table1[[#This Row],[Date]],"mmmm")</f>
        <v>February</v>
      </c>
      <c r="H2975" s="3" t="s">
        <v>1085</v>
      </c>
      <c r="I2975" s="3" t="s">
        <v>39</v>
      </c>
      <c r="J2975" s="3">
        <v>8</v>
      </c>
      <c r="K2975" s="3">
        <v>20793.78</v>
      </c>
      <c r="L2975" s="3">
        <f>Table1[[#This Row],[Price Per Unit]]*Table1[[#This Row],[Units Sold]]</f>
        <v>166350.24</v>
      </c>
      <c r="M2975" s="3" t="s">
        <v>820</v>
      </c>
      <c r="N2975" s="3">
        <v>41</v>
      </c>
      <c r="O2975" s="3" t="s">
        <v>78</v>
      </c>
      <c r="P2975" s="3" t="s">
        <v>16</v>
      </c>
      <c r="Q2975" s="4">
        <v>4</v>
      </c>
      <c r="R2975" s="4" t="str">
        <f>IF(Table1[[#This Row],[Customer Ratings]]&gt;=4, "Good",IF(Table1[[#This Row],[Customer Ratings]]=3, "Average","Poor"))</f>
        <v>Good</v>
      </c>
      <c r="S2975" s="3" t="s">
        <v>90</v>
      </c>
    </row>
    <row r="2976" spans="1:19" x14ac:dyDescent="0.25">
      <c r="A2976" s="3">
        <v>2975</v>
      </c>
      <c r="B2976" s="5">
        <f>DATE(Table1[[#This Row],[Year]],Table1[[#This Row],[Month]],Table1[[#This Row],[Day]])</f>
        <v>45325</v>
      </c>
      <c r="C2976" s="3">
        <v>3</v>
      </c>
      <c r="D2976" s="3">
        <v>2</v>
      </c>
      <c r="E2976" s="3">
        <v>2024</v>
      </c>
      <c r="F2976" s="3" t="str">
        <f>"Qtr"&amp; " " &amp;CHOOSE(MONTH(Table1[[#This Row],[Date]]),1,1,1,2,2,2,3,3,3,4,4,4)</f>
        <v>Qtr 1</v>
      </c>
      <c r="G2976" s="3" t="str">
        <f>TEXT(Table1[[#This Row],[Date]],"mmmm")</f>
        <v>February</v>
      </c>
      <c r="H2976" s="3" t="s">
        <v>1079</v>
      </c>
      <c r="I2976" s="3" t="s">
        <v>28</v>
      </c>
      <c r="J2976" s="3">
        <v>4</v>
      </c>
      <c r="K2976" s="3">
        <v>64866.68</v>
      </c>
      <c r="L2976" s="3">
        <f>Table1[[#This Row],[Price Per Unit]]*Table1[[#This Row],[Units Sold]]</f>
        <v>259466.72</v>
      </c>
      <c r="M2976" s="3" t="s">
        <v>340</v>
      </c>
      <c r="N2976" s="3">
        <v>49</v>
      </c>
      <c r="O2976" s="3" t="s">
        <v>54</v>
      </c>
      <c r="P2976" s="3" t="s">
        <v>21</v>
      </c>
      <c r="Q2976" s="4">
        <v>2</v>
      </c>
      <c r="R2976" s="4" t="str">
        <f>IF(Table1[[#This Row],[Customer Ratings]]&gt;=4, "Good",IF(Table1[[#This Row],[Customer Ratings]]=3, "Average","Poor"))</f>
        <v>Poor</v>
      </c>
      <c r="S2976" s="3" t="s">
        <v>38</v>
      </c>
    </row>
    <row r="2977" spans="1:19" x14ac:dyDescent="0.25">
      <c r="A2977" s="3">
        <v>2976</v>
      </c>
      <c r="B2977" s="5">
        <f>DATE(Table1[[#This Row],[Year]],Table1[[#This Row],[Month]],Table1[[#This Row],[Day]])</f>
        <v>45325</v>
      </c>
      <c r="C2977" s="3">
        <v>3</v>
      </c>
      <c r="D2977" s="3">
        <v>2</v>
      </c>
      <c r="E2977" s="3">
        <v>2024</v>
      </c>
      <c r="F2977" s="3" t="str">
        <f>"Qtr"&amp; " " &amp;CHOOSE(MONTH(Table1[[#This Row],[Date]]),1,1,1,2,2,2,3,3,3,4,4,4)</f>
        <v>Qtr 1</v>
      </c>
      <c r="G2977" s="3" t="str">
        <f>TEXT(Table1[[#This Row],[Date]],"mmmm")</f>
        <v>February</v>
      </c>
      <c r="H2977" s="3" t="s">
        <v>1079</v>
      </c>
      <c r="I2977" s="3" t="s">
        <v>13</v>
      </c>
      <c r="J2977" s="3">
        <v>3</v>
      </c>
      <c r="K2977" s="3">
        <v>55068.83</v>
      </c>
      <c r="L2977" s="3">
        <f>Table1[[#This Row],[Price Per Unit]]*Table1[[#This Row],[Units Sold]]</f>
        <v>165206.49</v>
      </c>
      <c r="M2977" s="3" t="s">
        <v>391</v>
      </c>
      <c r="N2977" s="3">
        <v>50</v>
      </c>
      <c r="O2977" s="3" t="s">
        <v>20</v>
      </c>
      <c r="P2977" s="3" t="s">
        <v>45</v>
      </c>
      <c r="Q2977" s="4">
        <v>1</v>
      </c>
      <c r="R2977" s="4" t="str">
        <f>IF(Table1[[#This Row],[Customer Ratings]]&gt;=4, "Good",IF(Table1[[#This Row],[Customer Ratings]]=3, "Average","Poor"))</f>
        <v>Poor</v>
      </c>
      <c r="S2977" s="3" t="s">
        <v>72</v>
      </c>
    </row>
    <row r="2978" spans="1:19" x14ac:dyDescent="0.25">
      <c r="A2978" s="3">
        <v>2977</v>
      </c>
      <c r="B2978" s="5">
        <f>DATE(Table1[[#This Row],[Year]],Table1[[#This Row],[Month]],Table1[[#This Row],[Day]])</f>
        <v>45325</v>
      </c>
      <c r="C2978" s="3">
        <v>3</v>
      </c>
      <c r="D2978" s="3">
        <v>2</v>
      </c>
      <c r="E2978" s="3">
        <v>2024</v>
      </c>
      <c r="F2978" s="3" t="str">
        <f>"Qtr"&amp; " " &amp;CHOOSE(MONTH(Table1[[#This Row],[Date]]),1,1,1,2,2,2,3,3,3,4,4,4)</f>
        <v>Qtr 1</v>
      </c>
      <c r="G2978" s="3" t="str">
        <f>TEXT(Table1[[#This Row],[Date]],"mmmm")</f>
        <v>February</v>
      </c>
      <c r="H2978" s="3" t="s">
        <v>1079</v>
      </c>
      <c r="I2978" s="3" t="s">
        <v>39</v>
      </c>
      <c r="J2978" s="3">
        <v>3</v>
      </c>
      <c r="K2978" s="3">
        <v>66002.53</v>
      </c>
      <c r="L2978" s="3">
        <f>Table1[[#This Row],[Price Per Unit]]*Table1[[#This Row],[Units Sold]]</f>
        <v>198007.59</v>
      </c>
      <c r="M2978" s="3" t="s">
        <v>835</v>
      </c>
      <c r="N2978" s="3">
        <v>27</v>
      </c>
      <c r="O2978" s="3" t="s">
        <v>98</v>
      </c>
      <c r="P2978" s="3" t="s">
        <v>21</v>
      </c>
      <c r="Q2978" s="4">
        <v>1</v>
      </c>
      <c r="R2978" s="4" t="str">
        <f>IF(Table1[[#This Row],[Customer Ratings]]&gt;=4, "Good",IF(Table1[[#This Row],[Customer Ratings]]=3, "Average","Poor"))</f>
        <v>Poor</v>
      </c>
      <c r="S2978" s="3" t="s">
        <v>42</v>
      </c>
    </row>
    <row r="2979" spans="1:19" x14ac:dyDescent="0.25">
      <c r="A2979" s="3">
        <v>2978</v>
      </c>
      <c r="B2979" s="5">
        <f>DATE(Table1[[#This Row],[Year]],Table1[[#This Row],[Month]],Table1[[#This Row],[Day]])</f>
        <v>45325</v>
      </c>
      <c r="C2979" s="3">
        <v>3</v>
      </c>
      <c r="D2979" s="3">
        <v>2</v>
      </c>
      <c r="E2979" s="3">
        <v>2024</v>
      </c>
      <c r="F2979" s="3" t="str">
        <f>"Qtr"&amp; " " &amp;CHOOSE(MONTH(Table1[[#This Row],[Date]]),1,1,1,2,2,2,3,3,3,4,4,4)</f>
        <v>Qtr 1</v>
      </c>
      <c r="G2979" s="3" t="str">
        <f>TEXT(Table1[[#This Row],[Date]],"mmmm")</f>
        <v>February</v>
      </c>
      <c r="H2979" s="3" t="s">
        <v>1079</v>
      </c>
      <c r="I2979" s="3" t="s">
        <v>13</v>
      </c>
      <c r="J2979" s="3">
        <v>5</v>
      </c>
      <c r="K2979" s="3">
        <v>29024.39</v>
      </c>
      <c r="L2979" s="3">
        <f>Table1[[#This Row],[Price Per Unit]]*Table1[[#This Row],[Units Sold]]</f>
        <v>145121.95000000001</v>
      </c>
      <c r="M2979" s="3" t="s">
        <v>591</v>
      </c>
      <c r="N2979" s="3">
        <v>26</v>
      </c>
      <c r="O2979" s="3" t="s">
        <v>20</v>
      </c>
      <c r="P2979" s="3" t="s">
        <v>45</v>
      </c>
      <c r="Q2979" s="4">
        <v>4</v>
      </c>
      <c r="R2979" s="4" t="str">
        <f>IF(Table1[[#This Row],[Customer Ratings]]&gt;=4, "Good",IF(Table1[[#This Row],[Customer Ratings]]=3, "Average","Poor"))</f>
        <v>Good</v>
      </c>
      <c r="S2979" s="3" t="s">
        <v>27</v>
      </c>
    </row>
    <row r="2980" spans="1:19" x14ac:dyDescent="0.25">
      <c r="A2980" s="3">
        <v>2979</v>
      </c>
      <c r="B2980" s="5">
        <f>DATE(Table1[[#This Row],[Year]],Table1[[#This Row],[Month]],Table1[[#This Row],[Day]])</f>
        <v>45326</v>
      </c>
      <c r="C2980" s="3">
        <v>4</v>
      </c>
      <c r="D2980" s="3">
        <v>2</v>
      </c>
      <c r="E2980" s="3">
        <v>2024</v>
      </c>
      <c r="F2980" s="3" t="str">
        <f>"Qtr"&amp; " " &amp;CHOOSE(MONTH(Table1[[#This Row],[Date]]),1,1,1,2,2,2,3,3,3,4,4,4)</f>
        <v>Qtr 1</v>
      </c>
      <c r="G2980" s="3" t="str">
        <f>TEXT(Table1[[#This Row],[Date]],"mmmm")</f>
        <v>February</v>
      </c>
      <c r="H2980" s="3" t="s">
        <v>1080</v>
      </c>
      <c r="I2980" s="3" t="s">
        <v>28</v>
      </c>
      <c r="J2980" s="3">
        <v>1</v>
      </c>
      <c r="K2980" s="3">
        <v>66360.100000000006</v>
      </c>
      <c r="L2980" s="3">
        <f>Table1[[#This Row],[Price Per Unit]]*Table1[[#This Row],[Units Sold]]</f>
        <v>66360.100000000006</v>
      </c>
      <c r="M2980" s="3" t="s">
        <v>148</v>
      </c>
      <c r="N2980" s="3">
        <v>50</v>
      </c>
      <c r="O2980" s="3" t="s">
        <v>24</v>
      </c>
      <c r="P2980" s="3" t="s">
        <v>31</v>
      </c>
      <c r="Q2980" s="4">
        <v>4</v>
      </c>
      <c r="R2980" s="4" t="str">
        <f>IF(Table1[[#This Row],[Customer Ratings]]&gt;=4, "Good",IF(Table1[[#This Row],[Customer Ratings]]=3, "Average","Poor"))</f>
        <v>Good</v>
      </c>
      <c r="S2980" s="3" t="s">
        <v>32</v>
      </c>
    </row>
    <row r="2981" spans="1:19" x14ac:dyDescent="0.25">
      <c r="A2981" s="3">
        <v>2980</v>
      </c>
      <c r="B2981" s="5">
        <f>DATE(Table1[[#This Row],[Year]],Table1[[#This Row],[Month]],Table1[[#This Row],[Day]])</f>
        <v>45326</v>
      </c>
      <c r="C2981" s="3">
        <v>4</v>
      </c>
      <c r="D2981" s="3">
        <v>2</v>
      </c>
      <c r="E2981" s="3">
        <v>2024</v>
      </c>
      <c r="F2981" s="3" t="str">
        <f>"Qtr"&amp; " " &amp;CHOOSE(MONTH(Table1[[#This Row],[Date]]),1,1,1,2,2,2,3,3,3,4,4,4)</f>
        <v>Qtr 1</v>
      </c>
      <c r="G2981" s="3" t="str">
        <f>TEXT(Table1[[#This Row],[Date]],"mmmm")</f>
        <v>February</v>
      </c>
      <c r="H2981" s="3" t="s">
        <v>1080</v>
      </c>
      <c r="I2981" s="3" t="s">
        <v>18</v>
      </c>
      <c r="J2981" s="3">
        <v>3</v>
      </c>
      <c r="K2981" s="3">
        <v>32111.06</v>
      </c>
      <c r="L2981" s="3">
        <f>Table1[[#This Row],[Price Per Unit]]*Table1[[#This Row],[Units Sold]]</f>
        <v>96333.180000000008</v>
      </c>
      <c r="M2981" s="3" t="s">
        <v>89</v>
      </c>
      <c r="N2981" s="3">
        <v>50</v>
      </c>
      <c r="O2981" s="3" t="s">
        <v>137</v>
      </c>
      <c r="P2981" s="3" t="s">
        <v>16</v>
      </c>
      <c r="Q2981" s="4">
        <v>4</v>
      </c>
      <c r="R2981" s="4" t="str">
        <f>IF(Table1[[#This Row],[Customer Ratings]]&gt;=4, "Good",IF(Table1[[#This Row],[Customer Ratings]]=3, "Average","Poor"))</f>
        <v>Good</v>
      </c>
      <c r="S2981" s="3" t="s">
        <v>22</v>
      </c>
    </row>
    <row r="2982" spans="1:19" x14ac:dyDescent="0.25">
      <c r="A2982" s="3">
        <v>2981</v>
      </c>
      <c r="B2982" s="5">
        <f>DATE(Table1[[#This Row],[Year]],Table1[[#This Row],[Month]],Table1[[#This Row],[Day]])</f>
        <v>45326</v>
      </c>
      <c r="C2982" s="3">
        <v>4</v>
      </c>
      <c r="D2982" s="3">
        <v>2</v>
      </c>
      <c r="E2982" s="3">
        <v>2024</v>
      </c>
      <c r="F2982" s="3" t="str">
        <f>"Qtr"&amp; " " &amp;CHOOSE(MONTH(Table1[[#This Row],[Date]]),1,1,1,2,2,2,3,3,3,4,4,4)</f>
        <v>Qtr 1</v>
      </c>
      <c r="G2982" s="3" t="str">
        <f>TEXT(Table1[[#This Row],[Date]],"mmmm")</f>
        <v>February</v>
      </c>
      <c r="H2982" s="3" t="s">
        <v>1080</v>
      </c>
      <c r="I2982" s="3" t="s">
        <v>13</v>
      </c>
      <c r="J2982" s="3">
        <v>6</v>
      </c>
      <c r="K2982" s="3">
        <v>13238.19</v>
      </c>
      <c r="L2982" s="3">
        <f>Table1[[#This Row],[Price Per Unit]]*Table1[[#This Row],[Units Sold]]</f>
        <v>79429.14</v>
      </c>
      <c r="M2982" s="3" t="s">
        <v>710</v>
      </c>
      <c r="N2982" s="3">
        <v>24</v>
      </c>
      <c r="O2982" s="3" t="s">
        <v>20</v>
      </c>
      <c r="P2982" s="3" t="s">
        <v>21</v>
      </c>
      <c r="Q2982" s="4">
        <v>3</v>
      </c>
      <c r="R2982" s="4" t="str">
        <f>IF(Table1[[#This Row],[Customer Ratings]]&gt;=4, "Good",IF(Table1[[#This Row],[Customer Ratings]]=3, "Average","Poor"))</f>
        <v>Average</v>
      </c>
      <c r="S2982" s="3" t="s">
        <v>72</v>
      </c>
    </row>
    <row r="2983" spans="1:19" x14ac:dyDescent="0.25">
      <c r="A2983" s="3">
        <v>2982</v>
      </c>
      <c r="B2983" s="5">
        <f>DATE(Table1[[#This Row],[Year]],Table1[[#This Row],[Month]],Table1[[#This Row],[Day]])</f>
        <v>45327</v>
      </c>
      <c r="C2983" s="3">
        <v>5</v>
      </c>
      <c r="D2983" s="3">
        <v>2</v>
      </c>
      <c r="E2983" s="3">
        <v>2024</v>
      </c>
      <c r="F2983" s="3" t="str">
        <f>"Qtr"&amp; " " &amp;CHOOSE(MONTH(Table1[[#This Row],[Date]]),1,1,1,2,2,2,3,3,3,4,4,4)</f>
        <v>Qtr 1</v>
      </c>
      <c r="G2983" s="3" t="str">
        <f>TEXT(Table1[[#This Row],[Date]],"mmmm")</f>
        <v>February</v>
      </c>
      <c r="H2983" s="3" t="s">
        <v>1081</v>
      </c>
      <c r="I2983" s="3" t="s">
        <v>33</v>
      </c>
      <c r="J2983" s="3">
        <v>3</v>
      </c>
      <c r="K2983" s="3">
        <v>55778.16</v>
      </c>
      <c r="L2983" s="3">
        <f>Table1[[#This Row],[Price Per Unit]]*Table1[[#This Row],[Units Sold]]</f>
        <v>167334.48000000001</v>
      </c>
      <c r="M2983" s="3" t="s">
        <v>553</v>
      </c>
      <c r="N2983" s="3">
        <v>21</v>
      </c>
      <c r="O2983" s="3" t="s">
        <v>52</v>
      </c>
      <c r="P2983" s="3" t="s">
        <v>16</v>
      </c>
      <c r="Q2983" s="4">
        <v>2</v>
      </c>
      <c r="R2983" s="4" t="str">
        <f>IF(Table1[[#This Row],[Customer Ratings]]&gt;=4, "Good",IF(Table1[[#This Row],[Customer Ratings]]=3, "Average","Poor"))</f>
        <v>Poor</v>
      </c>
      <c r="S2983" s="3" t="s">
        <v>36</v>
      </c>
    </row>
    <row r="2984" spans="1:19" x14ac:dyDescent="0.25">
      <c r="A2984" s="3">
        <v>2983</v>
      </c>
      <c r="B2984" s="5">
        <f>DATE(Table1[[#This Row],[Year]],Table1[[#This Row],[Month]],Table1[[#This Row],[Day]])</f>
        <v>45327</v>
      </c>
      <c r="C2984" s="3">
        <v>5</v>
      </c>
      <c r="D2984" s="3">
        <v>2</v>
      </c>
      <c r="E2984" s="3">
        <v>2024</v>
      </c>
      <c r="F2984" s="3" t="str">
        <f>"Qtr"&amp; " " &amp;CHOOSE(MONTH(Table1[[#This Row],[Date]]),1,1,1,2,2,2,3,3,3,4,4,4)</f>
        <v>Qtr 1</v>
      </c>
      <c r="G2984" s="3" t="str">
        <f>TEXT(Table1[[#This Row],[Date]],"mmmm")</f>
        <v>February</v>
      </c>
      <c r="H2984" s="3" t="s">
        <v>1081</v>
      </c>
      <c r="I2984" s="3" t="s">
        <v>33</v>
      </c>
      <c r="J2984" s="3">
        <v>5</v>
      </c>
      <c r="K2984" s="3">
        <v>52210.49</v>
      </c>
      <c r="L2984" s="3">
        <f>Table1[[#This Row],[Price Per Unit]]*Table1[[#This Row],[Units Sold]]</f>
        <v>261052.44999999998</v>
      </c>
      <c r="M2984" s="3" t="s">
        <v>885</v>
      </c>
      <c r="N2984" s="3">
        <v>45</v>
      </c>
      <c r="O2984" s="3" t="s">
        <v>98</v>
      </c>
      <c r="P2984" s="3" t="s">
        <v>31</v>
      </c>
      <c r="Q2984" s="4">
        <v>2</v>
      </c>
      <c r="R2984" s="4" t="str">
        <f>IF(Table1[[#This Row],[Customer Ratings]]&gt;=4, "Good",IF(Table1[[#This Row],[Customer Ratings]]=3, "Average","Poor"))</f>
        <v>Poor</v>
      </c>
      <c r="S2984" s="3" t="s">
        <v>36</v>
      </c>
    </row>
    <row r="2985" spans="1:19" x14ac:dyDescent="0.25">
      <c r="A2985" s="3">
        <v>2984</v>
      </c>
      <c r="B2985" s="5">
        <f>DATE(Table1[[#This Row],[Year]],Table1[[#This Row],[Month]],Table1[[#This Row],[Day]])</f>
        <v>45327</v>
      </c>
      <c r="C2985" s="3">
        <v>5</v>
      </c>
      <c r="D2985" s="3">
        <v>2</v>
      </c>
      <c r="E2985" s="3">
        <v>2024</v>
      </c>
      <c r="F2985" s="3" t="str">
        <f>"Qtr"&amp; " " &amp;CHOOSE(MONTH(Table1[[#This Row],[Date]]),1,1,1,2,2,2,3,3,3,4,4,4)</f>
        <v>Qtr 1</v>
      </c>
      <c r="G2985" s="3" t="str">
        <f>TEXT(Table1[[#This Row],[Date]],"mmmm")</f>
        <v>February</v>
      </c>
      <c r="H2985" s="3" t="s">
        <v>1081</v>
      </c>
      <c r="I2985" s="3" t="s">
        <v>39</v>
      </c>
      <c r="J2985" s="3">
        <v>9</v>
      </c>
      <c r="K2985" s="3">
        <v>45874.66</v>
      </c>
      <c r="L2985" s="3">
        <f>Table1[[#This Row],[Price Per Unit]]*Table1[[#This Row],[Units Sold]]</f>
        <v>412871.94000000006</v>
      </c>
      <c r="M2985" s="3" t="s">
        <v>240</v>
      </c>
      <c r="N2985" s="3">
        <v>40</v>
      </c>
      <c r="O2985" s="3" t="s">
        <v>125</v>
      </c>
      <c r="P2985" s="3" t="s">
        <v>31</v>
      </c>
      <c r="Q2985" s="4">
        <v>4</v>
      </c>
      <c r="R2985" s="4" t="str">
        <f>IF(Table1[[#This Row],[Customer Ratings]]&gt;=4, "Good",IF(Table1[[#This Row],[Customer Ratings]]=3, "Average","Poor"))</f>
        <v>Good</v>
      </c>
      <c r="S2985" s="3" t="s">
        <v>42</v>
      </c>
    </row>
    <row r="2986" spans="1:19" x14ac:dyDescent="0.25">
      <c r="A2986" s="3">
        <v>2985</v>
      </c>
      <c r="B2986" s="5">
        <f>DATE(Table1[[#This Row],[Year]],Table1[[#This Row],[Month]],Table1[[#This Row],[Day]])</f>
        <v>45327</v>
      </c>
      <c r="C2986" s="3">
        <v>5</v>
      </c>
      <c r="D2986" s="3">
        <v>2</v>
      </c>
      <c r="E2986" s="3">
        <v>2024</v>
      </c>
      <c r="F2986" s="3" t="str">
        <f>"Qtr"&amp; " " &amp;CHOOSE(MONTH(Table1[[#This Row],[Date]]),1,1,1,2,2,2,3,3,3,4,4,4)</f>
        <v>Qtr 1</v>
      </c>
      <c r="G2986" s="3" t="str">
        <f>TEXT(Table1[[#This Row],[Date]],"mmmm")</f>
        <v>February</v>
      </c>
      <c r="H2986" s="3" t="s">
        <v>1081</v>
      </c>
      <c r="I2986" s="3" t="s">
        <v>28</v>
      </c>
      <c r="J2986" s="3">
        <v>2</v>
      </c>
      <c r="K2986" s="3">
        <v>39393.620000000003</v>
      </c>
      <c r="L2986" s="3">
        <f>Table1[[#This Row],[Price Per Unit]]*Table1[[#This Row],[Units Sold]]</f>
        <v>78787.240000000005</v>
      </c>
      <c r="M2986" s="3" t="s">
        <v>955</v>
      </c>
      <c r="N2986" s="3">
        <v>49</v>
      </c>
      <c r="O2986" s="3" t="s">
        <v>20</v>
      </c>
      <c r="P2986" s="3" t="s">
        <v>16</v>
      </c>
      <c r="Q2986" s="4">
        <v>3</v>
      </c>
      <c r="R2986" s="4" t="str">
        <f>IF(Table1[[#This Row],[Customer Ratings]]&gt;=4, "Good",IF(Table1[[#This Row],[Customer Ratings]]=3, "Average","Poor"))</f>
        <v>Average</v>
      </c>
      <c r="S2986" s="3" t="s">
        <v>38</v>
      </c>
    </row>
    <row r="2987" spans="1:19" x14ac:dyDescent="0.25">
      <c r="A2987" s="3">
        <v>2986</v>
      </c>
      <c r="B2987" s="5">
        <f>DATE(Table1[[#This Row],[Year]],Table1[[#This Row],[Month]],Table1[[#This Row],[Day]])</f>
        <v>45328</v>
      </c>
      <c r="C2987" s="3">
        <v>6</v>
      </c>
      <c r="D2987" s="3">
        <v>2</v>
      </c>
      <c r="E2987" s="3">
        <v>2024</v>
      </c>
      <c r="F2987" s="3" t="str">
        <f>"Qtr"&amp; " " &amp;CHOOSE(MONTH(Table1[[#This Row],[Date]]),1,1,1,2,2,2,3,3,3,4,4,4)</f>
        <v>Qtr 1</v>
      </c>
      <c r="G2987" s="3" t="str">
        <f>TEXT(Table1[[#This Row],[Date]],"mmmm")</f>
        <v>February</v>
      </c>
      <c r="H2987" s="3" t="s">
        <v>1082</v>
      </c>
      <c r="I2987" s="3" t="s">
        <v>39</v>
      </c>
      <c r="J2987" s="3">
        <v>2</v>
      </c>
      <c r="K2987" s="3">
        <v>11929.92</v>
      </c>
      <c r="L2987" s="3">
        <f>Table1[[#This Row],[Price Per Unit]]*Table1[[#This Row],[Units Sold]]</f>
        <v>23859.84</v>
      </c>
      <c r="M2987" s="3" t="s">
        <v>1017</v>
      </c>
      <c r="N2987" s="3">
        <v>33</v>
      </c>
      <c r="O2987" s="3" t="s">
        <v>20</v>
      </c>
      <c r="P2987" s="3" t="s">
        <v>21</v>
      </c>
      <c r="Q2987" s="4">
        <v>4</v>
      </c>
      <c r="R2987" s="4" t="str">
        <f>IF(Table1[[#This Row],[Customer Ratings]]&gt;=4, "Good",IF(Table1[[#This Row],[Customer Ratings]]=3, "Average","Poor"))</f>
        <v>Good</v>
      </c>
      <c r="S2987" s="3" t="s">
        <v>90</v>
      </c>
    </row>
    <row r="2988" spans="1:19" x14ac:dyDescent="0.25">
      <c r="A2988" s="3">
        <v>2987</v>
      </c>
      <c r="B2988" s="5">
        <f>DATE(Table1[[#This Row],[Year]],Table1[[#This Row],[Month]],Table1[[#This Row],[Day]])</f>
        <v>45328</v>
      </c>
      <c r="C2988" s="3">
        <v>6</v>
      </c>
      <c r="D2988" s="3">
        <v>2</v>
      </c>
      <c r="E2988" s="3">
        <v>2024</v>
      </c>
      <c r="F2988" s="3" t="str">
        <f>"Qtr"&amp; " " &amp;CHOOSE(MONTH(Table1[[#This Row],[Date]]),1,1,1,2,2,2,3,3,3,4,4,4)</f>
        <v>Qtr 1</v>
      </c>
      <c r="G2988" s="3" t="str">
        <f>TEXT(Table1[[#This Row],[Date]],"mmmm")</f>
        <v>February</v>
      </c>
      <c r="H2988" s="3" t="s">
        <v>1082</v>
      </c>
      <c r="I2988" s="3" t="s">
        <v>39</v>
      </c>
      <c r="J2988" s="3">
        <v>6</v>
      </c>
      <c r="K2988" s="3">
        <v>47475.839999999997</v>
      </c>
      <c r="L2988" s="3">
        <f>Table1[[#This Row],[Price Per Unit]]*Table1[[#This Row],[Units Sold]]</f>
        <v>284855.03999999998</v>
      </c>
      <c r="M2988" s="3" t="s">
        <v>547</v>
      </c>
      <c r="N2988" s="3">
        <v>27</v>
      </c>
      <c r="O2988" s="3" t="s">
        <v>24</v>
      </c>
      <c r="P2988" s="3" t="s">
        <v>21</v>
      </c>
      <c r="Q2988" s="4">
        <v>4</v>
      </c>
      <c r="R2988" s="4" t="str">
        <f>IF(Table1[[#This Row],[Customer Ratings]]&gt;=4, "Good",IF(Table1[[#This Row],[Customer Ratings]]=3, "Average","Poor"))</f>
        <v>Good</v>
      </c>
      <c r="S2988" s="3" t="s">
        <v>76</v>
      </c>
    </row>
    <row r="2989" spans="1:19" x14ac:dyDescent="0.25">
      <c r="A2989" s="3">
        <v>2988</v>
      </c>
      <c r="B2989" s="5">
        <f>DATE(Table1[[#This Row],[Year]],Table1[[#This Row],[Month]],Table1[[#This Row],[Day]])</f>
        <v>45328</v>
      </c>
      <c r="C2989" s="3">
        <v>6</v>
      </c>
      <c r="D2989" s="3">
        <v>2</v>
      </c>
      <c r="E2989" s="3">
        <v>2024</v>
      </c>
      <c r="F2989" s="3" t="str">
        <f>"Qtr"&amp; " " &amp;CHOOSE(MONTH(Table1[[#This Row],[Date]]),1,1,1,2,2,2,3,3,3,4,4,4)</f>
        <v>Qtr 1</v>
      </c>
      <c r="G2989" s="3" t="str">
        <f>TEXT(Table1[[#This Row],[Date]],"mmmm")</f>
        <v>February</v>
      </c>
      <c r="H2989" s="3" t="s">
        <v>1082</v>
      </c>
      <c r="I2989" s="3" t="s">
        <v>39</v>
      </c>
      <c r="J2989" s="3">
        <v>6</v>
      </c>
      <c r="K2989" s="3">
        <v>35010.080000000002</v>
      </c>
      <c r="L2989" s="3">
        <f>Table1[[#This Row],[Price Per Unit]]*Table1[[#This Row],[Units Sold]]</f>
        <v>210060.48</v>
      </c>
      <c r="M2989" s="3" t="s">
        <v>860</v>
      </c>
      <c r="N2989" s="3">
        <v>31</v>
      </c>
      <c r="O2989" s="3" t="s">
        <v>65</v>
      </c>
      <c r="P2989" s="3" t="s">
        <v>21</v>
      </c>
      <c r="Q2989" s="4">
        <v>2</v>
      </c>
      <c r="R2989" s="4" t="str">
        <f>IF(Table1[[#This Row],[Customer Ratings]]&gt;=4, "Good",IF(Table1[[#This Row],[Customer Ratings]]=3, "Average","Poor"))</f>
        <v>Poor</v>
      </c>
      <c r="S2989" s="3" t="s">
        <v>90</v>
      </c>
    </row>
    <row r="2990" spans="1:19" x14ac:dyDescent="0.25">
      <c r="A2990" s="3">
        <v>2989</v>
      </c>
      <c r="B2990" s="5">
        <f>DATE(Table1[[#This Row],[Year]],Table1[[#This Row],[Month]],Table1[[#This Row],[Day]])</f>
        <v>45329</v>
      </c>
      <c r="C2990" s="3">
        <v>7</v>
      </c>
      <c r="D2990" s="3">
        <v>2</v>
      </c>
      <c r="E2990" s="3">
        <v>2024</v>
      </c>
      <c r="F2990" s="3" t="str">
        <f>"Qtr"&amp; " " &amp;CHOOSE(MONTH(Table1[[#This Row],[Date]]),1,1,1,2,2,2,3,3,3,4,4,4)</f>
        <v>Qtr 1</v>
      </c>
      <c r="G2990" s="3" t="str">
        <f>TEXT(Table1[[#This Row],[Date]],"mmmm")</f>
        <v>February</v>
      </c>
      <c r="H2990" s="3" t="s">
        <v>1083</v>
      </c>
      <c r="I2990" s="3" t="s">
        <v>33</v>
      </c>
      <c r="J2990" s="3">
        <v>8</v>
      </c>
      <c r="K2990" s="3">
        <v>43612.56</v>
      </c>
      <c r="L2990" s="3">
        <f>Table1[[#This Row],[Price Per Unit]]*Table1[[#This Row],[Units Sold]]</f>
        <v>348900.48</v>
      </c>
      <c r="M2990" s="3" t="s">
        <v>169</v>
      </c>
      <c r="N2990" s="3">
        <v>56</v>
      </c>
      <c r="O2990" s="3" t="s">
        <v>24</v>
      </c>
      <c r="P2990" s="3" t="s">
        <v>16</v>
      </c>
      <c r="Q2990" s="4">
        <v>3</v>
      </c>
      <c r="R2990" s="4" t="str">
        <f>IF(Table1[[#This Row],[Customer Ratings]]&gt;=4, "Good",IF(Table1[[#This Row],[Customer Ratings]]=3, "Average","Poor"))</f>
        <v>Average</v>
      </c>
      <c r="S2990" s="3" t="s">
        <v>46</v>
      </c>
    </row>
    <row r="2991" spans="1:19" x14ac:dyDescent="0.25">
      <c r="A2991" s="3">
        <v>2990</v>
      </c>
      <c r="B2991" s="5">
        <f>DATE(Table1[[#This Row],[Year]],Table1[[#This Row],[Month]],Table1[[#This Row],[Day]])</f>
        <v>45329</v>
      </c>
      <c r="C2991" s="3">
        <v>7</v>
      </c>
      <c r="D2991" s="3">
        <v>2</v>
      </c>
      <c r="E2991" s="3">
        <v>2024</v>
      </c>
      <c r="F2991" s="3" t="str">
        <f>"Qtr"&amp; " " &amp;CHOOSE(MONTH(Table1[[#This Row],[Date]]),1,1,1,2,2,2,3,3,3,4,4,4)</f>
        <v>Qtr 1</v>
      </c>
      <c r="G2991" s="3" t="str">
        <f>TEXT(Table1[[#This Row],[Date]],"mmmm")</f>
        <v>February</v>
      </c>
      <c r="H2991" s="3" t="s">
        <v>1083</v>
      </c>
      <c r="I2991" s="3" t="s">
        <v>33</v>
      </c>
      <c r="J2991" s="3">
        <v>2</v>
      </c>
      <c r="K2991" s="3">
        <v>35759.279999999999</v>
      </c>
      <c r="L2991" s="3">
        <f>Table1[[#This Row],[Price Per Unit]]*Table1[[#This Row],[Units Sold]]</f>
        <v>71518.559999999998</v>
      </c>
      <c r="M2991" s="3" t="s">
        <v>236</v>
      </c>
      <c r="N2991" s="3">
        <v>53</v>
      </c>
      <c r="O2991" s="3" t="s">
        <v>20</v>
      </c>
      <c r="P2991" s="3" t="s">
        <v>21</v>
      </c>
      <c r="Q2991" s="4">
        <v>2</v>
      </c>
      <c r="R2991" s="4" t="str">
        <f>IF(Table1[[#This Row],[Customer Ratings]]&gt;=4, "Good",IF(Table1[[#This Row],[Customer Ratings]]=3, "Average","Poor"))</f>
        <v>Poor</v>
      </c>
      <c r="S2991" s="3" t="s">
        <v>36</v>
      </c>
    </row>
    <row r="2992" spans="1:19" x14ac:dyDescent="0.25">
      <c r="A2992" s="3">
        <v>2991</v>
      </c>
      <c r="B2992" s="5">
        <f>DATE(Table1[[#This Row],[Year]],Table1[[#This Row],[Month]],Table1[[#This Row],[Day]])</f>
        <v>45329</v>
      </c>
      <c r="C2992" s="3">
        <v>7</v>
      </c>
      <c r="D2992" s="3">
        <v>2</v>
      </c>
      <c r="E2992" s="3">
        <v>2024</v>
      </c>
      <c r="F2992" s="3" t="str">
        <f>"Qtr"&amp; " " &amp;CHOOSE(MONTH(Table1[[#This Row],[Date]]),1,1,1,2,2,2,3,3,3,4,4,4)</f>
        <v>Qtr 1</v>
      </c>
      <c r="G2992" s="3" t="str">
        <f>TEXT(Table1[[#This Row],[Date]],"mmmm")</f>
        <v>February</v>
      </c>
      <c r="H2992" s="3" t="s">
        <v>1083</v>
      </c>
      <c r="I2992" s="3" t="s">
        <v>39</v>
      </c>
      <c r="J2992" s="3">
        <v>9</v>
      </c>
      <c r="K2992" s="3">
        <v>67963.37</v>
      </c>
      <c r="L2992" s="3">
        <f>Table1[[#This Row],[Price Per Unit]]*Table1[[#This Row],[Units Sold]]</f>
        <v>611670.32999999996</v>
      </c>
      <c r="M2992" s="3" t="s">
        <v>454</v>
      </c>
      <c r="N2992" s="3">
        <v>51</v>
      </c>
      <c r="O2992" s="3" t="s">
        <v>48</v>
      </c>
      <c r="P2992" s="3" t="s">
        <v>21</v>
      </c>
      <c r="Q2992" s="4">
        <v>4</v>
      </c>
      <c r="R2992" s="4" t="str">
        <f>IF(Table1[[#This Row],[Customer Ratings]]&gt;=4, "Good",IF(Table1[[#This Row],[Customer Ratings]]=3, "Average","Poor"))</f>
        <v>Good</v>
      </c>
      <c r="S2992" s="3" t="s">
        <v>76</v>
      </c>
    </row>
    <row r="2993" spans="1:19" x14ac:dyDescent="0.25">
      <c r="A2993" s="3">
        <v>2992</v>
      </c>
      <c r="B2993" s="5">
        <f>DATE(Table1[[#This Row],[Year]],Table1[[#This Row],[Month]],Table1[[#This Row],[Day]])</f>
        <v>45329</v>
      </c>
      <c r="C2993" s="3">
        <v>7</v>
      </c>
      <c r="D2993" s="3">
        <v>2</v>
      </c>
      <c r="E2993" s="3">
        <v>2024</v>
      </c>
      <c r="F2993" s="3" t="str">
        <f>"Qtr"&amp; " " &amp;CHOOSE(MONTH(Table1[[#This Row],[Date]]),1,1,1,2,2,2,3,3,3,4,4,4)</f>
        <v>Qtr 1</v>
      </c>
      <c r="G2993" s="3" t="str">
        <f>TEXT(Table1[[#This Row],[Date]],"mmmm")</f>
        <v>February</v>
      </c>
      <c r="H2993" s="3" t="s">
        <v>1083</v>
      </c>
      <c r="I2993" s="3" t="s">
        <v>33</v>
      </c>
      <c r="J2993" s="3">
        <v>2</v>
      </c>
      <c r="K2993" s="3">
        <v>46246.53</v>
      </c>
      <c r="L2993" s="3">
        <f>Table1[[#This Row],[Price Per Unit]]*Table1[[#This Row],[Units Sold]]</f>
        <v>92493.06</v>
      </c>
      <c r="M2993" s="3" t="s">
        <v>660</v>
      </c>
      <c r="N2993" s="3">
        <v>41</v>
      </c>
      <c r="O2993" s="3" t="s">
        <v>125</v>
      </c>
      <c r="P2993" s="3" t="s">
        <v>45</v>
      </c>
      <c r="Q2993" s="4">
        <v>5</v>
      </c>
      <c r="R2993" s="4" t="str">
        <f>IF(Table1[[#This Row],[Customer Ratings]]&gt;=4, "Good",IF(Table1[[#This Row],[Customer Ratings]]=3, "Average","Poor"))</f>
        <v>Good</v>
      </c>
      <c r="S2993" s="3" t="s">
        <v>36</v>
      </c>
    </row>
    <row r="2994" spans="1:19" x14ac:dyDescent="0.25">
      <c r="A2994" s="3">
        <v>2993</v>
      </c>
      <c r="B2994" s="5">
        <f>DATE(Table1[[#This Row],[Year]],Table1[[#This Row],[Month]],Table1[[#This Row],[Day]])</f>
        <v>45330</v>
      </c>
      <c r="C2994" s="3">
        <v>8</v>
      </c>
      <c r="D2994" s="3">
        <v>2</v>
      </c>
      <c r="E2994" s="3">
        <v>2024</v>
      </c>
      <c r="F2994" s="3" t="str">
        <f>"Qtr"&amp; " " &amp;CHOOSE(MONTH(Table1[[#This Row],[Date]]),1,1,1,2,2,2,3,3,3,4,4,4)</f>
        <v>Qtr 1</v>
      </c>
      <c r="G2994" s="3" t="str">
        <f>TEXT(Table1[[#This Row],[Date]],"mmmm")</f>
        <v>February</v>
      </c>
      <c r="H2994" s="3" t="s">
        <v>1084</v>
      </c>
      <c r="I2994" s="3" t="s">
        <v>28</v>
      </c>
      <c r="J2994" s="3">
        <v>1</v>
      </c>
      <c r="K2994" s="3">
        <v>54954.18</v>
      </c>
      <c r="L2994" s="3">
        <f>Table1[[#This Row],[Price Per Unit]]*Table1[[#This Row],[Units Sold]]</f>
        <v>54954.18</v>
      </c>
      <c r="M2994" s="3" t="s">
        <v>507</v>
      </c>
      <c r="N2994" s="3">
        <v>35</v>
      </c>
      <c r="O2994" s="3" t="s">
        <v>102</v>
      </c>
      <c r="P2994" s="3" t="s">
        <v>21</v>
      </c>
      <c r="Q2994" s="4">
        <v>1</v>
      </c>
      <c r="R2994" s="4" t="str">
        <f>IF(Table1[[#This Row],[Customer Ratings]]&gt;=4, "Good",IF(Table1[[#This Row],[Customer Ratings]]=3, "Average","Poor"))</f>
        <v>Poor</v>
      </c>
      <c r="S2994" s="3" t="s">
        <v>38</v>
      </c>
    </row>
    <row r="2995" spans="1:19" x14ac:dyDescent="0.25">
      <c r="A2995" s="3">
        <v>2994</v>
      </c>
      <c r="B2995" s="5">
        <f>DATE(Table1[[#This Row],[Year]],Table1[[#This Row],[Month]],Table1[[#This Row],[Day]])</f>
        <v>45330</v>
      </c>
      <c r="C2995" s="3">
        <v>8</v>
      </c>
      <c r="D2995" s="3">
        <v>2</v>
      </c>
      <c r="E2995" s="3">
        <v>2024</v>
      </c>
      <c r="F2995" s="3" t="str">
        <f>"Qtr"&amp; " " &amp;CHOOSE(MONTH(Table1[[#This Row],[Date]]),1,1,1,2,2,2,3,3,3,4,4,4)</f>
        <v>Qtr 1</v>
      </c>
      <c r="G2995" s="3" t="str">
        <f>TEXT(Table1[[#This Row],[Date]],"mmmm")</f>
        <v>February</v>
      </c>
      <c r="H2995" s="3" t="s">
        <v>1084</v>
      </c>
      <c r="I2995" s="3" t="s">
        <v>39</v>
      </c>
      <c r="J2995" s="3">
        <v>2</v>
      </c>
      <c r="K2995" s="3">
        <v>66180.820000000007</v>
      </c>
      <c r="L2995" s="3">
        <f>Table1[[#This Row],[Price Per Unit]]*Table1[[#This Row],[Units Sold]]</f>
        <v>132361.64000000001</v>
      </c>
      <c r="M2995" s="3" t="s">
        <v>220</v>
      </c>
      <c r="N2995" s="3">
        <v>33</v>
      </c>
      <c r="O2995" s="3" t="s">
        <v>24</v>
      </c>
      <c r="P2995" s="3" t="s">
        <v>31</v>
      </c>
      <c r="Q2995" s="4">
        <v>4</v>
      </c>
      <c r="R2995" s="4" t="str">
        <f>IF(Table1[[#This Row],[Customer Ratings]]&gt;=4, "Good",IF(Table1[[#This Row],[Customer Ratings]]=3, "Average","Poor"))</f>
        <v>Good</v>
      </c>
      <c r="S2995" s="3" t="s">
        <v>90</v>
      </c>
    </row>
    <row r="2996" spans="1:19" x14ac:dyDescent="0.25">
      <c r="A2996" s="3">
        <v>2995</v>
      </c>
      <c r="B2996" s="5">
        <f>DATE(Table1[[#This Row],[Year]],Table1[[#This Row],[Month]],Table1[[#This Row],[Day]])</f>
        <v>45330</v>
      </c>
      <c r="C2996" s="3">
        <v>8</v>
      </c>
      <c r="D2996" s="3">
        <v>2</v>
      </c>
      <c r="E2996" s="3">
        <v>2024</v>
      </c>
      <c r="F2996" s="3" t="str">
        <f>"Qtr"&amp; " " &amp;CHOOSE(MONTH(Table1[[#This Row],[Date]]),1,1,1,2,2,2,3,3,3,4,4,4)</f>
        <v>Qtr 1</v>
      </c>
      <c r="G2996" s="3" t="str">
        <f>TEXT(Table1[[#This Row],[Date]],"mmmm")</f>
        <v>February</v>
      </c>
      <c r="H2996" s="3" t="s">
        <v>1084</v>
      </c>
      <c r="I2996" s="3" t="s">
        <v>33</v>
      </c>
      <c r="J2996" s="3">
        <v>7</v>
      </c>
      <c r="K2996" s="3">
        <v>45495.96</v>
      </c>
      <c r="L2996" s="3">
        <f>Table1[[#This Row],[Price Per Unit]]*Table1[[#This Row],[Units Sold]]</f>
        <v>318471.71999999997</v>
      </c>
      <c r="M2996" s="3" t="s">
        <v>768</v>
      </c>
      <c r="N2996" s="3">
        <v>58</v>
      </c>
      <c r="O2996" s="3" t="s">
        <v>137</v>
      </c>
      <c r="P2996" s="3" t="s">
        <v>21</v>
      </c>
      <c r="Q2996" s="4">
        <v>3</v>
      </c>
      <c r="R2996" s="4" t="str">
        <f>IF(Table1[[#This Row],[Customer Ratings]]&gt;=4, "Good",IF(Table1[[#This Row],[Customer Ratings]]=3, "Average","Poor"))</f>
        <v>Average</v>
      </c>
      <c r="S2996" s="3" t="s">
        <v>36</v>
      </c>
    </row>
    <row r="2997" spans="1:19" x14ac:dyDescent="0.25">
      <c r="A2997" s="3">
        <v>2996</v>
      </c>
      <c r="B2997" s="5">
        <f>DATE(Table1[[#This Row],[Year]],Table1[[#This Row],[Month]],Table1[[#This Row],[Day]])</f>
        <v>45331</v>
      </c>
      <c r="C2997" s="3">
        <v>9</v>
      </c>
      <c r="D2997" s="3">
        <v>2</v>
      </c>
      <c r="E2997" s="3">
        <v>2024</v>
      </c>
      <c r="F2997" s="3" t="str">
        <f>"Qtr"&amp; " " &amp;CHOOSE(MONTH(Table1[[#This Row],[Date]]),1,1,1,2,2,2,3,3,3,4,4,4)</f>
        <v>Qtr 1</v>
      </c>
      <c r="G2997" s="3" t="str">
        <f>TEXT(Table1[[#This Row],[Date]],"mmmm")</f>
        <v>February</v>
      </c>
      <c r="H2997" s="3" t="s">
        <v>1085</v>
      </c>
      <c r="I2997" s="3" t="s">
        <v>13</v>
      </c>
      <c r="J2997" s="3">
        <v>8</v>
      </c>
      <c r="K2997" s="3">
        <v>10723.75</v>
      </c>
      <c r="L2997" s="3">
        <f>Table1[[#This Row],[Price Per Unit]]*Table1[[#This Row],[Units Sold]]</f>
        <v>85790</v>
      </c>
      <c r="M2997" s="3" t="s">
        <v>850</v>
      </c>
      <c r="N2997" s="3">
        <v>54</v>
      </c>
      <c r="O2997" s="3" t="s">
        <v>35</v>
      </c>
      <c r="P2997" s="3" t="s">
        <v>16</v>
      </c>
      <c r="Q2997" s="4">
        <v>5</v>
      </c>
      <c r="R2997" s="4" t="str">
        <f>IF(Table1[[#This Row],[Customer Ratings]]&gt;=4, "Good",IF(Table1[[#This Row],[Customer Ratings]]=3, "Average","Poor"))</f>
        <v>Good</v>
      </c>
      <c r="S2997" s="3" t="s">
        <v>72</v>
      </c>
    </row>
    <row r="2998" spans="1:19" x14ac:dyDescent="0.25">
      <c r="A2998" s="3">
        <v>2997</v>
      </c>
      <c r="B2998" s="5">
        <f>DATE(Table1[[#This Row],[Year]],Table1[[#This Row],[Month]],Table1[[#This Row],[Day]])</f>
        <v>45331</v>
      </c>
      <c r="C2998" s="3">
        <v>9</v>
      </c>
      <c r="D2998" s="3">
        <v>2</v>
      </c>
      <c r="E2998" s="3">
        <v>2024</v>
      </c>
      <c r="F2998" s="3" t="str">
        <f>"Qtr"&amp; " " &amp;CHOOSE(MONTH(Table1[[#This Row],[Date]]),1,1,1,2,2,2,3,3,3,4,4,4)</f>
        <v>Qtr 1</v>
      </c>
      <c r="G2998" s="3" t="str">
        <f>TEXT(Table1[[#This Row],[Date]],"mmmm")</f>
        <v>February</v>
      </c>
      <c r="H2998" s="3" t="s">
        <v>1085</v>
      </c>
      <c r="I2998" s="3" t="s">
        <v>39</v>
      </c>
      <c r="J2998" s="3">
        <v>5</v>
      </c>
      <c r="K2998" s="3">
        <v>12057.5</v>
      </c>
      <c r="L2998" s="3">
        <f>Table1[[#This Row],[Price Per Unit]]*Table1[[#This Row],[Units Sold]]</f>
        <v>60287.5</v>
      </c>
      <c r="M2998" s="3" t="s">
        <v>141</v>
      </c>
      <c r="N2998" s="3">
        <v>58</v>
      </c>
      <c r="O2998" s="3" t="s">
        <v>20</v>
      </c>
      <c r="P2998" s="3" t="s">
        <v>16</v>
      </c>
      <c r="Q2998" s="4">
        <v>3</v>
      </c>
      <c r="R2998" s="4" t="str">
        <f>IF(Table1[[#This Row],[Customer Ratings]]&gt;=4, "Good",IF(Table1[[#This Row],[Customer Ratings]]=3, "Average","Poor"))</f>
        <v>Average</v>
      </c>
      <c r="S2998" s="3" t="s">
        <v>42</v>
      </c>
    </row>
    <row r="2999" spans="1:19" x14ac:dyDescent="0.25">
      <c r="A2999" s="3">
        <v>2998</v>
      </c>
      <c r="B2999" s="5">
        <f>DATE(Table1[[#This Row],[Year]],Table1[[#This Row],[Month]],Table1[[#This Row],[Day]])</f>
        <v>45331</v>
      </c>
      <c r="C2999" s="3">
        <v>9</v>
      </c>
      <c r="D2999" s="3">
        <v>2</v>
      </c>
      <c r="E2999" s="3">
        <v>2024</v>
      </c>
      <c r="F2999" s="3" t="str">
        <f>"Qtr"&amp; " " &amp;CHOOSE(MONTH(Table1[[#This Row],[Date]]),1,1,1,2,2,2,3,3,3,4,4,4)</f>
        <v>Qtr 1</v>
      </c>
      <c r="G2999" s="3" t="str">
        <f>TEXT(Table1[[#This Row],[Date]],"mmmm")</f>
        <v>February</v>
      </c>
      <c r="H2999" s="3" t="s">
        <v>1085</v>
      </c>
      <c r="I2999" s="3" t="s">
        <v>39</v>
      </c>
      <c r="J2999" s="3">
        <v>6</v>
      </c>
      <c r="K2999" s="3">
        <v>52140.31</v>
      </c>
      <c r="L2999" s="3">
        <f>Table1[[#This Row],[Price Per Unit]]*Table1[[#This Row],[Units Sold]]</f>
        <v>312841.86</v>
      </c>
      <c r="M2999" s="3" t="s">
        <v>101</v>
      </c>
      <c r="N2999" s="3">
        <v>42</v>
      </c>
      <c r="O2999" s="3" t="s">
        <v>81</v>
      </c>
      <c r="P2999" s="3" t="s">
        <v>21</v>
      </c>
      <c r="Q2999" s="4">
        <v>4</v>
      </c>
      <c r="R2999" s="4" t="str">
        <f>IF(Table1[[#This Row],[Customer Ratings]]&gt;=4, "Good",IF(Table1[[#This Row],[Customer Ratings]]=3, "Average","Poor"))</f>
        <v>Good</v>
      </c>
      <c r="S2999" s="3" t="s">
        <v>90</v>
      </c>
    </row>
    <row r="3000" spans="1:19" x14ac:dyDescent="0.25">
      <c r="A3000" s="3">
        <v>2999</v>
      </c>
      <c r="B3000" s="5">
        <f>DATE(Table1[[#This Row],[Year]],Table1[[#This Row],[Month]],Table1[[#This Row],[Day]])</f>
        <v>45332</v>
      </c>
      <c r="C3000" s="3">
        <v>10</v>
      </c>
      <c r="D3000" s="3">
        <v>2</v>
      </c>
      <c r="E3000" s="3">
        <v>2024</v>
      </c>
      <c r="F3000" s="3" t="str">
        <f>"Qtr"&amp; " " &amp;CHOOSE(MONTH(Table1[[#This Row],[Date]]),1,1,1,2,2,2,3,3,3,4,4,4)</f>
        <v>Qtr 1</v>
      </c>
      <c r="G3000" s="3" t="str">
        <f>TEXT(Table1[[#This Row],[Date]],"mmmm")</f>
        <v>February</v>
      </c>
      <c r="H3000" s="3" t="s">
        <v>1079</v>
      </c>
      <c r="I3000" s="3" t="s">
        <v>28</v>
      </c>
      <c r="J3000" s="3">
        <v>1</v>
      </c>
      <c r="K3000" s="3">
        <v>26745.11</v>
      </c>
      <c r="L3000" s="3">
        <f>Table1[[#This Row],[Price Per Unit]]*Table1[[#This Row],[Units Sold]]</f>
        <v>26745.11</v>
      </c>
      <c r="M3000" s="3" t="s">
        <v>169</v>
      </c>
      <c r="N3000" s="3">
        <v>25</v>
      </c>
      <c r="O3000" s="3" t="s">
        <v>20</v>
      </c>
      <c r="P3000" s="3" t="s">
        <v>16</v>
      </c>
      <c r="Q3000" s="4">
        <v>4</v>
      </c>
      <c r="R3000" s="4" t="str">
        <f>IF(Table1[[#This Row],[Customer Ratings]]&gt;=4, "Good",IF(Table1[[#This Row],[Customer Ratings]]=3, "Average","Poor"))</f>
        <v>Good</v>
      </c>
      <c r="S3000" s="3" t="s">
        <v>87</v>
      </c>
    </row>
    <row r="3001" spans="1:19" x14ac:dyDescent="0.25">
      <c r="A3001" s="3">
        <v>3000</v>
      </c>
      <c r="B3001" s="5">
        <f>DATE(Table1[[#This Row],[Year]],Table1[[#This Row],[Month]],Table1[[#This Row],[Day]])</f>
        <v>45332</v>
      </c>
      <c r="C3001" s="3">
        <v>10</v>
      </c>
      <c r="D3001" s="3">
        <v>2</v>
      </c>
      <c r="E3001" s="3">
        <v>2024</v>
      </c>
      <c r="F3001" s="3" t="str">
        <f>"Qtr"&amp; " " &amp;CHOOSE(MONTH(Table1[[#This Row],[Date]]),1,1,1,2,2,2,3,3,3,4,4,4)</f>
        <v>Qtr 1</v>
      </c>
      <c r="G3001" s="3" t="str">
        <f>TEXT(Table1[[#This Row],[Date]],"mmmm")</f>
        <v>February</v>
      </c>
      <c r="H3001" s="3" t="s">
        <v>1079</v>
      </c>
      <c r="I3001" s="3" t="s">
        <v>18</v>
      </c>
      <c r="J3001" s="3">
        <v>6</v>
      </c>
      <c r="K3001" s="3">
        <v>44762.78</v>
      </c>
      <c r="L3001" s="3">
        <f>Table1[[#This Row],[Price Per Unit]]*Table1[[#This Row],[Units Sold]]</f>
        <v>268576.68</v>
      </c>
      <c r="M3001" s="3" t="s">
        <v>566</v>
      </c>
      <c r="N3001" s="3">
        <v>41</v>
      </c>
      <c r="O3001" s="3" t="s">
        <v>20</v>
      </c>
      <c r="P3001" s="3" t="s">
        <v>16</v>
      </c>
      <c r="Q3001" s="4">
        <v>1</v>
      </c>
      <c r="R3001" s="4" t="str">
        <f>IF(Table1[[#This Row],[Customer Ratings]]&gt;=4, "Good",IF(Table1[[#This Row],[Customer Ratings]]=3, "Average","Poor"))</f>
        <v>Poor</v>
      </c>
      <c r="S3001" s="3" t="s">
        <v>55</v>
      </c>
    </row>
    <row r="3002" spans="1:19" x14ac:dyDescent="0.25">
      <c r="A3002" s="3">
        <v>3001</v>
      </c>
      <c r="B3002" s="5">
        <f>DATE(Table1[[#This Row],[Year]],Table1[[#This Row],[Month]],Table1[[#This Row],[Day]])</f>
        <v>45332</v>
      </c>
      <c r="C3002" s="3">
        <v>10</v>
      </c>
      <c r="D3002" s="3">
        <v>2</v>
      </c>
      <c r="E3002" s="3">
        <v>2024</v>
      </c>
      <c r="F3002" s="3" t="str">
        <f>"Qtr"&amp; " " &amp;CHOOSE(MONTH(Table1[[#This Row],[Date]]),1,1,1,2,2,2,3,3,3,4,4,4)</f>
        <v>Qtr 1</v>
      </c>
      <c r="G3002" s="3" t="str">
        <f>TEXT(Table1[[#This Row],[Date]],"mmmm")</f>
        <v>February</v>
      </c>
      <c r="H3002" s="3" t="s">
        <v>1079</v>
      </c>
      <c r="I3002" s="3" t="s">
        <v>18</v>
      </c>
      <c r="J3002" s="3">
        <v>8</v>
      </c>
      <c r="K3002" s="3">
        <v>22136.63</v>
      </c>
      <c r="L3002" s="3">
        <f>Table1[[#This Row],[Price Per Unit]]*Table1[[#This Row],[Units Sold]]</f>
        <v>177093.04</v>
      </c>
      <c r="M3002" s="3" t="s">
        <v>587</v>
      </c>
      <c r="N3002" s="3">
        <v>37</v>
      </c>
      <c r="O3002" s="3" t="s">
        <v>52</v>
      </c>
      <c r="P3002" s="3" t="s">
        <v>21</v>
      </c>
      <c r="Q3002" s="4">
        <v>3</v>
      </c>
      <c r="R3002" s="4" t="str">
        <f>IF(Table1[[#This Row],[Customer Ratings]]&gt;=4, "Good",IF(Table1[[#This Row],[Customer Ratings]]=3, "Average","Poor"))</f>
        <v>Average</v>
      </c>
      <c r="S3002" s="3" t="s">
        <v>22</v>
      </c>
    </row>
    <row r="3003" spans="1:19" x14ac:dyDescent="0.25">
      <c r="A3003" s="3">
        <v>3002</v>
      </c>
      <c r="B3003" s="5">
        <f>DATE(Table1[[#This Row],[Year]],Table1[[#This Row],[Month]],Table1[[#This Row],[Day]])</f>
        <v>45333</v>
      </c>
      <c r="C3003" s="3">
        <v>11</v>
      </c>
      <c r="D3003" s="3">
        <v>2</v>
      </c>
      <c r="E3003" s="3">
        <v>2024</v>
      </c>
      <c r="F3003" s="3" t="str">
        <f>"Qtr"&amp; " " &amp;CHOOSE(MONTH(Table1[[#This Row],[Date]]),1,1,1,2,2,2,3,3,3,4,4,4)</f>
        <v>Qtr 1</v>
      </c>
      <c r="G3003" s="3" t="str">
        <f>TEXT(Table1[[#This Row],[Date]],"mmmm")</f>
        <v>February</v>
      </c>
      <c r="H3003" s="3" t="s">
        <v>1080</v>
      </c>
      <c r="I3003" s="3" t="s">
        <v>28</v>
      </c>
      <c r="J3003" s="3">
        <v>3</v>
      </c>
      <c r="K3003" s="3">
        <v>26214.93</v>
      </c>
      <c r="L3003" s="3">
        <f>Table1[[#This Row],[Price Per Unit]]*Table1[[#This Row],[Units Sold]]</f>
        <v>78644.790000000008</v>
      </c>
      <c r="M3003" s="3" t="s">
        <v>717</v>
      </c>
      <c r="N3003" s="3">
        <v>47</v>
      </c>
      <c r="O3003" s="3" t="s">
        <v>78</v>
      </c>
      <c r="P3003" s="3" t="s">
        <v>45</v>
      </c>
      <c r="Q3003" s="4">
        <v>5</v>
      </c>
      <c r="R3003" s="4" t="str">
        <f>IF(Table1[[#This Row],[Customer Ratings]]&gt;=4, "Good",IF(Table1[[#This Row],[Customer Ratings]]=3, "Average","Poor"))</f>
        <v>Good</v>
      </c>
      <c r="S3003" s="3" t="s">
        <v>38</v>
      </c>
    </row>
    <row r="3004" spans="1:19" x14ac:dyDescent="0.25">
      <c r="A3004" s="3">
        <v>3003</v>
      </c>
      <c r="B3004" s="5">
        <f>DATE(Table1[[#This Row],[Year]],Table1[[#This Row],[Month]],Table1[[#This Row],[Day]])</f>
        <v>45333</v>
      </c>
      <c r="C3004" s="3">
        <v>11</v>
      </c>
      <c r="D3004" s="3">
        <v>2</v>
      </c>
      <c r="E3004" s="3">
        <v>2024</v>
      </c>
      <c r="F3004" s="3" t="str">
        <f>"Qtr"&amp; " " &amp;CHOOSE(MONTH(Table1[[#This Row],[Date]]),1,1,1,2,2,2,3,3,3,4,4,4)</f>
        <v>Qtr 1</v>
      </c>
      <c r="G3004" s="3" t="str">
        <f>TEXT(Table1[[#This Row],[Date]],"mmmm")</f>
        <v>February</v>
      </c>
      <c r="H3004" s="3" t="s">
        <v>1080</v>
      </c>
      <c r="I3004" s="3" t="s">
        <v>28</v>
      </c>
      <c r="J3004" s="3">
        <v>1</v>
      </c>
      <c r="K3004" s="3">
        <v>40278.46</v>
      </c>
      <c r="L3004" s="3">
        <f>Table1[[#This Row],[Price Per Unit]]*Table1[[#This Row],[Units Sold]]</f>
        <v>40278.46</v>
      </c>
      <c r="M3004" s="3" t="s">
        <v>971</v>
      </c>
      <c r="N3004" s="3">
        <v>37</v>
      </c>
      <c r="O3004" s="3" t="s">
        <v>15</v>
      </c>
      <c r="P3004" s="3" t="s">
        <v>45</v>
      </c>
      <c r="Q3004" s="4">
        <v>1</v>
      </c>
      <c r="R3004" s="4" t="str">
        <f>IF(Table1[[#This Row],[Customer Ratings]]&gt;=4, "Good",IF(Table1[[#This Row],[Customer Ratings]]=3, "Average","Poor"))</f>
        <v>Poor</v>
      </c>
      <c r="S3004" s="3" t="s">
        <v>32</v>
      </c>
    </row>
    <row r="3005" spans="1:19" x14ac:dyDescent="0.25">
      <c r="A3005" s="3">
        <v>3004</v>
      </c>
      <c r="B3005" s="5">
        <f>DATE(Table1[[#This Row],[Year]],Table1[[#This Row],[Month]],Table1[[#This Row],[Day]])</f>
        <v>45333</v>
      </c>
      <c r="C3005" s="3">
        <v>11</v>
      </c>
      <c r="D3005" s="3">
        <v>2</v>
      </c>
      <c r="E3005" s="3">
        <v>2024</v>
      </c>
      <c r="F3005" s="3" t="str">
        <f>"Qtr"&amp; " " &amp;CHOOSE(MONTH(Table1[[#This Row],[Date]]),1,1,1,2,2,2,3,3,3,4,4,4)</f>
        <v>Qtr 1</v>
      </c>
      <c r="G3005" s="3" t="str">
        <f>TEXT(Table1[[#This Row],[Date]],"mmmm")</f>
        <v>February</v>
      </c>
      <c r="H3005" s="3" t="s">
        <v>1080</v>
      </c>
      <c r="I3005" s="3" t="s">
        <v>28</v>
      </c>
      <c r="J3005" s="3">
        <v>4</v>
      </c>
      <c r="K3005" s="3">
        <v>68534.17</v>
      </c>
      <c r="L3005" s="3">
        <f>Table1[[#This Row],[Price Per Unit]]*Table1[[#This Row],[Units Sold]]</f>
        <v>274136.68</v>
      </c>
      <c r="M3005" s="3" t="s">
        <v>475</v>
      </c>
      <c r="N3005" s="3">
        <v>35</v>
      </c>
      <c r="O3005" s="3" t="s">
        <v>35</v>
      </c>
      <c r="P3005" s="3" t="s">
        <v>45</v>
      </c>
      <c r="Q3005" s="4">
        <v>3</v>
      </c>
      <c r="R3005" s="4" t="str">
        <f>IF(Table1[[#This Row],[Customer Ratings]]&gt;=4, "Good",IF(Table1[[#This Row],[Customer Ratings]]=3, "Average","Poor"))</f>
        <v>Average</v>
      </c>
      <c r="S3005" s="3" t="s">
        <v>87</v>
      </c>
    </row>
    <row r="3006" spans="1:19" x14ac:dyDescent="0.25">
      <c r="A3006" s="3">
        <v>3005</v>
      </c>
      <c r="B3006" s="5">
        <f>DATE(Table1[[#This Row],[Year]],Table1[[#This Row],[Month]],Table1[[#This Row],[Day]])</f>
        <v>45334</v>
      </c>
      <c r="C3006" s="3">
        <v>12</v>
      </c>
      <c r="D3006" s="3">
        <v>2</v>
      </c>
      <c r="E3006" s="3">
        <v>2024</v>
      </c>
      <c r="F3006" s="3" t="str">
        <f>"Qtr"&amp; " " &amp;CHOOSE(MONTH(Table1[[#This Row],[Date]]),1,1,1,2,2,2,3,3,3,4,4,4)</f>
        <v>Qtr 1</v>
      </c>
      <c r="G3006" s="3" t="str">
        <f>TEXT(Table1[[#This Row],[Date]],"mmmm")</f>
        <v>February</v>
      </c>
      <c r="H3006" s="3" t="s">
        <v>1081</v>
      </c>
      <c r="I3006" s="3" t="s">
        <v>18</v>
      </c>
      <c r="J3006" s="3">
        <v>1</v>
      </c>
      <c r="K3006" s="3">
        <v>46976.23</v>
      </c>
      <c r="L3006" s="3">
        <f>Table1[[#This Row],[Price Per Unit]]*Table1[[#This Row],[Units Sold]]</f>
        <v>46976.23</v>
      </c>
      <c r="M3006" s="3" t="s">
        <v>192</v>
      </c>
      <c r="N3006" s="3">
        <v>21</v>
      </c>
      <c r="O3006" s="3" t="s">
        <v>24</v>
      </c>
      <c r="P3006" s="3" t="s">
        <v>45</v>
      </c>
      <c r="Q3006" s="4">
        <v>4</v>
      </c>
      <c r="R3006" s="4" t="str">
        <f>IF(Table1[[#This Row],[Customer Ratings]]&gt;=4, "Good",IF(Table1[[#This Row],[Customer Ratings]]=3, "Average","Poor"))</f>
        <v>Good</v>
      </c>
      <c r="S3006" s="3" t="s">
        <v>25</v>
      </c>
    </row>
    <row r="3007" spans="1:19" x14ac:dyDescent="0.25">
      <c r="A3007" s="3">
        <v>3006</v>
      </c>
      <c r="B3007" s="5">
        <f>DATE(Table1[[#This Row],[Year]],Table1[[#This Row],[Month]],Table1[[#This Row],[Day]])</f>
        <v>45334</v>
      </c>
      <c r="C3007" s="3">
        <v>12</v>
      </c>
      <c r="D3007" s="3">
        <v>2</v>
      </c>
      <c r="E3007" s="3">
        <v>2024</v>
      </c>
      <c r="F3007" s="3" t="str">
        <f>"Qtr"&amp; " " &amp;CHOOSE(MONTH(Table1[[#This Row],[Date]]),1,1,1,2,2,2,3,3,3,4,4,4)</f>
        <v>Qtr 1</v>
      </c>
      <c r="G3007" s="3" t="str">
        <f>TEXT(Table1[[#This Row],[Date]],"mmmm")</f>
        <v>February</v>
      </c>
      <c r="H3007" s="3" t="s">
        <v>1081</v>
      </c>
      <c r="I3007" s="3" t="s">
        <v>28</v>
      </c>
      <c r="J3007" s="3">
        <v>8</v>
      </c>
      <c r="K3007" s="3">
        <v>66168.89</v>
      </c>
      <c r="L3007" s="3">
        <f>Table1[[#This Row],[Price Per Unit]]*Table1[[#This Row],[Units Sold]]</f>
        <v>529351.12</v>
      </c>
      <c r="M3007" s="3" t="s">
        <v>620</v>
      </c>
      <c r="N3007" s="3">
        <v>53</v>
      </c>
      <c r="O3007" s="3" t="s">
        <v>78</v>
      </c>
      <c r="P3007" s="3" t="s">
        <v>31</v>
      </c>
      <c r="Q3007" s="4">
        <v>1</v>
      </c>
      <c r="R3007" s="4" t="str">
        <f>IF(Table1[[#This Row],[Customer Ratings]]&gt;=4, "Good",IF(Table1[[#This Row],[Customer Ratings]]=3, "Average","Poor"))</f>
        <v>Poor</v>
      </c>
      <c r="S3007" s="3" t="s">
        <v>38</v>
      </c>
    </row>
    <row r="3008" spans="1:19" x14ac:dyDescent="0.25">
      <c r="A3008" s="3">
        <v>3007</v>
      </c>
      <c r="B3008" s="5">
        <f>DATE(Table1[[#This Row],[Year]],Table1[[#This Row],[Month]],Table1[[#This Row],[Day]])</f>
        <v>45334</v>
      </c>
      <c r="C3008" s="3">
        <v>12</v>
      </c>
      <c r="D3008" s="3">
        <v>2</v>
      </c>
      <c r="E3008" s="3">
        <v>2024</v>
      </c>
      <c r="F3008" s="3" t="str">
        <f>"Qtr"&amp; " " &amp;CHOOSE(MONTH(Table1[[#This Row],[Date]]),1,1,1,2,2,2,3,3,3,4,4,4)</f>
        <v>Qtr 1</v>
      </c>
      <c r="G3008" s="3" t="str">
        <f>TEXT(Table1[[#This Row],[Date]],"mmmm")</f>
        <v>February</v>
      </c>
      <c r="H3008" s="3" t="s">
        <v>1081</v>
      </c>
      <c r="I3008" s="3" t="s">
        <v>33</v>
      </c>
      <c r="J3008" s="3">
        <v>5</v>
      </c>
      <c r="K3008" s="3">
        <v>67562.789999999994</v>
      </c>
      <c r="L3008" s="3">
        <f>Table1[[#This Row],[Price Per Unit]]*Table1[[#This Row],[Units Sold]]</f>
        <v>337813.94999999995</v>
      </c>
      <c r="M3008" s="3" t="s">
        <v>586</v>
      </c>
      <c r="N3008" s="3">
        <v>23</v>
      </c>
      <c r="O3008" s="3" t="s">
        <v>24</v>
      </c>
      <c r="P3008" s="3" t="s">
        <v>21</v>
      </c>
      <c r="Q3008" s="4">
        <v>4</v>
      </c>
      <c r="R3008" s="4" t="str">
        <f>IF(Table1[[#This Row],[Customer Ratings]]&gt;=4, "Good",IF(Table1[[#This Row],[Customer Ratings]]=3, "Average","Poor"))</f>
        <v>Good</v>
      </c>
      <c r="S3008" s="3" t="s">
        <v>83</v>
      </c>
    </row>
    <row r="3009" spans="1:19" x14ac:dyDescent="0.25">
      <c r="A3009" s="3">
        <v>3008</v>
      </c>
      <c r="B3009" s="5">
        <f>DATE(Table1[[#This Row],[Year]],Table1[[#This Row],[Month]],Table1[[#This Row],[Day]])</f>
        <v>45335</v>
      </c>
      <c r="C3009" s="3">
        <v>13</v>
      </c>
      <c r="D3009" s="3">
        <v>2</v>
      </c>
      <c r="E3009" s="3">
        <v>2024</v>
      </c>
      <c r="F3009" s="3" t="str">
        <f>"Qtr"&amp; " " &amp;CHOOSE(MONTH(Table1[[#This Row],[Date]]),1,1,1,2,2,2,3,3,3,4,4,4)</f>
        <v>Qtr 1</v>
      </c>
      <c r="G3009" s="3" t="str">
        <f>TEXT(Table1[[#This Row],[Date]],"mmmm")</f>
        <v>February</v>
      </c>
      <c r="H3009" s="3" t="s">
        <v>1082</v>
      </c>
      <c r="I3009" s="3" t="s">
        <v>39</v>
      </c>
      <c r="J3009" s="3">
        <v>1</v>
      </c>
      <c r="K3009" s="3">
        <v>22486.6</v>
      </c>
      <c r="L3009" s="3">
        <f>Table1[[#This Row],[Price Per Unit]]*Table1[[#This Row],[Units Sold]]</f>
        <v>22486.6</v>
      </c>
      <c r="M3009" s="3" t="s">
        <v>710</v>
      </c>
      <c r="N3009" s="3">
        <v>20</v>
      </c>
      <c r="O3009" s="3" t="s">
        <v>20</v>
      </c>
      <c r="P3009" s="3" t="s">
        <v>16</v>
      </c>
      <c r="Q3009" s="4">
        <v>2</v>
      </c>
      <c r="R3009" s="4" t="str">
        <f>IF(Table1[[#This Row],[Customer Ratings]]&gt;=4, "Good",IF(Table1[[#This Row],[Customer Ratings]]=3, "Average","Poor"))</f>
        <v>Poor</v>
      </c>
      <c r="S3009" s="3" t="s">
        <v>42</v>
      </c>
    </row>
    <row r="3010" spans="1:19" x14ac:dyDescent="0.25">
      <c r="A3010" s="3">
        <v>3009</v>
      </c>
      <c r="B3010" s="5">
        <f>DATE(Table1[[#This Row],[Year]],Table1[[#This Row],[Month]],Table1[[#This Row],[Day]])</f>
        <v>45335</v>
      </c>
      <c r="C3010" s="3">
        <v>13</v>
      </c>
      <c r="D3010" s="3">
        <v>2</v>
      </c>
      <c r="E3010" s="3">
        <v>2024</v>
      </c>
      <c r="F3010" s="3" t="str">
        <f>"Qtr"&amp; " " &amp;CHOOSE(MONTH(Table1[[#This Row],[Date]]),1,1,1,2,2,2,3,3,3,4,4,4)</f>
        <v>Qtr 1</v>
      </c>
      <c r="G3010" s="3" t="str">
        <f>TEXT(Table1[[#This Row],[Date]],"mmmm")</f>
        <v>February</v>
      </c>
      <c r="H3010" s="3" t="s">
        <v>1082</v>
      </c>
      <c r="I3010" s="3" t="s">
        <v>39</v>
      </c>
      <c r="J3010" s="3">
        <v>8</v>
      </c>
      <c r="K3010" s="3">
        <v>28671.62</v>
      </c>
      <c r="L3010" s="3">
        <f>Table1[[#This Row],[Price Per Unit]]*Table1[[#This Row],[Units Sold]]</f>
        <v>229372.96</v>
      </c>
      <c r="M3010" s="3" t="s">
        <v>232</v>
      </c>
      <c r="N3010" s="3">
        <v>35</v>
      </c>
      <c r="O3010" s="3" t="s">
        <v>20</v>
      </c>
      <c r="P3010" s="3" t="s">
        <v>16</v>
      </c>
      <c r="Q3010" s="4">
        <v>2</v>
      </c>
      <c r="R3010" s="4" t="str">
        <f>IF(Table1[[#This Row],[Customer Ratings]]&gt;=4, "Good",IF(Table1[[#This Row],[Customer Ratings]]=3, "Average","Poor"))</f>
        <v>Poor</v>
      </c>
      <c r="S3010" s="3" t="s">
        <v>42</v>
      </c>
    </row>
    <row r="3011" spans="1:19" x14ac:dyDescent="0.25">
      <c r="A3011" s="3">
        <v>3010</v>
      </c>
      <c r="B3011" s="5">
        <f>DATE(Table1[[#This Row],[Year]],Table1[[#This Row],[Month]],Table1[[#This Row],[Day]])</f>
        <v>45335</v>
      </c>
      <c r="C3011" s="3">
        <v>13</v>
      </c>
      <c r="D3011" s="3">
        <v>2</v>
      </c>
      <c r="E3011" s="3">
        <v>2024</v>
      </c>
      <c r="F3011" s="3" t="str">
        <f>"Qtr"&amp; " " &amp;CHOOSE(MONTH(Table1[[#This Row],[Date]]),1,1,1,2,2,2,3,3,3,4,4,4)</f>
        <v>Qtr 1</v>
      </c>
      <c r="G3011" s="3" t="str">
        <f>TEXT(Table1[[#This Row],[Date]],"mmmm")</f>
        <v>February</v>
      </c>
      <c r="H3011" s="3" t="s">
        <v>1082</v>
      </c>
      <c r="I3011" s="3" t="s">
        <v>13</v>
      </c>
      <c r="J3011" s="3">
        <v>9</v>
      </c>
      <c r="K3011" s="3">
        <v>56199.54</v>
      </c>
      <c r="L3011" s="3">
        <f>Table1[[#This Row],[Price Per Unit]]*Table1[[#This Row],[Units Sold]]</f>
        <v>505795.86</v>
      </c>
      <c r="M3011" s="3" t="s">
        <v>578</v>
      </c>
      <c r="N3011" s="3">
        <v>57</v>
      </c>
      <c r="O3011" s="3" t="s">
        <v>58</v>
      </c>
      <c r="P3011" s="3" t="s">
        <v>21</v>
      </c>
      <c r="Q3011" s="4">
        <v>1</v>
      </c>
      <c r="R3011" s="4" t="str">
        <f>IF(Table1[[#This Row],[Customer Ratings]]&gt;=4, "Good",IF(Table1[[#This Row],[Customer Ratings]]=3, "Average","Poor"))</f>
        <v>Poor</v>
      </c>
      <c r="S3011" s="3" t="s">
        <v>72</v>
      </c>
    </row>
    <row r="3012" spans="1:19" x14ac:dyDescent="0.25">
      <c r="A3012" s="3">
        <v>3011</v>
      </c>
      <c r="B3012" s="5">
        <f>DATE(Table1[[#This Row],[Year]],Table1[[#This Row],[Month]],Table1[[#This Row],[Day]])</f>
        <v>45336</v>
      </c>
      <c r="C3012" s="3">
        <v>14</v>
      </c>
      <c r="D3012" s="3">
        <v>2</v>
      </c>
      <c r="E3012" s="3">
        <v>2024</v>
      </c>
      <c r="F3012" s="3" t="str">
        <f>"Qtr"&amp; " " &amp;CHOOSE(MONTH(Table1[[#This Row],[Date]]),1,1,1,2,2,2,3,3,3,4,4,4)</f>
        <v>Qtr 1</v>
      </c>
      <c r="G3012" s="3" t="str">
        <f>TEXT(Table1[[#This Row],[Date]],"mmmm")</f>
        <v>February</v>
      </c>
      <c r="H3012" s="3" t="s">
        <v>1083</v>
      </c>
      <c r="I3012" s="3" t="s">
        <v>13</v>
      </c>
      <c r="J3012" s="3">
        <v>2</v>
      </c>
      <c r="K3012" s="3">
        <v>62005.84</v>
      </c>
      <c r="L3012" s="3">
        <f>Table1[[#This Row],[Price Per Unit]]*Table1[[#This Row],[Units Sold]]</f>
        <v>124011.68</v>
      </c>
      <c r="M3012" s="3" t="s">
        <v>767</v>
      </c>
      <c r="N3012" s="3">
        <v>35</v>
      </c>
      <c r="O3012" s="3" t="s">
        <v>52</v>
      </c>
      <c r="P3012" s="3" t="s">
        <v>16</v>
      </c>
      <c r="Q3012" s="4">
        <v>1</v>
      </c>
      <c r="R3012" s="4" t="str">
        <f>IF(Table1[[#This Row],[Customer Ratings]]&gt;=4, "Good",IF(Table1[[#This Row],[Customer Ratings]]=3, "Average","Poor"))</f>
        <v>Poor</v>
      </c>
      <c r="S3012" s="3" t="s">
        <v>27</v>
      </c>
    </row>
    <row r="3013" spans="1:19" x14ac:dyDescent="0.25">
      <c r="A3013" s="3">
        <v>3012</v>
      </c>
      <c r="B3013" s="5">
        <f>DATE(Table1[[#This Row],[Year]],Table1[[#This Row],[Month]],Table1[[#This Row],[Day]])</f>
        <v>45336</v>
      </c>
      <c r="C3013" s="3">
        <v>14</v>
      </c>
      <c r="D3013" s="3">
        <v>2</v>
      </c>
      <c r="E3013" s="3">
        <v>2024</v>
      </c>
      <c r="F3013" s="3" t="str">
        <f>"Qtr"&amp; " " &amp;CHOOSE(MONTH(Table1[[#This Row],[Date]]),1,1,1,2,2,2,3,3,3,4,4,4)</f>
        <v>Qtr 1</v>
      </c>
      <c r="G3013" s="3" t="str">
        <f>TEXT(Table1[[#This Row],[Date]],"mmmm")</f>
        <v>February</v>
      </c>
      <c r="H3013" s="3" t="s">
        <v>1083</v>
      </c>
      <c r="I3013" s="3" t="s">
        <v>39</v>
      </c>
      <c r="J3013" s="3">
        <v>9</v>
      </c>
      <c r="K3013" s="3">
        <v>41153.599999999999</v>
      </c>
      <c r="L3013" s="3">
        <f>Table1[[#This Row],[Price Per Unit]]*Table1[[#This Row],[Units Sold]]</f>
        <v>370382.39999999997</v>
      </c>
      <c r="M3013" s="3" t="s">
        <v>769</v>
      </c>
      <c r="N3013" s="3">
        <v>40</v>
      </c>
      <c r="O3013" s="3" t="s">
        <v>35</v>
      </c>
      <c r="P3013" s="3" t="s">
        <v>31</v>
      </c>
      <c r="Q3013" s="4">
        <v>3</v>
      </c>
      <c r="R3013" s="4" t="str">
        <f>IF(Table1[[#This Row],[Customer Ratings]]&gt;=4, "Good",IF(Table1[[#This Row],[Customer Ratings]]=3, "Average","Poor"))</f>
        <v>Average</v>
      </c>
      <c r="S3013" s="3" t="s">
        <v>76</v>
      </c>
    </row>
    <row r="3014" spans="1:19" x14ac:dyDescent="0.25">
      <c r="A3014" s="3">
        <v>3013</v>
      </c>
      <c r="B3014" s="5">
        <f>DATE(Table1[[#This Row],[Year]],Table1[[#This Row],[Month]],Table1[[#This Row],[Day]])</f>
        <v>45336</v>
      </c>
      <c r="C3014" s="3">
        <v>14</v>
      </c>
      <c r="D3014" s="3">
        <v>2</v>
      </c>
      <c r="E3014" s="3">
        <v>2024</v>
      </c>
      <c r="F3014" s="3" t="str">
        <f>"Qtr"&amp; " " &amp;CHOOSE(MONTH(Table1[[#This Row],[Date]]),1,1,1,2,2,2,3,3,3,4,4,4)</f>
        <v>Qtr 1</v>
      </c>
      <c r="G3014" s="3" t="str">
        <f>TEXT(Table1[[#This Row],[Date]],"mmmm")</f>
        <v>February</v>
      </c>
      <c r="H3014" s="3" t="s">
        <v>1083</v>
      </c>
      <c r="I3014" s="3" t="s">
        <v>33</v>
      </c>
      <c r="J3014" s="3">
        <v>8</v>
      </c>
      <c r="K3014" s="3">
        <v>69593.56</v>
      </c>
      <c r="L3014" s="3">
        <f>Table1[[#This Row],[Price Per Unit]]*Table1[[#This Row],[Units Sold]]</f>
        <v>556748.48</v>
      </c>
      <c r="M3014" s="3" t="s">
        <v>708</v>
      </c>
      <c r="N3014" s="3">
        <v>52</v>
      </c>
      <c r="O3014" s="3" t="s">
        <v>24</v>
      </c>
      <c r="P3014" s="3" t="s">
        <v>45</v>
      </c>
      <c r="Q3014" s="4">
        <v>5</v>
      </c>
      <c r="R3014" s="4" t="str">
        <f>IF(Table1[[#This Row],[Customer Ratings]]&gt;=4, "Good",IF(Table1[[#This Row],[Customer Ratings]]=3, "Average","Poor"))</f>
        <v>Good</v>
      </c>
      <c r="S3014" s="3" t="s">
        <v>46</v>
      </c>
    </row>
    <row r="3015" spans="1:19" x14ac:dyDescent="0.25">
      <c r="A3015" s="3">
        <v>3014</v>
      </c>
      <c r="B3015" s="5">
        <f>DATE(Table1[[#This Row],[Year]],Table1[[#This Row],[Month]],Table1[[#This Row],[Day]])</f>
        <v>45336</v>
      </c>
      <c r="C3015" s="3">
        <v>14</v>
      </c>
      <c r="D3015" s="3">
        <v>2</v>
      </c>
      <c r="E3015" s="3">
        <v>2024</v>
      </c>
      <c r="F3015" s="3" t="str">
        <f>"Qtr"&amp; " " &amp;CHOOSE(MONTH(Table1[[#This Row],[Date]]),1,1,1,2,2,2,3,3,3,4,4,4)</f>
        <v>Qtr 1</v>
      </c>
      <c r="G3015" s="3" t="str">
        <f>TEXT(Table1[[#This Row],[Date]],"mmmm")</f>
        <v>February</v>
      </c>
      <c r="H3015" s="3" t="s">
        <v>1083</v>
      </c>
      <c r="I3015" s="3" t="s">
        <v>18</v>
      </c>
      <c r="J3015" s="3">
        <v>7</v>
      </c>
      <c r="K3015" s="3">
        <v>10694.33</v>
      </c>
      <c r="L3015" s="3">
        <f>Table1[[#This Row],[Price Per Unit]]*Table1[[#This Row],[Units Sold]]</f>
        <v>74860.31</v>
      </c>
      <c r="M3015" s="3" t="s">
        <v>580</v>
      </c>
      <c r="N3015" s="3">
        <v>23</v>
      </c>
      <c r="O3015" s="3" t="s">
        <v>120</v>
      </c>
      <c r="P3015" s="3" t="s">
        <v>21</v>
      </c>
      <c r="Q3015" s="4">
        <v>5</v>
      </c>
      <c r="R3015" s="4" t="str">
        <f>IF(Table1[[#This Row],[Customer Ratings]]&gt;=4, "Good",IF(Table1[[#This Row],[Customer Ratings]]=3, "Average","Poor"))</f>
        <v>Good</v>
      </c>
      <c r="S3015" s="3" t="s">
        <v>55</v>
      </c>
    </row>
    <row r="3016" spans="1:19" x14ac:dyDescent="0.25">
      <c r="A3016" s="3">
        <v>3015</v>
      </c>
      <c r="B3016" s="5">
        <f>DATE(Table1[[#This Row],[Year]],Table1[[#This Row],[Month]],Table1[[#This Row],[Day]])</f>
        <v>45337</v>
      </c>
      <c r="C3016" s="3">
        <v>15</v>
      </c>
      <c r="D3016" s="3">
        <v>2</v>
      </c>
      <c r="E3016" s="3">
        <v>2024</v>
      </c>
      <c r="F3016" s="3" t="str">
        <f>"Qtr"&amp; " " &amp;CHOOSE(MONTH(Table1[[#This Row],[Date]]),1,1,1,2,2,2,3,3,3,4,4,4)</f>
        <v>Qtr 1</v>
      </c>
      <c r="G3016" s="3" t="str">
        <f>TEXT(Table1[[#This Row],[Date]],"mmmm")</f>
        <v>February</v>
      </c>
      <c r="H3016" s="3" t="s">
        <v>1084</v>
      </c>
      <c r="I3016" s="3" t="s">
        <v>18</v>
      </c>
      <c r="J3016" s="3">
        <v>3</v>
      </c>
      <c r="K3016" s="3">
        <v>27975.56</v>
      </c>
      <c r="L3016" s="3">
        <f>Table1[[#This Row],[Price Per Unit]]*Table1[[#This Row],[Units Sold]]</f>
        <v>83926.680000000008</v>
      </c>
      <c r="M3016" s="3" t="s">
        <v>409</v>
      </c>
      <c r="N3016" s="3">
        <v>43</v>
      </c>
      <c r="O3016" s="3" t="s">
        <v>24</v>
      </c>
      <c r="P3016" s="3" t="s">
        <v>16</v>
      </c>
      <c r="Q3016" s="4">
        <v>2</v>
      </c>
      <c r="R3016" s="4" t="str">
        <f>IF(Table1[[#This Row],[Customer Ratings]]&gt;=4, "Good",IF(Table1[[#This Row],[Customer Ratings]]=3, "Average","Poor"))</f>
        <v>Poor</v>
      </c>
      <c r="S3016" s="3" t="s">
        <v>22</v>
      </c>
    </row>
    <row r="3017" spans="1:19" x14ac:dyDescent="0.25">
      <c r="A3017" s="3">
        <v>3016</v>
      </c>
      <c r="B3017" s="5">
        <f>DATE(Table1[[#This Row],[Year]],Table1[[#This Row],[Month]],Table1[[#This Row],[Day]])</f>
        <v>45337</v>
      </c>
      <c r="C3017" s="3">
        <v>15</v>
      </c>
      <c r="D3017" s="3">
        <v>2</v>
      </c>
      <c r="E3017" s="3">
        <v>2024</v>
      </c>
      <c r="F3017" s="3" t="str">
        <f>"Qtr"&amp; " " &amp;CHOOSE(MONTH(Table1[[#This Row],[Date]]),1,1,1,2,2,2,3,3,3,4,4,4)</f>
        <v>Qtr 1</v>
      </c>
      <c r="G3017" s="3" t="str">
        <f>TEXT(Table1[[#This Row],[Date]],"mmmm")</f>
        <v>February</v>
      </c>
      <c r="H3017" s="3" t="s">
        <v>1084</v>
      </c>
      <c r="I3017" s="3" t="s">
        <v>33</v>
      </c>
      <c r="J3017" s="3">
        <v>2</v>
      </c>
      <c r="K3017" s="3">
        <v>47389.71</v>
      </c>
      <c r="L3017" s="3">
        <f>Table1[[#This Row],[Price Per Unit]]*Table1[[#This Row],[Units Sold]]</f>
        <v>94779.42</v>
      </c>
      <c r="M3017" s="3" t="s">
        <v>515</v>
      </c>
      <c r="N3017" s="3">
        <v>38</v>
      </c>
      <c r="O3017" s="3" t="s">
        <v>105</v>
      </c>
      <c r="P3017" s="3" t="s">
        <v>31</v>
      </c>
      <c r="Q3017" s="4">
        <v>2</v>
      </c>
      <c r="R3017" s="4" t="str">
        <f>IF(Table1[[#This Row],[Customer Ratings]]&gt;=4, "Good",IF(Table1[[#This Row],[Customer Ratings]]=3, "Average","Poor"))</f>
        <v>Poor</v>
      </c>
      <c r="S3017" s="3" t="s">
        <v>46</v>
      </c>
    </row>
    <row r="3018" spans="1:19" x14ac:dyDescent="0.25">
      <c r="A3018" s="3">
        <v>3017</v>
      </c>
      <c r="B3018" s="5">
        <f>DATE(Table1[[#This Row],[Year]],Table1[[#This Row],[Month]],Table1[[#This Row],[Day]])</f>
        <v>45337</v>
      </c>
      <c r="C3018" s="3">
        <v>15</v>
      </c>
      <c r="D3018" s="3">
        <v>2</v>
      </c>
      <c r="E3018" s="3">
        <v>2024</v>
      </c>
      <c r="F3018" s="3" t="str">
        <f>"Qtr"&amp; " " &amp;CHOOSE(MONTH(Table1[[#This Row],[Date]]),1,1,1,2,2,2,3,3,3,4,4,4)</f>
        <v>Qtr 1</v>
      </c>
      <c r="G3018" s="3" t="str">
        <f>TEXT(Table1[[#This Row],[Date]],"mmmm")</f>
        <v>February</v>
      </c>
      <c r="H3018" s="3" t="s">
        <v>1084</v>
      </c>
      <c r="I3018" s="3" t="s">
        <v>18</v>
      </c>
      <c r="J3018" s="3">
        <v>7</v>
      </c>
      <c r="K3018" s="3">
        <v>38157.39</v>
      </c>
      <c r="L3018" s="3">
        <f>Table1[[#This Row],[Price Per Unit]]*Table1[[#This Row],[Units Sold]]</f>
        <v>267101.73</v>
      </c>
      <c r="M3018" s="3" t="s">
        <v>121</v>
      </c>
      <c r="N3018" s="3">
        <v>41</v>
      </c>
      <c r="O3018" s="3" t="s">
        <v>30</v>
      </c>
      <c r="P3018" s="3" t="s">
        <v>16</v>
      </c>
      <c r="Q3018" s="4">
        <v>2</v>
      </c>
      <c r="R3018" s="4" t="str">
        <f>IF(Table1[[#This Row],[Customer Ratings]]&gt;=4, "Good",IF(Table1[[#This Row],[Customer Ratings]]=3, "Average","Poor"))</f>
        <v>Poor</v>
      </c>
      <c r="S3018" s="3" t="s">
        <v>55</v>
      </c>
    </row>
    <row r="3019" spans="1:19" x14ac:dyDescent="0.25">
      <c r="A3019" s="3">
        <v>3018</v>
      </c>
      <c r="B3019" s="5">
        <f>DATE(Table1[[#This Row],[Year]],Table1[[#This Row],[Month]],Table1[[#This Row],[Day]])</f>
        <v>45338</v>
      </c>
      <c r="C3019" s="3">
        <v>16</v>
      </c>
      <c r="D3019" s="3">
        <v>2</v>
      </c>
      <c r="E3019" s="3">
        <v>2024</v>
      </c>
      <c r="F3019" s="3" t="str">
        <f>"Qtr"&amp; " " &amp;CHOOSE(MONTH(Table1[[#This Row],[Date]]),1,1,1,2,2,2,3,3,3,4,4,4)</f>
        <v>Qtr 1</v>
      </c>
      <c r="G3019" s="3" t="str">
        <f>TEXT(Table1[[#This Row],[Date]],"mmmm")</f>
        <v>February</v>
      </c>
      <c r="H3019" s="3" t="s">
        <v>1085</v>
      </c>
      <c r="I3019" s="3" t="s">
        <v>28</v>
      </c>
      <c r="J3019" s="3">
        <v>5</v>
      </c>
      <c r="K3019" s="3">
        <v>16996.18</v>
      </c>
      <c r="L3019" s="3">
        <f>Table1[[#This Row],[Price Per Unit]]*Table1[[#This Row],[Units Sold]]</f>
        <v>84980.9</v>
      </c>
      <c r="M3019" s="3" t="s">
        <v>266</v>
      </c>
      <c r="N3019" s="3">
        <v>32</v>
      </c>
      <c r="O3019" s="3" t="s">
        <v>24</v>
      </c>
      <c r="P3019" s="3" t="s">
        <v>31</v>
      </c>
      <c r="Q3019" s="4">
        <v>4</v>
      </c>
      <c r="R3019" s="4" t="str">
        <f>IF(Table1[[#This Row],[Customer Ratings]]&gt;=4, "Good",IF(Table1[[#This Row],[Customer Ratings]]=3, "Average","Poor"))</f>
        <v>Good</v>
      </c>
      <c r="S3019" s="3" t="s">
        <v>32</v>
      </c>
    </row>
    <row r="3020" spans="1:19" x14ac:dyDescent="0.25">
      <c r="A3020" s="3">
        <v>3019</v>
      </c>
      <c r="B3020" s="5">
        <f>DATE(Table1[[#This Row],[Year]],Table1[[#This Row],[Month]],Table1[[#This Row],[Day]])</f>
        <v>45338</v>
      </c>
      <c r="C3020" s="3">
        <v>16</v>
      </c>
      <c r="D3020" s="3">
        <v>2</v>
      </c>
      <c r="E3020" s="3">
        <v>2024</v>
      </c>
      <c r="F3020" s="3" t="str">
        <f>"Qtr"&amp; " " &amp;CHOOSE(MONTH(Table1[[#This Row],[Date]]),1,1,1,2,2,2,3,3,3,4,4,4)</f>
        <v>Qtr 1</v>
      </c>
      <c r="G3020" s="3" t="str">
        <f>TEXT(Table1[[#This Row],[Date]],"mmmm")</f>
        <v>February</v>
      </c>
      <c r="H3020" s="3" t="s">
        <v>1085</v>
      </c>
      <c r="I3020" s="3" t="s">
        <v>39</v>
      </c>
      <c r="J3020" s="3">
        <v>6</v>
      </c>
      <c r="K3020" s="3">
        <v>32067.23</v>
      </c>
      <c r="L3020" s="3">
        <f>Table1[[#This Row],[Price Per Unit]]*Table1[[#This Row],[Units Sold]]</f>
        <v>192403.38</v>
      </c>
      <c r="M3020" s="3" t="s">
        <v>66</v>
      </c>
      <c r="N3020" s="3">
        <v>44</v>
      </c>
      <c r="O3020" s="3" t="s">
        <v>98</v>
      </c>
      <c r="P3020" s="3" t="s">
        <v>16</v>
      </c>
      <c r="Q3020" s="4">
        <v>5</v>
      </c>
      <c r="R3020" s="4" t="str">
        <f>IF(Table1[[#This Row],[Customer Ratings]]&gt;=4, "Good",IF(Table1[[#This Row],[Customer Ratings]]=3, "Average","Poor"))</f>
        <v>Good</v>
      </c>
      <c r="S3020" s="3" t="s">
        <v>90</v>
      </c>
    </row>
    <row r="3021" spans="1:19" x14ac:dyDescent="0.25">
      <c r="A3021" s="3">
        <v>3020</v>
      </c>
      <c r="B3021" s="5">
        <f>DATE(Table1[[#This Row],[Year]],Table1[[#This Row],[Month]],Table1[[#This Row],[Day]])</f>
        <v>45338</v>
      </c>
      <c r="C3021" s="3">
        <v>16</v>
      </c>
      <c r="D3021" s="3">
        <v>2</v>
      </c>
      <c r="E3021" s="3">
        <v>2024</v>
      </c>
      <c r="F3021" s="3" t="str">
        <f>"Qtr"&amp; " " &amp;CHOOSE(MONTH(Table1[[#This Row],[Date]]),1,1,1,2,2,2,3,3,3,4,4,4)</f>
        <v>Qtr 1</v>
      </c>
      <c r="G3021" s="3" t="str">
        <f>TEXT(Table1[[#This Row],[Date]],"mmmm")</f>
        <v>February</v>
      </c>
      <c r="H3021" s="3" t="s">
        <v>1085</v>
      </c>
      <c r="I3021" s="3" t="s">
        <v>39</v>
      </c>
      <c r="J3021" s="3">
        <v>4</v>
      </c>
      <c r="K3021" s="3">
        <v>11526.83</v>
      </c>
      <c r="L3021" s="3">
        <f>Table1[[#This Row],[Price Per Unit]]*Table1[[#This Row],[Units Sold]]</f>
        <v>46107.32</v>
      </c>
      <c r="M3021" s="3" t="s">
        <v>491</v>
      </c>
      <c r="N3021" s="3">
        <v>49</v>
      </c>
      <c r="O3021" s="3" t="s">
        <v>58</v>
      </c>
      <c r="P3021" s="3" t="s">
        <v>45</v>
      </c>
      <c r="Q3021" s="4">
        <v>1</v>
      </c>
      <c r="R3021" s="4" t="str">
        <f>IF(Table1[[#This Row],[Customer Ratings]]&gt;=4, "Good",IF(Table1[[#This Row],[Customer Ratings]]=3, "Average","Poor"))</f>
        <v>Poor</v>
      </c>
      <c r="S3021" s="3" t="s">
        <v>90</v>
      </c>
    </row>
    <row r="3022" spans="1:19" x14ac:dyDescent="0.25">
      <c r="A3022" s="3">
        <v>3021</v>
      </c>
      <c r="B3022" s="5">
        <f>DATE(Table1[[#This Row],[Year]],Table1[[#This Row],[Month]],Table1[[#This Row],[Day]])</f>
        <v>45338</v>
      </c>
      <c r="C3022" s="3">
        <v>16</v>
      </c>
      <c r="D3022" s="3">
        <v>2</v>
      </c>
      <c r="E3022" s="3">
        <v>2024</v>
      </c>
      <c r="F3022" s="3" t="str">
        <f>"Qtr"&amp; " " &amp;CHOOSE(MONTH(Table1[[#This Row],[Date]]),1,1,1,2,2,2,3,3,3,4,4,4)</f>
        <v>Qtr 1</v>
      </c>
      <c r="G3022" s="3" t="str">
        <f>TEXT(Table1[[#This Row],[Date]],"mmmm")</f>
        <v>February</v>
      </c>
      <c r="H3022" s="3" t="s">
        <v>1085</v>
      </c>
      <c r="I3022" s="3" t="s">
        <v>33</v>
      </c>
      <c r="J3022" s="3">
        <v>2</v>
      </c>
      <c r="K3022" s="3">
        <v>48564.76</v>
      </c>
      <c r="L3022" s="3">
        <f>Table1[[#This Row],[Price Per Unit]]*Table1[[#This Row],[Units Sold]]</f>
        <v>97129.52</v>
      </c>
      <c r="M3022" s="3" t="s">
        <v>178</v>
      </c>
      <c r="N3022" s="3">
        <v>29</v>
      </c>
      <c r="O3022" s="3" t="s">
        <v>24</v>
      </c>
      <c r="P3022" s="3" t="s">
        <v>21</v>
      </c>
      <c r="Q3022" s="4">
        <v>2</v>
      </c>
      <c r="R3022" s="4" t="str">
        <f>IF(Table1[[#This Row],[Customer Ratings]]&gt;=4, "Good",IF(Table1[[#This Row],[Customer Ratings]]=3, "Average","Poor"))</f>
        <v>Poor</v>
      </c>
      <c r="S3022" s="3" t="s">
        <v>83</v>
      </c>
    </row>
    <row r="3023" spans="1:19" x14ac:dyDescent="0.25">
      <c r="A3023" s="3">
        <v>3022</v>
      </c>
      <c r="B3023" s="5">
        <f>DATE(Table1[[#This Row],[Year]],Table1[[#This Row],[Month]],Table1[[#This Row],[Day]])</f>
        <v>45339</v>
      </c>
      <c r="C3023" s="3">
        <v>17</v>
      </c>
      <c r="D3023" s="3">
        <v>2</v>
      </c>
      <c r="E3023" s="3">
        <v>2024</v>
      </c>
      <c r="F3023" s="3" t="str">
        <f>"Qtr"&amp; " " &amp;CHOOSE(MONTH(Table1[[#This Row],[Date]]),1,1,1,2,2,2,3,3,3,4,4,4)</f>
        <v>Qtr 1</v>
      </c>
      <c r="G3023" s="3" t="str">
        <f>TEXT(Table1[[#This Row],[Date]],"mmmm")</f>
        <v>February</v>
      </c>
      <c r="H3023" s="3" t="s">
        <v>1079</v>
      </c>
      <c r="I3023" s="3" t="s">
        <v>18</v>
      </c>
      <c r="J3023" s="3">
        <v>9</v>
      </c>
      <c r="K3023" s="3">
        <v>63564.55</v>
      </c>
      <c r="L3023" s="3">
        <f>Table1[[#This Row],[Price Per Unit]]*Table1[[#This Row],[Units Sold]]</f>
        <v>572080.95000000007</v>
      </c>
      <c r="M3023" s="3" t="s">
        <v>1003</v>
      </c>
      <c r="N3023" s="3">
        <v>22</v>
      </c>
      <c r="O3023" s="3" t="s">
        <v>35</v>
      </c>
      <c r="P3023" s="3" t="s">
        <v>45</v>
      </c>
      <c r="Q3023" s="4">
        <v>3</v>
      </c>
      <c r="R3023" s="4" t="str">
        <f>IF(Table1[[#This Row],[Customer Ratings]]&gt;=4, "Good",IF(Table1[[#This Row],[Customer Ratings]]=3, "Average","Poor"))</f>
        <v>Average</v>
      </c>
      <c r="S3023" s="3" t="s">
        <v>22</v>
      </c>
    </row>
    <row r="3024" spans="1:19" x14ac:dyDescent="0.25">
      <c r="A3024" s="3">
        <v>3023</v>
      </c>
      <c r="B3024" s="5">
        <f>DATE(Table1[[#This Row],[Year]],Table1[[#This Row],[Month]],Table1[[#This Row],[Day]])</f>
        <v>45339</v>
      </c>
      <c r="C3024" s="3">
        <v>17</v>
      </c>
      <c r="D3024" s="3">
        <v>2</v>
      </c>
      <c r="E3024" s="3">
        <v>2024</v>
      </c>
      <c r="F3024" s="3" t="str">
        <f>"Qtr"&amp; " " &amp;CHOOSE(MONTH(Table1[[#This Row],[Date]]),1,1,1,2,2,2,3,3,3,4,4,4)</f>
        <v>Qtr 1</v>
      </c>
      <c r="G3024" s="3" t="str">
        <f>TEXT(Table1[[#This Row],[Date]],"mmmm")</f>
        <v>February</v>
      </c>
      <c r="H3024" s="3" t="s">
        <v>1079</v>
      </c>
      <c r="I3024" s="3" t="s">
        <v>13</v>
      </c>
      <c r="J3024" s="3">
        <v>3</v>
      </c>
      <c r="K3024" s="3">
        <v>63092.45</v>
      </c>
      <c r="L3024" s="3">
        <f>Table1[[#This Row],[Price Per Unit]]*Table1[[#This Row],[Units Sold]]</f>
        <v>189277.34999999998</v>
      </c>
      <c r="M3024" s="3" t="s">
        <v>435</v>
      </c>
      <c r="N3024" s="3">
        <v>24</v>
      </c>
      <c r="O3024" s="3" t="s">
        <v>20</v>
      </c>
      <c r="P3024" s="3" t="s">
        <v>45</v>
      </c>
      <c r="Q3024" s="4">
        <v>1</v>
      </c>
      <c r="R3024" s="4" t="str">
        <f>IF(Table1[[#This Row],[Customer Ratings]]&gt;=4, "Good",IF(Table1[[#This Row],[Customer Ratings]]=3, "Average","Poor"))</f>
        <v>Poor</v>
      </c>
      <c r="S3024" s="3" t="s">
        <v>27</v>
      </c>
    </row>
    <row r="3025" spans="1:19" x14ac:dyDescent="0.25">
      <c r="A3025" s="3">
        <v>3024</v>
      </c>
      <c r="B3025" s="5">
        <f>DATE(Table1[[#This Row],[Year]],Table1[[#This Row],[Month]],Table1[[#This Row],[Day]])</f>
        <v>45339</v>
      </c>
      <c r="C3025" s="3">
        <v>17</v>
      </c>
      <c r="D3025" s="3">
        <v>2</v>
      </c>
      <c r="E3025" s="3">
        <v>2024</v>
      </c>
      <c r="F3025" s="3" t="str">
        <f>"Qtr"&amp; " " &amp;CHOOSE(MONTH(Table1[[#This Row],[Date]]),1,1,1,2,2,2,3,3,3,4,4,4)</f>
        <v>Qtr 1</v>
      </c>
      <c r="G3025" s="3" t="str">
        <f>TEXT(Table1[[#This Row],[Date]],"mmmm")</f>
        <v>February</v>
      </c>
      <c r="H3025" s="3" t="s">
        <v>1079</v>
      </c>
      <c r="I3025" s="3" t="s">
        <v>13</v>
      </c>
      <c r="J3025" s="3">
        <v>7</v>
      </c>
      <c r="K3025" s="3">
        <v>51972.67</v>
      </c>
      <c r="L3025" s="3">
        <f>Table1[[#This Row],[Price Per Unit]]*Table1[[#This Row],[Units Sold]]</f>
        <v>363808.69</v>
      </c>
      <c r="M3025" s="3" t="s">
        <v>584</v>
      </c>
      <c r="N3025" s="3">
        <v>39</v>
      </c>
      <c r="O3025" s="3" t="s">
        <v>81</v>
      </c>
      <c r="P3025" s="3" t="s">
        <v>16</v>
      </c>
      <c r="Q3025" s="4">
        <v>1</v>
      </c>
      <c r="R3025" s="4" t="str">
        <f>IF(Table1[[#This Row],[Customer Ratings]]&gt;=4, "Good",IF(Table1[[#This Row],[Customer Ratings]]=3, "Average","Poor"))</f>
        <v>Poor</v>
      </c>
      <c r="S3025" s="3" t="s">
        <v>72</v>
      </c>
    </row>
    <row r="3026" spans="1:19" x14ac:dyDescent="0.25">
      <c r="A3026" s="3">
        <v>3025</v>
      </c>
      <c r="B3026" s="5">
        <f>DATE(Table1[[#This Row],[Year]],Table1[[#This Row],[Month]],Table1[[#This Row],[Day]])</f>
        <v>45340</v>
      </c>
      <c r="C3026" s="3">
        <v>18</v>
      </c>
      <c r="D3026" s="3">
        <v>2</v>
      </c>
      <c r="E3026" s="3">
        <v>2024</v>
      </c>
      <c r="F3026" s="3" t="str">
        <f>"Qtr"&amp; " " &amp;CHOOSE(MONTH(Table1[[#This Row],[Date]]),1,1,1,2,2,2,3,3,3,4,4,4)</f>
        <v>Qtr 1</v>
      </c>
      <c r="G3026" s="3" t="str">
        <f>TEXT(Table1[[#This Row],[Date]],"mmmm")</f>
        <v>February</v>
      </c>
      <c r="H3026" s="3" t="s">
        <v>1080</v>
      </c>
      <c r="I3026" s="3" t="s">
        <v>18</v>
      </c>
      <c r="J3026" s="3">
        <v>8</v>
      </c>
      <c r="K3026" s="3">
        <v>37946.21</v>
      </c>
      <c r="L3026" s="3">
        <f>Table1[[#This Row],[Price Per Unit]]*Table1[[#This Row],[Units Sold]]</f>
        <v>303569.68</v>
      </c>
      <c r="M3026" s="3" t="s">
        <v>496</v>
      </c>
      <c r="N3026" s="3">
        <v>44</v>
      </c>
      <c r="O3026" s="3" t="s">
        <v>24</v>
      </c>
      <c r="P3026" s="3" t="s">
        <v>45</v>
      </c>
      <c r="Q3026" s="4">
        <v>1</v>
      </c>
      <c r="R3026" s="4" t="str">
        <f>IF(Table1[[#This Row],[Customer Ratings]]&gt;=4, "Good",IF(Table1[[#This Row],[Customer Ratings]]=3, "Average","Poor"))</f>
        <v>Poor</v>
      </c>
      <c r="S3026" s="3" t="s">
        <v>22</v>
      </c>
    </row>
    <row r="3027" spans="1:19" x14ac:dyDescent="0.25">
      <c r="A3027" s="3">
        <v>3026</v>
      </c>
      <c r="B3027" s="5">
        <f>DATE(Table1[[#This Row],[Year]],Table1[[#This Row],[Month]],Table1[[#This Row],[Day]])</f>
        <v>45340</v>
      </c>
      <c r="C3027" s="3">
        <v>18</v>
      </c>
      <c r="D3027" s="3">
        <v>2</v>
      </c>
      <c r="E3027" s="3">
        <v>2024</v>
      </c>
      <c r="F3027" s="3" t="str">
        <f>"Qtr"&amp; " " &amp;CHOOSE(MONTH(Table1[[#This Row],[Date]]),1,1,1,2,2,2,3,3,3,4,4,4)</f>
        <v>Qtr 1</v>
      </c>
      <c r="G3027" s="3" t="str">
        <f>TEXT(Table1[[#This Row],[Date]],"mmmm")</f>
        <v>February</v>
      </c>
      <c r="H3027" s="3" t="s">
        <v>1080</v>
      </c>
      <c r="I3027" s="3" t="s">
        <v>13</v>
      </c>
      <c r="J3027" s="3">
        <v>2</v>
      </c>
      <c r="K3027" s="3">
        <v>40721.9</v>
      </c>
      <c r="L3027" s="3">
        <f>Table1[[#This Row],[Price Per Unit]]*Table1[[#This Row],[Units Sold]]</f>
        <v>81443.8</v>
      </c>
      <c r="M3027" s="3" t="s">
        <v>301</v>
      </c>
      <c r="N3027" s="3">
        <v>32</v>
      </c>
      <c r="O3027" s="3" t="s">
        <v>35</v>
      </c>
      <c r="P3027" s="3" t="s">
        <v>21</v>
      </c>
      <c r="Q3027" s="4">
        <v>5</v>
      </c>
      <c r="R3027" s="4" t="str">
        <f>IF(Table1[[#This Row],[Customer Ratings]]&gt;=4, "Good",IF(Table1[[#This Row],[Customer Ratings]]=3, "Average","Poor"))</f>
        <v>Good</v>
      </c>
      <c r="S3027" s="3" t="s">
        <v>17</v>
      </c>
    </row>
    <row r="3028" spans="1:19" x14ac:dyDescent="0.25">
      <c r="A3028" s="3">
        <v>3027</v>
      </c>
      <c r="B3028" s="5">
        <f>DATE(Table1[[#This Row],[Year]],Table1[[#This Row],[Month]],Table1[[#This Row],[Day]])</f>
        <v>45340</v>
      </c>
      <c r="C3028" s="3">
        <v>18</v>
      </c>
      <c r="D3028" s="3">
        <v>2</v>
      </c>
      <c r="E3028" s="3">
        <v>2024</v>
      </c>
      <c r="F3028" s="3" t="str">
        <f>"Qtr"&amp; " " &amp;CHOOSE(MONTH(Table1[[#This Row],[Date]]),1,1,1,2,2,2,3,3,3,4,4,4)</f>
        <v>Qtr 1</v>
      </c>
      <c r="G3028" s="3" t="str">
        <f>TEXT(Table1[[#This Row],[Date]],"mmmm")</f>
        <v>February</v>
      </c>
      <c r="H3028" s="3" t="s">
        <v>1080</v>
      </c>
      <c r="I3028" s="3" t="s">
        <v>33</v>
      </c>
      <c r="J3028" s="3">
        <v>6</v>
      </c>
      <c r="K3028" s="3">
        <v>18215.13</v>
      </c>
      <c r="L3028" s="3">
        <f>Table1[[#This Row],[Price Per Unit]]*Table1[[#This Row],[Units Sold]]</f>
        <v>109290.78</v>
      </c>
      <c r="M3028" s="3" t="s">
        <v>494</v>
      </c>
      <c r="N3028" s="3">
        <v>56</v>
      </c>
      <c r="O3028" s="3" t="s">
        <v>24</v>
      </c>
      <c r="P3028" s="3" t="s">
        <v>31</v>
      </c>
      <c r="Q3028" s="4">
        <v>2</v>
      </c>
      <c r="R3028" s="4" t="str">
        <f>IF(Table1[[#This Row],[Customer Ratings]]&gt;=4, "Good",IF(Table1[[#This Row],[Customer Ratings]]=3, "Average","Poor"))</f>
        <v>Poor</v>
      </c>
      <c r="S3028" s="3" t="s">
        <v>36</v>
      </c>
    </row>
    <row r="3029" spans="1:19" x14ac:dyDescent="0.25">
      <c r="A3029" s="3">
        <v>3028</v>
      </c>
      <c r="B3029" s="5">
        <f>DATE(Table1[[#This Row],[Year]],Table1[[#This Row],[Month]],Table1[[#This Row],[Day]])</f>
        <v>45340</v>
      </c>
      <c r="C3029" s="3">
        <v>18</v>
      </c>
      <c r="D3029" s="3">
        <v>2</v>
      </c>
      <c r="E3029" s="3">
        <v>2024</v>
      </c>
      <c r="F3029" s="3" t="str">
        <f>"Qtr"&amp; " " &amp;CHOOSE(MONTH(Table1[[#This Row],[Date]]),1,1,1,2,2,2,3,3,3,4,4,4)</f>
        <v>Qtr 1</v>
      </c>
      <c r="G3029" s="3" t="str">
        <f>TEXT(Table1[[#This Row],[Date]],"mmmm")</f>
        <v>February</v>
      </c>
      <c r="H3029" s="3" t="s">
        <v>1080</v>
      </c>
      <c r="I3029" s="3" t="s">
        <v>33</v>
      </c>
      <c r="J3029" s="3">
        <v>8</v>
      </c>
      <c r="K3029" s="3">
        <v>30461.03</v>
      </c>
      <c r="L3029" s="3">
        <f>Table1[[#This Row],[Price Per Unit]]*Table1[[#This Row],[Units Sold]]</f>
        <v>243688.24</v>
      </c>
      <c r="M3029" s="3" t="s">
        <v>118</v>
      </c>
      <c r="N3029" s="3">
        <v>52</v>
      </c>
      <c r="O3029" s="3" t="s">
        <v>78</v>
      </c>
      <c r="P3029" s="3" t="s">
        <v>31</v>
      </c>
      <c r="Q3029" s="4">
        <v>3</v>
      </c>
      <c r="R3029" s="4" t="str">
        <f>IF(Table1[[#This Row],[Customer Ratings]]&gt;=4, "Good",IF(Table1[[#This Row],[Customer Ratings]]=3, "Average","Poor"))</f>
        <v>Average</v>
      </c>
      <c r="S3029" s="3" t="s">
        <v>46</v>
      </c>
    </row>
    <row r="3030" spans="1:19" x14ac:dyDescent="0.25">
      <c r="A3030" s="3">
        <v>3029</v>
      </c>
      <c r="B3030" s="5">
        <f>DATE(Table1[[#This Row],[Year]],Table1[[#This Row],[Month]],Table1[[#This Row],[Day]])</f>
        <v>45341</v>
      </c>
      <c r="C3030" s="3">
        <v>19</v>
      </c>
      <c r="D3030" s="3">
        <v>2</v>
      </c>
      <c r="E3030" s="3">
        <v>2024</v>
      </c>
      <c r="F3030" s="3" t="str">
        <f>"Qtr"&amp; " " &amp;CHOOSE(MONTH(Table1[[#This Row],[Date]]),1,1,1,2,2,2,3,3,3,4,4,4)</f>
        <v>Qtr 1</v>
      </c>
      <c r="G3030" s="3" t="str">
        <f>TEXT(Table1[[#This Row],[Date]],"mmmm")</f>
        <v>February</v>
      </c>
      <c r="H3030" s="3" t="s">
        <v>1081</v>
      </c>
      <c r="I3030" s="3" t="s">
        <v>18</v>
      </c>
      <c r="J3030" s="3">
        <v>7</v>
      </c>
      <c r="K3030" s="3">
        <v>21263.68</v>
      </c>
      <c r="L3030" s="3">
        <f>Table1[[#This Row],[Price Per Unit]]*Table1[[#This Row],[Units Sold]]</f>
        <v>148845.76000000001</v>
      </c>
      <c r="M3030" s="3" t="s">
        <v>635</v>
      </c>
      <c r="N3030" s="3">
        <v>43</v>
      </c>
      <c r="O3030" s="3" t="s">
        <v>20</v>
      </c>
      <c r="P3030" s="3" t="s">
        <v>16</v>
      </c>
      <c r="Q3030" s="4">
        <v>4</v>
      </c>
      <c r="R3030" s="4" t="str">
        <f>IF(Table1[[#This Row],[Customer Ratings]]&gt;=4, "Good",IF(Table1[[#This Row],[Customer Ratings]]=3, "Average","Poor"))</f>
        <v>Good</v>
      </c>
      <c r="S3030" s="3" t="s">
        <v>22</v>
      </c>
    </row>
    <row r="3031" spans="1:19" x14ac:dyDescent="0.25">
      <c r="A3031" s="3">
        <v>3030</v>
      </c>
      <c r="B3031" s="5">
        <f>DATE(Table1[[#This Row],[Year]],Table1[[#This Row],[Month]],Table1[[#This Row],[Day]])</f>
        <v>45341</v>
      </c>
      <c r="C3031" s="3">
        <v>19</v>
      </c>
      <c r="D3031" s="3">
        <v>2</v>
      </c>
      <c r="E3031" s="3">
        <v>2024</v>
      </c>
      <c r="F3031" s="3" t="str">
        <f>"Qtr"&amp; " " &amp;CHOOSE(MONTH(Table1[[#This Row],[Date]]),1,1,1,2,2,2,3,3,3,4,4,4)</f>
        <v>Qtr 1</v>
      </c>
      <c r="G3031" s="3" t="str">
        <f>TEXT(Table1[[#This Row],[Date]],"mmmm")</f>
        <v>February</v>
      </c>
      <c r="H3031" s="3" t="s">
        <v>1081</v>
      </c>
      <c r="I3031" s="3" t="s">
        <v>13</v>
      </c>
      <c r="J3031" s="3">
        <v>3</v>
      </c>
      <c r="K3031" s="3">
        <v>59272.01</v>
      </c>
      <c r="L3031" s="3">
        <f>Table1[[#This Row],[Price Per Unit]]*Table1[[#This Row],[Units Sold]]</f>
        <v>177816.03</v>
      </c>
      <c r="M3031" s="3" t="s">
        <v>871</v>
      </c>
      <c r="N3031" s="3">
        <v>40</v>
      </c>
      <c r="O3031" s="3" t="s">
        <v>20</v>
      </c>
      <c r="P3031" s="3" t="s">
        <v>21</v>
      </c>
      <c r="Q3031" s="4">
        <v>3</v>
      </c>
      <c r="R3031" s="4" t="str">
        <f>IF(Table1[[#This Row],[Customer Ratings]]&gt;=4, "Good",IF(Table1[[#This Row],[Customer Ratings]]=3, "Average","Poor"))</f>
        <v>Average</v>
      </c>
      <c r="S3031" s="3" t="s">
        <v>72</v>
      </c>
    </row>
    <row r="3032" spans="1:19" x14ac:dyDescent="0.25">
      <c r="A3032" s="3">
        <v>3031</v>
      </c>
      <c r="B3032" s="5">
        <f>DATE(Table1[[#This Row],[Year]],Table1[[#This Row],[Month]],Table1[[#This Row],[Day]])</f>
        <v>45341</v>
      </c>
      <c r="C3032" s="3">
        <v>19</v>
      </c>
      <c r="D3032" s="3">
        <v>2</v>
      </c>
      <c r="E3032" s="3">
        <v>2024</v>
      </c>
      <c r="F3032" s="3" t="str">
        <f>"Qtr"&amp; " " &amp;CHOOSE(MONTH(Table1[[#This Row],[Date]]),1,1,1,2,2,2,3,3,3,4,4,4)</f>
        <v>Qtr 1</v>
      </c>
      <c r="G3032" s="3" t="str">
        <f>TEXT(Table1[[#This Row],[Date]],"mmmm")</f>
        <v>February</v>
      </c>
      <c r="H3032" s="3" t="s">
        <v>1081</v>
      </c>
      <c r="I3032" s="3" t="s">
        <v>33</v>
      </c>
      <c r="J3032" s="3">
        <v>1</v>
      </c>
      <c r="K3032" s="3">
        <v>64885.23</v>
      </c>
      <c r="L3032" s="3">
        <f>Table1[[#This Row],[Price Per Unit]]*Table1[[#This Row],[Units Sold]]</f>
        <v>64885.23</v>
      </c>
      <c r="M3032" s="3" t="s">
        <v>439</v>
      </c>
      <c r="N3032" s="3">
        <v>30</v>
      </c>
      <c r="O3032" s="3" t="s">
        <v>65</v>
      </c>
      <c r="P3032" s="3" t="s">
        <v>21</v>
      </c>
      <c r="Q3032" s="4">
        <v>3</v>
      </c>
      <c r="R3032" s="4" t="str">
        <f>IF(Table1[[#This Row],[Customer Ratings]]&gt;=4, "Good",IF(Table1[[#This Row],[Customer Ratings]]=3, "Average","Poor"))</f>
        <v>Average</v>
      </c>
      <c r="S3032" s="3" t="s">
        <v>36</v>
      </c>
    </row>
    <row r="3033" spans="1:19" x14ac:dyDescent="0.25">
      <c r="A3033" s="3">
        <v>3032</v>
      </c>
      <c r="B3033" s="5">
        <f>DATE(Table1[[#This Row],[Year]],Table1[[#This Row],[Month]],Table1[[#This Row],[Day]])</f>
        <v>45341</v>
      </c>
      <c r="C3033" s="3">
        <v>19</v>
      </c>
      <c r="D3033" s="3">
        <v>2</v>
      </c>
      <c r="E3033" s="3">
        <v>2024</v>
      </c>
      <c r="F3033" s="3" t="str">
        <f>"Qtr"&amp; " " &amp;CHOOSE(MONTH(Table1[[#This Row],[Date]]),1,1,1,2,2,2,3,3,3,4,4,4)</f>
        <v>Qtr 1</v>
      </c>
      <c r="G3033" s="3" t="str">
        <f>TEXT(Table1[[#This Row],[Date]],"mmmm")</f>
        <v>February</v>
      </c>
      <c r="H3033" s="3" t="s">
        <v>1081</v>
      </c>
      <c r="I3033" s="3" t="s">
        <v>33</v>
      </c>
      <c r="J3033" s="3">
        <v>6</v>
      </c>
      <c r="K3033" s="3">
        <v>42215.4</v>
      </c>
      <c r="L3033" s="3">
        <f>Table1[[#This Row],[Price Per Unit]]*Table1[[#This Row],[Units Sold]]</f>
        <v>253292.40000000002</v>
      </c>
      <c r="M3033" s="3" t="s">
        <v>1003</v>
      </c>
      <c r="N3033" s="3">
        <v>43</v>
      </c>
      <c r="O3033" s="3" t="s">
        <v>20</v>
      </c>
      <c r="P3033" s="3" t="s">
        <v>31</v>
      </c>
      <c r="Q3033" s="4">
        <v>3</v>
      </c>
      <c r="R3033" s="4" t="str">
        <f>IF(Table1[[#This Row],[Customer Ratings]]&gt;=4, "Good",IF(Table1[[#This Row],[Customer Ratings]]=3, "Average","Poor"))</f>
        <v>Average</v>
      </c>
      <c r="S3033" s="3" t="s">
        <v>36</v>
      </c>
    </row>
    <row r="3034" spans="1:19" x14ac:dyDescent="0.25">
      <c r="A3034" s="3">
        <v>3033</v>
      </c>
      <c r="B3034" s="5">
        <f>DATE(Table1[[#This Row],[Year]],Table1[[#This Row],[Month]],Table1[[#This Row],[Day]])</f>
        <v>45342</v>
      </c>
      <c r="C3034" s="3">
        <v>20</v>
      </c>
      <c r="D3034" s="3">
        <v>2</v>
      </c>
      <c r="E3034" s="3">
        <v>2024</v>
      </c>
      <c r="F3034" s="3" t="str">
        <f>"Qtr"&amp; " " &amp;CHOOSE(MONTH(Table1[[#This Row],[Date]]),1,1,1,2,2,2,3,3,3,4,4,4)</f>
        <v>Qtr 1</v>
      </c>
      <c r="G3034" s="3" t="str">
        <f>TEXT(Table1[[#This Row],[Date]],"mmmm")</f>
        <v>February</v>
      </c>
      <c r="H3034" s="3" t="s">
        <v>1082</v>
      </c>
      <c r="I3034" s="3" t="s">
        <v>28</v>
      </c>
      <c r="J3034" s="3">
        <v>8</v>
      </c>
      <c r="K3034" s="3">
        <v>53665.84</v>
      </c>
      <c r="L3034" s="3">
        <f>Table1[[#This Row],[Price Per Unit]]*Table1[[#This Row],[Units Sold]]</f>
        <v>429326.72</v>
      </c>
      <c r="M3034" s="3" t="s">
        <v>244</v>
      </c>
      <c r="N3034" s="3">
        <v>20</v>
      </c>
      <c r="O3034" s="3" t="s">
        <v>48</v>
      </c>
      <c r="P3034" s="3" t="s">
        <v>31</v>
      </c>
      <c r="Q3034" s="4">
        <v>4</v>
      </c>
      <c r="R3034" s="4" t="str">
        <f>IF(Table1[[#This Row],[Customer Ratings]]&gt;=4, "Good",IF(Table1[[#This Row],[Customer Ratings]]=3, "Average","Poor"))</f>
        <v>Good</v>
      </c>
      <c r="S3034" s="3" t="s">
        <v>32</v>
      </c>
    </row>
    <row r="3035" spans="1:19" x14ac:dyDescent="0.25">
      <c r="A3035" s="3">
        <v>3034</v>
      </c>
      <c r="B3035" s="5">
        <f>DATE(Table1[[#This Row],[Year]],Table1[[#This Row],[Month]],Table1[[#This Row],[Day]])</f>
        <v>45342</v>
      </c>
      <c r="C3035" s="3">
        <v>20</v>
      </c>
      <c r="D3035" s="3">
        <v>2</v>
      </c>
      <c r="E3035" s="3">
        <v>2024</v>
      </c>
      <c r="F3035" s="3" t="str">
        <f>"Qtr"&amp; " " &amp;CHOOSE(MONTH(Table1[[#This Row],[Date]]),1,1,1,2,2,2,3,3,3,4,4,4)</f>
        <v>Qtr 1</v>
      </c>
      <c r="G3035" s="3" t="str">
        <f>TEXT(Table1[[#This Row],[Date]],"mmmm")</f>
        <v>February</v>
      </c>
      <c r="H3035" s="3" t="s">
        <v>1082</v>
      </c>
      <c r="I3035" s="3" t="s">
        <v>28</v>
      </c>
      <c r="J3035" s="3">
        <v>6</v>
      </c>
      <c r="K3035" s="3">
        <v>17287.89</v>
      </c>
      <c r="L3035" s="3">
        <f>Table1[[#This Row],[Price Per Unit]]*Table1[[#This Row],[Units Sold]]</f>
        <v>103727.34</v>
      </c>
      <c r="M3035" s="3" t="s">
        <v>178</v>
      </c>
      <c r="N3035" s="3">
        <v>46</v>
      </c>
      <c r="O3035" s="3" t="s">
        <v>125</v>
      </c>
      <c r="P3035" s="3" t="s">
        <v>45</v>
      </c>
      <c r="Q3035" s="4">
        <v>3</v>
      </c>
      <c r="R3035" s="4" t="str">
        <f>IF(Table1[[#This Row],[Customer Ratings]]&gt;=4, "Good",IF(Table1[[#This Row],[Customer Ratings]]=3, "Average","Poor"))</f>
        <v>Average</v>
      </c>
      <c r="S3035" s="3" t="s">
        <v>32</v>
      </c>
    </row>
    <row r="3036" spans="1:19" x14ac:dyDescent="0.25">
      <c r="A3036" s="3">
        <v>3035</v>
      </c>
      <c r="B3036" s="5">
        <f>DATE(Table1[[#This Row],[Year]],Table1[[#This Row],[Month]],Table1[[#This Row],[Day]])</f>
        <v>45342</v>
      </c>
      <c r="C3036" s="3">
        <v>20</v>
      </c>
      <c r="D3036" s="3">
        <v>2</v>
      </c>
      <c r="E3036" s="3">
        <v>2024</v>
      </c>
      <c r="F3036" s="3" t="str">
        <f>"Qtr"&amp; " " &amp;CHOOSE(MONTH(Table1[[#This Row],[Date]]),1,1,1,2,2,2,3,3,3,4,4,4)</f>
        <v>Qtr 1</v>
      </c>
      <c r="G3036" s="3" t="str">
        <f>TEXT(Table1[[#This Row],[Date]],"mmmm")</f>
        <v>February</v>
      </c>
      <c r="H3036" s="3" t="s">
        <v>1082</v>
      </c>
      <c r="I3036" s="3" t="s">
        <v>33</v>
      </c>
      <c r="J3036" s="3">
        <v>5</v>
      </c>
      <c r="K3036" s="3">
        <v>46512.08</v>
      </c>
      <c r="L3036" s="3">
        <f>Table1[[#This Row],[Price Per Unit]]*Table1[[#This Row],[Units Sold]]</f>
        <v>232560.40000000002</v>
      </c>
      <c r="M3036" s="3" t="s">
        <v>630</v>
      </c>
      <c r="N3036" s="3">
        <v>19</v>
      </c>
      <c r="O3036" s="3" t="s">
        <v>81</v>
      </c>
      <c r="P3036" s="3" t="s">
        <v>16</v>
      </c>
      <c r="Q3036" s="4">
        <v>3</v>
      </c>
      <c r="R3036" s="4" t="str">
        <f>IF(Table1[[#This Row],[Customer Ratings]]&gt;=4, "Good",IF(Table1[[#This Row],[Customer Ratings]]=3, "Average","Poor"))</f>
        <v>Average</v>
      </c>
      <c r="S3036" s="3" t="s">
        <v>36</v>
      </c>
    </row>
    <row r="3037" spans="1:19" x14ac:dyDescent="0.25">
      <c r="A3037" s="3">
        <v>3036</v>
      </c>
      <c r="B3037" s="5">
        <f>DATE(Table1[[#This Row],[Year]],Table1[[#This Row],[Month]],Table1[[#This Row],[Day]])</f>
        <v>45342</v>
      </c>
      <c r="C3037" s="3">
        <v>20</v>
      </c>
      <c r="D3037" s="3">
        <v>2</v>
      </c>
      <c r="E3037" s="3">
        <v>2024</v>
      </c>
      <c r="F3037" s="3" t="str">
        <f>"Qtr"&amp; " " &amp;CHOOSE(MONTH(Table1[[#This Row],[Date]]),1,1,1,2,2,2,3,3,3,4,4,4)</f>
        <v>Qtr 1</v>
      </c>
      <c r="G3037" s="3" t="str">
        <f>TEXT(Table1[[#This Row],[Date]],"mmmm")</f>
        <v>February</v>
      </c>
      <c r="H3037" s="3" t="s">
        <v>1082</v>
      </c>
      <c r="I3037" s="3" t="s">
        <v>18</v>
      </c>
      <c r="J3037" s="3">
        <v>8</v>
      </c>
      <c r="K3037" s="3">
        <v>52167.46</v>
      </c>
      <c r="L3037" s="3">
        <f>Table1[[#This Row],[Price Per Unit]]*Table1[[#This Row],[Units Sold]]</f>
        <v>417339.68</v>
      </c>
      <c r="M3037" s="3" t="s">
        <v>894</v>
      </c>
      <c r="N3037" s="3">
        <v>45</v>
      </c>
      <c r="O3037" s="3" t="s">
        <v>81</v>
      </c>
      <c r="P3037" s="3" t="s">
        <v>31</v>
      </c>
      <c r="Q3037" s="4">
        <v>2</v>
      </c>
      <c r="R3037" s="4" t="str">
        <f>IF(Table1[[#This Row],[Customer Ratings]]&gt;=4, "Good",IF(Table1[[#This Row],[Customer Ratings]]=3, "Average","Poor"))</f>
        <v>Poor</v>
      </c>
      <c r="S3037" s="3" t="s">
        <v>22</v>
      </c>
    </row>
    <row r="3038" spans="1:19" x14ac:dyDescent="0.25">
      <c r="A3038" s="3">
        <v>3037</v>
      </c>
      <c r="B3038" s="5">
        <f>DATE(Table1[[#This Row],[Year]],Table1[[#This Row],[Month]],Table1[[#This Row],[Day]])</f>
        <v>45343</v>
      </c>
      <c r="C3038" s="3">
        <v>21</v>
      </c>
      <c r="D3038" s="3">
        <v>2</v>
      </c>
      <c r="E3038" s="3">
        <v>2024</v>
      </c>
      <c r="F3038" s="3" t="str">
        <f>"Qtr"&amp; " " &amp;CHOOSE(MONTH(Table1[[#This Row],[Date]]),1,1,1,2,2,2,3,3,3,4,4,4)</f>
        <v>Qtr 1</v>
      </c>
      <c r="G3038" s="3" t="str">
        <f>TEXT(Table1[[#This Row],[Date]],"mmmm")</f>
        <v>February</v>
      </c>
      <c r="H3038" s="3" t="s">
        <v>1083</v>
      </c>
      <c r="I3038" s="3" t="s">
        <v>39</v>
      </c>
      <c r="J3038" s="3">
        <v>2</v>
      </c>
      <c r="K3038" s="3">
        <v>37166.089999999997</v>
      </c>
      <c r="L3038" s="3">
        <f>Table1[[#This Row],[Price Per Unit]]*Table1[[#This Row],[Units Sold]]</f>
        <v>74332.179999999993</v>
      </c>
      <c r="M3038" s="3" t="s">
        <v>70</v>
      </c>
      <c r="N3038" s="3">
        <v>40</v>
      </c>
      <c r="O3038" s="3" t="s">
        <v>102</v>
      </c>
      <c r="P3038" s="3" t="s">
        <v>31</v>
      </c>
      <c r="Q3038" s="4">
        <v>2</v>
      </c>
      <c r="R3038" s="4" t="str">
        <f>IF(Table1[[#This Row],[Customer Ratings]]&gt;=4, "Good",IF(Table1[[#This Row],[Customer Ratings]]=3, "Average","Poor"))</f>
        <v>Poor</v>
      </c>
      <c r="S3038" s="3" t="s">
        <v>76</v>
      </c>
    </row>
    <row r="3039" spans="1:19" x14ac:dyDescent="0.25">
      <c r="A3039" s="3">
        <v>3038</v>
      </c>
      <c r="B3039" s="5">
        <f>DATE(Table1[[#This Row],[Year]],Table1[[#This Row],[Month]],Table1[[#This Row],[Day]])</f>
        <v>45343</v>
      </c>
      <c r="C3039" s="3">
        <v>21</v>
      </c>
      <c r="D3039" s="3">
        <v>2</v>
      </c>
      <c r="E3039" s="3">
        <v>2024</v>
      </c>
      <c r="F3039" s="3" t="str">
        <f>"Qtr"&amp; " " &amp;CHOOSE(MONTH(Table1[[#This Row],[Date]]),1,1,1,2,2,2,3,3,3,4,4,4)</f>
        <v>Qtr 1</v>
      </c>
      <c r="G3039" s="3" t="str">
        <f>TEXT(Table1[[#This Row],[Date]],"mmmm")</f>
        <v>February</v>
      </c>
      <c r="H3039" s="3" t="s">
        <v>1083</v>
      </c>
      <c r="I3039" s="3" t="s">
        <v>39</v>
      </c>
      <c r="J3039" s="3">
        <v>1</v>
      </c>
      <c r="K3039" s="3">
        <v>24596.39</v>
      </c>
      <c r="L3039" s="3">
        <f>Table1[[#This Row],[Price Per Unit]]*Table1[[#This Row],[Units Sold]]</f>
        <v>24596.39</v>
      </c>
      <c r="M3039" s="3" t="s">
        <v>344</v>
      </c>
      <c r="N3039" s="3">
        <v>53</v>
      </c>
      <c r="O3039" s="3" t="s">
        <v>20</v>
      </c>
      <c r="P3039" s="3" t="s">
        <v>21</v>
      </c>
      <c r="Q3039" s="4">
        <v>2</v>
      </c>
      <c r="R3039" s="4" t="str">
        <f>IF(Table1[[#This Row],[Customer Ratings]]&gt;=4, "Good",IF(Table1[[#This Row],[Customer Ratings]]=3, "Average","Poor"))</f>
        <v>Poor</v>
      </c>
      <c r="S3039" s="3" t="s">
        <v>76</v>
      </c>
    </row>
    <row r="3040" spans="1:19" x14ac:dyDescent="0.25">
      <c r="A3040" s="3">
        <v>3039</v>
      </c>
      <c r="B3040" s="5">
        <f>DATE(Table1[[#This Row],[Year]],Table1[[#This Row],[Month]],Table1[[#This Row],[Day]])</f>
        <v>45343</v>
      </c>
      <c r="C3040" s="3">
        <v>21</v>
      </c>
      <c r="D3040" s="3">
        <v>2</v>
      </c>
      <c r="E3040" s="3">
        <v>2024</v>
      </c>
      <c r="F3040" s="3" t="str">
        <f>"Qtr"&amp; " " &amp;CHOOSE(MONTH(Table1[[#This Row],[Date]]),1,1,1,2,2,2,3,3,3,4,4,4)</f>
        <v>Qtr 1</v>
      </c>
      <c r="G3040" s="3" t="str">
        <f>TEXT(Table1[[#This Row],[Date]],"mmmm")</f>
        <v>February</v>
      </c>
      <c r="H3040" s="3" t="s">
        <v>1083</v>
      </c>
      <c r="I3040" s="3" t="s">
        <v>33</v>
      </c>
      <c r="J3040" s="3">
        <v>1</v>
      </c>
      <c r="K3040" s="3">
        <v>62642.47</v>
      </c>
      <c r="L3040" s="3">
        <f>Table1[[#This Row],[Price Per Unit]]*Table1[[#This Row],[Units Sold]]</f>
        <v>62642.47</v>
      </c>
      <c r="M3040" s="3" t="s">
        <v>989</v>
      </c>
      <c r="N3040" s="3">
        <v>23</v>
      </c>
      <c r="O3040" s="3" t="s">
        <v>102</v>
      </c>
      <c r="P3040" s="3" t="s">
        <v>21</v>
      </c>
      <c r="Q3040" s="4">
        <v>1</v>
      </c>
      <c r="R3040" s="4" t="str">
        <f>IF(Table1[[#This Row],[Customer Ratings]]&gt;=4, "Good",IF(Table1[[#This Row],[Customer Ratings]]=3, "Average","Poor"))</f>
        <v>Poor</v>
      </c>
      <c r="S3040" s="3" t="s">
        <v>83</v>
      </c>
    </row>
    <row r="3041" spans="1:19" x14ac:dyDescent="0.25">
      <c r="A3041" s="3">
        <v>3040</v>
      </c>
      <c r="B3041" s="5">
        <f>DATE(Table1[[#This Row],[Year]],Table1[[#This Row],[Month]],Table1[[#This Row],[Day]])</f>
        <v>45344</v>
      </c>
      <c r="C3041" s="3">
        <v>22</v>
      </c>
      <c r="D3041" s="3">
        <v>2</v>
      </c>
      <c r="E3041" s="3">
        <v>2024</v>
      </c>
      <c r="F3041" s="3" t="str">
        <f>"Qtr"&amp; " " &amp;CHOOSE(MONTH(Table1[[#This Row],[Date]]),1,1,1,2,2,2,3,3,3,4,4,4)</f>
        <v>Qtr 1</v>
      </c>
      <c r="G3041" s="3" t="str">
        <f>TEXT(Table1[[#This Row],[Date]],"mmmm")</f>
        <v>February</v>
      </c>
      <c r="H3041" s="3" t="s">
        <v>1084</v>
      </c>
      <c r="I3041" s="3" t="s">
        <v>33</v>
      </c>
      <c r="J3041" s="3">
        <v>4</v>
      </c>
      <c r="K3041" s="3">
        <v>54574.52</v>
      </c>
      <c r="L3041" s="3">
        <f>Table1[[#This Row],[Price Per Unit]]*Table1[[#This Row],[Units Sold]]</f>
        <v>218298.08</v>
      </c>
      <c r="M3041" s="3" t="s">
        <v>623</v>
      </c>
      <c r="N3041" s="3">
        <v>28</v>
      </c>
      <c r="O3041" s="3" t="s">
        <v>78</v>
      </c>
      <c r="P3041" s="3" t="s">
        <v>21</v>
      </c>
      <c r="Q3041" s="4">
        <v>3</v>
      </c>
      <c r="R3041" s="4" t="str">
        <f>IF(Table1[[#This Row],[Customer Ratings]]&gt;=4, "Good",IF(Table1[[#This Row],[Customer Ratings]]=3, "Average","Poor"))</f>
        <v>Average</v>
      </c>
      <c r="S3041" s="3" t="s">
        <v>36</v>
      </c>
    </row>
    <row r="3042" spans="1:19" x14ac:dyDescent="0.25">
      <c r="A3042" s="3">
        <v>3041</v>
      </c>
      <c r="B3042" s="5">
        <f>DATE(Table1[[#This Row],[Year]],Table1[[#This Row],[Month]],Table1[[#This Row],[Day]])</f>
        <v>45344</v>
      </c>
      <c r="C3042" s="3">
        <v>22</v>
      </c>
      <c r="D3042" s="3">
        <v>2</v>
      </c>
      <c r="E3042" s="3">
        <v>2024</v>
      </c>
      <c r="F3042" s="3" t="str">
        <f>"Qtr"&amp; " " &amp;CHOOSE(MONTH(Table1[[#This Row],[Date]]),1,1,1,2,2,2,3,3,3,4,4,4)</f>
        <v>Qtr 1</v>
      </c>
      <c r="G3042" s="3" t="str">
        <f>TEXT(Table1[[#This Row],[Date]],"mmmm")</f>
        <v>February</v>
      </c>
      <c r="H3042" s="3" t="s">
        <v>1084</v>
      </c>
      <c r="I3042" s="3" t="s">
        <v>33</v>
      </c>
      <c r="J3042" s="3">
        <v>6</v>
      </c>
      <c r="K3042" s="3">
        <v>63991.44</v>
      </c>
      <c r="L3042" s="3">
        <f>Table1[[#This Row],[Price Per Unit]]*Table1[[#This Row],[Units Sold]]</f>
        <v>383948.64</v>
      </c>
      <c r="M3042" s="3" t="s">
        <v>441</v>
      </c>
      <c r="N3042" s="3">
        <v>55</v>
      </c>
      <c r="O3042" s="3" t="s">
        <v>20</v>
      </c>
      <c r="P3042" s="3" t="s">
        <v>31</v>
      </c>
      <c r="Q3042" s="4">
        <v>5</v>
      </c>
      <c r="R3042" s="4" t="str">
        <f>IF(Table1[[#This Row],[Customer Ratings]]&gt;=4, "Good",IF(Table1[[#This Row],[Customer Ratings]]=3, "Average","Poor"))</f>
        <v>Good</v>
      </c>
      <c r="S3042" s="3" t="s">
        <v>36</v>
      </c>
    </row>
    <row r="3043" spans="1:19" x14ac:dyDescent="0.25">
      <c r="A3043" s="3">
        <v>3042</v>
      </c>
      <c r="B3043" s="5">
        <f>DATE(Table1[[#This Row],[Year]],Table1[[#This Row],[Month]],Table1[[#This Row],[Day]])</f>
        <v>45344</v>
      </c>
      <c r="C3043" s="3">
        <v>22</v>
      </c>
      <c r="D3043" s="3">
        <v>2</v>
      </c>
      <c r="E3043" s="3">
        <v>2024</v>
      </c>
      <c r="F3043" s="3" t="str">
        <f>"Qtr"&amp; " " &amp;CHOOSE(MONTH(Table1[[#This Row],[Date]]),1,1,1,2,2,2,3,3,3,4,4,4)</f>
        <v>Qtr 1</v>
      </c>
      <c r="G3043" s="3" t="str">
        <f>TEXT(Table1[[#This Row],[Date]],"mmmm")</f>
        <v>February</v>
      </c>
      <c r="H3043" s="3" t="s">
        <v>1084</v>
      </c>
      <c r="I3043" s="3" t="s">
        <v>18</v>
      </c>
      <c r="J3043" s="3">
        <v>9</v>
      </c>
      <c r="K3043" s="3">
        <v>59104.160000000003</v>
      </c>
      <c r="L3043" s="3">
        <f>Table1[[#This Row],[Price Per Unit]]*Table1[[#This Row],[Units Sold]]</f>
        <v>531937.44000000006</v>
      </c>
      <c r="M3043" s="3" t="s">
        <v>861</v>
      </c>
      <c r="N3043" s="3">
        <v>51</v>
      </c>
      <c r="O3043" s="3" t="s">
        <v>54</v>
      </c>
      <c r="P3043" s="3" t="s">
        <v>16</v>
      </c>
      <c r="Q3043" s="4">
        <v>5</v>
      </c>
      <c r="R3043" s="4" t="str">
        <f>IF(Table1[[#This Row],[Customer Ratings]]&gt;=4, "Good",IF(Table1[[#This Row],[Customer Ratings]]=3, "Average","Poor"))</f>
        <v>Good</v>
      </c>
      <c r="S3043" s="3" t="s">
        <v>25</v>
      </c>
    </row>
    <row r="3044" spans="1:19" x14ac:dyDescent="0.25">
      <c r="A3044" s="3">
        <v>3043</v>
      </c>
      <c r="B3044" s="5">
        <f>DATE(Table1[[#This Row],[Year]],Table1[[#This Row],[Month]],Table1[[#This Row],[Day]])</f>
        <v>45345</v>
      </c>
      <c r="C3044" s="3">
        <v>23</v>
      </c>
      <c r="D3044" s="3">
        <v>2</v>
      </c>
      <c r="E3044" s="3">
        <v>2024</v>
      </c>
      <c r="F3044" s="3" t="str">
        <f>"Qtr"&amp; " " &amp;CHOOSE(MONTH(Table1[[#This Row],[Date]]),1,1,1,2,2,2,3,3,3,4,4,4)</f>
        <v>Qtr 1</v>
      </c>
      <c r="G3044" s="3" t="str">
        <f>TEXT(Table1[[#This Row],[Date]],"mmmm")</f>
        <v>February</v>
      </c>
      <c r="H3044" s="3" t="s">
        <v>1085</v>
      </c>
      <c r="I3044" s="3" t="s">
        <v>28</v>
      </c>
      <c r="J3044" s="3">
        <v>1</v>
      </c>
      <c r="K3044" s="3">
        <v>69422.47</v>
      </c>
      <c r="L3044" s="3">
        <f>Table1[[#This Row],[Price Per Unit]]*Table1[[#This Row],[Units Sold]]</f>
        <v>69422.47</v>
      </c>
      <c r="M3044" s="3" t="s">
        <v>727</v>
      </c>
      <c r="N3044" s="3">
        <v>34</v>
      </c>
      <c r="O3044" s="3" t="s">
        <v>20</v>
      </c>
      <c r="P3044" s="3" t="s">
        <v>45</v>
      </c>
      <c r="Q3044" s="4">
        <v>5</v>
      </c>
      <c r="R3044" s="4" t="str">
        <f>IF(Table1[[#This Row],[Customer Ratings]]&gt;=4, "Good",IF(Table1[[#This Row],[Customer Ratings]]=3, "Average","Poor"))</f>
        <v>Good</v>
      </c>
      <c r="S3044" s="3" t="s">
        <v>87</v>
      </c>
    </row>
    <row r="3045" spans="1:19" x14ac:dyDescent="0.25">
      <c r="A3045" s="3">
        <v>3044</v>
      </c>
      <c r="B3045" s="5">
        <f>DATE(Table1[[#This Row],[Year]],Table1[[#This Row],[Month]],Table1[[#This Row],[Day]])</f>
        <v>45345</v>
      </c>
      <c r="C3045" s="3">
        <v>23</v>
      </c>
      <c r="D3045" s="3">
        <v>2</v>
      </c>
      <c r="E3045" s="3">
        <v>2024</v>
      </c>
      <c r="F3045" s="3" t="str">
        <f>"Qtr"&amp; " " &amp;CHOOSE(MONTH(Table1[[#This Row],[Date]]),1,1,1,2,2,2,3,3,3,4,4,4)</f>
        <v>Qtr 1</v>
      </c>
      <c r="G3045" s="3" t="str">
        <f>TEXT(Table1[[#This Row],[Date]],"mmmm")</f>
        <v>February</v>
      </c>
      <c r="H3045" s="3" t="s">
        <v>1085</v>
      </c>
      <c r="I3045" s="3" t="s">
        <v>33</v>
      </c>
      <c r="J3045" s="3">
        <v>1</v>
      </c>
      <c r="K3045" s="3">
        <v>21530.36</v>
      </c>
      <c r="L3045" s="3">
        <f>Table1[[#This Row],[Price Per Unit]]*Table1[[#This Row],[Units Sold]]</f>
        <v>21530.36</v>
      </c>
      <c r="M3045" s="3" t="s">
        <v>1018</v>
      </c>
      <c r="N3045" s="3">
        <v>20</v>
      </c>
      <c r="O3045" s="3" t="s">
        <v>20</v>
      </c>
      <c r="P3045" s="3" t="s">
        <v>16</v>
      </c>
      <c r="Q3045" s="4">
        <v>4</v>
      </c>
      <c r="R3045" s="4" t="str">
        <f>IF(Table1[[#This Row],[Customer Ratings]]&gt;=4, "Good",IF(Table1[[#This Row],[Customer Ratings]]=3, "Average","Poor"))</f>
        <v>Good</v>
      </c>
      <c r="S3045" s="3" t="s">
        <v>36</v>
      </c>
    </row>
    <row r="3046" spans="1:19" x14ac:dyDescent="0.25">
      <c r="A3046" s="3">
        <v>3045</v>
      </c>
      <c r="B3046" s="5">
        <f>DATE(Table1[[#This Row],[Year]],Table1[[#This Row],[Month]],Table1[[#This Row],[Day]])</f>
        <v>45345</v>
      </c>
      <c r="C3046" s="3">
        <v>23</v>
      </c>
      <c r="D3046" s="3">
        <v>2</v>
      </c>
      <c r="E3046" s="3">
        <v>2024</v>
      </c>
      <c r="F3046" s="3" t="str">
        <f>"Qtr"&amp; " " &amp;CHOOSE(MONTH(Table1[[#This Row],[Date]]),1,1,1,2,2,2,3,3,3,4,4,4)</f>
        <v>Qtr 1</v>
      </c>
      <c r="G3046" s="3" t="str">
        <f>TEXT(Table1[[#This Row],[Date]],"mmmm")</f>
        <v>February</v>
      </c>
      <c r="H3046" s="3" t="s">
        <v>1085</v>
      </c>
      <c r="I3046" s="3" t="s">
        <v>33</v>
      </c>
      <c r="J3046" s="3">
        <v>5</v>
      </c>
      <c r="K3046" s="3">
        <v>15204.87</v>
      </c>
      <c r="L3046" s="3">
        <f>Table1[[#This Row],[Price Per Unit]]*Table1[[#This Row],[Units Sold]]</f>
        <v>76024.350000000006</v>
      </c>
      <c r="M3046" s="3" t="s">
        <v>655</v>
      </c>
      <c r="N3046" s="3">
        <v>51</v>
      </c>
      <c r="O3046" s="3" t="s">
        <v>105</v>
      </c>
      <c r="P3046" s="3" t="s">
        <v>31</v>
      </c>
      <c r="Q3046" s="4">
        <v>2</v>
      </c>
      <c r="R3046" s="4" t="str">
        <f>IF(Table1[[#This Row],[Customer Ratings]]&gt;=4, "Good",IF(Table1[[#This Row],[Customer Ratings]]=3, "Average","Poor"))</f>
        <v>Poor</v>
      </c>
      <c r="S3046" s="3" t="s">
        <v>36</v>
      </c>
    </row>
    <row r="3047" spans="1:19" x14ac:dyDescent="0.25">
      <c r="A3047" s="3">
        <v>3046</v>
      </c>
      <c r="B3047" s="5">
        <f>DATE(Table1[[#This Row],[Year]],Table1[[#This Row],[Month]],Table1[[#This Row],[Day]])</f>
        <v>45345</v>
      </c>
      <c r="C3047" s="3">
        <v>23</v>
      </c>
      <c r="D3047" s="3">
        <v>2</v>
      </c>
      <c r="E3047" s="3">
        <v>2024</v>
      </c>
      <c r="F3047" s="3" t="str">
        <f>"Qtr"&amp; " " &amp;CHOOSE(MONTH(Table1[[#This Row],[Date]]),1,1,1,2,2,2,3,3,3,4,4,4)</f>
        <v>Qtr 1</v>
      </c>
      <c r="G3047" s="3" t="str">
        <f>TEXT(Table1[[#This Row],[Date]],"mmmm")</f>
        <v>February</v>
      </c>
      <c r="H3047" s="3" t="s">
        <v>1085</v>
      </c>
      <c r="I3047" s="3" t="s">
        <v>13</v>
      </c>
      <c r="J3047" s="3">
        <v>5</v>
      </c>
      <c r="K3047" s="3">
        <v>30220.17</v>
      </c>
      <c r="L3047" s="3">
        <f>Table1[[#This Row],[Price Per Unit]]*Table1[[#This Row],[Units Sold]]</f>
        <v>151100.84999999998</v>
      </c>
      <c r="M3047" s="3" t="s">
        <v>996</v>
      </c>
      <c r="N3047" s="3">
        <v>39</v>
      </c>
      <c r="O3047" s="3" t="s">
        <v>24</v>
      </c>
      <c r="P3047" s="3" t="s">
        <v>45</v>
      </c>
      <c r="Q3047" s="4">
        <v>2</v>
      </c>
      <c r="R3047" s="4" t="str">
        <f>IF(Table1[[#This Row],[Customer Ratings]]&gt;=4, "Good",IF(Table1[[#This Row],[Customer Ratings]]=3, "Average","Poor"))</f>
        <v>Poor</v>
      </c>
      <c r="S3047" s="3" t="s">
        <v>72</v>
      </c>
    </row>
    <row r="3048" spans="1:19" x14ac:dyDescent="0.25">
      <c r="A3048" s="3">
        <v>3047</v>
      </c>
      <c r="B3048" s="5">
        <f>DATE(Table1[[#This Row],[Year]],Table1[[#This Row],[Month]],Table1[[#This Row],[Day]])</f>
        <v>45346</v>
      </c>
      <c r="C3048" s="3">
        <v>24</v>
      </c>
      <c r="D3048" s="3">
        <v>2</v>
      </c>
      <c r="E3048" s="3">
        <v>2024</v>
      </c>
      <c r="F3048" s="3" t="str">
        <f>"Qtr"&amp; " " &amp;CHOOSE(MONTH(Table1[[#This Row],[Date]]),1,1,1,2,2,2,3,3,3,4,4,4)</f>
        <v>Qtr 1</v>
      </c>
      <c r="G3048" s="3" t="str">
        <f>TEXT(Table1[[#This Row],[Date]],"mmmm")</f>
        <v>February</v>
      </c>
      <c r="H3048" s="3" t="s">
        <v>1079</v>
      </c>
      <c r="I3048" s="3" t="s">
        <v>18</v>
      </c>
      <c r="J3048" s="3">
        <v>5</v>
      </c>
      <c r="K3048" s="3">
        <v>17740.25</v>
      </c>
      <c r="L3048" s="3">
        <f>Table1[[#This Row],[Price Per Unit]]*Table1[[#This Row],[Units Sold]]</f>
        <v>88701.25</v>
      </c>
      <c r="M3048" s="3" t="s">
        <v>757</v>
      </c>
      <c r="N3048" s="3">
        <v>46</v>
      </c>
      <c r="O3048" s="3" t="s">
        <v>137</v>
      </c>
      <c r="P3048" s="3" t="s">
        <v>16</v>
      </c>
      <c r="Q3048" s="4">
        <v>2</v>
      </c>
      <c r="R3048" s="4" t="str">
        <f>IF(Table1[[#This Row],[Customer Ratings]]&gt;=4, "Good",IF(Table1[[#This Row],[Customer Ratings]]=3, "Average","Poor"))</f>
        <v>Poor</v>
      </c>
      <c r="S3048" s="3" t="s">
        <v>25</v>
      </c>
    </row>
    <row r="3049" spans="1:19" x14ac:dyDescent="0.25">
      <c r="A3049" s="3">
        <v>3048</v>
      </c>
      <c r="B3049" s="5">
        <f>DATE(Table1[[#This Row],[Year]],Table1[[#This Row],[Month]],Table1[[#This Row],[Day]])</f>
        <v>45346</v>
      </c>
      <c r="C3049" s="3">
        <v>24</v>
      </c>
      <c r="D3049" s="3">
        <v>2</v>
      </c>
      <c r="E3049" s="3">
        <v>2024</v>
      </c>
      <c r="F3049" s="3" t="str">
        <f>"Qtr"&amp; " " &amp;CHOOSE(MONTH(Table1[[#This Row],[Date]]),1,1,1,2,2,2,3,3,3,4,4,4)</f>
        <v>Qtr 1</v>
      </c>
      <c r="G3049" s="3" t="str">
        <f>TEXT(Table1[[#This Row],[Date]],"mmmm")</f>
        <v>February</v>
      </c>
      <c r="H3049" s="3" t="s">
        <v>1079</v>
      </c>
      <c r="I3049" s="3" t="s">
        <v>33</v>
      </c>
      <c r="J3049" s="3">
        <v>6</v>
      </c>
      <c r="K3049" s="3">
        <v>41387.81</v>
      </c>
      <c r="L3049" s="3">
        <f>Table1[[#This Row],[Price Per Unit]]*Table1[[#This Row],[Units Sold]]</f>
        <v>248326.86</v>
      </c>
      <c r="M3049" s="3" t="s">
        <v>604</v>
      </c>
      <c r="N3049" s="3">
        <v>46</v>
      </c>
      <c r="O3049" s="3" t="s">
        <v>35</v>
      </c>
      <c r="P3049" s="3" t="s">
        <v>31</v>
      </c>
      <c r="Q3049" s="4">
        <v>4</v>
      </c>
      <c r="R3049" s="4" t="str">
        <f>IF(Table1[[#This Row],[Customer Ratings]]&gt;=4, "Good",IF(Table1[[#This Row],[Customer Ratings]]=3, "Average","Poor"))</f>
        <v>Good</v>
      </c>
      <c r="S3049" s="3" t="s">
        <v>46</v>
      </c>
    </row>
    <row r="3050" spans="1:19" x14ac:dyDescent="0.25">
      <c r="A3050" s="3">
        <v>3049</v>
      </c>
      <c r="B3050" s="5">
        <f>DATE(Table1[[#This Row],[Year]],Table1[[#This Row],[Month]],Table1[[#This Row],[Day]])</f>
        <v>45346</v>
      </c>
      <c r="C3050" s="3">
        <v>24</v>
      </c>
      <c r="D3050" s="3">
        <v>2</v>
      </c>
      <c r="E3050" s="3">
        <v>2024</v>
      </c>
      <c r="F3050" s="3" t="str">
        <f>"Qtr"&amp; " " &amp;CHOOSE(MONTH(Table1[[#This Row],[Date]]),1,1,1,2,2,2,3,3,3,4,4,4)</f>
        <v>Qtr 1</v>
      </c>
      <c r="G3050" s="3" t="str">
        <f>TEXT(Table1[[#This Row],[Date]],"mmmm")</f>
        <v>February</v>
      </c>
      <c r="H3050" s="3" t="s">
        <v>1079</v>
      </c>
      <c r="I3050" s="3" t="s">
        <v>13</v>
      </c>
      <c r="J3050" s="3">
        <v>8</v>
      </c>
      <c r="K3050" s="3">
        <v>47981.73</v>
      </c>
      <c r="L3050" s="3">
        <f>Table1[[#This Row],[Price Per Unit]]*Table1[[#This Row],[Units Sold]]</f>
        <v>383853.84</v>
      </c>
      <c r="M3050" s="3" t="s">
        <v>466</v>
      </c>
      <c r="N3050" s="3">
        <v>22</v>
      </c>
      <c r="O3050" s="3" t="s">
        <v>20</v>
      </c>
      <c r="P3050" s="3" t="s">
        <v>16</v>
      </c>
      <c r="Q3050" s="4">
        <v>3</v>
      </c>
      <c r="R3050" s="4" t="str">
        <f>IF(Table1[[#This Row],[Customer Ratings]]&gt;=4, "Good",IF(Table1[[#This Row],[Customer Ratings]]=3, "Average","Poor"))</f>
        <v>Average</v>
      </c>
      <c r="S3050" s="3" t="s">
        <v>27</v>
      </c>
    </row>
    <row r="3051" spans="1:19" x14ac:dyDescent="0.25">
      <c r="A3051" s="3">
        <v>3050</v>
      </c>
      <c r="B3051" s="5">
        <f>DATE(Table1[[#This Row],[Year]],Table1[[#This Row],[Month]],Table1[[#This Row],[Day]])</f>
        <v>45347</v>
      </c>
      <c r="C3051" s="3">
        <v>25</v>
      </c>
      <c r="D3051" s="3">
        <v>2</v>
      </c>
      <c r="E3051" s="3">
        <v>2024</v>
      </c>
      <c r="F3051" s="3" t="str">
        <f>"Qtr"&amp; " " &amp;CHOOSE(MONTH(Table1[[#This Row],[Date]]),1,1,1,2,2,2,3,3,3,4,4,4)</f>
        <v>Qtr 1</v>
      </c>
      <c r="G3051" s="3" t="str">
        <f>TEXT(Table1[[#This Row],[Date]],"mmmm")</f>
        <v>February</v>
      </c>
      <c r="H3051" s="3" t="s">
        <v>1080</v>
      </c>
      <c r="I3051" s="3" t="s">
        <v>39</v>
      </c>
      <c r="J3051" s="3">
        <v>3</v>
      </c>
      <c r="K3051" s="3">
        <v>44697.32</v>
      </c>
      <c r="L3051" s="3">
        <f>Table1[[#This Row],[Price Per Unit]]*Table1[[#This Row],[Units Sold]]</f>
        <v>134091.96</v>
      </c>
      <c r="M3051" s="3" t="s">
        <v>787</v>
      </c>
      <c r="N3051" s="3">
        <v>27</v>
      </c>
      <c r="O3051" s="3" t="s">
        <v>81</v>
      </c>
      <c r="P3051" s="3" t="s">
        <v>31</v>
      </c>
      <c r="Q3051" s="4">
        <v>1</v>
      </c>
      <c r="R3051" s="4" t="str">
        <f>IF(Table1[[#This Row],[Customer Ratings]]&gt;=4, "Good",IF(Table1[[#This Row],[Customer Ratings]]=3, "Average","Poor"))</f>
        <v>Poor</v>
      </c>
      <c r="S3051" s="3" t="s">
        <v>76</v>
      </c>
    </row>
    <row r="3052" spans="1:19" x14ac:dyDescent="0.25">
      <c r="A3052" s="3">
        <v>3051</v>
      </c>
      <c r="B3052" s="5">
        <f>DATE(Table1[[#This Row],[Year]],Table1[[#This Row],[Month]],Table1[[#This Row],[Day]])</f>
        <v>45347</v>
      </c>
      <c r="C3052" s="3">
        <v>25</v>
      </c>
      <c r="D3052" s="3">
        <v>2</v>
      </c>
      <c r="E3052" s="3">
        <v>2024</v>
      </c>
      <c r="F3052" s="3" t="str">
        <f>"Qtr"&amp; " " &amp;CHOOSE(MONTH(Table1[[#This Row],[Date]]),1,1,1,2,2,2,3,3,3,4,4,4)</f>
        <v>Qtr 1</v>
      </c>
      <c r="G3052" s="3" t="str">
        <f>TEXT(Table1[[#This Row],[Date]],"mmmm")</f>
        <v>February</v>
      </c>
      <c r="H3052" s="3" t="s">
        <v>1080</v>
      </c>
      <c r="I3052" s="3" t="s">
        <v>33</v>
      </c>
      <c r="J3052" s="3">
        <v>9</v>
      </c>
      <c r="K3052" s="3">
        <v>25554.41</v>
      </c>
      <c r="L3052" s="3">
        <f>Table1[[#This Row],[Price Per Unit]]*Table1[[#This Row],[Units Sold]]</f>
        <v>229989.69</v>
      </c>
      <c r="M3052" s="3" t="s">
        <v>660</v>
      </c>
      <c r="N3052" s="3">
        <v>27</v>
      </c>
      <c r="O3052" s="3" t="s">
        <v>24</v>
      </c>
      <c r="P3052" s="3" t="s">
        <v>21</v>
      </c>
      <c r="Q3052" s="4">
        <v>2</v>
      </c>
      <c r="R3052" s="4" t="str">
        <f>IF(Table1[[#This Row],[Customer Ratings]]&gt;=4, "Good",IF(Table1[[#This Row],[Customer Ratings]]=3, "Average","Poor"))</f>
        <v>Poor</v>
      </c>
      <c r="S3052" s="3" t="s">
        <v>83</v>
      </c>
    </row>
    <row r="3053" spans="1:19" x14ac:dyDescent="0.25">
      <c r="A3053" s="3">
        <v>3052</v>
      </c>
      <c r="B3053" s="5">
        <f>DATE(Table1[[#This Row],[Year]],Table1[[#This Row],[Month]],Table1[[#This Row],[Day]])</f>
        <v>45347</v>
      </c>
      <c r="C3053" s="3">
        <v>25</v>
      </c>
      <c r="D3053" s="3">
        <v>2</v>
      </c>
      <c r="E3053" s="3">
        <v>2024</v>
      </c>
      <c r="F3053" s="3" t="str">
        <f>"Qtr"&amp; " " &amp;CHOOSE(MONTH(Table1[[#This Row],[Date]]),1,1,1,2,2,2,3,3,3,4,4,4)</f>
        <v>Qtr 1</v>
      </c>
      <c r="G3053" s="3" t="str">
        <f>TEXT(Table1[[#This Row],[Date]],"mmmm")</f>
        <v>February</v>
      </c>
      <c r="H3053" s="3" t="s">
        <v>1080</v>
      </c>
      <c r="I3053" s="3" t="s">
        <v>33</v>
      </c>
      <c r="J3053" s="3">
        <v>1</v>
      </c>
      <c r="K3053" s="3">
        <v>64529.440000000002</v>
      </c>
      <c r="L3053" s="3">
        <f>Table1[[#This Row],[Price Per Unit]]*Table1[[#This Row],[Units Sold]]</f>
        <v>64529.440000000002</v>
      </c>
      <c r="M3053" s="3" t="s">
        <v>949</v>
      </c>
      <c r="N3053" s="3">
        <v>26</v>
      </c>
      <c r="O3053" s="3" t="s">
        <v>65</v>
      </c>
      <c r="P3053" s="3" t="s">
        <v>16</v>
      </c>
      <c r="Q3053" s="4">
        <v>3</v>
      </c>
      <c r="R3053" s="4" t="str">
        <f>IF(Table1[[#This Row],[Customer Ratings]]&gt;=4, "Good",IF(Table1[[#This Row],[Customer Ratings]]=3, "Average","Poor"))</f>
        <v>Average</v>
      </c>
      <c r="S3053" s="3" t="s">
        <v>83</v>
      </c>
    </row>
    <row r="3054" spans="1:19" x14ac:dyDescent="0.25">
      <c r="A3054" s="3">
        <v>3053</v>
      </c>
      <c r="B3054" s="5">
        <f>DATE(Table1[[#This Row],[Year]],Table1[[#This Row],[Month]],Table1[[#This Row],[Day]])</f>
        <v>45347</v>
      </c>
      <c r="C3054" s="3">
        <v>25</v>
      </c>
      <c r="D3054" s="3">
        <v>2</v>
      </c>
      <c r="E3054" s="3">
        <v>2024</v>
      </c>
      <c r="F3054" s="3" t="str">
        <f>"Qtr"&amp; " " &amp;CHOOSE(MONTH(Table1[[#This Row],[Date]]),1,1,1,2,2,2,3,3,3,4,4,4)</f>
        <v>Qtr 1</v>
      </c>
      <c r="G3054" s="3" t="str">
        <f>TEXT(Table1[[#This Row],[Date]],"mmmm")</f>
        <v>February</v>
      </c>
      <c r="H3054" s="3" t="s">
        <v>1080</v>
      </c>
      <c r="I3054" s="3" t="s">
        <v>13</v>
      </c>
      <c r="J3054" s="3">
        <v>4</v>
      </c>
      <c r="K3054" s="3">
        <v>11270.34</v>
      </c>
      <c r="L3054" s="3">
        <f>Table1[[#This Row],[Price Per Unit]]*Table1[[#This Row],[Units Sold]]</f>
        <v>45081.36</v>
      </c>
      <c r="M3054" s="3" t="s">
        <v>426</v>
      </c>
      <c r="N3054" s="3">
        <v>38</v>
      </c>
      <c r="O3054" s="3" t="s">
        <v>78</v>
      </c>
      <c r="P3054" s="3" t="s">
        <v>21</v>
      </c>
      <c r="Q3054" s="4">
        <v>5</v>
      </c>
      <c r="R3054" s="4" t="str">
        <f>IF(Table1[[#This Row],[Customer Ratings]]&gt;=4, "Good",IF(Table1[[#This Row],[Customer Ratings]]=3, "Average","Poor"))</f>
        <v>Good</v>
      </c>
      <c r="S3054" s="3" t="s">
        <v>72</v>
      </c>
    </row>
    <row r="3055" spans="1:19" x14ac:dyDescent="0.25">
      <c r="A3055" s="3">
        <v>3054</v>
      </c>
      <c r="B3055" s="5">
        <f>DATE(Table1[[#This Row],[Year]],Table1[[#This Row],[Month]],Table1[[#This Row],[Day]])</f>
        <v>45348</v>
      </c>
      <c r="C3055" s="3">
        <v>26</v>
      </c>
      <c r="D3055" s="3">
        <v>2</v>
      </c>
      <c r="E3055" s="3">
        <v>2024</v>
      </c>
      <c r="F3055" s="3" t="str">
        <f>"Qtr"&amp; " " &amp;CHOOSE(MONTH(Table1[[#This Row],[Date]]),1,1,1,2,2,2,3,3,3,4,4,4)</f>
        <v>Qtr 1</v>
      </c>
      <c r="G3055" s="3" t="str">
        <f>TEXT(Table1[[#This Row],[Date]],"mmmm")</f>
        <v>February</v>
      </c>
      <c r="H3055" s="3" t="s">
        <v>1081</v>
      </c>
      <c r="I3055" s="3" t="s">
        <v>18</v>
      </c>
      <c r="J3055" s="3">
        <v>9</v>
      </c>
      <c r="K3055" s="3">
        <v>30880.799999999999</v>
      </c>
      <c r="L3055" s="3">
        <f>Table1[[#This Row],[Price Per Unit]]*Table1[[#This Row],[Units Sold]]</f>
        <v>277927.2</v>
      </c>
      <c r="M3055" s="3" t="s">
        <v>369</v>
      </c>
      <c r="N3055" s="3">
        <v>30</v>
      </c>
      <c r="O3055" s="3" t="s">
        <v>54</v>
      </c>
      <c r="P3055" s="3" t="s">
        <v>21</v>
      </c>
      <c r="Q3055" s="4">
        <v>1</v>
      </c>
      <c r="R3055" s="4" t="str">
        <f>IF(Table1[[#This Row],[Customer Ratings]]&gt;=4, "Good",IF(Table1[[#This Row],[Customer Ratings]]=3, "Average","Poor"))</f>
        <v>Poor</v>
      </c>
      <c r="S3055" s="3" t="s">
        <v>25</v>
      </c>
    </row>
    <row r="3056" spans="1:19" x14ac:dyDescent="0.25">
      <c r="A3056" s="3">
        <v>3055</v>
      </c>
      <c r="B3056" s="5">
        <f>DATE(Table1[[#This Row],[Year]],Table1[[#This Row],[Month]],Table1[[#This Row],[Day]])</f>
        <v>45348</v>
      </c>
      <c r="C3056" s="3">
        <v>26</v>
      </c>
      <c r="D3056" s="3">
        <v>2</v>
      </c>
      <c r="E3056" s="3">
        <v>2024</v>
      </c>
      <c r="F3056" s="3" t="str">
        <f>"Qtr"&amp; " " &amp;CHOOSE(MONTH(Table1[[#This Row],[Date]]),1,1,1,2,2,2,3,3,3,4,4,4)</f>
        <v>Qtr 1</v>
      </c>
      <c r="G3056" s="3" t="str">
        <f>TEXT(Table1[[#This Row],[Date]],"mmmm")</f>
        <v>February</v>
      </c>
      <c r="H3056" s="3" t="s">
        <v>1081</v>
      </c>
      <c r="I3056" s="3" t="s">
        <v>33</v>
      </c>
      <c r="J3056" s="3">
        <v>8</v>
      </c>
      <c r="K3056" s="3">
        <v>53139.55</v>
      </c>
      <c r="L3056" s="3">
        <f>Table1[[#This Row],[Price Per Unit]]*Table1[[#This Row],[Units Sold]]</f>
        <v>425116.4</v>
      </c>
      <c r="M3056" s="3" t="s">
        <v>746</v>
      </c>
      <c r="N3056" s="3">
        <v>27</v>
      </c>
      <c r="O3056" s="3" t="s">
        <v>58</v>
      </c>
      <c r="P3056" s="3" t="s">
        <v>45</v>
      </c>
      <c r="Q3056" s="4">
        <v>5</v>
      </c>
      <c r="R3056" s="4" t="str">
        <f>IF(Table1[[#This Row],[Customer Ratings]]&gt;=4, "Good",IF(Table1[[#This Row],[Customer Ratings]]=3, "Average","Poor"))</f>
        <v>Good</v>
      </c>
      <c r="S3056" s="3" t="s">
        <v>36</v>
      </c>
    </row>
    <row r="3057" spans="1:19" x14ac:dyDescent="0.25">
      <c r="A3057" s="3">
        <v>3056</v>
      </c>
      <c r="B3057" s="5">
        <f>DATE(Table1[[#This Row],[Year]],Table1[[#This Row],[Month]],Table1[[#This Row],[Day]])</f>
        <v>45348</v>
      </c>
      <c r="C3057" s="3">
        <v>26</v>
      </c>
      <c r="D3057" s="3">
        <v>2</v>
      </c>
      <c r="E3057" s="3">
        <v>2024</v>
      </c>
      <c r="F3057" s="3" t="str">
        <f>"Qtr"&amp; " " &amp;CHOOSE(MONTH(Table1[[#This Row],[Date]]),1,1,1,2,2,2,3,3,3,4,4,4)</f>
        <v>Qtr 1</v>
      </c>
      <c r="G3057" s="3" t="str">
        <f>TEXT(Table1[[#This Row],[Date]],"mmmm")</f>
        <v>February</v>
      </c>
      <c r="H3057" s="3" t="s">
        <v>1081</v>
      </c>
      <c r="I3057" s="3" t="s">
        <v>39</v>
      </c>
      <c r="J3057" s="3">
        <v>9</v>
      </c>
      <c r="K3057" s="3">
        <v>56015.74</v>
      </c>
      <c r="L3057" s="3">
        <f>Table1[[#This Row],[Price Per Unit]]*Table1[[#This Row],[Units Sold]]</f>
        <v>504141.66</v>
      </c>
      <c r="M3057" s="3" t="s">
        <v>774</v>
      </c>
      <c r="N3057" s="3">
        <v>55</v>
      </c>
      <c r="O3057" s="3" t="s">
        <v>65</v>
      </c>
      <c r="P3057" s="3" t="s">
        <v>45</v>
      </c>
      <c r="Q3057" s="4">
        <v>3</v>
      </c>
      <c r="R3057" s="4" t="str">
        <f>IF(Table1[[#This Row],[Customer Ratings]]&gt;=4, "Good",IF(Table1[[#This Row],[Customer Ratings]]=3, "Average","Poor"))</f>
        <v>Average</v>
      </c>
      <c r="S3057" s="3" t="s">
        <v>76</v>
      </c>
    </row>
    <row r="3058" spans="1:19" x14ac:dyDescent="0.25">
      <c r="A3058" s="3">
        <v>3057</v>
      </c>
      <c r="B3058" s="5">
        <f>DATE(Table1[[#This Row],[Year]],Table1[[#This Row],[Month]],Table1[[#This Row],[Day]])</f>
        <v>45349</v>
      </c>
      <c r="C3058" s="3">
        <v>27</v>
      </c>
      <c r="D3058" s="3">
        <v>2</v>
      </c>
      <c r="E3058" s="3">
        <v>2024</v>
      </c>
      <c r="F3058" s="3" t="str">
        <f>"Qtr"&amp; " " &amp;CHOOSE(MONTH(Table1[[#This Row],[Date]]),1,1,1,2,2,2,3,3,3,4,4,4)</f>
        <v>Qtr 1</v>
      </c>
      <c r="G3058" s="3" t="str">
        <f>TEXT(Table1[[#This Row],[Date]],"mmmm")</f>
        <v>February</v>
      </c>
      <c r="H3058" s="3" t="s">
        <v>1082</v>
      </c>
      <c r="I3058" s="3" t="s">
        <v>33</v>
      </c>
      <c r="J3058" s="3">
        <v>1</v>
      </c>
      <c r="K3058" s="3">
        <v>34967.11</v>
      </c>
      <c r="L3058" s="3">
        <f>Table1[[#This Row],[Price Per Unit]]*Table1[[#This Row],[Units Sold]]</f>
        <v>34967.11</v>
      </c>
      <c r="M3058" s="3" t="s">
        <v>374</v>
      </c>
      <c r="N3058" s="3">
        <v>28</v>
      </c>
      <c r="O3058" s="3" t="s">
        <v>120</v>
      </c>
      <c r="P3058" s="3" t="s">
        <v>16</v>
      </c>
      <c r="Q3058" s="4">
        <v>3</v>
      </c>
      <c r="R3058" s="4" t="str">
        <f>IF(Table1[[#This Row],[Customer Ratings]]&gt;=4, "Good",IF(Table1[[#This Row],[Customer Ratings]]=3, "Average","Poor"))</f>
        <v>Average</v>
      </c>
      <c r="S3058" s="3" t="s">
        <v>46</v>
      </c>
    </row>
    <row r="3059" spans="1:19" x14ac:dyDescent="0.25">
      <c r="A3059" s="3">
        <v>3058</v>
      </c>
      <c r="B3059" s="5">
        <f>DATE(Table1[[#This Row],[Year]],Table1[[#This Row],[Month]],Table1[[#This Row],[Day]])</f>
        <v>45349</v>
      </c>
      <c r="C3059" s="3">
        <v>27</v>
      </c>
      <c r="D3059" s="3">
        <v>2</v>
      </c>
      <c r="E3059" s="3">
        <v>2024</v>
      </c>
      <c r="F3059" s="3" t="str">
        <f>"Qtr"&amp; " " &amp;CHOOSE(MONTH(Table1[[#This Row],[Date]]),1,1,1,2,2,2,3,3,3,4,4,4)</f>
        <v>Qtr 1</v>
      </c>
      <c r="G3059" s="3" t="str">
        <f>TEXT(Table1[[#This Row],[Date]],"mmmm")</f>
        <v>February</v>
      </c>
      <c r="H3059" s="3" t="s">
        <v>1082</v>
      </c>
      <c r="I3059" s="3" t="s">
        <v>39</v>
      </c>
      <c r="J3059" s="3">
        <v>9</v>
      </c>
      <c r="K3059" s="3">
        <v>11014.59</v>
      </c>
      <c r="L3059" s="3">
        <f>Table1[[#This Row],[Price Per Unit]]*Table1[[#This Row],[Units Sold]]</f>
        <v>99131.31</v>
      </c>
      <c r="M3059" s="3" t="s">
        <v>1019</v>
      </c>
      <c r="N3059" s="3">
        <v>21</v>
      </c>
      <c r="O3059" s="3" t="s">
        <v>81</v>
      </c>
      <c r="P3059" s="3" t="s">
        <v>31</v>
      </c>
      <c r="Q3059" s="4">
        <v>5</v>
      </c>
      <c r="R3059" s="4" t="str">
        <f>IF(Table1[[#This Row],[Customer Ratings]]&gt;=4, "Good",IF(Table1[[#This Row],[Customer Ratings]]=3, "Average","Poor"))</f>
        <v>Good</v>
      </c>
      <c r="S3059" s="3" t="s">
        <v>42</v>
      </c>
    </row>
    <row r="3060" spans="1:19" x14ac:dyDescent="0.25">
      <c r="A3060" s="3">
        <v>3059</v>
      </c>
      <c r="B3060" s="5">
        <f>DATE(Table1[[#This Row],[Year]],Table1[[#This Row],[Month]],Table1[[#This Row],[Day]])</f>
        <v>45349</v>
      </c>
      <c r="C3060" s="3">
        <v>27</v>
      </c>
      <c r="D3060" s="3">
        <v>2</v>
      </c>
      <c r="E3060" s="3">
        <v>2024</v>
      </c>
      <c r="F3060" s="3" t="str">
        <f>"Qtr"&amp; " " &amp;CHOOSE(MONTH(Table1[[#This Row],[Date]]),1,1,1,2,2,2,3,3,3,4,4,4)</f>
        <v>Qtr 1</v>
      </c>
      <c r="G3060" s="3" t="str">
        <f>TEXT(Table1[[#This Row],[Date]],"mmmm")</f>
        <v>February</v>
      </c>
      <c r="H3060" s="3" t="s">
        <v>1082</v>
      </c>
      <c r="I3060" s="3" t="s">
        <v>28</v>
      </c>
      <c r="J3060" s="3">
        <v>3</v>
      </c>
      <c r="K3060" s="3">
        <v>47082.62</v>
      </c>
      <c r="L3060" s="3">
        <f>Table1[[#This Row],[Price Per Unit]]*Table1[[#This Row],[Units Sold]]</f>
        <v>141247.86000000002</v>
      </c>
      <c r="M3060" s="3" t="s">
        <v>787</v>
      </c>
      <c r="N3060" s="3">
        <v>48</v>
      </c>
      <c r="O3060" s="3" t="s">
        <v>48</v>
      </c>
      <c r="P3060" s="3" t="s">
        <v>45</v>
      </c>
      <c r="Q3060" s="4">
        <v>1</v>
      </c>
      <c r="R3060" s="4" t="str">
        <f>IF(Table1[[#This Row],[Customer Ratings]]&gt;=4, "Good",IF(Table1[[#This Row],[Customer Ratings]]=3, "Average","Poor"))</f>
        <v>Poor</v>
      </c>
      <c r="S3060" s="3" t="s">
        <v>32</v>
      </c>
    </row>
    <row r="3061" spans="1:19" x14ac:dyDescent="0.25">
      <c r="A3061" s="3">
        <v>3060</v>
      </c>
      <c r="B3061" s="5">
        <f>DATE(Table1[[#This Row],[Year]],Table1[[#This Row],[Month]],Table1[[#This Row],[Day]])</f>
        <v>45349</v>
      </c>
      <c r="C3061" s="3">
        <v>27</v>
      </c>
      <c r="D3061" s="3">
        <v>2</v>
      </c>
      <c r="E3061" s="3">
        <v>2024</v>
      </c>
      <c r="F3061" s="3" t="str">
        <f>"Qtr"&amp; " " &amp;CHOOSE(MONTH(Table1[[#This Row],[Date]]),1,1,1,2,2,2,3,3,3,4,4,4)</f>
        <v>Qtr 1</v>
      </c>
      <c r="G3061" s="3" t="str">
        <f>TEXT(Table1[[#This Row],[Date]],"mmmm")</f>
        <v>February</v>
      </c>
      <c r="H3061" s="3" t="s">
        <v>1082</v>
      </c>
      <c r="I3061" s="3" t="s">
        <v>28</v>
      </c>
      <c r="J3061" s="3">
        <v>9</v>
      </c>
      <c r="K3061" s="3">
        <v>13785.68</v>
      </c>
      <c r="L3061" s="3">
        <f>Table1[[#This Row],[Price Per Unit]]*Table1[[#This Row],[Units Sold]]</f>
        <v>124071.12</v>
      </c>
      <c r="M3061" s="3" t="s">
        <v>998</v>
      </c>
      <c r="N3061" s="3">
        <v>51</v>
      </c>
      <c r="O3061" s="3" t="s">
        <v>24</v>
      </c>
      <c r="P3061" s="3" t="s">
        <v>45</v>
      </c>
      <c r="Q3061" s="4">
        <v>5</v>
      </c>
      <c r="R3061" s="4" t="str">
        <f>IF(Table1[[#This Row],[Customer Ratings]]&gt;=4, "Good",IF(Table1[[#This Row],[Customer Ratings]]=3, "Average","Poor"))</f>
        <v>Good</v>
      </c>
      <c r="S3061" s="3" t="s">
        <v>32</v>
      </c>
    </row>
    <row r="3062" spans="1:19" x14ac:dyDescent="0.25">
      <c r="A3062" s="3">
        <v>3061</v>
      </c>
      <c r="B3062" s="5">
        <f>DATE(Table1[[#This Row],[Year]],Table1[[#This Row],[Month]],Table1[[#This Row],[Day]])</f>
        <v>45350</v>
      </c>
      <c r="C3062" s="3">
        <v>28</v>
      </c>
      <c r="D3062" s="3">
        <v>2</v>
      </c>
      <c r="E3062" s="3">
        <v>2024</v>
      </c>
      <c r="F3062" s="3" t="str">
        <f>"Qtr"&amp; " " &amp;CHOOSE(MONTH(Table1[[#This Row],[Date]]),1,1,1,2,2,2,3,3,3,4,4,4)</f>
        <v>Qtr 1</v>
      </c>
      <c r="G3062" s="3" t="str">
        <f>TEXT(Table1[[#This Row],[Date]],"mmmm")</f>
        <v>February</v>
      </c>
      <c r="H3062" s="3" t="s">
        <v>1083</v>
      </c>
      <c r="I3062" s="3" t="s">
        <v>39</v>
      </c>
      <c r="J3062" s="3">
        <v>1</v>
      </c>
      <c r="K3062" s="3">
        <v>16471.349999999999</v>
      </c>
      <c r="L3062" s="3">
        <f>Table1[[#This Row],[Price Per Unit]]*Table1[[#This Row],[Units Sold]]</f>
        <v>16471.349999999999</v>
      </c>
      <c r="M3062" s="3" t="s">
        <v>408</v>
      </c>
      <c r="N3062" s="3">
        <v>59</v>
      </c>
      <c r="O3062" s="3" t="s">
        <v>24</v>
      </c>
      <c r="P3062" s="3" t="s">
        <v>21</v>
      </c>
      <c r="Q3062" s="4">
        <v>5</v>
      </c>
      <c r="R3062" s="4" t="str">
        <f>IF(Table1[[#This Row],[Customer Ratings]]&gt;=4, "Good",IF(Table1[[#This Row],[Customer Ratings]]=3, "Average","Poor"))</f>
        <v>Good</v>
      </c>
      <c r="S3062" s="3" t="s">
        <v>42</v>
      </c>
    </row>
    <row r="3063" spans="1:19" x14ac:dyDescent="0.25">
      <c r="A3063" s="3">
        <v>3062</v>
      </c>
      <c r="B3063" s="5">
        <f>DATE(Table1[[#This Row],[Year]],Table1[[#This Row],[Month]],Table1[[#This Row],[Day]])</f>
        <v>45350</v>
      </c>
      <c r="C3063" s="3">
        <v>28</v>
      </c>
      <c r="D3063" s="3">
        <v>2</v>
      </c>
      <c r="E3063" s="3">
        <v>2024</v>
      </c>
      <c r="F3063" s="3" t="str">
        <f>"Qtr"&amp; " " &amp;CHOOSE(MONTH(Table1[[#This Row],[Date]]),1,1,1,2,2,2,3,3,3,4,4,4)</f>
        <v>Qtr 1</v>
      </c>
      <c r="G3063" s="3" t="str">
        <f>TEXT(Table1[[#This Row],[Date]],"mmmm")</f>
        <v>February</v>
      </c>
      <c r="H3063" s="3" t="s">
        <v>1083</v>
      </c>
      <c r="I3063" s="3" t="s">
        <v>18</v>
      </c>
      <c r="J3063" s="3">
        <v>1</v>
      </c>
      <c r="K3063" s="3">
        <v>49015.040000000001</v>
      </c>
      <c r="L3063" s="3">
        <f>Table1[[#This Row],[Price Per Unit]]*Table1[[#This Row],[Units Sold]]</f>
        <v>49015.040000000001</v>
      </c>
      <c r="M3063" s="3" t="s">
        <v>210</v>
      </c>
      <c r="N3063" s="3">
        <v>52</v>
      </c>
      <c r="O3063" s="3" t="s">
        <v>98</v>
      </c>
      <c r="P3063" s="3" t="s">
        <v>21</v>
      </c>
      <c r="Q3063" s="4">
        <v>5</v>
      </c>
      <c r="R3063" s="4" t="str">
        <f>IF(Table1[[#This Row],[Customer Ratings]]&gt;=4, "Good",IF(Table1[[#This Row],[Customer Ratings]]=3, "Average","Poor"))</f>
        <v>Good</v>
      </c>
      <c r="S3063" s="3" t="s">
        <v>25</v>
      </c>
    </row>
    <row r="3064" spans="1:19" x14ac:dyDescent="0.25">
      <c r="A3064" s="3">
        <v>3063</v>
      </c>
      <c r="B3064" s="5">
        <f>DATE(Table1[[#This Row],[Year]],Table1[[#This Row],[Month]],Table1[[#This Row],[Day]])</f>
        <v>45350</v>
      </c>
      <c r="C3064" s="3">
        <v>28</v>
      </c>
      <c r="D3064" s="3">
        <v>2</v>
      </c>
      <c r="E3064" s="3">
        <v>2024</v>
      </c>
      <c r="F3064" s="3" t="str">
        <f>"Qtr"&amp; " " &amp;CHOOSE(MONTH(Table1[[#This Row],[Date]]),1,1,1,2,2,2,3,3,3,4,4,4)</f>
        <v>Qtr 1</v>
      </c>
      <c r="G3064" s="3" t="str">
        <f>TEXT(Table1[[#This Row],[Date]],"mmmm")</f>
        <v>February</v>
      </c>
      <c r="H3064" s="3" t="s">
        <v>1083</v>
      </c>
      <c r="I3064" s="3" t="s">
        <v>33</v>
      </c>
      <c r="J3064" s="3">
        <v>9</v>
      </c>
      <c r="K3064" s="3">
        <v>28749.3</v>
      </c>
      <c r="L3064" s="3">
        <f>Table1[[#This Row],[Price Per Unit]]*Table1[[#This Row],[Units Sold]]</f>
        <v>258743.69999999998</v>
      </c>
      <c r="M3064" s="3" t="s">
        <v>457</v>
      </c>
      <c r="N3064" s="3">
        <v>56</v>
      </c>
      <c r="O3064" s="3" t="s">
        <v>20</v>
      </c>
      <c r="P3064" s="3" t="s">
        <v>31</v>
      </c>
      <c r="Q3064" s="4">
        <v>1</v>
      </c>
      <c r="R3064" s="4" t="str">
        <f>IF(Table1[[#This Row],[Customer Ratings]]&gt;=4, "Good",IF(Table1[[#This Row],[Customer Ratings]]=3, "Average","Poor"))</f>
        <v>Poor</v>
      </c>
      <c r="S3064" s="3" t="s">
        <v>83</v>
      </c>
    </row>
    <row r="3065" spans="1:19" x14ac:dyDescent="0.25">
      <c r="A3065" s="3">
        <v>3064</v>
      </c>
      <c r="B3065" s="5">
        <f>DATE(Table1[[#This Row],[Year]],Table1[[#This Row],[Month]],Table1[[#This Row],[Day]])</f>
        <v>45350</v>
      </c>
      <c r="C3065" s="3">
        <v>28</v>
      </c>
      <c r="D3065" s="3">
        <v>2</v>
      </c>
      <c r="E3065" s="3">
        <v>2024</v>
      </c>
      <c r="F3065" s="3" t="str">
        <f>"Qtr"&amp; " " &amp;CHOOSE(MONTH(Table1[[#This Row],[Date]]),1,1,1,2,2,2,3,3,3,4,4,4)</f>
        <v>Qtr 1</v>
      </c>
      <c r="G3065" s="3" t="str">
        <f>TEXT(Table1[[#This Row],[Date]],"mmmm")</f>
        <v>February</v>
      </c>
      <c r="H3065" s="3" t="s">
        <v>1083</v>
      </c>
      <c r="I3065" s="3" t="s">
        <v>33</v>
      </c>
      <c r="J3065" s="3">
        <v>6</v>
      </c>
      <c r="K3065" s="3">
        <v>30881.81</v>
      </c>
      <c r="L3065" s="3">
        <f>Table1[[#This Row],[Price Per Unit]]*Table1[[#This Row],[Units Sold]]</f>
        <v>185290.86000000002</v>
      </c>
      <c r="M3065" s="3" t="s">
        <v>1020</v>
      </c>
      <c r="N3065" s="3">
        <v>56</v>
      </c>
      <c r="O3065" s="3" t="s">
        <v>20</v>
      </c>
      <c r="P3065" s="3" t="s">
        <v>45</v>
      </c>
      <c r="Q3065" s="4">
        <v>4</v>
      </c>
      <c r="R3065" s="4" t="str">
        <f>IF(Table1[[#This Row],[Customer Ratings]]&gt;=4, "Good",IF(Table1[[#This Row],[Customer Ratings]]=3, "Average","Poor"))</f>
        <v>Good</v>
      </c>
      <c r="S3065" s="3" t="s">
        <v>36</v>
      </c>
    </row>
    <row r="3066" spans="1:19" x14ac:dyDescent="0.25">
      <c r="A3066" s="3">
        <v>3065</v>
      </c>
      <c r="B3066" s="5">
        <f>DATE(Table1[[#This Row],[Year]],Table1[[#This Row],[Month]],Table1[[#This Row],[Day]])</f>
        <v>45351</v>
      </c>
      <c r="C3066" s="3">
        <v>29</v>
      </c>
      <c r="D3066" s="3">
        <v>2</v>
      </c>
      <c r="E3066" s="3">
        <v>2024</v>
      </c>
      <c r="F3066" s="3" t="str">
        <f>"Qtr"&amp; " " &amp;CHOOSE(MONTH(Table1[[#This Row],[Date]]),1,1,1,2,2,2,3,3,3,4,4,4)</f>
        <v>Qtr 1</v>
      </c>
      <c r="G3066" s="3" t="str">
        <f>TEXT(Table1[[#This Row],[Date]],"mmmm")</f>
        <v>February</v>
      </c>
      <c r="H3066" s="3" t="s">
        <v>1084</v>
      </c>
      <c r="I3066" s="3" t="s">
        <v>28</v>
      </c>
      <c r="J3066" s="3">
        <v>4</v>
      </c>
      <c r="K3066" s="3">
        <v>39208.42</v>
      </c>
      <c r="L3066" s="3">
        <f>Table1[[#This Row],[Price Per Unit]]*Table1[[#This Row],[Units Sold]]</f>
        <v>156833.68</v>
      </c>
      <c r="M3066" s="3" t="s">
        <v>175</v>
      </c>
      <c r="N3066" s="3">
        <v>50</v>
      </c>
      <c r="O3066" s="3" t="s">
        <v>20</v>
      </c>
      <c r="P3066" s="3" t="s">
        <v>45</v>
      </c>
      <c r="Q3066" s="4">
        <v>1</v>
      </c>
      <c r="R3066" s="4" t="str">
        <f>IF(Table1[[#This Row],[Customer Ratings]]&gt;=4, "Good",IF(Table1[[#This Row],[Customer Ratings]]=3, "Average","Poor"))</f>
        <v>Poor</v>
      </c>
      <c r="S3066" s="3" t="s">
        <v>87</v>
      </c>
    </row>
    <row r="3067" spans="1:19" x14ac:dyDescent="0.25">
      <c r="A3067" s="3">
        <v>3066</v>
      </c>
      <c r="B3067" s="5">
        <f>DATE(Table1[[#This Row],[Year]],Table1[[#This Row],[Month]],Table1[[#This Row],[Day]])</f>
        <v>45351</v>
      </c>
      <c r="C3067" s="3">
        <v>29</v>
      </c>
      <c r="D3067" s="3">
        <v>2</v>
      </c>
      <c r="E3067" s="3">
        <v>2024</v>
      </c>
      <c r="F3067" s="3" t="str">
        <f>"Qtr"&amp; " " &amp;CHOOSE(MONTH(Table1[[#This Row],[Date]]),1,1,1,2,2,2,3,3,3,4,4,4)</f>
        <v>Qtr 1</v>
      </c>
      <c r="G3067" s="3" t="str">
        <f>TEXT(Table1[[#This Row],[Date]],"mmmm")</f>
        <v>February</v>
      </c>
      <c r="H3067" s="3" t="s">
        <v>1084</v>
      </c>
      <c r="I3067" s="3" t="s">
        <v>39</v>
      </c>
      <c r="J3067" s="3">
        <v>7</v>
      </c>
      <c r="K3067" s="3">
        <v>68714.7</v>
      </c>
      <c r="L3067" s="3">
        <f>Table1[[#This Row],[Price Per Unit]]*Table1[[#This Row],[Units Sold]]</f>
        <v>481002.89999999997</v>
      </c>
      <c r="M3067" s="3" t="s">
        <v>164</v>
      </c>
      <c r="N3067" s="3">
        <v>25</v>
      </c>
      <c r="O3067" s="3" t="s">
        <v>48</v>
      </c>
      <c r="P3067" s="3" t="s">
        <v>31</v>
      </c>
      <c r="Q3067" s="4">
        <v>5</v>
      </c>
      <c r="R3067" s="4" t="str">
        <f>IF(Table1[[#This Row],[Customer Ratings]]&gt;=4, "Good",IF(Table1[[#This Row],[Customer Ratings]]=3, "Average","Poor"))</f>
        <v>Good</v>
      </c>
      <c r="S3067" s="3" t="s">
        <v>76</v>
      </c>
    </row>
    <row r="3068" spans="1:19" x14ac:dyDescent="0.25">
      <c r="A3068" s="3">
        <v>3067</v>
      </c>
      <c r="B3068" s="5">
        <f>DATE(Table1[[#This Row],[Year]],Table1[[#This Row],[Month]],Table1[[#This Row],[Day]])</f>
        <v>45351</v>
      </c>
      <c r="C3068" s="3">
        <v>29</v>
      </c>
      <c r="D3068" s="3">
        <v>2</v>
      </c>
      <c r="E3068" s="3">
        <v>2024</v>
      </c>
      <c r="F3068" s="3" t="str">
        <f>"Qtr"&amp; " " &amp;CHOOSE(MONTH(Table1[[#This Row],[Date]]),1,1,1,2,2,2,3,3,3,4,4,4)</f>
        <v>Qtr 1</v>
      </c>
      <c r="G3068" s="3" t="str">
        <f>TEXT(Table1[[#This Row],[Date]],"mmmm")</f>
        <v>February</v>
      </c>
      <c r="H3068" s="3" t="s">
        <v>1084</v>
      </c>
      <c r="I3068" s="3" t="s">
        <v>33</v>
      </c>
      <c r="J3068" s="3">
        <v>5</v>
      </c>
      <c r="K3068" s="3">
        <v>67926.53</v>
      </c>
      <c r="L3068" s="3">
        <f>Table1[[#This Row],[Price Per Unit]]*Table1[[#This Row],[Units Sold]]</f>
        <v>339632.65</v>
      </c>
      <c r="M3068" s="3" t="s">
        <v>512</v>
      </c>
      <c r="N3068" s="3">
        <v>49</v>
      </c>
      <c r="O3068" s="3" t="s">
        <v>81</v>
      </c>
      <c r="P3068" s="3" t="s">
        <v>45</v>
      </c>
      <c r="Q3068" s="4">
        <v>2</v>
      </c>
      <c r="R3068" s="4" t="str">
        <f>IF(Table1[[#This Row],[Customer Ratings]]&gt;=4, "Good",IF(Table1[[#This Row],[Customer Ratings]]=3, "Average","Poor"))</f>
        <v>Poor</v>
      </c>
      <c r="S3068" s="3" t="s">
        <v>36</v>
      </c>
    </row>
    <row r="3069" spans="1:19" x14ac:dyDescent="0.25">
      <c r="A3069" s="3">
        <v>3068</v>
      </c>
      <c r="B3069" s="5">
        <f>DATE(Table1[[#This Row],[Year]],Table1[[#This Row],[Month]],Table1[[#This Row],[Day]])</f>
        <v>45352</v>
      </c>
      <c r="C3069" s="3">
        <v>1</v>
      </c>
      <c r="D3069" s="3">
        <v>3</v>
      </c>
      <c r="E3069" s="3">
        <v>2024</v>
      </c>
      <c r="F3069" s="3" t="str">
        <f>"Qtr"&amp; " " &amp;CHOOSE(MONTH(Table1[[#This Row],[Date]]),1,1,1,2,2,2,3,3,3,4,4,4)</f>
        <v>Qtr 1</v>
      </c>
      <c r="G3069" s="3" t="str">
        <f>TEXT(Table1[[#This Row],[Date]],"mmmm")</f>
        <v>March</v>
      </c>
      <c r="H3069" s="3" t="s">
        <v>1085</v>
      </c>
      <c r="I3069" s="3" t="s">
        <v>33</v>
      </c>
      <c r="J3069" s="3">
        <v>7</v>
      </c>
      <c r="K3069" s="3">
        <v>34975.660000000003</v>
      </c>
      <c r="L3069" s="3">
        <f>Table1[[#This Row],[Price Per Unit]]*Table1[[#This Row],[Units Sold]]</f>
        <v>244829.62000000002</v>
      </c>
      <c r="M3069" s="3" t="s">
        <v>792</v>
      </c>
      <c r="N3069" s="3">
        <v>50</v>
      </c>
      <c r="O3069" s="3" t="s">
        <v>20</v>
      </c>
      <c r="P3069" s="3" t="s">
        <v>16</v>
      </c>
      <c r="Q3069" s="4">
        <v>2</v>
      </c>
      <c r="R3069" s="4" t="str">
        <f>IF(Table1[[#This Row],[Customer Ratings]]&gt;=4, "Good",IF(Table1[[#This Row],[Customer Ratings]]=3, "Average","Poor"))</f>
        <v>Poor</v>
      </c>
      <c r="S3069" s="3" t="s">
        <v>83</v>
      </c>
    </row>
    <row r="3070" spans="1:19" x14ac:dyDescent="0.25">
      <c r="A3070" s="3">
        <v>3069</v>
      </c>
      <c r="B3070" s="5">
        <f>DATE(Table1[[#This Row],[Year]],Table1[[#This Row],[Month]],Table1[[#This Row],[Day]])</f>
        <v>45352</v>
      </c>
      <c r="C3070" s="3">
        <v>1</v>
      </c>
      <c r="D3070" s="3">
        <v>3</v>
      </c>
      <c r="E3070" s="3">
        <v>2024</v>
      </c>
      <c r="F3070" s="3" t="str">
        <f>"Qtr"&amp; " " &amp;CHOOSE(MONTH(Table1[[#This Row],[Date]]),1,1,1,2,2,2,3,3,3,4,4,4)</f>
        <v>Qtr 1</v>
      </c>
      <c r="G3070" s="3" t="str">
        <f>TEXT(Table1[[#This Row],[Date]],"mmmm")</f>
        <v>March</v>
      </c>
      <c r="H3070" s="3" t="s">
        <v>1085</v>
      </c>
      <c r="I3070" s="3" t="s">
        <v>18</v>
      </c>
      <c r="J3070" s="3">
        <v>8</v>
      </c>
      <c r="K3070" s="3">
        <v>25929.95</v>
      </c>
      <c r="L3070" s="3">
        <f>Table1[[#This Row],[Price Per Unit]]*Table1[[#This Row],[Units Sold]]</f>
        <v>207439.6</v>
      </c>
      <c r="M3070" s="3" t="s">
        <v>517</v>
      </c>
      <c r="N3070" s="3">
        <v>25</v>
      </c>
      <c r="O3070" s="3" t="s">
        <v>41</v>
      </c>
      <c r="P3070" s="3" t="s">
        <v>16</v>
      </c>
      <c r="Q3070" s="4">
        <v>3</v>
      </c>
      <c r="R3070" s="4" t="str">
        <f>IF(Table1[[#This Row],[Customer Ratings]]&gt;=4, "Good",IF(Table1[[#This Row],[Customer Ratings]]=3, "Average","Poor"))</f>
        <v>Average</v>
      </c>
      <c r="S3070" s="3" t="s">
        <v>55</v>
      </c>
    </row>
    <row r="3071" spans="1:19" x14ac:dyDescent="0.25">
      <c r="A3071" s="3">
        <v>3070</v>
      </c>
      <c r="B3071" s="5">
        <f>DATE(Table1[[#This Row],[Year]],Table1[[#This Row],[Month]],Table1[[#This Row],[Day]])</f>
        <v>45352</v>
      </c>
      <c r="C3071" s="3">
        <v>1</v>
      </c>
      <c r="D3071" s="3">
        <v>3</v>
      </c>
      <c r="E3071" s="3">
        <v>2024</v>
      </c>
      <c r="F3071" s="3" t="str">
        <f>"Qtr"&amp; " " &amp;CHOOSE(MONTH(Table1[[#This Row],[Date]]),1,1,1,2,2,2,3,3,3,4,4,4)</f>
        <v>Qtr 1</v>
      </c>
      <c r="G3071" s="3" t="str">
        <f>TEXT(Table1[[#This Row],[Date]],"mmmm")</f>
        <v>March</v>
      </c>
      <c r="H3071" s="3" t="s">
        <v>1085</v>
      </c>
      <c r="I3071" s="3" t="s">
        <v>13</v>
      </c>
      <c r="J3071" s="3">
        <v>8</v>
      </c>
      <c r="K3071" s="3">
        <v>28155.53</v>
      </c>
      <c r="L3071" s="3">
        <f>Table1[[#This Row],[Price Per Unit]]*Table1[[#This Row],[Units Sold]]</f>
        <v>225244.24</v>
      </c>
      <c r="M3071" s="3" t="s">
        <v>945</v>
      </c>
      <c r="N3071" s="3">
        <v>31</v>
      </c>
      <c r="O3071" s="3" t="s">
        <v>20</v>
      </c>
      <c r="P3071" s="3" t="s">
        <v>31</v>
      </c>
      <c r="Q3071" s="4">
        <v>4</v>
      </c>
      <c r="R3071" s="4" t="str">
        <f>IF(Table1[[#This Row],[Customer Ratings]]&gt;=4, "Good",IF(Table1[[#This Row],[Customer Ratings]]=3, "Average","Poor"))</f>
        <v>Good</v>
      </c>
      <c r="S3071" s="3" t="s">
        <v>27</v>
      </c>
    </row>
    <row r="3072" spans="1:19" x14ac:dyDescent="0.25">
      <c r="A3072" s="3">
        <v>3071</v>
      </c>
      <c r="B3072" s="5">
        <f>DATE(Table1[[#This Row],[Year]],Table1[[#This Row],[Month]],Table1[[#This Row],[Day]])</f>
        <v>45352</v>
      </c>
      <c r="C3072" s="3">
        <v>1</v>
      </c>
      <c r="D3072" s="3">
        <v>3</v>
      </c>
      <c r="E3072" s="3">
        <v>2024</v>
      </c>
      <c r="F3072" s="3" t="str">
        <f>"Qtr"&amp; " " &amp;CHOOSE(MONTH(Table1[[#This Row],[Date]]),1,1,1,2,2,2,3,3,3,4,4,4)</f>
        <v>Qtr 1</v>
      </c>
      <c r="G3072" s="3" t="str">
        <f>TEXT(Table1[[#This Row],[Date]],"mmmm")</f>
        <v>March</v>
      </c>
      <c r="H3072" s="3" t="s">
        <v>1085</v>
      </c>
      <c r="I3072" s="3" t="s">
        <v>28</v>
      </c>
      <c r="J3072" s="3">
        <v>1</v>
      </c>
      <c r="K3072" s="3">
        <v>26126.880000000001</v>
      </c>
      <c r="L3072" s="3">
        <f>Table1[[#This Row],[Price Per Unit]]*Table1[[#This Row],[Units Sold]]</f>
        <v>26126.880000000001</v>
      </c>
      <c r="M3072" s="3" t="s">
        <v>283</v>
      </c>
      <c r="N3072" s="3">
        <v>51</v>
      </c>
      <c r="O3072" s="3" t="s">
        <v>20</v>
      </c>
      <c r="P3072" s="3" t="s">
        <v>21</v>
      </c>
      <c r="Q3072" s="4">
        <v>3</v>
      </c>
      <c r="R3072" s="4" t="str">
        <f>IF(Table1[[#This Row],[Customer Ratings]]&gt;=4, "Good",IF(Table1[[#This Row],[Customer Ratings]]=3, "Average","Poor"))</f>
        <v>Average</v>
      </c>
      <c r="S3072" s="3" t="s">
        <v>38</v>
      </c>
    </row>
    <row r="3073" spans="1:19" x14ac:dyDescent="0.25">
      <c r="A3073" s="3">
        <v>3072</v>
      </c>
      <c r="B3073" s="5">
        <f>DATE(Table1[[#This Row],[Year]],Table1[[#This Row],[Month]],Table1[[#This Row],[Day]])</f>
        <v>45353</v>
      </c>
      <c r="C3073" s="3">
        <v>2</v>
      </c>
      <c r="D3073" s="3">
        <v>3</v>
      </c>
      <c r="E3073" s="3">
        <v>2024</v>
      </c>
      <c r="F3073" s="3" t="str">
        <f>"Qtr"&amp; " " &amp;CHOOSE(MONTH(Table1[[#This Row],[Date]]),1,1,1,2,2,2,3,3,3,4,4,4)</f>
        <v>Qtr 1</v>
      </c>
      <c r="G3073" s="3" t="str">
        <f>TEXT(Table1[[#This Row],[Date]],"mmmm")</f>
        <v>March</v>
      </c>
      <c r="H3073" s="3" t="s">
        <v>1079</v>
      </c>
      <c r="I3073" s="3" t="s">
        <v>28</v>
      </c>
      <c r="J3073" s="3">
        <v>8</v>
      </c>
      <c r="K3073" s="3">
        <v>41934.75</v>
      </c>
      <c r="L3073" s="3">
        <f>Table1[[#This Row],[Price Per Unit]]*Table1[[#This Row],[Units Sold]]</f>
        <v>335478</v>
      </c>
      <c r="M3073" s="3" t="s">
        <v>772</v>
      </c>
      <c r="N3073" s="3">
        <v>25</v>
      </c>
      <c r="O3073" s="3" t="s">
        <v>24</v>
      </c>
      <c r="P3073" s="3" t="s">
        <v>31</v>
      </c>
      <c r="Q3073" s="4">
        <v>3</v>
      </c>
      <c r="R3073" s="4" t="str">
        <f>IF(Table1[[#This Row],[Customer Ratings]]&gt;=4, "Good",IF(Table1[[#This Row],[Customer Ratings]]=3, "Average","Poor"))</f>
        <v>Average</v>
      </c>
      <c r="S3073" s="3" t="s">
        <v>32</v>
      </c>
    </row>
    <row r="3074" spans="1:19" x14ac:dyDescent="0.25">
      <c r="A3074" s="3">
        <v>3073</v>
      </c>
      <c r="B3074" s="5">
        <f>DATE(Table1[[#This Row],[Year]],Table1[[#This Row],[Month]],Table1[[#This Row],[Day]])</f>
        <v>45353</v>
      </c>
      <c r="C3074" s="3">
        <v>2</v>
      </c>
      <c r="D3074" s="3">
        <v>3</v>
      </c>
      <c r="E3074" s="3">
        <v>2024</v>
      </c>
      <c r="F3074" s="3" t="str">
        <f>"Qtr"&amp; " " &amp;CHOOSE(MONTH(Table1[[#This Row],[Date]]),1,1,1,2,2,2,3,3,3,4,4,4)</f>
        <v>Qtr 1</v>
      </c>
      <c r="G3074" s="3" t="str">
        <f>TEXT(Table1[[#This Row],[Date]],"mmmm")</f>
        <v>March</v>
      </c>
      <c r="H3074" s="3" t="s">
        <v>1079</v>
      </c>
      <c r="I3074" s="3" t="s">
        <v>13</v>
      </c>
      <c r="J3074" s="3">
        <v>6</v>
      </c>
      <c r="K3074" s="3">
        <v>46411.59</v>
      </c>
      <c r="L3074" s="3">
        <f>Table1[[#This Row],[Price Per Unit]]*Table1[[#This Row],[Units Sold]]</f>
        <v>278469.53999999998</v>
      </c>
      <c r="M3074" s="3" t="s">
        <v>534</v>
      </c>
      <c r="N3074" s="3">
        <v>59</v>
      </c>
      <c r="O3074" s="3" t="s">
        <v>137</v>
      </c>
      <c r="P3074" s="3" t="s">
        <v>16</v>
      </c>
      <c r="Q3074" s="4">
        <v>2</v>
      </c>
      <c r="R3074" s="4" t="str">
        <f>IF(Table1[[#This Row],[Customer Ratings]]&gt;=4, "Good",IF(Table1[[#This Row],[Customer Ratings]]=3, "Average","Poor"))</f>
        <v>Poor</v>
      </c>
      <c r="S3074" s="3" t="s">
        <v>17</v>
      </c>
    </row>
    <row r="3075" spans="1:19" x14ac:dyDescent="0.25">
      <c r="A3075" s="3">
        <v>3074</v>
      </c>
      <c r="B3075" s="5">
        <f>DATE(Table1[[#This Row],[Year]],Table1[[#This Row],[Month]],Table1[[#This Row],[Day]])</f>
        <v>45353</v>
      </c>
      <c r="C3075" s="3">
        <v>2</v>
      </c>
      <c r="D3075" s="3">
        <v>3</v>
      </c>
      <c r="E3075" s="3">
        <v>2024</v>
      </c>
      <c r="F3075" s="3" t="str">
        <f>"Qtr"&amp; " " &amp;CHOOSE(MONTH(Table1[[#This Row],[Date]]),1,1,1,2,2,2,3,3,3,4,4,4)</f>
        <v>Qtr 1</v>
      </c>
      <c r="G3075" s="3" t="str">
        <f>TEXT(Table1[[#This Row],[Date]],"mmmm")</f>
        <v>March</v>
      </c>
      <c r="H3075" s="3" t="s">
        <v>1079</v>
      </c>
      <c r="I3075" s="3" t="s">
        <v>33</v>
      </c>
      <c r="J3075" s="3">
        <v>4</v>
      </c>
      <c r="K3075" s="3">
        <v>39326.76</v>
      </c>
      <c r="L3075" s="3">
        <f>Table1[[#This Row],[Price Per Unit]]*Table1[[#This Row],[Units Sold]]</f>
        <v>157307.04</v>
      </c>
      <c r="M3075" s="3" t="s">
        <v>343</v>
      </c>
      <c r="N3075" s="3">
        <v>24</v>
      </c>
      <c r="O3075" s="3" t="s">
        <v>65</v>
      </c>
      <c r="P3075" s="3" t="s">
        <v>45</v>
      </c>
      <c r="Q3075" s="4">
        <v>1</v>
      </c>
      <c r="R3075" s="4" t="str">
        <f>IF(Table1[[#This Row],[Customer Ratings]]&gt;=4, "Good",IF(Table1[[#This Row],[Customer Ratings]]=3, "Average","Poor"))</f>
        <v>Poor</v>
      </c>
      <c r="S3075" s="3" t="s">
        <v>36</v>
      </c>
    </row>
    <row r="3076" spans="1:19" x14ac:dyDescent="0.25">
      <c r="A3076" s="3">
        <v>3075</v>
      </c>
      <c r="B3076" s="5">
        <f>DATE(Table1[[#This Row],[Year]],Table1[[#This Row],[Month]],Table1[[#This Row],[Day]])</f>
        <v>45354</v>
      </c>
      <c r="C3076" s="3">
        <v>3</v>
      </c>
      <c r="D3076" s="3">
        <v>3</v>
      </c>
      <c r="E3076" s="3">
        <v>2024</v>
      </c>
      <c r="F3076" s="3" t="str">
        <f>"Qtr"&amp; " " &amp;CHOOSE(MONTH(Table1[[#This Row],[Date]]),1,1,1,2,2,2,3,3,3,4,4,4)</f>
        <v>Qtr 1</v>
      </c>
      <c r="G3076" s="3" t="str">
        <f>TEXT(Table1[[#This Row],[Date]],"mmmm")</f>
        <v>March</v>
      </c>
      <c r="H3076" s="3" t="s">
        <v>1080</v>
      </c>
      <c r="I3076" s="3" t="s">
        <v>18</v>
      </c>
      <c r="J3076" s="3">
        <v>8</v>
      </c>
      <c r="K3076" s="3">
        <v>34479.660000000003</v>
      </c>
      <c r="L3076" s="3">
        <f>Table1[[#This Row],[Price Per Unit]]*Table1[[#This Row],[Units Sold]]</f>
        <v>275837.28000000003</v>
      </c>
      <c r="M3076" s="3" t="s">
        <v>352</v>
      </c>
      <c r="N3076" s="3">
        <v>30</v>
      </c>
      <c r="O3076" s="3" t="s">
        <v>105</v>
      </c>
      <c r="P3076" s="3" t="s">
        <v>45</v>
      </c>
      <c r="Q3076" s="4">
        <v>3</v>
      </c>
      <c r="R3076" s="4" t="str">
        <f>IF(Table1[[#This Row],[Customer Ratings]]&gt;=4, "Good",IF(Table1[[#This Row],[Customer Ratings]]=3, "Average","Poor"))</f>
        <v>Average</v>
      </c>
      <c r="S3076" s="3" t="s">
        <v>25</v>
      </c>
    </row>
    <row r="3077" spans="1:19" x14ac:dyDescent="0.25">
      <c r="A3077" s="3">
        <v>3076</v>
      </c>
      <c r="B3077" s="5">
        <f>DATE(Table1[[#This Row],[Year]],Table1[[#This Row],[Month]],Table1[[#This Row],[Day]])</f>
        <v>45354</v>
      </c>
      <c r="C3077" s="3">
        <v>3</v>
      </c>
      <c r="D3077" s="3">
        <v>3</v>
      </c>
      <c r="E3077" s="3">
        <v>2024</v>
      </c>
      <c r="F3077" s="3" t="str">
        <f>"Qtr"&amp; " " &amp;CHOOSE(MONTH(Table1[[#This Row],[Date]]),1,1,1,2,2,2,3,3,3,4,4,4)</f>
        <v>Qtr 1</v>
      </c>
      <c r="G3077" s="3" t="str">
        <f>TEXT(Table1[[#This Row],[Date]],"mmmm")</f>
        <v>March</v>
      </c>
      <c r="H3077" s="3" t="s">
        <v>1080</v>
      </c>
      <c r="I3077" s="3" t="s">
        <v>18</v>
      </c>
      <c r="J3077" s="3">
        <v>3</v>
      </c>
      <c r="K3077" s="3">
        <v>22677.1</v>
      </c>
      <c r="L3077" s="3">
        <f>Table1[[#This Row],[Price Per Unit]]*Table1[[#This Row],[Units Sold]]</f>
        <v>68031.299999999988</v>
      </c>
      <c r="M3077" s="3" t="s">
        <v>542</v>
      </c>
      <c r="N3077" s="3">
        <v>38</v>
      </c>
      <c r="O3077" s="3" t="s">
        <v>137</v>
      </c>
      <c r="P3077" s="3" t="s">
        <v>21</v>
      </c>
      <c r="Q3077" s="4">
        <v>3</v>
      </c>
      <c r="R3077" s="4" t="str">
        <f>IF(Table1[[#This Row],[Customer Ratings]]&gt;=4, "Good",IF(Table1[[#This Row],[Customer Ratings]]=3, "Average","Poor"))</f>
        <v>Average</v>
      </c>
      <c r="S3077" s="3" t="s">
        <v>25</v>
      </c>
    </row>
    <row r="3078" spans="1:19" x14ac:dyDescent="0.25">
      <c r="A3078" s="3">
        <v>3077</v>
      </c>
      <c r="B3078" s="5">
        <f>DATE(Table1[[#This Row],[Year]],Table1[[#This Row],[Month]],Table1[[#This Row],[Day]])</f>
        <v>45354</v>
      </c>
      <c r="C3078" s="3">
        <v>3</v>
      </c>
      <c r="D3078" s="3">
        <v>3</v>
      </c>
      <c r="E3078" s="3">
        <v>2024</v>
      </c>
      <c r="F3078" s="3" t="str">
        <f>"Qtr"&amp; " " &amp;CHOOSE(MONTH(Table1[[#This Row],[Date]]),1,1,1,2,2,2,3,3,3,4,4,4)</f>
        <v>Qtr 1</v>
      </c>
      <c r="G3078" s="3" t="str">
        <f>TEXT(Table1[[#This Row],[Date]],"mmmm")</f>
        <v>March</v>
      </c>
      <c r="H3078" s="3" t="s">
        <v>1080</v>
      </c>
      <c r="I3078" s="3" t="s">
        <v>28</v>
      </c>
      <c r="J3078" s="3">
        <v>4</v>
      </c>
      <c r="K3078" s="3">
        <v>38950.339999999997</v>
      </c>
      <c r="L3078" s="3">
        <f>Table1[[#This Row],[Price Per Unit]]*Table1[[#This Row],[Units Sold]]</f>
        <v>155801.35999999999</v>
      </c>
      <c r="M3078" s="3" t="s">
        <v>210</v>
      </c>
      <c r="N3078" s="3">
        <v>49</v>
      </c>
      <c r="O3078" s="3" t="s">
        <v>20</v>
      </c>
      <c r="P3078" s="3" t="s">
        <v>21</v>
      </c>
      <c r="Q3078" s="4">
        <v>4</v>
      </c>
      <c r="R3078" s="4" t="str">
        <f>IF(Table1[[#This Row],[Customer Ratings]]&gt;=4, "Good",IF(Table1[[#This Row],[Customer Ratings]]=3, "Average","Poor"))</f>
        <v>Good</v>
      </c>
      <c r="S3078" s="3" t="s">
        <v>87</v>
      </c>
    </row>
    <row r="3079" spans="1:19" x14ac:dyDescent="0.25">
      <c r="A3079" s="3">
        <v>3078</v>
      </c>
      <c r="B3079" s="5">
        <f>DATE(Table1[[#This Row],[Year]],Table1[[#This Row],[Month]],Table1[[#This Row],[Day]])</f>
        <v>45354</v>
      </c>
      <c r="C3079" s="3">
        <v>3</v>
      </c>
      <c r="D3079" s="3">
        <v>3</v>
      </c>
      <c r="E3079" s="3">
        <v>2024</v>
      </c>
      <c r="F3079" s="3" t="str">
        <f>"Qtr"&amp; " " &amp;CHOOSE(MONTH(Table1[[#This Row],[Date]]),1,1,1,2,2,2,3,3,3,4,4,4)</f>
        <v>Qtr 1</v>
      </c>
      <c r="G3079" s="3" t="str">
        <f>TEXT(Table1[[#This Row],[Date]],"mmmm")</f>
        <v>March</v>
      </c>
      <c r="H3079" s="3" t="s">
        <v>1080</v>
      </c>
      <c r="I3079" s="3" t="s">
        <v>18</v>
      </c>
      <c r="J3079" s="3">
        <v>6</v>
      </c>
      <c r="K3079" s="3">
        <v>30466.16</v>
      </c>
      <c r="L3079" s="3">
        <f>Table1[[#This Row],[Price Per Unit]]*Table1[[#This Row],[Units Sold]]</f>
        <v>182796.96</v>
      </c>
      <c r="M3079" s="3" t="s">
        <v>512</v>
      </c>
      <c r="N3079" s="3">
        <v>28</v>
      </c>
      <c r="O3079" s="3" t="s">
        <v>78</v>
      </c>
      <c r="P3079" s="3" t="s">
        <v>16</v>
      </c>
      <c r="Q3079" s="4">
        <v>2</v>
      </c>
      <c r="R3079" s="4" t="str">
        <f>IF(Table1[[#This Row],[Customer Ratings]]&gt;=4, "Good",IF(Table1[[#This Row],[Customer Ratings]]=3, "Average","Poor"))</f>
        <v>Poor</v>
      </c>
      <c r="S3079" s="3" t="s">
        <v>55</v>
      </c>
    </row>
    <row r="3080" spans="1:19" x14ac:dyDescent="0.25">
      <c r="A3080" s="3">
        <v>3079</v>
      </c>
      <c r="B3080" s="5">
        <f>DATE(Table1[[#This Row],[Year]],Table1[[#This Row],[Month]],Table1[[#This Row],[Day]])</f>
        <v>45355</v>
      </c>
      <c r="C3080" s="3">
        <v>4</v>
      </c>
      <c r="D3080" s="3">
        <v>3</v>
      </c>
      <c r="E3080" s="3">
        <v>2024</v>
      </c>
      <c r="F3080" s="3" t="str">
        <f>"Qtr"&amp; " " &amp;CHOOSE(MONTH(Table1[[#This Row],[Date]]),1,1,1,2,2,2,3,3,3,4,4,4)</f>
        <v>Qtr 1</v>
      </c>
      <c r="G3080" s="3" t="str">
        <f>TEXT(Table1[[#This Row],[Date]],"mmmm")</f>
        <v>March</v>
      </c>
      <c r="H3080" s="3" t="s">
        <v>1081</v>
      </c>
      <c r="I3080" s="3" t="s">
        <v>13</v>
      </c>
      <c r="J3080" s="3">
        <v>7</v>
      </c>
      <c r="K3080" s="3">
        <v>42495.73</v>
      </c>
      <c r="L3080" s="3">
        <f>Table1[[#This Row],[Price Per Unit]]*Table1[[#This Row],[Units Sold]]</f>
        <v>297470.11000000004</v>
      </c>
      <c r="M3080" s="3" t="s">
        <v>1021</v>
      </c>
      <c r="N3080" s="3">
        <v>31</v>
      </c>
      <c r="O3080" s="3" t="s">
        <v>24</v>
      </c>
      <c r="P3080" s="3" t="s">
        <v>21</v>
      </c>
      <c r="Q3080" s="4">
        <v>1</v>
      </c>
      <c r="R3080" s="4" t="str">
        <f>IF(Table1[[#This Row],[Customer Ratings]]&gt;=4, "Good",IF(Table1[[#This Row],[Customer Ratings]]=3, "Average","Poor"))</f>
        <v>Poor</v>
      </c>
      <c r="S3080" s="3" t="s">
        <v>27</v>
      </c>
    </row>
    <row r="3081" spans="1:19" x14ac:dyDescent="0.25">
      <c r="A3081" s="3">
        <v>3080</v>
      </c>
      <c r="B3081" s="5">
        <f>DATE(Table1[[#This Row],[Year]],Table1[[#This Row],[Month]],Table1[[#This Row],[Day]])</f>
        <v>45355</v>
      </c>
      <c r="C3081" s="3">
        <v>4</v>
      </c>
      <c r="D3081" s="3">
        <v>3</v>
      </c>
      <c r="E3081" s="3">
        <v>2024</v>
      </c>
      <c r="F3081" s="3" t="str">
        <f>"Qtr"&amp; " " &amp;CHOOSE(MONTH(Table1[[#This Row],[Date]]),1,1,1,2,2,2,3,3,3,4,4,4)</f>
        <v>Qtr 1</v>
      </c>
      <c r="G3081" s="3" t="str">
        <f>TEXT(Table1[[#This Row],[Date]],"mmmm")</f>
        <v>March</v>
      </c>
      <c r="H3081" s="3" t="s">
        <v>1081</v>
      </c>
      <c r="I3081" s="3" t="s">
        <v>33</v>
      </c>
      <c r="J3081" s="3">
        <v>4</v>
      </c>
      <c r="K3081" s="3">
        <v>50511.360000000001</v>
      </c>
      <c r="L3081" s="3">
        <f>Table1[[#This Row],[Price Per Unit]]*Table1[[#This Row],[Units Sold]]</f>
        <v>202045.44</v>
      </c>
      <c r="M3081" s="3" t="s">
        <v>821</v>
      </c>
      <c r="N3081" s="3">
        <v>28</v>
      </c>
      <c r="O3081" s="3" t="s">
        <v>58</v>
      </c>
      <c r="P3081" s="3" t="s">
        <v>31</v>
      </c>
      <c r="Q3081" s="4">
        <v>4</v>
      </c>
      <c r="R3081" s="4" t="str">
        <f>IF(Table1[[#This Row],[Customer Ratings]]&gt;=4, "Good",IF(Table1[[#This Row],[Customer Ratings]]=3, "Average","Poor"))</f>
        <v>Good</v>
      </c>
      <c r="S3081" s="3" t="s">
        <v>36</v>
      </c>
    </row>
    <row r="3082" spans="1:19" x14ac:dyDescent="0.25">
      <c r="A3082" s="3">
        <v>3081</v>
      </c>
      <c r="B3082" s="5">
        <f>DATE(Table1[[#This Row],[Year]],Table1[[#This Row],[Month]],Table1[[#This Row],[Day]])</f>
        <v>45355</v>
      </c>
      <c r="C3082" s="3">
        <v>4</v>
      </c>
      <c r="D3082" s="3">
        <v>3</v>
      </c>
      <c r="E3082" s="3">
        <v>2024</v>
      </c>
      <c r="F3082" s="3" t="str">
        <f>"Qtr"&amp; " " &amp;CHOOSE(MONTH(Table1[[#This Row],[Date]]),1,1,1,2,2,2,3,3,3,4,4,4)</f>
        <v>Qtr 1</v>
      </c>
      <c r="G3082" s="3" t="str">
        <f>TEXT(Table1[[#This Row],[Date]],"mmmm")</f>
        <v>March</v>
      </c>
      <c r="H3082" s="3" t="s">
        <v>1081</v>
      </c>
      <c r="I3082" s="3" t="s">
        <v>13</v>
      </c>
      <c r="J3082" s="3">
        <v>4</v>
      </c>
      <c r="K3082" s="3">
        <v>47998.73</v>
      </c>
      <c r="L3082" s="3">
        <f>Table1[[#This Row],[Price Per Unit]]*Table1[[#This Row],[Units Sold]]</f>
        <v>191994.92</v>
      </c>
      <c r="M3082" s="3" t="s">
        <v>351</v>
      </c>
      <c r="N3082" s="3">
        <v>19</v>
      </c>
      <c r="O3082" s="3" t="s">
        <v>98</v>
      </c>
      <c r="P3082" s="3" t="s">
        <v>16</v>
      </c>
      <c r="Q3082" s="4">
        <v>1</v>
      </c>
      <c r="R3082" s="4" t="str">
        <f>IF(Table1[[#This Row],[Customer Ratings]]&gt;=4, "Good",IF(Table1[[#This Row],[Customer Ratings]]=3, "Average","Poor"))</f>
        <v>Poor</v>
      </c>
      <c r="S3082" s="3" t="s">
        <v>27</v>
      </c>
    </row>
    <row r="3083" spans="1:19" x14ac:dyDescent="0.25">
      <c r="A3083" s="3">
        <v>3082</v>
      </c>
      <c r="B3083" s="5">
        <f>DATE(Table1[[#This Row],[Year]],Table1[[#This Row],[Month]],Table1[[#This Row],[Day]])</f>
        <v>45355</v>
      </c>
      <c r="C3083" s="3">
        <v>4</v>
      </c>
      <c r="D3083" s="3">
        <v>3</v>
      </c>
      <c r="E3083" s="3">
        <v>2024</v>
      </c>
      <c r="F3083" s="3" t="str">
        <f>"Qtr"&amp; " " &amp;CHOOSE(MONTH(Table1[[#This Row],[Date]]),1,1,1,2,2,2,3,3,3,4,4,4)</f>
        <v>Qtr 1</v>
      </c>
      <c r="G3083" s="3" t="str">
        <f>TEXT(Table1[[#This Row],[Date]],"mmmm")</f>
        <v>March</v>
      </c>
      <c r="H3083" s="3" t="s">
        <v>1081</v>
      </c>
      <c r="I3083" s="3" t="s">
        <v>39</v>
      </c>
      <c r="J3083" s="3">
        <v>7</v>
      </c>
      <c r="K3083" s="3">
        <v>37749.410000000003</v>
      </c>
      <c r="L3083" s="3">
        <f>Table1[[#This Row],[Price Per Unit]]*Table1[[#This Row],[Units Sold]]</f>
        <v>264245.87</v>
      </c>
      <c r="M3083" s="3" t="s">
        <v>623</v>
      </c>
      <c r="N3083" s="3">
        <v>51</v>
      </c>
      <c r="O3083" s="3" t="s">
        <v>30</v>
      </c>
      <c r="P3083" s="3" t="s">
        <v>45</v>
      </c>
      <c r="Q3083" s="4">
        <v>1</v>
      </c>
      <c r="R3083" s="4" t="str">
        <f>IF(Table1[[#This Row],[Customer Ratings]]&gt;=4, "Good",IF(Table1[[#This Row],[Customer Ratings]]=3, "Average","Poor"))</f>
        <v>Poor</v>
      </c>
      <c r="S3083" s="3" t="s">
        <v>42</v>
      </c>
    </row>
    <row r="3084" spans="1:19" x14ac:dyDescent="0.25">
      <c r="A3084" s="3">
        <v>3083</v>
      </c>
      <c r="B3084" s="5">
        <f>DATE(Table1[[#This Row],[Year]],Table1[[#This Row],[Month]],Table1[[#This Row],[Day]])</f>
        <v>45356</v>
      </c>
      <c r="C3084" s="3">
        <v>5</v>
      </c>
      <c r="D3084" s="3">
        <v>3</v>
      </c>
      <c r="E3084" s="3">
        <v>2024</v>
      </c>
      <c r="F3084" s="3" t="str">
        <f>"Qtr"&amp; " " &amp;CHOOSE(MONTH(Table1[[#This Row],[Date]]),1,1,1,2,2,2,3,3,3,4,4,4)</f>
        <v>Qtr 1</v>
      </c>
      <c r="G3084" s="3" t="str">
        <f>TEXT(Table1[[#This Row],[Date]],"mmmm")</f>
        <v>March</v>
      </c>
      <c r="H3084" s="3" t="s">
        <v>1082</v>
      </c>
      <c r="I3084" s="3" t="s">
        <v>28</v>
      </c>
      <c r="J3084" s="3">
        <v>6</v>
      </c>
      <c r="K3084" s="3">
        <v>43363.15</v>
      </c>
      <c r="L3084" s="3">
        <f>Table1[[#This Row],[Price Per Unit]]*Table1[[#This Row],[Units Sold]]</f>
        <v>260178.90000000002</v>
      </c>
      <c r="M3084" s="3" t="s">
        <v>692</v>
      </c>
      <c r="N3084" s="3">
        <v>34</v>
      </c>
      <c r="O3084" s="3" t="s">
        <v>30</v>
      </c>
      <c r="P3084" s="3" t="s">
        <v>45</v>
      </c>
      <c r="Q3084" s="4">
        <v>3</v>
      </c>
      <c r="R3084" s="4" t="str">
        <f>IF(Table1[[#This Row],[Customer Ratings]]&gt;=4, "Good",IF(Table1[[#This Row],[Customer Ratings]]=3, "Average","Poor"))</f>
        <v>Average</v>
      </c>
      <c r="S3084" s="3" t="s">
        <v>32</v>
      </c>
    </row>
    <row r="3085" spans="1:19" x14ac:dyDescent="0.25">
      <c r="A3085" s="3">
        <v>3084</v>
      </c>
      <c r="B3085" s="5">
        <f>DATE(Table1[[#This Row],[Year]],Table1[[#This Row],[Month]],Table1[[#This Row],[Day]])</f>
        <v>45356</v>
      </c>
      <c r="C3085" s="3">
        <v>5</v>
      </c>
      <c r="D3085" s="3">
        <v>3</v>
      </c>
      <c r="E3085" s="3">
        <v>2024</v>
      </c>
      <c r="F3085" s="3" t="str">
        <f>"Qtr"&amp; " " &amp;CHOOSE(MONTH(Table1[[#This Row],[Date]]),1,1,1,2,2,2,3,3,3,4,4,4)</f>
        <v>Qtr 1</v>
      </c>
      <c r="G3085" s="3" t="str">
        <f>TEXT(Table1[[#This Row],[Date]],"mmmm")</f>
        <v>March</v>
      </c>
      <c r="H3085" s="3" t="s">
        <v>1082</v>
      </c>
      <c r="I3085" s="3" t="s">
        <v>18</v>
      </c>
      <c r="J3085" s="3">
        <v>8</v>
      </c>
      <c r="K3085" s="3">
        <v>27091.37</v>
      </c>
      <c r="L3085" s="3">
        <f>Table1[[#This Row],[Price Per Unit]]*Table1[[#This Row],[Units Sold]]</f>
        <v>216730.96</v>
      </c>
      <c r="M3085" s="3" t="s">
        <v>154</v>
      </c>
      <c r="N3085" s="3">
        <v>31</v>
      </c>
      <c r="O3085" s="3" t="s">
        <v>98</v>
      </c>
      <c r="P3085" s="3" t="s">
        <v>45</v>
      </c>
      <c r="Q3085" s="4">
        <v>4</v>
      </c>
      <c r="R3085" s="4" t="str">
        <f>IF(Table1[[#This Row],[Customer Ratings]]&gt;=4, "Good",IF(Table1[[#This Row],[Customer Ratings]]=3, "Average","Poor"))</f>
        <v>Good</v>
      </c>
      <c r="S3085" s="3" t="s">
        <v>22</v>
      </c>
    </row>
    <row r="3086" spans="1:19" x14ac:dyDescent="0.25">
      <c r="A3086" s="3">
        <v>3085</v>
      </c>
      <c r="B3086" s="5">
        <f>DATE(Table1[[#This Row],[Year]],Table1[[#This Row],[Month]],Table1[[#This Row],[Day]])</f>
        <v>45356</v>
      </c>
      <c r="C3086" s="3">
        <v>5</v>
      </c>
      <c r="D3086" s="3">
        <v>3</v>
      </c>
      <c r="E3086" s="3">
        <v>2024</v>
      </c>
      <c r="F3086" s="3" t="str">
        <f>"Qtr"&amp; " " &amp;CHOOSE(MONTH(Table1[[#This Row],[Date]]),1,1,1,2,2,2,3,3,3,4,4,4)</f>
        <v>Qtr 1</v>
      </c>
      <c r="G3086" s="3" t="str">
        <f>TEXT(Table1[[#This Row],[Date]],"mmmm")</f>
        <v>March</v>
      </c>
      <c r="H3086" s="3" t="s">
        <v>1082</v>
      </c>
      <c r="I3086" s="3" t="s">
        <v>39</v>
      </c>
      <c r="J3086" s="3">
        <v>1</v>
      </c>
      <c r="K3086" s="3">
        <v>11454.42</v>
      </c>
      <c r="L3086" s="3">
        <f>Table1[[#This Row],[Price Per Unit]]*Table1[[#This Row],[Units Sold]]</f>
        <v>11454.42</v>
      </c>
      <c r="M3086" s="3" t="s">
        <v>1019</v>
      </c>
      <c r="N3086" s="3">
        <v>42</v>
      </c>
      <c r="O3086" s="3" t="s">
        <v>58</v>
      </c>
      <c r="P3086" s="3" t="s">
        <v>21</v>
      </c>
      <c r="Q3086" s="4">
        <v>3</v>
      </c>
      <c r="R3086" s="4" t="str">
        <f>IF(Table1[[#This Row],[Customer Ratings]]&gt;=4, "Good",IF(Table1[[#This Row],[Customer Ratings]]=3, "Average","Poor"))</f>
        <v>Average</v>
      </c>
      <c r="S3086" s="3" t="s">
        <v>76</v>
      </c>
    </row>
    <row r="3087" spans="1:19" x14ac:dyDescent="0.25">
      <c r="A3087" s="3">
        <v>3086</v>
      </c>
      <c r="B3087" s="5">
        <f>DATE(Table1[[#This Row],[Year]],Table1[[#This Row],[Month]],Table1[[#This Row],[Day]])</f>
        <v>45357</v>
      </c>
      <c r="C3087" s="3">
        <v>6</v>
      </c>
      <c r="D3087" s="3">
        <v>3</v>
      </c>
      <c r="E3087" s="3">
        <v>2024</v>
      </c>
      <c r="F3087" s="3" t="str">
        <f>"Qtr"&amp; " " &amp;CHOOSE(MONTH(Table1[[#This Row],[Date]]),1,1,1,2,2,2,3,3,3,4,4,4)</f>
        <v>Qtr 1</v>
      </c>
      <c r="G3087" s="3" t="str">
        <f>TEXT(Table1[[#This Row],[Date]],"mmmm")</f>
        <v>March</v>
      </c>
      <c r="H3087" s="3" t="s">
        <v>1083</v>
      </c>
      <c r="I3087" s="3" t="s">
        <v>18</v>
      </c>
      <c r="J3087" s="3">
        <v>7</v>
      </c>
      <c r="K3087" s="3">
        <v>47501.17</v>
      </c>
      <c r="L3087" s="3">
        <f>Table1[[#This Row],[Price Per Unit]]*Table1[[#This Row],[Units Sold]]</f>
        <v>332508.19</v>
      </c>
      <c r="M3087" s="3" t="s">
        <v>219</v>
      </c>
      <c r="N3087" s="3">
        <v>44</v>
      </c>
      <c r="O3087" s="3" t="s">
        <v>24</v>
      </c>
      <c r="P3087" s="3" t="s">
        <v>16</v>
      </c>
      <c r="Q3087" s="4">
        <v>5</v>
      </c>
      <c r="R3087" s="4" t="str">
        <f>IF(Table1[[#This Row],[Customer Ratings]]&gt;=4, "Good",IF(Table1[[#This Row],[Customer Ratings]]=3, "Average","Poor"))</f>
        <v>Good</v>
      </c>
      <c r="S3087" s="3" t="s">
        <v>22</v>
      </c>
    </row>
    <row r="3088" spans="1:19" x14ac:dyDescent="0.25">
      <c r="A3088" s="3">
        <v>3087</v>
      </c>
      <c r="B3088" s="5">
        <f>DATE(Table1[[#This Row],[Year]],Table1[[#This Row],[Month]],Table1[[#This Row],[Day]])</f>
        <v>45357</v>
      </c>
      <c r="C3088" s="3">
        <v>6</v>
      </c>
      <c r="D3088" s="3">
        <v>3</v>
      </c>
      <c r="E3088" s="3">
        <v>2024</v>
      </c>
      <c r="F3088" s="3" t="str">
        <f>"Qtr"&amp; " " &amp;CHOOSE(MONTH(Table1[[#This Row],[Date]]),1,1,1,2,2,2,3,3,3,4,4,4)</f>
        <v>Qtr 1</v>
      </c>
      <c r="G3088" s="3" t="str">
        <f>TEXT(Table1[[#This Row],[Date]],"mmmm")</f>
        <v>March</v>
      </c>
      <c r="H3088" s="3" t="s">
        <v>1083</v>
      </c>
      <c r="I3088" s="3" t="s">
        <v>33</v>
      </c>
      <c r="J3088" s="3">
        <v>7</v>
      </c>
      <c r="K3088" s="3">
        <v>25154.11</v>
      </c>
      <c r="L3088" s="3">
        <f>Table1[[#This Row],[Price Per Unit]]*Table1[[#This Row],[Units Sold]]</f>
        <v>176078.77000000002</v>
      </c>
      <c r="M3088" s="3" t="s">
        <v>291</v>
      </c>
      <c r="N3088" s="3">
        <v>25</v>
      </c>
      <c r="O3088" s="3" t="s">
        <v>20</v>
      </c>
      <c r="P3088" s="3" t="s">
        <v>21</v>
      </c>
      <c r="Q3088" s="4">
        <v>1</v>
      </c>
      <c r="R3088" s="4" t="str">
        <f>IF(Table1[[#This Row],[Customer Ratings]]&gt;=4, "Good",IF(Table1[[#This Row],[Customer Ratings]]=3, "Average","Poor"))</f>
        <v>Poor</v>
      </c>
      <c r="S3088" s="3" t="s">
        <v>83</v>
      </c>
    </row>
    <row r="3089" spans="1:19" x14ac:dyDescent="0.25">
      <c r="A3089" s="3">
        <v>3088</v>
      </c>
      <c r="B3089" s="5">
        <f>DATE(Table1[[#This Row],[Year]],Table1[[#This Row],[Month]],Table1[[#This Row],[Day]])</f>
        <v>45357</v>
      </c>
      <c r="C3089" s="3">
        <v>6</v>
      </c>
      <c r="D3089" s="3">
        <v>3</v>
      </c>
      <c r="E3089" s="3">
        <v>2024</v>
      </c>
      <c r="F3089" s="3" t="str">
        <f>"Qtr"&amp; " " &amp;CHOOSE(MONTH(Table1[[#This Row],[Date]]),1,1,1,2,2,2,3,3,3,4,4,4)</f>
        <v>Qtr 1</v>
      </c>
      <c r="G3089" s="3" t="str">
        <f>TEXT(Table1[[#This Row],[Date]],"mmmm")</f>
        <v>March</v>
      </c>
      <c r="H3089" s="3" t="s">
        <v>1083</v>
      </c>
      <c r="I3089" s="3" t="s">
        <v>33</v>
      </c>
      <c r="J3089" s="3">
        <v>7</v>
      </c>
      <c r="K3089" s="3">
        <v>50137.22</v>
      </c>
      <c r="L3089" s="3">
        <f>Table1[[#This Row],[Price Per Unit]]*Table1[[#This Row],[Units Sold]]</f>
        <v>350960.54000000004</v>
      </c>
      <c r="M3089" s="3" t="s">
        <v>151</v>
      </c>
      <c r="N3089" s="3">
        <v>34</v>
      </c>
      <c r="O3089" s="3" t="s">
        <v>58</v>
      </c>
      <c r="P3089" s="3" t="s">
        <v>31</v>
      </c>
      <c r="Q3089" s="4">
        <v>4</v>
      </c>
      <c r="R3089" s="4" t="str">
        <f>IF(Table1[[#This Row],[Customer Ratings]]&gt;=4, "Good",IF(Table1[[#This Row],[Customer Ratings]]=3, "Average","Poor"))</f>
        <v>Good</v>
      </c>
      <c r="S3089" s="3" t="s">
        <v>46</v>
      </c>
    </row>
    <row r="3090" spans="1:19" x14ac:dyDescent="0.25">
      <c r="A3090" s="3">
        <v>3089</v>
      </c>
      <c r="B3090" s="5">
        <f>DATE(Table1[[#This Row],[Year]],Table1[[#This Row],[Month]],Table1[[#This Row],[Day]])</f>
        <v>45358</v>
      </c>
      <c r="C3090" s="3">
        <v>7</v>
      </c>
      <c r="D3090" s="3">
        <v>3</v>
      </c>
      <c r="E3090" s="3">
        <v>2024</v>
      </c>
      <c r="F3090" s="3" t="str">
        <f>"Qtr"&amp; " " &amp;CHOOSE(MONTH(Table1[[#This Row],[Date]]),1,1,1,2,2,2,3,3,3,4,4,4)</f>
        <v>Qtr 1</v>
      </c>
      <c r="G3090" s="3" t="str">
        <f>TEXT(Table1[[#This Row],[Date]],"mmmm")</f>
        <v>March</v>
      </c>
      <c r="H3090" s="3" t="s">
        <v>1084</v>
      </c>
      <c r="I3090" s="3" t="s">
        <v>33</v>
      </c>
      <c r="J3090" s="3">
        <v>7</v>
      </c>
      <c r="K3090" s="3">
        <v>54820.51</v>
      </c>
      <c r="L3090" s="3">
        <f>Table1[[#This Row],[Price Per Unit]]*Table1[[#This Row],[Units Sold]]</f>
        <v>383743.57</v>
      </c>
      <c r="M3090" s="3" t="s">
        <v>754</v>
      </c>
      <c r="N3090" s="3">
        <v>22</v>
      </c>
      <c r="O3090" s="3" t="s">
        <v>20</v>
      </c>
      <c r="P3090" s="3" t="s">
        <v>16</v>
      </c>
      <c r="Q3090" s="4">
        <v>2</v>
      </c>
      <c r="R3090" s="4" t="str">
        <f>IF(Table1[[#This Row],[Customer Ratings]]&gt;=4, "Good",IF(Table1[[#This Row],[Customer Ratings]]=3, "Average","Poor"))</f>
        <v>Poor</v>
      </c>
      <c r="S3090" s="3" t="s">
        <v>46</v>
      </c>
    </row>
    <row r="3091" spans="1:19" x14ac:dyDescent="0.25">
      <c r="A3091" s="3">
        <v>3090</v>
      </c>
      <c r="B3091" s="5">
        <f>DATE(Table1[[#This Row],[Year]],Table1[[#This Row],[Month]],Table1[[#This Row],[Day]])</f>
        <v>45358</v>
      </c>
      <c r="C3091" s="3">
        <v>7</v>
      </c>
      <c r="D3091" s="3">
        <v>3</v>
      </c>
      <c r="E3091" s="3">
        <v>2024</v>
      </c>
      <c r="F3091" s="3" t="str">
        <f>"Qtr"&amp; " " &amp;CHOOSE(MONTH(Table1[[#This Row],[Date]]),1,1,1,2,2,2,3,3,3,4,4,4)</f>
        <v>Qtr 1</v>
      </c>
      <c r="G3091" s="3" t="str">
        <f>TEXT(Table1[[#This Row],[Date]],"mmmm")</f>
        <v>March</v>
      </c>
      <c r="H3091" s="3" t="s">
        <v>1084</v>
      </c>
      <c r="I3091" s="3" t="s">
        <v>18</v>
      </c>
      <c r="J3091" s="3">
        <v>8</v>
      </c>
      <c r="K3091" s="3">
        <v>64955.66</v>
      </c>
      <c r="L3091" s="3">
        <f>Table1[[#This Row],[Price Per Unit]]*Table1[[#This Row],[Units Sold]]</f>
        <v>519645.28</v>
      </c>
      <c r="M3091" s="3" t="s">
        <v>1022</v>
      </c>
      <c r="N3091" s="3">
        <v>29</v>
      </c>
      <c r="O3091" s="3" t="s">
        <v>81</v>
      </c>
      <c r="P3091" s="3" t="s">
        <v>21</v>
      </c>
      <c r="Q3091" s="4">
        <v>3</v>
      </c>
      <c r="R3091" s="4" t="str">
        <f>IF(Table1[[#This Row],[Customer Ratings]]&gt;=4, "Good",IF(Table1[[#This Row],[Customer Ratings]]=3, "Average","Poor"))</f>
        <v>Average</v>
      </c>
      <c r="S3091" s="3" t="s">
        <v>55</v>
      </c>
    </row>
    <row r="3092" spans="1:19" x14ac:dyDescent="0.25">
      <c r="A3092" s="3">
        <v>3091</v>
      </c>
      <c r="B3092" s="5">
        <f>DATE(Table1[[#This Row],[Year]],Table1[[#This Row],[Month]],Table1[[#This Row],[Day]])</f>
        <v>45358</v>
      </c>
      <c r="C3092" s="3">
        <v>7</v>
      </c>
      <c r="D3092" s="3">
        <v>3</v>
      </c>
      <c r="E3092" s="3">
        <v>2024</v>
      </c>
      <c r="F3092" s="3" t="str">
        <f>"Qtr"&amp; " " &amp;CHOOSE(MONTH(Table1[[#This Row],[Date]]),1,1,1,2,2,2,3,3,3,4,4,4)</f>
        <v>Qtr 1</v>
      </c>
      <c r="G3092" s="3" t="str">
        <f>TEXT(Table1[[#This Row],[Date]],"mmmm")</f>
        <v>March</v>
      </c>
      <c r="H3092" s="3" t="s">
        <v>1084</v>
      </c>
      <c r="I3092" s="3" t="s">
        <v>39</v>
      </c>
      <c r="J3092" s="3">
        <v>9</v>
      </c>
      <c r="K3092" s="3">
        <v>67487.37</v>
      </c>
      <c r="L3092" s="3">
        <f>Table1[[#This Row],[Price Per Unit]]*Table1[[#This Row],[Units Sold]]</f>
        <v>607386.32999999996</v>
      </c>
      <c r="M3092" s="3" t="s">
        <v>520</v>
      </c>
      <c r="N3092" s="3">
        <v>55</v>
      </c>
      <c r="O3092" s="3" t="s">
        <v>98</v>
      </c>
      <c r="P3092" s="3" t="s">
        <v>45</v>
      </c>
      <c r="Q3092" s="4">
        <v>5</v>
      </c>
      <c r="R3092" s="4" t="str">
        <f>IF(Table1[[#This Row],[Customer Ratings]]&gt;=4, "Good",IF(Table1[[#This Row],[Customer Ratings]]=3, "Average","Poor"))</f>
        <v>Good</v>
      </c>
      <c r="S3092" s="3" t="s">
        <v>42</v>
      </c>
    </row>
    <row r="3093" spans="1:19" x14ac:dyDescent="0.25">
      <c r="A3093" s="3">
        <v>3092</v>
      </c>
      <c r="B3093" s="5">
        <f>DATE(Table1[[#This Row],[Year]],Table1[[#This Row],[Month]],Table1[[#This Row],[Day]])</f>
        <v>45359</v>
      </c>
      <c r="C3093" s="3">
        <v>8</v>
      </c>
      <c r="D3093" s="3">
        <v>3</v>
      </c>
      <c r="E3093" s="3">
        <v>2024</v>
      </c>
      <c r="F3093" s="3" t="str">
        <f>"Qtr"&amp; " " &amp;CHOOSE(MONTH(Table1[[#This Row],[Date]]),1,1,1,2,2,2,3,3,3,4,4,4)</f>
        <v>Qtr 1</v>
      </c>
      <c r="G3093" s="3" t="str">
        <f>TEXT(Table1[[#This Row],[Date]],"mmmm")</f>
        <v>March</v>
      </c>
      <c r="H3093" s="3" t="s">
        <v>1085</v>
      </c>
      <c r="I3093" s="3" t="s">
        <v>33</v>
      </c>
      <c r="J3093" s="3">
        <v>9</v>
      </c>
      <c r="K3093" s="3">
        <v>10631.56</v>
      </c>
      <c r="L3093" s="3">
        <f>Table1[[#This Row],[Price Per Unit]]*Table1[[#This Row],[Units Sold]]</f>
        <v>95684.04</v>
      </c>
      <c r="M3093" s="3" t="s">
        <v>74</v>
      </c>
      <c r="N3093" s="3">
        <v>35</v>
      </c>
      <c r="O3093" s="3" t="s">
        <v>98</v>
      </c>
      <c r="P3093" s="3" t="s">
        <v>45</v>
      </c>
      <c r="Q3093" s="4">
        <v>5</v>
      </c>
      <c r="R3093" s="4" t="str">
        <f>IF(Table1[[#This Row],[Customer Ratings]]&gt;=4, "Good",IF(Table1[[#This Row],[Customer Ratings]]=3, "Average","Poor"))</f>
        <v>Good</v>
      </c>
      <c r="S3093" s="3" t="s">
        <v>36</v>
      </c>
    </row>
    <row r="3094" spans="1:19" x14ac:dyDescent="0.25">
      <c r="A3094" s="3">
        <v>3093</v>
      </c>
      <c r="B3094" s="5">
        <f>DATE(Table1[[#This Row],[Year]],Table1[[#This Row],[Month]],Table1[[#This Row],[Day]])</f>
        <v>45359</v>
      </c>
      <c r="C3094" s="3">
        <v>8</v>
      </c>
      <c r="D3094" s="3">
        <v>3</v>
      </c>
      <c r="E3094" s="3">
        <v>2024</v>
      </c>
      <c r="F3094" s="3" t="str">
        <f>"Qtr"&amp; " " &amp;CHOOSE(MONTH(Table1[[#This Row],[Date]]),1,1,1,2,2,2,3,3,3,4,4,4)</f>
        <v>Qtr 1</v>
      </c>
      <c r="G3094" s="3" t="str">
        <f>TEXT(Table1[[#This Row],[Date]],"mmmm")</f>
        <v>March</v>
      </c>
      <c r="H3094" s="3" t="s">
        <v>1085</v>
      </c>
      <c r="I3094" s="3" t="s">
        <v>39</v>
      </c>
      <c r="J3094" s="3">
        <v>2</v>
      </c>
      <c r="K3094" s="3">
        <v>69422.45</v>
      </c>
      <c r="L3094" s="3">
        <f>Table1[[#This Row],[Price Per Unit]]*Table1[[#This Row],[Units Sold]]</f>
        <v>138844.9</v>
      </c>
      <c r="M3094" s="3" t="s">
        <v>404</v>
      </c>
      <c r="N3094" s="3">
        <v>43</v>
      </c>
      <c r="O3094" s="3" t="s">
        <v>20</v>
      </c>
      <c r="P3094" s="3" t="s">
        <v>31</v>
      </c>
      <c r="Q3094" s="4">
        <v>5</v>
      </c>
      <c r="R3094" s="4" t="str">
        <f>IF(Table1[[#This Row],[Customer Ratings]]&gt;=4, "Good",IF(Table1[[#This Row],[Customer Ratings]]=3, "Average","Poor"))</f>
        <v>Good</v>
      </c>
      <c r="S3094" s="3" t="s">
        <v>42</v>
      </c>
    </row>
    <row r="3095" spans="1:19" x14ac:dyDescent="0.25">
      <c r="A3095" s="3">
        <v>3094</v>
      </c>
      <c r="B3095" s="5">
        <f>DATE(Table1[[#This Row],[Year]],Table1[[#This Row],[Month]],Table1[[#This Row],[Day]])</f>
        <v>45359</v>
      </c>
      <c r="C3095" s="3">
        <v>8</v>
      </c>
      <c r="D3095" s="3">
        <v>3</v>
      </c>
      <c r="E3095" s="3">
        <v>2024</v>
      </c>
      <c r="F3095" s="3" t="str">
        <f>"Qtr"&amp; " " &amp;CHOOSE(MONTH(Table1[[#This Row],[Date]]),1,1,1,2,2,2,3,3,3,4,4,4)</f>
        <v>Qtr 1</v>
      </c>
      <c r="G3095" s="3" t="str">
        <f>TEXT(Table1[[#This Row],[Date]],"mmmm")</f>
        <v>March</v>
      </c>
      <c r="H3095" s="3" t="s">
        <v>1085</v>
      </c>
      <c r="I3095" s="3" t="s">
        <v>18</v>
      </c>
      <c r="J3095" s="3">
        <v>7</v>
      </c>
      <c r="K3095" s="3">
        <v>50981.1</v>
      </c>
      <c r="L3095" s="3">
        <f>Table1[[#This Row],[Price Per Unit]]*Table1[[#This Row],[Units Sold]]</f>
        <v>356867.7</v>
      </c>
      <c r="M3095" s="3" t="s">
        <v>217</v>
      </c>
      <c r="N3095" s="3">
        <v>48</v>
      </c>
      <c r="O3095" s="3" t="s">
        <v>65</v>
      </c>
      <c r="P3095" s="3" t="s">
        <v>31</v>
      </c>
      <c r="Q3095" s="4">
        <v>3</v>
      </c>
      <c r="R3095" s="4" t="str">
        <f>IF(Table1[[#This Row],[Customer Ratings]]&gt;=4, "Good",IF(Table1[[#This Row],[Customer Ratings]]=3, "Average","Poor"))</f>
        <v>Average</v>
      </c>
      <c r="S3095" s="3" t="s">
        <v>25</v>
      </c>
    </row>
    <row r="3096" spans="1:19" x14ac:dyDescent="0.25">
      <c r="A3096" s="3">
        <v>3095</v>
      </c>
      <c r="B3096" s="5">
        <f>DATE(Table1[[#This Row],[Year]],Table1[[#This Row],[Month]],Table1[[#This Row],[Day]])</f>
        <v>45359</v>
      </c>
      <c r="C3096" s="3">
        <v>8</v>
      </c>
      <c r="D3096" s="3">
        <v>3</v>
      </c>
      <c r="E3096" s="3">
        <v>2024</v>
      </c>
      <c r="F3096" s="3" t="str">
        <f>"Qtr"&amp; " " &amp;CHOOSE(MONTH(Table1[[#This Row],[Date]]),1,1,1,2,2,2,3,3,3,4,4,4)</f>
        <v>Qtr 1</v>
      </c>
      <c r="G3096" s="3" t="str">
        <f>TEXT(Table1[[#This Row],[Date]],"mmmm")</f>
        <v>March</v>
      </c>
      <c r="H3096" s="3" t="s">
        <v>1085</v>
      </c>
      <c r="I3096" s="3" t="s">
        <v>39</v>
      </c>
      <c r="J3096" s="3">
        <v>7</v>
      </c>
      <c r="K3096" s="3">
        <v>48611.45</v>
      </c>
      <c r="L3096" s="3">
        <f>Table1[[#This Row],[Price Per Unit]]*Table1[[#This Row],[Units Sold]]</f>
        <v>340280.14999999997</v>
      </c>
      <c r="M3096" s="3" t="s">
        <v>935</v>
      </c>
      <c r="N3096" s="3">
        <v>54</v>
      </c>
      <c r="O3096" s="3" t="s">
        <v>20</v>
      </c>
      <c r="P3096" s="3" t="s">
        <v>31</v>
      </c>
      <c r="Q3096" s="4">
        <v>2</v>
      </c>
      <c r="R3096" s="4" t="str">
        <f>IF(Table1[[#This Row],[Customer Ratings]]&gt;=4, "Good",IF(Table1[[#This Row],[Customer Ratings]]=3, "Average","Poor"))</f>
        <v>Poor</v>
      </c>
      <c r="S3096" s="3" t="s">
        <v>90</v>
      </c>
    </row>
    <row r="3097" spans="1:19" x14ac:dyDescent="0.25">
      <c r="A3097" s="3">
        <v>3096</v>
      </c>
      <c r="B3097" s="5">
        <f>DATE(Table1[[#This Row],[Year]],Table1[[#This Row],[Month]],Table1[[#This Row],[Day]])</f>
        <v>45360</v>
      </c>
      <c r="C3097" s="3">
        <v>9</v>
      </c>
      <c r="D3097" s="3">
        <v>3</v>
      </c>
      <c r="E3097" s="3">
        <v>2024</v>
      </c>
      <c r="F3097" s="3" t="str">
        <f>"Qtr"&amp; " " &amp;CHOOSE(MONTH(Table1[[#This Row],[Date]]),1,1,1,2,2,2,3,3,3,4,4,4)</f>
        <v>Qtr 1</v>
      </c>
      <c r="G3097" s="3" t="str">
        <f>TEXT(Table1[[#This Row],[Date]],"mmmm")</f>
        <v>March</v>
      </c>
      <c r="H3097" s="3" t="s">
        <v>1079</v>
      </c>
      <c r="I3097" s="3" t="s">
        <v>18</v>
      </c>
      <c r="J3097" s="3">
        <v>4</v>
      </c>
      <c r="K3097" s="3">
        <v>10912.79</v>
      </c>
      <c r="L3097" s="3">
        <f>Table1[[#This Row],[Price Per Unit]]*Table1[[#This Row],[Units Sold]]</f>
        <v>43651.16</v>
      </c>
      <c r="M3097" s="3" t="s">
        <v>367</v>
      </c>
      <c r="N3097" s="3">
        <v>23</v>
      </c>
      <c r="O3097" s="3" t="s">
        <v>24</v>
      </c>
      <c r="P3097" s="3" t="s">
        <v>45</v>
      </c>
      <c r="Q3097" s="4">
        <v>4</v>
      </c>
      <c r="R3097" s="4" t="str">
        <f>IF(Table1[[#This Row],[Customer Ratings]]&gt;=4, "Good",IF(Table1[[#This Row],[Customer Ratings]]=3, "Average","Poor"))</f>
        <v>Good</v>
      </c>
      <c r="S3097" s="3" t="s">
        <v>22</v>
      </c>
    </row>
    <row r="3098" spans="1:19" x14ac:dyDescent="0.25">
      <c r="A3098" s="3">
        <v>3097</v>
      </c>
      <c r="B3098" s="5">
        <f>DATE(Table1[[#This Row],[Year]],Table1[[#This Row],[Month]],Table1[[#This Row],[Day]])</f>
        <v>45360</v>
      </c>
      <c r="C3098" s="3">
        <v>9</v>
      </c>
      <c r="D3098" s="3">
        <v>3</v>
      </c>
      <c r="E3098" s="3">
        <v>2024</v>
      </c>
      <c r="F3098" s="3" t="str">
        <f>"Qtr"&amp; " " &amp;CHOOSE(MONTH(Table1[[#This Row],[Date]]),1,1,1,2,2,2,3,3,3,4,4,4)</f>
        <v>Qtr 1</v>
      </c>
      <c r="G3098" s="3" t="str">
        <f>TEXT(Table1[[#This Row],[Date]],"mmmm")</f>
        <v>March</v>
      </c>
      <c r="H3098" s="3" t="s">
        <v>1079</v>
      </c>
      <c r="I3098" s="3" t="s">
        <v>18</v>
      </c>
      <c r="J3098" s="3">
        <v>9</v>
      </c>
      <c r="K3098" s="3">
        <v>61674</v>
      </c>
      <c r="L3098" s="3">
        <f>Table1[[#This Row],[Price Per Unit]]*Table1[[#This Row],[Units Sold]]</f>
        <v>555066</v>
      </c>
      <c r="M3098" s="3" t="s">
        <v>578</v>
      </c>
      <c r="N3098" s="3">
        <v>58</v>
      </c>
      <c r="O3098" s="3" t="s">
        <v>65</v>
      </c>
      <c r="P3098" s="3" t="s">
        <v>21</v>
      </c>
      <c r="Q3098" s="4">
        <v>1</v>
      </c>
      <c r="R3098" s="4" t="str">
        <f>IF(Table1[[#This Row],[Customer Ratings]]&gt;=4, "Good",IF(Table1[[#This Row],[Customer Ratings]]=3, "Average","Poor"))</f>
        <v>Poor</v>
      </c>
      <c r="S3098" s="3" t="s">
        <v>25</v>
      </c>
    </row>
    <row r="3099" spans="1:19" x14ac:dyDescent="0.25">
      <c r="A3099" s="3">
        <v>3098</v>
      </c>
      <c r="B3099" s="5">
        <f>DATE(Table1[[#This Row],[Year]],Table1[[#This Row],[Month]],Table1[[#This Row],[Day]])</f>
        <v>45360</v>
      </c>
      <c r="C3099" s="3">
        <v>9</v>
      </c>
      <c r="D3099" s="3">
        <v>3</v>
      </c>
      <c r="E3099" s="3">
        <v>2024</v>
      </c>
      <c r="F3099" s="3" t="str">
        <f>"Qtr"&amp; " " &amp;CHOOSE(MONTH(Table1[[#This Row],[Date]]),1,1,1,2,2,2,3,3,3,4,4,4)</f>
        <v>Qtr 1</v>
      </c>
      <c r="G3099" s="3" t="str">
        <f>TEXT(Table1[[#This Row],[Date]],"mmmm")</f>
        <v>March</v>
      </c>
      <c r="H3099" s="3" t="s">
        <v>1079</v>
      </c>
      <c r="I3099" s="3" t="s">
        <v>28</v>
      </c>
      <c r="J3099" s="3">
        <v>8</v>
      </c>
      <c r="K3099" s="3">
        <v>18729.490000000002</v>
      </c>
      <c r="L3099" s="3">
        <f>Table1[[#This Row],[Price Per Unit]]*Table1[[#This Row],[Units Sold]]</f>
        <v>149835.92000000001</v>
      </c>
      <c r="M3099" s="3" t="s">
        <v>744</v>
      </c>
      <c r="N3099" s="3">
        <v>32</v>
      </c>
      <c r="O3099" s="3" t="s">
        <v>102</v>
      </c>
      <c r="P3099" s="3" t="s">
        <v>45</v>
      </c>
      <c r="Q3099" s="4">
        <v>2</v>
      </c>
      <c r="R3099" s="4" t="str">
        <f>IF(Table1[[#This Row],[Customer Ratings]]&gt;=4, "Good",IF(Table1[[#This Row],[Customer Ratings]]=3, "Average","Poor"))</f>
        <v>Poor</v>
      </c>
      <c r="S3099" s="3" t="s">
        <v>32</v>
      </c>
    </row>
    <row r="3100" spans="1:19" x14ac:dyDescent="0.25">
      <c r="A3100" s="3">
        <v>3099</v>
      </c>
      <c r="B3100" s="5">
        <f>DATE(Table1[[#This Row],[Year]],Table1[[#This Row],[Month]],Table1[[#This Row],[Day]])</f>
        <v>45361</v>
      </c>
      <c r="C3100" s="3">
        <v>10</v>
      </c>
      <c r="D3100" s="3">
        <v>3</v>
      </c>
      <c r="E3100" s="3">
        <v>2024</v>
      </c>
      <c r="F3100" s="3" t="str">
        <f>"Qtr"&amp; " " &amp;CHOOSE(MONTH(Table1[[#This Row],[Date]]),1,1,1,2,2,2,3,3,3,4,4,4)</f>
        <v>Qtr 1</v>
      </c>
      <c r="G3100" s="3" t="str">
        <f>TEXT(Table1[[#This Row],[Date]],"mmmm")</f>
        <v>March</v>
      </c>
      <c r="H3100" s="3" t="s">
        <v>1080</v>
      </c>
      <c r="I3100" s="3" t="s">
        <v>18</v>
      </c>
      <c r="J3100" s="3">
        <v>1</v>
      </c>
      <c r="K3100" s="3">
        <v>60239.81</v>
      </c>
      <c r="L3100" s="3">
        <f>Table1[[#This Row],[Price Per Unit]]*Table1[[#This Row],[Units Sold]]</f>
        <v>60239.81</v>
      </c>
      <c r="M3100" s="3" t="s">
        <v>199</v>
      </c>
      <c r="N3100" s="3">
        <v>59</v>
      </c>
      <c r="O3100" s="3" t="s">
        <v>15</v>
      </c>
      <c r="P3100" s="3" t="s">
        <v>45</v>
      </c>
      <c r="Q3100" s="4">
        <v>3</v>
      </c>
      <c r="R3100" s="4" t="str">
        <f>IF(Table1[[#This Row],[Customer Ratings]]&gt;=4, "Good",IF(Table1[[#This Row],[Customer Ratings]]=3, "Average","Poor"))</f>
        <v>Average</v>
      </c>
      <c r="S3100" s="3" t="s">
        <v>22</v>
      </c>
    </row>
    <row r="3101" spans="1:19" x14ac:dyDescent="0.25">
      <c r="A3101" s="3">
        <v>3100</v>
      </c>
      <c r="B3101" s="5">
        <f>DATE(Table1[[#This Row],[Year]],Table1[[#This Row],[Month]],Table1[[#This Row],[Day]])</f>
        <v>45361</v>
      </c>
      <c r="C3101" s="3">
        <v>10</v>
      </c>
      <c r="D3101" s="3">
        <v>3</v>
      </c>
      <c r="E3101" s="3">
        <v>2024</v>
      </c>
      <c r="F3101" s="3" t="str">
        <f>"Qtr"&amp; " " &amp;CHOOSE(MONTH(Table1[[#This Row],[Date]]),1,1,1,2,2,2,3,3,3,4,4,4)</f>
        <v>Qtr 1</v>
      </c>
      <c r="G3101" s="3" t="str">
        <f>TEXT(Table1[[#This Row],[Date]],"mmmm")</f>
        <v>March</v>
      </c>
      <c r="H3101" s="3" t="s">
        <v>1080</v>
      </c>
      <c r="I3101" s="3" t="s">
        <v>18</v>
      </c>
      <c r="J3101" s="3">
        <v>2</v>
      </c>
      <c r="K3101" s="3">
        <v>10933.75</v>
      </c>
      <c r="L3101" s="3">
        <f>Table1[[#This Row],[Price Per Unit]]*Table1[[#This Row],[Units Sold]]</f>
        <v>21867.5</v>
      </c>
      <c r="M3101" s="3" t="s">
        <v>149</v>
      </c>
      <c r="N3101" s="3">
        <v>43</v>
      </c>
      <c r="O3101" s="3" t="s">
        <v>105</v>
      </c>
      <c r="P3101" s="3" t="s">
        <v>45</v>
      </c>
      <c r="Q3101" s="4">
        <v>4</v>
      </c>
      <c r="R3101" s="4" t="str">
        <f>IF(Table1[[#This Row],[Customer Ratings]]&gt;=4, "Good",IF(Table1[[#This Row],[Customer Ratings]]=3, "Average","Poor"))</f>
        <v>Good</v>
      </c>
      <c r="S3101" s="3" t="s">
        <v>25</v>
      </c>
    </row>
    <row r="3102" spans="1:19" x14ac:dyDescent="0.25">
      <c r="A3102" s="3">
        <v>3101</v>
      </c>
      <c r="B3102" s="5">
        <f>DATE(Table1[[#This Row],[Year]],Table1[[#This Row],[Month]],Table1[[#This Row],[Day]])</f>
        <v>45361</v>
      </c>
      <c r="C3102" s="3">
        <v>10</v>
      </c>
      <c r="D3102" s="3">
        <v>3</v>
      </c>
      <c r="E3102" s="3">
        <v>2024</v>
      </c>
      <c r="F3102" s="3" t="str">
        <f>"Qtr"&amp; " " &amp;CHOOSE(MONTH(Table1[[#This Row],[Date]]),1,1,1,2,2,2,3,3,3,4,4,4)</f>
        <v>Qtr 1</v>
      </c>
      <c r="G3102" s="3" t="str">
        <f>TEXT(Table1[[#This Row],[Date]],"mmmm")</f>
        <v>March</v>
      </c>
      <c r="H3102" s="3" t="s">
        <v>1080</v>
      </c>
      <c r="I3102" s="3" t="s">
        <v>13</v>
      </c>
      <c r="J3102" s="3">
        <v>2</v>
      </c>
      <c r="K3102" s="3">
        <v>48757.86</v>
      </c>
      <c r="L3102" s="3">
        <f>Table1[[#This Row],[Price Per Unit]]*Table1[[#This Row],[Units Sold]]</f>
        <v>97515.72</v>
      </c>
      <c r="M3102" s="3" t="s">
        <v>899</v>
      </c>
      <c r="N3102" s="3">
        <v>29</v>
      </c>
      <c r="O3102" s="3" t="s">
        <v>102</v>
      </c>
      <c r="P3102" s="3" t="s">
        <v>21</v>
      </c>
      <c r="Q3102" s="4">
        <v>1</v>
      </c>
      <c r="R3102" s="4" t="str">
        <f>IF(Table1[[#This Row],[Customer Ratings]]&gt;=4, "Good",IF(Table1[[#This Row],[Customer Ratings]]=3, "Average","Poor"))</f>
        <v>Poor</v>
      </c>
      <c r="S3102" s="3" t="s">
        <v>72</v>
      </c>
    </row>
    <row r="3103" spans="1:19" x14ac:dyDescent="0.25">
      <c r="A3103" s="3">
        <v>3102</v>
      </c>
      <c r="B3103" s="5">
        <f>DATE(Table1[[#This Row],[Year]],Table1[[#This Row],[Month]],Table1[[#This Row],[Day]])</f>
        <v>45361</v>
      </c>
      <c r="C3103" s="3">
        <v>10</v>
      </c>
      <c r="D3103" s="3">
        <v>3</v>
      </c>
      <c r="E3103" s="3">
        <v>2024</v>
      </c>
      <c r="F3103" s="3" t="str">
        <f>"Qtr"&amp; " " &amp;CHOOSE(MONTH(Table1[[#This Row],[Date]]),1,1,1,2,2,2,3,3,3,4,4,4)</f>
        <v>Qtr 1</v>
      </c>
      <c r="G3103" s="3" t="str">
        <f>TEXT(Table1[[#This Row],[Date]],"mmmm")</f>
        <v>March</v>
      </c>
      <c r="H3103" s="3" t="s">
        <v>1080</v>
      </c>
      <c r="I3103" s="3" t="s">
        <v>33</v>
      </c>
      <c r="J3103" s="3">
        <v>8</v>
      </c>
      <c r="K3103" s="3">
        <v>36088.089999999997</v>
      </c>
      <c r="L3103" s="3">
        <f>Table1[[#This Row],[Price Per Unit]]*Table1[[#This Row],[Units Sold]]</f>
        <v>288704.71999999997</v>
      </c>
      <c r="M3103" s="3" t="s">
        <v>424</v>
      </c>
      <c r="N3103" s="3">
        <v>58</v>
      </c>
      <c r="O3103" s="3" t="s">
        <v>24</v>
      </c>
      <c r="P3103" s="3" t="s">
        <v>45</v>
      </c>
      <c r="Q3103" s="4">
        <v>4</v>
      </c>
      <c r="R3103" s="4" t="str">
        <f>IF(Table1[[#This Row],[Customer Ratings]]&gt;=4, "Good",IF(Table1[[#This Row],[Customer Ratings]]=3, "Average","Poor"))</f>
        <v>Good</v>
      </c>
      <c r="S3103" s="3" t="s">
        <v>46</v>
      </c>
    </row>
    <row r="3104" spans="1:19" x14ac:dyDescent="0.25">
      <c r="A3104" s="3">
        <v>3103</v>
      </c>
      <c r="B3104" s="5">
        <f>DATE(Table1[[#This Row],[Year]],Table1[[#This Row],[Month]],Table1[[#This Row],[Day]])</f>
        <v>45362</v>
      </c>
      <c r="C3104" s="3">
        <v>11</v>
      </c>
      <c r="D3104" s="3">
        <v>3</v>
      </c>
      <c r="E3104" s="3">
        <v>2024</v>
      </c>
      <c r="F3104" s="3" t="str">
        <f>"Qtr"&amp; " " &amp;CHOOSE(MONTH(Table1[[#This Row],[Date]]),1,1,1,2,2,2,3,3,3,4,4,4)</f>
        <v>Qtr 1</v>
      </c>
      <c r="G3104" s="3" t="str">
        <f>TEXT(Table1[[#This Row],[Date]],"mmmm")</f>
        <v>March</v>
      </c>
      <c r="H3104" s="3" t="s">
        <v>1081</v>
      </c>
      <c r="I3104" s="3" t="s">
        <v>28</v>
      </c>
      <c r="J3104" s="3">
        <v>1</v>
      </c>
      <c r="K3104" s="3">
        <v>22046</v>
      </c>
      <c r="L3104" s="3">
        <f>Table1[[#This Row],[Price Per Unit]]*Table1[[#This Row],[Units Sold]]</f>
        <v>22046</v>
      </c>
      <c r="M3104" s="3" t="s">
        <v>1023</v>
      </c>
      <c r="N3104" s="3">
        <v>31</v>
      </c>
      <c r="O3104" s="3" t="s">
        <v>20</v>
      </c>
      <c r="P3104" s="3" t="s">
        <v>31</v>
      </c>
      <c r="Q3104" s="4">
        <v>1</v>
      </c>
      <c r="R3104" s="4" t="str">
        <f>IF(Table1[[#This Row],[Customer Ratings]]&gt;=4, "Good",IF(Table1[[#This Row],[Customer Ratings]]=3, "Average","Poor"))</f>
        <v>Poor</v>
      </c>
      <c r="S3104" s="3" t="s">
        <v>32</v>
      </c>
    </row>
    <row r="3105" spans="1:19" x14ac:dyDescent="0.25">
      <c r="A3105" s="3">
        <v>3104</v>
      </c>
      <c r="B3105" s="5">
        <f>DATE(Table1[[#This Row],[Year]],Table1[[#This Row],[Month]],Table1[[#This Row],[Day]])</f>
        <v>45362</v>
      </c>
      <c r="C3105" s="3">
        <v>11</v>
      </c>
      <c r="D3105" s="3">
        <v>3</v>
      </c>
      <c r="E3105" s="3">
        <v>2024</v>
      </c>
      <c r="F3105" s="3" t="str">
        <f>"Qtr"&amp; " " &amp;CHOOSE(MONTH(Table1[[#This Row],[Date]]),1,1,1,2,2,2,3,3,3,4,4,4)</f>
        <v>Qtr 1</v>
      </c>
      <c r="G3105" s="3" t="str">
        <f>TEXT(Table1[[#This Row],[Date]],"mmmm")</f>
        <v>March</v>
      </c>
      <c r="H3105" s="3" t="s">
        <v>1081</v>
      </c>
      <c r="I3105" s="3" t="s">
        <v>28</v>
      </c>
      <c r="J3105" s="3">
        <v>4</v>
      </c>
      <c r="K3105" s="3">
        <v>16453.68</v>
      </c>
      <c r="L3105" s="3">
        <f>Table1[[#This Row],[Price Per Unit]]*Table1[[#This Row],[Units Sold]]</f>
        <v>65814.720000000001</v>
      </c>
      <c r="M3105" s="3" t="s">
        <v>434</v>
      </c>
      <c r="N3105" s="3">
        <v>18</v>
      </c>
      <c r="O3105" s="3" t="s">
        <v>54</v>
      </c>
      <c r="P3105" s="3" t="s">
        <v>31</v>
      </c>
      <c r="Q3105" s="4">
        <v>1</v>
      </c>
      <c r="R3105" s="4" t="str">
        <f>IF(Table1[[#This Row],[Customer Ratings]]&gt;=4, "Good",IF(Table1[[#This Row],[Customer Ratings]]=3, "Average","Poor"))</f>
        <v>Poor</v>
      </c>
      <c r="S3105" s="3" t="s">
        <v>32</v>
      </c>
    </row>
    <row r="3106" spans="1:19" x14ac:dyDescent="0.25">
      <c r="A3106" s="3">
        <v>3105</v>
      </c>
      <c r="B3106" s="5">
        <f>DATE(Table1[[#This Row],[Year]],Table1[[#This Row],[Month]],Table1[[#This Row],[Day]])</f>
        <v>45362</v>
      </c>
      <c r="C3106" s="3">
        <v>11</v>
      </c>
      <c r="D3106" s="3">
        <v>3</v>
      </c>
      <c r="E3106" s="3">
        <v>2024</v>
      </c>
      <c r="F3106" s="3" t="str">
        <f>"Qtr"&amp; " " &amp;CHOOSE(MONTH(Table1[[#This Row],[Date]]),1,1,1,2,2,2,3,3,3,4,4,4)</f>
        <v>Qtr 1</v>
      </c>
      <c r="G3106" s="3" t="str">
        <f>TEXT(Table1[[#This Row],[Date]],"mmmm")</f>
        <v>March</v>
      </c>
      <c r="H3106" s="3" t="s">
        <v>1081</v>
      </c>
      <c r="I3106" s="3" t="s">
        <v>28</v>
      </c>
      <c r="J3106" s="3">
        <v>5</v>
      </c>
      <c r="K3106" s="3">
        <v>36407.660000000003</v>
      </c>
      <c r="L3106" s="3">
        <f>Table1[[#This Row],[Price Per Unit]]*Table1[[#This Row],[Units Sold]]</f>
        <v>182038.30000000002</v>
      </c>
      <c r="M3106" s="3" t="s">
        <v>533</v>
      </c>
      <c r="N3106" s="3">
        <v>34</v>
      </c>
      <c r="O3106" s="3" t="s">
        <v>24</v>
      </c>
      <c r="P3106" s="3" t="s">
        <v>31</v>
      </c>
      <c r="Q3106" s="4">
        <v>5</v>
      </c>
      <c r="R3106" s="4" t="str">
        <f>IF(Table1[[#This Row],[Customer Ratings]]&gt;=4, "Good",IF(Table1[[#This Row],[Customer Ratings]]=3, "Average","Poor"))</f>
        <v>Good</v>
      </c>
      <c r="S3106" s="3" t="s">
        <v>32</v>
      </c>
    </row>
    <row r="3107" spans="1:19" x14ac:dyDescent="0.25">
      <c r="A3107" s="3">
        <v>3106</v>
      </c>
      <c r="B3107" s="5">
        <f>DATE(Table1[[#This Row],[Year]],Table1[[#This Row],[Month]],Table1[[#This Row],[Day]])</f>
        <v>45362</v>
      </c>
      <c r="C3107" s="3">
        <v>11</v>
      </c>
      <c r="D3107" s="3">
        <v>3</v>
      </c>
      <c r="E3107" s="3">
        <v>2024</v>
      </c>
      <c r="F3107" s="3" t="str">
        <f>"Qtr"&amp; " " &amp;CHOOSE(MONTH(Table1[[#This Row],[Date]]),1,1,1,2,2,2,3,3,3,4,4,4)</f>
        <v>Qtr 1</v>
      </c>
      <c r="G3107" s="3" t="str">
        <f>TEXT(Table1[[#This Row],[Date]],"mmmm")</f>
        <v>March</v>
      </c>
      <c r="H3107" s="3" t="s">
        <v>1081</v>
      </c>
      <c r="I3107" s="3" t="s">
        <v>13</v>
      </c>
      <c r="J3107" s="3">
        <v>9</v>
      </c>
      <c r="K3107" s="3">
        <v>17398.349999999999</v>
      </c>
      <c r="L3107" s="3">
        <f>Table1[[#This Row],[Price Per Unit]]*Table1[[#This Row],[Units Sold]]</f>
        <v>156585.15</v>
      </c>
      <c r="M3107" s="3" t="s">
        <v>400</v>
      </c>
      <c r="N3107" s="3">
        <v>50</v>
      </c>
      <c r="O3107" s="3" t="s">
        <v>137</v>
      </c>
      <c r="P3107" s="3" t="s">
        <v>31</v>
      </c>
      <c r="Q3107" s="4">
        <v>3</v>
      </c>
      <c r="R3107" s="4" t="str">
        <f>IF(Table1[[#This Row],[Customer Ratings]]&gt;=4, "Good",IF(Table1[[#This Row],[Customer Ratings]]=3, "Average","Poor"))</f>
        <v>Average</v>
      </c>
      <c r="S3107" s="3" t="s">
        <v>17</v>
      </c>
    </row>
    <row r="3108" spans="1:19" x14ac:dyDescent="0.25">
      <c r="A3108" s="3">
        <v>3107</v>
      </c>
      <c r="B3108" s="5">
        <f>DATE(Table1[[#This Row],[Year]],Table1[[#This Row],[Month]],Table1[[#This Row],[Day]])</f>
        <v>45363</v>
      </c>
      <c r="C3108" s="3">
        <v>12</v>
      </c>
      <c r="D3108" s="3">
        <v>3</v>
      </c>
      <c r="E3108" s="3">
        <v>2024</v>
      </c>
      <c r="F3108" s="3" t="str">
        <f>"Qtr"&amp; " " &amp;CHOOSE(MONTH(Table1[[#This Row],[Date]]),1,1,1,2,2,2,3,3,3,4,4,4)</f>
        <v>Qtr 1</v>
      </c>
      <c r="G3108" s="3" t="str">
        <f>TEXT(Table1[[#This Row],[Date]],"mmmm")</f>
        <v>March</v>
      </c>
      <c r="H3108" s="3" t="s">
        <v>1082</v>
      </c>
      <c r="I3108" s="3" t="s">
        <v>18</v>
      </c>
      <c r="J3108" s="3">
        <v>7</v>
      </c>
      <c r="K3108" s="3">
        <v>39186.800000000003</v>
      </c>
      <c r="L3108" s="3">
        <f>Table1[[#This Row],[Price Per Unit]]*Table1[[#This Row],[Units Sold]]</f>
        <v>274307.60000000003</v>
      </c>
      <c r="M3108" s="3" t="s">
        <v>453</v>
      </c>
      <c r="N3108" s="3">
        <v>46</v>
      </c>
      <c r="O3108" s="3" t="s">
        <v>20</v>
      </c>
      <c r="P3108" s="3" t="s">
        <v>45</v>
      </c>
      <c r="Q3108" s="4">
        <v>2</v>
      </c>
      <c r="R3108" s="4" t="str">
        <f>IF(Table1[[#This Row],[Customer Ratings]]&gt;=4, "Good",IF(Table1[[#This Row],[Customer Ratings]]=3, "Average","Poor"))</f>
        <v>Poor</v>
      </c>
      <c r="S3108" s="3" t="s">
        <v>25</v>
      </c>
    </row>
    <row r="3109" spans="1:19" x14ac:dyDescent="0.25">
      <c r="A3109" s="3">
        <v>3108</v>
      </c>
      <c r="B3109" s="5">
        <f>DATE(Table1[[#This Row],[Year]],Table1[[#This Row],[Month]],Table1[[#This Row],[Day]])</f>
        <v>45363</v>
      </c>
      <c r="C3109" s="3">
        <v>12</v>
      </c>
      <c r="D3109" s="3">
        <v>3</v>
      </c>
      <c r="E3109" s="3">
        <v>2024</v>
      </c>
      <c r="F3109" s="3" t="str">
        <f>"Qtr"&amp; " " &amp;CHOOSE(MONTH(Table1[[#This Row],[Date]]),1,1,1,2,2,2,3,3,3,4,4,4)</f>
        <v>Qtr 1</v>
      </c>
      <c r="G3109" s="3" t="str">
        <f>TEXT(Table1[[#This Row],[Date]],"mmmm")</f>
        <v>March</v>
      </c>
      <c r="H3109" s="3" t="s">
        <v>1082</v>
      </c>
      <c r="I3109" s="3" t="s">
        <v>33</v>
      </c>
      <c r="J3109" s="3">
        <v>8</v>
      </c>
      <c r="K3109" s="3">
        <v>47513.02</v>
      </c>
      <c r="L3109" s="3">
        <f>Table1[[#This Row],[Price Per Unit]]*Table1[[#This Row],[Units Sold]]</f>
        <v>380104.16</v>
      </c>
      <c r="M3109" s="3" t="s">
        <v>583</v>
      </c>
      <c r="N3109" s="3">
        <v>48</v>
      </c>
      <c r="O3109" s="3" t="s">
        <v>125</v>
      </c>
      <c r="P3109" s="3" t="s">
        <v>45</v>
      </c>
      <c r="Q3109" s="4">
        <v>5</v>
      </c>
      <c r="R3109" s="4" t="str">
        <f>IF(Table1[[#This Row],[Customer Ratings]]&gt;=4, "Good",IF(Table1[[#This Row],[Customer Ratings]]=3, "Average","Poor"))</f>
        <v>Good</v>
      </c>
      <c r="S3109" s="3" t="s">
        <v>36</v>
      </c>
    </row>
    <row r="3110" spans="1:19" x14ac:dyDescent="0.25">
      <c r="A3110" s="3">
        <v>3109</v>
      </c>
      <c r="B3110" s="5">
        <f>DATE(Table1[[#This Row],[Year]],Table1[[#This Row],[Month]],Table1[[#This Row],[Day]])</f>
        <v>45363</v>
      </c>
      <c r="C3110" s="3">
        <v>12</v>
      </c>
      <c r="D3110" s="3">
        <v>3</v>
      </c>
      <c r="E3110" s="3">
        <v>2024</v>
      </c>
      <c r="F3110" s="3" t="str">
        <f>"Qtr"&amp; " " &amp;CHOOSE(MONTH(Table1[[#This Row],[Date]]),1,1,1,2,2,2,3,3,3,4,4,4)</f>
        <v>Qtr 1</v>
      </c>
      <c r="G3110" s="3" t="str">
        <f>TEXT(Table1[[#This Row],[Date]],"mmmm")</f>
        <v>March</v>
      </c>
      <c r="H3110" s="3" t="s">
        <v>1082</v>
      </c>
      <c r="I3110" s="3" t="s">
        <v>39</v>
      </c>
      <c r="J3110" s="3">
        <v>9</v>
      </c>
      <c r="K3110" s="3">
        <v>59643.05</v>
      </c>
      <c r="L3110" s="3">
        <f>Table1[[#This Row],[Price Per Unit]]*Table1[[#This Row],[Units Sold]]</f>
        <v>536787.45000000007</v>
      </c>
      <c r="M3110" s="3" t="s">
        <v>550</v>
      </c>
      <c r="N3110" s="3">
        <v>25</v>
      </c>
      <c r="O3110" s="3" t="s">
        <v>105</v>
      </c>
      <c r="P3110" s="3" t="s">
        <v>45</v>
      </c>
      <c r="Q3110" s="4">
        <v>5</v>
      </c>
      <c r="R3110" s="4" t="str">
        <f>IF(Table1[[#This Row],[Customer Ratings]]&gt;=4, "Good",IF(Table1[[#This Row],[Customer Ratings]]=3, "Average","Poor"))</f>
        <v>Good</v>
      </c>
      <c r="S3110" s="3" t="s">
        <v>76</v>
      </c>
    </row>
    <row r="3111" spans="1:19" x14ac:dyDescent="0.25">
      <c r="A3111" s="3">
        <v>3110</v>
      </c>
      <c r="B3111" s="5">
        <f>DATE(Table1[[#This Row],[Year]],Table1[[#This Row],[Month]],Table1[[#This Row],[Day]])</f>
        <v>45364</v>
      </c>
      <c r="C3111" s="3">
        <v>13</v>
      </c>
      <c r="D3111" s="3">
        <v>3</v>
      </c>
      <c r="E3111" s="3">
        <v>2024</v>
      </c>
      <c r="F3111" s="3" t="str">
        <f>"Qtr"&amp; " " &amp;CHOOSE(MONTH(Table1[[#This Row],[Date]]),1,1,1,2,2,2,3,3,3,4,4,4)</f>
        <v>Qtr 1</v>
      </c>
      <c r="G3111" s="3" t="str">
        <f>TEXT(Table1[[#This Row],[Date]],"mmmm")</f>
        <v>March</v>
      </c>
      <c r="H3111" s="3" t="s">
        <v>1083</v>
      </c>
      <c r="I3111" s="3" t="s">
        <v>18</v>
      </c>
      <c r="J3111" s="3">
        <v>7</v>
      </c>
      <c r="K3111" s="3">
        <v>50718.97</v>
      </c>
      <c r="L3111" s="3">
        <f>Table1[[#This Row],[Price Per Unit]]*Table1[[#This Row],[Units Sold]]</f>
        <v>355032.79000000004</v>
      </c>
      <c r="M3111" s="3" t="s">
        <v>106</v>
      </c>
      <c r="N3111" s="3">
        <v>47</v>
      </c>
      <c r="O3111" s="3" t="s">
        <v>20</v>
      </c>
      <c r="P3111" s="3" t="s">
        <v>31</v>
      </c>
      <c r="Q3111" s="4">
        <v>4</v>
      </c>
      <c r="R3111" s="4" t="str">
        <f>IF(Table1[[#This Row],[Customer Ratings]]&gt;=4, "Good",IF(Table1[[#This Row],[Customer Ratings]]=3, "Average","Poor"))</f>
        <v>Good</v>
      </c>
      <c r="S3111" s="3" t="s">
        <v>22</v>
      </c>
    </row>
    <row r="3112" spans="1:19" x14ac:dyDescent="0.25">
      <c r="A3112" s="3">
        <v>3111</v>
      </c>
      <c r="B3112" s="5">
        <f>DATE(Table1[[#This Row],[Year]],Table1[[#This Row],[Month]],Table1[[#This Row],[Day]])</f>
        <v>45364</v>
      </c>
      <c r="C3112" s="3">
        <v>13</v>
      </c>
      <c r="D3112" s="3">
        <v>3</v>
      </c>
      <c r="E3112" s="3">
        <v>2024</v>
      </c>
      <c r="F3112" s="3" t="str">
        <f>"Qtr"&amp; " " &amp;CHOOSE(MONTH(Table1[[#This Row],[Date]]),1,1,1,2,2,2,3,3,3,4,4,4)</f>
        <v>Qtr 1</v>
      </c>
      <c r="G3112" s="3" t="str">
        <f>TEXT(Table1[[#This Row],[Date]],"mmmm")</f>
        <v>March</v>
      </c>
      <c r="H3112" s="3" t="s">
        <v>1083</v>
      </c>
      <c r="I3112" s="3" t="s">
        <v>13</v>
      </c>
      <c r="J3112" s="3">
        <v>5</v>
      </c>
      <c r="K3112" s="3">
        <v>13911.99</v>
      </c>
      <c r="L3112" s="3">
        <f>Table1[[#This Row],[Price Per Unit]]*Table1[[#This Row],[Units Sold]]</f>
        <v>69559.95</v>
      </c>
      <c r="M3112" s="3" t="s">
        <v>766</v>
      </c>
      <c r="N3112" s="3">
        <v>30</v>
      </c>
      <c r="O3112" s="3" t="s">
        <v>24</v>
      </c>
      <c r="P3112" s="3" t="s">
        <v>21</v>
      </c>
      <c r="Q3112" s="4">
        <v>1</v>
      </c>
      <c r="R3112" s="4" t="str">
        <f>IF(Table1[[#This Row],[Customer Ratings]]&gt;=4, "Good",IF(Table1[[#This Row],[Customer Ratings]]=3, "Average","Poor"))</f>
        <v>Poor</v>
      </c>
      <c r="S3112" s="3" t="s">
        <v>27</v>
      </c>
    </row>
    <row r="3113" spans="1:19" x14ac:dyDescent="0.25">
      <c r="A3113" s="3">
        <v>3112</v>
      </c>
      <c r="B3113" s="5">
        <f>DATE(Table1[[#This Row],[Year]],Table1[[#This Row],[Month]],Table1[[#This Row],[Day]])</f>
        <v>45364</v>
      </c>
      <c r="C3113" s="3">
        <v>13</v>
      </c>
      <c r="D3113" s="3">
        <v>3</v>
      </c>
      <c r="E3113" s="3">
        <v>2024</v>
      </c>
      <c r="F3113" s="3" t="str">
        <f>"Qtr"&amp; " " &amp;CHOOSE(MONTH(Table1[[#This Row],[Date]]),1,1,1,2,2,2,3,3,3,4,4,4)</f>
        <v>Qtr 1</v>
      </c>
      <c r="G3113" s="3" t="str">
        <f>TEXT(Table1[[#This Row],[Date]],"mmmm")</f>
        <v>March</v>
      </c>
      <c r="H3113" s="3" t="s">
        <v>1083</v>
      </c>
      <c r="I3113" s="3" t="s">
        <v>18</v>
      </c>
      <c r="J3113" s="3">
        <v>5</v>
      </c>
      <c r="K3113" s="3">
        <v>28445.95</v>
      </c>
      <c r="L3113" s="3">
        <f>Table1[[#This Row],[Price Per Unit]]*Table1[[#This Row],[Units Sold]]</f>
        <v>142229.75</v>
      </c>
      <c r="M3113" s="3" t="s">
        <v>406</v>
      </c>
      <c r="N3113" s="3">
        <v>33</v>
      </c>
      <c r="O3113" s="3" t="s">
        <v>20</v>
      </c>
      <c r="P3113" s="3" t="s">
        <v>16</v>
      </c>
      <c r="Q3113" s="4">
        <v>1</v>
      </c>
      <c r="R3113" s="4" t="str">
        <f>IF(Table1[[#This Row],[Customer Ratings]]&gt;=4, "Good",IF(Table1[[#This Row],[Customer Ratings]]=3, "Average","Poor"))</f>
        <v>Poor</v>
      </c>
      <c r="S3113" s="3" t="s">
        <v>22</v>
      </c>
    </row>
    <row r="3114" spans="1:19" x14ac:dyDescent="0.25">
      <c r="A3114" s="3">
        <v>3113</v>
      </c>
      <c r="B3114" s="5">
        <f>DATE(Table1[[#This Row],[Year]],Table1[[#This Row],[Month]],Table1[[#This Row],[Day]])</f>
        <v>45365</v>
      </c>
      <c r="C3114" s="3">
        <v>14</v>
      </c>
      <c r="D3114" s="3">
        <v>3</v>
      </c>
      <c r="E3114" s="3">
        <v>2024</v>
      </c>
      <c r="F3114" s="3" t="str">
        <f>"Qtr"&amp; " " &amp;CHOOSE(MONTH(Table1[[#This Row],[Date]]),1,1,1,2,2,2,3,3,3,4,4,4)</f>
        <v>Qtr 1</v>
      </c>
      <c r="G3114" s="3" t="str">
        <f>TEXT(Table1[[#This Row],[Date]],"mmmm")</f>
        <v>March</v>
      </c>
      <c r="H3114" s="3" t="s">
        <v>1084</v>
      </c>
      <c r="I3114" s="3" t="s">
        <v>18</v>
      </c>
      <c r="J3114" s="3">
        <v>6</v>
      </c>
      <c r="K3114" s="3">
        <v>27278.720000000001</v>
      </c>
      <c r="L3114" s="3">
        <f>Table1[[#This Row],[Price Per Unit]]*Table1[[#This Row],[Units Sold]]</f>
        <v>163672.32000000001</v>
      </c>
      <c r="M3114" s="3" t="s">
        <v>61</v>
      </c>
      <c r="N3114" s="3">
        <v>19</v>
      </c>
      <c r="O3114" s="3" t="s">
        <v>65</v>
      </c>
      <c r="P3114" s="3" t="s">
        <v>16</v>
      </c>
      <c r="Q3114" s="4">
        <v>4</v>
      </c>
      <c r="R3114" s="4" t="str">
        <f>IF(Table1[[#This Row],[Customer Ratings]]&gt;=4, "Good",IF(Table1[[#This Row],[Customer Ratings]]=3, "Average","Poor"))</f>
        <v>Good</v>
      </c>
      <c r="S3114" s="3" t="s">
        <v>55</v>
      </c>
    </row>
    <row r="3115" spans="1:19" x14ac:dyDescent="0.25">
      <c r="A3115" s="3">
        <v>3114</v>
      </c>
      <c r="B3115" s="5">
        <f>DATE(Table1[[#This Row],[Year]],Table1[[#This Row],[Month]],Table1[[#This Row],[Day]])</f>
        <v>45365</v>
      </c>
      <c r="C3115" s="3">
        <v>14</v>
      </c>
      <c r="D3115" s="3">
        <v>3</v>
      </c>
      <c r="E3115" s="3">
        <v>2024</v>
      </c>
      <c r="F3115" s="3" t="str">
        <f>"Qtr"&amp; " " &amp;CHOOSE(MONTH(Table1[[#This Row],[Date]]),1,1,1,2,2,2,3,3,3,4,4,4)</f>
        <v>Qtr 1</v>
      </c>
      <c r="G3115" s="3" t="str">
        <f>TEXT(Table1[[#This Row],[Date]],"mmmm")</f>
        <v>March</v>
      </c>
      <c r="H3115" s="3" t="s">
        <v>1084</v>
      </c>
      <c r="I3115" s="3" t="s">
        <v>13</v>
      </c>
      <c r="J3115" s="3">
        <v>5</v>
      </c>
      <c r="K3115" s="3">
        <v>64901.95</v>
      </c>
      <c r="L3115" s="3">
        <f>Table1[[#This Row],[Price Per Unit]]*Table1[[#This Row],[Units Sold]]</f>
        <v>324509.75</v>
      </c>
      <c r="M3115" s="3" t="s">
        <v>43</v>
      </c>
      <c r="N3115" s="3">
        <v>35</v>
      </c>
      <c r="O3115" s="3" t="s">
        <v>20</v>
      </c>
      <c r="P3115" s="3" t="s">
        <v>16</v>
      </c>
      <c r="Q3115" s="4">
        <v>3</v>
      </c>
      <c r="R3115" s="4" t="str">
        <f>IF(Table1[[#This Row],[Customer Ratings]]&gt;=4, "Good",IF(Table1[[#This Row],[Customer Ratings]]=3, "Average","Poor"))</f>
        <v>Average</v>
      </c>
      <c r="S3115" s="3" t="s">
        <v>72</v>
      </c>
    </row>
    <row r="3116" spans="1:19" x14ac:dyDescent="0.25">
      <c r="A3116" s="3">
        <v>3115</v>
      </c>
      <c r="B3116" s="5">
        <f>DATE(Table1[[#This Row],[Year]],Table1[[#This Row],[Month]],Table1[[#This Row],[Day]])</f>
        <v>45365</v>
      </c>
      <c r="C3116" s="3">
        <v>14</v>
      </c>
      <c r="D3116" s="3">
        <v>3</v>
      </c>
      <c r="E3116" s="3">
        <v>2024</v>
      </c>
      <c r="F3116" s="3" t="str">
        <f>"Qtr"&amp; " " &amp;CHOOSE(MONTH(Table1[[#This Row],[Date]]),1,1,1,2,2,2,3,3,3,4,4,4)</f>
        <v>Qtr 1</v>
      </c>
      <c r="G3116" s="3" t="str">
        <f>TEXT(Table1[[#This Row],[Date]],"mmmm")</f>
        <v>March</v>
      </c>
      <c r="H3116" s="3" t="s">
        <v>1084</v>
      </c>
      <c r="I3116" s="3" t="s">
        <v>28</v>
      </c>
      <c r="J3116" s="3">
        <v>9</v>
      </c>
      <c r="K3116" s="3">
        <v>62066.92</v>
      </c>
      <c r="L3116" s="3">
        <f>Table1[[#This Row],[Price Per Unit]]*Table1[[#This Row],[Units Sold]]</f>
        <v>558602.28</v>
      </c>
      <c r="M3116" s="3" t="s">
        <v>846</v>
      </c>
      <c r="N3116" s="3">
        <v>52</v>
      </c>
      <c r="O3116" s="3" t="s">
        <v>48</v>
      </c>
      <c r="P3116" s="3" t="s">
        <v>21</v>
      </c>
      <c r="Q3116" s="4">
        <v>1</v>
      </c>
      <c r="R3116" s="4" t="str">
        <f>IF(Table1[[#This Row],[Customer Ratings]]&gt;=4, "Good",IF(Table1[[#This Row],[Customer Ratings]]=3, "Average","Poor"))</f>
        <v>Poor</v>
      </c>
      <c r="S3116" s="3" t="s">
        <v>87</v>
      </c>
    </row>
    <row r="3117" spans="1:19" x14ac:dyDescent="0.25">
      <c r="A3117" s="3">
        <v>3116</v>
      </c>
      <c r="B3117" s="5">
        <f>DATE(Table1[[#This Row],[Year]],Table1[[#This Row],[Month]],Table1[[#This Row],[Day]])</f>
        <v>45365</v>
      </c>
      <c r="C3117" s="3">
        <v>14</v>
      </c>
      <c r="D3117" s="3">
        <v>3</v>
      </c>
      <c r="E3117" s="3">
        <v>2024</v>
      </c>
      <c r="F3117" s="3" t="str">
        <f>"Qtr"&amp; " " &amp;CHOOSE(MONTH(Table1[[#This Row],[Date]]),1,1,1,2,2,2,3,3,3,4,4,4)</f>
        <v>Qtr 1</v>
      </c>
      <c r="G3117" s="3" t="str">
        <f>TEXT(Table1[[#This Row],[Date]],"mmmm")</f>
        <v>March</v>
      </c>
      <c r="H3117" s="3" t="s">
        <v>1084</v>
      </c>
      <c r="I3117" s="3" t="s">
        <v>28</v>
      </c>
      <c r="J3117" s="3">
        <v>3</v>
      </c>
      <c r="K3117" s="3">
        <v>32208.880000000001</v>
      </c>
      <c r="L3117" s="3">
        <f>Table1[[#This Row],[Price Per Unit]]*Table1[[#This Row],[Units Sold]]</f>
        <v>96626.64</v>
      </c>
      <c r="M3117" s="3" t="s">
        <v>698</v>
      </c>
      <c r="N3117" s="3">
        <v>36</v>
      </c>
      <c r="O3117" s="3" t="s">
        <v>24</v>
      </c>
      <c r="P3117" s="3" t="s">
        <v>45</v>
      </c>
      <c r="Q3117" s="4">
        <v>5</v>
      </c>
      <c r="R3117" s="4" t="str">
        <f>IF(Table1[[#This Row],[Customer Ratings]]&gt;=4, "Good",IF(Table1[[#This Row],[Customer Ratings]]=3, "Average","Poor"))</f>
        <v>Good</v>
      </c>
      <c r="S3117" s="3" t="s">
        <v>38</v>
      </c>
    </row>
    <row r="3118" spans="1:19" x14ac:dyDescent="0.25">
      <c r="A3118" s="3">
        <v>3117</v>
      </c>
      <c r="B3118" s="5">
        <f>DATE(Table1[[#This Row],[Year]],Table1[[#This Row],[Month]],Table1[[#This Row],[Day]])</f>
        <v>45366</v>
      </c>
      <c r="C3118" s="3">
        <v>15</v>
      </c>
      <c r="D3118" s="3">
        <v>3</v>
      </c>
      <c r="E3118" s="3">
        <v>2024</v>
      </c>
      <c r="F3118" s="3" t="str">
        <f>"Qtr"&amp; " " &amp;CHOOSE(MONTH(Table1[[#This Row],[Date]]),1,1,1,2,2,2,3,3,3,4,4,4)</f>
        <v>Qtr 1</v>
      </c>
      <c r="G3118" s="3" t="str">
        <f>TEXT(Table1[[#This Row],[Date]],"mmmm")</f>
        <v>March</v>
      </c>
      <c r="H3118" s="3" t="s">
        <v>1085</v>
      </c>
      <c r="I3118" s="3" t="s">
        <v>33</v>
      </c>
      <c r="J3118" s="3">
        <v>3</v>
      </c>
      <c r="K3118" s="3">
        <v>14269.32</v>
      </c>
      <c r="L3118" s="3">
        <f>Table1[[#This Row],[Price Per Unit]]*Table1[[#This Row],[Units Sold]]</f>
        <v>42807.96</v>
      </c>
      <c r="M3118" s="3" t="s">
        <v>939</v>
      </c>
      <c r="N3118" s="3">
        <v>30</v>
      </c>
      <c r="O3118" s="3" t="s">
        <v>120</v>
      </c>
      <c r="P3118" s="3" t="s">
        <v>16</v>
      </c>
      <c r="Q3118" s="4">
        <v>5</v>
      </c>
      <c r="R3118" s="4" t="str">
        <f>IF(Table1[[#This Row],[Customer Ratings]]&gt;=4, "Good",IF(Table1[[#This Row],[Customer Ratings]]=3, "Average","Poor"))</f>
        <v>Good</v>
      </c>
      <c r="S3118" s="3" t="s">
        <v>83</v>
      </c>
    </row>
    <row r="3119" spans="1:19" x14ac:dyDescent="0.25">
      <c r="A3119" s="3">
        <v>3118</v>
      </c>
      <c r="B3119" s="5">
        <f>DATE(Table1[[#This Row],[Year]],Table1[[#This Row],[Month]],Table1[[#This Row],[Day]])</f>
        <v>45366</v>
      </c>
      <c r="C3119" s="3">
        <v>15</v>
      </c>
      <c r="D3119" s="3">
        <v>3</v>
      </c>
      <c r="E3119" s="3">
        <v>2024</v>
      </c>
      <c r="F3119" s="3" t="str">
        <f>"Qtr"&amp; " " &amp;CHOOSE(MONTH(Table1[[#This Row],[Date]]),1,1,1,2,2,2,3,3,3,4,4,4)</f>
        <v>Qtr 1</v>
      </c>
      <c r="G3119" s="3" t="str">
        <f>TEXT(Table1[[#This Row],[Date]],"mmmm")</f>
        <v>March</v>
      </c>
      <c r="H3119" s="3" t="s">
        <v>1085</v>
      </c>
      <c r="I3119" s="3" t="s">
        <v>33</v>
      </c>
      <c r="J3119" s="3">
        <v>7</v>
      </c>
      <c r="K3119" s="3">
        <v>63646.44</v>
      </c>
      <c r="L3119" s="3">
        <f>Table1[[#This Row],[Price Per Unit]]*Table1[[#This Row],[Units Sold]]</f>
        <v>445525.08</v>
      </c>
      <c r="M3119" s="3" t="s">
        <v>431</v>
      </c>
      <c r="N3119" s="3">
        <v>21</v>
      </c>
      <c r="O3119" s="3" t="s">
        <v>20</v>
      </c>
      <c r="P3119" s="3" t="s">
        <v>16</v>
      </c>
      <c r="Q3119" s="4">
        <v>1</v>
      </c>
      <c r="R3119" s="4" t="str">
        <f>IF(Table1[[#This Row],[Customer Ratings]]&gt;=4, "Good",IF(Table1[[#This Row],[Customer Ratings]]=3, "Average","Poor"))</f>
        <v>Poor</v>
      </c>
      <c r="S3119" s="3" t="s">
        <v>36</v>
      </c>
    </row>
    <row r="3120" spans="1:19" x14ac:dyDescent="0.25">
      <c r="A3120" s="3">
        <v>3119</v>
      </c>
      <c r="B3120" s="5">
        <f>DATE(Table1[[#This Row],[Year]],Table1[[#This Row],[Month]],Table1[[#This Row],[Day]])</f>
        <v>45366</v>
      </c>
      <c r="C3120" s="3">
        <v>15</v>
      </c>
      <c r="D3120" s="3">
        <v>3</v>
      </c>
      <c r="E3120" s="3">
        <v>2024</v>
      </c>
      <c r="F3120" s="3" t="str">
        <f>"Qtr"&amp; " " &amp;CHOOSE(MONTH(Table1[[#This Row],[Date]]),1,1,1,2,2,2,3,3,3,4,4,4)</f>
        <v>Qtr 1</v>
      </c>
      <c r="G3120" s="3" t="str">
        <f>TEXT(Table1[[#This Row],[Date]],"mmmm")</f>
        <v>March</v>
      </c>
      <c r="H3120" s="3" t="s">
        <v>1085</v>
      </c>
      <c r="I3120" s="3" t="s">
        <v>28</v>
      </c>
      <c r="J3120" s="3">
        <v>7</v>
      </c>
      <c r="K3120" s="3">
        <v>63291.4</v>
      </c>
      <c r="L3120" s="3">
        <f>Table1[[#This Row],[Price Per Unit]]*Table1[[#This Row],[Units Sold]]</f>
        <v>443039.8</v>
      </c>
      <c r="M3120" s="3" t="s">
        <v>278</v>
      </c>
      <c r="N3120" s="3">
        <v>36</v>
      </c>
      <c r="O3120" s="3" t="s">
        <v>20</v>
      </c>
      <c r="P3120" s="3" t="s">
        <v>45</v>
      </c>
      <c r="Q3120" s="4">
        <v>1</v>
      </c>
      <c r="R3120" s="4" t="str">
        <f>IF(Table1[[#This Row],[Customer Ratings]]&gt;=4, "Good",IF(Table1[[#This Row],[Customer Ratings]]=3, "Average","Poor"))</f>
        <v>Poor</v>
      </c>
      <c r="S3120" s="3" t="s">
        <v>32</v>
      </c>
    </row>
    <row r="3121" spans="1:19" x14ac:dyDescent="0.25">
      <c r="A3121" s="3">
        <v>3120</v>
      </c>
      <c r="B3121" s="5">
        <f>DATE(Table1[[#This Row],[Year]],Table1[[#This Row],[Month]],Table1[[#This Row],[Day]])</f>
        <v>45366</v>
      </c>
      <c r="C3121" s="3">
        <v>15</v>
      </c>
      <c r="D3121" s="3">
        <v>3</v>
      </c>
      <c r="E3121" s="3">
        <v>2024</v>
      </c>
      <c r="F3121" s="3" t="str">
        <f>"Qtr"&amp; " " &amp;CHOOSE(MONTH(Table1[[#This Row],[Date]]),1,1,1,2,2,2,3,3,3,4,4,4)</f>
        <v>Qtr 1</v>
      </c>
      <c r="G3121" s="3" t="str">
        <f>TEXT(Table1[[#This Row],[Date]],"mmmm")</f>
        <v>March</v>
      </c>
      <c r="H3121" s="3" t="s">
        <v>1085</v>
      </c>
      <c r="I3121" s="3" t="s">
        <v>39</v>
      </c>
      <c r="J3121" s="3">
        <v>6</v>
      </c>
      <c r="K3121" s="3">
        <v>61284.77</v>
      </c>
      <c r="L3121" s="3">
        <f>Table1[[#This Row],[Price Per Unit]]*Table1[[#This Row],[Units Sold]]</f>
        <v>367708.62</v>
      </c>
      <c r="M3121" s="3" t="s">
        <v>639</v>
      </c>
      <c r="N3121" s="3">
        <v>42</v>
      </c>
      <c r="O3121" s="3" t="s">
        <v>30</v>
      </c>
      <c r="P3121" s="3" t="s">
        <v>16</v>
      </c>
      <c r="Q3121" s="4">
        <v>3</v>
      </c>
      <c r="R3121" s="4" t="str">
        <f>IF(Table1[[#This Row],[Customer Ratings]]&gt;=4, "Good",IF(Table1[[#This Row],[Customer Ratings]]=3, "Average","Poor"))</f>
        <v>Average</v>
      </c>
      <c r="S3121" s="3" t="s">
        <v>42</v>
      </c>
    </row>
    <row r="3122" spans="1:19" x14ac:dyDescent="0.25">
      <c r="A3122" s="3">
        <v>3121</v>
      </c>
      <c r="B3122" s="5">
        <f>DATE(Table1[[#This Row],[Year]],Table1[[#This Row],[Month]],Table1[[#This Row],[Day]])</f>
        <v>45367</v>
      </c>
      <c r="C3122" s="3">
        <v>16</v>
      </c>
      <c r="D3122" s="3">
        <v>3</v>
      </c>
      <c r="E3122" s="3">
        <v>2024</v>
      </c>
      <c r="F3122" s="3" t="str">
        <f>"Qtr"&amp; " " &amp;CHOOSE(MONTH(Table1[[#This Row],[Date]]),1,1,1,2,2,2,3,3,3,4,4,4)</f>
        <v>Qtr 1</v>
      </c>
      <c r="G3122" s="3" t="str">
        <f>TEXT(Table1[[#This Row],[Date]],"mmmm")</f>
        <v>March</v>
      </c>
      <c r="H3122" s="3" t="s">
        <v>1079</v>
      </c>
      <c r="I3122" s="3" t="s">
        <v>18</v>
      </c>
      <c r="J3122" s="3">
        <v>3</v>
      </c>
      <c r="K3122" s="3">
        <v>60704.9</v>
      </c>
      <c r="L3122" s="3">
        <f>Table1[[#This Row],[Price Per Unit]]*Table1[[#This Row],[Units Sold]]</f>
        <v>182114.7</v>
      </c>
      <c r="M3122" s="3" t="s">
        <v>315</v>
      </c>
      <c r="N3122" s="3">
        <v>55</v>
      </c>
      <c r="O3122" s="3" t="s">
        <v>24</v>
      </c>
      <c r="P3122" s="3" t="s">
        <v>45</v>
      </c>
      <c r="Q3122" s="4">
        <v>1</v>
      </c>
      <c r="R3122" s="4" t="str">
        <f>IF(Table1[[#This Row],[Customer Ratings]]&gt;=4, "Good",IF(Table1[[#This Row],[Customer Ratings]]=3, "Average","Poor"))</f>
        <v>Poor</v>
      </c>
      <c r="S3122" s="3" t="s">
        <v>25</v>
      </c>
    </row>
    <row r="3123" spans="1:19" x14ac:dyDescent="0.25">
      <c r="A3123" s="3">
        <v>3122</v>
      </c>
      <c r="B3123" s="5">
        <f>DATE(Table1[[#This Row],[Year]],Table1[[#This Row],[Month]],Table1[[#This Row],[Day]])</f>
        <v>45367</v>
      </c>
      <c r="C3123" s="3">
        <v>16</v>
      </c>
      <c r="D3123" s="3">
        <v>3</v>
      </c>
      <c r="E3123" s="3">
        <v>2024</v>
      </c>
      <c r="F3123" s="3" t="str">
        <f>"Qtr"&amp; " " &amp;CHOOSE(MONTH(Table1[[#This Row],[Date]]),1,1,1,2,2,2,3,3,3,4,4,4)</f>
        <v>Qtr 1</v>
      </c>
      <c r="G3123" s="3" t="str">
        <f>TEXT(Table1[[#This Row],[Date]],"mmmm")</f>
        <v>March</v>
      </c>
      <c r="H3123" s="3" t="s">
        <v>1079</v>
      </c>
      <c r="I3123" s="3" t="s">
        <v>39</v>
      </c>
      <c r="J3123" s="3">
        <v>7</v>
      </c>
      <c r="K3123" s="3">
        <v>38815.24</v>
      </c>
      <c r="L3123" s="3">
        <f>Table1[[#This Row],[Price Per Unit]]*Table1[[#This Row],[Units Sold]]</f>
        <v>271706.68</v>
      </c>
      <c r="M3123" s="3" t="s">
        <v>287</v>
      </c>
      <c r="N3123" s="3">
        <v>48</v>
      </c>
      <c r="O3123" s="3" t="s">
        <v>20</v>
      </c>
      <c r="P3123" s="3" t="s">
        <v>16</v>
      </c>
      <c r="Q3123" s="4">
        <v>3</v>
      </c>
      <c r="R3123" s="4" t="str">
        <f>IF(Table1[[#This Row],[Customer Ratings]]&gt;=4, "Good",IF(Table1[[#This Row],[Customer Ratings]]=3, "Average","Poor"))</f>
        <v>Average</v>
      </c>
      <c r="S3123" s="3" t="s">
        <v>90</v>
      </c>
    </row>
    <row r="3124" spans="1:19" x14ac:dyDescent="0.25">
      <c r="A3124" s="3">
        <v>3123</v>
      </c>
      <c r="B3124" s="5">
        <f>DATE(Table1[[#This Row],[Year]],Table1[[#This Row],[Month]],Table1[[#This Row],[Day]])</f>
        <v>45367</v>
      </c>
      <c r="C3124" s="3">
        <v>16</v>
      </c>
      <c r="D3124" s="3">
        <v>3</v>
      </c>
      <c r="E3124" s="3">
        <v>2024</v>
      </c>
      <c r="F3124" s="3" t="str">
        <f>"Qtr"&amp; " " &amp;CHOOSE(MONTH(Table1[[#This Row],[Date]]),1,1,1,2,2,2,3,3,3,4,4,4)</f>
        <v>Qtr 1</v>
      </c>
      <c r="G3124" s="3" t="str">
        <f>TEXT(Table1[[#This Row],[Date]],"mmmm")</f>
        <v>March</v>
      </c>
      <c r="H3124" s="3" t="s">
        <v>1079</v>
      </c>
      <c r="I3124" s="3" t="s">
        <v>18</v>
      </c>
      <c r="J3124" s="3">
        <v>5</v>
      </c>
      <c r="K3124" s="3">
        <v>20645.900000000001</v>
      </c>
      <c r="L3124" s="3">
        <f>Table1[[#This Row],[Price Per Unit]]*Table1[[#This Row],[Units Sold]]</f>
        <v>103229.5</v>
      </c>
      <c r="M3124" s="3" t="s">
        <v>370</v>
      </c>
      <c r="N3124" s="3">
        <v>53</v>
      </c>
      <c r="O3124" s="3" t="s">
        <v>137</v>
      </c>
      <c r="P3124" s="3" t="s">
        <v>45</v>
      </c>
      <c r="Q3124" s="4">
        <v>5</v>
      </c>
      <c r="R3124" s="4" t="str">
        <f>IF(Table1[[#This Row],[Customer Ratings]]&gt;=4, "Good",IF(Table1[[#This Row],[Customer Ratings]]=3, "Average","Poor"))</f>
        <v>Good</v>
      </c>
      <c r="S3124" s="3" t="s">
        <v>55</v>
      </c>
    </row>
    <row r="3125" spans="1:19" x14ac:dyDescent="0.25">
      <c r="A3125" s="3">
        <v>3124</v>
      </c>
      <c r="B3125" s="5">
        <f>DATE(Table1[[#This Row],[Year]],Table1[[#This Row],[Month]],Table1[[#This Row],[Day]])</f>
        <v>45368</v>
      </c>
      <c r="C3125" s="3">
        <v>17</v>
      </c>
      <c r="D3125" s="3">
        <v>3</v>
      </c>
      <c r="E3125" s="3">
        <v>2024</v>
      </c>
      <c r="F3125" s="3" t="str">
        <f>"Qtr"&amp; " " &amp;CHOOSE(MONTH(Table1[[#This Row],[Date]]),1,1,1,2,2,2,3,3,3,4,4,4)</f>
        <v>Qtr 1</v>
      </c>
      <c r="G3125" s="3" t="str">
        <f>TEXT(Table1[[#This Row],[Date]],"mmmm")</f>
        <v>March</v>
      </c>
      <c r="H3125" s="3" t="s">
        <v>1080</v>
      </c>
      <c r="I3125" s="3" t="s">
        <v>28</v>
      </c>
      <c r="J3125" s="3">
        <v>7</v>
      </c>
      <c r="K3125" s="3">
        <v>38649.279999999999</v>
      </c>
      <c r="L3125" s="3">
        <f>Table1[[#This Row],[Price Per Unit]]*Table1[[#This Row],[Units Sold]]</f>
        <v>270544.95999999996</v>
      </c>
      <c r="M3125" s="3" t="s">
        <v>815</v>
      </c>
      <c r="N3125" s="3">
        <v>21</v>
      </c>
      <c r="O3125" s="3" t="s">
        <v>24</v>
      </c>
      <c r="P3125" s="3" t="s">
        <v>31</v>
      </c>
      <c r="Q3125" s="4">
        <v>3</v>
      </c>
      <c r="R3125" s="4" t="str">
        <f>IF(Table1[[#This Row],[Customer Ratings]]&gt;=4, "Good",IF(Table1[[#This Row],[Customer Ratings]]=3, "Average","Poor"))</f>
        <v>Average</v>
      </c>
      <c r="S3125" s="3" t="s">
        <v>38</v>
      </c>
    </row>
    <row r="3126" spans="1:19" x14ac:dyDescent="0.25">
      <c r="A3126" s="3">
        <v>3125</v>
      </c>
      <c r="B3126" s="5">
        <f>DATE(Table1[[#This Row],[Year]],Table1[[#This Row],[Month]],Table1[[#This Row],[Day]])</f>
        <v>45368</v>
      </c>
      <c r="C3126" s="3">
        <v>17</v>
      </c>
      <c r="D3126" s="3">
        <v>3</v>
      </c>
      <c r="E3126" s="3">
        <v>2024</v>
      </c>
      <c r="F3126" s="3" t="str">
        <f>"Qtr"&amp; " " &amp;CHOOSE(MONTH(Table1[[#This Row],[Date]]),1,1,1,2,2,2,3,3,3,4,4,4)</f>
        <v>Qtr 1</v>
      </c>
      <c r="G3126" s="3" t="str">
        <f>TEXT(Table1[[#This Row],[Date]],"mmmm")</f>
        <v>March</v>
      </c>
      <c r="H3126" s="3" t="s">
        <v>1080</v>
      </c>
      <c r="I3126" s="3" t="s">
        <v>33</v>
      </c>
      <c r="J3126" s="3">
        <v>2</v>
      </c>
      <c r="K3126" s="3">
        <v>39675.870000000003</v>
      </c>
      <c r="L3126" s="3">
        <f>Table1[[#This Row],[Price Per Unit]]*Table1[[#This Row],[Units Sold]]</f>
        <v>79351.740000000005</v>
      </c>
      <c r="M3126" s="3" t="s">
        <v>862</v>
      </c>
      <c r="N3126" s="3">
        <v>56</v>
      </c>
      <c r="O3126" s="3" t="s">
        <v>20</v>
      </c>
      <c r="P3126" s="3" t="s">
        <v>21</v>
      </c>
      <c r="Q3126" s="4">
        <v>1</v>
      </c>
      <c r="R3126" s="4" t="str">
        <f>IF(Table1[[#This Row],[Customer Ratings]]&gt;=4, "Good",IF(Table1[[#This Row],[Customer Ratings]]=3, "Average","Poor"))</f>
        <v>Poor</v>
      </c>
      <c r="S3126" s="3" t="s">
        <v>36</v>
      </c>
    </row>
    <row r="3127" spans="1:19" x14ac:dyDescent="0.25">
      <c r="A3127" s="3">
        <v>3126</v>
      </c>
      <c r="B3127" s="5">
        <f>DATE(Table1[[#This Row],[Year]],Table1[[#This Row],[Month]],Table1[[#This Row],[Day]])</f>
        <v>45368</v>
      </c>
      <c r="C3127" s="3">
        <v>17</v>
      </c>
      <c r="D3127" s="3">
        <v>3</v>
      </c>
      <c r="E3127" s="3">
        <v>2024</v>
      </c>
      <c r="F3127" s="3" t="str">
        <f>"Qtr"&amp; " " &amp;CHOOSE(MONTH(Table1[[#This Row],[Date]]),1,1,1,2,2,2,3,3,3,4,4,4)</f>
        <v>Qtr 1</v>
      </c>
      <c r="G3127" s="3" t="str">
        <f>TEXT(Table1[[#This Row],[Date]],"mmmm")</f>
        <v>March</v>
      </c>
      <c r="H3127" s="3" t="s">
        <v>1080</v>
      </c>
      <c r="I3127" s="3" t="s">
        <v>33</v>
      </c>
      <c r="J3127" s="3">
        <v>6</v>
      </c>
      <c r="K3127" s="3">
        <v>39395.910000000003</v>
      </c>
      <c r="L3127" s="3">
        <f>Table1[[#This Row],[Price Per Unit]]*Table1[[#This Row],[Units Sold]]</f>
        <v>236375.46000000002</v>
      </c>
      <c r="M3127" s="3" t="s">
        <v>384</v>
      </c>
      <c r="N3127" s="3">
        <v>24</v>
      </c>
      <c r="O3127" s="3" t="s">
        <v>35</v>
      </c>
      <c r="P3127" s="3" t="s">
        <v>16</v>
      </c>
      <c r="Q3127" s="4">
        <v>2</v>
      </c>
      <c r="R3127" s="4" t="str">
        <f>IF(Table1[[#This Row],[Customer Ratings]]&gt;=4, "Good",IF(Table1[[#This Row],[Customer Ratings]]=3, "Average","Poor"))</f>
        <v>Poor</v>
      </c>
      <c r="S3127" s="3" t="s">
        <v>36</v>
      </c>
    </row>
    <row r="3128" spans="1:19" x14ac:dyDescent="0.25">
      <c r="A3128" s="3">
        <v>3127</v>
      </c>
      <c r="B3128" s="5">
        <f>DATE(Table1[[#This Row],[Year]],Table1[[#This Row],[Month]],Table1[[#This Row],[Day]])</f>
        <v>45369</v>
      </c>
      <c r="C3128" s="3">
        <v>18</v>
      </c>
      <c r="D3128" s="3">
        <v>3</v>
      </c>
      <c r="E3128" s="3">
        <v>2024</v>
      </c>
      <c r="F3128" s="3" t="str">
        <f>"Qtr"&amp; " " &amp;CHOOSE(MONTH(Table1[[#This Row],[Date]]),1,1,1,2,2,2,3,3,3,4,4,4)</f>
        <v>Qtr 1</v>
      </c>
      <c r="G3128" s="3" t="str">
        <f>TEXT(Table1[[#This Row],[Date]],"mmmm")</f>
        <v>March</v>
      </c>
      <c r="H3128" s="3" t="s">
        <v>1081</v>
      </c>
      <c r="I3128" s="3" t="s">
        <v>39</v>
      </c>
      <c r="J3128" s="3">
        <v>8</v>
      </c>
      <c r="K3128" s="3">
        <v>42326.36</v>
      </c>
      <c r="L3128" s="3">
        <f>Table1[[#This Row],[Price Per Unit]]*Table1[[#This Row],[Units Sold]]</f>
        <v>338610.88</v>
      </c>
      <c r="M3128" s="3" t="s">
        <v>799</v>
      </c>
      <c r="N3128" s="3">
        <v>33</v>
      </c>
      <c r="O3128" s="3" t="s">
        <v>20</v>
      </c>
      <c r="P3128" s="3" t="s">
        <v>45</v>
      </c>
      <c r="Q3128" s="4">
        <v>1</v>
      </c>
      <c r="R3128" s="4" t="str">
        <f>IF(Table1[[#This Row],[Customer Ratings]]&gt;=4, "Good",IF(Table1[[#This Row],[Customer Ratings]]=3, "Average","Poor"))</f>
        <v>Poor</v>
      </c>
      <c r="S3128" s="3" t="s">
        <v>42</v>
      </c>
    </row>
    <row r="3129" spans="1:19" x14ac:dyDescent="0.25">
      <c r="A3129" s="3">
        <v>3128</v>
      </c>
      <c r="B3129" s="5">
        <f>DATE(Table1[[#This Row],[Year]],Table1[[#This Row],[Month]],Table1[[#This Row],[Day]])</f>
        <v>45369</v>
      </c>
      <c r="C3129" s="3">
        <v>18</v>
      </c>
      <c r="D3129" s="3">
        <v>3</v>
      </c>
      <c r="E3129" s="3">
        <v>2024</v>
      </c>
      <c r="F3129" s="3" t="str">
        <f>"Qtr"&amp; " " &amp;CHOOSE(MONTH(Table1[[#This Row],[Date]]),1,1,1,2,2,2,3,3,3,4,4,4)</f>
        <v>Qtr 1</v>
      </c>
      <c r="G3129" s="3" t="str">
        <f>TEXT(Table1[[#This Row],[Date]],"mmmm")</f>
        <v>March</v>
      </c>
      <c r="H3129" s="3" t="s">
        <v>1081</v>
      </c>
      <c r="I3129" s="3" t="s">
        <v>33</v>
      </c>
      <c r="J3129" s="3">
        <v>1</v>
      </c>
      <c r="K3129" s="3">
        <v>25459.42</v>
      </c>
      <c r="L3129" s="3">
        <f>Table1[[#This Row],[Price Per Unit]]*Table1[[#This Row],[Units Sold]]</f>
        <v>25459.42</v>
      </c>
      <c r="M3129" s="3" t="s">
        <v>197</v>
      </c>
      <c r="N3129" s="3">
        <v>22</v>
      </c>
      <c r="O3129" s="3" t="s">
        <v>48</v>
      </c>
      <c r="P3129" s="3" t="s">
        <v>31</v>
      </c>
      <c r="Q3129" s="4">
        <v>2</v>
      </c>
      <c r="R3129" s="4" t="str">
        <f>IF(Table1[[#This Row],[Customer Ratings]]&gt;=4, "Good",IF(Table1[[#This Row],[Customer Ratings]]=3, "Average","Poor"))</f>
        <v>Poor</v>
      </c>
      <c r="S3129" s="3" t="s">
        <v>83</v>
      </c>
    </row>
    <row r="3130" spans="1:19" x14ac:dyDescent="0.25">
      <c r="A3130" s="3">
        <v>3129</v>
      </c>
      <c r="B3130" s="5">
        <f>DATE(Table1[[#This Row],[Year]],Table1[[#This Row],[Month]],Table1[[#This Row],[Day]])</f>
        <v>45369</v>
      </c>
      <c r="C3130" s="3">
        <v>18</v>
      </c>
      <c r="D3130" s="3">
        <v>3</v>
      </c>
      <c r="E3130" s="3">
        <v>2024</v>
      </c>
      <c r="F3130" s="3" t="str">
        <f>"Qtr"&amp; " " &amp;CHOOSE(MONTH(Table1[[#This Row],[Date]]),1,1,1,2,2,2,3,3,3,4,4,4)</f>
        <v>Qtr 1</v>
      </c>
      <c r="G3130" s="3" t="str">
        <f>TEXT(Table1[[#This Row],[Date]],"mmmm")</f>
        <v>March</v>
      </c>
      <c r="H3130" s="3" t="s">
        <v>1081</v>
      </c>
      <c r="I3130" s="3" t="s">
        <v>28</v>
      </c>
      <c r="J3130" s="3">
        <v>4</v>
      </c>
      <c r="K3130" s="3">
        <v>31974.47</v>
      </c>
      <c r="L3130" s="3">
        <f>Table1[[#This Row],[Price Per Unit]]*Table1[[#This Row],[Units Sold]]</f>
        <v>127897.88</v>
      </c>
      <c r="M3130" s="3" t="s">
        <v>411</v>
      </c>
      <c r="N3130" s="3">
        <v>40</v>
      </c>
      <c r="O3130" s="3" t="s">
        <v>20</v>
      </c>
      <c r="P3130" s="3" t="s">
        <v>45</v>
      </c>
      <c r="Q3130" s="4">
        <v>5</v>
      </c>
      <c r="R3130" s="4" t="str">
        <f>IF(Table1[[#This Row],[Customer Ratings]]&gt;=4, "Good",IF(Table1[[#This Row],[Customer Ratings]]=3, "Average","Poor"))</f>
        <v>Good</v>
      </c>
      <c r="S3130" s="3" t="s">
        <v>32</v>
      </c>
    </row>
    <row r="3131" spans="1:19" x14ac:dyDescent="0.25">
      <c r="A3131" s="3">
        <v>3130</v>
      </c>
      <c r="B3131" s="5">
        <f>DATE(Table1[[#This Row],[Year]],Table1[[#This Row],[Month]],Table1[[#This Row],[Day]])</f>
        <v>45370</v>
      </c>
      <c r="C3131" s="3">
        <v>19</v>
      </c>
      <c r="D3131" s="3">
        <v>3</v>
      </c>
      <c r="E3131" s="3">
        <v>2024</v>
      </c>
      <c r="F3131" s="3" t="str">
        <f>"Qtr"&amp; " " &amp;CHOOSE(MONTH(Table1[[#This Row],[Date]]),1,1,1,2,2,2,3,3,3,4,4,4)</f>
        <v>Qtr 1</v>
      </c>
      <c r="G3131" s="3" t="str">
        <f>TEXT(Table1[[#This Row],[Date]],"mmmm")</f>
        <v>March</v>
      </c>
      <c r="H3131" s="3" t="s">
        <v>1082</v>
      </c>
      <c r="I3131" s="3" t="s">
        <v>39</v>
      </c>
      <c r="J3131" s="3">
        <v>1</v>
      </c>
      <c r="K3131" s="3">
        <v>36051.199999999997</v>
      </c>
      <c r="L3131" s="3">
        <f>Table1[[#This Row],[Price Per Unit]]*Table1[[#This Row],[Units Sold]]</f>
        <v>36051.199999999997</v>
      </c>
      <c r="M3131" s="3" t="s">
        <v>661</v>
      </c>
      <c r="N3131" s="3">
        <v>53</v>
      </c>
      <c r="O3131" s="3" t="s">
        <v>48</v>
      </c>
      <c r="P3131" s="3" t="s">
        <v>16</v>
      </c>
      <c r="Q3131" s="4">
        <v>4</v>
      </c>
      <c r="R3131" s="4" t="str">
        <f>IF(Table1[[#This Row],[Customer Ratings]]&gt;=4, "Good",IF(Table1[[#This Row],[Customer Ratings]]=3, "Average","Poor"))</f>
        <v>Good</v>
      </c>
      <c r="S3131" s="3" t="s">
        <v>42</v>
      </c>
    </row>
    <row r="3132" spans="1:19" x14ac:dyDescent="0.25">
      <c r="A3132" s="3">
        <v>3131</v>
      </c>
      <c r="B3132" s="5">
        <f>DATE(Table1[[#This Row],[Year]],Table1[[#This Row],[Month]],Table1[[#This Row],[Day]])</f>
        <v>45370</v>
      </c>
      <c r="C3132" s="3">
        <v>19</v>
      </c>
      <c r="D3132" s="3">
        <v>3</v>
      </c>
      <c r="E3132" s="3">
        <v>2024</v>
      </c>
      <c r="F3132" s="3" t="str">
        <f>"Qtr"&amp; " " &amp;CHOOSE(MONTH(Table1[[#This Row],[Date]]),1,1,1,2,2,2,3,3,3,4,4,4)</f>
        <v>Qtr 1</v>
      </c>
      <c r="G3132" s="3" t="str">
        <f>TEXT(Table1[[#This Row],[Date]],"mmmm")</f>
        <v>March</v>
      </c>
      <c r="H3132" s="3" t="s">
        <v>1082</v>
      </c>
      <c r="I3132" s="3" t="s">
        <v>18</v>
      </c>
      <c r="J3132" s="3">
        <v>1</v>
      </c>
      <c r="K3132" s="3">
        <v>17867.27</v>
      </c>
      <c r="L3132" s="3">
        <f>Table1[[#This Row],[Price Per Unit]]*Table1[[#This Row],[Units Sold]]</f>
        <v>17867.27</v>
      </c>
      <c r="M3132" s="3" t="s">
        <v>629</v>
      </c>
      <c r="N3132" s="3">
        <v>49</v>
      </c>
      <c r="O3132" s="3" t="s">
        <v>20</v>
      </c>
      <c r="P3132" s="3" t="s">
        <v>16</v>
      </c>
      <c r="Q3132" s="4">
        <v>5</v>
      </c>
      <c r="R3132" s="4" t="str">
        <f>IF(Table1[[#This Row],[Customer Ratings]]&gt;=4, "Good",IF(Table1[[#This Row],[Customer Ratings]]=3, "Average","Poor"))</f>
        <v>Good</v>
      </c>
      <c r="S3132" s="3" t="s">
        <v>22</v>
      </c>
    </row>
    <row r="3133" spans="1:19" x14ac:dyDescent="0.25">
      <c r="A3133" s="3">
        <v>3132</v>
      </c>
      <c r="B3133" s="5">
        <f>DATE(Table1[[#This Row],[Year]],Table1[[#This Row],[Month]],Table1[[#This Row],[Day]])</f>
        <v>45370</v>
      </c>
      <c r="C3133" s="3">
        <v>19</v>
      </c>
      <c r="D3133" s="3">
        <v>3</v>
      </c>
      <c r="E3133" s="3">
        <v>2024</v>
      </c>
      <c r="F3133" s="3" t="str">
        <f>"Qtr"&amp; " " &amp;CHOOSE(MONTH(Table1[[#This Row],[Date]]),1,1,1,2,2,2,3,3,3,4,4,4)</f>
        <v>Qtr 1</v>
      </c>
      <c r="G3133" s="3" t="str">
        <f>TEXT(Table1[[#This Row],[Date]],"mmmm")</f>
        <v>March</v>
      </c>
      <c r="H3133" s="3" t="s">
        <v>1082</v>
      </c>
      <c r="I3133" s="3" t="s">
        <v>33</v>
      </c>
      <c r="J3133" s="3">
        <v>8</v>
      </c>
      <c r="K3133" s="3">
        <v>37321.85</v>
      </c>
      <c r="L3133" s="3">
        <f>Table1[[#This Row],[Price Per Unit]]*Table1[[#This Row],[Units Sold]]</f>
        <v>298574.8</v>
      </c>
      <c r="M3133" s="3" t="s">
        <v>691</v>
      </c>
      <c r="N3133" s="3">
        <v>41</v>
      </c>
      <c r="O3133" s="3" t="s">
        <v>81</v>
      </c>
      <c r="P3133" s="3" t="s">
        <v>16</v>
      </c>
      <c r="Q3133" s="4">
        <v>5</v>
      </c>
      <c r="R3133" s="4" t="str">
        <f>IF(Table1[[#This Row],[Customer Ratings]]&gt;=4, "Good",IF(Table1[[#This Row],[Customer Ratings]]=3, "Average","Poor"))</f>
        <v>Good</v>
      </c>
      <c r="S3133" s="3" t="s">
        <v>83</v>
      </c>
    </row>
    <row r="3134" spans="1:19" x14ac:dyDescent="0.25">
      <c r="A3134" s="3">
        <v>3133</v>
      </c>
      <c r="B3134" s="5">
        <f>DATE(Table1[[#This Row],[Year]],Table1[[#This Row],[Month]],Table1[[#This Row],[Day]])</f>
        <v>45371</v>
      </c>
      <c r="C3134" s="3">
        <v>20</v>
      </c>
      <c r="D3134" s="3">
        <v>3</v>
      </c>
      <c r="E3134" s="3">
        <v>2024</v>
      </c>
      <c r="F3134" s="3" t="str">
        <f>"Qtr"&amp; " " &amp;CHOOSE(MONTH(Table1[[#This Row],[Date]]),1,1,1,2,2,2,3,3,3,4,4,4)</f>
        <v>Qtr 1</v>
      </c>
      <c r="G3134" s="3" t="str">
        <f>TEXT(Table1[[#This Row],[Date]],"mmmm")</f>
        <v>March</v>
      </c>
      <c r="H3134" s="3" t="s">
        <v>1083</v>
      </c>
      <c r="I3134" s="3" t="s">
        <v>13</v>
      </c>
      <c r="J3134" s="3">
        <v>7</v>
      </c>
      <c r="K3134" s="3">
        <v>58628.18</v>
      </c>
      <c r="L3134" s="3">
        <f>Table1[[#This Row],[Price Per Unit]]*Table1[[#This Row],[Units Sold]]</f>
        <v>410397.26</v>
      </c>
      <c r="M3134" s="3" t="s">
        <v>520</v>
      </c>
      <c r="N3134" s="3">
        <v>42</v>
      </c>
      <c r="O3134" s="3" t="s">
        <v>24</v>
      </c>
      <c r="P3134" s="3" t="s">
        <v>16</v>
      </c>
      <c r="Q3134" s="4">
        <v>5</v>
      </c>
      <c r="R3134" s="4" t="str">
        <f>IF(Table1[[#This Row],[Customer Ratings]]&gt;=4, "Good",IF(Table1[[#This Row],[Customer Ratings]]=3, "Average","Poor"))</f>
        <v>Good</v>
      </c>
      <c r="S3134" s="3" t="s">
        <v>17</v>
      </c>
    </row>
    <row r="3135" spans="1:19" x14ac:dyDescent="0.25">
      <c r="A3135" s="3">
        <v>3134</v>
      </c>
      <c r="B3135" s="5">
        <f>DATE(Table1[[#This Row],[Year]],Table1[[#This Row],[Month]],Table1[[#This Row],[Day]])</f>
        <v>45371</v>
      </c>
      <c r="C3135" s="3">
        <v>20</v>
      </c>
      <c r="D3135" s="3">
        <v>3</v>
      </c>
      <c r="E3135" s="3">
        <v>2024</v>
      </c>
      <c r="F3135" s="3" t="str">
        <f>"Qtr"&amp; " " &amp;CHOOSE(MONTH(Table1[[#This Row],[Date]]),1,1,1,2,2,2,3,3,3,4,4,4)</f>
        <v>Qtr 1</v>
      </c>
      <c r="G3135" s="3" t="str">
        <f>TEXT(Table1[[#This Row],[Date]],"mmmm")</f>
        <v>March</v>
      </c>
      <c r="H3135" s="3" t="s">
        <v>1083</v>
      </c>
      <c r="I3135" s="3" t="s">
        <v>33</v>
      </c>
      <c r="J3135" s="3">
        <v>1</v>
      </c>
      <c r="K3135" s="3">
        <v>59683.57</v>
      </c>
      <c r="L3135" s="3">
        <f>Table1[[#This Row],[Price Per Unit]]*Table1[[#This Row],[Units Sold]]</f>
        <v>59683.57</v>
      </c>
      <c r="M3135" s="3" t="s">
        <v>817</v>
      </c>
      <c r="N3135" s="3">
        <v>45</v>
      </c>
      <c r="O3135" s="3" t="s">
        <v>20</v>
      </c>
      <c r="P3135" s="3" t="s">
        <v>16</v>
      </c>
      <c r="Q3135" s="4">
        <v>3</v>
      </c>
      <c r="R3135" s="4" t="str">
        <f>IF(Table1[[#This Row],[Customer Ratings]]&gt;=4, "Good",IF(Table1[[#This Row],[Customer Ratings]]=3, "Average","Poor"))</f>
        <v>Average</v>
      </c>
      <c r="S3135" s="3" t="s">
        <v>83</v>
      </c>
    </row>
    <row r="3136" spans="1:19" x14ac:dyDescent="0.25">
      <c r="A3136" s="3">
        <v>3135</v>
      </c>
      <c r="B3136" s="5">
        <f>DATE(Table1[[#This Row],[Year]],Table1[[#This Row],[Month]],Table1[[#This Row],[Day]])</f>
        <v>45371</v>
      </c>
      <c r="C3136" s="3">
        <v>20</v>
      </c>
      <c r="D3136" s="3">
        <v>3</v>
      </c>
      <c r="E3136" s="3">
        <v>2024</v>
      </c>
      <c r="F3136" s="3" t="str">
        <f>"Qtr"&amp; " " &amp;CHOOSE(MONTH(Table1[[#This Row],[Date]]),1,1,1,2,2,2,3,3,3,4,4,4)</f>
        <v>Qtr 1</v>
      </c>
      <c r="G3136" s="3" t="str">
        <f>TEXT(Table1[[#This Row],[Date]],"mmmm")</f>
        <v>March</v>
      </c>
      <c r="H3136" s="3" t="s">
        <v>1083</v>
      </c>
      <c r="I3136" s="3" t="s">
        <v>18</v>
      </c>
      <c r="J3136" s="3">
        <v>2</v>
      </c>
      <c r="K3136" s="3">
        <v>34693.83</v>
      </c>
      <c r="L3136" s="3">
        <f>Table1[[#This Row],[Price Per Unit]]*Table1[[#This Row],[Units Sold]]</f>
        <v>69387.66</v>
      </c>
      <c r="M3136" s="3" t="s">
        <v>541</v>
      </c>
      <c r="N3136" s="3">
        <v>36</v>
      </c>
      <c r="O3136" s="3" t="s">
        <v>52</v>
      </c>
      <c r="P3136" s="3" t="s">
        <v>31</v>
      </c>
      <c r="Q3136" s="4">
        <v>5</v>
      </c>
      <c r="R3136" s="4" t="str">
        <f>IF(Table1[[#This Row],[Customer Ratings]]&gt;=4, "Good",IF(Table1[[#This Row],[Customer Ratings]]=3, "Average","Poor"))</f>
        <v>Good</v>
      </c>
      <c r="S3136" s="3" t="s">
        <v>22</v>
      </c>
    </row>
    <row r="3137" spans="1:19" x14ac:dyDescent="0.25">
      <c r="A3137" s="3">
        <v>3136</v>
      </c>
      <c r="B3137" s="5">
        <f>DATE(Table1[[#This Row],[Year]],Table1[[#This Row],[Month]],Table1[[#This Row],[Day]])</f>
        <v>45372</v>
      </c>
      <c r="C3137" s="3">
        <v>21</v>
      </c>
      <c r="D3137" s="3">
        <v>3</v>
      </c>
      <c r="E3137" s="3">
        <v>2024</v>
      </c>
      <c r="F3137" s="3" t="str">
        <f>"Qtr"&amp; " " &amp;CHOOSE(MONTH(Table1[[#This Row],[Date]]),1,1,1,2,2,2,3,3,3,4,4,4)</f>
        <v>Qtr 1</v>
      </c>
      <c r="G3137" s="3" t="str">
        <f>TEXT(Table1[[#This Row],[Date]],"mmmm")</f>
        <v>March</v>
      </c>
      <c r="H3137" s="3" t="s">
        <v>1084</v>
      </c>
      <c r="I3137" s="3" t="s">
        <v>39</v>
      </c>
      <c r="J3137" s="3">
        <v>4</v>
      </c>
      <c r="K3137" s="3">
        <v>41128.5</v>
      </c>
      <c r="L3137" s="3">
        <f>Table1[[#This Row],[Price Per Unit]]*Table1[[#This Row],[Units Sold]]</f>
        <v>164514</v>
      </c>
      <c r="M3137" s="3" t="s">
        <v>753</v>
      </c>
      <c r="N3137" s="3">
        <v>24</v>
      </c>
      <c r="O3137" s="3" t="s">
        <v>20</v>
      </c>
      <c r="P3137" s="3" t="s">
        <v>45</v>
      </c>
      <c r="Q3137" s="4">
        <v>4</v>
      </c>
      <c r="R3137" s="4" t="str">
        <f>IF(Table1[[#This Row],[Customer Ratings]]&gt;=4, "Good",IF(Table1[[#This Row],[Customer Ratings]]=3, "Average","Poor"))</f>
        <v>Good</v>
      </c>
      <c r="S3137" s="3" t="s">
        <v>76</v>
      </c>
    </row>
    <row r="3138" spans="1:19" x14ac:dyDescent="0.25">
      <c r="A3138" s="3">
        <v>3137</v>
      </c>
      <c r="B3138" s="5">
        <f>DATE(Table1[[#This Row],[Year]],Table1[[#This Row],[Month]],Table1[[#This Row],[Day]])</f>
        <v>45372</v>
      </c>
      <c r="C3138" s="3">
        <v>21</v>
      </c>
      <c r="D3138" s="3">
        <v>3</v>
      </c>
      <c r="E3138" s="3">
        <v>2024</v>
      </c>
      <c r="F3138" s="3" t="str">
        <f>"Qtr"&amp; " " &amp;CHOOSE(MONTH(Table1[[#This Row],[Date]]),1,1,1,2,2,2,3,3,3,4,4,4)</f>
        <v>Qtr 1</v>
      </c>
      <c r="G3138" s="3" t="str">
        <f>TEXT(Table1[[#This Row],[Date]],"mmmm")</f>
        <v>March</v>
      </c>
      <c r="H3138" s="3" t="s">
        <v>1084</v>
      </c>
      <c r="I3138" s="3" t="s">
        <v>18</v>
      </c>
      <c r="J3138" s="3">
        <v>1</v>
      </c>
      <c r="K3138" s="3">
        <v>12019.02</v>
      </c>
      <c r="L3138" s="3">
        <f>Table1[[#This Row],[Price Per Unit]]*Table1[[#This Row],[Units Sold]]</f>
        <v>12019.02</v>
      </c>
      <c r="M3138" s="3" t="s">
        <v>905</v>
      </c>
      <c r="N3138" s="3">
        <v>58</v>
      </c>
      <c r="O3138" s="3" t="s">
        <v>120</v>
      </c>
      <c r="P3138" s="3" t="s">
        <v>45</v>
      </c>
      <c r="Q3138" s="4">
        <v>1</v>
      </c>
      <c r="R3138" s="4" t="str">
        <f>IF(Table1[[#This Row],[Customer Ratings]]&gt;=4, "Good",IF(Table1[[#This Row],[Customer Ratings]]=3, "Average","Poor"))</f>
        <v>Poor</v>
      </c>
      <c r="S3138" s="3" t="s">
        <v>25</v>
      </c>
    </row>
    <row r="3139" spans="1:19" x14ac:dyDescent="0.25">
      <c r="A3139" s="3">
        <v>3138</v>
      </c>
      <c r="B3139" s="5">
        <f>DATE(Table1[[#This Row],[Year]],Table1[[#This Row],[Month]],Table1[[#This Row],[Day]])</f>
        <v>45372</v>
      </c>
      <c r="C3139" s="3">
        <v>21</v>
      </c>
      <c r="D3139" s="3">
        <v>3</v>
      </c>
      <c r="E3139" s="3">
        <v>2024</v>
      </c>
      <c r="F3139" s="3" t="str">
        <f>"Qtr"&amp; " " &amp;CHOOSE(MONTH(Table1[[#This Row],[Date]]),1,1,1,2,2,2,3,3,3,4,4,4)</f>
        <v>Qtr 1</v>
      </c>
      <c r="G3139" s="3" t="str">
        <f>TEXT(Table1[[#This Row],[Date]],"mmmm")</f>
        <v>March</v>
      </c>
      <c r="H3139" s="3" t="s">
        <v>1084</v>
      </c>
      <c r="I3139" s="3" t="s">
        <v>13</v>
      </c>
      <c r="J3139" s="3">
        <v>3</v>
      </c>
      <c r="K3139" s="3">
        <v>50465.95</v>
      </c>
      <c r="L3139" s="3">
        <f>Table1[[#This Row],[Price Per Unit]]*Table1[[#This Row],[Units Sold]]</f>
        <v>151397.84999999998</v>
      </c>
      <c r="M3139" s="3" t="s">
        <v>830</v>
      </c>
      <c r="N3139" s="3">
        <v>34</v>
      </c>
      <c r="O3139" s="3" t="s">
        <v>41</v>
      </c>
      <c r="P3139" s="3" t="s">
        <v>16</v>
      </c>
      <c r="Q3139" s="4">
        <v>2</v>
      </c>
      <c r="R3139" s="4" t="str">
        <f>IF(Table1[[#This Row],[Customer Ratings]]&gt;=4, "Good",IF(Table1[[#This Row],[Customer Ratings]]=3, "Average","Poor"))</f>
        <v>Poor</v>
      </c>
      <c r="S3139" s="3" t="s">
        <v>27</v>
      </c>
    </row>
    <row r="3140" spans="1:19" x14ac:dyDescent="0.25">
      <c r="A3140" s="3">
        <v>3139</v>
      </c>
      <c r="B3140" s="5">
        <f>DATE(Table1[[#This Row],[Year]],Table1[[#This Row],[Month]],Table1[[#This Row],[Day]])</f>
        <v>45372</v>
      </c>
      <c r="C3140" s="3">
        <v>21</v>
      </c>
      <c r="D3140" s="3">
        <v>3</v>
      </c>
      <c r="E3140" s="3">
        <v>2024</v>
      </c>
      <c r="F3140" s="3" t="str">
        <f>"Qtr"&amp; " " &amp;CHOOSE(MONTH(Table1[[#This Row],[Date]]),1,1,1,2,2,2,3,3,3,4,4,4)</f>
        <v>Qtr 1</v>
      </c>
      <c r="G3140" s="3" t="str">
        <f>TEXT(Table1[[#This Row],[Date]],"mmmm")</f>
        <v>March</v>
      </c>
      <c r="H3140" s="3" t="s">
        <v>1084</v>
      </c>
      <c r="I3140" s="3" t="s">
        <v>28</v>
      </c>
      <c r="J3140" s="3">
        <v>8</v>
      </c>
      <c r="K3140" s="3">
        <v>34276.35</v>
      </c>
      <c r="L3140" s="3">
        <f>Table1[[#This Row],[Price Per Unit]]*Table1[[#This Row],[Units Sold]]</f>
        <v>274210.8</v>
      </c>
      <c r="M3140" s="3" t="s">
        <v>297</v>
      </c>
      <c r="N3140" s="3">
        <v>19</v>
      </c>
      <c r="O3140" s="3" t="s">
        <v>24</v>
      </c>
      <c r="P3140" s="3" t="s">
        <v>45</v>
      </c>
      <c r="Q3140" s="4">
        <v>5</v>
      </c>
      <c r="R3140" s="4" t="str">
        <f>IF(Table1[[#This Row],[Customer Ratings]]&gt;=4, "Good",IF(Table1[[#This Row],[Customer Ratings]]=3, "Average","Poor"))</f>
        <v>Good</v>
      </c>
      <c r="S3140" s="3" t="s">
        <v>38</v>
      </c>
    </row>
    <row r="3141" spans="1:19" x14ac:dyDescent="0.25">
      <c r="A3141" s="3">
        <v>3140</v>
      </c>
      <c r="B3141" s="5">
        <f>DATE(Table1[[#This Row],[Year]],Table1[[#This Row],[Month]],Table1[[#This Row],[Day]])</f>
        <v>45373</v>
      </c>
      <c r="C3141" s="3">
        <v>22</v>
      </c>
      <c r="D3141" s="3">
        <v>3</v>
      </c>
      <c r="E3141" s="3">
        <v>2024</v>
      </c>
      <c r="F3141" s="3" t="str">
        <f>"Qtr"&amp; " " &amp;CHOOSE(MONTH(Table1[[#This Row],[Date]]),1,1,1,2,2,2,3,3,3,4,4,4)</f>
        <v>Qtr 1</v>
      </c>
      <c r="G3141" s="3" t="str">
        <f>TEXT(Table1[[#This Row],[Date]],"mmmm")</f>
        <v>March</v>
      </c>
      <c r="H3141" s="3" t="s">
        <v>1085</v>
      </c>
      <c r="I3141" s="3" t="s">
        <v>33</v>
      </c>
      <c r="J3141" s="3">
        <v>8</v>
      </c>
      <c r="K3141" s="3">
        <v>36728.660000000003</v>
      </c>
      <c r="L3141" s="3">
        <f>Table1[[#This Row],[Price Per Unit]]*Table1[[#This Row],[Units Sold]]</f>
        <v>293829.28000000003</v>
      </c>
      <c r="M3141" s="3" t="s">
        <v>95</v>
      </c>
      <c r="N3141" s="3">
        <v>33</v>
      </c>
      <c r="O3141" s="3" t="s">
        <v>20</v>
      </c>
      <c r="P3141" s="3" t="s">
        <v>31</v>
      </c>
      <c r="Q3141" s="4">
        <v>2</v>
      </c>
      <c r="R3141" s="4" t="str">
        <f>IF(Table1[[#This Row],[Customer Ratings]]&gt;=4, "Good",IF(Table1[[#This Row],[Customer Ratings]]=3, "Average","Poor"))</f>
        <v>Poor</v>
      </c>
      <c r="S3141" s="3" t="s">
        <v>36</v>
      </c>
    </row>
    <row r="3142" spans="1:19" x14ac:dyDescent="0.25">
      <c r="A3142" s="3">
        <v>3141</v>
      </c>
      <c r="B3142" s="5">
        <f>DATE(Table1[[#This Row],[Year]],Table1[[#This Row],[Month]],Table1[[#This Row],[Day]])</f>
        <v>45373</v>
      </c>
      <c r="C3142" s="3">
        <v>22</v>
      </c>
      <c r="D3142" s="3">
        <v>3</v>
      </c>
      <c r="E3142" s="3">
        <v>2024</v>
      </c>
      <c r="F3142" s="3" t="str">
        <f>"Qtr"&amp; " " &amp;CHOOSE(MONTH(Table1[[#This Row],[Date]]),1,1,1,2,2,2,3,3,3,4,4,4)</f>
        <v>Qtr 1</v>
      </c>
      <c r="G3142" s="3" t="str">
        <f>TEXT(Table1[[#This Row],[Date]],"mmmm")</f>
        <v>March</v>
      </c>
      <c r="H3142" s="3" t="s">
        <v>1085</v>
      </c>
      <c r="I3142" s="3" t="s">
        <v>39</v>
      </c>
      <c r="J3142" s="3">
        <v>8</v>
      </c>
      <c r="K3142" s="3">
        <v>62420.36</v>
      </c>
      <c r="L3142" s="3">
        <f>Table1[[#This Row],[Price Per Unit]]*Table1[[#This Row],[Units Sold]]</f>
        <v>499362.88</v>
      </c>
      <c r="M3142" s="3" t="s">
        <v>248</v>
      </c>
      <c r="N3142" s="3">
        <v>56</v>
      </c>
      <c r="O3142" s="3" t="s">
        <v>24</v>
      </c>
      <c r="P3142" s="3" t="s">
        <v>16</v>
      </c>
      <c r="Q3142" s="4">
        <v>5</v>
      </c>
      <c r="R3142" s="4" t="str">
        <f>IF(Table1[[#This Row],[Customer Ratings]]&gt;=4, "Good",IF(Table1[[#This Row],[Customer Ratings]]=3, "Average","Poor"))</f>
        <v>Good</v>
      </c>
      <c r="S3142" s="3" t="s">
        <v>42</v>
      </c>
    </row>
    <row r="3143" spans="1:19" x14ac:dyDescent="0.25">
      <c r="A3143" s="3">
        <v>3142</v>
      </c>
      <c r="B3143" s="5">
        <f>DATE(Table1[[#This Row],[Year]],Table1[[#This Row],[Month]],Table1[[#This Row],[Day]])</f>
        <v>45373</v>
      </c>
      <c r="C3143" s="3">
        <v>22</v>
      </c>
      <c r="D3143" s="3">
        <v>3</v>
      </c>
      <c r="E3143" s="3">
        <v>2024</v>
      </c>
      <c r="F3143" s="3" t="str">
        <f>"Qtr"&amp; " " &amp;CHOOSE(MONTH(Table1[[#This Row],[Date]]),1,1,1,2,2,2,3,3,3,4,4,4)</f>
        <v>Qtr 1</v>
      </c>
      <c r="G3143" s="3" t="str">
        <f>TEXT(Table1[[#This Row],[Date]],"mmmm")</f>
        <v>March</v>
      </c>
      <c r="H3143" s="3" t="s">
        <v>1085</v>
      </c>
      <c r="I3143" s="3" t="s">
        <v>28</v>
      </c>
      <c r="J3143" s="3">
        <v>6</v>
      </c>
      <c r="K3143" s="3">
        <v>37710.07</v>
      </c>
      <c r="L3143" s="3">
        <f>Table1[[#This Row],[Price Per Unit]]*Table1[[#This Row],[Units Sold]]</f>
        <v>226260.41999999998</v>
      </c>
      <c r="M3143" s="3" t="s">
        <v>215</v>
      </c>
      <c r="N3143" s="3">
        <v>35</v>
      </c>
      <c r="O3143" s="3" t="s">
        <v>20</v>
      </c>
      <c r="P3143" s="3" t="s">
        <v>21</v>
      </c>
      <c r="Q3143" s="4">
        <v>3</v>
      </c>
      <c r="R3143" s="4" t="str">
        <f>IF(Table1[[#This Row],[Customer Ratings]]&gt;=4, "Good",IF(Table1[[#This Row],[Customer Ratings]]=3, "Average","Poor"))</f>
        <v>Average</v>
      </c>
      <c r="S3143" s="3" t="s">
        <v>38</v>
      </c>
    </row>
    <row r="3144" spans="1:19" x14ac:dyDescent="0.25">
      <c r="A3144" s="3">
        <v>3143</v>
      </c>
      <c r="B3144" s="5">
        <f>DATE(Table1[[#This Row],[Year]],Table1[[#This Row],[Month]],Table1[[#This Row],[Day]])</f>
        <v>45373</v>
      </c>
      <c r="C3144" s="3">
        <v>22</v>
      </c>
      <c r="D3144" s="3">
        <v>3</v>
      </c>
      <c r="E3144" s="3">
        <v>2024</v>
      </c>
      <c r="F3144" s="3" t="str">
        <f>"Qtr"&amp; " " &amp;CHOOSE(MONTH(Table1[[#This Row],[Date]]),1,1,1,2,2,2,3,3,3,4,4,4)</f>
        <v>Qtr 1</v>
      </c>
      <c r="G3144" s="3" t="str">
        <f>TEXT(Table1[[#This Row],[Date]],"mmmm")</f>
        <v>March</v>
      </c>
      <c r="H3144" s="3" t="s">
        <v>1085</v>
      </c>
      <c r="I3144" s="3" t="s">
        <v>18</v>
      </c>
      <c r="J3144" s="3">
        <v>6</v>
      </c>
      <c r="K3144" s="3">
        <v>11271.53</v>
      </c>
      <c r="L3144" s="3">
        <f>Table1[[#This Row],[Price Per Unit]]*Table1[[#This Row],[Units Sold]]</f>
        <v>67629.180000000008</v>
      </c>
      <c r="M3144" s="3" t="s">
        <v>410</v>
      </c>
      <c r="N3144" s="3">
        <v>56</v>
      </c>
      <c r="O3144" s="3" t="s">
        <v>24</v>
      </c>
      <c r="P3144" s="3" t="s">
        <v>31</v>
      </c>
      <c r="Q3144" s="4">
        <v>2</v>
      </c>
      <c r="R3144" s="4" t="str">
        <f>IF(Table1[[#This Row],[Customer Ratings]]&gt;=4, "Good",IF(Table1[[#This Row],[Customer Ratings]]=3, "Average","Poor"))</f>
        <v>Poor</v>
      </c>
      <c r="S3144" s="3" t="s">
        <v>22</v>
      </c>
    </row>
    <row r="3145" spans="1:19" x14ac:dyDescent="0.25">
      <c r="A3145" s="3">
        <v>3144</v>
      </c>
      <c r="B3145" s="5">
        <f>DATE(Table1[[#This Row],[Year]],Table1[[#This Row],[Month]],Table1[[#This Row],[Day]])</f>
        <v>45374</v>
      </c>
      <c r="C3145" s="3">
        <v>23</v>
      </c>
      <c r="D3145" s="3">
        <v>3</v>
      </c>
      <c r="E3145" s="3">
        <v>2024</v>
      </c>
      <c r="F3145" s="3" t="str">
        <f>"Qtr"&amp; " " &amp;CHOOSE(MONTH(Table1[[#This Row],[Date]]),1,1,1,2,2,2,3,3,3,4,4,4)</f>
        <v>Qtr 1</v>
      </c>
      <c r="G3145" s="3" t="str">
        <f>TEXT(Table1[[#This Row],[Date]],"mmmm")</f>
        <v>March</v>
      </c>
      <c r="H3145" s="3" t="s">
        <v>1079</v>
      </c>
      <c r="I3145" s="3" t="s">
        <v>39</v>
      </c>
      <c r="J3145" s="3">
        <v>5</v>
      </c>
      <c r="K3145" s="3">
        <v>23649.45</v>
      </c>
      <c r="L3145" s="3">
        <f>Table1[[#This Row],[Price Per Unit]]*Table1[[#This Row],[Units Sold]]</f>
        <v>118247.25</v>
      </c>
      <c r="M3145" s="3" t="s">
        <v>413</v>
      </c>
      <c r="N3145" s="3">
        <v>18</v>
      </c>
      <c r="O3145" s="3" t="s">
        <v>24</v>
      </c>
      <c r="P3145" s="3" t="s">
        <v>16</v>
      </c>
      <c r="Q3145" s="4">
        <v>5</v>
      </c>
      <c r="R3145" s="4" t="str">
        <f>IF(Table1[[#This Row],[Customer Ratings]]&gt;=4, "Good",IF(Table1[[#This Row],[Customer Ratings]]=3, "Average","Poor"))</f>
        <v>Good</v>
      </c>
      <c r="S3145" s="3" t="s">
        <v>90</v>
      </c>
    </row>
    <row r="3146" spans="1:19" x14ac:dyDescent="0.25">
      <c r="A3146" s="3">
        <v>3145</v>
      </c>
      <c r="B3146" s="5">
        <f>DATE(Table1[[#This Row],[Year]],Table1[[#This Row],[Month]],Table1[[#This Row],[Day]])</f>
        <v>45374</v>
      </c>
      <c r="C3146" s="3">
        <v>23</v>
      </c>
      <c r="D3146" s="3">
        <v>3</v>
      </c>
      <c r="E3146" s="3">
        <v>2024</v>
      </c>
      <c r="F3146" s="3" t="str">
        <f>"Qtr"&amp; " " &amp;CHOOSE(MONTH(Table1[[#This Row],[Date]]),1,1,1,2,2,2,3,3,3,4,4,4)</f>
        <v>Qtr 1</v>
      </c>
      <c r="G3146" s="3" t="str">
        <f>TEXT(Table1[[#This Row],[Date]],"mmmm")</f>
        <v>March</v>
      </c>
      <c r="H3146" s="3" t="s">
        <v>1079</v>
      </c>
      <c r="I3146" s="3" t="s">
        <v>28</v>
      </c>
      <c r="J3146" s="3">
        <v>9</v>
      </c>
      <c r="K3146" s="3">
        <v>38537.24</v>
      </c>
      <c r="L3146" s="3">
        <f>Table1[[#This Row],[Price Per Unit]]*Table1[[#This Row],[Units Sold]]</f>
        <v>346835.16</v>
      </c>
      <c r="M3146" s="3" t="s">
        <v>393</v>
      </c>
      <c r="N3146" s="3">
        <v>20</v>
      </c>
      <c r="O3146" s="3" t="s">
        <v>20</v>
      </c>
      <c r="P3146" s="3" t="s">
        <v>45</v>
      </c>
      <c r="Q3146" s="4">
        <v>5</v>
      </c>
      <c r="R3146" s="4" t="str">
        <f>IF(Table1[[#This Row],[Customer Ratings]]&gt;=4, "Good",IF(Table1[[#This Row],[Customer Ratings]]=3, "Average","Poor"))</f>
        <v>Good</v>
      </c>
      <c r="S3146" s="3" t="s">
        <v>32</v>
      </c>
    </row>
    <row r="3147" spans="1:19" x14ac:dyDescent="0.25">
      <c r="A3147" s="3">
        <v>3146</v>
      </c>
      <c r="B3147" s="5">
        <f>DATE(Table1[[#This Row],[Year]],Table1[[#This Row],[Month]],Table1[[#This Row],[Day]])</f>
        <v>45374</v>
      </c>
      <c r="C3147" s="3">
        <v>23</v>
      </c>
      <c r="D3147" s="3">
        <v>3</v>
      </c>
      <c r="E3147" s="3">
        <v>2024</v>
      </c>
      <c r="F3147" s="3" t="str">
        <f>"Qtr"&amp; " " &amp;CHOOSE(MONTH(Table1[[#This Row],[Date]]),1,1,1,2,2,2,3,3,3,4,4,4)</f>
        <v>Qtr 1</v>
      </c>
      <c r="G3147" s="3" t="str">
        <f>TEXT(Table1[[#This Row],[Date]],"mmmm")</f>
        <v>March</v>
      </c>
      <c r="H3147" s="3" t="s">
        <v>1079</v>
      </c>
      <c r="I3147" s="3" t="s">
        <v>39</v>
      </c>
      <c r="J3147" s="3">
        <v>4</v>
      </c>
      <c r="K3147" s="3">
        <v>35463.78</v>
      </c>
      <c r="L3147" s="3">
        <f>Table1[[#This Row],[Price Per Unit]]*Table1[[#This Row],[Units Sold]]</f>
        <v>141855.12</v>
      </c>
      <c r="M3147" s="3" t="s">
        <v>902</v>
      </c>
      <c r="N3147" s="3">
        <v>38</v>
      </c>
      <c r="O3147" s="3" t="s">
        <v>78</v>
      </c>
      <c r="P3147" s="3" t="s">
        <v>31</v>
      </c>
      <c r="Q3147" s="4">
        <v>4</v>
      </c>
      <c r="R3147" s="4" t="str">
        <f>IF(Table1[[#This Row],[Customer Ratings]]&gt;=4, "Good",IF(Table1[[#This Row],[Customer Ratings]]=3, "Average","Poor"))</f>
        <v>Good</v>
      </c>
      <c r="S3147" s="3" t="s">
        <v>90</v>
      </c>
    </row>
    <row r="3148" spans="1:19" x14ac:dyDescent="0.25">
      <c r="A3148" s="3">
        <v>3147</v>
      </c>
      <c r="B3148" s="5">
        <f>DATE(Table1[[#This Row],[Year]],Table1[[#This Row],[Month]],Table1[[#This Row],[Day]])</f>
        <v>45374</v>
      </c>
      <c r="C3148" s="3">
        <v>23</v>
      </c>
      <c r="D3148" s="3">
        <v>3</v>
      </c>
      <c r="E3148" s="3">
        <v>2024</v>
      </c>
      <c r="F3148" s="3" t="str">
        <f>"Qtr"&amp; " " &amp;CHOOSE(MONTH(Table1[[#This Row],[Date]]),1,1,1,2,2,2,3,3,3,4,4,4)</f>
        <v>Qtr 1</v>
      </c>
      <c r="G3148" s="3" t="str">
        <f>TEXT(Table1[[#This Row],[Date]],"mmmm")</f>
        <v>March</v>
      </c>
      <c r="H3148" s="3" t="s">
        <v>1079</v>
      </c>
      <c r="I3148" s="3" t="s">
        <v>13</v>
      </c>
      <c r="J3148" s="3">
        <v>7</v>
      </c>
      <c r="K3148" s="3">
        <v>61622.21</v>
      </c>
      <c r="L3148" s="3">
        <f>Table1[[#This Row],[Price Per Unit]]*Table1[[#This Row],[Units Sold]]</f>
        <v>431355.47</v>
      </c>
      <c r="M3148" s="3" t="s">
        <v>1011</v>
      </c>
      <c r="N3148" s="3">
        <v>47</v>
      </c>
      <c r="O3148" s="3" t="s">
        <v>54</v>
      </c>
      <c r="P3148" s="3" t="s">
        <v>16</v>
      </c>
      <c r="Q3148" s="4">
        <v>4</v>
      </c>
      <c r="R3148" s="4" t="str">
        <f>IF(Table1[[#This Row],[Customer Ratings]]&gt;=4, "Good",IF(Table1[[#This Row],[Customer Ratings]]=3, "Average","Poor"))</f>
        <v>Good</v>
      </c>
      <c r="S3148" s="3" t="s">
        <v>72</v>
      </c>
    </row>
    <row r="3149" spans="1:19" x14ac:dyDescent="0.25">
      <c r="A3149" s="3">
        <v>3148</v>
      </c>
      <c r="B3149" s="5">
        <f>DATE(Table1[[#This Row],[Year]],Table1[[#This Row],[Month]],Table1[[#This Row],[Day]])</f>
        <v>45375</v>
      </c>
      <c r="C3149" s="3">
        <v>24</v>
      </c>
      <c r="D3149" s="3">
        <v>3</v>
      </c>
      <c r="E3149" s="3">
        <v>2024</v>
      </c>
      <c r="F3149" s="3" t="str">
        <f>"Qtr"&amp; " " &amp;CHOOSE(MONTH(Table1[[#This Row],[Date]]),1,1,1,2,2,2,3,3,3,4,4,4)</f>
        <v>Qtr 1</v>
      </c>
      <c r="G3149" s="3" t="str">
        <f>TEXT(Table1[[#This Row],[Date]],"mmmm")</f>
        <v>March</v>
      </c>
      <c r="H3149" s="3" t="s">
        <v>1080</v>
      </c>
      <c r="I3149" s="3" t="s">
        <v>13</v>
      </c>
      <c r="J3149" s="3">
        <v>1</v>
      </c>
      <c r="K3149" s="3">
        <v>42528.25</v>
      </c>
      <c r="L3149" s="3">
        <f>Table1[[#This Row],[Price Per Unit]]*Table1[[#This Row],[Units Sold]]</f>
        <v>42528.25</v>
      </c>
      <c r="M3149" s="3" t="s">
        <v>701</v>
      </c>
      <c r="N3149" s="3">
        <v>28</v>
      </c>
      <c r="O3149" s="3" t="s">
        <v>20</v>
      </c>
      <c r="P3149" s="3" t="s">
        <v>45</v>
      </c>
      <c r="Q3149" s="4">
        <v>4</v>
      </c>
      <c r="R3149" s="4" t="str">
        <f>IF(Table1[[#This Row],[Customer Ratings]]&gt;=4, "Good",IF(Table1[[#This Row],[Customer Ratings]]=3, "Average","Poor"))</f>
        <v>Good</v>
      </c>
      <c r="S3149" s="3" t="s">
        <v>17</v>
      </c>
    </row>
    <row r="3150" spans="1:19" x14ac:dyDescent="0.25">
      <c r="A3150" s="3">
        <v>3149</v>
      </c>
      <c r="B3150" s="5">
        <f>DATE(Table1[[#This Row],[Year]],Table1[[#This Row],[Month]],Table1[[#This Row],[Day]])</f>
        <v>45375</v>
      </c>
      <c r="C3150" s="3">
        <v>24</v>
      </c>
      <c r="D3150" s="3">
        <v>3</v>
      </c>
      <c r="E3150" s="3">
        <v>2024</v>
      </c>
      <c r="F3150" s="3" t="str">
        <f>"Qtr"&amp; " " &amp;CHOOSE(MONTH(Table1[[#This Row],[Date]]),1,1,1,2,2,2,3,3,3,4,4,4)</f>
        <v>Qtr 1</v>
      </c>
      <c r="G3150" s="3" t="str">
        <f>TEXT(Table1[[#This Row],[Date]],"mmmm")</f>
        <v>March</v>
      </c>
      <c r="H3150" s="3" t="s">
        <v>1080</v>
      </c>
      <c r="I3150" s="3" t="s">
        <v>33</v>
      </c>
      <c r="J3150" s="3">
        <v>9</v>
      </c>
      <c r="K3150" s="3">
        <v>51378.14</v>
      </c>
      <c r="L3150" s="3">
        <f>Table1[[#This Row],[Price Per Unit]]*Table1[[#This Row],[Units Sold]]</f>
        <v>462403.26</v>
      </c>
      <c r="M3150" s="3" t="s">
        <v>246</v>
      </c>
      <c r="N3150" s="3">
        <v>39</v>
      </c>
      <c r="O3150" s="3" t="s">
        <v>81</v>
      </c>
      <c r="P3150" s="3" t="s">
        <v>45</v>
      </c>
      <c r="Q3150" s="4">
        <v>3</v>
      </c>
      <c r="R3150" s="4" t="str">
        <f>IF(Table1[[#This Row],[Customer Ratings]]&gt;=4, "Good",IF(Table1[[#This Row],[Customer Ratings]]=3, "Average","Poor"))</f>
        <v>Average</v>
      </c>
      <c r="S3150" s="3" t="s">
        <v>36</v>
      </c>
    </row>
    <row r="3151" spans="1:19" x14ac:dyDescent="0.25">
      <c r="A3151" s="3">
        <v>3150</v>
      </c>
      <c r="B3151" s="5">
        <f>DATE(Table1[[#This Row],[Year]],Table1[[#This Row],[Month]],Table1[[#This Row],[Day]])</f>
        <v>45375</v>
      </c>
      <c r="C3151" s="3">
        <v>24</v>
      </c>
      <c r="D3151" s="3">
        <v>3</v>
      </c>
      <c r="E3151" s="3">
        <v>2024</v>
      </c>
      <c r="F3151" s="3" t="str">
        <f>"Qtr"&amp; " " &amp;CHOOSE(MONTH(Table1[[#This Row],[Date]]),1,1,1,2,2,2,3,3,3,4,4,4)</f>
        <v>Qtr 1</v>
      </c>
      <c r="G3151" s="3" t="str">
        <f>TEXT(Table1[[#This Row],[Date]],"mmmm")</f>
        <v>March</v>
      </c>
      <c r="H3151" s="3" t="s">
        <v>1080</v>
      </c>
      <c r="I3151" s="3" t="s">
        <v>33</v>
      </c>
      <c r="J3151" s="3">
        <v>7</v>
      </c>
      <c r="K3151" s="3">
        <v>38159.4</v>
      </c>
      <c r="L3151" s="3">
        <f>Table1[[#This Row],[Price Per Unit]]*Table1[[#This Row],[Units Sold]]</f>
        <v>267115.8</v>
      </c>
      <c r="M3151" s="3" t="s">
        <v>568</v>
      </c>
      <c r="N3151" s="3">
        <v>42</v>
      </c>
      <c r="O3151" s="3" t="s">
        <v>24</v>
      </c>
      <c r="P3151" s="3" t="s">
        <v>16</v>
      </c>
      <c r="Q3151" s="4">
        <v>2</v>
      </c>
      <c r="R3151" s="4" t="str">
        <f>IF(Table1[[#This Row],[Customer Ratings]]&gt;=4, "Good",IF(Table1[[#This Row],[Customer Ratings]]=3, "Average","Poor"))</f>
        <v>Poor</v>
      </c>
      <c r="S3151" s="3" t="s">
        <v>83</v>
      </c>
    </row>
    <row r="3152" spans="1:19" x14ac:dyDescent="0.25">
      <c r="A3152" s="3">
        <v>3151</v>
      </c>
      <c r="B3152" s="5">
        <f>DATE(Table1[[#This Row],[Year]],Table1[[#This Row],[Month]],Table1[[#This Row],[Day]])</f>
        <v>45375</v>
      </c>
      <c r="C3152" s="3">
        <v>24</v>
      </c>
      <c r="D3152" s="3">
        <v>3</v>
      </c>
      <c r="E3152" s="3">
        <v>2024</v>
      </c>
      <c r="F3152" s="3" t="str">
        <f>"Qtr"&amp; " " &amp;CHOOSE(MONTH(Table1[[#This Row],[Date]]),1,1,1,2,2,2,3,3,3,4,4,4)</f>
        <v>Qtr 1</v>
      </c>
      <c r="G3152" s="3" t="str">
        <f>TEXT(Table1[[#This Row],[Date]],"mmmm")</f>
        <v>March</v>
      </c>
      <c r="H3152" s="3" t="s">
        <v>1080</v>
      </c>
      <c r="I3152" s="3" t="s">
        <v>13</v>
      </c>
      <c r="J3152" s="3">
        <v>9</v>
      </c>
      <c r="K3152" s="3">
        <v>36379.339999999997</v>
      </c>
      <c r="L3152" s="3">
        <f>Table1[[#This Row],[Price Per Unit]]*Table1[[#This Row],[Units Sold]]</f>
        <v>327414.05999999994</v>
      </c>
      <c r="M3152" s="3" t="s">
        <v>14</v>
      </c>
      <c r="N3152" s="3">
        <v>20</v>
      </c>
      <c r="O3152" s="3" t="s">
        <v>20</v>
      </c>
      <c r="P3152" s="3" t="s">
        <v>31</v>
      </c>
      <c r="Q3152" s="4">
        <v>3</v>
      </c>
      <c r="R3152" s="4" t="str">
        <f>IF(Table1[[#This Row],[Customer Ratings]]&gt;=4, "Good",IF(Table1[[#This Row],[Customer Ratings]]=3, "Average","Poor"))</f>
        <v>Average</v>
      </c>
      <c r="S3152" s="3" t="s">
        <v>27</v>
      </c>
    </row>
    <row r="3153" spans="1:19" x14ac:dyDescent="0.25">
      <c r="A3153" s="3">
        <v>3152</v>
      </c>
      <c r="B3153" s="5">
        <f>DATE(Table1[[#This Row],[Year]],Table1[[#This Row],[Month]],Table1[[#This Row],[Day]])</f>
        <v>45376</v>
      </c>
      <c r="C3153" s="3">
        <v>25</v>
      </c>
      <c r="D3153" s="3">
        <v>3</v>
      </c>
      <c r="E3153" s="3">
        <v>2024</v>
      </c>
      <c r="F3153" s="3" t="str">
        <f>"Qtr"&amp; " " &amp;CHOOSE(MONTH(Table1[[#This Row],[Date]]),1,1,1,2,2,2,3,3,3,4,4,4)</f>
        <v>Qtr 1</v>
      </c>
      <c r="G3153" s="3" t="str">
        <f>TEXT(Table1[[#This Row],[Date]],"mmmm")</f>
        <v>March</v>
      </c>
      <c r="H3153" s="3" t="s">
        <v>1081</v>
      </c>
      <c r="I3153" s="3" t="s">
        <v>39</v>
      </c>
      <c r="J3153" s="3">
        <v>7</v>
      </c>
      <c r="K3153" s="3">
        <v>36777.199999999997</v>
      </c>
      <c r="L3153" s="3">
        <f>Table1[[#This Row],[Price Per Unit]]*Table1[[#This Row],[Units Sold]]</f>
        <v>257440.39999999997</v>
      </c>
      <c r="M3153" s="3" t="s">
        <v>581</v>
      </c>
      <c r="N3153" s="3">
        <v>47</v>
      </c>
      <c r="O3153" s="3" t="s">
        <v>120</v>
      </c>
      <c r="P3153" s="3" t="s">
        <v>16</v>
      </c>
      <c r="Q3153" s="4">
        <v>1</v>
      </c>
      <c r="R3153" s="4" t="str">
        <f>IF(Table1[[#This Row],[Customer Ratings]]&gt;=4, "Good",IF(Table1[[#This Row],[Customer Ratings]]=3, "Average","Poor"))</f>
        <v>Poor</v>
      </c>
      <c r="S3153" s="3" t="s">
        <v>76</v>
      </c>
    </row>
    <row r="3154" spans="1:19" x14ac:dyDescent="0.25">
      <c r="A3154" s="3">
        <v>3153</v>
      </c>
      <c r="B3154" s="5">
        <f>DATE(Table1[[#This Row],[Year]],Table1[[#This Row],[Month]],Table1[[#This Row],[Day]])</f>
        <v>45376</v>
      </c>
      <c r="C3154" s="3">
        <v>25</v>
      </c>
      <c r="D3154" s="3">
        <v>3</v>
      </c>
      <c r="E3154" s="3">
        <v>2024</v>
      </c>
      <c r="F3154" s="3" t="str">
        <f>"Qtr"&amp; " " &amp;CHOOSE(MONTH(Table1[[#This Row],[Date]]),1,1,1,2,2,2,3,3,3,4,4,4)</f>
        <v>Qtr 1</v>
      </c>
      <c r="G3154" s="3" t="str">
        <f>TEXT(Table1[[#This Row],[Date]],"mmmm")</f>
        <v>March</v>
      </c>
      <c r="H3154" s="3" t="s">
        <v>1081</v>
      </c>
      <c r="I3154" s="3" t="s">
        <v>13</v>
      </c>
      <c r="J3154" s="3">
        <v>2</v>
      </c>
      <c r="K3154" s="3">
        <v>34655.29</v>
      </c>
      <c r="L3154" s="3">
        <f>Table1[[#This Row],[Price Per Unit]]*Table1[[#This Row],[Units Sold]]</f>
        <v>69310.58</v>
      </c>
      <c r="M3154" s="3" t="s">
        <v>623</v>
      </c>
      <c r="N3154" s="3">
        <v>41</v>
      </c>
      <c r="O3154" s="3" t="s">
        <v>20</v>
      </c>
      <c r="P3154" s="3" t="s">
        <v>16</v>
      </c>
      <c r="Q3154" s="4">
        <v>5</v>
      </c>
      <c r="R3154" s="4" t="str">
        <f>IF(Table1[[#This Row],[Customer Ratings]]&gt;=4, "Good",IF(Table1[[#This Row],[Customer Ratings]]=3, "Average","Poor"))</f>
        <v>Good</v>
      </c>
      <c r="S3154" s="3" t="s">
        <v>72</v>
      </c>
    </row>
    <row r="3155" spans="1:19" x14ac:dyDescent="0.25">
      <c r="A3155" s="3">
        <v>3154</v>
      </c>
      <c r="B3155" s="5">
        <f>DATE(Table1[[#This Row],[Year]],Table1[[#This Row],[Month]],Table1[[#This Row],[Day]])</f>
        <v>45376</v>
      </c>
      <c r="C3155" s="3">
        <v>25</v>
      </c>
      <c r="D3155" s="3">
        <v>3</v>
      </c>
      <c r="E3155" s="3">
        <v>2024</v>
      </c>
      <c r="F3155" s="3" t="str">
        <f>"Qtr"&amp; " " &amp;CHOOSE(MONTH(Table1[[#This Row],[Date]]),1,1,1,2,2,2,3,3,3,4,4,4)</f>
        <v>Qtr 1</v>
      </c>
      <c r="G3155" s="3" t="str">
        <f>TEXT(Table1[[#This Row],[Date]],"mmmm")</f>
        <v>March</v>
      </c>
      <c r="H3155" s="3" t="s">
        <v>1081</v>
      </c>
      <c r="I3155" s="3" t="s">
        <v>33</v>
      </c>
      <c r="J3155" s="3">
        <v>6</v>
      </c>
      <c r="K3155" s="3">
        <v>42315</v>
      </c>
      <c r="L3155" s="3">
        <f>Table1[[#This Row],[Price Per Unit]]*Table1[[#This Row],[Units Sold]]</f>
        <v>253890</v>
      </c>
      <c r="M3155" s="3" t="s">
        <v>306</v>
      </c>
      <c r="N3155" s="3">
        <v>53</v>
      </c>
      <c r="O3155" s="3" t="s">
        <v>81</v>
      </c>
      <c r="P3155" s="3" t="s">
        <v>16</v>
      </c>
      <c r="Q3155" s="4">
        <v>5</v>
      </c>
      <c r="R3155" s="4" t="str">
        <f>IF(Table1[[#This Row],[Customer Ratings]]&gt;=4, "Good",IF(Table1[[#This Row],[Customer Ratings]]=3, "Average","Poor"))</f>
        <v>Good</v>
      </c>
      <c r="S3155" s="3" t="s">
        <v>83</v>
      </c>
    </row>
    <row r="3156" spans="1:19" x14ac:dyDescent="0.25">
      <c r="A3156" s="3">
        <v>3155</v>
      </c>
      <c r="B3156" s="5">
        <f>DATE(Table1[[#This Row],[Year]],Table1[[#This Row],[Month]],Table1[[#This Row],[Day]])</f>
        <v>45377</v>
      </c>
      <c r="C3156" s="3">
        <v>26</v>
      </c>
      <c r="D3156" s="3">
        <v>3</v>
      </c>
      <c r="E3156" s="3">
        <v>2024</v>
      </c>
      <c r="F3156" s="3" t="str">
        <f>"Qtr"&amp; " " &amp;CHOOSE(MONTH(Table1[[#This Row],[Date]]),1,1,1,2,2,2,3,3,3,4,4,4)</f>
        <v>Qtr 1</v>
      </c>
      <c r="G3156" s="3" t="str">
        <f>TEXT(Table1[[#This Row],[Date]],"mmmm")</f>
        <v>March</v>
      </c>
      <c r="H3156" s="3" t="s">
        <v>1082</v>
      </c>
      <c r="I3156" s="3" t="s">
        <v>13</v>
      </c>
      <c r="J3156" s="3">
        <v>4</v>
      </c>
      <c r="K3156" s="3">
        <v>25026.6</v>
      </c>
      <c r="L3156" s="3">
        <f>Table1[[#This Row],[Price Per Unit]]*Table1[[#This Row],[Units Sold]]</f>
        <v>100106.4</v>
      </c>
      <c r="M3156" s="3" t="s">
        <v>336</v>
      </c>
      <c r="N3156" s="3">
        <v>40</v>
      </c>
      <c r="O3156" s="3" t="s">
        <v>102</v>
      </c>
      <c r="P3156" s="3" t="s">
        <v>16</v>
      </c>
      <c r="Q3156" s="4">
        <v>5</v>
      </c>
      <c r="R3156" s="4" t="str">
        <f>IF(Table1[[#This Row],[Customer Ratings]]&gt;=4, "Good",IF(Table1[[#This Row],[Customer Ratings]]=3, "Average","Poor"))</f>
        <v>Good</v>
      </c>
      <c r="S3156" s="3" t="s">
        <v>27</v>
      </c>
    </row>
    <row r="3157" spans="1:19" x14ac:dyDescent="0.25">
      <c r="A3157" s="3">
        <v>3156</v>
      </c>
      <c r="B3157" s="5">
        <f>DATE(Table1[[#This Row],[Year]],Table1[[#This Row],[Month]],Table1[[#This Row],[Day]])</f>
        <v>45377</v>
      </c>
      <c r="C3157" s="3">
        <v>26</v>
      </c>
      <c r="D3157" s="3">
        <v>3</v>
      </c>
      <c r="E3157" s="3">
        <v>2024</v>
      </c>
      <c r="F3157" s="3" t="str">
        <f>"Qtr"&amp; " " &amp;CHOOSE(MONTH(Table1[[#This Row],[Date]]),1,1,1,2,2,2,3,3,3,4,4,4)</f>
        <v>Qtr 1</v>
      </c>
      <c r="G3157" s="3" t="str">
        <f>TEXT(Table1[[#This Row],[Date]],"mmmm")</f>
        <v>March</v>
      </c>
      <c r="H3157" s="3" t="s">
        <v>1082</v>
      </c>
      <c r="I3157" s="3" t="s">
        <v>13</v>
      </c>
      <c r="J3157" s="3">
        <v>3</v>
      </c>
      <c r="K3157" s="3">
        <v>63463.31</v>
      </c>
      <c r="L3157" s="3">
        <f>Table1[[#This Row],[Price Per Unit]]*Table1[[#This Row],[Units Sold]]</f>
        <v>190389.93</v>
      </c>
      <c r="M3157" s="3" t="s">
        <v>438</v>
      </c>
      <c r="N3157" s="3">
        <v>25</v>
      </c>
      <c r="O3157" s="3" t="s">
        <v>24</v>
      </c>
      <c r="P3157" s="3" t="s">
        <v>16</v>
      </c>
      <c r="Q3157" s="4">
        <v>4</v>
      </c>
      <c r="R3157" s="4" t="str">
        <f>IF(Table1[[#This Row],[Customer Ratings]]&gt;=4, "Good",IF(Table1[[#This Row],[Customer Ratings]]=3, "Average","Poor"))</f>
        <v>Good</v>
      </c>
      <c r="S3157" s="3" t="s">
        <v>17</v>
      </c>
    </row>
    <row r="3158" spans="1:19" x14ac:dyDescent="0.25">
      <c r="A3158" s="3">
        <v>3157</v>
      </c>
      <c r="B3158" s="5">
        <f>DATE(Table1[[#This Row],[Year]],Table1[[#This Row],[Month]],Table1[[#This Row],[Day]])</f>
        <v>45377</v>
      </c>
      <c r="C3158" s="3">
        <v>26</v>
      </c>
      <c r="D3158" s="3">
        <v>3</v>
      </c>
      <c r="E3158" s="3">
        <v>2024</v>
      </c>
      <c r="F3158" s="3" t="str">
        <f>"Qtr"&amp; " " &amp;CHOOSE(MONTH(Table1[[#This Row],[Date]]),1,1,1,2,2,2,3,3,3,4,4,4)</f>
        <v>Qtr 1</v>
      </c>
      <c r="G3158" s="3" t="str">
        <f>TEXT(Table1[[#This Row],[Date]],"mmmm")</f>
        <v>March</v>
      </c>
      <c r="H3158" s="3" t="s">
        <v>1082</v>
      </c>
      <c r="I3158" s="3" t="s">
        <v>39</v>
      </c>
      <c r="J3158" s="3">
        <v>2</v>
      </c>
      <c r="K3158" s="3">
        <v>29985.13</v>
      </c>
      <c r="L3158" s="3">
        <f>Table1[[#This Row],[Price Per Unit]]*Table1[[#This Row],[Units Sold]]</f>
        <v>59970.26</v>
      </c>
      <c r="M3158" s="3" t="s">
        <v>412</v>
      </c>
      <c r="N3158" s="3">
        <v>21</v>
      </c>
      <c r="O3158" s="3" t="s">
        <v>65</v>
      </c>
      <c r="P3158" s="3" t="s">
        <v>45</v>
      </c>
      <c r="Q3158" s="4">
        <v>5</v>
      </c>
      <c r="R3158" s="4" t="str">
        <f>IF(Table1[[#This Row],[Customer Ratings]]&gt;=4, "Good",IF(Table1[[#This Row],[Customer Ratings]]=3, "Average","Poor"))</f>
        <v>Good</v>
      </c>
      <c r="S3158" s="3" t="s">
        <v>42</v>
      </c>
    </row>
    <row r="3159" spans="1:19" x14ac:dyDescent="0.25">
      <c r="A3159" s="3">
        <v>3158</v>
      </c>
      <c r="B3159" s="5">
        <f>DATE(Table1[[#This Row],[Year]],Table1[[#This Row],[Month]],Table1[[#This Row],[Day]])</f>
        <v>45378</v>
      </c>
      <c r="C3159" s="3">
        <v>27</v>
      </c>
      <c r="D3159" s="3">
        <v>3</v>
      </c>
      <c r="E3159" s="3">
        <v>2024</v>
      </c>
      <c r="F3159" s="3" t="str">
        <f>"Qtr"&amp; " " &amp;CHOOSE(MONTH(Table1[[#This Row],[Date]]),1,1,1,2,2,2,3,3,3,4,4,4)</f>
        <v>Qtr 1</v>
      </c>
      <c r="G3159" s="3" t="str">
        <f>TEXT(Table1[[#This Row],[Date]],"mmmm")</f>
        <v>March</v>
      </c>
      <c r="H3159" s="3" t="s">
        <v>1083</v>
      </c>
      <c r="I3159" s="3" t="s">
        <v>28</v>
      </c>
      <c r="J3159" s="3">
        <v>6</v>
      </c>
      <c r="K3159" s="3">
        <v>18851.43</v>
      </c>
      <c r="L3159" s="3">
        <f>Table1[[#This Row],[Price Per Unit]]*Table1[[#This Row],[Units Sold]]</f>
        <v>113108.58</v>
      </c>
      <c r="M3159" s="3" t="s">
        <v>74</v>
      </c>
      <c r="N3159" s="3">
        <v>56</v>
      </c>
      <c r="O3159" s="3" t="s">
        <v>24</v>
      </c>
      <c r="P3159" s="3" t="s">
        <v>16</v>
      </c>
      <c r="Q3159" s="4">
        <v>4</v>
      </c>
      <c r="R3159" s="4" t="str">
        <f>IF(Table1[[#This Row],[Customer Ratings]]&gt;=4, "Good",IF(Table1[[#This Row],[Customer Ratings]]=3, "Average","Poor"))</f>
        <v>Good</v>
      </c>
      <c r="S3159" s="3" t="s">
        <v>38</v>
      </c>
    </row>
    <row r="3160" spans="1:19" x14ac:dyDescent="0.25">
      <c r="A3160" s="3">
        <v>3159</v>
      </c>
      <c r="B3160" s="5">
        <f>DATE(Table1[[#This Row],[Year]],Table1[[#This Row],[Month]],Table1[[#This Row],[Day]])</f>
        <v>45378</v>
      </c>
      <c r="C3160" s="3">
        <v>27</v>
      </c>
      <c r="D3160" s="3">
        <v>3</v>
      </c>
      <c r="E3160" s="3">
        <v>2024</v>
      </c>
      <c r="F3160" s="3" t="str">
        <f>"Qtr"&amp; " " &amp;CHOOSE(MONTH(Table1[[#This Row],[Date]]),1,1,1,2,2,2,3,3,3,4,4,4)</f>
        <v>Qtr 1</v>
      </c>
      <c r="G3160" s="3" t="str">
        <f>TEXT(Table1[[#This Row],[Date]],"mmmm")</f>
        <v>March</v>
      </c>
      <c r="H3160" s="3" t="s">
        <v>1083</v>
      </c>
      <c r="I3160" s="3" t="s">
        <v>33</v>
      </c>
      <c r="J3160" s="3">
        <v>8</v>
      </c>
      <c r="K3160" s="3">
        <v>15793.03</v>
      </c>
      <c r="L3160" s="3">
        <f>Table1[[#This Row],[Price Per Unit]]*Table1[[#This Row],[Units Sold]]</f>
        <v>126344.24</v>
      </c>
      <c r="M3160" s="3" t="s">
        <v>351</v>
      </c>
      <c r="N3160" s="3">
        <v>48</v>
      </c>
      <c r="O3160" s="3" t="s">
        <v>20</v>
      </c>
      <c r="P3160" s="3" t="s">
        <v>31</v>
      </c>
      <c r="Q3160" s="4">
        <v>1</v>
      </c>
      <c r="R3160" s="4" t="str">
        <f>IF(Table1[[#This Row],[Customer Ratings]]&gt;=4, "Good",IF(Table1[[#This Row],[Customer Ratings]]=3, "Average","Poor"))</f>
        <v>Poor</v>
      </c>
      <c r="S3160" s="3" t="s">
        <v>83</v>
      </c>
    </row>
    <row r="3161" spans="1:19" x14ac:dyDescent="0.25">
      <c r="A3161" s="3">
        <v>3160</v>
      </c>
      <c r="B3161" s="5">
        <f>DATE(Table1[[#This Row],[Year]],Table1[[#This Row],[Month]],Table1[[#This Row],[Day]])</f>
        <v>45378</v>
      </c>
      <c r="C3161" s="3">
        <v>27</v>
      </c>
      <c r="D3161" s="3">
        <v>3</v>
      </c>
      <c r="E3161" s="3">
        <v>2024</v>
      </c>
      <c r="F3161" s="3" t="str">
        <f>"Qtr"&amp; " " &amp;CHOOSE(MONTH(Table1[[#This Row],[Date]]),1,1,1,2,2,2,3,3,3,4,4,4)</f>
        <v>Qtr 1</v>
      </c>
      <c r="G3161" s="3" t="str">
        <f>TEXT(Table1[[#This Row],[Date]],"mmmm")</f>
        <v>March</v>
      </c>
      <c r="H3161" s="3" t="s">
        <v>1083</v>
      </c>
      <c r="I3161" s="3" t="s">
        <v>39</v>
      </c>
      <c r="J3161" s="3">
        <v>6</v>
      </c>
      <c r="K3161" s="3">
        <v>10805.37</v>
      </c>
      <c r="L3161" s="3">
        <f>Table1[[#This Row],[Price Per Unit]]*Table1[[#This Row],[Units Sold]]</f>
        <v>64832.22</v>
      </c>
      <c r="M3161" s="3" t="s">
        <v>568</v>
      </c>
      <c r="N3161" s="3">
        <v>46</v>
      </c>
      <c r="O3161" s="3" t="s">
        <v>98</v>
      </c>
      <c r="P3161" s="3" t="s">
        <v>21</v>
      </c>
      <c r="Q3161" s="4">
        <v>3</v>
      </c>
      <c r="R3161" s="4" t="str">
        <f>IF(Table1[[#This Row],[Customer Ratings]]&gt;=4, "Good",IF(Table1[[#This Row],[Customer Ratings]]=3, "Average","Poor"))</f>
        <v>Average</v>
      </c>
      <c r="S3161" s="3" t="s">
        <v>90</v>
      </c>
    </row>
    <row r="3162" spans="1:19" x14ac:dyDescent="0.25">
      <c r="A3162" s="3">
        <v>3161</v>
      </c>
      <c r="B3162" s="5">
        <f>DATE(Table1[[#This Row],[Year]],Table1[[#This Row],[Month]],Table1[[#This Row],[Day]])</f>
        <v>45379</v>
      </c>
      <c r="C3162" s="3">
        <v>28</v>
      </c>
      <c r="D3162" s="3">
        <v>3</v>
      </c>
      <c r="E3162" s="3">
        <v>2024</v>
      </c>
      <c r="F3162" s="3" t="str">
        <f>"Qtr"&amp; " " &amp;CHOOSE(MONTH(Table1[[#This Row],[Date]]),1,1,1,2,2,2,3,3,3,4,4,4)</f>
        <v>Qtr 1</v>
      </c>
      <c r="G3162" s="3" t="str">
        <f>TEXT(Table1[[#This Row],[Date]],"mmmm")</f>
        <v>March</v>
      </c>
      <c r="H3162" s="3" t="s">
        <v>1084</v>
      </c>
      <c r="I3162" s="3" t="s">
        <v>13</v>
      </c>
      <c r="J3162" s="3">
        <v>9</v>
      </c>
      <c r="K3162" s="3">
        <v>35371.360000000001</v>
      </c>
      <c r="L3162" s="3">
        <f>Table1[[#This Row],[Price Per Unit]]*Table1[[#This Row],[Units Sold]]</f>
        <v>318342.24</v>
      </c>
      <c r="M3162" s="3" t="s">
        <v>202</v>
      </c>
      <c r="N3162" s="3">
        <v>53</v>
      </c>
      <c r="O3162" s="3" t="s">
        <v>30</v>
      </c>
      <c r="P3162" s="3" t="s">
        <v>16</v>
      </c>
      <c r="Q3162" s="4">
        <v>3</v>
      </c>
      <c r="R3162" s="4" t="str">
        <f>IF(Table1[[#This Row],[Customer Ratings]]&gt;=4, "Good",IF(Table1[[#This Row],[Customer Ratings]]=3, "Average","Poor"))</f>
        <v>Average</v>
      </c>
      <c r="S3162" s="3" t="s">
        <v>72</v>
      </c>
    </row>
    <row r="3163" spans="1:19" x14ac:dyDescent="0.25">
      <c r="A3163" s="3">
        <v>3162</v>
      </c>
      <c r="B3163" s="5">
        <f>DATE(Table1[[#This Row],[Year]],Table1[[#This Row],[Month]],Table1[[#This Row],[Day]])</f>
        <v>45379</v>
      </c>
      <c r="C3163" s="3">
        <v>28</v>
      </c>
      <c r="D3163" s="3">
        <v>3</v>
      </c>
      <c r="E3163" s="3">
        <v>2024</v>
      </c>
      <c r="F3163" s="3" t="str">
        <f>"Qtr"&amp; " " &amp;CHOOSE(MONTH(Table1[[#This Row],[Date]]),1,1,1,2,2,2,3,3,3,4,4,4)</f>
        <v>Qtr 1</v>
      </c>
      <c r="G3163" s="3" t="str">
        <f>TEXT(Table1[[#This Row],[Date]],"mmmm")</f>
        <v>March</v>
      </c>
      <c r="H3163" s="3" t="s">
        <v>1084</v>
      </c>
      <c r="I3163" s="3" t="s">
        <v>13</v>
      </c>
      <c r="J3163" s="3">
        <v>5</v>
      </c>
      <c r="K3163" s="3">
        <v>21256.66</v>
      </c>
      <c r="L3163" s="3">
        <f>Table1[[#This Row],[Price Per Unit]]*Table1[[#This Row],[Units Sold]]</f>
        <v>106283.3</v>
      </c>
      <c r="M3163" s="3" t="s">
        <v>1024</v>
      </c>
      <c r="N3163" s="3">
        <v>30</v>
      </c>
      <c r="O3163" s="3" t="s">
        <v>30</v>
      </c>
      <c r="P3163" s="3" t="s">
        <v>31</v>
      </c>
      <c r="Q3163" s="4">
        <v>3</v>
      </c>
      <c r="R3163" s="4" t="str">
        <f>IF(Table1[[#This Row],[Customer Ratings]]&gt;=4, "Good",IF(Table1[[#This Row],[Customer Ratings]]=3, "Average","Poor"))</f>
        <v>Average</v>
      </c>
      <c r="S3163" s="3" t="s">
        <v>27</v>
      </c>
    </row>
    <row r="3164" spans="1:19" x14ac:dyDescent="0.25">
      <c r="A3164" s="3">
        <v>3163</v>
      </c>
      <c r="B3164" s="5">
        <f>DATE(Table1[[#This Row],[Year]],Table1[[#This Row],[Month]],Table1[[#This Row],[Day]])</f>
        <v>45379</v>
      </c>
      <c r="C3164" s="3">
        <v>28</v>
      </c>
      <c r="D3164" s="3">
        <v>3</v>
      </c>
      <c r="E3164" s="3">
        <v>2024</v>
      </c>
      <c r="F3164" s="3" t="str">
        <f>"Qtr"&amp; " " &amp;CHOOSE(MONTH(Table1[[#This Row],[Date]]),1,1,1,2,2,2,3,3,3,4,4,4)</f>
        <v>Qtr 1</v>
      </c>
      <c r="G3164" s="3" t="str">
        <f>TEXT(Table1[[#This Row],[Date]],"mmmm")</f>
        <v>March</v>
      </c>
      <c r="H3164" s="3" t="s">
        <v>1084</v>
      </c>
      <c r="I3164" s="3" t="s">
        <v>28</v>
      </c>
      <c r="J3164" s="3">
        <v>2</v>
      </c>
      <c r="K3164" s="3">
        <v>11298.87</v>
      </c>
      <c r="L3164" s="3">
        <f>Table1[[#This Row],[Price Per Unit]]*Table1[[#This Row],[Units Sold]]</f>
        <v>22597.74</v>
      </c>
      <c r="M3164" s="3" t="s">
        <v>239</v>
      </c>
      <c r="N3164" s="3">
        <v>58</v>
      </c>
      <c r="O3164" s="3" t="s">
        <v>20</v>
      </c>
      <c r="P3164" s="3" t="s">
        <v>21</v>
      </c>
      <c r="Q3164" s="4">
        <v>4</v>
      </c>
      <c r="R3164" s="4" t="str">
        <f>IF(Table1[[#This Row],[Customer Ratings]]&gt;=4, "Good",IF(Table1[[#This Row],[Customer Ratings]]=3, "Average","Poor"))</f>
        <v>Good</v>
      </c>
      <c r="S3164" s="3" t="s">
        <v>32</v>
      </c>
    </row>
    <row r="3165" spans="1:19" x14ac:dyDescent="0.25">
      <c r="A3165" s="3">
        <v>3164</v>
      </c>
      <c r="B3165" s="5">
        <f>DATE(Table1[[#This Row],[Year]],Table1[[#This Row],[Month]],Table1[[#This Row],[Day]])</f>
        <v>45379</v>
      </c>
      <c r="C3165" s="3">
        <v>28</v>
      </c>
      <c r="D3165" s="3">
        <v>3</v>
      </c>
      <c r="E3165" s="3">
        <v>2024</v>
      </c>
      <c r="F3165" s="3" t="str">
        <f>"Qtr"&amp; " " &amp;CHOOSE(MONTH(Table1[[#This Row],[Date]]),1,1,1,2,2,2,3,3,3,4,4,4)</f>
        <v>Qtr 1</v>
      </c>
      <c r="G3165" s="3" t="str">
        <f>TEXT(Table1[[#This Row],[Date]],"mmmm")</f>
        <v>March</v>
      </c>
      <c r="H3165" s="3" t="s">
        <v>1084</v>
      </c>
      <c r="I3165" s="3" t="s">
        <v>33</v>
      </c>
      <c r="J3165" s="3">
        <v>8</v>
      </c>
      <c r="K3165" s="3">
        <v>41201.17</v>
      </c>
      <c r="L3165" s="3">
        <f>Table1[[#This Row],[Price Per Unit]]*Table1[[#This Row],[Units Sold]]</f>
        <v>329609.36</v>
      </c>
      <c r="M3165" s="3" t="s">
        <v>51</v>
      </c>
      <c r="N3165" s="3">
        <v>26</v>
      </c>
      <c r="O3165" s="3" t="s">
        <v>54</v>
      </c>
      <c r="P3165" s="3" t="s">
        <v>31</v>
      </c>
      <c r="Q3165" s="4">
        <v>2</v>
      </c>
      <c r="R3165" s="4" t="str">
        <f>IF(Table1[[#This Row],[Customer Ratings]]&gt;=4, "Good",IF(Table1[[#This Row],[Customer Ratings]]=3, "Average","Poor"))</f>
        <v>Poor</v>
      </c>
      <c r="S3165" s="3" t="s">
        <v>46</v>
      </c>
    </row>
    <row r="3166" spans="1:19" x14ac:dyDescent="0.25">
      <c r="A3166" s="3">
        <v>3165</v>
      </c>
      <c r="B3166" s="5">
        <f>DATE(Table1[[#This Row],[Year]],Table1[[#This Row],[Month]],Table1[[#This Row],[Day]])</f>
        <v>45380</v>
      </c>
      <c r="C3166" s="3">
        <v>29</v>
      </c>
      <c r="D3166" s="3">
        <v>3</v>
      </c>
      <c r="E3166" s="3">
        <v>2024</v>
      </c>
      <c r="F3166" s="3" t="str">
        <f>"Qtr"&amp; " " &amp;CHOOSE(MONTH(Table1[[#This Row],[Date]]),1,1,1,2,2,2,3,3,3,4,4,4)</f>
        <v>Qtr 1</v>
      </c>
      <c r="G3166" s="3" t="str">
        <f>TEXT(Table1[[#This Row],[Date]],"mmmm")</f>
        <v>March</v>
      </c>
      <c r="H3166" s="3" t="s">
        <v>1085</v>
      </c>
      <c r="I3166" s="3" t="s">
        <v>33</v>
      </c>
      <c r="J3166" s="3">
        <v>9</v>
      </c>
      <c r="K3166" s="3">
        <v>50798.71</v>
      </c>
      <c r="L3166" s="3">
        <f>Table1[[#This Row],[Price Per Unit]]*Table1[[#This Row],[Units Sold]]</f>
        <v>457188.39</v>
      </c>
      <c r="M3166" s="3" t="s">
        <v>446</v>
      </c>
      <c r="N3166" s="3">
        <v>38</v>
      </c>
      <c r="O3166" s="3" t="s">
        <v>54</v>
      </c>
      <c r="P3166" s="3" t="s">
        <v>45</v>
      </c>
      <c r="Q3166" s="4">
        <v>2</v>
      </c>
      <c r="R3166" s="4" t="str">
        <f>IF(Table1[[#This Row],[Customer Ratings]]&gt;=4, "Good",IF(Table1[[#This Row],[Customer Ratings]]=3, "Average","Poor"))</f>
        <v>Poor</v>
      </c>
      <c r="S3166" s="3" t="s">
        <v>36</v>
      </c>
    </row>
    <row r="3167" spans="1:19" x14ac:dyDescent="0.25">
      <c r="A3167" s="3">
        <v>3166</v>
      </c>
      <c r="B3167" s="5">
        <f>DATE(Table1[[#This Row],[Year]],Table1[[#This Row],[Month]],Table1[[#This Row],[Day]])</f>
        <v>45380</v>
      </c>
      <c r="C3167" s="3">
        <v>29</v>
      </c>
      <c r="D3167" s="3">
        <v>3</v>
      </c>
      <c r="E3167" s="3">
        <v>2024</v>
      </c>
      <c r="F3167" s="3" t="str">
        <f>"Qtr"&amp; " " &amp;CHOOSE(MONTH(Table1[[#This Row],[Date]]),1,1,1,2,2,2,3,3,3,4,4,4)</f>
        <v>Qtr 1</v>
      </c>
      <c r="G3167" s="3" t="str">
        <f>TEXT(Table1[[#This Row],[Date]],"mmmm")</f>
        <v>March</v>
      </c>
      <c r="H3167" s="3" t="s">
        <v>1085</v>
      </c>
      <c r="I3167" s="3" t="s">
        <v>18</v>
      </c>
      <c r="J3167" s="3">
        <v>4</v>
      </c>
      <c r="K3167" s="3">
        <v>15145.06</v>
      </c>
      <c r="L3167" s="3">
        <f>Table1[[#This Row],[Price Per Unit]]*Table1[[#This Row],[Units Sold]]</f>
        <v>60580.24</v>
      </c>
      <c r="M3167" s="3" t="s">
        <v>174</v>
      </c>
      <c r="N3167" s="3">
        <v>20</v>
      </c>
      <c r="O3167" s="3" t="s">
        <v>20</v>
      </c>
      <c r="P3167" s="3" t="s">
        <v>45</v>
      </c>
      <c r="Q3167" s="4">
        <v>1</v>
      </c>
      <c r="R3167" s="4" t="str">
        <f>IF(Table1[[#This Row],[Customer Ratings]]&gt;=4, "Good",IF(Table1[[#This Row],[Customer Ratings]]=3, "Average","Poor"))</f>
        <v>Poor</v>
      </c>
      <c r="S3167" s="3" t="s">
        <v>22</v>
      </c>
    </row>
    <row r="3168" spans="1:19" x14ac:dyDescent="0.25">
      <c r="A3168" s="3">
        <v>3167</v>
      </c>
      <c r="B3168" s="5">
        <f>DATE(Table1[[#This Row],[Year]],Table1[[#This Row],[Month]],Table1[[#This Row],[Day]])</f>
        <v>45380</v>
      </c>
      <c r="C3168" s="3">
        <v>29</v>
      </c>
      <c r="D3168" s="3">
        <v>3</v>
      </c>
      <c r="E3168" s="3">
        <v>2024</v>
      </c>
      <c r="F3168" s="3" t="str">
        <f>"Qtr"&amp; " " &amp;CHOOSE(MONTH(Table1[[#This Row],[Date]]),1,1,1,2,2,2,3,3,3,4,4,4)</f>
        <v>Qtr 1</v>
      </c>
      <c r="G3168" s="3" t="str">
        <f>TEXT(Table1[[#This Row],[Date]],"mmmm")</f>
        <v>March</v>
      </c>
      <c r="H3168" s="3" t="s">
        <v>1085</v>
      </c>
      <c r="I3168" s="3" t="s">
        <v>33</v>
      </c>
      <c r="J3168" s="3">
        <v>6</v>
      </c>
      <c r="K3168" s="3">
        <v>37655.25</v>
      </c>
      <c r="L3168" s="3">
        <f>Table1[[#This Row],[Price Per Unit]]*Table1[[#This Row],[Units Sold]]</f>
        <v>225931.5</v>
      </c>
      <c r="M3168" s="3" t="s">
        <v>657</v>
      </c>
      <c r="N3168" s="3">
        <v>42</v>
      </c>
      <c r="O3168" s="3" t="s">
        <v>41</v>
      </c>
      <c r="P3168" s="3" t="s">
        <v>21</v>
      </c>
      <c r="Q3168" s="4">
        <v>2</v>
      </c>
      <c r="R3168" s="4" t="str">
        <f>IF(Table1[[#This Row],[Customer Ratings]]&gt;=4, "Good",IF(Table1[[#This Row],[Customer Ratings]]=3, "Average","Poor"))</f>
        <v>Poor</v>
      </c>
      <c r="S3168" s="3" t="s">
        <v>83</v>
      </c>
    </row>
    <row r="3169" spans="1:19" x14ac:dyDescent="0.25">
      <c r="A3169" s="3">
        <v>3168</v>
      </c>
      <c r="B3169" s="5">
        <f>DATE(Table1[[#This Row],[Year]],Table1[[#This Row],[Month]],Table1[[#This Row],[Day]])</f>
        <v>45380</v>
      </c>
      <c r="C3169" s="3">
        <v>29</v>
      </c>
      <c r="D3169" s="3">
        <v>3</v>
      </c>
      <c r="E3169" s="3">
        <v>2024</v>
      </c>
      <c r="F3169" s="3" t="str">
        <f>"Qtr"&amp; " " &amp;CHOOSE(MONTH(Table1[[#This Row],[Date]]),1,1,1,2,2,2,3,3,3,4,4,4)</f>
        <v>Qtr 1</v>
      </c>
      <c r="G3169" s="3" t="str">
        <f>TEXT(Table1[[#This Row],[Date]],"mmmm")</f>
        <v>March</v>
      </c>
      <c r="H3169" s="3" t="s">
        <v>1085</v>
      </c>
      <c r="I3169" s="3" t="s">
        <v>28</v>
      </c>
      <c r="J3169" s="3">
        <v>8</v>
      </c>
      <c r="K3169" s="3">
        <v>54617.72</v>
      </c>
      <c r="L3169" s="3">
        <f>Table1[[#This Row],[Price Per Unit]]*Table1[[#This Row],[Units Sold]]</f>
        <v>436941.76</v>
      </c>
      <c r="M3169" s="3" t="s">
        <v>677</v>
      </c>
      <c r="N3169" s="3">
        <v>42</v>
      </c>
      <c r="O3169" s="3" t="s">
        <v>137</v>
      </c>
      <c r="P3169" s="3" t="s">
        <v>21</v>
      </c>
      <c r="Q3169" s="4">
        <v>1</v>
      </c>
      <c r="R3169" s="4" t="str">
        <f>IF(Table1[[#This Row],[Customer Ratings]]&gt;=4, "Good",IF(Table1[[#This Row],[Customer Ratings]]=3, "Average","Poor"))</f>
        <v>Poor</v>
      </c>
      <c r="S3169" s="3" t="s">
        <v>87</v>
      </c>
    </row>
    <row r="3170" spans="1:19" x14ac:dyDescent="0.25">
      <c r="A3170" s="3">
        <v>3169</v>
      </c>
      <c r="B3170" s="5">
        <f>DATE(Table1[[#This Row],[Year]],Table1[[#This Row],[Month]],Table1[[#This Row],[Day]])</f>
        <v>45381</v>
      </c>
      <c r="C3170" s="3">
        <v>30</v>
      </c>
      <c r="D3170" s="3">
        <v>3</v>
      </c>
      <c r="E3170" s="3">
        <v>2024</v>
      </c>
      <c r="F3170" s="3" t="str">
        <f>"Qtr"&amp; " " &amp;CHOOSE(MONTH(Table1[[#This Row],[Date]]),1,1,1,2,2,2,3,3,3,4,4,4)</f>
        <v>Qtr 1</v>
      </c>
      <c r="G3170" s="3" t="str">
        <f>TEXT(Table1[[#This Row],[Date]],"mmmm")</f>
        <v>March</v>
      </c>
      <c r="H3170" s="3" t="s">
        <v>1079</v>
      </c>
      <c r="I3170" s="3" t="s">
        <v>18</v>
      </c>
      <c r="J3170" s="3">
        <v>9</v>
      </c>
      <c r="K3170" s="3">
        <v>69148.41</v>
      </c>
      <c r="L3170" s="3">
        <f>Table1[[#This Row],[Price Per Unit]]*Table1[[#This Row],[Units Sold]]</f>
        <v>622335.69000000006</v>
      </c>
      <c r="M3170" s="3" t="s">
        <v>131</v>
      </c>
      <c r="N3170" s="3">
        <v>29</v>
      </c>
      <c r="O3170" s="3" t="s">
        <v>20</v>
      </c>
      <c r="P3170" s="3" t="s">
        <v>21</v>
      </c>
      <c r="Q3170" s="4">
        <v>5</v>
      </c>
      <c r="R3170" s="4" t="str">
        <f>IF(Table1[[#This Row],[Customer Ratings]]&gt;=4, "Good",IF(Table1[[#This Row],[Customer Ratings]]=3, "Average","Poor"))</f>
        <v>Good</v>
      </c>
      <c r="S3170" s="3" t="s">
        <v>55</v>
      </c>
    </row>
    <row r="3171" spans="1:19" x14ac:dyDescent="0.25">
      <c r="A3171" s="3">
        <v>3170</v>
      </c>
      <c r="B3171" s="5">
        <f>DATE(Table1[[#This Row],[Year]],Table1[[#This Row],[Month]],Table1[[#This Row],[Day]])</f>
        <v>45381</v>
      </c>
      <c r="C3171" s="3">
        <v>30</v>
      </c>
      <c r="D3171" s="3">
        <v>3</v>
      </c>
      <c r="E3171" s="3">
        <v>2024</v>
      </c>
      <c r="F3171" s="3" t="str">
        <f>"Qtr"&amp; " " &amp;CHOOSE(MONTH(Table1[[#This Row],[Date]]),1,1,1,2,2,2,3,3,3,4,4,4)</f>
        <v>Qtr 1</v>
      </c>
      <c r="G3171" s="3" t="str">
        <f>TEXT(Table1[[#This Row],[Date]],"mmmm")</f>
        <v>March</v>
      </c>
      <c r="H3171" s="3" t="s">
        <v>1079</v>
      </c>
      <c r="I3171" s="3" t="s">
        <v>18</v>
      </c>
      <c r="J3171" s="3">
        <v>5</v>
      </c>
      <c r="K3171" s="3">
        <v>50031.42</v>
      </c>
      <c r="L3171" s="3">
        <f>Table1[[#This Row],[Price Per Unit]]*Table1[[#This Row],[Units Sold]]</f>
        <v>250157.09999999998</v>
      </c>
      <c r="M3171" s="3" t="s">
        <v>340</v>
      </c>
      <c r="N3171" s="3">
        <v>46</v>
      </c>
      <c r="O3171" s="3" t="s">
        <v>35</v>
      </c>
      <c r="P3171" s="3" t="s">
        <v>45</v>
      </c>
      <c r="Q3171" s="4">
        <v>3</v>
      </c>
      <c r="R3171" s="4" t="str">
        <f>IF(Table1[[#This Row],[Customer Ratings]]&gt;=4, "Good",IF(Table1[[#This Row],[Customer Ratings]]=3, "Average","Poor"))</f>
        <v>Average</v>
      </c>
      <c r="S3171" s="3" t="s">
        <v>55</v>
      </c>
    </row>
    <row r="3172" spans="1:19" x14ac:dyDescent="0.25">
      <c r="A3172" s="3">
        <v>3171</v>
      </c>
      <c r="B3172" s="5">
        <f>DATE(Table1[[#This Row],[Year]],Table1[[#This Row],[Month]],Table1[[#This Row],[Day]])</f>
        <v>45381</v>
      </c>
      <c r="C3172" s="3">
        <v>30</v>
      </c>
      <c r="D3172" s="3">
        <v>3</v>
      </c>
      <c r="E3172" s="3">
        <v>2024</v>
      </c>
      <c r="F3172" s="3" t="str">
        <f>"Qtr"&amp; " " &amp;CHOOSE(MONTH(Table1[[#This Row],[Date]]),1,1,1,2,2,2,3,3,3,4,4,4)</f>
        <v>Qtr 1</v>
      </c>
      <c r="G3172" s="3" t="str">
        <f>TEXT(Table1[[#This Row],[Date]],"mmmm")</f>
        <v>March</v>
      </c>
      <c r="H3172" s="3" t="s">
        <v>1079</v>
      </c>
      <c r="I3172" s="3" t="s">
        <v>13</v>
      </c>
      <c r="J3172" s="3">
        <v>6</v>
      </c>
      <c r="K3172" s="3">
        <v>24690.37</v>
      </c>
      <c r="L3172" s="3">
        <f>Table1[[#This Row],[Price Per Unit]]*Table1[[#This Row],[Units Sold]]</f>
        <v>148142.22</v>
      </c>
      <c r="M3172" s="3" t="s">
        <v>126</v>
      </c>
      <c r="N3172" s="3">
        <v>28</v>
      </c>
      <c r="O3172" s="3" t="s">
        <v>24</v>
      </c>
      <c r="P3172" s="3" t="s">
        <v>45</v>
      </c>
      <c r="Q3172" s="4">
        <v>4</v>
      </c>
      <c r="R3172" s="4" t="str">
        <f>IF(Table1[[#This Row],[Customer Ratings]]&gt;=4, "Good",IF(Table1[[#This Row],[Customer Ratings]]=3, "Average","Poor"))</f>
        <v>Good</v>
      </c>
      <c r="S3172" s="3" t="s">
        <v>17</v>
      </c>
    </row>
    <row r="3173" spans="1:19" x14ac:dyDescent="0.25">
      <c r="A3173" s="3">
        <v>3172</v>
      </c>
      <c r="B3173" s="5">
        <f>DATE(Table1[[#This Row],[Year]],Table1[[#This Row],[Month]],Table1[[#This Row],[Day]])</f>
        <v>45382</v>
      </c>
      <c r="C3173" s="3">
        <v>31</v>
      </c>
      <c r="D3173" s="3">
        <v>3</v>
      </c>
      <c r="E3173" s="3">
        <v>2024</v>
      </c>
      <c r="F3173" s="3" t="str">
        <f>"Qtr"&amp; " " &amp;CHOOSE(MONTH(Table1[[#This Row],[Date]]),1,1,1,2,2,2,3,3,3,4,4,4)</f>
        <v>Qtr 1</v>
      </c>
      <c r="G3173" s="3" t="str">
        <f>TEXT(Table1[[#This Row],[Date]],"mmmm")</f>
        <v>March</v>
      </c>
      <c r="H3173" s="3" t="s">
        <v>1080</v>
      </c>
      <c r="I3173" s="3" t="s">
        <v>13</v>
      </c>
      <c r="J3173" s="3">
        <v>4</v>
      </c>
      <c r="K3173" s="3">
        <v>52993.22</v>
      </c>
      <c r="L3173" s="3">
        <f>Table1[[#This Row],[Price Per Unit]]*Table1[[#This Row],[Units Sold]]</f>
        <v>211972.88</v>
      </c>
      <c r="M3173" s="3" t="s">
        <v>793</v>
      </c>
      <c r="N3173" s="3">
        <v>28</v>
      </c>
      <c r="O3173" s="3" t="s">
        <v>20</v>
      </c>
      <c r="P3173" s="3" t="s">
        <v>31</v>
      </c>
      <c r="Q3173" s="4">
        <v>1</v>
      </c>
      <c r="R3173" s="4" t="str">
        <f>IF(Table1[[#This Row],[Customer Ratings]]&gt;=4, "Good",IF(Table1[[#This Row],[Customer Ratings]]=3, "Average","Poor"))</f>
        <v>Poor</v>
      </c>
      <c r="S3173" s="3" t="s">
        <v>17</v>
      </c>
    </row>
    <row r="3174" spans="1:19" x14ac:dyDescent="0.25">
      <c r="A3174" s="3">
        <v>3173</v>
      </c>
      <c r="B3174" s="5">
        <f>DATE(Table1[[#This Row],[Year]],Table1[[#This Row],[Month]],Table1[[#This Row],[Day]])</f>
        <v>45382</v>
      </c>
      <c r="C3174" s="3">
        <v>31</v>
      </c>
      <c r="D3174" s="3">
        <v>3</v>
      </c>
      <c r="E3174" s="3">
        <v>2024</v>
      </c>
      <c r="F3174" s="3" t="str">
        <f>"Qtr"&amp; " " &amp;CHOOSE(MONTH(Table1[[#This Row],[Date]]),1,1,1,2,2,2,3,3,3,4,4,4)</f>
        <v>Qtr 1</v>
      </c>
      <c r="G3174" s="3" t="str">
        <f>TEXT(Table1[[#This Row],[Date]],"mmmm")</f>
        <v>March</v>
      </c>
      <c r="H3174" s="3" t="s">
        <v>1080</v>
      </c>
      <c r="I3174" s="3" t="s">
        <v>33</v>
      </c>
      <c r="J3174" s="3">
        <v>5</v>
      </c>
      <c r="K3174" s="3">
        <v>45875.77</v>
      </c>
      <c r="L3174" s="3">
        <f>Table1[[#This Row],[Price Per Unit]]*Table1[[#This Row],[Units Sold]]</f>
        <v>229378.84999999998</v>
      </c>
      <c r="M3174" s="3" t="s">
        <v>93</v>
      </c>
      <c r="N3174" s="3">
        <v>43</v>
      </c>
      <c r="O3174" s="3" t="s">
        <v>20</v>
      </c>
      <c r="P3174" s="3" t="s">
        <v>45</v>
      </c>
      <c r="Q3174" s="4">
        <v>4</v>
      </c>
      <c r="R3174" s="4" t="str">
        <f>IF(Table1[[#This Row],[Customer Ratings]]&gt;=4, "Good",IF(Table1[[#This Row],[Customer Ratings]]=3, "Average","Poor"))</f>
        <v>Good</v>
      </c>
      <c r="S3174" s="3" t="s">
        <v>46</v>
      </c>
    </row>
    <row r="3175" spans="1:19" x14ac:dyDescent="0.25">
      <c r="A3175" s="3">
        <v>3174</v>
      </c>
      <c r="B3175" s="5">
        <f>DATE(Table1[[#This Row],[Year]],Table1[[#This Row],[Month]],Table1[[#This Row],[Day]])</f>
        <v>45382</v>
      </c>
      <c r="C3175" s="3">
        <v>31</v>
      </c>
      <c r="D3175" s="3">
        <v>3</v>
      </c>
      <c r="E3175" s="3">
        <v>2024</v>
      </c>
      <c r="F3175" s="3" t="str">
        <f>"Qtr"&amp; " " &amp;CHOOSE(MONTH(Table1[[#This Row],[Date]]),1,1,1,2,2,2,3,3,3,4,4,4)</f>
        <v>Qtr 1</v>
      </c>
      <c r="G3175" s="3" t="str">
        <f>TEXT(Table1[[#This Row],[Date]],"mmmm")</f>
        <v>March</v>
      </c>
      <c r="H3175" s="3" t="s">
        <v>1080</v>
      </c>
      <c r="I3175" s="3" t="s">
        <v>18</v>
      </c>
      <c r="J3175" s="3">
        <v>7</v>
      </c>
      <c r="K3175" s="3">
        <v>22707.96</v>
      </c>
      <c r="L3175" s="3">
        <f>Table1[[#This Row],[Price Per Unit]]*Table1[[#This Row],[Units Sold]]</f>
        <v>158955.72</v>
      </c>
      <c r="M3175" s="3" t="s">
        <v>622</v>
      </c>
      <c r="N3175" s="3">
        <v>31</v>
      </c>
      <c r="O3175" s="3" t="s">
        <v>41</v>
      </c>
      <c r="P3175" s="3" t="s">
        <v>21</v>
      </c>
      <c r="Q3175" s="4">
        <v>4</v>
      </c>
      <c r="R3175" s="4" t="str">
        <f>IF(Table1[[#This Row],[Customer Ratings]]&gt;=4, "Good",IF(Table1[[#This Row],[Customer Ratings]]=3, "Average","Poor"))</f>
        <v>Good</v>
      </c>
      <c r="S3175" s="3" t="s">
        <v>22</v>
      </c>
    </row>
    <row r="3176" spans="1:19" x14ac:dyDescent="0.25">
      <c r="A3176" s="3">
        <v>3175</v>
      </c>
      <c r="B3176" s="5">
        <f>DATE(Table1[[#This Row],[Year]],Table1[[#This Row],[Month]],Table1[[#This Row],[Day]])</f>
        <v>45383</v>
      </c>
      <c r="C3176" s="3">
        <v>1</v>
      </c>
      <c r="D3176" s="3">
        <v>4</v>
      </c>
      <c r="E3176" s="3">
        <v>2024</v>
      </c>
      <c r="F3176" s="3" t="str">
        <f>"Qtr"&amp; " " &amp;CHOOSE(MONTH(Table1[[#This Row],[Date]]),1,1,1,2,2,2,3,3,3,4,4,4)</f>
        <v>Qtr 2</v>
      </c>
      <c r="G3176" s="3" t="str">
        <f>TEXT(Table1[[#This Row],[Date]],"mmmm")</f>
        <v>April</v>
      </c>
      <c r="H3176" s="3" t="s">
        <v>1081</v>
      </c>
      <c r="I3176" s="3" t="s">
        <v>13</v>
      </c>
      <c r="J3176" s="3">
        <v>9</v>
      </c>
      <c r="K3176" s="3">
        <v>61066.65</v>
      </c>
      <c r="L3176" s="3">
        <f>Table1[[#This Row],[Price Per Unit]]*Table1[[#This Row],[Units Sold]]</f>
        <v>549599.85</v>
      </c>
      <c r="M3176" s="3" t="s">
        <v>942</v>
      </c>
      <c r="N3176" s="3">
        <v>33</v>
      </c>
      <c r="O3176" s="3" t="s">
        <v>48</v>
      </c>
      <c r="P3176" s="3" t="s">
        <v>16</v>
      </c>
      <c r="Q3176" s="4">
        <v>3</v>
      </c>
      <c r="R3176" s="4" t="str">
        <f>IF(Table1[[#This Row],[Customer Ratings]]&gt;=4, "Good",IF(Table1[[#This Row],[Customer Ratings]]=3, "Average","Poor"))</f>
        <v>Average</v>
      </c>
      <c r="S3176" s="3" t="s">
        <v>27</v>
      </c>
    </row>
    <row r="3177" spans="1:19" x14ac:dyDescent="0.25">
      <c r="A3177" s="3">
        <v>3176</v>
      </c>
      <c r="B3177" s="5">
        <f>DATE(Table1[[#This Row],[Year]],Table1[[#This Row],[Month]],Table1[[#This Row],[Day]])</f>
        <v>45383</v>
      </c>
      <c r="C3177" s="3">
        <v>1</v>
      </c>
      <c r="D3177" s="3">
        <v>4</v>
      </c>
      <c r="E3177" s="3">
        <v>2024</v>
      </c>
      <c r="F3177" s="3" t="str">
        <f>"Qtr"&amp; " " &amp;CHOOSE(MONTH(Table1[[#This Row],[Date]]),1,1,1,2,2,2,3,3,3,4,4,4)</f>
        <v>Qtr 2</v>
      </c>
      <c r="G3177" s="3" t="str">
        <f>TEXT(Table1[[#This Row],[Date]],"mmmm")</f>
        <v>April</v>
      </c>
      <c r="H3177" s="3" t="s">
        <v>1081</v>
      </c>
      <c r="I3177" s="3" t="s">
        <v>28</v>
      </c>
      <c r="J3177" s="3">
        <v>6</v>
      </c>
      <c r="K3177" s="3">
        <v>35644.269999999997</v>
      </c>
      <c r="L3177" s="3">
        <f>Table1[[#This Row],[Price Per Unit]]*Table1[[#This Row],[Units Sold]]</f>
        <v>213865.62</v>
      </c>
      <c r="M3177" s="3" t="s">
        <v>595</v>
      </c>
      <c r="N3177" s="3">
        <v>27</v>
      </c>
      <c r="O3177" s="3" t="s">
        <v>81</v>
      </c>
      <c r="P3177" s="3" t="s">
        <v>16</v>
      </c>
      <c r="Q3177" s="4">
        <v>5</v>
      </c>
      <c r="R3177" s="4" t="str">
        <f>IF(Table1[[#This Row],[Customer Ratings]]&gt;=4, "Good",IF(Table1[[#This Row],[Customer Ratings]]=3, "Average","Poor"))</f>
        <v>Good</v>
      </c>
      <c r="S3177" s="3" t="s">
        <v>38</v>
      </c>
    </row>
    <row r="3178" spans="1:19" x14ac:dyDescent="0.25">
      <c r="A3178" s="3">
        <v>3177</v>
      </c>
      <c r="B3178" s="5">
        <f>DATE(Table1[[#This Row],[Year]],Table1[[#This Row],[Month]],Table1[[#This Row],[Day]])</f>
        <v>45383</v>
      </c>
      <c r="C3178" s="3">
        <v>1</v>
      </c>
      <c r="D3178" s="3">
        <v>4</v>
      </c>
      <c r="E3178" s="3">
        <v>2024</v>
      </c>
      <c r="F3178" s="3" t="str">
        <f>"Qtr"&amp; " " &amp;CHOOSE(MONTH(Table1[[#This Row],[Date]]),1,1,1,2,2,2,3,3,3,4,4,4)</f>
        <v>Qtr 2</v>
      </c>
      <c r="G3178" s="3" t="str">
        <f>TEXT(Table1[[#This Row],[Date]],"mmmm")</f>
        <v>April</v>
      </c>
      <c r="H3178" s="3" t="s">
        <v>1081</v>
      </c>
      <c r="I3178" s="3" t="s">
        <v>13</v>
      </c>
      <c r="J3178" s="3">
        <v>6</v>
      </c>
      <c r="K3178" s="3">
        <v>67718.66</v>
      </c>
      <c r="L3178" s="3">
        <f>Table1[[#This Row],[Price Per Unit]]*Table1[[#This Row],[Units Sold]]</f>
        <v>406311.96</v>
      </c>
      <c r="M3178" s="3" t="s">
        <v>208</v>
      </c>
      <c r="N3178" s="3">
        <v>48</v>
      </c>
      <c r="O3178" s="3" t="s">
        <v>20</v>
      </c>
      <c r="P3178" s="3" t="s">
        <v>21</v>
      </c>
      <c r="Q3178" s="4">
        <v>5</v>
      </c>
      <c r="R3178" s="4" t="str">
        <f>IF(Table1[[#This Row],[Customer Ratings]]&gt;=4, "Good",IF(Table1[[#This Row],[Customer Ratings]]=3, "Average","Poor"))</f>
        <v>Good</v>
      </c>
      <c r="S3178" s="3" t="s">
        <v>17</v>
      </c>
    </row>
    <row r="3179" spans="1:19" x14ac:dyDescent="0.25">
      <c r="A3179" s="3">
        <v>3178</v>
      </c>
      <c r="B3179" s="5">
        <f>DATE(Table1[[#This Row],[Year]],Table1[[#This Row],[Month]],Table1[[#This Row],[Day]])</f>
        <v>45383</v>
      </c>
      <c r="C3179" s="3">
        <v>1</v>
      </c>
      <c r="D3179" s="3">
        <v>4</v>
      </c>
      <c r="E3179" s="3">
        <v>2024</v>
      </c>
      <c r="F3179" s="3" t="str">
        <f>"Qtr"&amp; " " &amp;CHOOSE(MONTH(Table1[[#This Row],[Date]]),1,1,1,2,2,2,3,3,3,4,4,4)</f>
        <v>Qtr 2</v>
      </c>
      <c r="G3179" s="3" t="str">
        <f>TEXT(Table1[[#This Row],[Date]],"mmmm")</f>
        <v>April</v>
      </c>
      <c r="H3179" s="3" t="s">
        <v>1081</v>
      </c>
      <c r="I3179" s="3" t="s">
        <v>13</v>
      </c>
      <c r="J3179" s="3">
        <v>8</v>
      </c>
      <c r="K3179" s="3">
        <v>53374.06</v>
      </c>
      <c r="L3179" s="3">
        <f>Table1[[#This Row],[Price Per Unit]]*Table1[[#This Row],[Units Sold]]</f>
        <v>426992.48</v>
      </c>
      <c r="M3179" s="3" t="s">
        <v>117</v>
      </c>
      <c r="N3179" s="3">
        <v>48</v>
      </c>
      <c r="O3179" s="3" t="s">
        <v>20</v>
      </c>
      <c r="P3179" s="3" t="s">
        <v>45</v>
      </c>
      <c r="Q3179" s="4">
        <v>2</v>
      </c>
      <c r="R3179" s="4" t="str">
        <f>IF(Table1[[#This Row],[Customer Ratings]]&gt;=4, "Good",IF(Table1[[#This Row],[Customer Ratings]]=3, "Average","Poor"))</f>
        <v>Poor</v>
      </c>
      <c r="S3179" s="3" t="s">
        <v>17</v>
      </c>
    </row>
    <row r="3180" spans="1:19" x14ac:dyDescent="0.25">
      <c r="A3180" s="3">
        <v>3179</v>
      </c>
      <c r="B3180" s="5">
        <f>DATE(Table1[[#This Row],[Year]],Table1[[#This Row],[Month]],Table1[[#This Row],[Day]])</f>
        <v>45384</v>
      </c>
      <c r="C3180" s="3">
        <v>2</v>
      </c>
      <c r="D3180" s="3">
        <v>4</v>
      </c>
      <c r="E3180" s="3">
        <v>2024</v>
      </c>
      <c r="F3180" s="3" t="str">
        <f>"Qtr"&amp; " " &amp;CHOOSE(MONTH(Table1[[#This Row],[Date]]),1,1,1,2,2,2,3,3,3,4,4,4)</f>
        <v>Qtr 2</v>
      </c>
      <c r="G3180" s="3" t="str">
        <f>TEXT(Table1[[#This Row],[Date]],"mmmm")</f>
        <v>April</v>
      </c>
      <c r="H3180" s="3" t="s">
        <v>1082</v>
      </c>
      <c r="I3180" s="3" t="s">
        <v>18</v>
      </c>
      <c r="J3180" s="3">
        <v>4</v>
      </c>
      <c r="K3180" s="3">
        <v>48673.79</v>
      </c>
      <c r="L3180" s="3">
        <f>Table1[[#This Row],[Price Per Unit]]*Table1[[#This Row],[Units Sold]]</f>
        <v>194695.16</v>
      </c>
      <c r="M3180" s="3" t="s">
        <v>1019</v>
      </c>
      <c r="N3180" s="3">
        <v>53</v>
      </c>
      <c r="O3180" s="3" t="s">
        <v>24</v>
      </c>
      <c r="P3180" s="3" t="s">
        <v>21</v>
      </c>
      <c r="Q3180" s="4">
        <v>5</v>
      </c>
      <c r="R3180" s="4" t="str">
        <f>IF(Table1[[#This Row],[Customer Ratings]]&gt;=4, "Good",IF(Table1[[#This Row],[Customer Ratings]]=3, "Average","Poor"))</f>
        <v>Good</v>
      </c>
      <c r="S3180" s="3" t="s">
        <v>55</v>
      </c>
    </row>
    <row r="3181" spans="1:19" x14ac:dyDescent="0.25">
      <c r="A3181" s="3">
        <v>3180</v>
      </c>
      <c r="B3181" s="5">
        <f>DATE(Table1[[#This Row],[Year]],Table1[[#This Row],[Month]],Table1[[#This Row],[Day]])</f>
        <v>45384</v>
      </c>
      <c r="C3181" s="3">
        <v>2</v>
      </c>
      <c r="D3181" s="3">
        <v>4</v>
      </c>
      <c r="E3181" s="3">
        <v>2024</v>
      </c>
      <c r="F3181" s="3" t="str">
        <f>"Qtr"&amp; " " &amp;CHOOSE(MONTH(Table1[[#This Row],[Date]]),1,1,1,2,2,2,3,3,3,4,4,4)</f>
        <v>Qtr 2</v>
      </c>
      <c r="G3181" s="3" t="str">
        <f>TEXT(Table1[[#This Row],[Date]],"mmmm")</f>
        <v>April</v>
      </c>
      <c r="H3181" s="3" t="s">
        <v>1082</v>
      </c>
      <c r="I3181" s="3" t="s">
        <v>18</v>
      </c>
      <c r="J3181" s="3">
        <v>3</v>
      </c>
      <c r="K3181" s="3">
        <v>53701.17</v>
      </c>
      <c r="L3181" s="3">
        <f>Table1[[#This Row],[Price Per Unit]]*Table1[[#This Row],[Units Sold]]</f>
        <v>161103.51</v>
      </c>
      <c r="M3181" s="3" t="s">
        <v>524</v>
      </c>
      <c r="N3181" s="3">
        <v>27</v>
      </c>
      <c r="O3181" s="3" t="s">
        <v>41</v>
      </c>
      <c r="P3181" s="3" t="s">
        <v>45</v>
      </c>
      <c r="Q3181" s="4">
        <v>3</v>
      </c>
      <c r="R3181" s="4" t="str">
        <f>IF(Table1[[#This Row],[Customer Ratings]]&gt;=4, "Good",IF(Table1[[#This Row],[Customer Ratings]]=3, "Average","Poor"))</f>
        <v>Average</v>
      </c>
      <c r="S3181" s="3" t="s">
        <v>55</v>
      </c>
    </row>
    <row r="3182" spans="1:19" x14ac:dyDescent="0.25">
      <c r="A3182" s="3">
        <v>3181</v>
      </c>
      <c r="B3182" s="5">
        <f>DATE(Table1[[#This Row],[Year]],Table1[[#This Row],[Month]],Table1[[#This Row],[Day]])</f>
        <v>45384</v>
      </c>
      <c r="C3182" s="3">
        <v>2</v>
      </c>
      <c r="D3182" s="3">
        <v>4</v>
      </c>
      <c r="E3182" s="3">
        <v>2024</v>
      </c>
      <c r="F3182" s="3" t="str">
        <f>"Qtr"&amp; " " &amp;CHOOSE(MONTH(Table1[[#This Row],[Date]]),1,1,1,2,2,2,3,3,3,4,4,4)</f>
        <v>Qtr 2</v>
      </c>
      <c r="G3182" s="3" t="str">
        <f>TEXT(Table1[[#This Row],[Date]],"mmmm")</f>
        <v>April</v>
      </c>
      <c r="H3182" s="3" t="s">
        <v>1082</v>
      </c>
      <c r="I3182" s="3" t="s">
        <v>39</v>
      </c>
      <c r="J3182" s="3">
        <v>7</v>
      </c>
      <c r="K3182" s="3">
        <v>38685.82</v>
      </c>
      <c r="L3182" s="3">
        <f>Table1[[#This Row],[Price Per Unit]]*Table1[[#This Row],[Units Sold]]</f>
        <v>270800.74</v>
      </c>
      <c r="M3182" s="3" t="s">
        <v>79</v>
      </c>
      <c r="N3182" s="3">
        <v>43</v>
      </c>
      <c r="O3182" s="3" t="s">
        <v>15</v>
      </c>
      <c r="P3182" s="3" t="s">
        <v>16</v>
      </c>
      <c r="Q3182" s="4">
        <v>4</v>
      </c>
      <c r="R3182" s="4" t="str">
        <f>IF(Table1[[#This Row],[Customer Ratings]]&gt;=4, "Good",IF(Table1[[#This Row],[Customer Ratings]]=3, "Average","Poor"))</f>
        <v>Good</v>
      </c>
      <c r="S3182" s="3" t="s">
        <v>76</v>
      </c>
    </row>
    <row r="3183" spans="1:19" x14ac:dyDescent="0.25">
      <c r="A3183" s="3">
        <v>3182</v>
      </c>
      <c r="B3183" s="5">
        <f>DATE(Table1[[#This Row],[Year]],Table1[[#This Row],[Month]],Table1[[#This Row],[Day]])</f>
        <v>45384</v>
      </c>
      <c r="C3183" s="3">
        <v>2</v>
      </c>
      <c r="D3183" s="3">
        <v>4</v>
      </c>
      <c r="E3183" s="3">
        <v>2024</v>
      </c>
      <c r="F3183" s="3" t="str">
        <f>"Qtr"&amp; " " &amp;CHOOSE(MONTH(Table1[[#This Row],[Date]]),1,1,1,2,2,2,3,3,3,4,4,4)</f>
        <v>Qtr 2</v>
      </c>
      <c r="G3183" s="3" t="str">
        <f>TEXT(Table1[[#This Row],[Date]],"mmmm")</f>
        <v>April</v>
      </c>
      <c r="H3183" s="3" t="s">
        <v>1082</v>
      </c>
      <c r="I3183" s="3" t="s">
        <v>28</v>
      </c>
      <c r="J3183" s="3">
        <v>5</v>
      </c>
      <c r="K3183" s="3">
        <v>40313.589999999997</v>
      </c>
      <c r="L3183" s="3">
        <f>Table1[[#This Row],[Price Per Unit]]*Table1[[#This Row],[Units Sold]]</f>
        <v>201567.94999999998</v>
      </c>
      <c r="M3183" s="3" t="s">
        <v>966</v>
      </c>
      <c r="N3183" s="3">
        <v>37</v>
      </c>
      <c r="O3183" s="3" t="s">
        <v>78</v>
      </c>
      <c r="P3183" s="3" t="s">
        <v>31</v>
      </c>
      <c r="Q3183" s="4">
        <v>1</v>
      </c>
      <c r="R3183" s="4" t="str">
        <f>IF(Table1[[#This Row],[Customer Ratings]]&gt;=4, "Good",IF(Table1[[#This Row],[Customer Ratings]]=3, "Average","Poor"))</f>
        <v>Poor</v>
      </c>
      <c r="S3183" s="3" t="s">
        <v>87</v>
      </c>
    </row>
    <row r="3184" spans="1:19" x14ac:dyDescent="0.25">
      <c r="A3184" s="3">
        <v>3183</v>
      </c>
      <c r="B3184" s="5">
        <f>DATE(Table1[[#This Row],[Year]],Table1[[#This Row],[Month]],Table1[[#This Row],[Day]])</f>
        <v>45385</v>
      </c>
      <c r="C3184" s="3">
        <v>3</v>
      </c>
      <c r="D3184" s="3">
        <v>4</v>
      </c>
      <c r="E3184" s="3">
        <v>2024</v>
      </c>
      <c r="F3184" s="3" t="str">
        <f>"Qtr"&amp; " " &amp;CHOOSE(MONTH(Table1[[#This Row],[Date]]),1,1,1,2,2,2,3,3,3,4,4,4)</f>
        <v>Qtr 2</v>
      </c>
      <c r="G3184" s="3" t="str">
        <f>TEXT(Table1[[#This Row],[Date]],"mmmm")</f>
        <v>April</v>
      </c>
      <c r="H3184" s="3" t="s">
        <v>1083</v>
      </c>
      <c r="I3184" s="3" t="s">
        <v>18</v>
      </c>
      <c r="J3184" s="3">
        <v>2</v>
      </c>
      <c r="K3184" s="3">
        <v>61072.44</v>
      </c>
      <c r="L3184" s="3">
        <f>Table1[[#This Row],[Price Per Unit]]*Table1[[#This Row],[Units Sold]]</f>
        <v>122144.88</v>
      </c>
      <c r="M3184" s="3" t="s">
        <v>730</v>
      </c>
      <c r="N3184" s="3">
        <v>26</v>
      </c>
      <c r="O3184" s="3" t="s">
        <v>30</v>
      </c>
      <c r="P3184" s="3" t="s">
        <v>45</v>
      </c>
      <c r="Q3184" s="4">
        <v>1</v>
      </c>
      <c r="R3184" s="4" t="str">
        <f>IF(Table1[[#This Row],[Customer Ratings]]&gt;=4, "Good",IF(Table1[[#This Row],[Customer Ratings]]=3, "Average","Poor"))</f>
        <v>Poor</v>
      </c>
      <c r="S3184" s="3" t="s">
        <v>55</v>
      </c>
    </row>
    <row r="3185" spans="1:19" x14ac:dyDescent="0.25">
      <c r="A3185" s="3">
        <v>3184</v>
      </c>
      <c r="B3185" s="5">
        <f>DATE(Table1[[#This Row],[Year]],Table1[[#This Row],[Month]],Table1[[#This Row],[Day]])</f>
        <v>45385</v>
      </c>
      <c r="C3185" s="3">
        <v>3</v>
      </c>
      <c r="D3185" s="3">
        <v>4</v>
      </c>
      <c r="E3185" s="3">
        <v>2024</v>
      </c>
      <c r="F3185" s="3" t="str">
        <f>"Qtr"&amp; " " &amp;CHOOSE(MONTH(Table1[[#This Row],[Date]]),1,1,1,2,2,2,3,3,3,4,4,4)</f>
        <v>Qtr 2</v>
      </c>
      <c r="G3185" s="3" t="str">
        <f>TEXT(Table1[[#This Row],[Date]],"mmmm")</f>
        <v>April</v>
      </c>
      <c r="H3185" s="3" t="s">
        <v>1083</v>
      </c>
      <c r="I3185" s="3" t="s">
        <v>33</v>
      </c>
      <c r="J3185" s="3">
        <v>2</v>
      </c>
      <c r="K3185" s="3">
        <v>50855.71</v>
      </c>
      <c r="L3185" s="3">
        <f>Table1[[#This Row],[Price Per Unit]]*Table1[[#This Row],[Units Sold]]</f>
        <v>101711.42</v>
      </c>
      <c r="M3185" s="3" t="s">
        <v>1023</v>
      </c>
      <c r="N3185" s="3">
        <v>32</v>
      </c>
      <c r="O3185" s="3" t="s">
        <v>102</v>
      </c>
      <c r="P3185" s="3" t="s">
        <v>31</v>
      </c>
      <c r="Q3185" s="4">
        <v>5</v>
      </c>
      <c r="R3185" s="4" t="str">
        <f>IF(Table1[[#This Row],[Customer Ratings]]&gt;=4, "Good",IF(Table1[[#This Row],[Customer Ratings]]=3, "Average","Poor"))</f>
        <v>Good</v>
      </c>
      <c r="S3185" s="3" t="s">
        <v>83</v>
      </c>
    </row>
    <row r="3186" spans="1:19" x14ac:dyDescent="0.25">
      <c r="A3186" s="3">
        <v>3185</v>
      </c>
      <c r="B3186" s="5">
        <f>DATE(Table1[[#This Row],[Year]],Table1[[#This Row],[Month]],Table1[[#This Row],[Day]])</f>
        <v>45385</v>
      </c>
      <c r="C3186" s="3">
        <v>3</v>
      </c>
      <c r="D3186" s="3">
        <v>4</v>
      </c>
      <c r="E3186" s="3">
        <v>2024</v>
      </c>
      <c r="F3186" s="3" t="str">
        <f>"Qtr"&amp; " " &amp;CHOOSE(MONTH(Table1[[#This Row],[Date]]),1,1,1,2,2,2,3,3,3,4,4,4)</f>
        <v>Qtr 2</v>
      </c>
      <c r="G3186" s="3" t="str">
        <f>TEXT(Table1[[#This Row],[Date]],"mmmm")</f>
        <v>April</v>
      </c>
      <c r="H3186" s="3" t="s">
        <v>1083</v>
      </c>
      <c r="I3186" s="3" t="s">
        <v>28</v>
      </c>
      <c r="J3186" s="3">
        <v>6</v>
      </c>
      <c r="K3186" s="3">
        <v>63834.6</v>
      </c>
      <c r="L3186" s="3">
        <f>Table1[[#This Row],[Price Per Unit]]*Table1[[#This Row],[Units Sold]]</f>
        <v>383007.6</v>
      </c>
      <c r="M3186" s="3" t="s">
        <v>431</v>
      </c>
      <c r="N3186" s="3">
        <v>26</v>
      </c>
      <c r="O3186" s="3" t="s">
        <v>20</v>
      </c>
      <c r="P3186" s="3" t="s">
        <v>16</v>
      </c>
      <c r="Q3186" s="4">
        <v>2</v>
      </c>
      <c r="R3186" s="4" t="str">
        <f>IF(Table1[[#This Row],[Customer Ratings]]&gt;=4, "Good",IF(Table1[[#This Row],[Customer Ratings]]=3, "Average","Poor"))</f>
        <v>Poor</v>
      </c>
      <c r="S3186" s="3" t="s">
        <v>32</v>
      </c>
    </row>
    <row r="3187" spans="1:19" x14ac:dyDescent="0.25">
      <c r="A3187" s="3">
        <v>3186</v>
      </c>
      <c r="B3187" s="5">
        <f>DATE(Table1[[#This Row],[Year]],Table1[[#This Row],[Month]],Table1[[#This Row],[Day]])</f>
        <v>45386</v>
      </c>
      <c r="C3187" s="3">
        <v>4</v>
      </c>
      <c r="D3187" s="3">
        <v>4</v>
      </c>
      <c r="E3187" s="3">
        <v>2024</v>
      </c>
      <c r="F3187" s="3" t="str">
        <f>"Qtr"&amp; " " &amp;CHOOSE(MONTH(Table1[[#This Row],[Date]]),1,1,1,2,2,2,3,3,3,4,4,4)</f>
        <v>Qtr 2</v>
      </c>
      <c r="G3187" s="3" t="str">
        <f>TEXT(Table1[[#This Row],[Date]],"mmmm")</f>
        <v>April</v>
      </c>
      <c r="H3187" s="3" t="s">
        <v>1084</v>
      </c>
      <c r="I3187" s="3" t="s">
        <v>28</v>
      </c>
      <c r="J3187" s="3">
        <v>8</v>
      </c>
      <c r="K3187" s="3">
        <v>63449.61</v>
      </c>
      <c r="L3187" s="3">
        <f>Table1[[#This Row],[Price Per Unit]]*Table1[[#This Row],[Units Sold]]</f>
        <v>507596.88</v>
      </c>
      <c r="M3187" s="3" t="s">
        <v>1023</v>
      </c>
      <c r="N3187" s="3">
        <v>24</v>
      </c>
      <c r="O3187" s="3" t="s">
        <v>58</v>
      </c>
      <c r="P3187" s="3" t="s">
        <v>31</v>
      </c>
      <c r="Q3187" s="4">
        <v>1</v>
      </c>
      <c r="R3187" s="4" t="str">
        <f>IF(Table1[[#This Row],[Customer Ratings]]&gt;=4, "Good",IF(Table1[[#This Row],[Customer Ratings]]=3, "Average","Poor"))</f>
        <v>Poor</v>
      </c>
      <c r="S3187" s="3" t="s">
        <v>87</v>
      </c>
    </row>
    <row r="3188" spans="1:19" x14ac:dyDescent="0.25">
      <c r="A3188" s="3">
        <v>3187</v>
      </c>
      <c r="B3188" s="5">
        <f>DATE(Table1[[#This Row],[Year]],Table1[[#This Row],[Month]],Table1[[#This Row],[Day]])</f>
        <v>45386</v>
      </c>
      <c r="C3188" s="3">
        <v>4</v>
      </c>
      <c r="D3188" s="3">
        <v>4</v>
      </c>
      <c r="E3188" s="3">
        <v>2024</v>
      </c>
      <c r="F3188" s="3" t="str">
        <f>"Qtr"&amp; " " &amp;CHOOSE(MONTH(Table1[[#This Row],[Date]]),1,1,1,2,2,2,3,3,3,4,4,4)</f>
        <v>Qtr 2</v>
      </c>
      <c r="G3188" s="3" t="str">
        <f>TEXT(Table1[[#This Row],[Date]],"mmmm")</f>
        <v>April</v>
      </c>
      <c r="H3188" s="3" t="s">
        <v>1084</v>
      </c>
      <c r="I3188" s="3" t="s">
        <v>18</v>
      </c>
      <c r="J3188" s="3">
        <v>1</v>
      </c>
      <c r="K3188" s="3">
        <v>68589.399999999994</v>
      </c>
      <c r="L3188" s="3">
        <f>Table1[[#This Row],[Price Per Unit]]*Table1[[#This Row],[Units Sold]]</f>
        <v>68589.399999999994</v>
      </c>
      <c r="M3188" s="3" t="s">
        <v>1025</v>
      </c>
      <c r="N3188" s="3">
        <v>43</v>
      </c>
      <c r="O3188" s="3" t="s">
        <v>20</v>
      </c>
      <c r="P3188" s="3" t="s">
        <v>31</v>
      </c>
      <c r="Q3188" s="4">
        <v>2</v>
      </c>
      <c r="R3188" s="4" t="str">
        <f>IF(Table1[[#This Row],[Customer Ratings]]&gt;=4, "Good",IF(Table1[[#This Row],[Customer Ratings]]=3, "Average","Poor"))</f>
        <v>Poor</v>
      </c>
      <c r="S3188" s="3" t="s">
        <v>22</v>
      </c>
    </row>
    <row r="3189" spans="1:19" x14ac:dyDescent="0.25">
      <c r="A3189" s="3">
        <v>3188</v>
      </c>
      <c r="B3189" s="5">
        <f>DATE(Table1[[#This Row],[Year]],Table1[[#This Row],[Month]],Table1[[#This Row],[Day]])</f>
        <v>45386</v>
      </c>
      <c r="C3189" s="3">
        <v>4</v>
      </c>
      <c r="D3189" s="3">
        <v>4</v>
      </c>
      <c r="E3189" s="3">
        <v>2024</v>
      </c>
      <c r="F3189" s="3" t="str">
        <f>"Qtr"&amp; " " &amp;CHOOSE(MONTH(Table1[[#This Row],[Date]]),1,1,1,2,2,2,3,3,3,4,4,4)</f>
        <v>Qtr 2</v>
      </c>
      <c r="G3189" s="3" t="str">
        <f>TEXT(Table1[[#This Row],[Date]],"mmmm")</f>
        <v>April</v>
      </c>
      <c r="H3189" s="3" t="s">
        <v>1084</v>
      </c>
      <c r="I3189" s="3" t="s">
        <v>28</v>
      </c>
      <c r="J3189" s="3">
        <v>6</v>
      </c>
      <c r="K3189" s="3">
        <v>52012.88</v>
      </c>
      <c r="L3189" s="3">
        <f>Table1[[#This Row],[Price Per Unit]]*Table1[[#This Row],[Units Sold]]</f>
        <v>312077.27999999997</v>
      </c>
      <c r="M3189" s="3" t="s">
        <v>574</v>
      </c>
      <c r="N3189" s="3">
        <v>41</v>
      </c>
      <c r="O3189" s="3" t="s">
        <v>58</v>
      </c>
      <c r="P3189" s="3" t="s">
        <v>21</v>
      </c>
      <c r="Q3189" s="4">
        <v>1</v>
      </c>
      <c r="R3189" s="4" t="str">
        <f>IF(Table1[[#This Row],[Customer Ratings]]&gt;=4, "Good",IF(Table1[[#This Row],[Customer Ratings]]=3, "Average","Poor"))</f>
        <v>Poor</v>
      </c>
      <c r="S3189" s="3" t="s">
        <v>38</v>
      </c>
    </row>
    <row r="3190" spans="1:19" x14ac:dyDescent="0.25">
      <c r="A3190" s="3">
        <v>3189</v>
      </c>
      <c r="B3190" s="5">
        <f>DATE(Table1[[#This Row],[Year]],Table1[[#This Row],[Month]],Table1[[#This Row],[Day]])</f>
        <v>45387</v>
      </c>
      <c r="C3190" s="3">
        <v>5</v>
      </c>
      <c r="D3190" s="3">
        <v>4</v>
      </c>
      <c r="E3190" s="3">
        <v>2024</v>
      </c>
      <c r="F3190" s="3" t="str">
        <f>"Qtr"&amp; " " &amp;CHOOSE(MONTH(Table1[[#This Row],[Date]]),1,1,1,2,2,2,3,3,3,4,4,4)</f>
        <v>Qtr 2</v>
      </c>
      <c r="G3190" s="3" t="str">
        <f>TEXT(Table1[[#This Row],[Date]],"mmmm")</f>
        <v>April</v>
      </c>
      <c r="H3190" s="3" t="s">
        <v>1085</v>
      </c>
      <c r="I3190" s="3" t="s">
        <v>18</v>
      </c>
      <c r="J3190" s="3">
        <v>2</v>
      </c>
      <c r="K3190" s="3">
        <v>40138.1</v>
      </c>
      <c r="L3190" s="3">
        <f>Table1[[#This Row],[Price Per Unit]]*Table1[[#This Row],[Units Sold]]</f>
        <v>80276.2</v>
      </c>
      <c r="M3190" s="3" t="s">
        <v>853</v>
      </c>
      <c r="N3190" s="3">
        <v>29</v>
      </c>
      <c r="O3190" s="3" t="s">
        <v>24</v>
      </c>
      <c r="P3190" s="3" t="s">
        <v>31</v>
      </c>
      <c r="Q3190" s="4">
        <v>2</v>
      </c>
      <c r="R3190" s="4" t="str">
        <f>IF(Table1[[#This Row],[Customer Ratings]]&gt;=4, "Good",IF(Table1[[#This Row],[Customer Ratings]]=3, "Average","Poor"))</f>
        <v>Poor</v>
      </c>
      <c r="S3190" s="3" t="s">
        <v>22</v>
      </c>
    </row>
    <row r="3191" spans="1:19" x14ac:dyDescent="0.25">
      <c r="A3191" s="3">
        <v>3190</v>
      </c>
      <c r="B3191" s="5">
        <f>DATE(Table1[[#This Row],[Year]],Table1[[#This Row],[Month]],Table1[[#This Row],[Day]])</f>
        <v>45387</v>
      </c>
      <c r="C3191" s="3">
        <v>5</v>
      </c>
      <c r="D3191" s="3">
        <v>4</v>
      </c>
      <c r="E3191" s="3">
        <v>2024</v>
      </c>
      <c r="F3191" s="3" t="str">
        <f>"Qtr"&amp; " " &amp;CHOOSE(MONTH(Table1[[#This Row],[Date]]),1,1,1,2,2,2,3,3,3,4,4,4)</f>
        <v>Qtr 2</v>
      </c>
      <c r="G3191" s="3" t="str">
        <f>TEXT(Table1[[#This Row],[Date]],"mmmm")</f>
        <v>April</v>
      </c>
      <c r="H3191" s="3" t="s">
        <v>1085</v>
      </c>
      <c r="I3191" s="3" t="s">
        <v>13</v>
      </c>
      <c r="J3191" s="3">
        <v>2</v>
      </c>
      <c r="K3191" s="3">
        <v>19978.7</v>
      </c>
      <c r="L3191" s="3">
        <f>Table1[[#This Row],[Price Per Unit]]*Table1[[#This Row],[Units Sold]]</f>
        <v>39957.4</v>
      </c>
      <c r="M3191" s="3" t="s">
        <v>906</v>
      </c>
      <c r="N3191" s="3">
        <v>37</v>
      </c>
      <c r="O3191" s="3" t="s">
        <v>24</v>
      </c>
      <c r="P3191" s="3" t="s">
        <v>16</v>
      </c>
      <c r="Q3191" s="4">
        <v>2</v>
      </c>
      <c r="R3191" s="4" t="str">
        <f>IF(Table1[[#This Row],[Customer Ratings]]&gt;=4, "Good",IF(Table1[[#This Row],[Customer Ratings]]=3, "Average","Poor"))</f>
        <v>Poor</v>
      </c>
      <c r="S3191" s="3" t="s">
        <v>27</v>
      </c>
    </row>
    <row r="3192" spans="1:19" x14ac:dyDescent="0.25">
      <c r="A3192" s="3">
        <v>3191</v>
      </c>
      <c r="B3192" s="5">
        <f>DATE(Table1[[#This Row],[Year]],Table1[[#This Row],[Month]],Table1[[#This Row],[Day]])</f>
        <v>45387</v>
      </c>
      <c r="C3192" s="3">
        <v>5</v>
      </c>
      <c r="D3192" s="3">
        <v>4</v>
      </c>
      <c r="E3192" s="3">
        <v>2024</v>
      </c>
      <c r="F3192" s="3" t="str">
        <f>"Qtr"&amp; " " &amp;CHOOSE(MONTH(Table1[[#This Row],[Date]]),1,1,1,2,2,2,3,3,3,4,4,4)</f>
        <v>Qtr 2</v>
      </c>
      <c r="G3192" s="3" t="str">
        <f>TEXT(Table1[[#This Row],[Date]],"mmmm")</f>
        <v>April</v>
      </c>
      <c r="H3192" s="3" t="s">
        <v>1085</v>
      </c>
      <c r="I3192" s="3" t="s">
        <v>39</v>
      </c>
      <c r="J3192" s="3">
        <v>7</v>
      </c>
      <c r="K3192" s="3">
        <v>52322.83</v>
      </c>
      <c r="L3192" s="3">
        <f>Table1[[#This Row],[Price Per Unit]]*Table1[[#This Row],[Units Sold]]</f>
        <v>366259.81</v>
      </c>
      <c r="M3192" s="3" t="s">
        <v>325</v>
      </c>
      <c r="N3192" s="3">
        <v>31</v>
      </c>
      <c r="O3192" s="3" t="s">
        <v>137</v>
      </c>
      <c r="P3192" s="3" t="s">
        <v>45</v>
      </c>
      <c r="Q3192" s="4">
        <v>4</v>
      </c>
      <c r="R3192" s="4" t="str">
        <f>IF(Table1[[#This Row],[Customer Ratings]]&gt;=4, "Good",IF(Table1[[#This Row],[Customer Ratings]]=3, "Average","Poor"))</f>
        <v>Good</v>
      </c>
      <c r="S3192" s="3" t="s">
        <v>42</v>
      </c>
    </row>
    <row r="3193" spans="1:19" x14ac:dyDescent="0.25">
      <c r="A3193" s="3">
        <v>3192</v>
      </c>
      <c r="B3193" s="5">
        <f>DATE(Table1[[#This Row],[Year]],Table1[[#This Row],[Month]],Table1[[#This Row],[Day]])</f>
        <v>45387</v>
      </c>
      <c r="C3193" s="3">
        <v>5</v>
      </c>
      <c r="D3193" s="3">
        <v>4</v>
      </c>
      <c r="E3193" s="3">
        <v>2024</v>
      </c>
      <c r="F3193" s="3" t="str">
        <f>"Qtr"&amp; " " &amp;CHOOSE(MONTH(Table1[[#This Row],[Date]]),1,1,1,2,2,2,3,3,3,4,4,4)</f>
        <v>Qtr 2</v>
      </c>
      <c r="G3193" s="3" t="str">
        <f>TEXT(Table1[[#This Row],[Date]],"mmmm")</f>
        <v>April</v>
      </c>
      <c r="H3193" s="3" t="s">
        <v>1085</v>
      </c>
      <c r="I3193" s="3" t="s">
        <v>13</v>
      </c>
      <c r="J3193" s="3">
        <v>1</v>
      </c>
      <c r="K3193" s="3">
        <v>27494.66</v>
      </c>
      <c r="L3193" s="3">
        <f>Table1[[#This Row],[Price Per Unit]]*Table1[[#This Row],[Units Sold]]</f>
        <v>27494.66</v>
      </c>
      <c r="M3193" s="3" t="s">
        <v>296</v>
      </c>
      <c r="N3193" s="3">
        <v>39</v>
      </c>
      <c r="O3193" s="3" t="s">
        <v>24</v>
      </c>
      <c r="P3193" s="3" t="s">
        <v>31</v>
      </c>
      <c r="Q3193" s="4">
        <v>3</v>
      </c>
      <c r="R3193" s="4" t="str">
        <f>IF(Table1[[#This Row],[Customer Ratings]]&gt;=4, "Good",IF(Table1[[#This Row],[Customer Ratings]]=3, "Average","Poor"))</f>
        <v>Average</v>
      </c>
      <c r="S3193" s="3" t="s">
        <v>27</v>
      </c>
    </row>
    <row r="3194" spans="1:19" x14ac:dyDescent="0.25">
      <c r="A3194" s="3">
        <v>3193</v>
      </c>
      <c r="B3194" s="5">
        <f>DATE(Table1[[#This Row],[Year]],Table1[[#This Row],[Month]],Table1[[#This Row],[Day]])</f>
        <v>45388</v>
      </c>
      <c r="C3194" s="3">
        <v>6</v>
      </c>
      <c r="D3194" s="3">
        <v>4</v>
      </c>
      <c r="E3194" s="3">
        <v>2024</v>
      </c>
      <c r="F3194" s="3" t="str">
        <f>"Qtr"&amp; " " &amp;CHOOSE(MONTH(Table1[[#This Row],[Date]]),1,1,1,2,2,2,3,3,3,4,4,4)</f>
        <v>Qtr 2</v>
      </c>
      <c r="G3194" s="3" t="str">
        <f>TEXT(Table1[[#This Row],[Date]],"mmmm")</f>
        <v>April</v>
      </c>
      <c r="H3194" s="3" t="s">
        <v>1079</v>
      </c>
      <c r="I3194" s="3" t="s">
        <v>18</v>
      </c>
      <c r="J3194" s="3">
        <v>6</v>
      </c>
      <c r="K3194" s="3">
        <v>26976.85</v>
      </c>
      <c r="L3194" s="3">
        <f>Table1[[#This Row],[Price Per Unit]]*Table1[[#This Row],[Units Sold]]</f>
        <v>161861.09999999998</v>
      </c>
      <c r="M3194" s="3" t="s">
        <v>362</v>
      </c>
      <c r="N3194" s="3">
        <v>33</v>
      </c>
      <c r="O3194" s="3" t="s">
        <v>24</v>
      </c>
      <c r="P3194" s="3" t="s">
        <v>45</v>
      </c>
      <c r="Q3194" s="4">
        <v>1</v>
      </c>
      <c r="R3194" s="4" t="str">
        <f>IF(Table1[[#This Row],[Customer Ratings]]&gt;=4, "Good",IF(Table1[[#This Row],[Customer Ratings]]=3, "Average","Poor"))</f>
        <v>Poor</v>
      </c>
      <c r="S3194" s="3" t="s">
        <v>55</v>
      </c>
    </row>
    <row r="3195" spans="1:19" x14ac:dyDescent="0.25">
      <c r="A3195" s="3">
        <v>3194</v>
      </c>
      <c r="B3195" s="5">
        <f>DATE(Table1[[#This Row],[Year]],Table1[[#This Row],[Month]],Table1[[#This Row],[Day]])</f>
        <v>45388</v>
      </c>
      <c r="C3195" s="3">
        <v>6</v>
      </c>
      <c r="D3195" s="3">
        <v>4</v>
      </c>
      <c r="E3195" s="3">
        <v>2024</v>
      </c>
      <c r="F3195" s="3" t="str">
        <f>"Qtr"&amp; " " &amp;CHOOSE(MONTH(Table1[[#This Row],[Date]]),1,1,1,2,2,2,3,3,3,4,4,4)</f>
        <v>Qtr 2</v>
      </c>
      <c r="G3195" s="3" t="str">
        <f>TEXT(Table1[[#This Row],[Date]],"mmmm")</f>
        <v>April</v>
      </c>
      <c r="H3195" s="3" t="s">
        <v>1079</v>
      </c>
      <c r="I3195" s="3" t="s">
        <v>18</v>
      </c>
      <c r="J3195" s="3">
        <v>7</v>
      </c>
      <c r="K3195" s="3">
        <v>24297.27</v>
      </c>
      <c r="L3195" s="3">
        <f>Table1[[#This Row],[Price Per Unit]]*Table1[[#This Row],[Units Sold]]</f>
        <v>170080.89</v>
      </c>
      <c r="M3195" s="3" t="s">
        <v>677</v>
      </c>
      <c r="N3195" s="3">
        <v>46</v>
      </c>
      <c r="O3195" s="3" t="s">
        <v>48</v>
      </c>
      <c r="P3195" s="3" t="s">
        <v>21</v>
      </c>
      <c r="Q3195" s="4">
        <v>5</v>
      </c>
      <c r="R3195" s="4" t="str">
        <f>IF(Table1[[#This Row],[Customer Ratings]]&gt;=4, "Good",IF(Table1[[#This Row],[Customer Ratings]]=3, "Average","Poor"))</f>
        <v>Good</v>
      </c>
      <c r="S3195" s="3" t="s">
        <v>25</v>
      </c>
    </row>
    <row r="3196" spans="1:19" x14ac:dyDescent="0.25">
      <c r="A3196" s="3">
        <v>3195</v>
      </c>
      <c r="B3196" s="5">
        <f>DATE(Table1[[#This Row],[Year]],Table1[[#This Row],[Month]],Table1[[#This Row],[Day]])</f>
        <v>45388</v>
      </c>
      <c r="C3196" s="3">
        <v>6</v>
      </c>
      <c r="D3196" s="3">
        <v>4</v>
      </c>
      <c r="E3196" s="3">
        <v>2024</v>
      </c>
      <c r="F3196" s="3" t="str">
        <f>"Qtr"&amp; " " &amp;CHOOSE(MONTH(Table1[[#This Row],[Date]]),1,1,1,2,2,2,3,3,3,4,4,4)</f>
        <v>Qtr 2</v>
      </c>
      <c r="G3196" s="3" t="str">
        <f>TEXT(Table1[[#This Row],[Date]],"mmmm")</f>
        <v>April</v>
      </c>
      <c r="H3196" s="3" t="s">
        <v>1079</v>
      </c>
      <c r="I3196" s="3" t="s">
        <v>13</v>
      </c>
      <c r="J3196" s="3">
        <v>8</v>
      </c>
      <c r="K3196" s="3">
        <v>62507.32</v>
      </c>
      <c r="L3196" s="3">
        <f>Table1[[#This Row],[Price Per Unit]]*Table1[[#This Row],[Units Sold]]</f>
        <v>500058.56</v>
      </c>
      <c r="M3196" s="3" t="s">
        <v>596</v>
      </c>
      <c r="N3196" s="3">
        <v>49</v>
      </c>
      <c r="O3196" s="3" t="s">
        <v>35</v>
      </c>
      <c r="P3196" s="3" t="s">
        <v>16</v>
      </c>
      <c r="Q3196" s="4">
        <v>3</v>
      </c>
      <c r="R3196" s="4" t="str">
        <f>IF(Table1[[#This Row],[Customer Ratings]]&gt;=4, "Good",IF(Table1[[#This Row],[Customer Ratings]]=3, "Average","Poor"))</f>
        <v>Average</v>
      </c>
      <c r="S3196" s="3" t="s">
        <v>17</v>
      </c>
    </row>
    <row r="3197" spans="1:19" x14ac:dyDescent="0.25">
      <c r="A3197" s="3">
        <v>3196</v>
      </c>
      <c r="B3197" s="5">
        <f>DATE(Table1[[#This Row],[Year]],Table1[[#This Row],[Month]],Table1[[#This Row],[Day]])</f>
        <v>45389</v>
      </c>
      <c r="C3197" s="3">
        <v>7</v>
      </c>
      <c r="D3197" s="3">
        <v>4</v>
      </c>
      <c r="E3197" s="3">
        <v>2024</v>
      </c>
      <c r="F3197" s="3" t="str">
        <f>"Qtr"&amp; " " &amp;CHOOSE(MONTH(Table1[[#This Row],[Date]]),1,1,1,2,2,2,3,3,3,4,4,4)</f>
        <v>Qtr 2</v>
      </c>
      <c r="G3197" s="3" t="str">
        <f>TEXT(Table1[[#This Row],[Date]],"mmmm")</f>
        <v>April</v>
      </c>
      <c r="H3197" s="3" t="s">
        <v>1080</v>
      </c>
      <c r="I3197" s="3" t="s">
        <v>33</v>
      </c>
      <c r="J3197" s="3">
        <v>7</v>
      </c>
      <c r="K3197" s="3">
        <v>62077.87</v>
      </c>
      <c r="L3197" s="3">
        <f>Table1[[#This Row],[Price Per Unit]]*Table1[[#This Row],[Units Sold]]</f>
        <v>434545.09</v>
      </c>
      <c r="M3197" s="3" t="s">
        <v>405</v>
      </c>
      <c r="N3197" s="3">
        <v>36</v>
      </c>
      <c r="O3197" s="3" t="s">
        <v>24</v>
      </c>
      <c r="P3197" s="3" t="s">
        <v>16</v>
      </c>
      <c r="Q3197" s="4">
        <v>4</v>
      </c>
      <c r="R3197" s="4" t="str">
        <f>IF(Table1[[#This Row],[Customer Ratings]]&gt;=4, "Good",IF(Table1[[#This Row],[Customer Ratings]]=3, "Average","Poor"))</f>
        <v>Good</v>
      </c>
      <c r="S3197" s="3" t="s">
        <v>46</v>
      </c>
    </row>
    <row r="3198" spans="1:19" x14ac:dyDescent="0.25">
      <c r="A3198" s="3">
        <v>3197</v>
      </c>
      <c r="B3198" s="5">
        <f>DATE(Table1[[#This Row],[Year]],Table1[[#This Row],[Month]],Table1[[#This Row],[Day]])</f>
        <v>45389</v>
      </c>
      <c r="C3198" s="3">
        <v>7</v>
      </c>
      <c r="D3198" s="3">
        <v>4</v>
      </c>
      <c r="E3198" s="3">
        <v>2024</v>
      </c>
      <c r="F3198" s="3" t="str">
        <f>"Qtr"&amp; " " &amp;CHOOSE(MONTH(Table1[[#This Row],[Date]]),1,1,1,2,2,2,3,3,3,4,4,4)</f>
        <v>Qtr 2</v>
      </c>
      <c r="G3198" s="3" t="str">
        <f>TEXT(Table1[[#This Row],[Date]],"mmmm")</f>
        <v>April</v>
      </c>
      <c r="H3198" s="3" t="s">
        <v>1080</v>
      </c>
      <c r="I3198" s="3" t="s">
        <v>33</v>
      </c>
      <c r="J3198" s="3">
        <v>6</v>
      </c>
      <c r="K3198" s="3">
        <v>47858.23</v>
      </c>
      <c r="L3198" s="3">
        <f>Table1[[#This Row],[Price Per Unit]]*Table1[[#This Row],[Units Sold]]</f>
        <v>287149.38</v>
      </c>
      <c r="M3198" s="3" t="s">
        <v>442</v>
      </c>
      <c r="N3198" s="3">
        <v>52</v>
      </c>
      <c r="O3198" s="3" t="s">
        <v>24</v>
      </c>
      <c r="P3198" s="3" t="s">
        <v>45</v>
      </c>
      <c r="Q3198" s="4">
        <v>4</v>
      </c>
      <c r="R3198" s="4" t="str">
        <f>IF(Table1[[#This Row],[Customer Ratings]]&gt;=4, "Good",IF(Table1[[#This Row],[Customer Ratings]]=3, "Average","Poor"))</f>
        <v>Good</v>
      </c>
      <c r="S3198" s="3" t="s">
        <v>36</v>
      </c>
    </row>
    <row r="3199" spans="1:19" x14ac:dyDescent="0.25">
      <c r="A3199" s="3">
        <v>3198</v>
      </c>
      <c r="B3199" s="5">
        <f>DATE(Table1[[#This Row],[Year]],Table1[[#This Row],[Month]],Table1[[#This Row],[Day]])</f>
        <v>45389</v>
      </c>
      <c r="C3199" s="3">
        <v>7</v>
      </c>
      <c r="D3199" s="3">
        <v>4</v>
      </c>
      <c r="E3199" s="3">
        <v>2024</v>
      </c>
      <c r="F3199" s="3" t="str">
        <f>"Qtr"&amp; " " &amp;CHOOSE(MONTH(Table1[[#This Row],[Date]]),1,1,1,2,2,2,3,3,3,4,4,4)</f>
        <v>Qtr 2</v>
      </c>
      <c r="G3199" s="3" t="str">
        <f>TEXT(Table1[[#This Row],[Date]],"mmmm")</f>
        <v>April</v>
      </c>
      <c r="H3199" s="3" t="s">
        <v>1080</v>
      </c>
      <c r="I3199" s="3" t="s">
        <v>33</v>
      </c>
      <c r="J3199" s="3">
        <v>9</v>
      </c>
      <c r="K3199" s="3">
        <v>38378.86</v>
      </c>
      <c r="L3199" s="3">
        <f>Table1[[#This Row],[Price Per Unit]]*Table1[[#This Row],[Units Sold]]</f>
        <v>345409.74</v>
      </c>
      <c r="M3199" s="3" t="s">
        <v>610</v>
      </c>
      <c r="N3199" s="3">
        <v>49</v>
      </c>
      <c r="O3199" s="3" t="s">
        <v>52</v>
      </c>
      <c r="P3199" s="3" t="s">
        <v>16</v>
      </c>
      <c r="Q3199" s="4">
        <v>4</v>
      </c>
      <c r="R3199" s="4" t="str">
        <f>IF(Table1[[#This Row],[Customer Ratings]]&gt;=4, "Good",IF(Table1[[#This Row],[Customer Ratings]]=3, "Average","Poor"))</f>
        <v>Good</v>
      </c>
      <c r="S3199" s="3" t="s">
        <v>46</v>
      </c>
    </row>
    <row r="3200" spans="1:19" x14ac:dyDescent="0.25">
      <c r="A3200" s="3">
        <v>3199</v>
      </c>
      <c r="B3200" s="5">
        <f>DATE(Table1[[#This Row],[Year]],Table1[[#This Row],[Month]],Table1[[#This Row],[Day]])</f>
        <v>45390</v>
      </c>
      <c r="C3200" s="3">
        <v>8</v>
      </c>
      <c r="D3200" s="3">
        <v>4</v>
      </c>
      <c r="E3200" s="3">
        <v>2024</v>
      </c>
      <c r="F3200" s="3" t="str">
        <f>"Qtr"&amp; " " &amp;CHOOSE(MONTH(Table1[[#This Row],[Date]]),1,1,1,2,2,2,3,3,3,4,4,4)</f>
        <v>Qtr 2</v>
      </c>
      <c r="G3200" s="3" t="str">
        <f>TEXT(Table1[[#This Row],[Date]],"mmmm")</f>
        <v>April</v>
      </c>
      <c r="H3200" s="3" t="s">
        <v>1081</v>
      </c>
      <c r="I3200" s="3" t="s">
        <v>18</v>
      </c>
      <c r="J3200" s="3">
        <v>3</v>
      </c>
      <c r="K3200" s="3">
        <v>50326.87</v>
      </c>
      <c r="L3200" s="3">
        <f>Table1[[#This Row],[Price Per Unit]]*Table1[[#This Row],[Units Sold]]</f>
        <v>150980.61000000002</v>
      </c>
      <c r="M3200" s="3" t="s">
        <v>564</v>
      </c>
      <c r="N3200" s="3">
        <v>37</v>
      </c>
      <c r="O3200" s="3" t="s">
        <v>54</v>
      </c>
      <c r="P3200" s="3" t="s">
        <v>21</v>
      </c>
      <c r="Q3200" s="4">
        <v>5</v>
      </c>
      <c r="R3200" s="4" t="str">
        <f>IF(Table1[[#This Row],[Customer Ratings]]&gt;=4, "Good",IF(Table1[[#This Row],[Customer Ratings]]=3, "Average","Poor"))</f>
        <v>Good</v>
      </c>
      <c r="S3200" s="3" t="s">
        <v>55</v>
      </c>
    </row>
    <row r="3201" spans="1:19" x14ac:dyDescent="0.25">
      <c r="A3201" s="3">
        <v>3200</v>
      </c>
      <c r="B3201" s="5">
        <f>DATE(Table1[[#This Row],[Year]],Table1[[#This Row],[Month]],Table1[[#This Row],[Day]])</f>
        <v>45390</v>
      </c>
      <c r="C3201" s="3">
        <v>8</v>
      </c>
      <c r="D3201" s="3">
        <v>4</v>
      </c>
      <c r="E3201" s="3">
        <v>2024</v>
      </c>
      <c r="F3201" s="3" t="str">
        <f>"Qtr"&amp; " " &amp;CHOOSE(MONTH(Table1[[#This Row],[Date]]),1,1,1,2,2,2,3,3,3,4,4,4)</f>
        <v>Qtr 2</v>
      </c>
      <c r="G3201" s="3" t="str">
        <f>TEXT(Table1[[#This Row],[Date]],"mmmm")</f>
        <v>April</v>
      </c>
      <c r="H3201" s="3" t="s">
        <v>1081</v>
      </c>
      <c r="I3201" s="3" t="s">
        <v>28</v>
      </c>
      <c r="J3201" s="3">
        <v>6</v>
      </c>
      <c r="K3201" s="3">
        <v>46433.77</v>
      </c>
      <c r="L3201" s="3">
        <f>Table1[[#This Row],[Price Per Unit]]*Table1[[#This Row],[Units Sold]]</f>
        <v>278602.62</v>
      </c>
      <c r="M3201" s="3" t="s">
        <v>503</v>
      </c>
      <c r="N3201" s="3">
        <v>57</v>
      </c>
      <c r="O3201" s="3" t="s">
        <v>15</v>
      </c>
      <c r="P3201" s="3" t="s">
        <v>45</v>
      </c>
      <c r="Q3201" s="4">
        <v>1</v>
      </c>
      <c r="R3201" s="4" t="str">
        <f>IF(Table1[[#This Row],[Customer Ratings]]&gt;=4, "Good",IF(Table1[[#This Row],[Customer Ratings]]=3, "Average","Poor"))</f>
        <v>Poor</v>
      </c>
      <c r="S3201" s="3" t="s">
        <v>87</v>
      </c>
    </row>
    <row r="3202" spans="1:19" x14ac:dyDescent="0.25">
      <c r="A3202" s="3">
        <v>3201</v>
      </c>
      <c r="B3202" s="5">
        <f>DATE(Table1[[#This Row],[Year]],Table1[[#This Row],[Month]],Table1[[#This Row],[Day]])</f>
        <v>45390</v>
      </c>
      <c r="C3202" s="3">
        <v>8</v>
      </c>
      <c r="D3202" s="3">
        <v>4</v>
      </c>
      <c r="E3202" s="3">
        <v>2024</v>
      </c>
      <c r="F3202" s="3" t="str">
        <f>"Qtr"&amp; " " &amp;CHOOSE(MONTH(Table1[[#This Row],[Date]]),1,1,1,2,2,2,3,3,3,4,4,4)</f>
        <v>Qtr 2</v>
      </c>
      <c r="G3202" s="3" t="str">
        <f>TEXT(Table1[[#This Row],[Date]],"mmmm")</f>
        <v>April</v>
      </c>
      <c r="H3202" s="3" t="s">
        <v>1081</v>
      </c>
      <c r="I3202" s="3" t="s">
        <v>18</v>
      </c>
      <c r="J3202" s="3">
        <v>4</v>
      </c>
      <c r="K3202" s="3">
        <v>34944.050000000003</v>
      </c>
      <c r="L3202" s="3">
        <f>Table1[[#This Row],[Price Per Unit]]*Table1[[#This Row],[Units Sold]]</f>
        <v>139776.20000000001</v>
      </c>
      <c r="M3202" s="3" t="s">
        <v>757</v>
      </c>
      <c r="N3202" s="3">
        <v>37</v>
      </c>
      <c r="O3202" s="3" t="s">
        <v>20</v>
      </c>
      <c r="P3202" s="3" t="s">
        <v>16</v>
      </c>
      <c r="Q3202" s="4">
        <v>1</v>
      </c>
      <c r="R3202" s="4" t="str">
        <f>IF(Table1[[#This Row],[Customer Ratings]]&gt;=4, "Good",IF(Table1[[#This Row],[Customer Ratings]]=3, "Average","Poor"))</f>
        <v>Poor</v>
      </c>
      <c r="S3202" s="3" t="s">
        <v>22</v>
      </c>
    </row>
    <row r="3203" spans="1:19" x14ac:dyDescent="0.25">
      <c r="A3203" s="3">
        <v>3202</v>
      </c>
      <c r="B3203" s="5">
        <f>DATE(Table1[[#This Row],[Year]],Table1[[#This Row],[Month]],Table1[[#This Row],[Day]])</f>
        <v>45391</v>
      </c>
      <c r="C3203" s="3">
        <v>9</v>
      </c>
      <c r="D3203" s="3">
        <v>4</v>
      </c>
      <c r="E3203" s="3">
        <v>2024</v>
      </c>
      <c r="F3203" s="3" t="str">
        <f>"Qtr"&amp; " " &amp;CHOOSE(MONTH(Table1[[#This Row],[Date]]),1,1,1,2,2,2,3,3,3,4,4,4)</f>
        <v>Qtr 2</v>
      </c>
      <c r="G3203" s="3" t="str">
        <f>TEXT(Table1[[#This Row],[Date]],"mmmm")</f>
        <v>April</v>
      </c>
      <c r="H3203" s="3" t="s">
        <v>1082</v>
      </c>
      <c r="I3203" s="3" t="s">
        <v>28</v>
      </c>
      <c r="J3203" s="3">
        <v>2</v>
      </c>
      <c r="K3203" s="3">
        <v>32777.85</v>
      </c>
      <c r="L3203" s="3">
        <f>Table1[[#This Row],[Price Per Unit]]*Table1[[#This Row],[Units Sold]]</f>
        <v>65555.7</v>
      </c>
      <c r="M3203" s="3" t="s">
        <v>408</v>
      </c>
      <c r="N3203" s="3">
        <v>25</v>
      </c>
      <c r="O3203" s="3" t="s">
        <v>20</v>
      </c>
      <c r="P3203" s="3" t="s">
        <v>21</v>
      </c>
      <c r="Q3203" s="4">
        <v>2</v>
      </c>
      <c r="R3203" s="4" t="str">
        <f>IF(Table1[[#This Row],[Customer Ratings]]&gt;=4, "Good",IF(Table1[[#This Row],[Customer Ratings]]=3, "Average","Poor"))</f>
        <v>Poor</v>
      </c>
      <c r="S3203" s="3" t="s">
        <v>32</v>
      </c>
    </row>
    <row r="3204" spans="1:19" x14ac:dyDescent="0.25">
      <c r="A3204" s="3">
        <v>3203</v>
      </c>
      <c r="B3204" s="5">
        <f>DATE(Table1[[#This Row],[Year]],Table1[[#This Row],[Month]],Table1[[#This Row],[Day]])</f>
        <v>45391</v>
      </c>
      <c r="C3204" s="3">
        <v>9</v>
      </c>
      <c r="D3204" s="3">
        <v>4</v>
      </c>
      <c r="E3204" s="3">
        <v>2024</v>
      </c>
      <c r="F3204" s="3" t="str">
        <f>"Qtr"&amp; " " &amp;CHOOSE(MONTH(Table1[[#This Row],[Date]]),1,1,1,2,2,2,3,3,3,4,4,4)</f>
        <v>Qtr 2</v>
      </c>
      <c r="G3204" s="3" t="str">
        <f>TEXT(Table1[[#This Row],[Date]],"mmmm")</f>
        <v>April</v>
      </c>
      <c r="H3204" s="3" t="s">
        <v>1082</v>
      </c>
      <c r="I3204" s="3" t="s">
        <v>13</v>
      </c>
      <c r="J3204" s="3">
        <v>1</v>
      </c>
      <c r="K3204" s="3">
        <v>32967.660000000003</v>
      </c>
      <c r="L3204" s="3">
        <f>Table1[[#This Row],[Price Per Unit]]*Table1[[#This Row],[Units Sold]]</f>
        <v>32967.660000000003</v>
      </c>
      <c r="M3204" s="3" t="s">
        <v>222</v>
      </c>
      <c r="N3204" s="3">
        <v>52</v>
      </c>
      <c r="O3204" s="3" t="s">
        <v>20</v>
      </c>
      <c r="P3204" s="3" t="s">
        <v>21</v>
      </c>
      <c r="Q3204" s="4">
        <v>2</v>
      </c>
      <c r="R3204" s="4" t="str">
        <f>IF(Table1[[#This Row],[Customer Ratings]]&gt;=4, "Good",IF(Table1[[#This Row],[Customer Ratings]]=3, "Average","Poor"))</f>
        <v>Poor</v>
      </c>
      <c r="S3204" s="3" t="s">
        <v>27</v>
      </c>
    </row>
    <row r="3205" spans="1:19" x14ac:dyDescent="0.25">
      <c r="A3205" s="3">
        <v>3204</v>
      </c>
      <c r="B3205" s="5">
        <f>DATE(Table1[[#This Row],[Year]],Table1[[#This Row],[Month]],Table1[[#This Row],[Day]])</f>
        <v>45391</v>
      </c>
      <c r="C3205" s="3">
        <v>9</v>
      </c>
      <c r="D3205" s="3">
        <v>4</v>
      </c>
      <c r="E3205" s="3">
        <v>2024</v>
      </c>
      <c r="F3205" s="3" t="str">
        <f>"Qtr"&amp; " " &amp;CHOOSE(MONTH(Table1[[#This Row],[Date]]),1,1,1,2,2,2,3,3,3,4,4,4)</f>
        <v>Qtr 2</v>
      </c>
      <c r="G3205" s="3" t="str">
        <f>TEXT(Table1[[#This Row],[Date]],"mmmm")</f>
        <v>April</v>
      </c>
      <c r="H3205" s="3" t="s">
        <v>1082</v>
      </c>
      <c r="I3205" s="3" t="s">
        <v>39</v>
      </c>
      <c r="J3205" s="3">
        <v>1</v>
      </c>
      <c r="K3205" s="3">
        <v>45348</v>
      </c>
      <c r="L3205" s="3">
        <f>Table1[[#This Row],[Price Per Unit]]*Table1[[#This Row],[Units Sold]]</f>
        <v>45348</v>
      </c>
      <c r="M3205" s="3" t="s">
        <v>49</v>
      </c>
      <c r="N3205" s="3">
        <v>59</v>
      </c>
      <c r="O3205" s="3" t="s">
        <v>120</v>
      </c>
      <c r="P3205" s="3" t="s">
        <v>31</v>
      </c>
      <c r="Q3205" s="4">
        <v>2</v>
      </c>
      <c r="R3205" s="4" t="str">
        <f>IF(Table1[[#This Row],[Customer Ratings]]&gt;=4, "Good",IF(Table1[[#This Row],[Customer Ratings]]=3, "Average","Poor"))</f>
        <v>Poor</v>
      </c>
      <c r="S3205" s="3" t="s">
        <v>42</v>
      </c>
    </row>
    <row r="3206" spans="1:19" x14ac:dyDescent="0.25">
      <c r="A3206" s="3">
        <v>3205</v>
      </c>
      <c r="B3206" s="5">
        <f>DATE(Table1[[#This Row],[Year]],Table1[[#This Row],[Month]],Table1[[#This Row],[Day]])</f>
        <v>45391</v>
      </c>
      <c r="C3206" s="3">
        <v>9</v>
      </c>
      <c r="D3206" s="3">
        <v>4</v>
      </c>
      <c r="E3206" s="3">
        <v>2024</v>
      </c>
      <c r="F3206" s="3" t="str">
        <f>"Qtr"&amp; " " &amp;CHOOSE(MONTH(Table1[[#This Row],[Date]]),1,1,1,2,2,2,3,3,3,4,4,4)</f>
        <v>Qtr 2</v>
      </c>
      <c r="G3206" s="3" t="str">
        <f>TEXT(Table1[[#This Row],[Date]],"mmmm")</f>
        <v>April</v>
      </c>
      <c r="H3206" s="3" t="s">
        <v>1082</v>
      </c>
      <c r="I3206" s="3" t="s">
        <v>28</v>
      </c>
      <c r="J3206" s="3">
        <v>3</v>
      </c>
      <c r="K3206" s="3">
        <v>48860.160000000003</v>
      </c>
      <c r="L3206" s="3">
        <f>Table1[[#This Row],[Price Per Unit]]*Table1[[#This Row],[Units Sold]]</f>
        <v>146580.48000000001</v>
      </c>
      <c r="M3206" s="3" t="s">
        <v>790</v>
      </c>
      <c r="N3206" s="3">
        <v>30</v>
      </c>
      <c r="O3206" s="3" t="s">
        <v>20</v>
      </c>
      <c r="P3206" s="3" t="s">
        <v>16</v>
      </c>
      <c r="Q3206" s="4">
        <v>5</v>
      </c>
      <c r="R3206" s="4" t="str">
        <f>IF(Table1[[#This Row],[Customer Ratings]]&gt;=4, "Good",IF(Table1[[#This Row],[Customer Ratings]]=3, "Average","Poor"))</f>
        <v>Good</v>
      </c>
      <c r="S3206" s="3" t="s">
        <v>38</v>
      </c>
    </row>
    <row r="3207" spans="1:19" x14ac:dyDescent="0.25">
      <c r="A3207" s="3">
        <v>3206</v>
      </c>
      <c r="B3207" s="5">
        <f>DATE(Table1[[#This Row],[Year]],Table1[[#This Row],[Month]],Table1[[#This Row],[Day]])</f>
        <v>45392</v>
      </c>
      <c r="C3207" s="3">
        <v>10</v>
      </c>
      <c r="D3207" s="3">
        <v>4</v>
      </c>
      <c r="E3207" s="3">
        <v>2024</v>
      </c>
      <c r="F3207" s="3" t="str">
        <f>"Qtr"&amp; " " &amp;CHOOSE(MONTH(Table1[[#This Row],[Date]]),1,1,1,2,2,2,3,3,3,4,4,4)</f>
        <v>Qtr 2</v>
      </c>
      <c r="G3207" s="3" t="str">
        <f>TEXT(Table1[[#This Row],[Date]],"mmmm")</f>
        <v>April</v>
      </c>
      <c r="H3207" s="3" t="s">
        <v>1083</v>
      </c>
      <c r="I3207" s="3" t="s">
        <v>33</v>
      </c>
      <c r="J3207" s="3">
        <v>4</v>
      </c>
      <c r="K3207" s="3">
        <v>37104.51</v>
      </c>
      <c r="L3207" s="3">
        <f>Table1[[#This Row],[Price Per Unit]]*Table1[[#This Row],[Units Sold]]</f>
        <v>148418.04</v>
      </c>
      <c r="M3207" s="3" t="s">
        <v>605</v>
      </c>
      <c r="N3207" s="3">
        <v>58</v>
      </c>
      <c r="O3207" s="3" t="s">
        <v>20</v>
      </c>
      <c r="P3207" s="3" t="s">
        <v>45</v>
      </c>
      <c r="Q3207" s="4">
        <v>3</v>
      </c>
      <c r="R3207" s="4" t="str">
        <f>IF(Table1[[#This Row],[Customer Ratings]]&gt;=4, "Good",IF(Table1[[#This Row],[Customer Ratings]]=3, "Average","Poor"))</f>
        <v>Average</v>
      </c>
      <c r="S3207" s="3" t="s">
        <v>46</v>
      </c>
    </row>
    <row r="3208" spans="1:19" x14ac:dyDescent="0.25">
      <c r="A3208" s="3">
        <v>3207</v>
      </c>
      <c r="B3208" s="5">
        <f>DATE(Table1[[#This Row],[Year]],Table1[[#This Row],[Month]],Table1[[#This Row],[Day]])</f>
        <v>45392</v>
      </c>
      <c r="C3208" s="3">
        <v>10</v>
      </c>
      <c r="D3208" s="3">
        <v>4</v>
      </c>
      <c r="E3208" s="3">
        <v>2024</v>
      </c>
      <c r="F3208" s="3" t="str">
        <f>"Qtr"&amp; " " &amp;CHOOSE(MONTH(Table1[[#This Row],[Date]]),1,1,1,2,2,2,3,3,3,4,4,4)</f>
        <v>Qtr 2</v>
      </c>
      <c r="G3208" s="3" t="str">
        <f>TEXT(Table1[[#This Row],[Date]],"mmmm")</f>
        <v>April</v>
      </c>
      <c r="H3208" s="3" t="s">
        <v>1083</v>
      </c>
      <c r="I3208" s="3" t="s">
        <v>18</v>
      </c>
      <c r="J3208" s="3">
        <v>2</v>
      </c>
      <c r="K3208" s="3">
        <v>68121.490000000005</v>
      </c>
      <c r="L3208" s="3">
        <f>Table1[[#This Row],[Price Per Unit]]*Table1[[#This Row],[Units Sold]]</f>
        <v>136242.98000000001</v>
      </c>
      <c r="M3208" s="3" t="s">
        <v>181</v>
      </c>
      <c r="N3208" s="3">
        <v>23</v>
      </c>
      <c r="O3208" s="3" t="s">
        <v>20</v>
      </c>
      <c r="P3208" s="3" t="s">
        <v>31</v>
      </c>
      <c r="Q3208" s="4">
        <v>1</v>
      </c>
      <c r="R3208" s="4" t="str">
        <f>IF(Table1[[#This Row],[Customer Ratings]]&gt;=4, "Good",IF(Table1[[#This Row],[Customer Ratings]]=3, "Average","Poor"))</f>
        <v>Poor</v>
      </c>
      <c r="S3208" s="3" t="s">
        <v>22</v>
      </c>
    </row>
    <row r="3209" spans="1:19" x14ac:dyDescent="0.25">
      <c r="A3209" s="3">
        <v>3208</v>
      </c>
      <c r="B3209" s="5">
        <f>DATE(Table1[[#This Row],[Year]],Table1[[#This Row],[Month]],Table1[[#This Row],[Day]])</f>
        <v>45392</v>
      </c>
      <c r="C3209" s="3">
        <v>10</v>
      </c>
      <c r="D3209" s="3">
        <v>4</v>
      </c>
      <c r="E3209" s="3">
        <v>2024</v>
      </c>
      <c r="F3209" s="3" t="str">
        <f>"Qtr"&amp; " " &amp;CHOOSE(MONTH(Table1[[#This Row],[Date]]),1,1,1,2,2,2,3,3,3,4,4,4)</f>
        <v>Qtr 2</v>
      </c>
      <c r="G3209" s="3" t="str">
        <f>TEXT(Table1[[#This Row],[Date]],"mmmm")</f>
        <v>April</v>
      </c>
      <c r="H3209" s="3" t="s">
        <v>1083</v>
      </c>
      <c r="I3209" s="3" t="s">
        <v>13</v>
      </c>
      <c r="J3209" s="3">
        <v>1</v>
      </c>
      <c r="K3209" s="3">
        <v>15030.74</v>
      </c>
      <c r="L3209" s="3">
        <f>Table1[[#This Row],[Price Per Unit]]*Table1[[#This Row],[Units Sold]]</f>
        <v>15030.74</v>
      </c>
      <c r="M3209" s="3" t="s">
        <v>466</v>
      </c>
      <c r="N3209" s="3">
        <v>33</v>
      </c>
      <c r="O3209" s="3" t="s">
        <v>65</v>
      </c>
      <c r="P3209" s="3" t="s">
        <v>45</v>
      </c>
      <c r="Q3209" s="4">
        <v>2</v>
      </c>
      <c r="R3209" s="4" t="str">
        <f>IF(Table1[[#This Row],[Customer Ratings]]&gt;=4, "Good",IF(Table1[[#This Row],[Customer Ratings]]=3, "Average","Poor"))</f>
        <v>Poor</v>
      </c>
      <c r="S3209" s="3" t="s">
        <v>17</v>
      </c>
    </row>
    <row r="3210" spans="1:19" x14ac:dyDescent="0.25">
      <c r="A3210" s="3">
        <v>3209</v>
      </c>
      <c r="B3210" s="5">
        <f>DATE(Table1[[#This Row],[Year]],Table1[[#This Row],[Month]],Table1[[#This Row],[Day]])</f>
        <v>45392</v>
      </c>
      <c r="C3210" s="3">
        <v>10</v>
      </c>
      <c r="D3210" s="3">
        <v>4</v>
      </c>
      <c r="E3210" s="3">
        <v>2024</v>
      </c>
      <c r="F3210" s="3" t="str">
        <f>"Qtr"&amp; " " &amp;CHOOSE(MONTH(Table1[[#This Row],[Date]]),1,1,1,2,2,2,3,3,3,4,4,4)</f>
        <v>Qtr 2</v>
      </c>
      <c r="G3210" s="3" t="str">
        <f>TEXT(Table1[[#This Row],[Date]],"mmmm")</f>
        <v>April</v>
      </c>
      <c r="H3210" s="3" t="s">
        <v>1083</v>
      </c>
      <c r="I3210" s="3" t="s">
        <v>33</v>
      </c>
      <c r="J3210" s="3">
        <v>4</v>
      </c>
      <c r="K3210" s="3">
        <v>30822.82</v>
      </c>
      <c r="L3210" s="3">
        <f>Table1[[#This Row],[Price Per Unit]]*Table1[[#This Row],[Units Sold]]</f>
        <v>123291.28</v>
      </c>
      <c r="M3210" s="3" t="s">
        <v>242</v>
      </c>
      <c r="N3210" s="3">
        <v>22</v>
      </c>
      <c r="O3210" s="3" t="s">
        <v>58</v>
      </c>
      <c r="P3210" s="3" t="s">
        <v>31</v>
      </c>
      <c r="Q3210" s="4">
        <v>5</v>
      </c>
      <c r="R3210" s="4" t="str">
        <f>IF(Table1[[#This Row],[Customer Ratings]]&gt;=4, "Good",IF(Table1[[#This Row],[Customer Ratings]]=3, "Average","Poor"))</f>
        <v>Good</v>
      </c>
      <c r="S3210" s="3" t="s">
        <v>83</v>
      </c>
    </row>
    <row r="3211" spans="1:19" x14ac:dyDescent="0.25">
      <c r="A3211" s="3">
        <v>3210</v>
      </c>
      <c r="B3211" s="5">
        <f>DATE(Table1[[#This Row],[Year]],Table1[[#This Row],[Month]],Table1[[#This Row],[Day]])</f>
        <v>45393</v>
      </c>
      <c r="C3211" s="3">
        <v>11</v>
      </c>
      <c r="D3211" s="3">
        <v>4</v>
      </c>
      <c r="E3211" s="3">
        <v>2024</v>
      </c>
      <c r="F3211" s="3" t="str">
        <f>"Qtr"&amp; " " &amp;CHOOSE(MONTH(Table1[[#This Row],[Date]]),1,1,1,2,2,2,3,3,3,4,4,4)</f>
        <v>Qtr 2</v>
      </c>
      <c r="G3211" s="3" t="str">
        <f>TEXT(Table1[[#This Row],[Date]],"mmmm")</f>
        <v>April</v>
      </c>
      <c r="H3211" s="3" t="s">
        <v>1084</v>
      </c>
      <c r="I3211" s="3" t="s">
        <v>13</v>
      </c>
      <c r="J3211" s="3">
        <v>7</v>
      </c>
      <c r="K3211" s="3">
        <v>35144.480000000003</v>
      </c>
      <c r="L3211" s="3">
        <f>Table1[[#This Row],[Price Per Unit]]*Table1[[#This Row],[Units Sold]]</f>
        <v>246011.36000000002</v>
      </c>
      <c r="M3211" s="3" t="s">
        <v>637</v>
      </c>
      <c r="N3211" s="3">
        <v>51</v>
      </c>
      <c r="O3211" s="3" t="s">
        <v>20</v>
      </c>
      <c r="P3211" s="3" t="s">
        <v>21</v>
      </c>
      <c r="Q3211" s="4">
        <v>5</v>
      </c>
      <c r="R3211" s="4" t="str">
        <f>IF(Table1[[#This Row],[Customer Ratings]]&gt;=4, "Good",IF(Table1[[#This Row],[Customer Ratings]]=3, "Average","Poor"))</f>
        <v>Good</v>
      </c>
      <c r="S3211" s="3" t="s">
        <v>72</v>
      </c>
    </row>
    <row r="3212" spans="1:19" x14ac:dyDescent="0.25">
      <c r="A3212" s="3">
        <v>3211</v>
      </c>
      <c r="B3212" s="5">
        <f>DATE(Table1[[#This Row],[Year]],Table1[[#This Row],[Month]],Table1[[#This Row],[Day]])</f>
        <v>45393</v>
      </c>
      <c r="C3212" s="3">
        <v>11</v>
      </c>
      <c r="D3212" s="3">
        <v>4</v>
      </c>
      <c r="E3212" s="3">
        <v>2024</v>
      </c>
      <c r="F3212" s="3" t="str">
        <f>"Qtr"&amp; " " &amp;CHOOSE(MONTH(Table1[[#This Row],[Date]]),1,1,1,2,2,2,3,3,3,4,4,4)</f>
        <v>Qtr 2</v>
      </c>
      <c r="G3212" s="3" t="str">
        <f>TEXT(Table1[[#This Row],[Date]],"mmmm")</f>
        <v>April</v>
      </c>
      <c r="H3212" s="3" t="s">
        <v>1084</v>
      </c>
      <c r="I3212" s="3" t="s">
        <v>39</v>
      </c>
      <c r="J3212" s="3">
        <v>6</v>
      </c>
      <c r="K3212" s="3">
        <v>11015.28</v>
      </c>
      <c r="L3212" s="3">
        <f>Table1[[#This Row],[Price Per Unit]]*Table1[[#This Row],[Units Sold]]</f>
        <v>66091.680000000008</v>
      </c>
      <c r="M3212" s="3" t="s">
        <v>306</v>
      </c>
      <c r="N3212" s="3">
        <v>23</v>
      </c>
      <c r="O3212" s="3" t="s">
        <v>81</v>
      </c>
      <c r="P3212" s="3" t="s">
        <v>31</v>
      </c>
      <c r="Q3212" s="4">
        <v>2</v>
      </c>
      <c r="R3212" s="4" t="str">
        <f>IF(Table1[[#This Row],[Customer Ratings]]&gt;=4, "Good",IF(Table1[[#This Row],[Customer Ratings]]=3, "Average","Poor"))</f>
        <v>Poor</v>
      </c>
      <c r="S3212" s="3" t="s">
        <v>42</v>
      </c>
    </row>
    <row r="3213" spans="1:19" x14ac:dyDescent="0.25">
      <c r="A3213" s="3">
        <v>3212</v>
      </c>
      <c r="B3213" s="5">
        <f>DATE(Table1[[#This Row],[Year]],Table1[[#This Row],[Month]],Table1[[#This Row],[Day]])</f>
        <v>45393</v>
      </c>
      <c r="C3213" s="3">
        <v>11</v>
      </c>
      <c r="D3213" s="3">
        <v>4</v>
      </c>
      <c r="E3213" s="3">
        <v>2024</v>
      </c>
      <c r="F3213" s="3" t="str">
        <f>"Qtr"&amp; " " &amp;CHOOSE(MONTH(Table1[[#This Row],[Date]]),1,1,1,2,2,2,3,3,3,4,4,4)</f>
        <v>Qtr 2</v>
      </c>
      <c r="G3213" s="3" t="str">
        <f>TEXT(Table1[[#This Row],[Date]],"mmmm")</f>
        <v>April</v>
      </c>
      <c r="H3213" s="3" t="s">
        <v>1084</v>
      </c>
      <c r="I3213" s="3" t="s">
        <v>18</v>
      </c>
      <c r="J3213" s="3">
        <v>6</v>
      </c>
      <c r="K3213" s="3">
        <v>31897.43</v>
      </c>
      <c r="L3213" s="3">
        <f>Table1[[#This Row],[Price Per Unit]]*Table1[[#This Row],[Units Sold]]</f>
        <v>191384.58000000002</v>
      </c>
      <c r="M3213" s="3" t="s">
        <v>751</v>
      </c>
      <c r="N3213" s="3">
        <v>50</v>
      </c>
      <c r="O3213" s="3" t="s">
        <v>78</v>
      </c>
      <c r="P3213" s="3" t="s">
        <v>31</v>
      </c>
      <c r="Q3213" s="4">
        <v>4</v>
      </c>
      <c r="R3213" s="4" t="str">
        <f>IF(Table1[[#This Row],[Customer Ratings]]&gt;=4, "Good",IF(Table1[[#This Row],[Customer Ratings]]=3, "Average","Poor"))</f>
        <v>Good</v>
      </c>
      <c r="S3213" s="3" t="s">
        <v>22</v>
      </c>
    </row>
    <row r="3214" spans="1:19" x14ac:dyDescent="0.25">
      <c r="A3214" s="3">
        <v>3213</v>
      </c>
      <c r="B3214" s="5">
        <f>DATE(Table1[[#This Row],[Year]],Table1[[#This Row],[Month]],Table1[[#This Row],[Day]])</f>
        <v>45393</v>
      </c>
      <c r="C3214" s="3">
        <v>11</v>
      </c>
      <c r="D3214" s="3">
        <v>4</v>
      </c>
      <c r="E3214" s="3">
        <v>2024</v>
      </c>
      <c r="F3214" s="3" t="str">
        <f>"Qtr"&amp; " " &amp;CHOOSE(MONTH(Table1[[#This Row],[Date]]),1,1,1,2,2,2,3,3,3,4,4,4)</f>
        <v>Qtr 2</v>
      </c>
      <c r="G3214" s="3" t="str">
        <f>TEXT(Table1[[#This Row],[Date]],"mmmm")</f>
        <v>April</v>
      </c>
      <c r="H3214" s="3" t="s">
        <v>1084</v>
      </c>
      <c r="I3214" s="3" t="s">
        <v>18</v>
      </c>
      <c r="J3214" s="3">
        <v>9</v>
      </c>
      <c r="K3214" s="3">
        <v>26422.6</v>
      </c>
      <c r="L3214" s="3">
        <f>Table1[[#This Row],[Price Per Unit]]*Table1[[#This Row],[Units Sold]]</f>
        <v>237803.4</v>
      </c>
      <c r="M3214" s="3" t="s">
        <v>748</v>
      </c>
      <c r="N3214" s="3">
        <v>32</v>
      </c>
      <c r="O3214" s="3" t="s">
        <v>105</v>
      </c>
      <c r="P3214" s="3" t="s">
        <v>31</v>
      </c>
      <c r="Q3214" s="4">
        <v>4</v>
      </c>
      <c r="R3214" s="4" t="str">
        <f>IF(Table1[[#This Row],[Customer Ratings]]&gt;=4, "Good",IF(Table1[[#This Row],[Customer Ratings]]=3, "Average","Poor"))</f>
        <v>Good</v>
      </c>
      <c r="S3214" s="3" t="s">
        <v>22</v>
      </c>
    </row>
    <row r="3215" spans="1:19" x14ac:dyDescent="0.25">
      <c r="A3215" s="3">
        <v>3214</v>
      </c>
      <c r="B3215" s="5">
        <f>DATE(Table1[[#This Row],[Year]],Table1[[#This Row],[Month]],Table1[[#This Row],[Day]])</f>
        <v>45394</v>
      </c>
      <c r="C3215" s="3">
        <v>12</v>
      </c>
      <c r="D3215" s="3">
        <v>4</v>
      </c>
      <c r="E3215" s="3">
        <v>2024</v>
      </c>
      <c r="F3215" s="3" t="str">
        <f>"Qtr"&amp; " " &amp;CHOOSE(MONTH(Table1[[#This Row],[Date]]),1,1,1,2,2,2,3,3,3,4,4,4)</f>
        <v>Qtr 2</v>
      </c>
      <c r="G3215" s="3" t="str">
        <f>TEXT(Table1[[#This Row],[Date]],"mmmm")</f>
        <v>April</v>
      </c>
      <c r="H3215" s="3" t="s">
        <v>1085</v>
      </c>
      <c r="I3215" s="3" t="s">
        <v>39</v>
      </c>
      <c r="J3215" s="3">
        <v>2</v>
      </c>
      <c r="K3215" s="3">
        <v>40362.18</v>
      </c>
      <c r="L3215" s="3">
        <f>Table1[[#This Row],[Price Per Unit]]*Table1[[#This Row],[Units Sold]]</f>
        <v>80724.36</v>
      </c>
      <c r="M3215" s="3" t="s">
        <v>689</v>
      </c>
      <c r="N3215" s="3">
        <v>32</v>
      </c>
      <c r="O3215" s="3" t="s">
        <v>20</v>
      </c>
      <c r="P3215" s="3" t="s">
        <v>16</v>
      </c>
      <c r="Q3215" s="4">
        <v>4</v>
      </c>
      <c r="R3215" s="4" t="str">
        <f>IF(Table1[[#This Row],[Customer Ratings]]&gt;=4, "Good",IF(Table1[[#This Row],[Customer Ratings]]=3, "Average","Poor"))</f>
        <v>Good</v>
      </c>
      <c r="S3215" s="3" t="s">
        <v>76</v>
      </c>
    </row>
    <row r="3216" spans="1:19" x14ac:dyDescent="0.25">
      <c r="A3216" s="3">
        <v>3215</v>
      </c>
      <c r="B3216" s="5">
        <f>DATE(Table1[[#This Row],[Year]],Table1[[#This Row],[Month]],Table1[[#This Row],[Day]])</f>
        <v>45394</v>
      </c>
      <c r="C3216" s="3">
        <v>12</v>
      </c>
      <c r="D3216" s="3">
        <v>4</v>
      </c>
      <c r="E3216" s="3">
        <v>2024</v>
      </c>
      <c r="F3216" s="3" t="str">
        <f>"Qtr"&amp; " " &amp;CHOOSE(MONTH(Table1[[#This Row],[Date]]),1,1,1,2,2,2,3,3,3,4,4,4)</f>
        <v>Qtr 2</v>
      </c>
      <c r="G3216" s="3" t="str">
        <f>TEXT(Table1[[#This Row],[Date]],"mmmm")</f>
        <v>April</v>
      </c>
      <c r="H3216" s="3" t="s">
        <v>1085</v>
      </c>
      <c r="I3216" s="3" t="s">
        <v>18</v>
      </c>
      <c r="J3216" s="3">
        <v>4</v>
      </c>
      <c r="K3216" s="3">
        <v>30184.63</v>
      </c>
      <c r="L3216" s="3">
        <f>Table1[[#This Row],[Price Per Unit]]*Table1[[#This Row],[Units Sold]]</f>
        <v>120738.52</v>
      </c>
      <c r="M3216" s="3" t="s">
        <v>61</v>
      </c>
      <c r="N3216" s="3">
        <v>31</v>
      </c>
      <c r="O3216" s="3" t="s">
        <v>65</v>
      </c>
      <c r="P3216" s="3" t="s">
        <v>31</v>
      </c>
      <c r="Q3216" s="4">
        <v>2</v>
      </c>
      <c r="R3216" s="4" t="str">
        <f>IF(Table1[[#This Row],[Customer Ratings]]&gt;=4, "Good",IF(Table1[[#This Row],[Customer Ratings]]=3, "Average","Poor"))</f>
        <v>Poor</v>
      </c>
      <c r="S3216" s="3" t="s">
        <v>55</v>
      </c>
    </row>
    <row r="3217" spans="1:19" x14ac:dyDescent="0.25">
      <c r="A3217" s="3">
        <v>3216</v>
      </c>
      <c r="B3217" s="5">
        <f>DATE(Table1[[#This Row],[Year]],Table1[[#This Row],[Month]],Table1[[#This Row],[Day]])</f>
        <v>45394</v>
      </c>
      <c r="C3217" s="3">
        <v>12</v>
      </c>
      <c r="D3217" s="3">
        <v>4</v>
      </c>
      <c r="E3217" s="3">
        <v>2024</v>
      </c>
      <c r="F3217" s="3" t="str">
        <f>"Qtr"&amp; " " &amp;CHOOSE(MONTH(Table1[[#This Row],[Date]]),1,1,1,2,2,2,3,3,3,4,4,4)</f>
        <v>Qtr 2</v>
      </c>
      <c r="G3217" s="3" t="str">
        <f>TEXT(Table1[[#This Row],[Date]],"mmmm")</f>
        <v>April</v>
      </c>
      <c r="H3217" s="3" t="s">
        <v>1085</v>
      </c>
      <c r="I3217" s="3" t="s">
        <v>28</v>
      </c>
      <c r="J3217" s="3">
        <v>5</v>
      </c>
      <c r="K3217" s="3">
        <v>53570.93</v>
      </c>
      <c r="L3217" s="3">
        <f>Table1[[#This Row],[Price Per Unit]]*Table1[[#This Row],[Units Sold]]</f>
        <v>267854.65000000002</v>
      </c>
      <c r="M3217" s="3" t="s">
        <v>480</v>
      </c>
      <c r="N3217" s="3">
        <v>56</v>
      </c>
      <c r="O3217" s="3" t="s">
        <v>54</v>
      </c>
      <c r="P3217" s="3" t="s">
        <v>21</v>
      </c>
      <c r="Q3217" s="4">
        <v>5</v>
      </c>
      <c r="R3217" s="4" t="str">
        <f>IF(Table1[[#This Row],[Customer Ratings]]&gt;=4, "Good",IF(Table1[[#This Row],[Customer Ratings]]=3, "Average","Poor"))</f>
        <v>Good</v>
      </c>
      <c r="S3217" s="3" t="s">
        <v>87</v>
      </c>
    </row>
    <row r="3218" spans="1:19" x14ac:dyDescent="0.25">
      <c r="A3218" s="3">
        <v>3217</v>
      </c>
      <c r="B3218" s="5">
        <f>DATE(Table1[[#This Row],[Year]],Table1[[#This Row],[Month]],Table1[[#This Row],[Day]])</f>
        <v>45394</v>
      </c>
      <c r="C3218" s="3">
        <v>12</v>
      </c>
      <c r="D3218" s="3">
        <v>4</v>
      </c>
      <c r="E3218" s="3">
        <v>2024</v>
      </c>
      <c r="F3218" s="3" t="str">
        <f>"Qtr"&amp; " " &amp;CHOOSE(MONTH(Table1[[#This Row],[Date]]),1,1,1,2,2,2,3,3,3,4,4,4)</f>
        <v>Qtr 2</v>
      </c>
      <c r="G3218" s="3" t="str">
        <f>TEXT(Table1[[#This Row],[Date]],"mmmm")</f>
        <v>April</v>
      </c>
      <c r="H3218" s="3" t="s">
        <v>1085</v>
      </c>
      <c r="I3218" s="3" t="s">
        <v>13</v>
      </c>
      <c r="J3218" s="3">
        <v>1</v>
      </c>
      <c r="K3218" s="3">
        <v>40595.949999999997</v>
      </c>
      <c r="L3218" s="3">
        <f>Table1[[#This Row],[Price Per Unit]]*Table1[[#This Row],[Units Sold]]</f>
        <v>40595.949999999997</v>
      </c>
      <c r="M3218" s="3" t="s">
        <v>1017</v>
      </c>
      <c r="N3218" s="3">
        <v>22</v>
      </c>
      <c r="O3218" s="3" t="s">
        <v>120</v>
      </c>
      <c r="P3218" s="3" t="s">
        <v>45</v>
      </c>
      <c r="Q3218" s="4">
        <v>5</v>
      </c>
      <c r="R3218" s="4" t="str">
        <f>IF(Table1[[#This Row],[Customer Ratings]]&gt;=4, "Good",IF(Table1[[#This Row],[Customer Ratings]]=3, "Average","Poor"))</f>
        <v>Good</v>
      </c>
      <c r="S3218" s="3" t="s">
        <v>27</v>
      </c>
    </row>
    <row r="3219" spans="1:19" x14ac:dyDescent="0.25">
      <c r="A3219" s="3">
        <v>3218</v>
      </c>
      <c r="B3219" s="5">
        <f>DATE(Table1[[#This Row],[Year]],Table1[[#This Row],[Month]],Table1[[#This Row],[Day]])</f>
        <v>45395</v>
      </c>
      <c r="C3219" s="3">
        <v>13</v>
      </c>
      <c r="D3219" s="3">
        <v>4</v>
      </c>
      <c r="E3219" s="3">
        <v>2024</v>
      </c>
      <c r="F3219" s="3" t="str">
        <f>"Qtr"&amp; " " &amp;CHOOSE(MONTH(Table1[[#This Row],[Date]]),1,1,1,2,2,2,3,3,3,4,4,4)</f>
        <v>Qtr 2</v>
      </c>
      <c r="G3219" s="3" t="str">
        <f>TEXT(Table1[[#This Row],[Date]],"mmmm")</f>
        <v>April</v>
      </c>
      <c r="H3219" s="3" t="s">
        <v>1079</v>
      </c>
      <c r="I3219" s="3" t="s">
        <v>33</v>
      </c>
      <c r="J3219" s="3">
        <v>8</v>
      </c>
      <c r="K3219" s="3">
        <v>17785.73</v>
      </c>
      <c r="L3219" s="3">
        <f>Table1[[#This Row],[Price Per Unit]]*Table1[[#This Row],[Units Sold]]</f>
        <v>142285.84</v>
      </c>
      <c r="M3219" s="3" t="s">
        <v>317</v>
      </c>
      <c r="N3219" s="3">
        <v>43</v>
      </c>
      <c r="O3219" s="3" t="s">
        <v>24</v>
      </c>
      <c r="P3219" s="3" t="s">
        <v>16</v>
      </c>
      <c r="Q3219" s="4">
        <v>1</v>
      </c>
      <c r="R3219" s="4" t="str">
        <f>IF(Table1[[#This Row],[Customer Ratings]]&gt;=4, "Good",IF(Table1[[#This Row],[Customer Ratings]]=3, "Average","Poor"))</f>
        <v>Poor</v>
      </c>
      <c r="S3219" s="3" t="s">
        <v>36</v>
      </c>
    </row>
    <row r="3220" spans="1:19" x14ac:dyDescent="0.25">
      <c r="A3220" s="3">
        <v>3219</v>
      </c>
      <c r="B3220" s="5">
        <f>DATE(Table1[[#This Row],[Year]],Table1[[#This Row],[Month]],Table1[[#This Row],[Day]])</f>
        <v>45395</v>
      </c>
      <c r="C3220" s="3">
        <v>13</v>
      </c>
      <c r="D3220" s="3">
        <v>4</v>
      </c>
      <c r="E3220" s="3">
        <v>2024</v>
      </c>
      <c r="F3220" s="3" t="str">
        <f>"Qtr"&amp; " " &amp;CHOOSE(MONTH(Table1[[#This Row],[Date]]),1,1,1,2,2,2,3,3,3,4,4,4)</f>
        <v>Qtr 2</v>
      </c>
      <c r="G3220" s="3" t="str">
        <f>TEXT(Table1[[#This Row],[Date]],"mmmm")</f>
        <v>April</v>
      </c>
      <c r="H3220" s="3" t="s">
        <v>1079</v>
      </c>
      <c r="I3220" s="3" t="s">
        <v>39</v>
      </c>
      <c r="J3220" s="3">
        <v>8</v>
      </c>
      <c r="K3220" s="3">
        <v>55003.68</v>
      </c>
      <c r="L3220" s="3">
        <f>Table1[[#This Row],[Price Per Unit]]*Table1[[#This Row],[Units Sold]]</f>
        <v>440029.44</v>
      </c>
      <c r="M3220" s="3" t="s">
        <v>879</v>
      </c>
      <c r="N3220" s="3">
        <v>34</v>
      </c>
      <c r="O3220" s="3" t="s">
        <v>24</v>
      </c>
      <c r="P3220" s="3" t="s">
        <v>21</v>
      </c>
      <c r="Q3220" s="4">
        <v>4</v>
      </c>
      <c r="R3220" s="4" t="str">
        <f>IF(Table1[[#This Row],[Customer Ratings]]&gt;=4, "Good",IF(Table1[[#This Row],[Customer Ratings]]=3, "Average","Poor"))</f>
        <v>Good</v>
      </c>
      <c r="S3220" s="3" t="s">
        <v>42</v>
      </c>
    </row>
    <row r="3221" spans="1:19" x14ac:dyDescent="0.25">
      <c r="A3221" s="3">
        <v>3220</v>
      </c>
      <c r="B3221" s="5">
        <f>DATE(Table1[[#This Row],[Year]],Table1[[#This Row],[Month]],Table1[[#This Row],[Day]])</f>
        <v>45395</v>
      </c>
      <c r="C3221" s="3">
        <v>13</v>
      </c>
      <c r="D3221" s="3">
        <v>4</v>
      </c>
      <c r="E3221" s="3">
        <v>2024</v>
      </c>
      <c r="F3221" s="3" t="str">
        <f>"Qtr"&amp; " " &amp;CHOOSE(MONTH(Table1[[#This Row],[Date]]),1,1,1,2,2,2,3,3,3,4,4,4)</f>
        <v>Qtr 2</v>
      </c>
      <c r="G3221" s="3" t="str">
        <f>TEXT(Table1[[#This Row],[Date]],"mmmm")</f>
        <v>April</v>
      </c>
      <c r="H3221" s="3" t="s">
        <v>1079</v>
      </c>
      <c r="I3221" s="3" t="s">
        <v>28</v>
      </c>
      <c r="J3221" s="3">
        <v>6</v>
      </c>
      <c r="K3221" s="3">
        <v>15953.73</v>
      </c>
      <c r="L3221" s="3">
        <f>Table1[[#This Row],[Price Per Unit]]*Table1[[#This Row],[Units Sold]]</f>
        <v>95722.38</v>
      </c>
      <c r="M3221" s="3" t="s">
        <v>571</v>
      </c>
      <c r="N3221" s="3">
        <v>33</v>
      </c>
      <c r="O3221" s="3" t="s">
        <v>120</v>
      </c>
      <c r="P3221" s="3" t="s">
        <v>16</v>
      </c>
      <c r="Q3221" s="4">
        <v>2</v>
      </c>
      <c r="R3221" s="4" t="str">
        <f>IF(Table1[[#This Row],[Customer Ratings]]&gt;=4, "Good",IF(Table1[[#This Row],[Customer Ratings]]=3, "Average","Poor"))</f>
        <v>Poor</v>
      </c>
      <c r="S3221" s="3" t="s">
        <v>38</v>
      </c>
    </row>
    <row r="3222" spans="1:19" x14ac:dyDescent="0.25">
      <c r="A3222" s="3">
        <v>3221</v>
      </c>
      <c r="B3222" s="5">
        <f>DATE(Table1[[#This Row],[Year]],Table1[[#This Row],[Month]],Table1[[#This Row],[Day]])</f>
        <v>45395</v>
      </c>
      <c r="C3222" s="3">
        <v>13</v>
      </c>
      <c r="D3222" s="3">
        <v>4</v>
      </c>
      <c r="E3222" s="3">
        <v>2024</v>
      </c>
      <c r="F3222" s="3" t="str">
        <f>"Qtr"&amp; " " &amp;CHOOSE(MONTH(Table1[[#This Row],[Date]]),1,1,1,2,2,2,3,3,3,4,4,4)</f>
        <v>Qtr 2</v>
      </c>
      <c r="G3222" s="3" t="str">
        <f>TEXT(Table1[[#This Row],[Date]],"mmmm")</f>
        <v>April</v>
      </c>
      <c r="H3222" s="3" t="s">
        <v>1079</v>
      </c>
      <c r="I3222" s="3" t="s">
        <v>33</v>
      </c>
      <c r="J3222" s="3">
        <v>5</v>
      </c>
      <c r="K3222" s="3">
        <v>60342.95</v>
      </c>
      <c r="L3222" s="3">
        <f>Table1[[#This Row],[Price Per Unit]]*Table1[[#This Row],[Units Sold]]</f>
        <v>301714.75</v>
      </c>
      <c r="M3222" s="3" t="s">
        <v>325</v>
      </c>
      <c r="N3222" s="3">
        <v>52</v>
      </c>
      <c r="O3222" s="3" t="s">
        <v>24</v>
      </c>
      <c r="P3222" s="3" t="s">
        <v>45</v>
      </c>
      <c r="Q3222" s="4">
        <v>1</v>
      </c>
      <c r="R3222" s="4" t="str">
        <f>IF(Table1[[#This Row],[Customer Ratings]]&gt;=4, "Good",IF(Table1[[#This Row],[Customer Ratings]]=3, "Average","Poor"))</f>
        <v>Poor</v>
      </c>
      <c r="S3222" s="3" t="s">
        <v>46</v>
      </c>
    </row>
    <row r="3223" spans="1:19" x14ac:dyDescent="0.25">
      <c r="A3223" s="3">
        <v>3222</v>
      </c>
      <c r="B3223" s="5">
        <f>DATE(Table1[[#This Row],[Year]],Table1[[#This Row],[Month]],Table1[[#This Row],[Day]])</f>
        <v>45396</v>
      </c>
      <c r="C3223" s="3">
        <v>14</v>
      </c>
      <c r="D3223" s="3">
        <v>4</v>
      </c>
      <c r="E3223" s="3">
        <v>2024</v>
      </c>
      <c r="F3223" s="3" t="str">
        <f>"Qtr"&amp; " " &amp;CHOOSE(MONTH(Table1[[#This Row],[Date]]),1,1,1,2,2,2,3,3,3,4,4,4)</f>
        <v>Qtr 2</v>
      </c>
      <c r="G3223" s="3" t="str">
        <f>TEXT(Table1[[#This Row],[Date]],"mmmm")</f>
        <v>April</v>
      </c>
      <c r="H3223" s="3" t="s">
        <v>1080</v>
      </c>
      <c r="I3223" s="3" t="s">
        <v>33</v>
      </c>
      <c r="J3223" s="3">
        <v>8</v>
      </c>
      <c r="K3223" s="3">
        <v>65885.33</v>
      </c>
      <c r="L3223" s="3">
        <f>Table1[[#This Row],[Price Per Unit]]*Table1[[#This Row],[Units Sold]]</f>
        <v>527082.64</v>
      </c>
      <c r="M3223" s="3" t="s">
        <v>759</v>
      </c>
      <c r="N3223" s="3">
        <v>55</v>
      </c>
      <c r="O3223" s="3" t="s">
        <v>20</v>
      </c>
      <c r="P3223" s="3" t="s">
        <v>45</v>
      </c>
      <c r="Q3223" s="4">
        <v>5</v>
      </c>
      <c r="R3223" s="4" t="str">
        <f>IF(Table1[[#This Row],[Customer Ratings]]&gt;=4, "Good",IF(Table1[[#This Row],[Customer Ratings]]=3, "Average","Poor"))</f>
        <v>Good</v>
      </c>
      <c r="S3223" s="3" t="s">
        <v>36</v>
      </c>
    </row>
    <row r="3224" spans="1:19" x14ac:dyDescent="0.25">
      <c r="A3224" s="3">
        <v>3223</v>
      </c>
      <c r="B3224" s="5">
        <f>DATE(Table1[[#This Row],[Year]],Table1[[#This Row],[Month]],Table1[[#This Row],[Day]])</f>
        <v>45396</v>
      </c>
      <c r="C3224" s="3">
        <v>14</v>
      </c>
      <c r="D3224" s="3">
        <v>4</v>
      </c>
      <c r="E3224" s="3">
        <v>2024</v>
      </c>
      <c r="F3224" s="3" t="str">
        <f>"Qtr"&amp; " " &amp;CHOOSE(MONTH(Table1[[#This Row],[Date]]),1,1,1,2,2,2,3,3,3,4,4,4)</f>
        <v>Qtr 2</v>
      </c>
      <c r="G3224" s="3" t="str">
        <f>TEXT(Table1[[#This Row],[Date]],"mmmm")</f>
        <v>April</v>
      </c>
      <c r="H3224" s="3" t="s">
        <v>1080</v>
      </c>
      <c r="I3224" s="3" t="s">
        <v>39</v>
      </c>
      <c r="J3224" s="3">
        <v>3</v>
      </c>
      <c r="K3224" s="3">
        <v>29346.720000000001</v>
      </c>
      <c r="L3224" s="3">
        <f>Table1[[#This Row],[Price Per Unit]]*Table1[[#This Row],[Units Sold]]</f>
        <v>88040.16</v>
      </c>
      <c r="M3224" s="3" t="s">
        <v>298</v>
      </c>
      <c r="N3224" s="3">
        <v>40</v>
      </c>
      <c r="O3224" s="3" t="s">
        <v>30</v>
      </c>
      <c r="P3224" s="3" t="s">
        <v>45</v>
      </c>
      <c r="Q3224" s="4">
        <v>1</v>
      </c>
      <c r="R3224" s="4" t="str">
        <f>IF(Table1[[#This Row],[Customer Ratings]]&gt;=4, "Good",IF(Table1[[#This Row],[Customer Ratings]]=3, "Average","Poor"))</f>
        <v>Poor</v>
      </c>
      <c r="S3224" s="3" t="s">
        <v>76</v>
      </c>
    </row>
    <row r="3225" spans="1:19" x14ac:dyDescent="0.25">
      <c r="A3225" s="3">
        <v>3224</v>
      </c>
      <c r="B3225" s="5">
        <f>DATE(Table1[[#This Row],[Year]],Table1[[#This Row],[Month]],Table1[[#This Row],[Day]])</f>
        <v>45396</v>
      </c>
      <c r="C3225" s="3">
        <v>14</v>
      </c>
      <c r="D3225" s="3">
        <v>4</v>
      </c>
      <c r="E3225" s="3">
        <v>2024</v>
      </c>
      <c r="F3225" s="3" t="str">
        <f>"Qtr"&amp; " " &amp;CHOOSE(MONTH(Table1[[#This Row],[Date]]),1,1,1,2,2,2,3,3,3,4,4,4)</f>
        <v>Qtr 2</v>
      </c>
      <c r="G3225" s="3" t="str">
        <f>TEXT(Table1[[#This Row],[Date]],"mmmm")</f>
        <v>April</v>
      </c>
      <c r="H3225" s="3" t="s">
        <v>1080</v>
      </c>
      <c r="I3225" s="3" t="s">
        <v>28</v>
      </c>
      <c r="J3225" s="3">
        <v>3</v>
      </c>
      <c r="K3225" s="3">
        <v>65568.56</v>
      </c>
      <c r="L3225" s="3">
        <f>Table1[[#This Row],[Price Per Unit]]*Table1[[#This Row],[Units Sold]]</f>
        <v>196705.68</v>
      </c>
      <c r="M3225" s="3" t="s">
        <v>952</v>
      </c>
      <c r="N3225" s="3">
        <v>30</v>
      </c>
      <c r="O3225" s="3" t="s">
        <v>58</v>
      </c>
      <c r="P3225" s="3" t="s">
        <v>16</v>
      </c>
      <c r="Q3225" s="4">
        <v>4</v>
      </c>
      <c r="R3225" s="4" t="str">
        <f>IF(Table1[[#This Row],[Customer Ratings]]&gt;=4, "Good",IF(Table1[[#This Row],[Customer Ratings]]=3, "Average","Poor"))</f>
        <v>Good</v>
      </c>
      <c r="S3225" s="3" t="s">
        <v>87</v>
      </c>
    </row>
    <row r="3226" spans="1:19" x14ac:dyDescent="0.25">
      <c r="A3226" s="3">
        <v>3225</v>
      </c>
      <c r="B3226" s="5">
        <f>DATE(Table1[[#This Row],[Year]],Table1[[#This Row],[Month]],Table1[[#This Row],[Day]])</f>
        <v>45396</v>
      </c>
      <c r="C3226" s="3">
        <v>14</v>
      </c>
      <c r="D3226" s="3">
        <v>4</v>
      </c>
      <c r="E3226" s="3">
        <v>2024</v>
      </c>
      <c r="F3226" s="3" t="str">
        <f>"Qtr"&amp; " " &amp;CHOOSE(MONTH(Table1[[#This Row],[Date]]),1,1,1,2,2,2,3,3,3,4,4,4)</f>
        <v>Qtr 2</v>
      </c>
      <c r="G3226" s="3" t="str">
        <f>TEXT(Table1[[#This Row],[Date]],"mmmm")</f>
        <v>April</v>
      </c>
      <c r="H3226" s="3" t="s">
        <v>1080</v>
      </c>
      <c r="I3226" s="3" t="s">
        <v>33</v>
      </c>
      <c r="J3226" s="3">
        <v>2</v>
      </c>
      <c r="K3226" s="3">
        <v>57580.49</v>
      </c>
      <c r="L3226" s="3">
        <f>Table1[[#This Row],[Price Per Unit]]*Table1[[#This Row],[Units Sold]]</f>
        <v>115160.98</v>
      </c>
      <c r="M3226" s="3" t="s">
        <v>127</v>
      </c>
      <c r="N3226" s="3">
        <v>50</v>
      </c>
      <c r="O3226" s="3" t="s">
        <v>58</v>
      </c>
      <c r="P3226" s="3" t="s">
        <v>16</v>
      </c>
      <c r="Q3226" s="4">
        <v>3</v>
      </c>
      <c r="R3226" s="4" t="str">
        <f>IF(Table1[[#This Row],[Customer Ratings]]&gt;=4, "Good",IF(Table1[[#This Row],[Customer Ratings]]=3, "Average","Poor"))</f>
        <v>Average</v>
      </c>
      <c r="S3226" s="3" t="s">
        <v>36</v>
      </c>
    </row>
    <row r="3227" spans="1:19" x14ac:dyDescent="0.25">
      <c r="A3227" s="3">
        <v>3226</v>
      </c>
      <c r="B3227" s="5">
        <f>DATE(Table1[[#This Row],[Year]],Table1[[#This Row],[Month]],Table1[[#This Row],[Day]])</f>
        <v>45397</v>
      </c>
      <c r="C3227" s="3">
        <v>15</v>
      </c>
      <c r="D3227" s="3">
        <v>4</v>
      </c>
      <c r="E3227" s="3">
        <v>2024</v>
      </c>
      <c r="F3227" s="3" t="str">
        <f>"Qtr"&amp; " " &amp;CHOOSE(MONTH(Table1[[#This Row],[Date]]),1,1,1,2,2,2,3,3,3,4,4,4)</f>
        <v>Qtr 2</v>
      </c>
      <c r="G3227" s="3" t="str">
        <f>TEXT(Table1[[#This Row],[Date]],"mmmm")</f>
        <v>April</v>
      </c>
      <c r="H3227" s="3" t="s">
        <v>1081</v>
      </c>
      <c r="I3227" s="3" t="s">
        <v>33</v>
      </c>
      <c r="J3227" s="3">
        <v>5</v>
      </c>
      <c r="K3227" s="3">
        <v>65346.14</v>
      </c>
      <c r="L3227" s="3">
        <f>Table1[[#This Row],[Price Per Unit]]*Table1[[#This Row],[Units Sold]]</f>
        <v>326730.7</v>
      </c>
      <c r="M3227" s="3" t="s">
        <v>1026</v>
      </c>
      <c r="N3227" s="3">
        <v>46</v>
      </c>
      <c r="O3227" s="3" t="s">
        <v>137</v>
      </c>
      <c r="P3227" s="3" t="s">
        <v>45</v>
      </c>
      <c r="Q3227" s="4">
        <v>4</v>
      </c>
      <c r="R3227" s="4" t="str">
        <f>IF(Table1[[#This Row],[Customer Ratings]]&gt;=4, "Good",IF(Table1[[#This Row],[Customer Ratings]]=3, "Average","Poor"))</f>
        <v>Good</v>
      </c>
      <c r="S3227" s="3" t="s">
        <v>83</v>
      </c>
    </row>
    <row r="3228" spans="1:19" x14ac:dyDescent="0.25">
      <c r="A3228" s="3">
        <v>3227</v>
      </c>
      <c r="B3228" s="5">
        <f>DATE(Table1[[#This Row],[Year]],Table1[[#This Row],[Month]],Table1[[#This Row],[Day]])</f>
        <v>45397</v>
      </c>
      <c r="C3228" s="3">
        <v>15</v>
      </c>
      <c r="D3228" s="3">
        <v>4</v>
      </c>
      <c r="E3228" s="3">
        <v>2024</v>
      </c>
      <c r="F3228" s="3" t="str">
        <f>"Qtr"&amp; " " &amp;CHOOSE(MONTH(Table1[[#This Row],[Date]]),1,1,1,2,2,2,3,3,3,4,4,4)</f>
        <v>Qtr 2</v>
      </c>
      <c r="G3228" s="3" t="str">
        <f>TEXT(Table1[[#This Row],[Date]],"mmmm")</f>
        <v>April</v>
      </c>
      <c r="H3228" s="3" t="s">
        <v>1081</v>
      </c>
      <c r="I3228" s="3" t="s">
        <v>28</v>
      </c>
      <c r="J3228" s="3">
        <v>3</v>
      </c>
      <c r="K3228" s="3">
        <v>49976.21</v>
      </c>
      <c r="L3228" s="3">
        <f>Table1[[#This Row],[Price Per Unit]]*Table1[[#This Row],[Units Sold]]</f>
        <v>149928.63</v>
      </c>
      <c r="M3228" s="3" t="s">
        <v>249</v>
      </c>
      <c r="N3228" s="3">
        <v>51</v>
      </c>
      <c r="O3228" s="3" t="s">
        <v>78</v>
      </c>
      <c r="P3228" s="3" t="s">
        <v>45</v>
      </c>
      <c r="Q3228" s="4">
        <v>4</v>
      </c>
      <c r="R3228" s="4" t="str">
        <f>IF(Table1[[#This Row],[Customer Ratings]]&gt;=4, "Good",IF(Table1[[#This Row],[Customer Ratings]]=3, "Average","Poor"))</f>
        <v>Good</v>
      </c>
      <c r="S3228" s="3" t="s">
        <v>87</v>
      </c>
    </row>
    <row r="3229" spans="1:19" x14ac:dyDescent="0.25">
      <c r="A3229" s="3">
        <v>3228</v>
      </c>
      <c r="B3229" s="5">
        <f>DATE(Table1[[#This Row],[Year]],Table1[[#This Row],[Month]],Table1[[#This Row],[Day]])</f>
        <v>45397</v>
      </c>
      <c r="C3229" s="3">
        <v>15</v>
      </c>
      <c r="D3229" s="3">
        <v>4</v>
      </c>
      <c r="E3229" s="3">
        <v>2024</v>
      </c>
      <c r="F3229" s="3" t="str">
        <f>"Qtr"&amp; " " &amp;CHOOSE(MONTH(Table1[[#This Row],[Date]]),1,1,1,2,2,2,3,3,3,4,4,4)</f>
        <v>Qtr 2</v>
      </c>
      <c r="G3229" s="3" t="str">
        <f>TEXT(Table1[[#This Row],[Date]],"mmmm")</f>
        <v>April</v>
      </c>
      <c r="H3229" s="3" t="s">
        <v>1081</v>
      </c>
      <c r="I3229" s="3" t="s">
        <v>18</v>
      </c>
      <c r="J3229" s="3">
        <v>3</v>
      </c>
      <c r="K3229" s="3">
        <v>24138.639999999999</v>
      </c>
      <c r="L3229" s="3">
        <f>Table1[[#This Row],[Price Per Unit]]*Table1[[#This Row],[Units Sold]]</f>
        <v>72415.92</v>
      </c>
      <c r="M3229" s="3" t="s">
        <v>1018</v>
      </c>
      <c r="N3229" s="3">
        <v>51</v>
      </c>
      <c r="O3229" s="3" t="s">
        <v>41</v>
      </c>
      <c r="P3229" s="3" t="s">
        <v>21</v>
      </c>
      <c r="Q3229" s="4">
        <v>2</v>
      </c>
      <c r="R3229" s="4" t="str">
        <f>IF(Table1[[#This Row],[Customer Ratings]]&gt;=4, "Good",IF(Table1[[#This Row],[Customer Ratings]]=3, "Average","Poor"))</f>
        <v>Poor</v>
      </c>
      <c r="S3229" s="3" t="s">
        <v>22</v>
      </c>
    </row>
    <row r="3230" spans="1:19" x14ac:dyDescent="0.25">
      <c r="A3230" s="3">
        <v>3229</v>
      </c>
      <c r="B3230" s="5">
        <f>DATE(Table1[[#This Row],[Year]],Table1[[#This Row],[Month]],Table1[[#This Row],[Day]])</f>
        <v>45397</v>
      </c>
      <c r="C3230" s="3">
        <v>15</v>
      </c>
      <c r="D3230" s="3">
        <v>4</v>
      </c>
      <c r="E3230" s="3">
        <v>2024</v>
      </c>
      <c r="F3230" s="3" t="str">
        <f>"Qtr"&amp; " " &amp;CHOOSE(MONTH(Table1[[#This Row],[Date]]),1,1,1,2,2,2,3,3,3,4,4,4)</f>
        <v>Qtr 2</v>
      </c>
      <c r="G3230" s="3" t="str">
        <f>TEXT(Table1[[#This Row],[Date]],"mmmm")</f>
        <v>April</v>
      </c>
      <c r="H3230" s="3" t="s">
        <v>1081</v>
      </c>
      <c r="I3230" s="3" t="s">
        <v>33</v>
      </c>
      <c r="J3230" s="3">
        <v>6</v>
      </c>
      <c r="K3230" s="3">
        <v>63671.39</v>
      </c>
      <c r="L3230" s="3">
        <f>Table1[[#This Row],[Price Per Unit]]*Table1[[#This Row],[Units Sold]]</f>
        <v>382028.33999999997</v>
      </c>
      <c r="M3230" s="3" t="s">
        <v>1027</v>
      </c>
      <c r="N3230" s="3">
        <v>44</v>
      </c>
      <c r="O3230" s="3" t="s">
        <v>105</v>
      </c>
      <c r="P3230" s="3" t="s">
        <v>45</v>
      </c>
      <c r="Q3230" s="4">
        <v>3</v>
      </c>
      <c r="R3230" s="4" t="str">
        <f>IF(Table1[[#This Row],[Customer Ratings]]&gt;=4, "Good",IF(Table1[[#This Row],[Customer Ratings]]=3, "Average","Poor"))</f>
        <v>Average</v>
      </c>
      <c r="S3230" s="3" t="s">
        <v>83</v>
      </c>
    </row>
    <row r="3231" spans="1:19" x14ac:dyDescent="0.25">
      <c r="A3231" s="3">
        <v>3230</v>
      </c>
      <c r="B3231" s="5">
        <f>DATE(Table1[[#This Row],[Year]],Table1[[#This Row],[Month]],Table1[[#This Row],[Day]])</f>
        <v>45398</v>
      </c>
      <c r="C3231" s="3">
        <v>16</v>
      </c>
      <c r="D3231" s="3">
        <v>4</v>
      </c>
      <c r="E3231" s="3">
        <v>2024</v>
      </c>
      <c r="F3231" s="3" t="str">
        <f>"Qtr"&amp; " " &amp;CHOOSE(MONTH(Table1[[#This Row],[Date]]),1,1,1,2,2,2,3,3,3,4,4,4)</f>
        <v>Qtr 2</v>
      </c>
      <c r="G3231" s="3" t="str">
        <f>TEXT(Table1[[#This Row],[Date]],"mmmm")</f>
        <v>April</v>
      </c>
      <c r="H3231" s="3" t="s">
        <v>1082</v>
      </c>
      <c r="I3231" s="3" t="s">
        <v>13</v>
      </c>
      <c r="J3231" s="3">
        <v>8</v>
      </c>
      <c r="K3231" s="3">
        <v>21055.9</v>
      </c>
      <c r="L3231" s="3">
        <f>Table1[[#This Row],[Price Per Unit]]*Table1[[#This Row],[Units Sold]]</f>
        <v>168447.2</v>
      </c>
      <c r="M3231" s="3" t="s">
        <v>343</v>
      </c>
      <c r="N3231" s="3">
        <v>32</v>
      </c>
      <c r="O3231" s="3" t="s">
        <v>98</v>
      </c>
      <c r="P3231" s="3" t="s">
        <v>31</v>
      </c>
      <c r="Q3231" s="4">
        <v>3</v>
      </c>
      <c r="R3231" s="4" t="str">
        <f>IF(Table1[[#This Row],[Customer Ratings]]&gt;=4, "Good",IF(Table1[[#This Row],[Customer Ratings]]=3, "Average","Poor"))</f>
        <v>Average</v>
      </c>
      <c r="S3231" s="3" t="s">
        <v>17</v>
      </c>
    </row>
    <row r="3232" spans="1:19" x14ac:dyDescent="0.25">
      <c r="A3232" s="3">
        <v>3231</v>
      </c>
      <c r="B3232" s="5">
        <f>DATE(Table1[[#This Row],[Year]],Table1[[#This Row],[Month]],Table1[[#This Row],[Day]])</f>
        <v>45398</v>
      </c>
      <c r="C3232" s="3">
        <v>16</v>
      </c>
      <c r="D3232" s="3">
        <v>4</v>
      </c>
      <c r="E3232" s="3">
        <v>2024</v>
      </c>
      <c r="F3232" s="3" t="str">
        <f>"Qtr"&amp; " " &amp;CHOOSE(MONTH(Table1[[#This Row],[Date]]),1,1,1,2,2,2,3,3,3,4,4,4)</f>
        <v>Qtr 2</v>
      </c>
      <c r="G3232" s="3" t="str">
        <f>TEXT(Table1[[#This Row],[Date]],"mmmm")</f>
        <v>April</v>
      </c>
      <c r="H3232" s="3" t="s">
        <v>1082</v>
      </c>
      <c r="I3232" s="3" t="s">
        <v>28</v>
      </c>
      <c r="J3232" s="3">
        <v>2</v>
      </c>
      <c r="K3232" s="3">
        <v>22783.63</v>
      </c>
      <c r="L3232" s="3">
        <f>Table1[[#This Row],[Price Per Unit]]*Table1[[#This Row],[Units Sold]]</f>
        <v>45567.26</v>
      </c>
      <c r="M3232" s="3" t="s">
        <v>644</v>
      </c>
      <c r="N3232" s="3">
        <v>26</v>
      </c>
      <c r="O3232" s="3" t="s">
        <v>98</v>
      </c>
      <c r="P3232" s="3" t="s">
        <v>16</v>
      </c>
      <c r="Q3232" s="4">
        <v>3</v>
      </c>
      <c r="R3232" s="4" t="str">
        <f>IF(Table1[[#This Row],[Customer Ratings]]&gt;=4, "Good",IF(Table1[[#This Row],[Customer Ratings]]=3, "Average","Poor"))</f>
        <v>Average</v>
      </c>
      <c r="S3232" s="3" t="s">
        <v>38</v>
      </c>
    </row>
    <row r="3233" spans="1:19" x14ac:dyDescent="0.25">
      <c r="A3233" s="3">
        <v>3232</v>
      </c>
      <c r="B3233" s="5">
        <f>DATE(Table1[[#This Row],[Year]],Table1[[#This Row],[Month]],Table1[[#This Row],[Day]])</f>
        <v>45398</v>
      </c>
      <c r="C3233" s="3">
        <v>16</v>
      </c>
      <c r="D3233" s="3">
        <v>4</v>
      </c>
      <c r="E3233" s="3">
        <v>2024</v>
      </c>
      <c r="F3233" s="3" t="str">
        <f>"Qtr"&amp; " " &amp;CHOOSE(MONTH(Table1[[#This Row],[Date]]),1,1,1,2,2,2,3,3,3,4,4,4)</f>
        <v>Qtr 2</v>
      </c>
      <c r="G3233" s="3" t="str">
        <f>TEXT(Table1[[#This Row],[Date]],"mmmm")</f>
        <v>April</v>
      </c>
      <c r="H3233" s="3" t="s">
        <v>1082</v>
      </c>
      <c r="I3233" s="3" t="s">
        <v>33</v>
      </c>
      <c r="J3233" s="3">
        <v>4</v>
      </c>
      <c r="K3233" s="3">
        <v>26263.78</v>
      </c>
      <c r="L3233" s="3">
        <f>Table1[[#This Row],[Price Per Unit]]*Table1[[#This Row],[Units Sold]]</f>
        <v>105055.12</v>
      </c>
      <c r="M3233" s="3" t="s">
        <v>114</v>
      </c>
      <c r="N3233" s="3">
        <v>43</v>
      </c>
      <c r="O3233" s="3" t="s">
        <v>24</v>
      </c>
      <c r="P3233" s="3" t="s">
        <v>21</v>
      </c>
      <c r="Q3233" s="4">
        <v>5</v>
      </c>
      <c r="R3233" s="4" t="str">
        <f>IF(Table1[[#This Row],[Customer Ratings]]&gt;=4, "Good",IF(Table1[[#This Row],[Customer Ratings]]=3, "Average","Poor"))</f>
        <v>Good</v>
      </c>
      <c r="S3233" s="3" t="s">
        <v>83</v>
      </c>
    </row>
    <row r="3234" spans="1:19" x14ac:dyDescent="0.25">
      <c r="A3234" s="3">
        <v>3233</v>
      </c>
      <c r="B3234" s="5">
        <f>DATE(Table1[[#This Row],[Year]],Table1[[#This Row],[Month]],Table1[[#This Row],[Day]])</f>
        <v>45399</v>
      </c>
      <c r="C3234" s="3">
        <v>17</v>
      </c>
      <c r="D3234" s="3">
        <v>4</v>
      </c>
      <c r="E3234" s="3">
        <v>2024</v>
      </c>
      <c r="F3234" s="3" t="str">
        <f>"Qtr"&amp; " " &amp;CHOOSE(MONTH(Table1[[#This Row],[Date]]),1,1,1,2,2,2,3,3,3,4,4,4)</f>
        <v>Qtr 2</v>
      </c>
      <c r="G3234" s="3" t="str">
        <f>TEXT(Table1[[#This Row],[Date]],"mmmm")</f>
        <v>April</v>
      </c>
      <c r="H3234" s="3" t="s">
        <v>1083</v>
      </c>
      <c r="I3234" s="3" t="s">
        <v>39</v>
      </c>
      <c r="J3234" s="3">
        <v>7</v>
      </c>
      <c r="K3234" s="3">
        <v>28254.78</v>
      </c>
      <c r="L3234" s="3">
        <f>Table1[[#This Row],[Price Per Unit]]*Table1[[#This Row],[Units Sold]]</f>
        <v>197783.46</v>
      </c>
      <c r="M3234" s="3" t="s">
        <v>565</v>
      </c>
      <c r="N3234" s="3">
        <v>20</v>
      </c>
      <c r="O3234" s="3" t="s">
        <v>48</v>
      </c>
      <c r="P3234" s="3" t="s">
        <v>16</v>
      </c>
      <c r="Q3234" s="4">
        <v>1</v>
      </c>
      <c r="R3234" s="4" t="str">
        <f>IF(Table1[[#This Row],[Customer Ratings]]&gt;=4, "Good",IF(Table1[[#This Row],[Customer Ratings]]=3, "Average","Poor"))</f>
        <v>Poor</v>
      </c>
      <c r="S3234" s="3" t="s">
        <v>90</v>
      </c>
    </row>
    <row r="3235" spans="1:19" x14ac:dyDescent="0.25">
      <c r="A3235" s="3">
        <v>3234</v>
      </c>
      <c r="B3235" s="5">
        <f>DATE(Table1[[#This Row],[Year]],Table1[[#This Row],[Month]],Table1[[#This Row],[Day]])</f>
        <v>45399</v>
      </c>
      <c r="C3235" s="3">
        <v>17</v>
      </c>
      <c r="D3235" s="3">
        <v>4</v>
      </c>
      <c r="E3235" s="3">
        <v>2024</v>
      </c>
      <c r="F3235" s="3" t="str">
        <f>"Qtr"&amp; " " &amp;CHOOSE(MONTH(Table1[[#This Row],[Date]]),1,1,1,2,2,2,3,3,3,4,4,4)</f>
        <v>Qtr 2</v>
      </c>
      <c r="G3235" s="3" t="str">
        <f>TEXT(Table1[[#This Row],[Date]],"mmmm")</f>
        <v>April</v>
      </c>
      <c r="H3235" s="3" t="s">
        <v>1083</v>
      </c>
      <c r="I3235" s="3" t="s">
        <v>13</v>
      </c>
      <c r="J3235" s="3">
        <v>1</v>
      </c>
      <c r="K3235" s="3">
        <v>40868.78</v>
      </c>
      <c r="L3235" s="3">
        <f>Table1[[#This Row],[Price Per Unit]]*Table1[[#This Row],[Units Sold]]</f>
        <v>40868.78</v>
      </c>
      <c r="M3235" s="3" t="s">
        <v>1006</v>
      </c>
      <c r="N3235" s="3">
        <v>53</v>
      </c>
      <c r="O3235" s="3" t="s">
        <v>15</v>
      </c>
      <c r="P3235" s="3" t="s">
        <v>45</v>
      </c>
      <c r="Q3235" s="4">
        <v>5</v>
      </c>
      <c r="R3235" s="4" t="str">
        <f>IF(Table1[[#This Row],[Customer Ratings]]&gt;=4, "Good",IF(Table1[[#This Row],[Customer Ratings]]=3, "Average","Poor"))</f>
        <v>Good</v>
      </c>
      <c r="S3235" s="3" t="s">
        <v>17</v>
      </c>
    </row>
    <row r="3236" spans="1:19" x14ac:dyDescent="0.25">
      <c r="A3236" s="3">
        <v>3235</v>
      </c>
      <c r="B3236" s="5">
        <f>DATE(Table1[[#This Row],[Year]],Table1[[#This Row],[Month]],Table1[[#This Row],[Day]])</f>
        <v>45399</v>
      </c>
      <c r="C3236" s="3">
        <v>17</v>
      </c>
      <c r="D3236" s="3">
        <v>4</v>
      </c>
      <c r="E3236" s="3">
        <v>2024</v>
      </c>
      <c r="F3236" s="3" t="str">
        <f>"Qtr"&amp; " " &amp;CHOOSE(MONTH(Table1[[#This Row],[Date]]),1,1,1,2,2,2,3,3,3,4,4,4)</f>
        <v>Qtr 2</v>
      </c>
      <c r="G3236" s="3" t="str">
        <f>TEXT(Table1[[#This Row],[Date]],"mmmm")</f>
        <v>April</v>
      </c>
      <c r="H3236" s="3" t="s">
        <v>1083</v>
      </c>
      <c r="I3236" s="3" t="s">
        <v>33</v>
      </c>
      <c r="J3236" s="3">
        <v>1</v>
      </c>
      <c r="K3236" s="3">
        <v>52807.44</v>
      </c>
      <c r="L3236" s="3">
        <f>Table1[[#This Row],[Price Per Unit]]*Table1[[#This Row],[Units Sold]]</f>
        <v>52807.44</v>
      </c>
      <c r="M3236" s="3" t="s">
        <v>658</v>
      </c>
      <c r="N3236" s="3">
        <v>22</v>
      </c>
      <c r="O3236" s="3" t="s">
        <v>24</v>
      </c>
      <c r="P3236" s="3" t="s">
        <v>31</v>
      </c>
      <c r="Q3236" s="4">
        <v>3</v>
      </c>
      <c r="R3236" s="4" t="str">
        <f>IF(Table1[[#This Row],[Customer Ratings]]&gt;=4, "Good",IF(Table1[[#This Row],[Customer Ratings]]=3, "Average","Poor"))</f>
        <v>Average</v>
      </c>
      <c r="S3236" s="3" t="s">
        <v>83</v>
      </c>
    </row>
    <row r="3237" spans="1:19" x14ac:dyDescent="0.25">
      <c r="A3237" s="3">
        <v>3236</v>
      </c>
      <c r="B3237" s="5">
        <f>DATE(Table1[[#This Row],[Year]],Table1[[#This Row],[Month]],Table1[[#This Row],[Day]])</f>
        <v>45400</v>
      </c>
      <c r="C3237" s="3">
        <v>18</v>
      </c>
      <c r="D3237" s="3">
        <v>4</v>
      </c>
      <c r="E3237" s="3">
        <v>2024</v>
      </c>
      <c r="F3237" s="3" t="str">
        <f>"Qtr"&amp; " " &amp;CHOOSE(MONTH(Table1[[#This Row],[Date]]),1,1,1,2,2,2,3,3,3,4,4,4)</f>
        <v>Qtr 2</v>
      </c>
      <c r="G3237" s="3" t="str">
        <f>TEXT(Table1[[#This Row],[Date]],"mmmm")</f>
        <v>April</v>
      </c>
      <c r="H3237" s="3" t="s">
        <v>1084</v>
      </c>
      <c r="I3237" s="3" t="s">
        <v>13</v>
      </c>
      <c r="J3237" s="3">
        <v>7</v>
      </c>
      <c r="K3237" s="3">
        <v>65572.490000000005</v>
      </c>
      <c r="L3237" s="3">
        <f>Table1[[#This Row],[Price Per Unit]]*Table1[[#This Row],[Units Sold]]</f>
        <v>459007.43000000005</v>
      </c>
      <c r="M3237" s="3" t="s">
        <v>658</v>
      </c>
      <c r="N3237" s="3">
        <v>37</v>
      </c>
      <c r="O3237" s="3" t="s">
        <v>65</v>
      </c>
      <c r="P3237" s="3" t="s">
        <v>45</v>
      </c>
      <c r="Q3237" s="4">
        <v>2</v>
      </c>
      <c r="R3237" s="4" t="str">
        <f>IF(Table1[[#This Row],[Customer Ratings]]&gt;=4, "Good",IF(Table1[[#This Row],[Customer Ratings]]=3, "Average","Poor"))</f>
        <v>Poor</v>
      </c>
      <c r="S3237" s="3" t="s">
        <v>72</v>
      </c>
    </row>
    <row r="3238" spans="1:19" x14ac:dyDescent="0.25">
      <c r="A3238" s="3">
        <v>3237</v>
      </c>
      <c r="B3238" s="5">
        <f>DATE(Table1[[#This Row],[Year]],Table1[[#This Row],[Month]],Table1[[#This Row],[Day]])</f>
        <v>45400</v>
      </c>
      <c r="C3238" s="3">
        <v>18</v>
      </c>
      <c r="D3238" s="3">
        <v>4</v>
      </c>
      <c r="E3238" s="3">
        <v>2024</v>
      </c>
      <c r="F3238" s="3" t="str">
        <f>"Qtr"&amp; " " &amp;CHOOSE(MONTH(Table1[[#This Row],[Date]]),1,1,1,2,2,2,3,3,3,4,4,4)</f>
        <v>Qtr 2</v>
      </c>
      <c r="G3238" s="3" t="str">
        <f>TEXT(Table1[[#This Row],[Date]],"mmmm")</f>
        <v>April</v>
      </c>
      <c r="H3238" s="3" t="s">
        <v>1084</v>
      </c>
      <c r="I3238" s="3" t="s">
        <v>13</v>
      </c>
      <c r="J3238" s="3">
        <v>7</v>
      </c>
      <c r="K3238" s="3">
        <v>15306.26</v>
      </c>
      <c r="L3238" s="3">
        <f>Table1[[#This Row],[Price Per Unit]]*Table1[[#This Row],[Units Sold]]</f>
        <v>107143.82</v>
      </c>
      <c r="M3238" s="3" t="s">
        <v>836</v>
      </c>
      <c r="N3238" s="3">
        <v>37</v>
      </c>
      <c r="O3238" s="3" t="s">
        <v>54</v>
      </c>
      <c r="P3238" s="3" t="s">
        <v>16</v>
      </c>
      <c r="Q3238" s="4">
        <v>4</v>
      </c>
      <c r="R3238" s="4" t="str">
        <f>IF(Table1[[#This Row],[Customer Ratings]]&gt;=4, "Good",IF(Table1[[#This Row],[Customer Ratings]]=3, "Average","Poor"))</f>
        <v>Good</v>
      </c>
      <c r="S3238" s="3" t="s">
        <v>17</v>
      </c>
    </row>
    <row r="3239" spans="1:19" x14ac:dyDescent="0.25">
      <c r="A3239" s="3">
        <v>3238</v>
      </c>
      <c r="B3239" s="5">
        <f>DATE(Table1[[#This Row],[Year]],Table1[[#This Row],[Month]],Table1[[#This Row],[Day]])</f>
        <v>45400</v>
      </c>
      <c r="C3239" s="3">
        <v>18</v>
      </c>
      <c r="D3239" s="3">
        <v>4</v>
      </c>
      <c r="E3239" s="3">
        <v>2024</v>
      </c>
      <c r="F3239" s="3" t="str">
        <f>"Qtr"&amp; " " &amp;CHOOSE(MONTH(Table1[[#This Row],[Date]]),1,1,1,2,2,2,3,3,3,4,4,4)</f>
        <v>Qtr 2</v>
      </c>
      <c r="G3239" s="3" t="str">
        <f>TEXT(Table1[[#This Row],[Date]],"mmmm")</f>
        <v>April</v>
      </c>
      <c r="H3239" s="3" t="s">
        <v>1084</v>
      </c>
      <c r="I3239" s="3" t="s">
        <v>18</v>
      </c>
      <c r="J3239" s="3">
        <v>1</v>
      </c>
      <c r="K3239" s="3">
        <v>67262.16</v>
      </c>
      <c r="L3239" s="3">
        <f>Table1[[#This Row],[Price Per Unit]]*Table1[[#This Row],[Units Sold]]</f>
        <v>67262.16</v>
      </c>
      <c r="M3239" s="3" t="s">
        <v>463</v>
      </c>
      <c r="N3239" s="3">
        <v>22</v>
      </c>
      <c r="O3239" s="3" t="s">
        <v>137</v>
      </c>
      <c r="P3239" s="3" t="s">
        <v>21</v>
      </c>
      <c r="Q3239" s="4">
        <v>4</v>
      </c>
      <c r="R3239" s="4" t="str">
        <f>IF(Table1[[#This Row],[Customer Ratings]]&gt;=4, "Good",IF(Table1[[#This Row],[Customer Ratings]]=3, "Average","Poor"))</f>
        <v>Good</v>
      </c>
      <c r="S3239" s="3" t="s">
        <v>22</v>
      </c>
    </row>
    <row r="3240" spans="1:19" x14ac:dyDescent="0.25">
      <c r="A3240" s="3">
        <v>3239</v>
      </c>
      <c r="B3240" s="5">
        <f>DATE(Table1[[#This Row],[Year]],Table1[[#This Row],[Month]],Table1[[#This Row],[Day]])</f>
        <v>45401</v>
      </c>
      <c r="C3240" s="3">
        <v>19</v>
      </c>
      <c r="D3240" s="3">
        <v>4</v>
      </c>
      <c r="E3240" s="3">
        <v>2024</v>
      </c>
      <c r="F3240" s="3" t="str">
        <f>"Qtr"&amp; " " &amp;CHOOSE(MONTH(Table1[[#This Row],[Date]]),1,1,1,2,2,2,3,3,3,4,4,4)</f>
        <v>Qtr 2</v>
      </c>
      <c r="G3240" s="3" t="str">
        <f>TEXT(Table1[[#This Row],[Date]],"mmmm")</f>
        <v>April</v>
      </c>
      <c r="H3240" s="3" t="s">
        <v>1085</v>
      </c>
      <c r="I3240" s="3" t="s">
        <v>13</v>
      </c>
      <c r="J3240" s="3">
        <v>1</v>
      </c>
      <c r="K3240" s="3">
        <v>65279.38</v>
      </c>
      <c r="L3240" s="3">
        <f>Table1[[#This Row],[Price Per Unit]]*Table1[[#This Row],[Units Sold]]</f>
        <v>65279.38</v>
      </c>
      <c r="M3240" s="3" t="s">
        <v>668</v>
      </c>
      <c r="N3240" s="3">
        <v>27</v>
      </c>
      <c r="O3240" s="3" t="s">
        <v>48</v>
      </c>
      <c r="P3240" s="3" t="s">
        <v>16</v>
      </c>
      <c r="Q3240" s="4">
        <v>5</v>
      </c>
      <c r="R3240" s="4" t="str">
        <f>IF(Table1[[#This Row],[Customer Ratings]]&gt;=4, "Good",IF(Table1[[#This Row],[Customer Ratings]]=3, "Average","Poor"))</f>
        <v>Good</v>
      </c>
      <c r="S3240" s="3" t="s">
        <v>27</v>
      </c>
    </row>
    <row r="3241" spans="1:19" x14ac:dyDescent="0.25">
      <c r="A3241" s="3">
        <v>3240</v>
      </c>
      <c r="B3241" s="5">
        <f>DATE(Table1[[#This Row],[Year]],Table1[[#This Row],[Month]],Table1[[#This Row],[Day]])</f>
        <v>45401</v>
      </c>
      <c r="C3241" s="3">
        <v>19</v>
      </c>
      <c r="D3241" s="3">
        <v>4</v>
      </c>
      <c r="E3241" s="3">
        <v>2024</v>
      </c>
      <c r="F3241" s="3" t="str">
        <f>"Qtr"&amp; " " &amp;CHOOSE(MONTH(Table1[[#This Row],[Date]]),1,1,1,2,2,2,3,3,3,4,4,4)</f>
        <v>Qtr 2</v>
      </c>
      <c r="G3241" s="3" t="str">
        <f>TEXT(Table1[[#This Row],[Date]],"mmmm")</f>
        <v>April</v>
      </c>
      <c r="H3241" s="3" t="s">
        <v>1085</v>
      </c>
      <c r="I3241" s="3" t="s">
        <v>18</v>
      </c>
      <c r="J3241" s="3">
        <v>4</v>
      </c>
      <c r="K3241" s="3">
        <v>13239.96</v>
      </c>
      <c r="L3241" s="3">
        <f>Table1[[#This Row],[Price Per Unit]]*Table1[[#This Row],[Units Sold]]</f>
        <v>52959.839999999997</v>
      </c>
      <c r="M3241" s="3" t="s">
        <v>389</v>
      </c>
      <c r="N3241" s="3">
        <v>33</v>
      </c>
      <c r="O3241" s="3" t="s">
        <v>52</v>
      </c>
      <c r="P3241" s="3" t="s">
        <v>21</v>
      </c>
      <c r="Q3241" s="4">
        <v>5</v>
      </c>
      <c r="R3241" s="4" t="str">
        <f>IF(Table1[[#This Row],[Customer Ratings]]&gt;=4, "Good",IF(Table1[[#This Row],[Customer Ratings]]=3, "Average","Poor"))</f>
        <v>Good</v>
      </c>
      <c r="S3241" s="3" t="s">
        <v>22</v>
      </c>
    </row>
    <row r="3242" spans="1:19" x14ac:dyDescent="0.25">
      <c r="A3242" s="3">
        <v>3241</v>
      </c>
      <c r="B3242" s="5">
        <f>DATE(Table1[[#This Row],[Year]],Table1[[#This Row],[Month]],Table1[[#This Row],[Day]])</f>
        <v>45401</v>
      </c>
      <c r="C3242" s="3">
        <v>19</v>
      </c>
      <c r="D3242" s="3">
        <v>4</v>
      </c>
      <c r="E3242" s="3">
        <v>2024</v>
      </c>
      <c r="F3242" s="3" t="str">
        <f>"Qtr"&amp; " " &amp;CHOOSE(MONTH(Table1[[#This Row],[Date]]),1,1,1,2,2,2,3,3,3,4,4,4)</f>
        <v>Qtr 2</v>
      </c>
      <c r="G3242" s="3" t="str">
        <f>TEXT(Table1[[#This Row],[Date]],"mmmm")</f>
        <v>April</v>
      </c>
      <c r="H3242" s="3" t="s">
        <v>1085</v>
      </c>
      <c r="I3242" s="3" t="s">
        <v>28</v>
      </c>
      <c r="J3242" s="3">
        <v>5</v>
      </c>
      <c r="K3242" s="3">
        <v>31619.27</v>
      </c>
      <c r="L3242" s="3">
        <f>Table1[[#This Row],[Price Per Unit]]*Table1[[#This Row],[Units Sold]]</f>
        <v>158096.35</v>
      </c>
      <c r="M3242" s="3" t="s">
        <v>270</v>
      </c>
      <c r="N3242" s="3">
        <v>42</v>
      </c>
      <c r="O3242" s="3" t="s">
        <v>81</v>
      </c>
      <c r="P3242" s="3" t="s">
        <v>31</v>
      </c>
      <c r="Q3242" s="4">
        <v>2</v>
      </c>
      <c r="R3242" s="4" t="str">
        <f>IF(Table1[[#This Row],[Customer Ratings]]&gt;=4, "Good",IF(Table1[[#This Row],[Customer Ratings]]=3, "Average","Poor"))</f>
        <v>Poor</v>
      </c>
      <c r="S3242" s="3" t="s">
        <v>32</v>
      </c>
    </row>
    <row r="3243" spans="1:19" x14ac:dyDescent="0.25">
      <c r="A3243" s="3">
        <v>3242</v>
      </c>
      <c r="B3243" s="5">
        <f>DATE(Table1[[#This Row],[Year]],Table1[[#This Row],[Month]],Table1[[#This Row],[Day]])</f>
        <v>45402</v>
      </c>
      <c r="C3243" s="3">
        <v>20</v>
      </c>
      <c r="D3243" s="3">
        <v>4</v>
      </c>
      <c r="E3243" s="3">
        <v>2024</v>
      </c>
      <c r="F3243" s="3" t="str">
        <f>"Qtr"&amp; " " &amp;CHOOSE(MONTH(Table1[[#This Row],[Date]]),1,1,1,2,2,2,3,3,3,4,4,4)</f>
        <v>Qtr 2</v>
      </c>
      <c r="G3243" s="3" t="str">
        <f>TEXT(Table1[[#This Row],[Date]],"mmmm")</f>
        <v>April</v>
      </c>
      <c r="H3243" s="3" t="s">
        <v>1079</v>
      </c>
      <c r="I3243" s="3" t="s">
        <v>18</v>
      </c>
      <c r="J3243" s="3">
        <v>5</v>
      </c>
      <c r="K3243" s="3">
        <v>58788.6</v>
      </c>
      <c r="L3243" s="3">
        <f>Table1[[#This Row],[Price Per Unit]]*Table1[[#This Row],[Units Sold]]</f>
        <v>293943</v>
      </c>
      <c r="M3243" s="3" t="s">
        <v>455</v>
      </c>
      <c r="N3243" s="3">
        <v>42</v>
      </c>
      <c r="O3243" s="3" t="s">
        <v>20</v>
      </c>
      <c r="P3243" s="3" t="s">
        <v>45</v>
      </c>
      <c r="Q3243" s="4">
        <v>4</v>
      </c>
      <c r="R3243" s="4" t="str">
        <f>IF(Table1[[#This Row],[Customer Ratings]]&gt;=4, "Good",IF(Table1[[#This Row],[Customer Ratings]]=3, "Average","Poor"))</f>
        <v>Good</v>
      </c>
      <c r="S3243" s="3" t="s">
        <v>55</v>
      </c>
    </row>
    <row r="3244" spans="1:19" x14ac:dyDescent="0.25">
      <c r="A3244" s="3">
        <v>3243</v>
      </c>
      <c r="B3244" s="5">
        <f>DATE(Table1[[#This Row],[Year]],Table1[[#This Row],[Month]],Table1[[#This Row],[Day]])</f>
        <v>45402</v>
      </c>
      <c r="C3244" s="3">
        <v>20</v>
      </c>
      <c r="D3244" s="3">
        <v>4</v>
      </c>
      <c r="E3244" s="3">
        <v>2024</v>
      </c>
      <c r="F3244" s="3" t="str">
        <f>"Qtr"&amp; " " &amp;CHOOSE(MONTH(Table1[[#This Row],[Date]]),1,1,1,2,2,2,3,3,3,4,4,4)</f>
        <v>Qtr 2</v>
      </c>
      <c r="G3244" s="3" t="str">
        <f>TEXT(Table1[[#This Row],[Date]],"mmmm")</f>
        <v>April</v>
      </c>
      <c r="H3244" s="3" t="s">
        <v>1079</v>
      </c>
      <c r="I3244" s="3" t="s">
        <v>39</v>
      </c>
      <c r="J3244" s="3">
        <v>4</v>
      </c>
      <c r="K3244" s="3">
        <v>46694.59</v>
      </c>
      <c r="L3244" s="3">
        <f>Table1[[#This Row],[Price Per Unit]]*Table1[[#This Row],[Units Sold]]</f>
        <v>186778.36</v>
      </c>
      <c r="M3244" s="3" t="s">
        <v>156</v>
      </c>
      <c r="N3244" s="3">
        <v>47</v>
      </c>
      <c r="O3244" s="3" t="s">
        <v>52</v>
      </c>
      <c r="P3244" s="3" t="s">
        <v>45</v>
      </c>
      <c r="Q3244" s="4">
        <v>5</v>
      </c>
      <c r="R3244" s="4" t="str">
        <f>IF(Table1[[#This Row],[Customer Ratings]]&gt;=4, "Good",IF(Table1[[#This Row],[Customer Ratings]]=3, "Average","Poor"))</f>
        <v>Good</v>
      </c>
      <c r="S3244" s="3" t="s">
        <v>90</v>
      </c>
    </row>
    <row r="3245" spans="1:19" x14ac:dyDescent="0.25">
      <c r="A3245" s="3">
        <v>3244</v>
      </c>
      <c r="B3245" s="5">
        <f>DATE(Table1[[#This Row],[Year]],Table1[[#This Row],[Month]],Table1[[#This Row],[Day]])</f>
        <v>45402</v>
      </c>
      <c r="C3245" s="3">
        <v>20</v>
      </c>
      <c r="D3245" s="3">
        <v>4</v>
      </c>
      <c r="E3245" s="3">
        <v>2024</v>
      </c>
      <c r="F3245" s="3" t="str">
        <f>"Qtr"&amp; " " &amp;CHOOSE(MONTH(Table1[[#This Row],[Date]]),1,1,1,2,2,2,3,3,3,4,4,4)</f>
        <v>Qtr 2</v>
      </c>
      <c r="G3245" s="3" t="str">
        <f>TEXT(Table1[[#This Row],[Date]],"mmmm")</f>
        <v>April</v>
      </c>
      <c r="H3245" s="3" t="s">
        <v>1079</v>
      </c>
      <c r="I3245" s="3" t="s">
        <v>33</v>
      </c>
      <c r="J3245" s="3">
        <v>8</v>
      </c>
      <c r="K3245" s="3">
        <v>56745.64</v>
      </c>
      <c r="L3245" s="3">
        <f>Table1[[#This Row],[Price Per Unit]]*Table1[[#This Row],[Units Sold]]</f>
        <v>453965.12</v>
      </c>
      <c r="M3245" s="3" t="s">
        <v>286</v>
      </c>
      <c r="N3245" s="3">
        <v>31</v>
      </c>
      <c r="O3245" s="3" t="s">
        <v>54</v>
      </c>
      <c r="P3245" s="3" t="s">
        <v>31</v>
      </c>
      <c r="Q3245" s="4">
        <v>1</v>
      </c>
      <c r="R3245" s="4" t="str">
        <f>IF(Table1[[#This Row],[Customer Ratings]]&gt;=4, "Good",IF(Table1[[#This Row],[Customer Ratings]]=3, "Average","Poor"))</f>
        <v>Poor</v>
      </c>
      <c r="S3245" s="3" t="s">
        <v>83</v>
      </c>
    </row>
    <row r="3246" spans="1:19" x14ac:dyDescent="0.25">
      <c r="A3246" s="3">
        <v>3245</v>
      </c>
      <c r="B3246" s="5">
        <f>DATE(Table1[[#This Row],[Year]],Table1[[#This Row],[Month]],Table1[[#This Row],[Day]])</f>
        <v>45403</v>
      </c>
      <c r="C3246" s="3">
        <v>21</v>
      </c>
      <c r="D3246" s="3">
        <v>4</v>
      </c>
      <c r="E3246" s="3">
        <v>2024</v>
      </c>
      <c r="F3246" s="3" t="str">
        <f>"Qtr"&amp; " " &amp;CHOOSE(MONTH(Table1[[#This Row],[Date]]),1,1,1,2,2,2,3,3,3,4,4,4)</f>
        <v>Qtr 2</v>
      </c>
      <c r="G3246" s="3" t="str">
        <f>TEXT(Table1[[#This Row],[Date]],"mmmm")</f>
        <v>April</v>
      </c>
      <c r="H3246" s="3" t="s">
        <v>1080</v>
      </c>
      <c r="I3246" s="3" t="s">
        <v>28</v>
      </c>
      <c r="J3246" s="3">
        <v>7</v>
      </c>
      <c r="K3246" s="3">
        <v>53142</v>
      </c>
      <c r="L3246" s="3">
        <f>Table1[[#This Row],[Price Per Unit]]*Table1[[#This Row],[Units Sold]]</f>
        <v>371994</v>
      </c>
      <c r="M3246" s="3" t="s">
        <v>143</v>
      </c>
      <c r="N3246" s="3">
        <v>39</v>
      </c>
      <c r="O3246" s="3" t="s">
        <v>15</v>
      </c>
      <c r="P3246" s="3" t="s">
        <v>16</v>
      </c>
      <c r="Q3246" s="4">
        <v>5</v>
      </c>
      <c r="R3246" s="4" t="str">
        <f>IF(Table1[[#This Row],[Customer Ratings]]&gt;=4, "Good",IF(Table1[[#This Row],[Customer Ratings]]=3, "Average","Poor"))</f>
        <v>Good</v>
      </c>
      <c r="S3246" s="3" t="s">
        <v>38</v>
      </c>
    </row>
    <row r="3247" spans="1:19" x14ac:dyDescent="0.25">
      <c r="A3247" s="3">
        <v>3246</v>
      </c>
      <c r="B3247" s="5">
        <f>DATE(Table1[[#This Row],[Year]],Table1[[#This Row],[Month]],Table1[[#This Row],[Day]])</f>
        <v>45403</v>
      </c>
      <c r="C3247" s="3">
        <v>21</v>
      </c>
      <c r="D3247" s="3">
        <v>4</v>
      </c>
      <c r="E3247" s="3">
        <v>2024</v>
      </c>
      <c r="F3247" s="3" t="str">
        <f>"Qtr"&amp; " " &amp;CHOOSE(MONTH(Table1[[#This Row],[Date]]),1,1,1,2,2,2,3,3,3,4,4,4)</f>
        <v>Qtr 2</v>
      </c>
      <c r="G3247" s="3" t="str">
        <f>TEXT(Table1[[#This Row],[Date]],"mmmm")</f>
        <v>April</v>
      </c>
      <c r="H3247" s="3" t="s">
        <v>1080</v>
      </c>
      <c r="I3247" s="3" t="s">
        <v>28</v>
      </c>
      <c r="J3247" s="3">
        <v>9</v>
      </c>
      <c r="K3247" s="3">
        <v>39806.21</v>
      </c>
      <c r="L3247" s="3">
        <f>Table1[[#This Row],[Price Per Unit]]*Table1[[#This Row],[Units Sold]]</f>
        <v>358255.89</v>
      </c>
      <c r="M3247" s="3" t="s">
        <v>150</v>
      </c>
      <c r="N3247" s="3">
        <v>45</v>
      </c>
      <c r="O3247" s="3" t="s">
        <v>24</v>
      </c>
      <c r="P3247" s="3" t="s">
        <v>31</v>
      </c>
      <c r="Q3247" s="4">
        <v>5</v>
      </c>
      <c r="R3247" s="4" t="str">
        <f>IF(Table1[[#This Row],[Customer Ratings]]&gt;=4, "Good",IF(Table1[[#This Row],[Customer Ratings]]=3, "Average","Poor"))</f>
        <v>Good</v>
      </c>
      <c r="S3247" s="3" t="s">
        <v>38</v>
      </c>
    </row>
    <row r="3248" spans="1:19" x14ac:dyDescent="0.25">
      <c r="A3248" s="3">
        <v>3247</v>
      </c>
      <c r="B3248" s="5">
        <f>DATE(Table1[[#This Row],[Year]],Table1[[#This Row],[Month]],Table1[[#This Row],[Day]])</f>
        <v>45403</v>
      </c>
      <c r="C3248" s="3">
        <v>21</v>
      </c>
      <c r="D3248" s="3">
        <v>4</v>
      </c>
      <c r="E3248" s="3">
        <v>2024</v>
      </c>
      <c r="F3248" s="3" t="str">
        <f>"Qtr"&amp; " " &amp;CHOOSE(MONTH(Table1[[#This Row],[Date]]),1,1,1,2,2,2,3,3,3,4,4,4)</f>
        <v>Qtr 2</v>
      </c>
      <c r="G3248" s="3" t="str">
        <f>TEXT(Table1[[#This Row],[Date]],"mmmm")</f>
        <v>April</v>
      </c>
      <c r="H3248" s="3" t="s">
        <v>1080</v>
      </c>
      <c r="I3248" s="3" t="s">
        <v>39</v>
      </c>
      <c r="J3248" s="3">
        <v>7</v>
      </c>
      <c r="K3248" s="3">
        <v>12473.08</v>
      </c>
      <c r="L3248" s="3">
        <f>Table1[[#This Row],[Price Per Unit]]*Table1[[#This Row],[Units Sold]]</f>
        <v>87311.56</v>
      </c>
      <c r="M3248" s="3" t="s">
        <v>669</v>
      </c>
      <c r="N3248" s="3">
        <v>47</v>
      </c>
      <c r="O3248" s="3" t="s">
        <v>24</v>
      </c>
      <c r="P3248" s="3" t="s">
        <v>45</v>
      </c>
      <c r="Q3248" s="4">
        <v>3</v>
      </c>
      <c r="R3248" s="4" t="str">
        <f>IF(Table1[[#This Row],[Customer Ratings]]&gt;=4, "Good",IF(Table1[[#This Row],[Customer Ratings]]=3, "Average","Poor"))</f>
        <v>Average</v>
      </c>
      <c r="S3248" s="3" t="s">
        <v>76</v>
      </c>
    </row>
    <row r="3249" spans="1:19" x14ac:dyDescent="0.25">
      <c r="A3249" s="3">
        <v>3248</v>
      </c>
      <c r="B3249" s="5">
        <f>DATE(Table1[[#This Row],[Year]],Table1[[#This Row],[Month]],Table1[[#This Row],[Day]])</f>
        <v>45404</v>
      </c>
      <c r="C3249" s="3">
        <v>22</v>
      </c>
      <c r="D3249" s="3">
        <v>4</v>
      </c>
      <c r="E3249" s="3">
        <v>2024</v>
      </c>
      <c r="F3249" s="3" t="str">
        <f>"Qtr"&amp; " " &amp;CHOOSE(MONTH(Table1[[#This Row],[Date]]),1,1,1,2,2,2,3,3,3,4,4,4)</f>
        <v>Qtr 2</v>
      </c>
      <c r="G3249" s="3" t="str">
        <f>TEXT(Table1[[#This Row],[Date]],"mmmm")</f>
        <v>April</v>
      </c>
      <c r="H3249" s="3" t="s">
        <v>1081</v>
      </c>
      <c r="I3249" s="3" t="s">
        <v>18</v>
      </c>
      <c r="J3249" s="3">
        <v>1</v>
      </c>
      <c r="K3249" s="3">
        <v>45056.09</v>
      </c>
      <c r="L3249" s="3">
        <f>Table1[[#This Row],[Price Per Unit]]*Table1[[#This Row],[Units Sold]]</f>
        <v>45056.09</v>
      </c>
      <c r="M3249" s="3" t="s">
        <v>567</v>
      </c>
      <c r="N3249" s="3">
        <v>36</v>
      </c>
      <c r="O3249" s="3" t="s">
        <v>15</v>
      </c>
      <c r="P3249" s="3" t="s">
        <v>21</v>
      </c>
      <c r="Q3249" s="4">
        <v>1</v>
      </c>
      <c r="R3249" s="4" t="str">
        <f>IF(Table1[[#This Row],[Customer Ratings]]&gt;=4, "Good",IF(Table1[[#This Row],[Customer Ratings]]=3, "Average","Poor"))</f>
        <v>Poor</v>
      </c>
      <c r="S3249" s="3" t="s">
        <v>25</v>
      </c>
    </row>
    <row r="3250" spans="1:19" x14ac:dyDescent="0.25">
      <c r="A3250" s="3">
        <v>3249</v>
      </c>
      <c r="B3250" s="5">
        <f>DATE(Table1[[#This Row],[Year]],Table1[[#This Row],[Month]],Table1[[#This Row],[Day]])</f>
        <v>45404</v>
      </c>
      <c r="C3250" s="3">
        <v>22</v>
      </c>
      <c r="D3250" s="3">
        <v>4</v>
      </c>
      <c r="E3250" s="3">
        <v>2024</v>
      </c>
      <c r="F3250" s="3" t="str">
        <f>"Qtr"&amp; " " &amp;CHOOSE(MONTH(Table1[[#This Row],[Date]]),1,1,1,2,2,2,3,3,3,4,4,4)</f>
        <v>Qtr 2</v>
      </c>
      <c r="G3250" s="3" t="str">
        <f>TEXT(Table1[[#This Row],[Date]],"mmmm")</f>
        <v>April</v>
      </c>
      <c r="H3250" s="3" t="s">
        <v>1081</v>
      </c>
      <c r="I3250" s="3" t="s">
        <v>33</v>
      </c>
      <c r="J3250" s="3">
        <v>7</v>
      </c>
      <c r="K3250" s="3">
        <v>12914</v>
      </c>
      <c r="L3250" s="3">
        <f>Table1[[#This Row],[Price Per Unit]]*Table1[[#This Row],[Units Sold]]</f>
        <v>90398</v>
      </c>
      <c r="M3250" s="3" t="s">
        <v>1028</v>
      </c>
      <c r="N3250" s="3">
        <v>55</v>
      </c>
      <c r="O3250" s="3" t="s">
        <v>20</v>
      </c>
      <c r="P3250" s="3" t="s">
        <v>45</v>
      </c>
      <c r="Q3250" s="4">
        <v>1</v>
      </c>
      <c r="R3250" s="4" t="str">
        <f>IF(Table1[[#This Row],[Customer Ratings]]&gt;=4, "Good",IF(Table1[[#This Row],[Customer Ratings]]=3, "Average","Poor"))</f>
        <v>Poor</v>
      </c>
      <c r="S3250" s="3" t="s">
        <v>36</v>
      </c>
    </row>
    <row r="3251" spans="1:19" x14ac:dyDescent="0.25">
      <c r="A3251" s="3">
        <v>3250</v>
      </c>
      <c r="B3251" s="5">
        <f>DATE(Table1[[#This Row],[Year]],Table1[[#This Row],[Month]],Table1[[#This Row],[Day]])</f>
        <v>45404</v>
      </c>
      <c r="C3251" s="3">
        <v>22</v>
      </c>
      <c r="D3251" s="3">
        <v>4</v>
      </c>
      <c r="E3251" s="3">
        <v>2024</v>
      </c>
      <c r="F3251" s="3" t="str">
        <f>"Qtr"&amp; " " &amp;CHOOSE(MONTH(Table1[[#This Row],[Date]]),1,1,1,2,2,2,3,3,3,4,4,4)</f>
        <v>Qtr 2</v>
      </c>
      <c r="G3251" s="3" t="str">
        <f>TEXT(Table1[[#This Row],[Date]],"mmmm")</f>
        <v>April</v>
      </c>
      <c r="H3251" s="3" t="s">
        <v>1081</v>
      </c>
      <c r="I3251" s="3" t="s">
        <v>18</v>
      </c>
      <c r="J3251" s="3">
        <v>1</v>
      </c>
      <c r="K3251" s="3">
        <v>46223.6</v>
      </c>
      <c r="L3251" s="3">
        <f>Table1[[#This Row],[Price Per Unit]]*Table1[[#This Row],[Units Sold]]</f>
        <v>46223.6</v>
      </c>
      <c r="M3251" s="3" t="s">
        <v>880</v>
      </c>
      <c r="N3251" s="3">
        <v>59</v>
      </c>
      <c r="O3251" s="3" t="s">
        <v>24</v>
      </c>
      <c r="P3251" s="3" t="s">
        <v>16</v>
      </c>
      <c r="Q3251" s="4">
        <v>2</v>
      </c>
      <c r="R3251" s="4" t="str">
        <f>IF(Table1[[#This Row],[Customer Ratings]]&gt;=4, "Good",IF(Table1[[#This Row],[Customer Ratings]]=3, "Average","Poor"))</f>
        <v>Poor</v>
      </c>
      <c r="S3251" s="3" t="s">
        <v>55</v>
      </c>
    </row>
    <row r="3252" spans="1:19" x14ac:dyDescent="0.25">
      <c r="A3252" s="3">
        <v>3251</v>
      </c>
      <c r="B3252" s="5">
        <f>DATE(Table1[[#This Row],[Year]],Table1[[#This Row],[Month]],Table1[[#This Row],[Day]])</f>
        <v>45405</v>
      </c>
      <c r="C3252" s="3">
        <v>23</v>
      </c>
      <c r="D3252" s="3">
        <v>4</v>
      </c>
      <c r="E3252" s="3">
        <v>2024</v>
      </c>
      <c r="F3252" s="3" t="str">
        <f>"Qtr"&amp; " " &amp;CHOOSE(MONTH(Table1[[#This Row],[Date]]),1,1,1,2,2,2,3,3,3,4,4,4)</f>
        <v>Qtr 2</v>
      </c>
      <c r="G3252" s="3" t="str">
        <f>TEXT(Table1[[#This Row],[Date]],"mmmm")</f>
        <v>April</v>
      </c>
      <c r="H3252" s="3" t="s">
        <v>1082</v>
      </c>
      <c r="I3252" s="3" t="s">
        <v>13</v>
      </c>
      <c r="J3252" s="3">
        <v>7</v>
      </c>
      <c r="K3252" s="3">
        <v>58024.65</v>
      </c>
      <c r="L3252" s="3">
        <f>Table1[[#This Row],[Price Per Unit]]*Table1[[#This Row],[Units Sold]]</f>
        <v>406172.55</v>
      </c>
      <c r="M3252" s="3" t="s">
        <v>1028</v>
      </c>
      <c r="N3252" s="3">
        <v>37</v>
      </c>
      <c r="O3252" s="3" t="s">
        <v>102</v>
      </c>
      <c r="P3252" s="3" t="s">
        <v>21</v>
      </c>
      <c r="Q3252" s="4">
        <v>3</v>
      </c>
      <c r="R3252" s="4" t="str">
        <f>IF(Table1[[#This Row],[Customer Ratings]]&gt;=4, "Good",IF(Table1[[#This Row],[Customer Ratings]]=3, "Average","Poor"))</f>
        <v>Average</v>
      </c>
      <c r="S3252" s="3" t="s">
        <v>72</v>
      </c>
    </row>
    <row r="3253" spans="1:19" x14ac:dyDescent="0.25">
      <c r="A3253" s="3">
        <v>3252</v>
      </c>
      <c r="B3253" s="5">
        <f>DATE(Table1[[#This Row],[Year]],Table1[[#This Row],[Month]],Table1[[#This Row],[Day]])</f>
        <v>45405</v>
      </c>
      <c r="C3253" s="3">
        <v>23</v>
      </c>
      <c r="D3253" s="3">
        <v>4</v>
      </c>
      <c r="E3253" s="3">
        <v>2024</v>
      </c>
      <c r="F3253" s="3" t="str">
        <f>"Qtr"&amp; " " &amp;CHOOSE(MONTH(Table1[[#This Row],[Date]]),1,1,1,2,2,2,3,3,3,4,4,4)</f>
        <v>Qtr 2</v>
      </c>
      <c r="G3253" s="3" t="str">
        <f>TEXT(Table1[[#This Row],[Date]],"mmmm")</f>
        <v>April</v>
      </c>
      <c r="H3253" s="3" t="s">
        <v>1082</v>
      </c>
      <c r="I3253" s="3" t="s">
        <v>18</v>
      </c>
      <c r="J3253" s="3">
        <v>8</v>
      </c>
      <c r="K3253" s="3">
        <v>45099.5</v>
      </c>
      <c r="L3253" s="3">
        <f>Table1[[#This Row],[Price Per Unit]]*Table1[[#This Row],[Units Sold]]</f>
        <v>360796</v>
      </c>
      <c r="M3253" s="3" t="s">
        <v>300</v>
      </c>
      <c r="N3253" s="3">
        <v>52</v>
      </c>
      <c r="O3253" s="3" t="s">
        <v>54</v>
      </c>
      <c r="P3253" s="3" t="s">
        <v>16</v>
      </c>
      <c r="Q3253" s="4">
        <v>1</v>
      </c>
      <c r="R3253" s="4" t="str">
        <f>IF(Table1[[#This Row],[Customer Ratings]]&gt;=4, "Good",IF(Table1[[#This Row],[Customer Ratings]]=3, "Average","Poor"))</f>
        <v>Poor</v>
      </c>
      <c r="S3253" s="3" t="s">
        <v>22</v>
      </c>
    </row>
    <row r="3254" spans="1:19" x14ac:dyDescent="0.25">
      <c r="A3254" s="3">
        <v>3253</v>
      </c>
      <c r="B3254" s="5">
        <f>DATE(Table1[[#This Row],[Year]],Table1[[#This Row],[Month]],Table1[[#This Row],[Day]])</f>
        <v>45405</v>
      </c>
      <c r="C3254" s="3">
        <v>23</v>
      </c>
      <c r="D3254" s="3">
        <v>4</v>
      </c>
      <c r="E3254" s="3">
        <v>2024</v>
      </c>
      <c r="F3254" s="3" t="str">
        <f>"Qtr"&amp; " " &amp;CHOOSE(MONTH(Table1[[#This Row],[Date]]),1,1,1,2,2,2,3,3,3,4,4,4)</f>
        <v>Qtr 2</v>
      </c>
      <c r="G3254" s="3" t="str">
        <f>TEXT(Table1[[#This Row],[Date]],"mmmm")</f>
        <v>April</v>
      </c>
      <c r="H3254" s="3" t="s">
        <v>1082</v>
      </c>
      <c r="I3254" s="3" t="s">
        <v>28</v>
      </c>
      <c r="J3254" s="3">
        <v>9</v>
      </c>
      <c r="K3254" s="3">
        <v>69821.31</v>
      </c>
      <c r="L3254" s="3">
        <f>Table1[[#This Row],[Price Per Unit]]*Table1[[#This Row],[Units Sold]]</f>
        <v>628391.79</v>
      </c>
      <c r="M3254" s="3" t="s">
        <v>689</v>
      </c>
      <c r="N3254" s="3">
        <v>39</v>
      </c>
      <c r="O3254" s="3" t="s">
        <v>30</v>
      </c>
      <c r="P3254" s="3" t="s">
        <v>45</v>
      </c>
      <c r="Q3254" s="4">
        <v>3</v>
      </c>
      <c r="R3254" s="4" t="str">
        <f>IF(Table1[[#This Row],[Customer Ratings]]&gt;=4, "Good",IF(Table1[[#This Row],[Customer Ratings]]=3, "Average","Poor"))</f>
        <v>Average</v>
      </c>
      <c r="S3254" s="3" t="s">
        <v>38</v>
      </c>
    </row>
    <row r="3255" spans="1:19" x14ac:dyDescent="0.25">
      <c r="A3255" s="3">
        <v>3254</v>
      </c>
      <c r="B3255" s="5">
        <f>DATE(Table1[[#This Row],[Year]],Table1[[#This Row],[Month]],Table1[[#This Row],[Day]])</f>
        <v>45405</v>
      </c>
      <c r="C3255" s="3">
        <v>23</v>
      </c>
      <c r="D3255" s="3">
        <v>4</v>
      </c>
      <c r="E3255" s="3">
        <v>2024</v>
      </c>
      <c r="F3255" s="3" t="str">
        <f>"Qtr"&amp; " " &amp;CHOOSE(MONTH(Table1[[#This Row],[Date]]),1,1,1,2,2,2,3,3,3,4,4,4)</f>
        <v>Qtr 2</v>
      </c>
      <c r="G3255" s="3" t="str">
        <f>TEXT(Table1[[#This Row],[Date]],"mmmm")</f>
        <v>April</v>
      </c>
      <c r="H3255" s="3" t="s">
        <v>1082</v>
      </c>
      <c r="I3255" s="3" t="s">
        <v>33</v>
      </c>
      <c r="J3255" s="3">
        <v>3</v>
      </c>
      <c r="K3255" s="3">
        <v>37351.99</v>
      </c>
      <c r="L3255" s="3">
        <f>Table1[[#This Row],[Price Per Unit]]*Table1[[#This Row],[Units Sold]]</f>
        <v>112055.97</v>
      </c>
      <c r="M3255" s="3" t="s">
        <v>135</v>
      </c>
      <c r="N3255" s="3">
        <v>32</v>
      </c>
      <c r="O3255" s="3" t="s">
        <v>81</v>
      </c>
      <c r="P3255" s="3" t="s">
        <v>45</v>
      </c>
      <c r="Q3255" s="4">
        <v>3</v>
      </c>
      <c r="R3255" s="4" t="str">
        <f>IF(Table1[[#This Row],[Customer Ratings]]&gt;=4, "Good",IF(Table1[[#This Row],[Customer Ratings]]=3, "Average","Poor"))</f>
        <v>Average</v>
      </c>
      <c r="S3255" s="3" t="s">
        <v>83</v>
      </c>
    </row>
    <row r="3256" spans="1:19" x14ac:dyDescent="0.25">
      <c r="A3256" s="3">
        <v>3255</v>
      </c>
      <c r="B3256" s="5">
        <f>DATE(Table1[[#This Row],[Year]],Table1[[#This Row],[Month]],Table1[[#This Row],[Day]])</f>
        <v>45406</v>
      </c>
      <c r="C3256" s="3">
        <v>24</v>
      </c>
      <c r="D3256" s="3">
        <v>4</v>
      </c>
      <c r="E3256" s="3">
        <v>2024</v>
      </c>
      <c r="F3256" s="3" t="str">
        <f>"Qtr"&amp; " " &amp;CHOOSE(MONTH(Table1[[#This Row],[Date]]),1,1,1,2,2,2,3,3,3,4,4,4)</f>
        <v>Qtr 2</v>
      </c>
      <c r="G3256" s="3" t="str">
        <f>TEXT(Table1[[#This Row],[Date]],"mmmm")</f>
        <v>April</v>
      </c>
      <c r="H3256" s="3" t="s">
        <v>1083</v>
      </c>
      <c r="I3256" s="3" t="s">
        <v>18</v>
      </c>
      <c r="J3256" s="3">
        <v>4</v>
      </c>
      <c r="K3256" s="3">
        <v>54929.65</v>
      </c>
      <c r="L3256" s="3">
        <f>Table1[[#This Row],[Price Per Unit]]*Table1[[#This Row],[Units Sold]]</f>
        <v>219718.6</v>
      </c>
      <c r="M3256" s="3" t="s">
        <v>237</v>
      </c>
      <c r="N3256" s="3">
        <v>28</v>
      </c>
      <c r="O3256" s="3" t="s">
        <v>58</v>
      </c>
      <c r="P3256" s="3" t="s">
        <v>21</v>
      </c>
      <c r="Q3256" s="4">
        <v>4</v>
      </c>
      <c r="R3256" s="4" t="str">
        <f>IF(Table1[[#This Row],[Customer Ratings]]&gt;=4, "Good",IF(Table1[[#This Row],[Customer Ratings]]=3, "Average","Poor"))</f>
        <v>Good</v>
      </c>
      <c r="S3256" s="3" t="s">
        <v>25</v>
      </c>
    </row>
    <row r="3257" spans="1:19" x14ac:dyDescent="0.25">
      <c r="A3257" s="3">
        <v>3256</v>
      </c>
      <c r="B3257" s="5">
        <f>DATE(Table1[[#This Row],[Year]],Table1[[#This Row],[Month]],Table1[[#This Row],[Day]])</f>
        <v>45406</v>
      </c>
      <c r="C3257" s="3">
        <v>24</v>
      </c>
      <c r="D3257" s="3">
        <v>4</v>
      </c>
      <c r="E3257" s="3">
        <v>2024</v>
      </c>
      <c r="F3257" s="3" t="str">
        <f>"Qtr"&amp; " " &amp;CHOOSE(MONTH(Table1[[#This Row],[Date]]),1,1,1,2,2,2,3,3,3,4,4,4)</f>
        <v>Qtr 2</v>
      </c>
      <c r="G3257" s="3" t="str">
        <f>TEXT(Table1[[#This Row],[Date]],"mmmm")</f>
        <v>April</v>
      </c>
      <c r="H3257" s="3" t="s">
        <v>1083</v>
      </c>
      <c r="I3257" s="3" t="s">
        <v>33</v>
      </c>
      <c r="J3257" s="3">
        <v>4</v>
      </c>
      <c r="K3257" s="3">
        <v>50032.800000000003</v>
      </c>
      <c r="L3257" s="3">
        <f>Table1[[#This Row],[Price Per Unit]]*Table1[[#This Row],[Units Sold]]</f>
        <v>200131.20000000001</v>
      </c>
      <c r="M3257" s="3" t="s">
        <v>255</v>
      </c>
      <c r="N3257" s="3">
        <v>51</v>
      </c>
      <c r="O3257" s="3" t="s">
        <v>24</v>
      </c>
      <c r="P3257" s="3" t="s">
        <v>16</v>
      </c>
      <c r="Q3257" s="4">
        <v>1</v>
      </c>
      <c r="R3257" s="4" t="str">
        <f>IF(Table1[[#This Row],[Customer Ratings]]&gt;=4, "Good",IF(Table1[[#This Row],[Customer Ratings]]=3, "Average","Poor"))</f>
        <v>Poor</v>
      </c>
      <c r="S3257" s="3" t="s">
        <v>46</v>
      </c>
    </row>
    <row r="3258" spans="1:19" x14ac:dyDescent="0.25">
      <c r="A3258" s="3">
        <v>3257</v>
      </c>
      <c r="B3258" s="5">
        <f>DATE(Table1[[#This Row],[Year]],Table1[[#This Row],[Month]],Table1[[#This Row],[Day]])</f>
        <v>45406</v>
      </c>
      <c r="C3258" s="3">
        <v>24</v>
      </c>
      <c r="D3258" s="3">
        <v>4</v>
      </c>
      <c r="E3258" s="3">
        <v>2024</v>
      </c>
      <c r="F3258" s="3" t="str">
        <f>"Qtr"&amp; " " &amp;CHOOSE(MONTH(Table1[[#This Row],[Date]]),1,1,1,2,2,2,3,3,3,4,4,4)</f>
        <v>Qtr 2</v>
      </c>
      <c r="G3258" s="3" t="str">
        <f>TEXT(Table1[[#This Row],[Date]],"mmmm")</f>
        <v>April</v>
      </c>
      <c r="H3258" s="3" t="s">
        <v>1083</v>
      </c>
      <c r="I3258" s="3" t="s">
        <v>33</v>
      </c>
      <c r="J3258" s="3">
        <v>9</v>
      </c>
      <c r="K3258" s="3">
        <v>69485.899999999994</v>
      </c>
      <c r="L3258" s="3">
        <f>Table1[[#This Row],[Price Per Unit]]*Table1[[#This Row],[Units Sold]]</f>
        <v>625373.1</v>
      </c>
      <c r="M3258" s="3" t="s">
        <v>529</v>
      </c>
      <c r="N3258" s="3">
        <v>41</v>
      </c>
      <c r="O3258" s="3" t="s">
        <v>20</v>
      </c>
      <c r="P3258" s="3" t="s">
        <v>21</v>
      </c>
      <c r="Q3258" s="4">
        <v>4</v>
      </c>
      <c r="R3258" s="4" t="str">
        <f>IF(Table1[[#This Row],[Customer Ratings]]&gt;=4, "Good",IF(Table1[[#This Row],[Customer Ratings]]=3, "Average","Poor"))</f>
        <v>Good</v>
      </c>
      <c r="S3258" s="3" t="s">
        <v>46</v>
      </c>
    </row>
    <row r="3259" spans="1:19" x14ac:dyDescent="0.25">
      <c r="A3259" s="3">
        <v>3258</v>
      </c>
      <c r="B3259" s="5">
        <f>DATE(Table1[[#This Row],[Year]],Table1[[#This Row],[Month]],Table1[[#This Row],[Day]])</f>
        <v>45406</v>
      </c>
      <c r="C3259" s="3">
        <v>24</v>
      </c>
      <c r="D3259" s="3">
        <v>4</v>
      </c>
      <c r="E3259" s="3">
        <v>2024</v>
      </c>
      <c r="F3259" s="3" t="str">
        <f>"Qtr"&amp; " " &amp;CHOOSE(MONTH(Table1[[#This Row],[Date]]),1,1,1,2,2,2,3,3,3,4,4,4)</f>
        <v>Qtr 2</v>
      </c>
      <c r="G3259" s="3" t="str">
        <f>TEXT(Table1[[#This Row],[Date]],"mmmm")</f>
        <v>April</v>
      </c>
      <c r="H3259" s="3" t="s">
        <v>1083</v>
      </c>
      <c r="I3259" s="3" t="s">
        <v>13</v>
      </c>
      <c r="J3259" s="3">
        <v>7</v>
      </c>
      <c r="K3259" s="3">
        <v>52793.14</v>
      </c>
      <c r="L3259" s="3">
        <f>Table1[[#This Row],[Price Per Unit]]*Table1[[#This Row],[Units Sold]]</f>
        <v>369551.98</v>
      </c>
      <c r="M3259" s="3" t="s">
        <v>925</v>
      </c>
      <c r="N3259" s="3">
        <v>23</v>
      </c>
      <c r="O3259" s="3" t="s">
        <v>137</v>
      </c>
      <c r="P3259" s="3" t="s">
        <v>21</v>
      </c>
      <c r="Q3259" s="4">
        <v>5</v>
      </c>
      <c r="R3259" s="4" t="str">
        <f>IF(Table1[[#This Row],[Customer Ratings]]&gt;=4, "Good",IF(Table1[[#This Row],[Customer Ratings]]=3, "Average","Poor"))</f>
        <v>Good</v>
      </c>
      <c r="S3259" s="3" t="s">
        <v>72</v>
      </c>
    </row>
    <row r="3260" spans="1:19" x14ac:dyDescent="0.25">
      <c r="A3260" s="3">
        <v>3259</v>
      </c>
      <c r="B3260" s="5">
        <f>DATE(Table1[[#This Row],[Year]],Table1[[#This Row],[Month]],Table1[[#This Row],[Day]])</f>
        <v>45407</v>
      </c>
      <c r="C3260" s="3">
        <v>25</v>
      </c>
      <c r="D3260" s="3">
        <v>4</v>
      </c>
      <c r="E3260" s="3">
        <v>2024</v>
      </c>
      <c r="F3260" s="3" t="str">
        <f>"Qtr"&amp; " " &amp;CHOOSE(MONTH(Table1[[#This Row],[Date]]),1,1,1,2,2,2,3,3,3,4,4,4)</f>
        <v>Qtr 2</v>
      </c>
      <c r="G3260" s="3" t="str">
        <f>TEXT(Table1[[#This Row],[Date]],"mmmm")</f>
        <v>April</v>
      </c>
      <c r="H3260" s="3" t="s">
        <v>1084</v>
      </c>
      <c r="I3260" s="3" t="s">
        <v>13</v>
      </c>
      <c r="J3260" s="3">
        <v>3</v>
      </c>
      <c r="K3260" s="3">
        <v>19841.84</v>
      </c>
      <c r="L3260" s="3">
        <f>Table1[[#This Row],[Price Per Unit]]*Table1[[#This Row],[Units Sold]]</f>
        <v>59525.520000000004</v>
      </c>
      <c r="M3260" s="3" t="s">
        <v>763</v>
      </c>
      <c r="N3260" s="3">
        <v>34</v>
      </c>
      <c r="O3260" s="3" t="s">
        <v>20</v>
      </c>
      <c r="P3260" s="3" t="s">
        <v>16</v>
      </c>
      <c r="Q3260" s="4">
        <v>5</v>
      </c>
      <c r="R3260" s="4" t="str">
        <f>IF(Table1[[#This Row],[Customer Ratings]]&gt;=4, "Good",IF(Table1[[#This Row],[Customer Ratings]]=3, "Average","Poor"))</f>
        <v>Good</v>
      </c>
      <c r="S3260" s="3" t="s">
        <v>17</v>
      </c>
    </row>
    <row r="3261" spans="1:19" x14ac:dyDescent="0.25">
      <c r="A3261" s="3">
        <v>3260</v>
      </c>
      <c r="B3261" s="5">
        <f>DATE(Table1[[#This Row],[Year]],Table1[[#This Row],[Month]],Table1[[#This Row],[Day]])</f>
        <v>45407</v>
      </c>
      <c r="C3261" s="3">
        <v>25</v>
      </c>
      <c r="D3261" s="3">
        <v>4</v>
      </c>
      <c r="E3261" s="3">
        <v>2024</v>
      </c>
      <c r="F3261" s="3" t="str">
        <f>"Qtr"&amp; " " &amp;CHOOSE(MONTH(Table1[[#This Row],[Date]]),1,1,1,2,2,2,3,3,3,4,4,4)</f>
        <v>Qtr 2</v>
      </c>
      <c r="G3261" s="3" t="str">
        <f>TEXT(Table1[[#This Row],[Date]],"mmmm")</f>
        <v>April</v>
      </c>
      <c r="H3261" s="3" t="s">
        <v>1084</v>
      </c>
      <c r="I3261" s="3" t="s">
        <v>28</v>
      </c>
      <c r="J3261" s="3">
        <v>5</v>
      </c>
      <c r="K3261" s="3">
        <v>67331.06</v>
      </c>
      <c r="L3261" s="3">
        <f>Table1[[#This Row],[Price Per Unit]]*Table1[[#This Row],[Units Sold]]</f>
        <v>336655.3</v>
      </c>
      <c r="M3261" s="3" t="s">
        <v>53</v>
      </c>
      <c r="N3261" s="3">
        <v>45</v>
      </c>
      <c r="O3261" s="3" t="s">
        <v>78</v>
      </c>
      <c r="P3261" s="3" t="s">
        <v>21</v>
      </c>
      <c r="Q3261" s="4">
        <v>4</v>
      </c>
      <c r="R3261" s="4" t="str">
        <f>IF(Table1[[#This Row],[Customer Ratings]]&gt;=4, "Good",IF(Table1[[#This Row],[Customer Ratings]]=3, "Average","Poor"))</f>
        <v>Good</v>
      </c>
      <c r="S3261" s="3" t="s">
        <v>87</v>
      </c>
    </row>
    <row r="3262" spans="1:19" x14ac:dyDescent="0.25">
      <c r="A3262" s="3">
        <v>3261</v>
      </c>
      <c r="B3262" s="5">
        <f>DATE(Table1[[#This Row],[Year]],Table1[[#This Row],[Month]],Table1[[#This Row],[Day]])</f>
        <v>45407</v>
      </c>
      <c r="C3262" s="3">
        <v>25</v>
      </c>
      <c r="D3262" s="3">
        <v>4</v>
      </c>
      <c r="E3262" s="3">
        <v>2024</v>
      </c>
      <c r="F3262" s="3" t="str">
        <f>"Qtr"&amp; " " &amp;CHOOSE(MONTH(Table1[[#This Row],[Date]]),1,1,1,2,2,2,3,3,3,4,4,4)</f>
        <v>Qtr 2</v>
      </c>
      <c r="G3262" s="3" t="str">
        <f>TEXT(Table1[[#This Row],[Date]],"mmmm")</f>
        <v>April</v>
      </c>
      <c r="H3262" s="3" t="s">
        <v>1084</v>
      </c>
      <c r="I3262" s="3" t="s">
        <v>39</v>
      </c>
      <c r="J3262" s="3">
        <v>7</v>
      </c>
      <c r="K3262" s="3">
        <v>50066.63</v>
      </c>
      <c r="L3262" s="3">
        <f>Table1[[#This Row],[Price Per Unit]]*Table1[[#This Row],[Units Sold]]</f>
        <v>350466.41</v>
      </c>
      <c r="M3262" s="3" t="s">
        <v>726</v>
      </c>
      <c r="N3262" s="3">
        <v>48</v>
      </c>
      <c r="O3262" s="3" t="s">
        <v>24</v>
      </c>
      <c r="P3262" s="3" t="s">
        <v>31</v>
      </c>
      <c r="Q3262" s="4">
        <v>5</v>
      </c>
      <c r="R3262" s="4" t="str">
        <f>IF(Table1[[#This Row],[Customer Ratings]]&gt;=4, "Good",IF(Table1[[#This Row],[Customer Ratings]]=3, "Average","Poor"))</f>
        <v>Good</v>
      </c>
      <c r="S3262" s="3" t="s">
        <v>76</v>
      </c>
    </row>
    <row r="3263" spans="1:19" x14ac:dyDescent="0.25">
      <c r="A3263" s="3">
        <v>3262</v>
      </c>
      <c r="B3263" s="5">
        <f>DATE(Table1[[#This Row],[Year]],Table1[[#This Row],[Month]],Table1[[#This Row],[Day]])</f>
        <v>45408</v>
      </c>
      <c r="C3263" s="3">
        <v>26</v>
      </c>
      <c r="D3263" s="3">
        <v>4</v>
      </c>
      <c r="E3263" s="3">
        <v>2024</v>
      </c>
      <c r="F3263" s="3" t="str">
        <f>"Qtr"&amp; " " &amp;CHOOSE(MONTH(Table1[[#This Row],[Date]]),1,1,1,2,2,2,3,3,3,4,4,4)</f>
        <v>Qtr 2</v>
      </c>
      <c r="G3263" s="3" t="str">
        <f>TEXT(Table1[[#This Row],[Date]],"mmmm")</f>
        <v>April</v>
      </c>
      <c r="H3263" s="3" t="s">
        <v>1085</v>
      </c>
      <c r="I3263" s="3" t="s">
        <v>33</v>
      </c>
      <c r="J3263" s="3">
        <v>8</v>
      </c>
      <c r="K3263" s="3">
        <v>13560.29</v>
      </c>
      <c r="L3263" s="3">
        <f>Table1[[#This Row],[Price Per Unit]]*Table1[[#This Row],[Units Sold]]</f>
        <v>108482.32</v>
      </c>
      <c r="M3263" s="3" t="s">
        <v>368</v>
      </c>
      <c r="N3263" s="3">
        <v>53</v>
      </c>
      <c r="O3263" s="3" t="s">
        <v>105</v>
      </c>
      <c r="P3263" s="3" t="s">
        <v>21</v>
      </c>
      <c r="Q3263" s="4">
        <v>4</v>
      </c>
      <c r="R3263" s="4" t="str">
        <f>IF(Table1[[#This Row],[Customer Ratings]]&gt;=4, "Good",IF(Table1[[#This Row],[Customer Ratings]]=3, "Average","Poor"))</f>
        <v>Good</v>
      </c>
      <c r="S3263" s="3" t="s">
        <v>36</v>
      </c>
    </row>
    <row r="3264" spans="1:19" x14ac:dyDescent="0.25">
      <c r="A3264" s="3">
        <v>3263</v>
      </c>
      <c r="B3264" s="5">
        <f>DATE(Table1[[#This Row],[Year]],Table1[[#This Row],[Month]],Table1[[#This Row],[Day]])</f>
        <v>45408</v>
      </c>
      <c r="C3264" s="3">
        <v>26</v>
      </c>
      <c r="D3264" s="3">
        <v>4</v>
      </c>
      <c r="E3264" s="3">
        <v>2024</v>
      </c>
      <c r="F3264" s="3" t="str">
        <f>"Qtr"&amp; " " &amp;CHOOSE(MONTH(Table1[[#This Row],[Date]]),1,1,1,2,2,2,3,3,3,4,4,4)</f>
        <v>Qtr 2</v>
      </c>
      <c r="G3264" s="3" t="str">
        <f>TEXT(Table1[[#This Row],[Date]],"mmmm")</f>
        <v>April</v>
      </c>
      <c r="H3264" s="3" t="s">
        <v>1085</v>
      </c>
      <c r="I3264" s="3" t="s">
        <v>39</v>
      </c>
      <c r="J3264" s="3">
        <v>1</v>
      </c>
      <c r="K3264" s="3">
        <v>49454.1</v>
      </c>
      <c r="L3264" s="3">
        <f>Table1[[#This Row],[Price Per Unit]]*Table1[[#This Row],[Units Sold]]</f>
        <v>49454.1</v>
      </c>
      <c r="M3264" s="3" t="s">
        <v>431</v>
      </c>
      <c r="N3264" s="3">
        <v>26</v>
      </c>
      <c r="O3264" s="3" t="s">
        <v>30</v>
      </c>
      <c r="P3264" s="3" t="s">
        <v>45</v>
      </c>
      <c r="Q3264" s="4">
        <v>2</v>
      </c>
      <c r="R3264" s="4" t="str">
        <f>IF(Table1[[#This Row],[Customer Ratings]]&gt;=4, "Good",IF(Table1[[#This Row],[Customer Ratings]]=3, "Average","Poor"))</f>
        <v>Poor</v>
      </c>
      <c r="S3264" s="3" t="s">
        <v>42</v>
      </c>
    </row>
    <row r="3265" spans="1:19" x14ac:dyDescent="0.25">
      <c r="A3265" s="3">
        <v>3264</v>
      </c>
      <c r="B3265" s="5">
        <f>DATE(Table1[[#This Row],[Year]],Table1[[#This Row],[Month]],Table1[[#This Row],[Day]])</f>
        <v>45408</v>
      </c>
      <c r="C3265" s="3">
        <v>26</v>
      </c>
      <c r="D3265" s="3">
        <v>4</v>
      </c>
      <c r="E3265" s="3">
        <v>2024</v>
      </c>
      <c r="F3265" s="3" t="str">
        <f>"Qtr"&amp; " " &amp;CHOOSE(MONTH(Table1[[#This Row],[Date]]),1,1,1,2,2,2,3,3,3,4,4,4)</f>
        <v>Qtr 2</v>
      </c>
      <c r="G3265" s="3" t="str">
        <f>TEXT(Table1[[#This Row],[Date]],"mmmm")</f>
        <v>April</v>
      </c>
      <c r="H3265" s="3" t="s">
        <v>1085</v>
      </c>
      <c r="I3265" s="3" t="s">
        <v>28</v>
      </c>
      <c r="J3265" s="3">
        <v>2</v>
      </c>
      <c r="K3265" s="3">
        <v>62987.16</v>
      </c>
      <c r="L3265" s="3">
        <f>Table1[[#This Row],[Price Per Unit]]*Table1[[#This Row],[Units Sold]]</f>
        <v>125974.32</v>
      </c>
      <c r="M3265" s="3" t="s">
        <v>75</v>
      </c>
      <c r="N3265" s="3">
        <v>27</v>
      </c>
      <c r="O3265" s="3" t="s">
        <v>24</v>
      </c>
      <c r="P3265" s="3" t="s">
        <v>16</v>
      </c>
      <c r="Q3265" s="4">
        <v>3</v>
      </c>
      <c r="R3265" s="4" t="str">
        <f>IF(Table1[[#This Row],[Customer Ratings]]&gt;=4, "Good",IF(Table1[[#This Row],[Customer Ratings]]=3, "Average","Poor"))</f>
        <v>Average</v>
      </c>
      <c r="S3265" s="3" t="s">
        <v>32</v>
      </c>
    </row>
    <row r="3266" spans="1:19" x14ac:dyDescent="0.25">
      <c r="A3266" s="3">
        <v>3265</v>
      </c>
      <c r="B3266" s="5">
        <f>DATE(Table1[[#This Row],[Year]],Table1[[#This Row],[Month]],Table1[[#This Row],[Day]])</f>
        <v>45409</v>
      </c>
      <c r="C3266" s="3">
        <v>27</v>
      </c>
      <c r="D3266" s="3">
        <v>4</v>
      </c>
      <c r="E3266" s="3">
        <v>2024</v>
      </c>
      <c r="F3266" s="3" t="str">
        <f>"Qtr"&amp; " " &amp;CHOOSE(MONTH(Table1[[#This Row],[Date]]),1,1,1,2,2,2,3,3,3,4,4,4)</f>
        <v>Qtr 2</v>
      </c>
      <c r="G3266" s="3" t="str">
        <f>TEXT(Table1[[#This Row],[Date]],"mmmm")</f>
        <v>April</v>
      </c>
      <c r="H3266" s="3" t="s">
        <v>1079</v>
      </c>
      <c r="I3266" s="3" t="s">
        <v>33</v>
      </c>
      <c r="J3266" s="3">
        <v>7</v>
      </c>
      <c r="K3266" s="3">
        <v>44622.51</v>
      </c>
      <c r="L3266" s="3">
        <f>Table1[[#This Row],[Price Per Unit]]*Table1[[#This Row],[Units Sold]]</f>
        <v>312357.57</v>
      </c>
      <c r="M3266" s="3" t="s">
        <v>484</v>
      </c>
      <c r="N3266" s="3">
        <v>38</v>
      </c>
      <c r="O3266" s="3" t="s">
        <v>125</v>
      </c>
      <c r="P3266" s="3" t="s">
        <v>45</v>
      </c>
      <c r="Q3266" s="4">
        <v>2</v>
      </c>
      <c r="R3266" s="4" t="str">
        <f>IF(Table1[[#This Row],[Customer Ratings]]&gt;=4, "Good",IF(Table1[[#This Row],[Customer Ratings]]=3, "Average","Poor"))</f>
        <v>Poor</v>
      </c>
      <c r="S3266" s="3" t="s">
        <v>46</v>
      </c>
    </row>
    <row r="3267" spans="1:19" x14ac:dyDescent="0.25">
      <c r="A3267" s="3">
        <v>3266</v>
      </c>
      <c r="B3267" s="5">
        <f>DATE(Table1[[#This Row],[Year]],Table1[[#This Row],[Month]],Table1[[#This Row],[Day]])</f>
        <v>45409</v>
      </c>
      <c r="C3267" s="3">
        <v>27</v>
      </c>
      <c r="D3267" s="3">
        <v>4</v>
      </c>
      <c r="E3267" s="3">
        <v>2024</v>
      </c>
      <c r="F3267" s="3" t="str">
        <f>"Qtr"&amp; " " &amp;CHOOSE(MONTH(Table1[[#This Row],[Date]]),1,1,1,2,2,2,3,3,3,4,4,4)</f>
        <v>Qtr 2</v>
      </c>
      <c r="G3267" s="3" t="str">
        <f>TEXT(Table1[[#This Row],[Date]],"mmmm")</f>
        <v>April</v>
      </c>
      <c r="H3267" s="3" t="s">
        <v>1079</v>
      </c>
      <c r="I3267" s="3" t="s">
        <v>33</v>
      </c>
      <c r="J3267" s="3">
        <v>2</v>
      </c>
      <c r="K3267" s="3">
        <v>31241.18</v>
      </c>
      <c r="L3267" s="3">
        <f>Table1[[#This Row],[Price Per Unit]]*Table1[[#This Row],[Units Sold]]</f>
        <v>62482.36</v>
      </c>
      <c r="M3267" s="3" t="s">
        <v>419</v>
      </c>
      <c r="N3267" s="3">
        <v>51</v>
      </c>
      <c r="O3267" s="3" t="s">
        <v>48</v>
      </c>
      <c r="P3267" s="3" t="s">
        <v>31</v>
      </c>
      <c r="Q3267" s="4">
        <v>1</v>
      </c>
      <c r="R3267" s="4" t="str">
        <f>IF(Table1[[#This Row],[Customer Ratings]]&gt;=4, "Good",IF(Table1[[#This Row],[Customer Ratings]]=3, "Average","Poor"))</f>
        <v>Poor</v>
      </c>
      <c r="S3267" s="3" t="s">
        <v>36</v>
      </c>
    </row>
    <row r="3268" spans="1:19" x14ac:dyDescent="0.25">
      <c r="A3268" s="3">
        <v>3267</v>
      </c>
      <c r="B3268" s="5">
        <f>DATE(Table1[[#This Row],[Year]],Table1[[#This Row],[Month]],Table1[[#This Row],[Day]])</f>
        <v>45409</v>
      </c>
      <c r="C3268" s="3">
        <v>27</v>
      </c>
      <c r="D3268" s="3">
        <v>4</v>
      </c>
      <c r="E3268" s="3">
        <v>2024</v>
      </c>
      <c r="F3268" s="3" t="str">
        <f>"Qtr"&amp; " " &amp;CHOOSE(MONTH(Table1[[#This Row],[Date]]),1,1,1,2,2,2,3,3,3,4,4,4)</f>
        <v>Qtr 2</v>
      </c>
      <c r="G3268" s="3" t="str">
        <f>TEXT(Table1[[#This Row],[Date]],"mmmm")</f>
        <v>April</v>
      </c>
      <c r="H3268" s="3" t="s">
        <v>1079</v>
      </c>
      <c r="I3268" s="3" t="s">
        <v>39</v>
      </c>
      <c r="J3268" s="3">
        <v>7</v>
      </c>
      <c r="K3268" s="3">
        <v>59254.58</v>
      </c>
      <c r="L3268" s="3">
        <f>Table1[[#This Row],[Price Per Unit]]*Table1[[#This Row],[Units Sold]]</f>
        <v>414782.06</v>
      </c>
      <c r="M3268" s="3" t="s">
        <v>727</v>
      </c>
      <c r="N3268" s="3">
        <v>48</v>
      </c>
      <c r="O3268" s="3" t="s">
        <v>20</v>
      </c>
      <c r="P3268" s="3" t="s">
        <v>31</v>
      </c>
      <c r="Q3268" s="4">
        <v>2</v>
      </c>
      <c r="R3268" s="4" t="str">
        <f>IF(Table1[[#This Row],[Customer Ratings]]&gt;=4, "Good",IF(Table1[[#This Row],[Customer Ratings]]=3, "Average","Poor"))</f>
        <v>Poor</v>
      </c>
      <c r="S3268" s="3" t="s">
        <v>76</v>
      </c>
    </row>
    <row r="3269" spans="1:19" x14ac:dyDescent="0.25">
      <c r="A3269" s="3">
        <v>3268</v>
      </c>
      <c r="B3269" s="5">
        <f>DATE(Table1[[#This Row],[Year]],Table1[[#This Row],[Month]],Table1[[#This Row],[Day]])</f>
        <v>45409</v>
      </c>
      <c r="C3269" s="3">
        <v>27</v>
      </c>
      <c r="D3269" s="3">
        <v>4</v>
      </c>
      <c r="E3269" s="3">
        <v>2024</v>
      </c>
      <c r="F3269" s="3" t="str">
        <f>"Qtr"&amp; " " &amp;CHOOSE(MONTH(Table1[[#This Row],[Date]]),1,1,1,2,2,2,3,3,3,4,4,4)</f>
        <v>Qtr 2</v>
      </c>
      <c r="G3269" s="3" t="str">
        <f>TEXT(Table1[[#This Row],[Date]],"mmmm")</f>
        <v>April</v>
      </c>
      <c r="H3269" s="3" t="s">
        <v>1079</v>
      </c>
      <c r="I3269" s="3" t="s">
        <v>18</v>
      </c>
      <c r="J3269" s="3">
        <v>9</v>
      </c>
      <c r="K3269" s="3">
        <v>56950.720000000001</v>
      </c>
      <c r="L3269" s="3">
        <f>Table1[[#This Row],[Price Per Unit]]*Table1[[#This Row],[Units Sold]]</f>
        <v>512556.48</v>
      </c>
      <c r="M3269" s="3" t="s">
        <v>812</v>
      </c>
      <c r="N3269" s="3">
        <v>46</v>
      </c>
      <c r="O3269" s="3" t="s">
        <v>137</v>
      </c>
      <c r="P3269" s="3" t="s">
        <v>21</v>
      </c>
      <c r="Q3269" s="4">
        <v>2</v>
      </c>
      <c r="R3269" s="4" t="str">
        <f>IF(Table1[[#This Row],[Customer Ratings]]&gt;=4, "Good",IF(Table1[[#This Row],[Customer Ratings]]=3, "Average","Poor"))</f>
        <v>Poor</v>
      </c>
      <c r="S3269" s="3" t="s">
        <v>55</v>
      </c>
    </row>
    <row r="3270" spans="1:19" x14ac:dyDescent="0.25">
      <c r="A3270" s="3">
        <v>3269</v>
      </c>
      <c r="B3270" s="5">
        <f>DATE(Table1[[#This Row],[Year]],Table1[[#This Row],[Month]],Table1[[#This Row],[Day]])</f>
        <v>45410</v>
      </c>
      <c r="C3270" s="3">
        <v>28</v>
      </c>
      <c r="D3270" s="3">
        <v>4</v>
      </c>
      <c r="E3270" s="3">
        <v>2024</v>
      </c>
      <c r="F3270" s="3" t="str">
        <f>"Qtr"&amp; " " &amp;CHOOSE(MONTH(Table1[[#This Row],[Date]]),1,1,1,2,2,2,3,3,3,4,4,4)</f>
        <v>Qtr 2</v>
      </c>
      <c r="G3270" s="3" t="str">
        <f>TEXT(Table1[[#This Row],[Date]],"mmmm")</f>
        <v>April</v>
      </c>
      <c r="H3270" s="3" t="s">
        <v>1080</v>
      </c>
      <c r="I3270" s="3" t="s">
        <v>13</v>
      </c>
      <c r="J3270" s="3">
        <v>2</v>
      </c>
      <c r="K3270" s="3">
        <v>42650.93</v>
      </c>
      <c r="L3270" s="3">
        <f>Table1[[#This Row],[Price Per Unit]]*Table1[[#This Row],[Units Sold]]</f>
        <v>85301.86</v>
      </c>
      <c r="M3270" s="3" t="s">
        <v>768</v>
      </c>
      <c r="N3270" s="3">
        <v>28</v>
      </c>
      <c r="O3270" s="3" t="s">
        <v>105</v>
      </c>
      <c r="P3270" s="3" t="s">
        <v>45</v>
      </c>
      <c r="Q3270" s="4">
        <v>5</v>
      </c>
      <c r="R3270" s="4" t="str">
        <f>IF(Table1[[#This Row],[Customer Ratings]]&gt;=4, "Good",IF(Table1[[#This Row],[Customer Ratings]]=3, "Average","Poor"))</f>
        <v>Good</v>
      </c>
      <c r="S3270" s="3" t="s">
        <v>72</v>
      </c>
    </row>
    <row r="3271" spans="1:19" x14ac:dyDescent="0.25">
      <c r="A3271" s="3">
        <v>3270</v>
      </c>
      <c r="B3271" s="5">
        <f>DATE(Table1[[#This Row],[Year]],Table1[[#This Row],[Month]],Table1[[#This Row],[Day]])</f>
        <v>45410</v>
      </c>
      <c r="C3271" s="3">
        <v>28</v>
      </c>
      <c r="D3271" s="3">
        <v>4</v>
      </c>
      <c r="E3271" s="3">
        <v>2024</v>
      </c>
      <c r="F3271" s="3" t="str">
        <f>"Qtr"&amp; " " &amp;CHOOSE(MONTH(Table1[[#This Row],[Date]]),1,1,1,2,2,2,3,3,3,4,4,4)</f>
        <v>Qtr 2</v>
      </c>
      <c r="G3271" s="3" t="str">
        <f>TEXT(Table1[[#This Row],[Date]],"mmmm")</f>
        <v>April</v>
      </c>
      <c r="H3271" s="3" t="s">
        <v>1080</v>
      </c>
      <c r="I3271" s="3" t="s">
        <v>18</v>
      </c>
      <c r="J3271" s="3">
        <v>7</v>
      </c>
      <c r="K3271" s="3">
        <v>19261.71</v>
      </c>
      <c r="L3271" s="3">
        <f>Table1[[#This Row],[Price Per Unit]]*Table1[[#This Row],[Units Sold]]</f>
        <v>134831.97</v>
      </c>
      <c r="M3271" s="3" t="s">
        <v>653</v>
      </c>
      <c r="N3271" s="3">
        <v>50</v>
      </c>
      <c r="O3271" s="3" t="s">
        <v>20</v>
      </c>
      <c r="P3271" s="3" t="s">
        <v>21</v>
      </c>
      <c r="Q3271" s="4">
        <v>4</v>
      </c>
      <c r="R3271" s="4" t="str">
        <f>IF(Table1[[#This Row],[Customer Ratings]]&gt;=4, "Good",IF(Table1[[#This Row],[Customer Ratings]]=3, "Average","Poor"))</f>
        <v>Good</v>
      </c>
      <c r="S3271" s="3" t="s">
        <v>25</v>
      </c>
    </row>
    <row r="3272" spans="1:19" x14ac:dyDescent="0.25">
      <c r="A3272" s="3">
        <v>3271</v>
      </c>
      <c r="B3272" s="5">
        <f>DATE(Table1[[#This Row],[Year]],Table1[[#This Row],[Month]],Table1[[#This Row],[Day]])</f>
        <v>45410</v>
      </c>
      <c r="C3272" s="3">
        <v>28</v>
      </c>
      <c r="D3272" s="3">
        <v>4</v>
      </c>
      <c r="E3272" s="3">
        <v>2024</v>
      </c>
      <c r="F3272" s="3" t="str">
        <f>"Qtr"&amp; " " &amp;CHOOSE(MONTH(Table1[[#This Row],[Date]]),1,1,1,2,2,2,3,3,3,4,4,4)</f>
        <v>Qtr 2</v>
      </c>
      <c r="G3272" s="3" t="str">
        <f>TEXT(Table1[[#This Row],[Date]],"mmmm")</f>
        <v>April</v>
      </c>
      <c r="H3272" s="3" t="s">
        <v>1080</v>
      </c>
      <c r="I3272" s="3" t="s">
        <v>39</v>
      </c>
      <c r="J3272" s="3">
        <v>4</v>
      </c>
      <c r="K3272" s="3">
        <v>25059.19</v>
      </c>
      <c r="L3272" s="3">
        <f>Table1[[#This Row],[Price Per Unit]]*Table1[[#This Row],[Units Sold]]</f>
        <v>100236.76</v>
      </c>
      <c r="M3272" s="3" t="s">
        <v>856</v>
      </c>
      <c r="N3272" s="3">
        <v>18</v>
      </c>
      <c r="O3272" s="3" t="s">
        <v>98</v>
      </c>
      <c r="P3272" s="3" t="s">
        <v>21</v>
      </c>
      <c r="Q3272" s="4">
        <v>1</v>
      </c>
      <c r="R3272" s="4" t="str">
        <f>IF(Table1[[#This Row],[Customer Ratings]]&gt;=4, "Good",IF(Table1[[#This Row],[Customer Ratings]]=3, "Average","Poor"))</f>
        <v>Poor</v>
      </c>
      <c r="S3272" s="3" t="s">
        <v>90</v>
      </c>
    </row>
    <row r="3273" spans="1:19" x14ac:dyDescent="0.25">
      <c r="A3273" s="3">
        <v>3272</v>
      </c>
      <c r="B3273" s="5">
        <f>DATE(Table1[[#This Row],[Year]],Table1[[#This Row],[Month]],Table1[[#This Row],[Day]])</f>
        <v>45411</v>
      </c>
      <c r="C3273" s="3">
        <v>29</v>
      </c>
      <c r="D3273" s="3">
        <v>4</v>
      </c>
      <c r="E3273" s="3">
        <v>2024</v>
      </c>
      <c r="F3273" s="3" t="str">
        <f>"Qtr"&amp; " " &amp;CHOOSE(MONTH(Table1[[#This Row],[Date]]),1,1,1,2,2,2,3,3,3,4,4,4)</f>
        <v>Qtr 2</v>
      </c>
      <c r="G3273" s="3" t="str">
        <f>TEXT(Table1[[#This Row],[Date]],"mmmm")</f>
        <v>April</v>
      </c>
      <c r="H3273" s="3" t="s">
        <v>1081</v>
      </c>
      <c r="I3273" s="3" t="s">
        <v>13</v>
      </c>
      <c r="J3273" s="3">
        <v>2</v>
      </c>
      <c r="K3273" s="3">
        <v>54309.04</v>
      </c>
      <c r="L3273" s="3">
        <f>Table1[[#This Row],[Price Per Unit]]*Table1[[#This Row],[Units Sold]]</f>
        <v>108618.08</v>
      </c>
      <c r="M3273" s="3" t="s">
        <v>814</v>
      </c>
      <c r="N3273" s="3">
        <v>38</v>
      </c>
      <c r="O3273" s="3" t="s">
        <v>41</v>
      </c>
      <c r="P3273" s="3" t="s">
        <v>45</v>
      </c>
      <c r="Q3273" s="4">
        <v>5</v>
      </c>
      <c r="R3273" s="4" t="str">
        <f>IF(Table1[[#This Row],[Customer Ratings]]&gt;=4, "Good",IF(Table1[[#This Row],[Customer Ratings]]=3, "Average","Poor"))</f>
        <v>Good</v>
      </c>
      <c r="S3273" s="3" t="s">
        <v>17</v>
      </c>
    </row>
    <row r="3274" spans="1:19" x14ac:dyDescent="0.25">
      <c r="A3274" s="3">
        <v>3273</v>
      </c>
      <c r="B3274" s="5">
        <f>DATE(Table1[[#This Row],[Year]],Table1[[#This Row],[Month]],Table1[[#This Row],[Day]])</f>
        <v>45411</v>
      </c>
      <c r="C3274" s="3">
        <v>29</v>
      </c>
      <c r="D3274" s="3">
        <v>4</v>
      </c>
      <c r="E3274" s="3">
        <v>2024</v>
      </c>
      <c r="F3274" s="3" t="str">
        <f>"Qtr"&amp; " " &amp;CHOOSE(MONTH(Table1[[#This Row],[Date]]),1,1,1,2,2,2,3,3,3,4,4,4)</f>
        <v>Qtr 2</v>
      </c>
      <c r="G3274" s="3" t="str">
        <f>TEXT(Table1[[#This Row],[Date]],"mmmm")</f>
        <v>April</v>
      </c>
      <c r="H3274" s="3" t="s">
        <v>1081</v>
      </c>
      <c r="I3274" s="3" t="s">
        <v>18</v>
      </c>
      <c r="J3274" s="3">
        <v>7</v>
      </c>
      <c r="K3274" s="3">
        <v>58364.93</v>
      </c>
      <c r="L3274" s="3">
        <f>Table1[[#This Row],[Price Per Unit]]*Table1[[#This Row],[Units Sold]]</f>
        <v>408554.51</v>
      </c>
      <c r="M3274" s="3" t="s">
        <v>768</v>
      </c>
      <c r="N3274" s="3">
        <v>40</v>
      </c>
      <c r="O3274" s="3" t="s">
        <v>120</v>
      </c>
      <c r="P3274" s="3" t="s">
        <v>31</v>
      </c>
      <c r="Q3274" s="4">
        <v>1</v>
      </c>
      <c r="R3274" s="4" t="str">
        <f>IF(Table1[[#This Row],[Customer Ratings]]&gt;=4, "Good",IF(Table1[[#This Row],[Customer Ratings]]=3, "Average","Poor"))</f>
        <v>Poor</v>
      </c>
      <c r="S3274" s="3" t="s">
        <v>25</v>
      </c>
    </row>
    <row r="3275" spans="1:19" x14ac:dyDescent="0.25">
      <c r="A3275" s="3">
        <v>3274</v>
      </c>
      <c r="B3275" s="5">
        <f>DATE(Table1[[#This Row],[Year]],Table1[[#This Row],[Month]],Table1[[#This Row],[Day]])</f>
        <v>45411</v>
      </c>
      <c r="C3275" s="3">
        <v>29</v>
      </c>
      <c r="D3275" s="3">
        <v>4</v>
      </c>
      <c r="E3275" s="3">
        <v>2024</v>
      </c>
      <c r="F3275" s="3" t="str">
        <f>"Qtr"&amp; " " &amp;CHOOSE(MONTH(Table1[[#This Row],[Date]]),1,1,1,2,2,2,3,3,3,4,4,4)</f>
        <v>Qtr 2</v>
      </c>
      <c r="G3275" s="3" t="str">
        <f>TEXT(Table1[[#This Row],[Date]],"mmmm")</f>
        <v>April</v>
      </c>
      <c r="H3275" s="3" t="s">
        <v>1081</v>
      </c>
      <c r="I3275" s="3" t="s">
        <v>13</v>
      </c>
      <c r="J3275" s="3">
        <v>5</v>
      </c>
      <c r="K3275" s="3">
        <v>26755.919999999998</v>
      </c>
      <c r="L3275" s="3">
        <f>Table1[[#This Row],[Price Per Unit]]*Table1[[#This Row],[Units Sold]]</f>
        <v>133779.59999999998</v>
      </c>
      <c r="M3275" s="3" t="s">
        <v>773</v>
      </c>
      <c r="N3275" s="3">
        <v>26</v>
      </c>
      <c r="O3275" s="3" t="s">
        <v>52</v>
      </c>
      <c r="P3275" s="3" t="s">
        <v>31</v>
      </c>
      <c r="Q3275" s="4">
        <v>3</v>
      </c>
      <c r="R3275" s="4" t="str">
        <f>IF(Table1[[#This Row],[Customer Ratings]]&gt;=4, "Good",IF(Table1[[#This Row],[Customer Ratings]]=3, "Average","Poor"))</f>
        <v>Average</v>
      </c>
      <c r="S3275" s="3" t="s">
        <v>72</v>
      </c>
    </row>
    <row r="3276" spans="1:19" x14ac:dyDescent="0.25">
      <c r="A3276" s="3">
        <v>3275</v>
      </c>
      <c r="B3276" s="5">
        <f>DATE(Table1[[#This Row],[Year]],Table1[[#This Row],[Month]],Table1[[#This Row],[Day]])</f>
        <v>45412</v>
      </c>
      <c r="C3276" s="3">
        <v>30</v>
      </c>
      <c r="D3276" s="3">
        <v>4</v>
      </c>
      <c r="E3276" s="3">
        <v>2024</v>
      </c>
      <c r="F3276" s="3" t="str">
        <f>"Qtr"&amp; " " &amp;CHOOSE(MONTH(Table1[[#This Row],[Date]]),1,1,1,2,2,2,3,3,3,4,4,4)</f>
        <v>Qtr 2</v>
      </c>
      <c r="G3276" s="3" t="str">
        <f>TEXT(Table1[[#This Row],[Date]],"mmmm")</f>
        <v>April</v>
      </c>
      <c r="H3276" s="3" t="s">
        <v>1082</v>
      </c>
      <c r="I3276" s="3" t="s">
        <v>33</v>
      </c>
      <c r="J3276" s="3">
        <v>1</v>
      </c>
      <c r="K3276" s="3">
        <v>32079.1</v>
      </c>
      <c r="L3276" s="3">
        <f>Table1[[#This Row],[Price Per Unit]]*Table1[[#This Row],[Units Sold]]</f>
        <v>32079.1</v>
      </c>
      <c r="M3276" s="3" t="s">
        <v>93</v>
      </c>
      <c r="N3276" s="3">
        <v>18</v>
      </c>
      <c r="O3276" s="3" t="s">
        <v>58</v>
      </c>
      <c r="P3276" s="3" t="s">
        <v>31</v>
      </c>
      <c r="Q3276" s="4">
        <v>4</v>
      </c>
      <c r="R3276" s="4" t="str">
        <f>IF(Table1[[#This Row],[Customer Ratings]]&gt;=4, "Good",IF(Table1[[#This Row],[Customer Ratings]]=3, "Average","Poor"))</f>
        <v>Good</v>
      </c>
      <c r="S3276" s="3" t="s">
        <v>46</v>
      </c>
    </row>
    <row r="3277" spans="1:19" x14ac:dyDescent="0.25">
      <c r="A3277" s="3">
        <v>3276</v>
      </c>
      <c r="B3277" s="5">
        <f>DATE(Table1[[#This Row],[Year]],Table1[[#This Row],[Month]],Table1[[#This Row],[Day]])</f>
        <v>45412</v>
      </c>
      <c r="C3277" s="3">
        <v>30</v>
      </c>
      <c r="D3277" s="3">
        <v>4</v>
      </c>
      <c r="E3277" s="3">
        <v>2024</v>
      </c>
      <c r="F3277" s="3" t="str">
        <f>"Qtr"&amp; " " &amp;CHOOSE(MONTH(Table1[[#This Row],[Date]]),1,1,1,2,2,2,3,3,3,4,4,4)</f>
        <v>Qtr 2</v>
      </c>
      <c r="G3277" s="3" t="str">
        <f>TEXT(Table1[[#This Row],[Date]],"mmmm")</f>
        <v>April</v>
      </c>
      <c r="H3277" s="3" t="s">
        <v>1082</v>
      </c>
      <c r="I3277" s="3" t="s">
        <v>18</v>
      </c>
      <c r="J3277" s="3">
        <v>5</v>
      </c>
      <c r="K3277" s="3">
        <v>14657.91</v>
      </c>
      <c r="L3277" s="3">
        <f>Table1[[#This Row],[Price Per Unit]]*Table1[[#This Row],[Units Sold]]</f>
        <v>73289.55</v>
      </c>
      <c r="M3277" s="3" t="s">
        <v>685</v>
      </c>
      <c r="N3277" s="3">
        <v>38</v>
      </c>
      <c r="O3277" s="3" t="s">
        <v>20</v>
      </c>
      <c r="P3277" s="3" t="s">
        <v>16</v>
      </c>
      <c r="Q3277" s="4">
        <v>5</v>
      </c>
      <c r="R3277" s="4" t="str">
        <f>IF(Table1[[#This Row],[Customer Ratings]]&gt;=4, "Good",IF(Table1[[#This Row],[Customer Ratings]]=3, "Average","Poor"))</f>
        <v>Good</v>
      </c>
      <c r="S3277" s="3" t="s">
        <v>22</v>
      </c>
    </row>
    <row r="3278" spans="1:19" x14ac:dyDescent="0.25">
      <c r="A3278" s="3">
        <v>3277</v>
      </c>
      <c r="B3278" s="5">
        <f>DATE(Table1[[#This Row],[Year]],Table1[[#This Row],[Month]],Table1[[#This Row],[Day]])</f>
        <v>45412</v>
      </c>
      <c r="C3278" s="3">
        <v>30</v>
      </c>
      <c r="D3278" s="3">
        <v>4</v>
      </c>
      <c r="E3278" s="3">
        <v>2024</v>
      </c>
      <c r="F3278" s="3" t="str">
        <f>"Qtr"&amp; " " &amp;CHOOSE(MONTH(Table1[[#This Row],[Date]]),1,1,1,2,2,2,3,3,3,4,4,4)</f>
        <v>Qtr 2</v>
      </c>
      <c r="G3278" s="3" t="str">
        <f>TEXT(Table1[[#This Row],[Date]],"mmmm")</f>
        <v>April</v>
      </c>
      <c r="H3278" s="3" t="s">
        <v>1082</v>
      </c>
      <c r="I3278" s="3" t="s">
        <v>13</v>
      </c>
      <c r="J3278" s="3">
        <v>3</v>
      </c>
      <c r="K3278" s="3">
        <v>52807.72</v>
      </c>
      <c r="L3278" s="3">
        <f>Table1[[#This Row],[Price Per Unit]]*Table1[[#This Row],[Units Sold]]</f>
        <v>158423.16</v>
      </c>
      <c r="M3278" s="3" t="s">
        <v>958</v>
      </c>
      <c r="N3278" s="3">
        <v>39</v>
      </c>
      <c r="O3278" s="3" t="s">
        <v>24</v>
      </c>
      <c r="P3278" s="3" t="s">
        <v>16</v>
      </c>
      <c r="Q3278" s="4">
        <v>2</v>
      </c>
      <c r="R3278" s="4" t="str">
        <f>IF(Table1[[#This Row],[Customer Ratings]]&gt;=4, "Good",IF(Table1[[#This Row],[Customer Ratings]]=3, "Average","Poor"))</f>
        <v>Poor</v>
      </c>
      <c r="S3278" s="3" t="s">
        <v>17</v>
      </c>
    </row>
    <row r="3279" spans="1:19" x14ac:dyDescent="0.25">
      <c r="A3279" s="3">
        <v>3278</v>
      </c>
      <c r="B3279" s="5">
        <f>DATE(Table1[[#This Row],[Year]],Table1[[#This Row],[Month]],Table1[[#This Row],[Day]])</f>
        <v>45412</v>
      </c>
      <c r="C3279" s="3">
        <v>30</v>
      </c>
      <c r="D3279" s="3">
        <v>4</v>
      </c>
      <c r="E3279" s="3">
        <v>2024</v>
      </c>
      <c r="F3279" s="3" t="str">
        <f>"Qtr"&amp; " " &amp;CHOOSE(MONTH(Table1[[#This Row],[Date]]),1,1,1,2,2,2,3,3,3,4,4,4)</f>
        <v>Qtr 2</v>
      </c>
      <c r="G3279" s="3" t="str">
        <f>TEXT(Table1[[#This Row],[Date]],"mmmm")</f>
        <v>April</v>
      </c>
      <c r="H3279" s="3" t="s">
        <v>1082</v>
      </c>
      <c r="I3279" s="3" t="s">
        <v>13</v>
      </c>
      <c r="J3279" s="3">
        <v>7</v>
      </c>
      <c r="K3279" s="3">
        <v>10214.65</v>
      </c>
      <c r="L3279" s="3">
        <f>Table1[[#This Row],[Price Per Unit]]*Table1[[#This Row],[Units Sold]]</f>
        <v>71502.55</v>
      </c>
      <c r="M3279" s="3" t="s">
        <v>595</v>
      </c>
      <c r="N3279" s="3">
        <v>21</v>
      </c>
      <c r="O3279" s="3" t="s">
        <v>20</v>
      </c>
      <c r="P3279" s="3" t="s">
        <v>21</v>
      </c>
      <c r="Q3279" s="4">
        <v>3</v>
      </c>
      <c r="R3279" s="4" t="str">
        <f>IF(Table1[[#This Row],[Customer Ratings]]&gt;=4, "Good",IF(Table1[[#This Row],[Customer Ratings]]=3, "Average","Poor"))</f>
        <v>Average</v>
      </c>
      <c r="S3279" s="3" t="s">
        <v>72</v>
      </c>
    </row>
    <row r="3280" spans="1:19" x14ac:dyDescent="0.25">
      <c r="A3280" s="3">
        <v>3279</v>
      </c>
      <c r="B3280" s="5">
        <f>DATE(Table1[[#This Row],[Year]],Table1[[#This Row],[Month]],Table1[[#This Row],[Day]])</f>
        <v>45413</v>
      </c>
      <c r="C3280" s="3">
        <v>1</v>
      </c>
      <c r="D3280" s="3">
        <v>5</v>
      </c>
      <c r="E3280" s="3">
        <v>2024</v>
      </c>
      <c r="F3280" s="3" t="str">
        <f>"Qtr"&amp; " " &amp;CHOOSE(MONTH(Table1[[#This Row],[Date]]),1,1,1,2,2,2,3,3,3,4,4,4)</f>
        <v>Qtr 2</v>
      </c>
      <c r="G3280" s="3" t="str">
        <f>TEXT(Table1[[#This Row],[Date]],"mmmm")</f>
        <v>May</v>
      </c>
      <c r="H3280" s="3" t="s">
        <v>1083</v>
      </c>
      <c r="I3280" s="3" t="s">
        <v>13</v>
      </c>
      <c r="J3280" s="3">
        <v>6</v>
      </c>
      <c r="K3280" s="3">
        <v>12792.49</v>
      </c>
      <c r="L3280" s="3">
        <f>Table1[[#This Row],[Price Per Unit]]*Table1[[#This Row],[Units Sold]]</f>
        <v>76754.94</v>
      </c>
      <c r="M3280" s="3" t="s">
        <v>835</v>
      </c>
      <c r="N3280" s="3">
        <v>18</v>
      </c>
      <c r="O3280" s="3" t="s">
        <v>24</v>
      </c>
      <c r="P3280" s="3" t="s">
        <v>16</v>
      </c>
      <c r="Q3280" s="4">
        <v>2</v>
      </c>
      <c r="R3280" s="4" t="str">
        <f>IF(Table1[[#This Row],[Customer Ratings]]&gt;=4, "Good",IF(Table1[[#This Row],[Customer Ratings]]=3, "Average","Poor"))</f>
        <v>Poor</v>
      </c>
      <c r="S3280" s="3" t="s">
        <v>72</v>
      </c>
    </row>
    <row r="3281" spans="1:19" x14ac:dyDescent="0.25">
      <c r="A3281" s="3">
        <v>3280</v>
      </c>
      <c r="B3281" s="5">
        <f>DATE(Table1[[#This Row],[Year]],Table1[[#This Row],[Month]],Table1[[#This Row],[Day]])</f>
        <v>45413</v>
      </c>
      <c r="C3281" s="3">
        <v>1</v>
      </c>
      <c r="D3281" s="3">
        <v>5</v>
      </c>
      <c r="E3281" s="3">
        <v>2024</v>
      </c>
      <c r="F3281" s="3" t="str">
        <f>"Qtr"&amp; " " &amp;CHOOSE(MONTH(Table1[[#This Row],[Date]]),1,1,1,2,2,2,3,3,3,4,4,4)</f>
        <v>Qtr 2</v>
      </c>
      <c r="G3281" s="3" t="str">
        <f>TEXT(Table1[[#This Row],[Date]],"mmmm")</f>
        <v>May</v>
      </c>
      <c r="H3281" s="3" t="s">
        <v>1083</v>
      </c>
      <c r="I3281" s="3" t="s">
        <v>18</v>
      </c>
      <c r="J3281" s="3">
        <v>8</v>
      </c>
      <c r="K3281" s="3">
        <v>10260.64</v>
      </c>
      <c r="L3281" s="3">
        <f>Table1[[#This Row],[Price Per Unit]]*Table1[[#This Row],[Units Sold]]</f>
        <v>82085.119999999995</v>
      </c>
      <c r="M3281" s="3" t="s">
        <v>1009</v>
      </c>
      <c r="N3281" s="3">
        <v>27</v>
      </c>
      <c r="O3281" s="3" t="s">
        <v>137</v>
      </c>
      <c r="P3281" s="3" t="s">
        <v>16</v>
      </c>
      <c r="Q3281" s="4">
        <v>1</v>
      </c>
      <c r="R3281" s="4" t="str">
        <f>IF(Table1[[#This Row],[Customer Ratings]]&gt;=4, "Good",IF(Table1[[#This Row],[Customer Ratings]]=3, "Average","Poor"))</f>
        <v>Poor</v>
      </c>
      <c r="S3281" s="3" t="s">
        <v>25</v>
      </c>
    </row>
    <row r="3282" spans="1:19" x14ac:dyDescent="0.25">
      <c r="A3282" s="3">
        <v>3281</v>
      </c>
      <c r="B3282" s="5">
        <f>DATE(Table1[[#This Row],[Year]],Table1[[#This Row],[Month]],Table1[[#This Row],[Day]])</f>
        <v>45413</v>
      </c>
      <c r="C3282" s="3">
        <v>1</v>
      </c>
      <c r="D3282" s="3">
        <v>5</v>
      </c>
      <c r="E3282" s="3">
        <v>2024</v>
      </c>
      <c r="F3282" s="3" t="str">
        <f>"Qtr"&amp; " " &amp;CHOOSE(MONTH(Table1[[#This Row],[Date]]),1,1,1,2,2,2,3,3,3,4,4,4)</f>
        <v>Qtr 2</v>
      </c>
      <c r="G3282" s="3" t="str">
        <f>TEXT(Table1[[#This Row],[Date]],"mmmm")</f>
        <v>May</v>
      </c>
      <c r="H3282" s="3" t="s">
        <v>1083</v>
      </c>
      <c r="I3282" s="3" t="s">
        <v>28</v>
      </c>
      <c r="J3282" s="3">
        <v>5</v>
      </c>
      <c r="K3282" s="3">
        <v>48719.18</v>
      </c>
      <c r="L3282" s="3">
        <f>Table1[[#This Row],[Price Per Unit]]*Table1[[#This Row],[Units Sold]]</f>
        <v>243595.9</v>
      </c>
      <c r="M3282" s="3" t="s">
        <v>837</v>
      </c>
      <c r="N3282" s="3">
        <v>32</v>
      </c>
      <c r="O3282" s="3" t="s">
        <v>54</v>
      </c>
      <c r="P3282" s="3" t="s">
        <v>45</v>
      </c>
      <c r="Q3282" s="4">
        <v>3</v>
      </c>
      <c r="R3282" s="4" t="str">
        <f>IF(Table1[[#This Row],[Customer Ratings]]&gt;=4, "Good",IF(Table1[[#This Row],[Customer Ratings]]=3, "Average","Poor"))</f>
        <v>Average</v>
      </c>
      <c r="S3282" s="3" t="s">
        <v>32</v>
      </c>
    </row>
    <row r="3283" spans="1:19" x14ac:dyDescent="0.25">
      <c r="A3283" s="3">
        <v>3282</v>
      </c>
      <c r="B3283" s="5">
        <f>DATE(Table1[[#This Row],[Year]],Table1[[#This Row],[Month]],Table1[[#This Row],[Day]])</f>
        <v>45414</v>
      </c>
      <c r="C3283" s="3">
        <v>2</v>
      </c>
      <c r="D3283" s="3">
        <v>5</v>
      </c>
      <c r="E3283" s="3">
        <v>2024</v>
      </c>
      <c r="F3283" s="3" t="str">
        <f>"Qtr"&amp; " " &amp;CHOOSE(MONTH(Table1[[#This Row],[Date]]),1,1,1,2,2,2,3,3,3,4,4,4)</f>
        <v>Qtr 2</v>
      </c>
      <c r="G3283" s="3" t="str">
        <f>TEXT(Table1[[#This Row],[Date]],"mmmm")</f>
        <v>May</v>
      </c>
      <c r="H3283" s="3" t="s">
        <v>1084</v>
      </c>
      <c r="I3283" s="3" t="s">
        <v>18</v>
      </c>
      <c r="J3283" s="3">
        <v>2</v>
      </c>
      <c r="K3283" s="3">
        <v>35043.230000000003</v>
      </c>
      <c r="L3283" s="3">
        <f>Table1[[#This Row],[Price Per Unit]]*Table1[[#This Row],[Units Sold]]</f>
        <v>70086.460000000006</v>
      </c>
      <c r="M3283" s="3" t="s">
        <v>998</v>
      </c>
      <c r="N3283" s="3">
        <v>53</v>
      </c>
      <c r="O3283" s="3" t="s">
        <v>24</v>
      </c>
      <c r="P3283" s="3" t="s">
        <v>21</v>
      </c>
      <c r="Q3283" s="4">
        <v>5</v>
      </c>
      <c r="R3283" s="4" t="str">
        <f>IF(Table1[[#This Row],[Customer Ratings]]&gt;=4, "Good",IF(Table1[[#This Row],[Customer Ratings]]=3, "Average","Poor"))</f>
        <v>Good</v>
      </c>
      <c r="S3283" s="3" t="s">
        <v>22</v>
      </c>
    </row>
    <row r="3284" spans="1:19" x14ac:dyDescent="0.25">
      <c r="A3284" s="3">
        <v>3283</v>
      </c>
      <c r="B3284" s="5">
        <f>DATE(Table1[[#This Row],[Year]],Table1[[#This Row],[Month]],Table1[[#This Row],[Day]])</f>
        <v>45414</v>
      </c>
      <c r="C3284" s="3">
        <v>2</v>
      </c>
      <c r="D3284" s="3">
        <v>5</v>
      </c>
      <c r="E3284" s="3">
        <v>2024</v>
      </c>
      <c r="F3284" s="3" t="str">
        <f>"Qtr"&amp; " " &amp;CHOOSE(MONTH(Table1[[#This Row],[Date]]),1,1,1,2,2,2,3,3,3,4,4,4)</f>
        <v>Qtr 2</v>
      </c>
      <c r="G3284" s="3" t="str">
        <f>TEXT(Table1[[#This Row],[Date]],"mmmm")</f>
        <v>May</v>
      </c>
      <c r="H3284" s="3" t="s">
        <v>1084</v>
      </c>
      <c r="I3284" s="3" t="s">
        <v>39</v>
      </c>
      <c r="J3284" s="3">
        <v>9</v>
      </c>
      <c r="K3284" s="3">
        <v>27852.81</v>
      </c>
      <c r="L3284" s="3">
        <f>Table1[[#This Row],[Price Per Unit]]*Table1[[#This Row],[Units Sold]]</f>
        <v>250675.29</v>
      </c>
      <c r="M3284" s="3" t="s">
        <v>659</v>
      </c>
      <c r="N3284" s="3">
        <v>46</v>
      </c>
      <c r="O3284" s="3" t="s">
        <v>20</v>
      </c>
      <c r="P3284" s="3" t="s">
        <v>21</v>
      </c>
      <c r="Q3284" s="4">
        <v>2</v>
      </c>
      <c r="R3284" s="4" t="str">
        <f>IF(Table1[[#This Row],[Customer Ratings]]&gt;=4, "Good",IF(Table1[[#This Row],[Customer Ratings]]=3, "Average","Poor"))</f>
        <v>Poor</v>
      </c>
      <c r="S3284" s="3" t="s">
        <v>90</v>
      </c>
    </row>
    <row r="3285" spans="1:19" x14ac:dyDescent="0.25">
      <c r="A3285" s="3">
        <v>3284</v>
      </c>
      <c r="B3285" s="5">
        <f>DATE(Table1[[#This Row],[Year]],Table1[[#This Row],[Month]],Table1[[#This Row],[Day]])</f>
        <v>45414</v>
      </c>
      <c r="C3285" s="3">
        <v>2</v>
      </c>
      <c r="D3285" s="3">
        <v>5</v>
      </c>
      <c r="E3285" s="3">
        <v>2024</v>
      </c>
      <c r="F3285" s="3" t="str">
        <f>"Qtr"&amp; " " &amp;CHOOSE(MONTH(Table1[[#This Row],[Date]]),1,1,1,2,2,2,3,3,3,4,4,4)</f>
        <v>Qtr 2</v>
      </c>
      <c r="G3285" s="3" t="str">
        <f>TEXT(Table1[[#This Row],[Date]],"mmmm")</f>
        <v>May</v>
      </c>
      <c r="H3285" s="3" t="s">
        <v>1084</v>
      </c>
      <c r="I3285" s="3" t="s">
        <v>18</v>
      </c>
      <c r="J3285" s="3">
        <v>8</v>
      </c>
      <c r="K3285" s="3">
        <v>64762.06</v>
      </c>
      <c r="L3285" s="3">
        <f>Table1[[#This Row],[Price Per Unit]]*Table1[[#This Row],[Units Sold]]</f>
        <v>518096.48</v>
      </c>
      <c r="M3285" s="3" t="s">
        <v>246</v>
      </c>
      <c r="N3285" s="3">
        <v>22</v>
      </c>
      <c r="O3285" s="3" t="s">
        <v>24</v>
      </c>
      <c r="P3285" s="3" t="s">
        <v>45</v>
      </c>
      <c r="Q3285" s="4">
        <v>2</v>
      </c>
      <c r="R3285" s="4" t="str">
        <f>IF(Table1[[#This Row],[Customer Ratings]]&gt;=4, "Good",IF(Table1[[#This Row],[Customer Ratings]]=3, "Average","Poor"))</f>
        <v>Poor</v>
      </c>
      <c r="S3285" s="3" t="s">
        <v>25</v>
      </c>
    </row>
    <row r="3286" spans="1:19" x14ac:dyDescent="0.25">
      <c r="A3286" s="3">
        <v>3285</v>
      </c>
      <c r="B3286" s="5">
        <f>DATE(Table1[[#This Row],[Year]],Table1[[#This Row],[Month]],Table1[[#This Row],[Day]])</f>
        <v>45414</v>
      </c>
      <c r="C3286" s="3">
        <v>2</v>
      </c>
      <c r="D3286" s="3">
        <v>5</v>
      </c>
      <c r="E3286" s="3">
        <v>2024</v>
      </c>
      <c r="F3286" s="3" t="str">
        <f>"Qtr"&amp; " " &amp;CHOOSE(MONTH(Table1[[#This Row],[Date]]),1,1,1,2,2,2,3,3,3,4,4,4)</f>
        <v>Qtr 2</v>
      </c>
      <c r="G3286" s="3" t="str">
        <f>TEXT(Table1[[#This Row],[Date]],"mmmm")</f>
        <v>May</v>
      </c>
      <c r="H3286" s="3" t="s">
        <v>1084</v>
      </c>
      <c r="I3286" s="3" t="s">
        <v>13</v>
      </c>
      <c r="J3286" s="3">
        <v>6</v>
      </c>
      <c r="K3286" s="3">
        <v>21568.17</v>
      </c>
      <c r="L3286" s="3">
        <f>Table1[[#This Row],[Price Per Unit]]*Table1[[#This Row],[Units Sold]]</f>
        <v>129409.01999999999</v>
      </c>
      <c r="M3286" s="3" t="s">
        <v>681</v>
      </c>
      <c r="N3286" s="3">
        <v>46</v>
      </c>
      <c r="O3286" s="3" t="s">
        <v>20</v>
      </c>
      <c r="P3286" s="3" t="s">
        <v>31</v>
      </c>
      <c r="Q3286" s="4">
        <v>1</v>
      </c>
      <c r="R3286" s="4" t="str">
        <f>IF(Table1[[#This Row],[Customer Ratings]]&gt;=4, "Good",IF(Table1[[#This Row],[Customer Ratings]]=3, "Average","Poor"))</f>
        <v>Poor</v>
      </c>
      <c r="S3286" s="3" t="s">
        <v>72</v>
      </c>
    </row>
    <row r="3287" spans="1:19" x14ac:dyDescent="0.25">
      <c r="A3287" s="3">
        <v>3286</v>
      </c>
      <c r="B3287" s="5">
        <f>DATE(Table1[[#This Row],[Year]],Table1[[#This Row],[Month]],Table1[[#This Row],[Day]])</f>
        <v>45415</v>
      </c>
      <c r="C3287" s="3">
        <v>3</v>
      </c>
      <c r="D3287" s="3">
        <v>5</v>
      </c>
      <c r="E3287" s="3">
        <v>2024</v>
      </c>
      <c r="F3287" s="3" t="str">
        <f>"Qtr"&amp; " " &amp;CHOOSE(MONTH(Table1[[#This Row],[Date]]),1,1,1,2,2,2,3,3,3,4,4,4)</f>
        <v>Qtr 2</v>
      </c>
      <c r="G3287" s="3" t="str">
        <f>TEXT(Table1[[#This Row],[Date]],"mmmm")</f>
        <v>May</v>
      </c>
      <c r="H3287" s="3" t="s">
        <v>1085</v>
      </c>
      <c r="I3287" s="3" t="s">
        <v>33</v>
      </c>
      <c r="J3287" s="3">
        <v>7</v>
      </c>
      <c r="K3287" s="3">
        <v>33362.080000000002</v>
      </c>
      <c r="L3287" s="3">
        <f>Table1[[#This Row],[Price Per Unit]]*Table1[[#This Row],[Units Sold]]</f>
        <v>233534.56</v>
      </c>
      <c r="M3287" s="3" t="s">
        <v>706</v>
      </c>
      <c r="N3287" s="3">
        <v>44</v>
      </c>
      <c r="O3287" s="3" t="s">
        <v>54</v>
      </c>
      <c r="P3287" s="3" t="s">
        <v>45</v>
      </c>
      <c r="Q3287" s="4">
        <v>1</v>
      </c>
      <c r="R3287" s="4" t="str">
        <f>IF(Table1[[#This Row],[Customer Ratings]]&gt;=4, "Good",IF(Table1[[#This Row],[Customer Ratings]]=3, "Average","Poor"))</f>
        <v>Poor</v>
      </c>
      <c r="S3287" s="3" t="s">
        <v>36</v>
      </c>
    </row>
    <row r="3288" spans="1:19" x14ac:dyDescent="0.25">
      <c r="A3288" s="3">
        <v>3287</v>
      </c>
      <c r="B3288" s="5">
        <f>DATE(Table1[[#This Row],[Year]],Table1[[#This Row],[Month]],Table1[[#This Row],[Day]])</f>
        <v>45415</v>
      </c>
      <c r="C3288" s="3">
        <v>3</v>
      </c>
      <c r="D3288" s="3">
        <v>5</v>
      </c>
      <c r="E3288" s="3">
        <v>2024</v>
      </c>
      <c r="F3288" s="3" t="str">
        <f>"Qtr"&amp; " " &amp;CHOOSE(MONTH(Table1[[#This Row],[Date]]),1,1,1,2,2,2,3,3,3,4,4,4)</f>
        <v>Qtr 2</v>
      </c>
      <c r="G3288" s="3" t="str">
        <f>TEXT(Table1[[#This Row],[Date]],"mmmm")</f>
        <v>May</v>
      </c>
      <c r="H3288" s="3" t="s">
        <v>1085</v>
      </c>
      <c r="I3288" s="3" t="s">
        <v>18</v>
      </c>
      <c r="J3288" s="3">
        <v>9</v>
      </c>
      <c r="K3288" s="3">
        <v>66418.710000000006</v>
      </c>
      <c r="L3288" s="3">
        <f>Table1[[#This Row],[Price Per Unit]]*Table1[[#This Row],[Units Sold]]</f>
        <v>597768.39</v>
      </c>
      <c r="M3288" s="3" t="s">
        <v>1002</v>
      </c>
      <c r="N3288" s="3">
        <v>42</v>
      </c>
      <c r="O3288" s="3" t="s">
        <v>98</v>
      </c>
      <c r="P3288" s="3" t="s">
        <v>31</v>
      </c>
      <c r="Q3288" s="4">
        <v>4</v>
      </c>
      <c r="R3288" s="4" t="str">
        <f>IF(Table1[[#This Row],[Customer Ratings]]&gt;=4, "Good",IF(Table1[[#This Row],[Customer Ratings]]=3, "Average","Poor"))</f>
        <v>Good</v>
      </c>
      <c r="S3288" s="3" t="s">
        <v>22</v>
      </c>
    </row>
    <row r="3289" spans="1:19" x14ac:dyDescent="0.25">
      <c r="A3289" s="3">
        <v>3288</v>
      </c>
      <c r="B3289" s="5">
        <f>DATE(Table1[[#This Row],[Year]],Table1[[#This Row],[Month]],Table1[[#This Row],[Day]])</f>
        <v>45415</v>
      </c>
      <c r="C3289" s="3">
        <v>3</v>
      </c>
      <c r="D3289" s="3">
        <v>5</v>
      </c>
      <c r="E3289" s="3">
        <v>2024</v>
      </c>
      <c r="F3289" s="3" t="str">
        <f>"Qtr"&amp; " " &amp;CHOOSE(MONTH(Table1[[#This Row],[Date]]),1,1,1,2,2,2,3,3,3,4,4,4)</f>
        <v>Qtr 2</v>
      </c>
      <c r="G3289" s="3" t="str">
        <f>TEXT(Table1[[#This Row],[Date]],"mmmm")</f>
        <v>May</v>
      </c>
      <c r="H3289" s="3" t="s">
        <v>1085</v>
      </c>
      <c r="I3289" s="3" t="s">
        <v>18</v>
      </c>
      <c r="J3289" s="3">
        <v>7</v>
      </c>
      <c r="K3289" s="3">
        <v>35626.39</v>
      </c>
      <c r="L3289" s="3">
        <f>Table1[[#This Row],[Price Per Unit]]*Table1[[#This Row],[Units Sold]]</f>
        <v>249384.72999999998</v>
      </c>
      <c r="M3289" s="3" t="s">
        <v>1005</v>
      </c>
      <c r="N3289" s="3">
        <v>33</v>
      </c>
      <c r="O3289" s="3" t="s">
        <v>35</v>
      </c>
      <c r="P3289" s="3" t="s">
        <v>21</v>
      </c>
      <c r="Q3289" s="4">
        <v>4</v>
      </c>
      <c r="R3289" s="4" t="str">
        <f>IF(Table1[[#This Row],[Customer Ratings]]&gt;=4, "Good",IF(Table1[[#This Row],[Customer Ratings]]=3, "Average","Poor"))</f>
        <v>Good</v>
      </c>
      <c r="S3289" s="3" t="s">
        <v>22</v>
      </c>
    </row>
    <row r="3290" spans="1:19" x14ac:dyDescent="0.25">
      <c r="A3290" s="3">
        <v>3289</v>
      </c>
      <c r="B3290" s="5">
        <f>DATE(Table1[[#This Row],[Year]],Table1[[#This Row],[Month]],Table1[[#This Row],[Day]])</f>
        <v>45416</v>
      </c>
      <c r="C3290" s="3">
        <v>4</v>
      </c>
      <c r="D3290" s="3">
        <v>5</v>
      </c>
      <c r="E3290" s="3">
        <v>2024</v>
      </c>
      <c r="F3290" s="3" t="str">
        <f>"Qtr"&amp; " " &amp;CHOOSE(MONTH(Table1[[#This Row],[Date]]),1,1,1,2,2,2,3,3,3,4,4,4)</f>
        <v>Qtr 2</v>
      </c>
      <c r="G3290" s="3" t="str">
        <f>TEXT(Table1[[#This Row],[Date]],"mmmm")</f>
        <v>May</v>
      </c>
      <c r="H3290" s="3" t="s">
        <v>1079</v>
      </c>
      <c r="I3290" s="3" t="s">
        <v>13</v>
      </c>
      <c r="J3290" s="3">
        <v>3</v>
      </c>
      <c r="K3290" s="3">
        <v>43281.62</v>
      </c>
      <c r="L3290" s="3">
        <f>Table1[[#This Row],[Price Per Unit]]*Table1[[#This Row],[Units Sold]]</f>
        <v>129844.86000000002</v>
      </c>
      <c r="M3290" s="3" t="s">
        <v>1029</v>
      </c>
      <c r="N3290" s="3">
        <v>33</v>
      </c>
      <c r="O3290" s="3" t="s">
        <v>52</v>
      </c>
      <c r="P3290" s="3" t="s">
        <v>21</v>
      </c>
      <c r="Q3290" s="4">
        <v>1</v>
      </c>
      <c r="R3290" s="4" t="str">
        <f>IF(Table1[[#This Row],[Customer Ratings]]&gt;=4, "Good",IF(Table1[[#This Row],[Customer Ratings]]=3, "Average","Poor"))</f>
        <v>Poor</v>
      </c>
      <c r="S3290" s="3" t="s">
        <v>72</v>
      </c>
    </row>
    <row r="3291" spans="1:19" x14ac:dyDescent="0.25">
      <c r="A3291" s="3">
        <v>3290</v>
      </c>
      <c r="B3291" s="5">
        <f>DATE(Table1[[#This Row],[Year]],Table1[[#This Row],[Month]],Table1[[#This Row],[Day]])</f>
        <v>45416</v>
      </c>
      <c r="C3291" s="3">
        <v>4</v>
      </c>
      <c r="D3291" s="3">
        <v>5</v>
      </c>
      <c r="E3291" s="3">
        <v>2024</v>
      </c>
      <c r="F3291" s="3" t="str">
        <f>"Qtr"&amp; " " &amp;CHOOSE(MONTH(Table1[[#This Row],[Date]]),1,1,1,2,2,2,3,3,3,4,4,4)</f>
        <v>Qtr 2</v>
      </c>
      <c r="G3291" s="3" t="str">
        <f>TEXT(Table1[[#This Row],[Date]],"mmmm")</f>
        <v>May</v>
      </c>
      <c r="H3291" s="3" t="s">
        <v>1079</v>
      </c>
      <c r="I3291" s="3" t="s">
        <v>33</v>
      </c>
      <c r="J3291" s="3">
        <v>6</v>
      </c>
      <c r="K3291" s="3">
        <v>14820.21</v>
      </c>
      <c r="L3291" s="3">
        <f>Table1[[#This Row],[Price Per Unit]]*Table1[[#This Row],[Units Sold]]</f>
        <v>88921.26</v>
      </c>
      <c r="M3291" s="3" t="s">
        <v>338</v>
      </c>
      <c r="N3291" s="3">
        <v>53</v>
      </c>
      <c r="O3291" s="3" t="s">
        <v>20</v>
      </c>
      <c r="P3291" s="3" t="s">
        <v>16</v>
      </c>
      <c r="Q3291" s="4">
        <v>4</v>
      </c>
      <c r="R3291" s="4" t="str">
        <f>IF(Table1[[#This Row],[Customer Ratings]]&gt;=4, "Good",IF(Table1[[#This Row],[Customer Ratings]]=3, "Average","Poor"))</f>
        <v>Good</v>
      </c>
      <c r="S3291" s="3" t="s">
        <v>46</v>
      </c>
    </row>
    <row r="3292" spans="1:19" x14ac:dyDescent="0.25">
      <c r="A3292" s="3">
        <v>3291</v>
      </c>
      <c r="B3292" s="5">
        <f>DATE(Table1[[#This Row],[Year]],Table1[[#This Row],[Month]],Table1[[#This Row],[Day]])</f>
        <v>45416</v>
      </c>
      <c r="C3292" s="3">
        <v>4</v>
      </c>
      <c r="D3292" s="3">
        <v>5</v>
      </c>
      <c r="E3292" s="3">
        <v>2024</v>
      </c>
      <c r="F3292" s="3" t="str">
        <f>"Qtr"&amp; " " &amp;CHOOSE(MONTH(Table1[[#This Row],[Date]]),1,1,1,2,2,2,3,3,3,4,4,4)</f>
        <v>Qtr 2</v>
      </c>
      <c r="G3292" s="3" t="str">
        <f>TEXT(Table1[[#This Row],[Date]],"mmmm")</f>
        <v>May</v>
      </c>
      <c r="H3292" s="3" t="s">
        <v>1079</v>
      </c>
      <c r="I3292" s="3" t="s">
        <v>33</v>
      </c>
      <c r="J3292" s="3">
        <v>7</v>
      </c>
      <c r="K3292" s="3">
        <v>57409.98</v>
      </c>
      <c r="L3292" s="3">
        <f>Table1[[#This Row],[Price Per Unit]]*Table1[[#This Row],[Units Sold]]</f>
        <v>401869.86000000004</v>
      </c>
      <c r="M3292" s="3" t="s">
        <v>1030</v>
      </c>
      <c r="N3292" s="3">
        <v>42</v>
      </c>
      <c r="O3292" s="3" t="s">
        <v>78</v>
      </c>
      <c r="P3292" s="3" t="s">
        <v>16</v>
      </c>
      <c r="Q3292" s="4">
        <v>2</v>
      </c>
      <c r="R3292" s="4" t="str">
        <f>IF(Table1[[#This Row],[Customer Ratings]]&gt;=4, "Good",IF(Table1[[#This Row],[Customer Ratings]]=3, "Average","Poor"))</f>
        <v>Poor</v>
      </c>
      <c r="S3292" s="3" t="s">
        <v>36</v>
      </c>
    </row>
    <row r="3293" spans="1:19" x14ac:dyDescent="0.25">
      <c r="A3293" s="3">
        <v>3292</v>
      </c>
      <c r="B3293" s="5">
        <f>DATE(Table1[[#This Row],[Year]],Table1[[#This Row],[Month]],Table1[[#This Row],[Day]])</f>
        <v>45416</v>
      </c>
      <c r="C3293" s="3">
        <v>4</v>
      </c>
      <c r="D3293" s="3">
        <v>5</v>
      </c>
      <c r="E3293" s="3">
        <v>2024</v>
      </c>
      <c r="F3293" s="3" t="str">
        <f>"Qtr"&amp; " " &amp;CHOOSE(MONTH(Table1[[#This Row],[Date]]),1,1,1,2,2,2,3,3,3,4,4,4)</f>
        <v>Qtr 2</v>
      </c>
      <c r="G3293" s="3" t="str">
        <f>TEXT(Table1[[#This Row],[Date]],"mmmm")</f>
        <v>May</v>
      </c>
      <c r="H3293" s="3" t="s">
        <v>1079</v>
      </c>
      <c r="I3293" s="3" t="s">
        <v>39</v>
      </c>
      <c r="J3293" s="3">
        <v>2</v>
      </c>
      <c r="K3293" s="3">
        <v>35365.53</v>
      </c>
      <c r="L3293" s="3">
        <f>Table1[[#This Row],[Price Per Unit]]*Table1[[#This Row],[Units Sold]]</f>
        <v>70731.06</v>
      </c>
      <c r="M3293" s="3" t="s">
        <v>822</v>
      </c>
      <c r="N3293" s="3">
        <v>58</v>
      </c>
      <c r="O3293" s="3" t="s">
        <v>98</v>
      </c>
      <c r="P3293" s="3" t="s">
        <v>45</v>
      </c>
      <c r="Q3293" s="4">
        <v>1</v>
      </c>
      <c r="R3293" s="4" t="str">
        <f>IF(Table1[[#This Row],[Customer Ratings]]&gt;=4, "Good",IF(Table1[[#This Row],[Customer Ratings]]=3, "Average","Poor"))</f>
        <v>Poor</v>
      </c>
      <c r="S3293" s="3" t="s">
        <v>90</v>
      </c>
    </row>
    <row r="3294" spans="1:19" x14ac:dyDescent="0.25">
      <c r="A3294" s="3">
        <v>3293</v>
      </c>
      <c r="B3294" s="5">
        <f>DATE(Table1[[#This Row],[Year]],Table1[[#This Row],[Month]],Table1[[#This Row],[Day]])</f>
        <v>45417</v>
      </c>
      <c r="C3294" s="3">
        <v>5</v>
      </c>
      <c r="D3294" s="3">
        <v>5</v>
      </c>
      <c r="E3294" s="3">
        <v>2024</v>
      </c>
      <c r="F3294" s="3" t="str">
        <f>"Qtr"&amp; " " &amp;CHOOSE(MONTH(Table1[[#This Row],[Date]]),1,1,1,2,2,2,3,3,3,4,4,4)</f>
        <v>Qtr 2</v>
      </c>
      <c r="G3294" s="3" t="str">
        <f>TEXT(Table1[[#This Row],[Date]],"mmmm")</f>
        <v>May</v>
      </c>
      <c r="H3294" s="3" t="s">
        <v>1080</v>
      </c>
      <c r="I3294" s="3" t="s">
        <v>18</v>
      </c>
      <c r="J3294" s="3">
        <v>3</v>
      </c>
      <c r="K3294" s="3">
        <v>58030.91</v>
      </c>
      <c r="L3294" s="3">
        <f>Table1[[#This Row],[Price Per Unit]]*Table1[[#This Row],[Units Sold]]</f>
        <v>174092.73</v>
      </c>
      <c r="M3294" s="3" t="s">
        <v>699</v>
      </c>
      <c r="N3294" s="3">
        <v>18</v>
      </c>
      <c r="O3294" s="3" t="s">
        <v>120</v>
      </c>
      <c r="P3294" s="3" t="s">
        <v>16</v>
      </c>
      <c r="Q3294" s="4">
        <v>3</v>
      </c>
      <c r="R3294" s="4" t="str">
        <f>IF(Table1[[#This Row],[Customer Ratings]]&gt;=4, "Good",IF(Table1[[#This Row],[Customer Ratings]]=3, "Average","Poor"))</f>
        <v>Average</v>
      </c>
      <c r="S3294" s="3" t="s">
        <v>55</v>
      </c>
    </row>
    <row r="3295" spans="1:19" x14ac:dyDescent="0.25">
      <c r="A3295" s="3">
        <v>3294</v>
      </c>
      <c r="B3295" s="5">
        <f>DATE(Table1[[#This Row],[Year]],Table1[[#This Row],[Month]],Table1[[#This Row],[Day]])</f>
        <v>45417</v>
      </c>
      <c r="C3295" s="3">
        <v>5</v>
      </c>
      <c r="D3295" s="3">
        <v>5</v>
      </c>
      <c r="E3295" s="3">
        <v>2024</v>
      </c>
      <c r="F3295" s="3" t="str">
        <f>"Qtr"&amp; " " &amp;CHOOSE(MONTH(Table1[[#This Row],[Date]]),1,1,1,2,2,2,3,3,3,4,4,4)</f>
        <v>Qtr 2</v>
      </c>
      <c r="G3295" s="3" t="str">
        <f>TEXT(Table1[[#This Row],[Date]],"mmmm")</f>
        <v>May</v>
      </c>
      <c r="H3295" s="3" t="s">
        <v>1080</v>
      </c>
      <c r="I3295" s="3" t="s">
        <v>33</v>
      </c>
      <c r="J3295" s="3">
        <v>4</v>
      </c>
      <c r="K3295" s="3">
        <v>25227.86</v>
      </c>
      <c r="L3295" s="3">
        <f>Table1[[#This Row],[Price Per Unit]]*Table1[[#This Row],[Units Sold]]</f>
        <v>100911.44</v>
      </c>
      <c r="M3295" s="3" t="s">
        <v>188</v>
      </c>
      <c r="N3295" s="3">
        <v>22</v>
      </c>
      <c r="O3295" s="3" t="s">
        <v>24</v>
      </c>
      <c r="P3295" s="3" t="s">
        <v>21</v>
      </c>
      <c r="Q3295" s="4">
        <v>1</v>
      </c>
      <c r="R3295" s="4" t="str">
        <f>IF(Table1[[#This Row],[Customer Ratings]]&gt;=4, "Good",IF(Table1[[#This Row],[Customer Ratings]]=3, "Average","Poor"))</f>
        <v>Poor</v>
      </c>
      <c r="S3295" s="3" t="s">
        <v>46</v>
      </c>
    </row>
    <row r="3296" spans="1:19" x14ac:dyDescent="0.25">
      <c r="A3296" s="3">
        <v>3295</v>
      </c>
      <c r="B3296" s="5">
        <f>DATE(Table1[[#This Row],[Year]],Table1[[#This Row],[Month]],Table1[[#This Row],[Day]])</f>
        <v>45417</v>
      </c>
      <c r="C3296" s="3">
        <v>5</v>
      </c>
      <c r="D3296" s="3">
        <v>5</v>
      </c>
      <c r="E3296" s="3">
        <v>2024</v>
      </c>
      <c r="F3296" s="3" t="str">
        <f>"Qtr"&amp; " " &amp;CHOOSE(MONTH(Table1[[#This Row],[Date]]),1,1,1,2,2,2,3,3,3,4,4,4)</f>
        <v>Qtr 2</v>
      </c>
      <c r="G3296" s="3" t="str">
        <f>TEXT(Table1[[#This Row],[Date]],"mmmm")</f>
        <v>May</v>
      </c>
      <c r="H3296" s="3" t="s">
        <v>1080</v>
      </c>
      <c r="I3296" s="3" t="s">
        <v>33</v>
      </c>
      <c r="J3296" s="3">
        <v>6</v>
      </c>
      <c r="K3296" s="3">
        <v>35348.730000000003</v>
      </c>
      <c r="L3296" s="3">
        <f>Table1[[#This Row],[Price Per Unit]]*Table1[[#This Row],[Units Sold]]</f>
        <v>212092.38</v>
      </c>
      <c r="M3296" s="3" t="s">
        <v>751</v>
      </c>
      <c r="N3296" s="3">
        <v>58</v>
      </c>
      <c r="O3296" s="3" t="s">
        <v>24</v>
      </c>
      <c r="P3296" s="3" t="s">
        <v>21</v>
      </c>
      <c r="Q3296" s="4">
        <v>5</v>
      </c>
      <c r="R3296" s="4" t="str">
        <f>IF(Table1[[#This Row],[Customer Ratings]]&gt;=4, "Good",IF(Table1[[#This Row],[Customer Ratings]]=3, "Average","Poor"))</f>
        <v>Good</v>
      </c>
      <c r="S3296" s="3" t="s">
        <v>83</v>
      </c>
    </row>
    <row r="3297" spans="1:19" x14ac:dyDescent="0.25">
      <c r="A3297" s="3">
        <v>3296</v>
      </c>
      <c r="B3297" s="5">
        <f>DATE(Table1[[#This Row],[Year]],Table1[[#This Row],[Month]],Table1[[#This Row],[Day]])</f>
        <v>45417</v>
      </c>
      <c r="C3297" s="3">
        <v>5</v>
      </c>
      <c r="D3297" s="3">
        <v>5</v>
      </c>
      <c r="E3297" s="3">
        <v>2024</v>
      </c>
      <c r="F3297" s="3" t="str">
        <f>"Qtr"&amp; " " &amp;CHOOSE(MONTH(Table1[[#This Row],[Date]]),1,1,1,2,2,2,3,3,3,4,4,4)</f>
        <v>Qtr 2</v>
      </c>
      <c r="G3297" s="3" t="str">
        <f>TEXT(Table1[[#This Row],[Date]],"mmmm")</f>
        <v>May</v>
      </c>
      <c r="H3297" s="3" t="s">
        <v>1080</v>
      </c>
      <c r="I3297" s="3" t="s">
        <v>28</v>
      </c>
      <c r="J3297" s="3">
        <v>1</v>
      </c>
      <c r="K3297" s="3">
        <v>57192.94</v>
      </c>
      <c r="L3297" s="3">
        <f>Table1[[#This Row],[Price Per Unit]]*Table1[[#This Row],[Units Sold]]</f>
        <v>57192.94</v>
      </c>
      <c r="M3297" s="3" t="s">
        <v>601</v>
      </c>
      <c r="N3297" s="3">
        <v>37</v>
      </c>
      <c r="O3297" s="3" t="s">
        <v>102</v>
      </c>
      <c r="P3297" s="3" t="s">
        <v>31</v>
      </c>
      <c r="Q3297" s="4">
        <v>5</v>
      </c>
      <c r="R3297" s="4" t="str">
        <f>IF(Table1[[#This Row],[Customer Ratings]]&gt;=4, "Good",IF(Table1[[#This Row],[Customer Ratings]]=3, "Average","Poor"))</f>
        <v>Good</v>
      </c>
      <c r="S3297" s="3" t="s">
        <v>87</v>
      </c>
    </row>
    <row r="3298" spans="1:19" x14ac:dyDescent="0.25">
      <c r="A3298" s="3">
        <v>3297</v>
      </c>
      <c r="B3298" s="5">
        <f>DATE(Table1[[#This Row],[Year]],Table1[[#This Row],[Month]],Table1[[#This Row],[Day]])</f>
        <v>45418</v>
      </c>
      <c r="C3298" s="3">
        <v>6</v>
      </c>
      <c r="D3298" s="3">
        <v>5</v>
      </c>
      <c r="E3298" s="3">
        <v>2024</v>
      </c>
      <c r="F3298" s="3" t="str">
        <f>"Qtr"&amp; " " &amp;CHOOSE(MONTH(Table1[[#This Row],[Date]]),1,1,1,2,2,2,3,3,3,4,4,4)</f>
        <v>Qtr 2</v>
      </c>
      <c r="G3298" s="3" t="str">
        <f>TEXT(Table1[[#This Row],[Date]],"mmmm")</f>
        <v>May</v>
      </c>
      <c r="H3298" s="3" t="s">
        <v>1081</v>
      </c>
      <c r="I3298" s="3" t="s">
        <v>28</v>
      </c>
      <c r="J3298" s="3">
        <v>9</v>
      </c>
      <c r="K3298" s="3">
        <v>68432.67</v>
      </c>
      <c r="L3298" s="3">
        <f>Table1[[#This Row],[Price Per Unit]]*Table1[[#This Row],[Units Sold]]</f>
        <v>615894.03</v>
      </c>
      <c r="M3298" s="3" t="s">
        <v>693</v>
      </c>
      <c r="N3298" s="3">
        <v>22</v>
      </c>
      <c r="O3298" s="3" t="s">
        <v>24</v>
      </c>
      <c r="P3298" s="3" t="s">
        <v>16</v>
      </c>
      <c r="Q3298" s="4">
        <v>1</v>
      </c>
      <c r="R3298" s="4" t="str">
        <f>IF(Table1[[#This Row],[Customer Ratings]]&gt;=4, "Good",IF(Table1[[#This Row],[Customer Ratings]]=3, "Average","Poor"))</f>
        <v>Poor</v>
      </c>
      <c r="S3298" s="3" t="s">
        <v>38</v>
      </c>
    </row>
    <row r="3299" spans="1:19" x14ac:dyDescent="0.25">
      <c r="A3299" s="3">
        <v>3298</v>
      </c>
      <c r="B3299" s="5">
        <f>DATE(Table1[[#This Row],[Year]],Table1[[#This Row],[Month]],Table1[[#This Row],[Day]])</f>
        <v>45418</v>
      </c>
      <c r="C3299" s="3">
        <v>6</v>
      </c>
      <c r="D3299" s="3">
        <v>5</v>
      </c>
      <c r="E3299" s="3">
        <v>2024</v>
      </c>
      <c r="F3299" s="3" t="str">
        <f>"Qtr"&amp; " " &amp;CHOOSE(MONTH(Table1[[#This Row],[Date]]),1,1,1,2,2,2,3,3,3,4,4,4)</f>
        <v>Qtr 2</v>
      </c>
      <c r="G3299" s="3" t="str">
        <f>TEXT(Table1[[#This Row],[Date]],"mmmm")</f>
        <v>May</v>
      </c>
      <c r="H3299" s="3" t="s">
        <v>1081</v>
      </c>
      <c r="I3299" s="3" t="s">
        <v>33</v>
      </c>
      <c r="J3299" s="3">
        <v>5</v>
      </c>
      <c r="K3299" s="3">
        <v>13577.53</v>
      </c>
      <c r="L3299" s="3">
        <f>Table1[[#This Row],[Price Per Unit]]*Table1[[#This Row],[Units Sold]]</f>
        <v>67887.650000000009</v>
      </c>
      <c r="M3299" s="3" t="s">
        <v>872</v>
      </c>
      <c r="N3299" s="3">
        <v>53</v>
      </c>
      <c r="O3299" s="3" t="s">
        <v>24</v>
      </c>
      <c r="P3299" s="3" t="s">
        <v>31</v>
      </c>
      <c r="Q3299" s="4">
        <v>3</v>
      </c>
      <c r="R3299" s="4" t="str">
        <f>IF(Table1[[#This Row],[Customer Ratings]]&gt;=4, "Good",IF(Table1[[#This Row],[Customer Ratings]]=3, "Average","Poor"))</f>
        <v>Average</v>
      </c>
      <c r="S3299" s="3" t="s">
        <v>46</v>
      </c>
    </row>
    <row r="3300" spans="1:19" x14ac:dyDescent="0.25">
      <c r="A3300" s="3">
        <v>3299</v>
      </c>
      <c r="B3300" s="5">
        <f>DATE(Table1[[#This Row],[Year]],Table1[[#This Row],[Month]],Table1[[#This Row],[Day]])</f>
        <v>45418</v>
      </c>
      <c r="C3300" s="3">
        <v>6</v>
      </c>
      <c r="D3300" s="3">
        <v>5</v>
      </c>
      <c r="E3300" s="3">
        <v>2024</v>
      </c>
      <c r="F3300" s="3" t="str">
        <f>"Qtr"&amp; " " &amp;CHOOSE(MONTH(Table1[[#This Row],[Date]]),1,1,1,2,2,2,3,3,3,4,4,4)</f>
        <v>Qtr 2</v>
      </c>
      <c r="G3300" s="3" t="str">
        <f>TEXT(Table1[[#This Row],[Date]],"mmmm")</f>
        <v>May</v>
      </c>
      <c r="H3300" s="3" t="s">
        <v>1081</v>
      </c>
      <c r="I3300" s="3" t="s">
        <v>39</v>
      </c>
      <c r="J3300" s="3">
        <v>7</v>
      </c>
      <c r="K3300" s="3">
        <v>58747.37</v>
      </c>
      <c r="L3300" s="3">
        <f>Table1[[#This Row],[Price Per Unit]]*Table1[[#This Row],[Units Sold]]</f>
        <v>411231.59</v>
      </c>
      <c r="M3300" s="3" t="s">
        <v>223</v>
      </c>
      <c r="N3300" s="3">
        <v>46</v>
      </c>
      <c r="O3300" s="3" t="s">
        <v>20</v>
      </c>
      <c r="P3300" s="3" t="s">
        <v>21</v>
      </c>
      <c r="Q3300" s="4">
        <v>1</v>
      </c>
      <c r="R3300" s="4" t="str">
        <f>IF(Table1[[#This Row],[Customer Ratings]]&gt;=4, "Good",IF(Table1[[#This Row],[Customer Ratings]]=3, "Average","Poor"))</f>
        <v>Poor</v>
      </c>
      <c r="S3300" s="3" t="s">
        <v>42</v>
      </c>
    </row>
    <row r="3301" spans="1:19" x14ac:dyDescent="0.25">
      <c r="A3301" s="3">
        <v>3300</v>
      </c>
      <c r="B3301" s="5">
        <f>DATE(Table1[[#This Row],[Year]],Table1[[#This Row],[Month]],Table1[[#This Row],[Day]])</f>
        <v>45418</v>
      </c>
      <c r="C3301" s="3">
        <v>6</v>
      </c>
      <c r="D3301" s="3">
        <v>5</v>
      </c>
      <c r="E3301" s="3">
        <v>2024</v>
      </c>
      <c r="F3301" s="3" t="str">
        <f>"Qtr"&amp; " " &amp;CHOOSE(MONTH(Table1[[#This Row],[Date]]),1,1,1,2,2,2,3,3,3,4,4,4)</f>
        <v>Qtr 2</v>
      </c>
      <c r="G3301" s="3" t="str">
        <f>TEXT(Table1[[#This Row],[Date]],"mmmm")</f>
        <v>May</v>
      </c>
      <c r="H3301" s="3" t="s">
        <v>1081</v>
      </c>
      <c r="I3301" s="3" t="s">
        <v>33</v>
      </c>
      <c r="J3301" s="3">
        <v>9</v>
      </c>
      <c r="K3301" s="3">
        <v>28041.34</v>
      </c>
      <c r="L3301" s="3">
        <f>Table1[[#This Row],[Price Per Unit]]*Table1[[#This Row],[Units Sold]]</f>
        <v>252372.06</v>
      </c>
      <c r="M3301" s="3" t="s">
        <v>444</v>
      </c>
      <c r="N3301" s="3">
        <v>51</v>
      </c>
      <c r="O3301" s="3" t="s">
        <v>20</v>
      </c>
      <c r="P3301" s="3" t="s">
        <v>16</v>
      </c>
      <c r="Q3301" s="4">
        <v>3</v>
      </c>
      <c r="R3301" s="4" t="str">
        <f>IF(Table1[[#This Row],[Customer Ratings]]&gt;=4, "Good",IF(Table1[[#This Row],[Customer Ratings]]=3, "Average","Poor"))</f>
        <v>Average</v>
      </c>
      <c r="S3301" s="3" t="s">
        <v>83</v>
      </c>
    </row>
    <row r="3302" spans="1:19" x14ac:dyDescent="0.25">
      <c r="A3302" s="3">
        <v>3301</v>
      </c>
      <c r="B3302" s="5">
        <f>DATE(Table1[[#This Row],[Year]],Table1[[#This Row],[Month]],Table1[[#This Row],[Day]])</f>
        <v>45419</v>
      </c>
      <c r="C3302" s="3">
        <v>7</v>
      </c>
      <c r="D3302" s="3">
        <v>5</v>
      </c>
      <c r="E3302" s="3">
        <v>2024</v>
      </c>
      <c r="F3302" s="3" t="str">
        <f>"Qtr"&amp; " " &amp;CHOOSE(MONTH(Table1[[#This Row],[Date]]),1,1,1,2,2,2,3,3,3,4,4,4)</f>
        <v>Qtr 2</v>
      </c>
      <c r="G3302" s="3" t="str">
        <f>TEXT(Table1[[#This Row],[Date]],"mmmm")</f>
        <v>May</v>
      </c>
      <c r="H3302" s="3" t="s">
        <v>1082</v>
      </c>
      <c r="I3302" s="3" t="s">
        <v>13</v>
      </c>
      <c r="J3302" s="3">
        <v>9</v>
      </c>
      <c r="K3302" s="3">
        <v>43044.6</v>
      </c>
      <c r="L3302" s="3">
        <f>Table1[[#This Row],[Price Per Unit]]*Table1[[#This Row],[Units Sold]]</f>
        <v>387401.39999999997</v>
      </c>
      <c r="M3302" s="3" t="s">
        <v>457</v>
      </c>
      <c r="N3302" s="3">
        <v>35</v>
      </c>
      <c r="O3302" s="3" t="s">
        <v>20</v>
      </c>
      <c r="P3302" s="3" t="s">
        <v>31</v>
      </c>
      <c r="Q3302" s="4">
        <v>2</v>
      </c>
      <c r="R3302" s="4" t="str">
        <f>IF(Table1[[#This Row],[Customer Ratings]]&gt;=4, "Good",IF(Table1[[#This Row],[Customer Ratings]]=3, "Average","Poor"))</f>
        <v>Poor</v>
      </c>
      <c r="S3302" s="3" t="s">
        <v>17</v>
      </c>
    </row>
    <row r="3303" spans="1:19" x14ac:dyDescent="0.25">
      <c r="A3303" s="3">
        <v>3302</v>
      </c>
      <c r="B3303" s="5">
        <f>DATE(Table1[[#This Row],[Year]],Table1[[#This Row],[Month]],Table1[[#This Row],[Day]])</f>
        <v>45419</v>
      </c>
      <c r="C3303" s="3">
        <v>7</v>
      </c>
      <c r="D3303" s="3">
        <v>5</v>
      </c>
      <c r="E3303" s="3">
        <v>2024</v>
      </c>
      <c r="F3303" s="3" t="str">
        <f>"Qtr"&amp; " " &amp;CHOOSE(MONTH(Table1[[#This Row],[Date]]),1,1,1,2,2,2,3,3,3,4,4,4)</f>
        <v>Qtr 2</v>
      </c>
      <c r="G3303" s="3" t="str">
        <f>TEXT(Table1[[#This Row],[Date]],"mmmm")</f>
        <v>May</v>
      </c>
      <c r="H3303" s="3" t="s">
        <v>1082</v>
      </c>
      <c r="I3303" s="3" t="s">
        <v>18</v>
      </c>
      <c r="J3303" s="3">
        <v>1</v>
      </c>
      <c r="K3303" s="3">
        <v>27405.54</v>
      </c>
      <c r="L3303" s="3">
        <f>Table1[[#This Row],[Price Per Unit]]*Table1[[#This Row],[Units Sold]]</f>
        <v>27405.54</v>
      </c>
      <c r="M3303" s="3" t="s">
        <v>266</v>
      </c>
      <c r="N3303" s="3">
        <v>19</v>
      </c>
      <c r="O3303" s="3" t="s">
        <v>48</v>
      </c>
      <c r="P3303" s="3" t="s">
        <v>21</v>
      </c>
      <c r="Q3303" s="4">
        <v>2</v>
      </c>
      <c r="R3303" s="4" t="str">
        <f>IF(Table1[[#This Row],[Customer Ratings]]&gt;=4, "Good",IF(Table1[[#This Row],[Customer Ratings]]=3, "Average","Poor"))</f>
        <v>Poor</v>
      </c>
      <c r="S3303" s="3" t="s">
        <v>55</v>
      </c>
    </row>
    <row r="3304" spans="1:19" x14ac:dyDescent="0.25">
      <c r="A3304" s="3">
        <v>3303</v>
      </c>
      <c r="B3304" s="5">
        <f>DATE(Table1[[#This Row],[Year]],Table1[[#This Row],[Month]],Table1[[#This Row],[Day]])</f>
        <v>45419</v>
      </c>
      <c r="C3304" s="3">
        <v>7</v>
      </c>
      <c r="D3304" s="3">
        <v>5</v>
      </c>
      <c r="E3304" s="3">
        <v>2024</v>
      </c>
      <c r="F3304" s="3" t="str">
        <f>"Qtr"&amp; " " &amp;CHOOSE(MONTH(Table1[[#This Row],[Date]]),1,1,1,2,2,2,3,3,3,4,4,4)</f>
        <v>Qtr 2</v>
      </c>
      <c r="G3304" s="3" t="str">
        <f>TEXT(Table1[[#This Row],[Date]],"mmmm")</f>
        <v>May</v>
      </c>
      <c r="H3304" s="3" t="s">
        <v>1082</v>
      </c>
      <c r="I3304" s="3" t="s">
        <v>39</v>
      </c>
      <c r="J3304" s="3">
        <v>1</v>
      </c>
      <c r="K3304" s="3">
        <v>46806.73</v>
      </c>
      <c r="L3304" s="3">
        <f>Table1[[#This Row],[Price Per Unit]]*Table1[[#This Row],[Units Sold]]</f>
        <v>46806.73</v>
      </c>
      <c r="M3304" s="3" t="s">
        <v>293</v>
      </c>
      <c r="N3304" s="3">
        <v>33</v>
      </c>
      <c r="O3304" s="3" t="s">
        <v>30</v>
      </c>
      <c r="P3304" s="3" t="s">
        <v>31</v>
      </c>
      <c r="Q3304" s="4">
        <v>3</v>
      </c>
      <c r="R3304" s="4" t="str">
        <f>IF(Table1[[#This Row],[Customer Ratings]]&gt;=4, "Good",IF(Table1[[#This Row],[Customer Ratings]]=3, "Average","Poor"))</f>
        <v>Average</v>
      </c>
      <c r="S3304" s="3" t="s">
        <v>76</v>
      </c>
    </row>
    <row r="3305" spans="1:19" x14ac:dyDescent="0.25">
      <c r="A3305" s="3">
        <v>3304</v>
      </c>
      <c r="B3305" s="5">
        <f>DATE(Table1[[#This Row],[Year]],Table1[[#This Row],[Month]],Table1[[#This Row],[Day]])</f>
        <v>45420</v>
      </c>
      <c r="C3305" s="3">
        <v>8</v>
      </c>
      <c r="D3305" s="3">
        <v>5</v>
      </c>
      <c r="E3305" s="3">
        <v>2024</v>
      </c>
      <c r="F3305" s="3" t="str">
        <f>"Qtr"&amp; " " &amp;CHOOSE(MONTH(Table1[[#This Row],[Date]]),1,1,1,2,2,2,3,3,3,4,4,4)</f>
        <v>Qtr 2</v>
      </c>
      <c r="G3305" s="3" t="str">
        <f>TEXT(Table1[[#This Row],[Date]],"mmmm")</f>
        <v>May</v>
      </c>
      <c r="H3305" s="3" t="s">
        <v>1083</v>
      </c>
      <c r="I3305" s="3" t="s">
        <v>13</v>
      </c>
      <c r="J3305" s="3">
        <v>3</v>
      </c>
      <c r="K3305" s="3">
        <v>31228.17</v>
      </c>
      <c r="L3305" s="3">
        <f>Table1[[#This Row],[Price Per Unit]]*Table1[[#This Row],[Units Sold]]</f>
        <v>93684.51</v>
      </c>
      <c r="M3305" s="3" t="s">
        <v>1031</v>
      </c>
      <c r="N3305" s="3">
        <v>46</v>
      </c>
      <c r="O3305" s="3" t="s">
        <v>65</v>
      </c>
      <c r="P3305" s="3" t="s">
        <v>16</v>
      </c>
      <c r="Q3305" s="4">
        <v>4</v>
      </c>
      <c r="R3305" s="4" t="str">
        <f>IF(Table1[[#This Row],[Customer Ratings]]&gt;=4, "Good",IF(Table1[[#This Row],[Customer Ratings]]=3, "Average","Poor"))</f>
        <v>Good</v>
      </c>
      <c r="S3305" s="3" t="s">
        <v>27</v>
      </c>
    </row>
    <row r="3306" spans="1:19" x14ac:dyDescent="0.25">
      <c r="A3306" s="3">
        <v>3305</v>
      </c>
      <c r="B3306" s="5">
        <f>DATE(Table1[[#This Row],[Year]],Table1[[#This Row],[Month]],Table1[[#This Row],[Day]])</f>
        <v>45420</v>
      </c>
      <c r="C3306" s="3">
        <v>8</v>
      </c>
      <c r="D3306" s="3">
        <v>5</v>
      </c>
      <c r="E3306" s="3">
        <v>2024</v>
      </c>
      <c r="F3306" s="3" t="str">
        <f>"Qtr"&amp; " " &amp;CHOOSE(MONTH(Table1[[#This Row],[Date]]),1,1,1,2,2,2,3,3,3,4,4,4)</f>
        <v>Qtr 2</v>
      </c>
      <c r="G3306" s="3" t="str">
        <f>TEXT(Table1[[#This Row],[Date]],"mmmm")</f>
        <v>May</v>
      </c>
      <c r="H3306" s="3" t="s">
        <v>1083</v>
      </c>
      <c r="I3306" s="3" t="s">
        <v>39</v>
      </c>
      <c r="J3306" s="3">
        <v>6</v>
      </c>
      <c r="K3306" s="3">
        <v>30016.89</v>
      </c>
      <c r="L3306" s="3">
        <f>Table1[[#This Row],[Price Per Unit]]*Table1[[#This Row],[Units Sold]]</f>
        <v>180101.34</v>
      </c>
      <c r="M3306" s="3" t="s">
        <v>459</v>
      </c>
      <c r="N3306" s="3">
        <v>50</v>
      </c>
      <c r="O3306" s="3" t="s">
        <v>35</v>
      </c>
      <c r="P3306" s="3" t="s">
        <v>31</v>
      </c>
      <c r="Q3306" s="4">
        <v>2</v>
      </c>
      <c r="R3306" s="4" t="str">
        <f>IF(Table1[[#This Row],[Customer Ratings]]&gt;=4, "Good",IF(Table1[[#This Row],[Customer Ratings]]=3, "Average","Poor"))</f>
        <v>Poor</v>
      </c>
      <c r="S3306" s="3" t="s">
        <v>90</v>
      </c>
    </row>
    <row r="3307" spans="1:19" x14ac:dyDescent="0.25">
      <c r="A3307" s="3">
        <v>3306</v>
      </c>
      <c r="B3307" s="5">
        <f>DATE(Table1[[#This Row],[Year]],Table1[[#This Row],[Month]],Table1[[#This Row],[Day]])</f>
        <v>45420</v>
      </c>
      <c r="C3307" s="3">
        <v>8</v>
      </c>
      <c r="D3307" s="3">
        <v>5</v>
      </c>
      <c r="E3307" s="3">
        <v>2024</v>
      </c>
      <c r="F3307" s="3" t="str">
        <f>"Qtr"&amp; " " &amp;CHOOSE(MONTH(Table1[[#This Row],[Date]]),1,1,1,2,2,2,3,3,3,4,4,4)</f>
        <v>Qtr 2</v>
      </c>
      <c r="G3307" s="3" t="str">
        <f>TEXT(Table1[[#This Row],[Date]],"mmmm")</f>
        <v>May</v>
      </c>
      <c r="H3307" s="3" t="s">
        <v>1083</v>
      </c>
      <c r="I3307" s="3" t="s">
        <v>13</v>
      </c>
      <c r="J3307" s="3">
        <v>2</v>
      </c>
      <c r="K3307" s="3">
        <v>12276.3</v>
      </c>
      <c r="L3307" s="3">
        <f>Table1[[#This Row],[Price Per Unit]]*Table1[[#This Row],[Units Sold]]</f>
        <v>24552.6</v>
      </c>
      <c r="M3307" s="3" t="s">
        <v>525</v>
      </c>
      <c r="N3307" s="3">
        <v>33</v>
      </c>
      <c r="O3307" s="3" t="s">
        <v>20</v>
      </c>
      <c r="P3307" s="3" t="s">
        <v>31</v>
      </c>
      <c r="Q3307" s="4">
        <v>5</v>
      </c>
      <c r="R3307" s="4" t="str">
        <f>IF(Table1[[#This Row],[Customer Ratings]]&gt;=4, "Good",IF(Table1[[#This Row],[Customer Ratings]]=3, "Average","Poor"))</f>
        <v>Good</v>
      </c>
      <c r="S3307" s="3" t="s">
        <v>27</v>
      </c>
    </row>
    <row r="3308" spans="1:19" x14ac:dyDescent="0.25">
      <c r="A3308" s="3">
        <v>3307</v>
      </c>
      <c r="B3308" s="5">
        <f>DATE(Table1[[#This Row],[Year]],Table1[[#This Row],[Month]],Table1[[#This Row],[Day]])</f>
        <v>45420</v>
      </c>
      <c r="C3308" s="3">
        <v>8</v>
      </c>
      <c r="D3308" s="3">
        <v>5</v>
      </c>
      <c r="E3308" s="3">
        <v>2024</v>
      </c>
      <c r="F3308" s="3" t="str">
        <f>"Qtr"&amp; " " &amp;CHOOSE(MONTH(Table1[[#This Row],[Date]]),1,1,1,2,2,2,3,3,3,4,4,4)</f>
        <v>Qtr 2</v>
      </c>
      <c r="G3308" s="3" t="str">
        <f>TEXT(Table1[[#This Row],[Date]],"mmmm")</f>
        <v>May</v>
      </c>
      <c r="H3308" s="3" t="s">
        <v>1083</v>
      </c>
      <c r="I3308" s="3" t="s">
        <v>18</v>
      </c>
      <c r="J3308" s="3">
        <v>1</v>
      </c>
      <c r="K3308" s="3">
        <v>18817.62</v>
      </c>
      <c r="L3308" s="3">
        <f>Table1[[#This Row],[Price Per Unit]]*Table1[[#This Row],[Units Sold]]</f>
        <v>18817.62</v>
      </c>
      <c r="M3308" s="3" t="s">
        <v>1032</v>
      </c>
      <c r="N3308" s="3">
        <v>52</v>
      </c>
      <c r="O3308" s="3" t="s">
        <v>35</v>
      </c>
      <c r="P3308" s="3" t="s">
        <v>21</v>
      </c>
      <c r="Q3308" s="4">
        <v>1</v>
      </c>
      <c r="R3308" s="4" t="str">
        <f>IF(Table1[[#This Row],[Customer Ratings]]&gt;=4, "Good",IF(Table1[[#This Row],[Customer Ratings]]=3, "Average","Poor"))</f>
        <v>Poor</v>
      </c>
      <c r="S3308" s="3" t="s">
        <v>55</v>
      </c>
    </row>
    <row r="3309" spans="1:19" x14ac:dyDescent="0.25">
      <c r="A3309" s="3">
        <v>3308</v>
      </c>
      <c r="B3309" s="5">
        <f>DATE(Table1[[#This Row],[Year]],Table1[[#This Row],[Month]],Table1[[#This Row],[Day]])</f>
        <v>45421</v>
      </c>
      <c r="C3309" s="3">
        <v>9</v>
      </c>
      <c r="D3309" s="3">
        <v>5</v>
      </c>
      <c r="E3309" s="3">
        <v>2024</v>
      </c>
      <c r="F3309" s="3" t="str">
        <f>"Qtr"&amp; " " &amp;CHOOSE(MONTH(Table1[[#This Row],[Date]]),1,1,1,2,2,2,3,3,3,4,4,4)</f>
        <v>Qtr 2</v>
      </c>
      <c r="G3309" s="3" t="str">
        <f>TEXT(Table1[[#This Row],[Date]],"mmmm")</f>
        <v>May</v>
      </c>
      <c r="H3309" s="3" t="s">
        <v>1084</v>
      </c>
      <c r="I3309" s="3" t="s">
        <v>18</v>
      </c>
      <c r="J3309" s="3">
        <v>1</v>
      </c>
      <c r="K3309" s="3">
        <v>65024.69</v>
      </c>
      <c r="L3309" s="3">
        <f>Table1[[#This Row],[Price Per Unit]]*Table1[[#This Row],[Units Sold]]</f>
        <v>65024.69</v>
      </c>
      <c r="M3309" s="3" t="s">
        <v>218</v>
      </c>
      <c r="N3309" s="3">
        <v>59</v>
      </c>
      <c r="O3309" s="3" t="s">
        <v>65</v>
      </c>
      <c r="P3309" s="3" t="s">
        <v>16</v>
      </c>
      <c r="Q3309" s="4">
        <v>4</v>
      </c>
      <c r="R3309" s="4" t="str">
        <f>IF(Table1[[#This Row],[Customer Ratings]]&gt;=4, "Good",IF(Table1[[#This Row],[Customer Ratings]]=3, "Average","Poor"))</f>
        <v>Good</v>
      </c>
      <c r="S3309" s="3" t="s">
        <v>22</v>
      </c>
    </row>
    <row r="3310" spans="1:19" x14ac:dyDescent="0.25">
      <c r="A3310" s="3">
        <v>3309</v>
      </c>
      <c r="B3310" s="5">
        <f>DATE(Table1[[#This Row],[Year]],Table1[[#This Row],[Month]],Table1[[#This Row],[Day]])</f>
        <v>45421</v>
      </c>
      <c r="C3310" s="3">
        <v>9</v>
      </c>
      <c r="D3310" s="3">
        <v>5</v>
      </c>
      <c r="E3310" s="3">
        <v>2024</v>
      </c>
      <c r="F3310" s="3" t="str">
        <f>"Qtr"&amp; " " &amp;CHOOSE(MONTH(Table1[[#This Row],[Date]]),1,1,1,2,2,2,3,3,3,4,4,4)</f>
        <v>Qtr 2</v>
      </c>
      <c r="G3310" s="3" t="str">
        <f>TEXT(Table1[[#This Row],[Date]],"mmmm")</f>
        <v>May</v>
      </c>
      <c r="H3310" s="3" t="s">
        <v>1084</v>
      </c>
      <c r="I3310" s="3" t="s">
        <v>28</v>
      </c>
      <c r="J3310" s="3">
        <v>5</v>
      </c>
      <c r="K3310" s="3">
        <v>69896.649999999994</v>
      </c>
      <c r="L3310" s="3">
        <f>Table1[[#This Row],[Price Per Unit]]*Table1[[#This Row],[Units Sold]]</f>
        <v>349483.25</v>
      </c>
      <c r="M3310" s="3" t="s">
        <v>340</v>
      </c>
      <c r="N3310" s="3">
        <v>34</v>
      </c>
      <c r="O3310" s="3" t="s">
        <v>20</v>
      </c>
      <c r="P3310" s="3" t="s">
        <v>45</v>
      </c>
      <c r="Q3310" s="4">
        <v>5</v>
      </c>
      <c r="R3310" s="4" t="str">
        <f>IF(Table1[[#This Row],[Customer Ratings]]&gt;=4, "Good",IF(Table1[[#This Row],[Customer Ratings]]=3, "Average","Poor"))</f>
        <v>Good</v>
      </c>
      <c r="S3310" s="3" t="s">
        <v>32</v>
      </c>
    </row>
    <row r="3311" spans="1:19" x14ac:dyDescent="0.25">
      <c r="A3311" s="3">
        <v>3310</v>
      </c>
      <c r="B3311" s="5">
        <f>DATE(Table1[[#This Row],[Year]],Table1[[#This Row],[Month]],Table1[[#This Row],[Day]])</f>
        <v>45421</v>
      </c>
      <c r="C3311" s="3">
        <v>9</v>
      </c>
      <c r="D3311" s="3">
        <v>5</v>
      </c>
      <c r="E3311" s="3">
        <v>2024</v>
      </c>
      <c r="F3311" s="3" t="str">
        <f>"Qtr"&amp; " " &amp;CHOOSE(MONTH(Table1[[#This Row],[Date]]),1,1,1,2,2,2,3,3,3,4,4,4)</f>
        <v>Qtr 2</v>
      </c>
      <c r="G3311" s="3" t="str">
        <f>TEXT(Table1[[#This Row],[Date]],"mmmm")</f>
        <v>May</v>
      </c>
      <c r="H3311" s="3" t="s">
        <v>1084</v>
      </c>
      <c r="I3311" s="3" t="s">
        <v>13</v>
      </c>
      <c r="J3311" s="3">
        <v>4</v>
      </c>
      <c r="K3311" s="3">
        <v>56831.23</v>
      </c>
      <c r="L3311" s="3">
        <f>Table1[[#This Row],[Price Per Unit]]*Table1[[#This Row],[Units Sold]]</f>
        <v>227324.92</v>
      </c>
      <c r="M3311" s="3" t="s">
        <v>47</v>
      </c>
      <c r="N3311" s="3">
        <v>21</v>
      </c>
      <c r="O3311" s="3" t="s">
        <v>137</v>
      </c>
      <c r="P3311" s="3" t="s">
        <v>45</v>
      </c>
      <c r="Q3311" s="4">
        <v>1</v>
      </c>
      <c r="R3311" s="4" t="str">
        <f>IF(Table1[[#This Row],[Customer Ratings]]&gt;=4, "Good",IF(Table1[[#This Row],[Customer Ratings]]=3, "Average","Poor"))</f>
        <v>Poor</v>
      </c>
      <c r="S3311" s="3" t="s">
        <v>17</v>
      </c>
    </row>
    <row r="3312" spans="1:19" x14ac:dyDescent="0.25">
      <c r="A3312" s="3">
        <v>3311</v>
      </c>
      <c r="B3312" s="5">
        <f>DATE(Table1[[#This Row],[Year]],Table1[[#This Row],[Month]],Table1[[#This Row],[Day]])</f>
        <v>45422</v>
      </c>
      <c r="C3312" s="3">
        <v>10</v>
      </c>
      <c r="D3312" s="3">
        <v>5</v>
      </c>
      <c r="E3312" s="3">
        <v>2024</v>
      </c>
      <c r="F3312" s="3" t="str">
        <f>"Qtr"&amp; " " &amp;CHOOSE(MONTH(Table1[[#This Row],[Date]]),1,1,1,2,2,2,3,3,3,4,4,4)</f>
        <v>Qtr 2</v>
      </c>
      <c r="G3312" s="3" t="str">
        <f>TEXT(Table1[[#This Row],[Date]],"mmmm")</f>
        <v>May</v>
      </c>
      <c r="H3312" s="3" t="s">
        <v>1085</v>
      </c>
      <c r="I3312" s="3" t="s">
        <v>28</v>
      </c>
      <c r="J3312" s="3">
        <v>1</v>
      </c>
      <c r="K3312" s="3">
        <v>27208.76</v>
      </c>
      <c r="L3312" s="3">
        <f>Table1[[#This Row],[Price Per Unit]]*Table1[[#This Row],[Units Sold]]</f>
        <v>27208.76</v>
      </c>
      <c r="M3312" s="3" t="s">
        <v>1033</v>
      </c>
      <c r="N3312" s="3">
        <v>21</v>
      </c>
      <c r="O3312" s="3" t="s">
        <v>24</v>
      </c>
      <c r="P3312" s="3" t="s">
        <v>31</v>
      </c>
      <c r="Q3312" s="4">
        <v>5</v>
      </c>
      <c r="R3312" s="4" t="str">
        <f>IF(Table1[[#This Row],[Customer Ratings]]&gt;=4, "Good",IF(Table1[[#This Row],[Customer Ratings]]=3, "Average","Poor"))</f>
        <v>Good</v>
      </c>
      <c r="S3312" s="3" t="s">
        <v>87</v>
      </c>
    </row>
    <row r="3313" spans="1:19" x14ac:dyDescent="0.25">
      <c r="A3313" s="3">
        <v>3312</v>
      </c>
      <c r="B3313" s="5">
        <f>DATE(Table1[[#This Row],[Year]],Table1[[#This Row],[Month]],Table1[[#This Row],[Day]])</f>
        <v>45422</v>
      </c>
      <c r="C3313" s="3">
        <v>10</v>
      </c>
      <c r="D3313" s="3">
        <v>5</v>
      </c>
      <c r="E3313" s="3">
        <v>2024</v>
      </c>
      <c r="F3313" s="3" t="str">
        <f>"Qtr"&amp; " " &amp;CHOOSE(MONTH(Table1[[#This Row],[Date]]),1,1,1,2,2,2,3,3,3,4,4,4)</f>
        <v>Qtr 2</v>
      </c>
      <c r="G3313" s="3" t="str">
        <f>TEXT(Table1[[#This Row],[Date]],"mmmm")</f>
        <v>May</v>
      </c>
      <c r="H3313" s="3" t="s">
        <v>1085</v>
      </c>
      <c r="I3313" s="3" t="s">
        <v>13</v>
      </c>
      <c r="J3313" s="3">
        <v>4</v>
      </c>
      <c r="K3313" s="3">
        <v>34146.71</v>
      </c>
      <c r="L3313" s="3">
        <f>Table1[[#This Row],[Price Per Unit]]*Table1[[#This Row],[Units Sold]]</f>
        <v>136586.84</v>
      </c>
      <c r="M3313" s="3" t="s">
        <v>824</v>
      </c>
      <c r="N3313" s="3">
        <v>42</v>
      </c>
      <c r="O3313" s="3" t="s">
        <v>15</v>
      </c>
      <c r="P3313" s="3" t="s">
        <v>21</v>
      </c>
      <c r="Q3313" s="4">
        <v>4</v>
      </c>
      <c r="R3313" s="4" t="str">
        <f>IF(Table1[[#This Row],[Customer Ratings]]&gt;=4, "Good",IF(Table1[[#This Row],[Customer Ratings]]=3, "Average","Poor"))</f>
        <v>Good</v>
      </c>
      <c r="S3313" s="3" t="s">
        <v>27</v>
      </c>
    </row>
    <row r="3314" spans="1:19" x14ac:dyDescent="0.25">
      <c r="A3314" s="3">
        <v>3313</v>
      </c>
      <c r="B3314" s="5">
        <f>DATE(Table1[[#This Row],[Year]],Table1[[#This Row],[Month]],Table1[[#This Row],[Day]])</f>
        <v>45422</v>
      </c>
      <c r="C3314" s="3">
        <v>10</v>
      </c>
      <c r="D3314" s="3">
        <v>5</v>
      </c>
      <c r="E3314" s="3">
        <v>2024</v>
      </c>
      <c r="F3314" s="3" t="str">
        <f>"Qtr"&amp; " " &amp;CHOOSE(MONTH(Table1[[#This Row],[Date]]),1,1,1,2,2,2,3,3,3,4,4,4)</f>
        <v>Qtr 2</v>
      </c>
      <c r="G3314" s="3" t="str">
        <f>TEXT(Table1[[#This Row],[Date]],"mmmm")</f>
        <v>May</v>
      </c>
      <c r="H3314" s="3" t="s">
        <v>1085</v>
      </c>
      <c r="I3314" s="3" t="s">
        <v>28</v>
      </c>
      <c r="J3314" s="3">
        <v>3</v>
      </c>
      <c r="K3314" s="3">
        <v>54370.21</v>
      </c>
      <c r="L3314" s="3">
        <f>Table1[[#This Row],[Price Per Unit]]*Table1[[#This Row],[Units Sold]]</f>
        <v>163110.63</v>
      </c>
      <c r="M3314" s="3" t="s">
        <v>342</v>
      </c>
      <c r="N3314" s="3">
        <v>50</v>
      </c>
      <c r="O3314" s="3" t="s">
        <v>24</v>
      </c>
      <c r="P3314" s="3" t="s">
        <v>16</v>
      </c>
      <c r="Q3314" s="4">
        <v>3</v>
      </c>
      <c r="R3314" s="4" t="str">
        <f>IF(Table1[[#This Row],[Customer Ratings]]&gt;=4, "Good",IF(Table1[[#This Row],[Customer Ratings]]=3, "Average","Poor"))</f>
        <v>Average</v>
      </c>
      <c r="S3314" s="3" t="s">
        <v>87</v>
      </c>
    </row>
    <row r="3315" spans="1:19" x14ac:dyDescent="0.25">
      <c r="A3315" s="3">
        <v>3314</v>
      </c>
      <c r="B3315" s="5">
        <f>DATE(Table1[[#This Row],[Year]],Table1[[#This Row],[Month]],Table1[[#This Row],[Day]])</f>
        <v>45423</v>
      </c>
      <c r="C3315" s="3">
        <v>11</v>
      </c>
      <c r="D3315" s="3">
        <v>5</v>
      </c>
      <c r="E3315" s="3">
        <v>2024</v>
      </c>
      <c r="F3315" s="3" t="str">
        <f>"Qtr"&amp; " " &amp;CHOOSE(MONTH(Table1[[#This Row],[Date]]),1,1,1,2,2,2,3,3,3,4,4,4)</f>
        <v>Qtr 2</v>
      </c>
      <c r="G3315" s="3" t="str">
        <f>TEXT(Table1[[#This Row],[Date]],"mmmm")</f>
        <v>May</v>
      </c>
      <c r="H3315" s="3" t="s">
        <v>1079</v>
      </c>
      <c r="I3315" s="3" t="s">
        <v>18</v>
      </c>
      <c r="J3315" s="3">
        <v>2</v>
      </c>
      <c r="K3315" s="3">
        <v>68110.81</v>
      </c>
      <c r="L3315" s="3">
        <f>Table1[[#This Row],[Price Per Unit]]*Table1[[#This Row],[Units Sold]]</f>
        <v>136221.62</v>
      </c>
      <c r="M3315" s="3" t="s">
        <v>676</v>
      </c>
      <c r="N3315" s="3">
        <v>31</v>
      </c>
      <c r="O3315" s="3" t="s">
        <v>24</v>
      </c>
      <c r="P3315" s="3" t="s">
        <v>21</v>
      </c>
      <c r="Q3315" s="4">
        <v>1</v>
      </c>
      <c r="R3315" s="4" t="str">
        <f>IF(Table1[[#This Row],[Customer Ratings]]&gt;=4, "Good",IF(Table1[[#This Row],[Customer Ratings]]=3, "Average","Poor"))</f>
        <v>Poor</v>
      </c>
      <c r="S3315" s="3" t="s">
        <v>25</v>
      </c>
    </row>
    <row r="3316" spans="1:19" x14ac:dyDescent="0.25">
      <c r="A3316" s="3">
        <v>3315</v>
      </c>
      <c r="B3316" s="5">
        <f>DATE(Table1[[#This Row],[Year]],Table1[[#This Row],[Month]],Table1[[#This Row],[Day]])</f>
        <v>45423</v>
      </c>
      <c r="C3316" s="3">
        <v>11</v>
      </c>
      <c r="D3316" s="3">
        <v>5</v>
      </c>
      <c r="E3316" s="3">
        <v>2024</v>
      </c>
      <c r="F3316" s="3" t="str">
        <f>"Qtr"&amp; " " &amp;CHOOSE(MONTH(Table1[[#This Row],[Date]]),1,1,1,2,2,2,3,3,3,4,4,4)</f>
        <v>Qtr 2</v>
      </c>
      <c r="G3316" s="3" t="str">
        <f>TEXT(Table1[[#This Row],[Date]],"mmmm")</f>
        <v>May</v>
      </c>
      <c r="H3316" s="3" t="s">
        <v>1079</v>
      </c>
      <c r="I3316" s="3" t="s">
        <v>39</v>
      </c>
      <c r="J3316" s="3">
        <v>9</v>
      </c>
      <c r="K3316" s="3">
        <v>37328.269999999997</v>
      </c>
      <c r="L3316" s="3">
        <f>Table1[[#This Row],[Price Per Unit]]*Table1[[#This Row],[Units Sold]]</f>
        <v>335954.43</v>
      </c>
      <c r="M3316" s="3" t="s">
        <v>635</v>
      </c>
      <c r="N3316" s="3">
        <v>41</v>
      </c>
      <c r="O3316" s="3" t="s">
        <v>125</v>
      </c>
      <c r="P3316" s="3" t="s">
        <v>16</v>
      </c>
      <c r="Q3316" s="4">
        <v>5</v>
      </c>
      <c r="R3316" s="4" t="str">
        <f>IF(Table1[[#This Row],[Customer Ratings]]&gt;=4, "Good",IF(Table1[[#This Row],[Customer Ratings]]=3, "Average","Poor"))</f>
        <v>Good</v>
      </c>
      <c r="S3316" s="3" t="s">
        <v>42</v>
      </c>
    </row>
    <row r="3317" spans="1:19" x14ac:dyDescent="0.25">
      <c r="A3317" s="3">
        <v>3316</v>
      </c>
      <c r="B3317" s="5">
        <f>DATE(Table1[[#This Row],[Year]],Table1[[#This Row],[Month]],Table1[[#This Row],[Day]])</f>
        <v>45423</v>
      </c>
      <c r="C3317" s="3">
        <v>11</v>
      </c>
      <c r="D3317" s="3">
        <v>5</v>
      </c>
      <c r="E3317" s="3">
        <v>2024</v>
      </c>
      <c r="F3317" s="3" t="str">
        <f>"Qtr"&amp; " " &amp;CHOOSE(MONTH(Table1[[#This Row],[Date]]),1,1,1,2,2,2,3,3,3,4,4,4)</f>
        <v>Qtr 2</v>
      </c>
      <c r="G3317" s="3" t="str">
        <f>TEXT(Table1[[#This Row],[Date]],"mmmm")</f>
        <v>May</v>
      </c>
      <c r="H3317" s="3" t="s">
        <v>1079</v>
      </c>
      <c r="I3317" s="3" t="s">
        <v>28</v>
      </c>
      <c r="J3317" s="3">
        <v>1</v>
      </c>
      <c r="K3317" s="3">
        <v>59771.34</v>
      </c>
      <c r="L3317" s="3">
        <f>Table1[[#This Row],[Price Per Unit]]*Table1[[#This Row],[Units Sold]]</f>
        <v>59771.34</v>
      </c>
      <c r="M3317" s="3" t="s">
        <v>773</v>
      </c>
      <c r="N3317" s="3">
        <v>28</v>
      </c>
      <c r="O3317" s="3" t="s">
        <v>41</v>
      </c>
      <c r="P3317" s="3" t="s">
        <v>21</v>
      </c>
      <c r="Q3317" s="4">
        <v>5</v>
      </c>
      <c r="R3317" s="4" t="str">
        <f>IF(Table1[[#This Row],[Customer Ratings]]&gt;=4, "Good",IF(Table1[[#This Row],[Customer Ratings]]=3, "Average","Poor"))</f>
        <v>Good</v>
      </c>
      <c r="S3317" s="3" t="s">
        <v>38</v>
      </c>
    </row>
    <row r="3318" spans="1:19" x14ac:dyDescent="0.25">
      <c r="A3318" s="3">
        <v>3317</v>
      </c>
      <c r="B3318" s="5">
        <f>DATE(Table1[[#This Row],[Year]],Table1[[#This Row],[Month]],Table1[[#This Row],[Day]])</f>
        <v>45424</v>
      </c>
      <c r="C3318" s="3">
        <v>12</v>
      </c>
      <c r="D3318" s="3">
        <v>5</v>
      </c>
      <c r="E3318" s="3">
        <v>2024</v>
      </c>
      <c r="F3318" s="3" t="str">
        <f>"Qtr"&amp; " " &amp;CHOOSE(MONTH(Table1[[#This Row],[Date]]),1,1,1,2,2,2,3,3,3,4,4,4)</f>
        <v>Qtr 2</v>
      </c>
      <c r="G3318" s="3" t="str">
        <f>TEXT(Table1[[#This Row],[Date]],"mmmm")</f>
        <v>May</v>
      </c>
      <c r="H3318" s="3" t="s">
        <v>1080</v>
      </c>
      <c r="I3318" s="3" t="s">
        <v>13</v>
      </c>
      <c r="J3318" s="3">
        <v>7</v>
      </c>
      <c r="K3318" s="3">
        <v>68504.14</v>
      </c>
      <c r="L3318" s="3">
        <f>Table1[[#This Row],[Price Per Unit]]*Table1[[#This Row],[Units Sold]]</f>
        <v>479528.98</v>
      </c>
      <c r="M3318" s="3" t="s">
        <v>391</v>
      </c>
      <c r="N3318" s="3">
        <v>42</v>
      </c>
      <c r="O3318" s="3" t="s">
        <v>20</v>
      </c>
      <c r="P3318" s="3" t="s">
        <v>45</v>
      </c>
      <c r="Q3318" s="4">
        <v>4</v>
      </c>
      <c r="R3318" s="4" t="str">
        <f>IF(Table1[[#This Row],[Customer Ratings]]&gt;=4, "Good",IF(Table1[[#This Row],[Customer Ratings]]=3, "Average","Poor"))</f>
        <v>Good</v>
      </c>
      <c r="S3318" s="3" t="s">
        <v>27</v>
      </c>
    </row>
    <row r="3319" spans="1:19" x14ac:dyDescent="0.25">
      <c r="A3319" s="3">
        <v>3318</v>
      </c>
      <c r="B3319" s="5">
        <f>DATE(Table1[[#This Row],[Year]],Table1[[#This Row],[Month]],Table1[[#This Row],[Day]])</f>
        <v>45424</v>
      </c>
      <c r="C3319" s="3">
        <v>12</v>
      </c>
      <c r="D3319" s="3">
        <v>5</v>
      </c>
      <c r="E3319" s="3">
        <v>2024</v>
      </c>
      <c r="F3319" s="3" t="str">
        <f>"Qtr"&amp; " " &amp;CHOOSE(MONTH(Table1[[#This Row],[Date]]),1,1,1,2,2,2,3,3,3,4,4,4)</f>
        <v>Qtr 2</v>
      </c>
      <c r="G3319" s="3" t="str">
        <f>TEXT(Table1[[#This Row],[Date]],"mmmm")</f>
        <v>May</v>
      </c>
      <c r="H3319" s="3" t="s">
        <v>1080</v>
      </c>
      <c r="I3319" s="3" t="s">
        <v>13</v>
      </c>
      <c r="J3319" s="3">
        <v>4</v>
      </c>
      <c r="K3319" s="3">
        <v>62408.39</v>
      </c>
      <c r="L3319" s="3">
        <f>Table1[[#This Row],[Price Per Unit]]*Table1[[#This Row],[Units Sold]]</f>
        <v>249633.56</v>
      </c>
      <c r="M3319" s="3" t="s">
        <v>276</v>
      </c>
      <c r="N3319" s="3">
        <v>45</v>
      </c>
      <c r="O3319" s="3" t="s">
        <v>20</v>
      </c>
      <c r="P3319" s="3" t="s">
        <v>45</v>
      </c>
      <c r="Q3319" s="4">
        <v>4</v>
      </c>
      <c r="R3319" s="4" t="str">
        <f>IF(Table1[[#This Row],[Customer Ratings]]&gt;=4, "Good",IF(Table1[[#This Row],[Customer Ratings]]=3, "Average","Poor"))</f>
        <v>Good</v>
      </c>
      <c r="S3319" s="3" t="s">
        <v>72</v>
      </c>
    </row>
    <row r="3320" spans="1:19" x14ac:dyDescent="0.25">
      <c r="A3320" s="3">
        <v>3319</v>
      </c>
      <c r="B3320" s="5">
        <f>DATE(Table1[[#This Row],[Year]],Table1[[#This Row],[Month]],Table1[[#This Row],[Day]])</f>
        <v>45424</v>
      </c>
      <c r="C3320" s="3">
        <v>12</v>
      </c>
      <c r="D3320" s="3">
        <v>5</v>
      </c>
      <c r="E3320" s="3">
        <v>2024</v>
      </c>
      <c r="F3320" s="3" t="str">
        <f>"Qtr"&amp; " " &amp;CHOOSE(MONTH(Table1[[#This Row],[Date]]),1,1,1,2,2,2,3,3,3,4,4,4)</f>
        <v>Qtr 2</v>
      </c>
      <c r="G3320" s="3" t="str">
        <f>TEXT(Table1[[#This Row],[Date]],"mmmm")</f>
        <v>May</v>
      </c>
      <c r="H3320" s="3" t="s">
        <v>1080</v>
      </c>
      <c r="I3320" s="3" t="s">
        <v>18</v>
      </c>
      <c r="J3320" s="3">
        <v>5</v>
      </c>
      <c r="K3320" s="3">
        <v>23628.98</v>
      </c>
      <c r="L3320" s="3">
        <f>Table1[[#This Row],[Price Per Unit]]*Table1[[#This Row],[Units Sold]]</f>
        <v>118144.9</v>
      </c>
      <c r="M3320" s="3" t="s">
        <v>886</v>
      </c>
      <c r="N3320" s="3">
        <v>24</v>
      </c>
      <c r="O3320" s="3" t="s">
        <v>30</v>
      </c>
      <c r="P3320" s="3" t="s">
        <v>45</v>
      </c>
      <c r="Q3320" s="4">
        <v>4</v>
      </c>
      <c r="R3320" s="4" t="str">
        <f>IF(Table1[[#This Row],[Customer Ratings]]&gt;=4, "Good",IF(Table1[[#This Row],[Customer Ratings]]=3, "Average","Poor"))</f>
        <v>Good</v>
      </c>
      <c r="S3320" s="3" t="s">
        <v>25</v>
      </c>
    </row>
    <row r="3321" spans="1:19" x14ac:dyDescent="0.25">
      <c r="A3321" s="3">
        <v>3320</v>
      </c>
      <c r="B3321" s="5">
        <f>DATE(Table1[[#This Row],[Year]],Table1[[#This Row],[Month]],Table1[[#This Row],[Day]])</f>
        <v>45425</v>
      </c>
      <c r="C3321" s="3">
        <v>13</v>
      </c>
      <c r="D3321" s="3">
        <v>5</v>
      </c>
      <c r="E3321" s="3">
        <v>2024</v>
      </c>
      <c r="F3321" s="3" t="str">
        <f>"Qtr"&amp; " " &amp;CHOOSE(MONTH(Table1[[#This Row],[Date]]),1,1,1,2,2,2,3,3,3,4,4,4)</f>
        <v>Qtr 2</v>
      </c>
      <c r="G3321" s="3" t="str">
        <f>TEXT(Table1[[#This Row],[Date]],"mmmm")</f>
        <v>May</v>
      </c>
      <c r="H3321" s="3" t="s">
        <v>1081</v>
      </c>
      <c r="I3321" s="3" t="s">
        <v>13</v>
      </c>
      <c r="J3321" s="3">
        <v>5</v>
      </c>
      <c r="K3321" s="3">
        <v>10481.91</v>
      </c>
      <c r="L3321" s="3">
        <f>Table1[[#This Row],[Price Per Unit]]*Table1[[#This Row],[Units Sold]]</f>
        <v>52409.55</v>
      </c>
      <c r="M3321" s="3" t="s">
        <v>290</v>
      </c>
      <c r="N3321" s="3">
        <v>53</v>
      </c>
      <c r="O3321" s="3" t="s">
        <v>24</v>
      </c>
      <c r="P3321" s="3" t="s">
        <v>21</v>
      </c>
      <c r="Q3321" s="4">
        <v>3</v>
      </c>
      <c r="R3321" s="4" t="str">
        <f>IF(Table1[[#This Row],[Customer Ratings]]&gt;=4, "Good",IF(Table1[[#This Row],[Customer Ratings]]=3, "Average","Poor"))</f>
        <v>Average</v>
      </c>
      <c r="S3321" s="3" t="s">
        <v>27</v>
      </c>
    </row>
    <row r="3322" spans="1:19" x14ac:dyDescent="0.25">
      <c r="A3322" s="3">
        <v>3321</v>
      </c>
      <c r="B3322" s="5">
        <f>DATE(Table1[[#This Row],[Year]],Table1[[#This Row],[Month]],Table1[[#This Row],[Day]])</f>
        <v>45425</v>
      </c>
      <c r="C3322" s="3">
        <v>13</v>
      </c>
      <c r="D3322" s="3">
        <v>5</v>
      </c>
      <c r="E3322" s="3">
        <v>2024</v>
      </c>
      <c r="F3322" s="3" t="str">
        <f>"Qtr"&amp; " " &amp;CHOOSE(MONTH(Table1[[#This Row],[Date]]),1,1,1,2,2,2,3,3,3,4,4,4)</f>
        <v>Qtr 2</v>
      </c>
      <c r="G3322" s="3" t="str">
        <f>TEXT(Table1[[#This Row],[Date]],"mmmm")</f>
        <v>May</v>
      </c>
      <c r="H3322" s="3" t="s">
        <v>1081</v>
      </c>
      <c r="I3322" s="3" t="s">
        <v>33</v>
      </c>
      <c r="J3322" s="3">
        <v>1</v>
      </c>
      <c r="K3322" s="3">
        <v>39524.9</v>
      </c>
      <c r="L3322" s="3">
        <f>Table1[[#This Row],[Price Per Unit]]*Table1[[#This Row],[Units Sold]]</f>
        <v>39524.9</v>
      </c>
      <c r="M3322" s="3" t="s">
        <v>143</v>
      </c>
      <c r="N3322" s="3">
        <v>27</v>
      </c>
      <c r="O3322" s="3" t="s">
        <v>65</v>
      </c>
      <c r="P3322" s="3" t="s">
        <v>21</v>
      </c>
      <c r="Q3322" s="4">
        <v>2</v>
      </c>
      <c r="R3322" s="4" t="str">
        <f>IF(Table1[[#This Row],[Customer Ratings]]&gt;=4, "Good",IF(Table1[[#This Row],[Customer Ratings]]=3, "Average","Poor"))</f>
        <v>Poor</v>
      </c>
      <c r="S3322" s="3" t="s">
        <v>36</v>
      </c>
    </row>
    <row r="3323" spans="1:19" x14ac:dyDescent="0.25">
      <c r="A3323" s="3">
        <v>3322</v>
      </c>
      <c r="B3323" s="5">
        <f>DATE(Table1[[#This Row],[Year]],Table1[[#This Row],[Month]],Table1[[#This Row],[Day]])</f>
        <v>45425</v>
      </c>
      <c r="C3323" s="3">
        <v>13</v>
      </c>
      <c r="D3323" s="3">
        <v>5</v>
      </c>
      <c r="E3323" s="3">
        <v>2024</v>
      </c>
      <c r="F3323" s="3" t="str">
        <f>"Qtr"&amp; " " &amp;CHOOSE(MONTH(Table1[[#This Row],[Date]]),1,1,1,2,2,2,3,3,3,4,4,4)</f>
        <v>Qtr 2</v>
      </c>
      <c r="G3323" s="3" t="str">
        <f>TEXT(Table1[[#This Row],[Date]],"mmmm")</f>
        <v>May</v>
      </c>
      <c r="H3323" s="3" t="s">
        <v>1081</v>
      </c>
      <c r="I3323" s="3" t="s">
        <v>39</v>
      </c>
      <c r="J3323" s="3">
        <v>6</v>
      </c>
      <c r="K3323" s="3">
        <v>41881.65</v>
      </c>
      <c r="L3323" s="3">
        <f>Table1[[#This Row],[Price Per Unit]]*Table1[[#This Row],[Units Sold]]</f>
        <v>251289.90000000002</v>
      </c>
      <c r="M3323" s="3" t="s">
        <v>891</v>
      </c>
      <c r="N3323" s="3">
        <v>53</v>
      </c>
      <c r="O3323" s="3" t="s">
        <v>35</v>
      </c>
      <c r="P3323" s="3" t="s">
        <v>31</v>
      </c>
      <c r="Q3323" s="4">
        <v>5</v>
      </c>
      <c r="R3323" s="4" t="str">
        <f>IF(Table1[[#This Row],[Customer Ratings]]&gt;=4, "Good",IF(Table1[[#This Row],[Customer Ratings]]=3, "Average","Poor"))</f>
        <v>Good</v>
      </c>
      <c r="S3323" s="3" t="s">
        <v>42</v>
      </c>
    </row>
    <row r="3324" spans="1:19" x14ac:dyDescent="0.25">
      <c r="A3324" s="3">
        <v>3323</v>
      </c>
      <c r="B3324" s="5">
        <f>DATE(Table1[[#This Row],[Year]],Table1[[#This Row],[Month]],Table1[[#This Row],[Day]])</f>
        <v>45425</v>
      </c>
      <c r="C3324" s="3">
        <v>13</v>
      </c>
      <c r="D3324" s="3">
        <v>5</v>
      </c>
      <c r="E3324" s="3">
        <v>2024</v>
      </c>
      <c r="F3324" s="3" t="str">
        <f>"Qtr"&amp; " " &amp;CHOOSE(MONTH(Table1[[#This Row],[Date]]),1,1,1,2,2,2,3,3,3,4,4,4)</f>
        <v>Qtr 2</v>
      </c>
      <c r="G3324" s="3" t="str">
        <f>TEXT(Table1[[#This Row],[Date]],"mmmm")</f>
        <v>May</v>
      </c>
      <c r="H3324" s="3" t="s">
        <v>1081</v>
      </c>
      <c r="I3324" s="3" t="s">
        <v>28</v>
      </c>
      <c r="J3324" s="3">
        <v>9</v>
      </c>
      <c r="K3324" s="3">
        <v>22075.02</v>
      </c>
      <c r="L3324" s="3">
        <f>Table1[[#This Row],[Price Per Unit]]*Table1[[#This Row],[Units Sold]]</f>
        <v>198675.18</v>
      </c>
      <c r="M3324" s="3" t="s">
        <v>754</v>
      </c>
      <c r="N3324" s="3">
        <v>48</v>
      </c>
      <c r="O3324" s="3" t="s">
        <v>65</v>
      </c>
      <c r="P3324" s="3" t="s">
        <v>45</v>
      </c>
      <c r="Q3324" s="4">
        <v>3</v>
      </c>
      <c r="R3324" s="4" t="str">
        <f>IF(Table1[[#This Row],[Customer Ratings]]&gt;=4, "Good",IF(Table1[[#This Row],[Customer Ratings]]=3, "Average","Poor"))</f>
        <v>Average</v>
      </c>
      <c r="S3324" s="3" t="s">
        <v>32</v>
      </c>
    </row>
    <row r="3325" spans="1:19" x14ac:dyDescent="0.25">
      <c r="A3325" s="3">
        <v>3324</v>
      </c>
      <c r="B3325" s="5">
        <f>DATE(Table1[[#This Row],[Year]],Table1[[#This Row],[Month]],Table1[[#This Row],[Day]])</f>
        <v>45426</v>
      </c>
      <c r="C3325" s="3">
        <v>14</v>
      </c>
      <c r="D3325" s="3">
        <v>5</v>
      </c>
      <c r="E3325" s="3">
        <v>2024</v>
      </c>
      <c r="F3325" s="3" t="str">
        <f>"Qtr"&amp; " " &amp;CHOOSE(MONTH(Table1[[#This Row],[Date]]),1,1,1,2,2,2,3,3,3,4,4,4)</f>
        <v>Qtr 2</v>
      </c>
      <c r="G3325" s="3" t="str">
        <f>TEXT(Table1[[#This Row],[Date]],"mmmm")</f>
        <v>May</v>
      </c>
      <c r="H3325" s="3" t="s">
        <v>1082</v>
      </c>
      <c r="I3325" s="3" t="s">
        <v>39</v>
      </c>
      <c r="J3325" s="3">
        <v>2</v>
      </c>
      <c r="K3325" s="3">
        <v>27080.46</v>
      </c>
      <c r="L3325" s="3">
        <f>Table1[[#This Row],[Price Per Unit]]*Table1[[#This Row],[Units Sold]]</f>
        <v>54160.92</v>
      </c>
      <c r="M3325" s="3" t="s">
        <v>848</v>
      </c>
      <c r="N3325" s="3">
        <v>36</v>
      </c>
      <c r="O3325" s="3" t="s">
        <v>125</v>
      </c>
      <c r="P3325" s="3" t="s">
        <v>31</v>
      </c>
      <c r="Q3325" s="4">
        <v>5</v>
      </c>
      <c r="R3325" s="4" t="str">
        <f>IF(Table1[[#This Row],[Customer Ratings]]&gt;=4, "Good",IF(Table1[[#This Row],[Customer Ratings]]=3, "Average","Poor"))</f>
        <v>Good</v>
      </c>
      <c r="S3325" s="3" t="s">
        <v>76</v>
      </c>
    </row>
    <row r="3326" spans="1:19" x14ac:dyDescent="0.25">
      <c r="A3326" s="3">
        <v>3325</v>
      </c>
      <c r="B3326" s="5">
        <f>DATE(Table1[[#This Row],[Year]],Table1[[#This Row],[Month]],Table1[[#This Row],[Day]])</f>
        <v>45426</v>
      </c>
      <c r="C3326" s="3">
        <v>14</v>
      </c>
      <c r="D3326" s="3">
        <v>5</v>
      </c>
      <c r="E3326" s="3">
        <v>2024</v>
      </c>
      <c r="F3326" s="3" t="str">
        <f>"Qtr"&amp; " " &amp;CHOOSE(MONTH(Table1[[#This Row],[Date]]),1,1,1,2,2,2,3,3,3,4,4,4)</f>
        <v>Qtr 2</v>
      </c>
      <c r="G3326" s="3" t="str">
        <f>TEXT(Table1[[#This Row],[Date]],"mmmm")</f>
        <v>May</v>
      </c>
      <c r="H3326" s="3" t="s">
        <v>1082</v>
      </c>
      <c r="I3326" s="3" t="s">
        <v>18</v>
      </c>
      <c r="J3326" s="3">
        <v>7</v>
      </c>
      <c r="K3326" s="3">
        <v>55909.19</v>
      </c>
      <c r="L3326" s="3">
        <f>Table1[[#This Row],[Price Per Unit]]*Table1[[#This Row],[Units Sold]]</f>
        <v>391364.33</v>
      </c>
      <c r="M3326" s="3" t="s">
        <v>380</v>
      </c>
      <c r="N3326" s="3">
        <v>35</v>
      </c>
      <c r="O3326" s="3" t="s">
        <v>102</v>
      </c>
      <c r="P3326" s="3" t="s">
        <v>21</v>
      </c>
      <c r="Q3326" s="4">
        <v>3</v>
      </c>
      <c r="R3326" s="4" t="str">
        <f>IF(Table1[[#This Row],[Customer Ratings]]&gt;=4, "Good",IF(Table1[[#This Row],[Customer Ratings]]=3, "Average","Poor"))</f>
        <v>Average</v>
      </c>
      <c r="S3326" s="3" t="s">
        <v>22</v>
      </c>
    </row>
    <row r="3327" spans="1:19" x14ac:dyDescent="0.25">
      <c r="A3327" s="3">
        <v>3326</v>
      </c>
      <c r="B3327" s="5">
        <f>DATE(Table1[[#This Row],[Year]],Table1[[#This Row],[Month]],Table1[[#This Row],[Day]])</f>
        <v>45426</v>
      </c>
      <c r="C3327" s="3">
        <v>14</v>
      </c>
      <c r="D3327" s="3">
        <v>5</v>
      </c>
      <c r="E3327" s="3">
        <v>2024</v>
      </c>
      <c r="F3327" s="3" t="str">
        <f>"Qtr"&amp; " " &amp;CHOOSE(MONTH(Table1[[#This Row],[Date]]),1,1,1,2,2,2,3,3,3,4,4,4)</f>
        <v>Qtr 2</v>
      </c>
      <c r="G3327" s="3" t="str">
        <f>TEXT(Table1[[#This Row],[Date]],"mmmm")</f>
        <v>May</v>
      </c>
      <c r="H3327" s="3" t="s">
        <v>1082</v>
      </c>
      <c r="I3327" s="3" t="s">
        <v>28</v>
      </c>
      <c r="J3327" s="3">
        <v>6</v>
      </c>
      <c r="K3327" s="3">
        <v>38220.839999999997</v>
      </c>
      <c r="L3327" s="3">
        <f>Table1[[#This Row],[Price Per Unit]]*Table1[[#This Row],[Units Sold]]</f>
        <v>229325.03999999998</v>
      </c>
      <c r="M3327" s="3" t="s">
        <v>632</v>
      </c>
      <c r="N3327" s="3">
        <v>23</v>
      </c>
      <c r="O3327" s="3" t="s">
        <v>120</v>
      </c>
      <c r="P3327" s="3" t="s">
        <v>16</v>
      </c>
      <c r="Q3327" s="4">
        <v>1</v>
      </c>
      <c r="R3327" s="4" t="str">
        <f>IF(Table1[[#This Row],[Customer Ratings]]&gt;=4, "Good",IF(Table1[[#This Row],[Customer Ratings]]=3, "Average","Poor"))</f>
        <v>Poor</v>
      </c>
      <c r="S3327" s="3" t="s">
        <v>32</v>
      </c>
    </row>
    <row r="3328" spans="1:19" x14ac:dyDescent="0.25">
      <c r="A3328" s="3">
        <v>3327</v>
      </c>
      <c r="B3328" s="5">
        <f>DATE(Table1[[#This Row],[Year]],Table1[[#This Row],[Month]],Table1[[#This Row],[Day]])</f>
        <v>45426</v>
      </c>
      <c r="C3328" s="3">
        <v>14</v>
      </c>
      <c r="D3328" s="3">
        <v>5</v>
      </c>
      <c r="E3328" s="3">
        <v>2024</v>
      </c>
      <c r="F3328" s="3" t="str">
        <f>"Qtr"&amp; " " &amp;CHOOSE(MONTH(Table1[[#This Row],[Date]]),1,1,1,2,2,2,3,3,3,4,4,4)</f>
        <v>Qtr 2</v>
      </c>
      <c r="G3328" s="3" t="str">
        <f>TEXT(Table1[[#This Row],[Date]],"mmmm")</f>
        <v>May</v>
      </c>
      <c r="H3328" s="3" t="s">
        <v>1082</v>
      </c>
      <c r="I3328" s="3" t="s">
        <v>28</v>
      </c>
      <c r="J3328" s="3">
        <v>5</v>
      </c>
      <c r="K3328" s="3">
        <v>29041.25</v>
      </c>
      <c r="L3328" s="3">
        <f>Table1[[#This Row],[Price Per Unit]]*Table1[[#This Row],[Units Sold]]</f>
        <v>145206.25</v>
      </c>
      <c r="M3328" s="3" t="s">
        <v>182</v>
      </c>
      <c r="N3328" s="3">
        <v>45</v>
      </c>
      <c r="O3328" s="3" t="s">
        <v>102</v>
      </c>
      <c r="P3328" s="3" t="s">
        <v>45</v>
      </c>
      <c r="Q3328" s="4">
        <v>2</v>
      </c>
      <c r="R3328" s="4" t="str">
        <f>IF(Table1[[#This Row],[Customer Ratings]]&gt;=4, "Good",IF(Table1[[#This Row],[Customer Ratings]]=3, "Average","Poor"))</f>
        <v>Poor</v>
      </c>
      <c r="S3328" s="3" t="s">
        <v>32</v>
      </c>
    </row>
    <row r="3329" spans="1:19" x14ac:dyDescent="0.25">
      <c r="A3329" s="3">
        <v>3328</v>
      </c>
      <c r="B3329" s="5">
        <f>DATE(Table1[[#This Row],[Year]],Table1[[#This Row],[Month]],Table1[[#This Row],[Day]])</f>
        <v>45427</v>
      </c>
      <c r="C3329" s="3">
        <v>15</v>
      </c>
      <c r="D3329" s="3">
        <v>5</v>
      </c>
      <c r="E3329" s="3">
        <v>2024</v>
      </c>
      <c r="F3329" s="3" t="str">
        <f>"Qtr"&amp; " " &amp;CHOOSE(MONTH(Table1[[#This Row],[Date]]),1,1,1,2,2,2,3,3,3,4,4,4)</f>
        <v>Qtr 2</v>
      </c>
      <c r="G3329" s="3" t="str">
        <f>TEXT(Table1[[#This Row],[Date]],"mmmm")</f>
        <v>May</v>
      </c>
      <c r="H3329" s="3" t="s">
        <v>1083</v>
      </c>
      <c r="I3329" s="3" t="s">
        <v>33</v>
      </c>
      <c r="J3329" s="3">
        <v>4</v>
      </c>
      <c r="K3329" s="3">
        <v>47357.56</v>
      </c>
      <c r="L3329" s="3">
        <f>Table1[[#This Row],[Price Per Unit]]*Table1[[#This Row],[Units Sold]]</f>
        <v>189430.24</v>
      </c>
      <c r="M3329" s="3" t="s">
        <v>834</v>
      </c>
      <c r="N3329" s="3">
        <v>24</v>
      </c>
      <c r="O3329" s="3" t="s">
        <v>35</v>
      </c>
      <c r="P3329" s="3" t="s">
        <v>45</v>
      </c>
      <c r="Q3329" s="4">
        <v>5</v>
      </c>
      <c r="R3329" s="4" t="str">
        <f>IF(Table1[[#This Row],[Customer Ratings]]&gt;=4, "Good",IF(Table1[[#This Row],[Customer Ratings]]=3, "Average","Poor"))</f>
        <v>Good</v>
      </c>
      <c r="S3329" s="3" t="s">
        <v>46</v>
      </c>
    </row>
    <row r="3330" spans="1:19" x14ac:dyDescent="0.25">
      <c r="A3330" s="3">
        <v>3329</v>
      </c>
      <c r="B3330" s="5">
        <f>DATE(Table1[[#This Row],[Year]],Table1[[#This Row],[Month]],Table1[[#This Row],[Day]])</f>
        <v>45427</v>
      </c>
      <c r="C3330" s="3">
        <v>15</v>
      </c>
      <c r="D3330" s="3">
        <v>5</v>
      </c>
      <c r="E3330" s="3">
        <v>2024</v>
      </c>
      <c r="F3330" s="3" t="str">
        <f>"Qtr"&amp; " " &amp;CHOOSE(MONTH(Table1[[#This Row],[Date]]),1,1,1,2,2,2,3,3,3,4,4,4)</f>
        <v>Qtr 2</v>
      </c>
      <c r="G3330" s="3" t="str">
        <f>TEXT(Table1[[#This Row],[Date]],"mmmm")</f>
        <v>May</v>
      </c>
      <c r="H3330" s="3" t="s">
        <v>1083</v>
      </c>
      <c r="I3330" s="3" t="s">
        <v>18</v>
      </c>
      <c r="J3330" s="3">
        <v>4</v>
      </c>
      <c r="K3330" s="3">
        <v>49165.59</v>
      </c>
      <c r="L3330" s="3">
        <f>Table1[[#This Row],[Price Per Unit]]*Table1[[#This Row],[Units Sold]]</f>
        <v>196662.36</v>
      </c>
      <c r="M3330" s="3" t="s">
        <v>637</v>
      </c>
      <c r="N3330" s="3">
        <v>55</v>
      </c>
      <c r="O3330" s="3" t="s">
        <v>81</v>
      </c>
      <c r="P3330" s="3" t="s">
        <v>45</v>
      </c>
      <c r="Q3330" s="4">
        <v>4</v>
      </c>
      <c r="R3330" s="4" t="str">
        <f>IF(Table1[[#This Row],[Customer Ratings]]&gt;=4, "Good",IF(Table1[[#This Row],[Customer Ratings]]=3, "Average","Poor"))</f>
        <v>Good</v>
      </c>
      <c r="S3330" s="3" t="s">
        <v>25</v>
      </c>
    </row>
    <row r="3331" spans="1:19" x14ac:dyDescent="0.25">
      <c r="A3331" s="3">
        <v>3330</v>
      </c>
      <c r="B3331" s="5">
        <f>DATE(Table1[[#This Row],[Year]],Table1[[#This Row],[Month]],Table1[[#This Row],[Day]])</f>
        <v>45427</v>
      </c>
      <c r="C3331" s="3">
        <v>15</v>
      </c>
      <c r="D3331" s="3">
        <v>5</v>
      </c>
      <c r="E3331" s="3">
        <v>2024</v>
      </c>
      <c r="F3331" s="3" t="str">
        <f>"Qtr"&amp; " " &amp;CHOOSE(MONTH(Table1[[#This Row],[Date]]),1,1,1,2,2,2,3,3,3,4,4,4)</f>
        <v>Qtr 2</v>
      </c>
      <c r="G3331" s="3" t="str">
        <f>TEXT(Table1[[#This Row],[Date]],"mmmm")</f>
        <v>May</v>
      </c>
      <c r="H3331" s="3" t="s">
        <v>1083</v>
      </c>
      <c r="I3331" s="3" t="s">
        <v>13</v>
      </c>
      <c r="J3331" s="3">
        <v>6</v>
      </c>
      <c r="K3331" s="3">
        <v>56163.75</v>
      </c>
      <c r="L3331" s="3">
        <f>Table1[[#This Row],[Price Per Unit]]*Table1[[#This Row],[Units Sold]]</f>
        <v>336982.5</v>
      </c>
      <c r="M3331" s="3" t="s">
        <v>1015</v>
      </c>
      <c r="N3331" s="3">
        <v>29</v>
      </c>
      <c r="O3331" s="3" t="s">
        <v>24</v>
      </c>
      <c r="P3331" s="3" t="s">
        <v>45</v>
      </c>
      <c r="Q3331" s="4">
        <v>2</v>
      </c>
      <c r="R3331" s="4" t="str">
        <f>IF(Table1[[#This Row],[Customer Ratings]]&gt;=4, "Good",IF(Table1[[#This Row],[Customer Ratings]]=3, "Average","Poor"))</f>
        <v>Poor</v>
      </c>
      <c r="S3331" s="3" t="s">
        <v>72</v>
      </c>
    </row>
    <row r="3332" spans="1:19" x14ac:dyDescent="0.25">
      <c r="A3332" s="3">
        <v>3331</v>
      </c>
      <c r="B3332" s="5">
        <f>DATE(Table1[[#This Row],[Year]],Table1[[#This Row],[Month]],Table1[[#This Row],[Day]])</f>
        <v>45428</v>
      </c>
      <c r="C3332" s="3">
        <v>16</v>
      </c>
      <c r="D3332" s="3">
        <v>5</v>
      </c>
      <c r="E3332" s="3">
        <v>2024</v>
      </c>
      <c r="F3332" s="3" t="str">
        <f>"Qtr"&amp; " " &amp;CHOOSE(MONTH(Table1[[#This Row],[Date]]),1,1,1,2,2,2,3,3,3,4,4,4)</f>
        <v>Qtr 2</v>
      </c>
      <c r="G3332" s="3" t="str">
        <f>TEXT(Table1[[#This Row],[Date]],"mmmm")</f>
        <v>May</v>
      </c>
      <c r="H3332" s="3" t="s">
        <v>1084</v>
      </c>
      <c r="I3332" s="3" t="s">
        <v>33</v>
      </c>
      <c r="J3332" s="3">
        <v>4</v>
      </c>
      <c r="K3332" s="3">
        <v>19402.560000000001</v>
      </c>
      <c r="L3332" s="3">
        <f>Table1[[#This Row],[Price Per Unit]]*Table1[[#This Row],[Units Sold]]</f>
        <v>77610.240000000005</v>
      </c>
      <c r="M3332" s="3" t="s">
        <v>976</v>
      </c>
      <c r="N3332" s="3">
        <v>58</v>
      </c>
      <c r="O3332" s="3" t="s">
        <v>20</v>
      </c>
      <c r="P3332" s="3" t="s">
        <v>45</v>
      </c>
      <c r="Q3332" s="4">
        <v>5</v>
      </c>
      <c r="R3332" s="4" t="str">
        <f>IF(Table1[[#This Row],[Customer Ratings]]&gt;=4, "Good",IF(Table1[[#This Row],[Customer Ratings]]=3, "Average","Poor"))</f>
        <v>Good</v>
      </c>
      <c r="S3332" s="3" t="s">
        <v>36</v>
      </c>
    </row>
    <row r="3333" spans="1:19" x14ac:dyDescent="0.25">
      <c r="A3333" s="3">
        <v>3332</v>
      </c>
      <c r="B3333" s="5">
        <f>DATE(Table1[[#This Row],[Year]],Table1[[#This Row],[Month]],Table1[[#This Row],[Day]])</f>
        <v>45428</v>
      </c>
      <c r="C3333" s="3">
        <v>16</v>
      </c>
      <c r="D3333" s="3">
        <v>5</v>
      </c>
      <c r="E3333" s="3">
        <v>2024</v>
      </c>
      <c r="F3333" s="3" t="str">
        <f>"Qtr"&amp; " " &amp;CHOOSE(MONTH(Table1[[#This Row],[Date]]),1,1,1,2,2,2,3,3,3,4,4,4)</f>
        <v>Qtr 2</v>
      </c>
      <c r="G3333" s="3" t="str">
        <f>TEXT(Table1[[#This Row],[Date]],"mmmm")</f>
        <v>May</v>
      </c>
      <c r="H3333" s="3" t="s">
        <v>1084</v>
      </c>
      <c r="I3333" s="3" t="s">
        <v>33</v>
      </c>
      <c r="J3333" s="3">
        <v>5</v>
      </c>
      <c r="K3333" s="3">
        <v>54491.040000000001</v>
      </c>
      <c r="L3333" s="3">
        <f>Table1[[#This Row],[Price Per Unit]]*Table1[[#This Row],[Units Sold]]</f>
        <v>272455.2</v>
      </c>
      <c r="M3333" s="3" t="s">
        <v>882</v>
      </c>
      <c r="N3333" s="3">
        <v>51</v>
      </c>
      <c r="O3333" s="3" t="s">
        <v>81</v>
      </c>
      <c r="P3333" s="3" t="s">
        <v>21</v>
      </c>
      <c r="Q3333" s="4">
        <v>1</v>
      </c>
      <c r="R3333" s="4" t="str">
        <f>IF(Table1[[#This Row],[Customer Ratings]]&gt;=4, "Good",IF(Table1[[#This Row],[Customer Ratings]]=3, "Average","Poor"))</f>
        <v>Poor</v>
      </c>
      <c r="S3333" s="3" t="s">
        <v>83</v>
      </c>
    </row>
    <row r="3334" spans="1:19" x14ac:dyDescent="0.25">
      <c r="A3334" s="3">
        <v>3333</v>
      </c>
      <c r="B3334" s="5">
        <f>DATE(Table1[[#This Row],[Year]],Table1[[#This Row],[Month]],Table1[[#This Row],[Day]])</f>
        <v>45428</v>
      </c>
      <c r="C3334" s="3">
        <v>16</v>
      </c>
      <c r="D3334" s="3">
        <v>5</v>
      </c>
      <c r="E3334" s="3">
        <v>2024</v>
      </c>
      <c r="F3334" s="3" t="str">
        <f>"Qtr"&amp; " " &amp;CHOOSE(MONTH(Table1[[#This Row],[Date]]),1,1,1,2,2,2,3,3,3,4,4,4)</f>
        <v>Qtr 2</v>
      </c>
      <c r="G3334" s="3" t="str">
        <f>TEXT(Table1[[#This Row],[Date]],"mmmm")</f>
        <v>May</v>
      </c>
      <c r="H3334" s="3" t="s">
        <v>1084</v>
      </c>
      <c r="I3334" s="3" t="s">
        <v>39</v>
      </c>
      <c r="J3334" s="3">
        <v>6</v>
      </c>
      <c r="K3334" s="3">
        <v>45965.7</v>
      </c>
      <c r="L3334" s="3">
        <f>Table1[[#This Row],[Price Per Unit]]*Table1[[#This Row],[Units Sold]]</f>
        <v>275794.19999999995</v>
      </c>
      <c r="M3334" s="3" t="s">
        <v>310</v>
      </c>
      <c r="N3334" s="3">
        <v>42</v>
      </c>
      <c r="O3334" s="3" t="s">
        <v>105</v>
      </c>
      <c r="P3334" s="3" t="s">
        <v>45</v>
      </c>
      <c r="Q3334" s="4">
        <v>5</v>
      </c>
      <c r="R3334" s="4" t="str">
        <f>IF(Table1[[#This Row],[Customer Ratings]]&gt;=4, "Good",IF(Table1[[#This Row],[Customer Ratings]]=3, "Average","Poor"))</f>
        <v>Good</v>
      </c>
      <c r="S3334" s="3" t="s">
        <v>42</v>
      </c>
    </row>
    <row r="3335" spans="1:19" x14ac:dyDescent="0.25">
      <c r="A3335" s="3">
        <v>3334</v>
      </c>
      <c r="B3335" s="5">
        <f>DATE(Table1[[#This Row],[Year]],Table1[[#This Row],[Month]],Table1[[#This Row],[Day]])</f>
        <v>45429</v>
      </c>
      <c r="C3335" s="3">
        <v>17</v>
      </c>
      <c r="D3335" s="3">
        <v>5</v>
      </c>
      <c r="E3335" s="3">
        <v>2024</v>
      </c>
      <c r="F3335" s="3" t="str">
        <f>"Qtr"&amp; " " &amp;CHOOSE(MONTH(Table1[[#This Row],[Date]]),1,1,1,2,2,2,3,3,3,4,4,4)</f>
        <v>Qtr 2</v>
      </c>
      <c r="G3335" s="3" t="str">
        <f>TEXT(Table1[[#This Row],[Date]],"mmmm")</f>
        <v>May</v>
      </c>
      <c r="H3335" s="3" t="s">
        <v>1085</v>
      </c>
      <c r="I3335" s="3" t="s">
        <v>39</v>
      </c>
      <c r="J3335" s="3">
        <v>5</v>
      </c>
      <c r="K3335" s="3">
        <v>13454.31</v>
      </c>
      <c r="L3335" s="3">
        <f>Table1[[#This Row],[Price Per Unit]]*Table1[[#This Row],[Units Sold]]</f>
        <v>67271.55</v>
      </c>
      <c r="M3335" s="3" t="s">
        <v>886</v>
      </c>
      <c r="N3335" s="3">
        <v>34</v>
      </c>
      <c r="O3335" s="3" t="s">
        <v>20</v>
      </c>
      <c r="P3335" s="3" t="s">
        <v>45</v>
      </c>
      <c r="Q3335" s="4">
        <v>5</v>
      </c>
      <c r="R3335" s="4" t="str">
        <f>IF(Table1[[#This Row],[Customer Ratings]]&gt;=4, "Good",IF(Table1[[#This Row],[Customer Ratings]]=3, "Average","Poor"))</f>
        <v>Good</v>
      </c>
      <c r="S3335" s="3" t="s">
        <v>42</v>
      </c>
    </row>
    <row r="3336" spans="1:19" x14ac:dyDescent="0.25">
      <c r="A3336" s="3">
        <v>3335</v>
      </c>
      <c r="B3336" s="5">
        <f>DATE(Table1[[#This Row],[Year]],Table1[[#This Row],[Month]],Table1[[#This Row],[Day]])</f>
        <v>45429</v>
      </c>
      <c r="C3336" s="3">
        <v>17</v>
      </c>
      <c r="D3336" s="3">
        <v>5</v>
      </c>
      <c r="E3336" s="3">
        <v>2024</v>
      </c>
      <c r="F3336" s="3" t="str">
        <f>"Qtr"&amp; " " &amp;CHOOSE(MONTH(Table1[[#This Row],[Date]]),1,1,1,2,2,2,3,3,3,4,4,4)</f>
        <v>Qtr 2</v>
      </c>
      <c r="G3336" s="3" t="str">
        <f>TEXT(Table1[[#This Row],[Date]],"mmmm")</f>
        <v>May</v>
      </c>
      <c r="H3336" s="3" t="s">
        <v>1085</v>
      </c>
      <c r="I3336" s="3" t="s">
        <v>39</v>
      </c>
      <c r="J3336" s="3">
        <v>7</v>
      </c>
      <c r="K3336" s="3">
        <v>56646.74</v>
      </c>
      <c r="L3336" s="3">
        <f>Table1[[#This Row],[Price Per Unit]]*Table1[[#This Row],[Units Sold]]</f>
        <v>396527.18</v>
      </c>
      <c r="M3336" s="3" t="s">
        <v>590</v>
      </c>
      <c r="N3336" s="3">
        <v>50</v>
      </c>
      <c r="O3336" s="3" t="s">
        <v>24</v>
      </c>
      <c r="P3336" s="3" t="s">
        <v>31</v>
      </c>
      <c r="Q3336" s="4">
        <v>5</v>
      </c>
      <c r="R3336" s="4" t="str">
        <f>IF(Table1[[#This Row],[Customer Ratings]]&gt;=4, "Good",IF(Table1[[#This Row],[Customer Ratings]]=3, "Average","Poor"))</f>
        <v>Good</v>
      </c>
      <c r="S3336" s="3" t="s">
        <v>76</v>
      </c>
    </row>
    <row r="3337" spans="1:19" x14ac:dyDescent="0.25">
      <c r="A3337" s="3">
        <v>3336</v>
      </c>
      <c r="B3337" s="5">
        <f>DATE(Table1[[#This Row],[Year]],Table1[[#This Row],[Month]],Table1[[#This Row],[Day]])</f>
        <v>45429</v>
      </c>
      <c r="C3337" s="3">
        <v>17</v>
      </c>
      <c r="D3337" s="3">
        <v>5</v>
      </c>
      <c r="E3337" s="3">
        <v>2024</v>
      </c>
      <c r="F3337" s="3" t="str">
        <f>"Qtr"&amp; " " &amp;CHOOSE(MONTH(Table1[[#This Row],[Date]]),1,1,1,2,2,2,3,3,3,4,4,4)</f>
        <v>Qtr 2</v>
      </c>
      <c r="G3337" s="3" t="str">
        <f>TEXT(Table1[[#This Row],[Date]],"mmmm")</f>
        <v>May</v>
      </c>
      <c r="H3337" s="3" t="s">
        <v>1085</v>
      </c>
      <c r="I3337" s="3" t="s">
        <v>33</v>
      </c>
      <c r="J3337" s="3">
        <v>9</v>
      </c>
      <c r="K3337" s="3">
        <v>32984.82</v>
      </c>
      <c r="L3337" s="3">
        <f>Table1[[#This Row],[Price Per Unit]]*Table1[[#This Row],[Units Sold]]</f>
        <v>296863.38</v>
      </c>
      <c r="M3337" s="3" t="s">
        <v>702</v>
      </c>
      <c r="N3337" s="3">
        <v>40</v>
      </c>
      <c r="O3337" s="3" t="s">
        <v>98</v>
      </c>
      <c r="P3337" s="3" t="s">
        <v>16</v>
      </c>
      <c r="Q3337" s="4">
        <v>2</v>
      </c>
      <c r="R3337" s="4" t="str">
        <f>IF(Table1[[#This Row],[Customer Ratings]]&gt;=4, "Good",IF(Table1[[#This Row],[Customer Ratings]]=3, "Average","Poor"))</f>
        <v>Poor</v>
      </c>
      <c r="S3337" s="3" t="s">
        <v>36</v>
      </c>
    </row>
    <row r="3338" spans="1:19" x14ac:dyDescent="0.25">
      <c r="A3338" s="3">
        <v>3337</v>
      </c>
      <c r="B3338" s="5">
        <f>DATE(Table1[[#This Row],[Year]],Table1[[#This Row],[Month]],Table1[[#This Row],[Day]])</f>
        <v>45429</v>
      </c>
      <c r="C3338" s="3">
        <v>17</v>
      </c>
      <c r="D3338" s="3">
        <v>5</v>
      </c>
      <c r="E3338" s="3">
        <v>2024</v>
      </c>
      <c r="F3338" s="3" t="str">
        <f>"Qtr"&amp; " " &amp;CHOOSE(MONTH(Table1[[#This Row],[Date]]),1,1,1,2,2,2,3,3,3,4,4,4)</f>
        <v>Qtr 2</v>
      </c>
      <c r="G3338" s="3" t="str">
        <f>TEXT(Table1[[#This Row],[Date]],"mmmm")</f>
        <v>May</v>
      </c>
      <c r="H3338" s="3" t="s">
        <v>1085</v>
      </c>
      <c r="I3338" s="3" t="s">
        <v>13</v>
      </c>
      <c r="J3338" s="3">
        <v>7</v>
      </c>
      <c r="K3338" s="3">
        <v>29822.86</v>
      </c>
      <c r="L3338" s="3">
        <f>Table1[[#This Row],[Price Per Unit]]*Table1[[#This Row],[Units Sold]]</f>
        <v>208760.02000000002</v>
      </c>
      <c r="M3338" s="3" t="s">
        <v>960</v>
      </c>
      <c r="N3338" s="3">
        <v>26</v>
      </c>
      <c r="O3338" s="3" t="s">
        <v>120</v>
      </c>
      <c r="P3338" s="3" t="s">
        <v>45</v>
      </c>
      <c r="Q3338" s="4">
        <v>5</v>
      </c>
      <c r="R3338" s="4" t="str">
        <f>IF(Table1[[#This Row],[Customer Ratings]]&gt;=4, "Good",IF(Table1[[#This Row],[Customer Ratings]]=3, "Average","Poor"))</f>
        <v>Good</v>
      </c>
      <c r="S3338" s="3" t="s">
        <v>72</v>
      </c>
    </row>
    <row r="3339" spans="1:19" x14ac:dyDescent="0.25">
      <c r="A3339" s="3">
        <v>3338</v>
      </c>
      <c r="B3339" s="5">
        <f>DATE(Table1[[#This Row],[Year]],Table1[[#This Row],[Month]],Table1[[#This Row],[Day]])</f>
        <v>45430</v>
      </c>
      <c r="C3339" s="3">
        <v>18</v>
      </c>
      <c r="D3339" s="3">
        <v>5</v>
      </c>
      <c r="E3339" s="3">
        <v>2024</v>
      </c>
      <c r="F3339" s="3" t="str">
        <f>"Qtr"&amp; " " &amp;CHOOSE(MONTH(Table1[[#This Row],[Date]]),1,1,1,2,2,2,3,3,3,4,4,4)</f>
        <v>Qtr 2</v>
      </c>
      <c r="G3339" s="3" t="str">
        <f>TEXT(Table1[[#This Row],[Date]],"mmmm")</f>
        <v>May</v>
      </c>
      <c r="H3339" s="3" t="s">
        <v>1079</v>
      </c>
      <c r="I3339" s="3" t="s">
        <v>28</v>
      </c>
      <c r="J3339" s="3">
        <v>7</v>
      </c>
      <c r="K3339" s="3">
        <v>36884.51</v>
      </c>
      <c r="L3339" s="3">
        <f>Table1[[#This Row],[Price Per Unit]]*Table1[[#This Row],[Units Sold]]</f>
        <v>258191.57</v>
      </c>
      <c r="M3339" s="3" t="s">
        <v>479</v>
      </c>
      <c r="N3339" s="3">
        <v>23</v>
      </c>
      <c r="O3339" s="3" t="s">
        <v>65</v>
      </c>
      <c r="P3339" s="3" t="s">
        <v>31</v>
      </c>
      <c r="Q3339" s="4">
        <v>4</v>
      </c>
      <c r="R3339" s="4" t="str">
        <f>IF(Table1[[#This Row],[Customer Ratings]]&gt;=4, "Good",IF(Table1[[#This Row],[Customer Ratings]]=3, "Average","Poor"))</f>
        <v>Good</v>
      </c>
      <c r="S3339" s="3" t="s">
        <v>38</v>
      </c>
    </row>
    <row r="3340" spans="1:19" x14ac:dyDescent="0.25">
      <c r="A3340" s="3">
        <v>3339</v>
      </c>
      <c r="B3340" s="5">
        <f>DATE(Table1[[#This Row],[Year]],Table1[[#This Row],[Month]],Table1[[#This Row],[Day]])</f>
        <v>45430</v>
      </c>
      <c r="C3340" s="3">
        <v>18</v>
      </c>
      <c r="D3340" s="3">
        <v>5</v>
      </c>
      <c r="E3340" s="3">
        <v>2024</v>
      </c>
      <c r="F3340" s="3" t="str">
        <f>"Qtr"&amp; " " &amp;CHOOSE(MONTH(Table1[[#This Row],[Date]]),1,1,1,2,2,2,3,3,3,4,4,4)</f>
        <v>Qtr 2</v>
      </c>
      <c r="G3340" s="3" t="str">
        <f>TEXT(Table1[[#This Row],[Date]],"mmmm")</f>
        <v>May</v>
      </c>
      <c r="H3340" s="3" t="s">
        <v>1079</v>
      </c>
      <c r="I3340" s="3" t="s">
        <v>39</v>
      </c>
      <c r="J3340" s="3">
        <v>4</v>
      </c>
      <c r="K3340" s="3">
        <v>30770.5</v>
      </c>
      <c r="L3340" s="3">
        <f>Table1[[#This Row],[Price Per Unit]]*Table1[[#This Row],[Units Sold]]</f>
        <v>123082</v>
      </c>
      <c r="M3340" s="3" t="s">
        <v>976</v>
      </c>
      <c r="N3340" s="3">
        <v>19</v>
      </c>
      <c r="O3340" s="3" t="s">
        <v>98</v>
      </c>
      <c r="P3340" s="3" t="s">
        <v>21</v>
      </c>
      <c r="Q3340" s="4">
        <v>3</v>
      </c>
      <c r="R3340" s="4" t="str">
        <f>IF(Table1[[#This Row],[Customer Ratings]]&gt;=4, "Good",IF(Table1[[#This Row],[Customer Ratings]]=3, "Average","Poor"))</f>
        <v>Average</v>
      </c>
      <c r="S3340" s="3" t="s">
        <v>90</v>
      </c>
    </row>
    <row r="3341" spans="1:19" x14ac:dyDescent="0.25">
      <c r="A3341" s="3">
        <v>3340</v>
      </c>
      <c r="B3341" s="5">
        <f>DATE(Table1[[#This Row],[Year]],Table1[[#This Row],[Month]],Table1[[#This Row],[Day]])</f>
        <v>45430</v>
      </c>
      <c r="C3341" s="3">
        <v>18</v>
      </c>
      <c r="D3341" s="3">
        <v>5</v>
      </c>
      <c r="E3341" s="3">
        <v>2024</v>
      </c>
      <c r="F3341" s="3" t="str">
        <f>"Qtr"&amp; " " &amp;CHOOSE(MONTH(Table1[[#This Row],[Date]]),1,1,1,2,2,2,3,3,3,4,4,4)</f>
        <v>Qtr 2</v>
      </c>
      <c r="G3341" s="3" t="str">
        <f>TEXT(Table1[[#This Row],[Date]],"mmmm")</f>
        <v>May</v>
      </c>
      <c r="H3341" s="3" t="s">
        <v>1079</v>
      </c>
      <c r="I3341" s="3" t="s">
        <v>13</v>
      </c>
      <c r="J3341" s="3">
        <v>1</v>
      </c>
      <c r="K3341" s="3">
        <v>30297.14</v>
      </c>
      <c r="L3341" s="3">
        <f>Table1[[#This Row],[Price Per Unit]]*Table1[[#This Row],[Units Sold]]</f>
        <v>30297.14</v>
      </c>
      <c r="M3341" s="3" t="s">
        <v>483</v>
      </c>
      <c r="N3341" s="3">
        <v>55</v>
      </c>
      <c r="O3341" s="3" t="s">
        <v>24</v>
      </c>
      <c r="P3341" s="3" t="s">
        <v>31</v>
      </c>
      <c r="Q3341" s="4">
        <v>4</v>
      </c>
      <c r="R3341" s="4" t="str">
        <f>IF(Table1[[#This Row],[Customer Ratings]]&gt;=4, "Good",IF(Table1[[#This Row],[Customer Ratings]]=3, "Average","Poor"))</f>
        <v>Good</v>
      </c>
      <c r="S3341" s="3" t="s">
        <v>27</v>
      </c>
    </row>
    <row r="3342" spans="1:19" x14ac:dyDescent="0.25">
      <c r="A3342" s="3">
        <v>3341</v>
      </c>
      <c r="B3342" s="5">
        <f>DATE(Table1[[#This Row],[Year]],Table1[[#This Row],[Month]],Table1[[#This Row],[Day]])</f>
        <v>45431</v>
      </c>
      <c r="C3342" s="3">
        <v>19</v>
      </c>
      <c r="D3342" s="3">
        <v>5</v>
      </c>
      <c r="E3342" s="3">
        <v>2024</v>
      </c>
      <c r="F3342" s="3" t="str">
        <f>"Qtr"&amp; " " &amp;CHOOSE(MONTH(Table1[[#This Row],[Date]]),1,1,1,2,2,2,3,3,3,4,4,4)</f>
        <v>Qtr 2</v>
      </c>
      <c r="G3342" s="3" t="str">
        <f>TEXT(Table1[[#This Row],[Date]],"mmmm")</f>
        <v>May</v>
      </c>
      <c r="H3342" s="3" t="s">
        <v>1080</v>
      </c>
      <c r="I3342" s="3" t="s">
        <v>18</v>
      </c>
      <c r="J3342" s="3">
        <v>8</v>
      </c>
      <c r="K3342" s="3">
        <v>58484.66</v>
      </c>
      <c r="L3342" s="3">
        <f>Table1[[#This Row],[Price Per Unit]]*Table1[[#This Row],[Units Sold]]</f>
        <v>467877.28</v>
      </c>
      <c r="M3342" s="3" t="s">
        <v>47</v>
      </c>
      <c r="N3342" s="3">
        <v>26</v>
      </c>
      <c r="O3342" s="3" t="s">
        <v>20</v>
      </c>
      <c r="P3342" s="3" t="s">
        <v>45</v>
      </c>
      <c r="Q3342" s="4">
        <v>1</v>
      </c>
      <c r="R3342" s="4" t="str">
        <f>IF(Table1[[#This Row],[Customer Ratings]]&gt;=4, "Good",IF(Table1[[#This Row],[Customer Ratings]]=3, "Average","Poor"))</f>
        <v>Poor</v>
      </c>
      <c r="S3342" s="3" t="s">
        <v>25</v>
      </c>
    </row>
    <row r="3343" spans="1:19" x14ac:dyDescent="0.25">
      <c r="A3343" s="3">
        <v>3342</v>
      </c>
      <c r="B3343" s="5">
        <f>DATE(Table1[[#This Row],[Year]],Table1[[#This Row],[Month]],Table1[[#This Row],[Day]])</f>
        <v>45431</v>
      </c>
      <c r="C3343" s="3">
        <v>19</v>
      </c>
      <c r="D3343" s="3">
        <v>5</v>
      </c>
      <c r="E3343" s="3">
        <v>2024</v>
      </c>
      <c r="F3343" s="3" t="str">
        <f>"Qtr"&amp; " " &amp;CHOOSE(MONTH(Table1[[#This Row],[Date]]),1,1,1,2,2,2,3,3,3,4,4,4)</f>
        <v>Qtr 2</v>
      </c>
      <c r="G3343" s="3" t="str">
        <f>TEXT(Table1[[#This Row],[Date]],"mmmm")</f>
        <v>May</v>
      </c>
      <c r="H3343" s="3" t="s">
        <v>1080</v>
      </c>
      <c r="I3343" s="3" t="s">
        <v>39</v>
      </c>
      <c r="J3343" s="3">
        <v>4</v>
      </c>
      <c r="K3343" s="3">
        <v>17470.32</v>
      </c>
      <c r="L3343" s="3">
        <f>Table1[[#This Row],[Price Per Unit]]*Table1[[#This Row],[Units Sold]]</f>
        <v>69881.279999999999</v>
      </c>
      <c r="M3343" s="3" t="s">
        <v>384</v>
      </c>
      <c r="N3343" s="3">
        <v>20</v>
      </c>
      <c r="O3343" s="3" t="s">
        <v>24</v>
      </c>
      <c r="P3343" s="3" t="s">
        <v>31</v>
      </c>
      <c r="Q3343" s="4">
        <v>2</v>
      </c>
      <c r="R3343" s="4" t="str">
        <f>IF(Table1[[#This Row],[Customer Ratings]]&gt;=4, "Good",IF(Table1[[#This Row],[Customer Ratings]]=3, "Average","Poor"))</f>
        <v>Poor</v>
      </c>
      <c r="S3343" s="3" t="s">
        <v>90</v>
      </c>
    </row>
    <row r="3344" spans="1:19" x14ac:dyDescent="0.25">
      <c r="A3344" s="3">
        <v>3343</v>
      </c>
      <c r="B3344" s="5">
        <f>DATE(Table1[[#This Row],[Year]],Table1[[#This Row],[Month]],Table1[[#This Row],[Day]])</f>
        <v>45431</v>
      </c>
      <c r="C3344" s="3">
        <v>19</v>
      </c>
      <c r="D3344" s="3">
        <v>5</v>
      </c>
      <c r="E3344" s="3">
        <v>2024</v>
      </c>
      <c r="F3344" s="3" t="str">
        <f>"Qtr"&amp; " " &amp;CHOOSE(MONTH(Table1[[#This Row],[Date]]),1,1,1,2,2,2,3,3,3,4,4,4)</f>
        <v>Qtr 2</v>
      </c>
      <c r="G3344" s="3" t="str">
        <f>TEXT(Table1[[#This Row],[Date]],"mmmm")</f>
        <v>May</v>
      </c>
      <c r="H3344" s="3" t="s">
        <v>1080</v>
      </c>
      <c r="I3344" s="3" t="s">
        <v>28</v>
      </c>
      <c r="J3344" s="3">
        <v>1</v>
      </c>
      <c r="K3344" s="3">
        <v>68236</v>
      </c>
      <c r="L3344" s="3">
        <f>Table1[[#This Row],[Price Per Unit]]*Table1[[#This Row],[Units Sold]]</f>
        <v>68236</v>
      </c>
      <c r="M3344" s="3" t="s">
        <v>734</v>
      </c>
      <c r="N3344" s="3">
        <v>33</v>
      </c>
      <c r="O3344" s="3" t="s">
        <v>78</v>
      </c>
      <c r="P3344" s="3" t="s">
        <v>31</v>
      </c>
      <c r="Q3344" s="4">
        <v>3</v>
      </c>
      <c r="R3344" s="4" t="str">
        <f>IF(Table1[[#This Row],[Customer Ratings]]&gt;=4, "Good",IF(Table1[[#This Row],[Customer Ratings]]=3, "Average","Poor"))</f>
        <v>Average</v>
      </c>
      <c r="S3344" s="3" t="s">
        <v>38</v>
      </c>
    </row>
    <row r="3345" spans="1:19" x14ac:dyDescent="0.25">
      <c r="A3345" s="3">
        <v>3344</v>
      </c>
      <c r="B3345" s="5">
        <f>DATE(Table1[[#This Row],[Year]],Table1[[#This Row],[Month]],Table1[[#This Row],[Day]])</f>
        <v>45431</v>
      </c>
      <c r="C3345" s="3">
        <v>19</v>
      </c>
      <c r="D3345" s="3">
        <v>5</v>
      </c>
      <c r="E3345" s="3">
        <v>2024</v>
      </c>
      <c r="F3345" s="3" t="str">
        <f>"Qtr"&amp; " " &amp;CHOOSE(MONTH(Table1[[#This Row],[Date]]),1,1,1,2,2,2,3,3,3,4,4,4)</f>
        <v>Qtr 2</v>
      </c>
      <c r="G3345" s="3" t="str">
        <f>TEXT(Table1[[#This Row],[Date]],"mmmm")</f>
        <v>May</v>
      </c>
      <c r="H3345" s="3" t="s">
        <v>1080</v>
      </c>
      <c r="I3345" s="3" t="s">
        <v>18</v>
      </c>
      <c r="J3345" s="3">
        <v>5</v>
      </c>
      <c r="K3345" s="3">
        <v>43295.9</v>
      </c>
      <c r="L3345" s="3">
        <f>Table1[[#This Row],[Price Per Unit]]*Table1[[#This Row],[Units Sold]]</f>
        <v>216479.5</v>
      </c>
      <c r="M3345" s="3" t="s">
        <v>564</v>
      </c>
      <c r="N3345" s="3">
        <v>42</v>
      </c>
      <c r="O3345" s="3" t="s">
        <v>20</v>
      </c>
      <c r="P3345" s="3" t="s">
        <v>21</v>
      </c>
      <c r="Q3345" s="4">
        <v>2</v>
      </c>
      <c r="R3345" s="4" t="str">
        <f>IF(Table1[[#This Row],[Customer Ratings]]&gt;=4, "Good",IF(Table1[[#This Row],[Customer Ratings]]=3, "Average","Poor"))</f>
        <v>Poor</v>
      </c>
      <c r="S3345" s="3" t="s">
        <v>55</v>
      </c>
    </row>
    <row r="3346" spans="1:19" x14ac:dyDescent="0.25">
      <c r="A3346" s="3">
        <v>3345</v>
      </c>
      <c r="B3346" s="5">
        <f>DATE(Table1[[#This Row],[Year]],Table1[[#This Row],[Month]],Table1[[#This Row],[Day]])</f>
        <v>45432</v>
      </c>
      <c r="C3346" s="3">
        <v>20</v>
      </c>
      <c r="D3346" s="3">
        <v>5</v>
      </c>
      <c r="E3346" s="3">
        <v>2024</v>
      </c>
      <c r="F3346" s="3" t="str">
        <f>"Qtr"&amp; " " &amp;CHOOSE(MONTH(Table1[[#This Row],[Date]]),1,1,1,2,2,2,3,3,3,4,4,4)</f>
        <v>Qtr 2</v>
      </c>
      <c r="G3346" s="3" t="str">
        <f>TEXT(Table1[[#This Row],[Date]],"mmmm")</f>
        <v>May</v>
      </c>
      <c r="H3346" s="3" t="s">
        <v>1081</v>
      </c>
      <c r="I3346" s="3" t="s">
        <v>18</v>
      </c>
      <c r="J3346" s="3">
        <v>8</v>
      </c>
      <c r="K3346" s="3">
        <v>20975.439999999999</v>
      </c>
      <c r="L3346" s="3">
        <f>Table1[[#This Row],[Price Per Unit]]*Table1[[#This Row],[Units Sold]]</f>
        <v>167803.51999999999</v>
      </c>
      <c r="M3346" s="3" t="s">
        <v>492</v>
      </c>
      <c r="N3346" s="3">
        <v>41</v>
      </c>
      <c r="O3346" s="3" t="s">
        <v>137</v>
      </c>
      <c r="P3346" s="3" t="s">
        <v>31</v>
      </c>
      <c r="Q3346" s="4">
        <v>2</v>
      </c>
      <c r="R3346" s="4" t="str">
        <f>IF(Table1[[#This Row],[Customer Ratings]]&gt;=4, "Good",IF(Table1[[#This Row],[Customer Ratings]]=3, "Average","Poor"))</f>
        <v>Poor</v>
      </c>
      <c r="S3346" s="3" t="s">
        <v>22</v>
      </c>
    </row>
    <row r="3347" spans="1:19" x14ac:dyDescent="0.25">
      <c r="A3347" s="3">
        <v>3346</v>
      </c>
      <c r="B3347" s="5">
        <f>DATE(Table1[[#This Row],[Year]],Table1[[#This Row],[Month]],Table1[[#This Row],[Day]])</f>
        <v>45432</v>
      </c>
      <c r="C3347" s="3">
        <v>20</v>
      </c>
      <c r="D3347" s="3">
        <v>5</v>
      </c>
      <c r="E3347" s="3">
        <v>2024</v>
      </c>
      <c r="F3347" s="3" t="str">
        <f>"Qtr"&amp; " " &amp;CHOOSE(MONTH(Table1[[#This Row],[Date]]),1,1,1,2,2,2,3,3,3,4,4,4)</f>
        <v>Qtr 2</v>
      </c>
      <c r="G3347" s="3" t="str">
        <f>TEXT(Table1[[#This Row],[Date]],"mmmm")</f>
        <v>May</v>
      </c>
      <c r="H3347" s="3" t="s">
        <v>1081</v>
      </c>
      <c r="I3347" s="3" t="s">
        <v>28</v>
      </c>
      <c r="J3347" s="3">
        <v>4</v>
      </c>
      <c r="K3347" s="3">
        <v>17872.93</v>
      </c>
      <c r="L3347" s="3">
        <f>Table1[[#This Row],[Price Per Unit]]*Table1[[#This Row],[Units Sold]]</f>
        <v>71491.72</v>
      </c>
      <c r="M3347" s="3" t="s">
        <v>1026</v>
      </c>
      <c r="N3347" s="3">
        <v>46</v>
      </c>
      <c r="O3347" s="3" t="s">
        <v>15</v>
      </c>
      <c r="P3347" s="3" t="s">
        <v>21</v>
      </c>
      <c r="Q3347" s="4">
        <v>5</v>
      </c>
      <c r="R3347" s="4" t="str">
        <f>IF(Table1[[#This Row],[Customer Ratings]]&gt;=4, "Good",IF(Table1[[#This Row],[Customer Ratings]]=3, "Average","Poor"))</f>
        <v>Good</v>
      </c>
      <c r="S3347" s="3" t="s">
        <v>32</v>
      </c>
    </row>
    <row r="3348" spans="1:19" x14ac:dyDescent="0.25">
      <c r="A3348" s="3">
        <v>3347</v>
      </c>
      <c r="B3348" s="5">
        <f>DATE(Table1[[#This Row],[Year]],Table1[[#This Row],[Month]],Table1[[#This Row],[Day]])</f>
        <v>45432</v>
      </c>
      <c r="C3348" s="3">
        <v>20</v>
      </c>
      <c r="D3348" s="3">
        <v>5</v>
      </c>
      <c r="E3348" s="3">
        <v>2024</v>
      </c>
      <c r="F3348" s="3" t="str">
        <f>"Qtr"&amp; " " &amp;CHOOSE(MONTH(Table1[[#This Row],[Date]]),1,1,1,2,2,2,3,3,3,4,4,4)</f>
        <v>Qtr 2</v>
      </c>
      <c r="G3348" s="3" t="str">
        <f>TEXT(Table1[[#This Row],[Date]],"mmmm")</f>
        <v>May</v>
      </c>
      <c r="H3348" s="3" t="s">
        <v>1081</v>
      </c>
      <c r="I3348" s="3" t="s">
        <v>39</v>
      </c>
      <c r="J3348" s="3">
        <v>8</v>
      </c>
      <c r="K3348" s="3">
        <v>45490.57</v>
      </c>
      <c r="L3348" s="3">
        <f>Table1[[#This Row],[Price Per Unit]]*Table1[[#This Row],[Units Sold]]</f>
        <v>363924.56</v>
      </c>
      <c r="M3348" s="3" t="s">
        <v>809</v>
      </c>
      <c r="N3348" s="3">
        <v>57</v>
      </c>
      <c r="O3348" s="3" t="s">
        <v>120</v>
      </c>
      <c r="P3348" s="3" t="s">
        <v>21</v>
      </c>
      <c r="Q3348" s="4">
        <v>4</v>
      </c>
      <c r="R3348" s="4" t="str">
        <f>IF(Table1[[#This Row],[Customer Ratings]]&gt;=4, "Good",IF(Table1[[#This Row],[Customer Ratings]]=3, "Average","Poor"))</f>
        <v>Good</v>
      </c>
      <c r="S3348" s="3" t="s">
        <v>90</v>
      </c>
    </row>
    <row r="3349" spans="1:19" x14ac:dyDescent="0.25">
      <c r="A3349" s="3">
        <v>3348</v>
      </c>
      <c r="B3349" s="5">
        <f>DATE(Table1[[#This Row],[Year]],Table1[[#This Row],[Month]],Table1[[#This Row],[Day]])</f>
        <v>45433</v>
      </c>
      <c r="C3349" s="3">
        <v>21</v>
      </c>
      <c r="D3349" s="3">
        <v>5</v>
      </c>
      <c r="E3349" s="3">
        <v>2024</v>
      </c>
      <c r="F3349" s="3" t="str">
        <f>"Qtr"&amp; " " &amp;CHOOSE(MONTH(Table1[[#This Row],[Date]]),1,1,1,2,2,2,3,3,3,4,4,4)</f>
        <v>Qtr 2</v>
      </c>
      <c r="G3349" s="3" t="str">
        <f>TEXT(Table1[[#This Row],[Date]],"mmmm")</f>
        <v>May</v>
      </c>
      <c r="H3349" s="3" t="s">
        <v>1082</v>
      </c>
      <c r="I3349" s="3" t="s">
        <v>33</v>
      </c>
      <c r="J3349" s="3">
        <v>8</v>
      </c>
      <c r="K3349" s="3">
        <v>47979.97</v>
      </c>
      <c r="L3349" s="3">
        <f>Table1[[#This Row],[Price Per Unit]]*Table1[[#This Row],[Units Sold]]</f>
        <v>383839.76</v>
      </c>
      <c r="M3349" s="3" t="s">
        <v>830</v>
      </c>
      <c r="N3349" s="3">
        <v>43</v>
      </c>
      <c r="O3349" s="3" t="s">
        <v>78</v>
      </c>
      <c r="P3349" s="3" t="s">
        <v>31</v>
      </c>
      <c r="Q3349" s="4">
        <v>3</v>
      </c>
      <c r="R3349" s="4" t="str">
        <f>IF(Table1[[#This Row],[Customer Ratings]]&gt;=4, "Good",IF(Table1[[#This Row],[Customer Ratings]]=3, "Average","Poor"))</f>
        <v>Average</v>
      </c>
      <c r="S3349" s="3" t="s">
        <v>46</v>
      </c>
    </row>
    <row r="3350" spans="1:19" x14ac:dyDescent="0.25">
      <c r="A3350" s="3">
        <v>3349</v>
      </c>
      <c r="B3350" s="5">
        <f>DATE(Table1[[#This Row],[Year]],Table1[[#This Row],[Month]],Table1[[#This Row],[Day]])</f>
        <v>45433</v>
      </c>
      <c r="C3350" s="3">
        <v>21</v>
      </c>
      <c r="D3350" s="3">
        <v>5</v>
      </c>
      <c r="E3350" s="3">
        <v>2024</v>
      </c>
      <c r="F3350" s="3" t="str">
        <f>"Qtr"&amp; " " &amp;CHOOSE(MONTH(Table1[[#This Row],[Date]]),1,1,1,2,2,2,3,3,3,4,4,4)</f>
        <v>Qtr 2</v>
      </c>
      <c r="G3350" s="3" t="str">
        <f>TEXT(Table1[[#This Row],[Date]],"mmmm")</f>
        <v>May</v>
      </c>
      <c r="H3350" s="3" t="s">
        <v>1082</v>
      </c>
      <c r="I3350" s="3" t="s">
        <v>28</v>
      </c>
      <c r="J3350" s="3">
        <v>3</v>
      </c>
      <c r="K3350" s="3">
        <v>13181.55</v>
      </c>
      <c r="L3350" s="3">
        <f>Table1[[#This Row],[Price Per Unit]]*Table1[[#This Row],[Units Sold]]</f>
        <v>39544.649999999994</v>
      </c>
      <c r="M3350" s="3" t="s">
        <v>698</v>
      </c>
      <c r="N3350" s="3">
        <v>55</v>
      </c>
      <c r="O3350" s="3" t="s">
        <v>24</v>
      </c>
      <c r="P3350" s="3" t="s">
        <v>45</v>
      </c>
      <c r="Q3350" s="4">
        <v>5</v>
      </c>
      <c r="R3350" s="4" t="str">
        <f>IF(Table1[[#This Row],[Customer Ratings]]&gt;=4, "Good",IF(Table1[[#This Row],[Customer Ratings]]=3, "Average","Poor"))</f>
        <v>Good</v>
      </c>
      <c r="S3350" s="3" t="s">
        <v>38</v>
      </c>
    </row>
    <row r="3351" spans="1:19" x14ac:dyDescent="0.25">
      <c r="A3351" s="3">
        <v>3350</v>
      </c>
      <c r="B3351" s="5">
        <f>DATE(Table1[[#This Row],[Year]],Table1[[#This Row],[Month]],Table1[[#This Row],[Day]])</f>
        <v>45433</v>
      </c>
      <c r="C3351" s="3">
        <v>21</v>
      </c>
      <c r="D3351" s="3">
        <v>5</v>
      </c>
      <c r="E3351" s="3">
        <v>2024</v>
      </c>
      <c r="F3351" s="3" t="str">
        <f>"Qtr"&amp; " " &amp;CHOOSE(MONTH(Table1[[#This Row],[Date]]),1,1,1,2,2,2,3,3,3,4,4,4)</f>
        <v>Qtr 2</v>
      </c>
      <c r="G3351" s="3" t="str">
        <f>TEXT(Table1[[#This Row],[Date]],"mmmm")</f>
        <v>May</v>
      </c>
      <c r="H3351" s="3" t="s">
        <v>1082</v>
      </c>
      <c r="I3351" s="3" t="s">
        <v>28</v>
      </c>
      <c r="J3351" s="3">
        <v>9</v>
      </c>
      <c r="K3351" s="3">
        <v>24580.11</v>
      </c>
      <c r="L3351" s="3">
        <f>Table1[[#This Row],[Price Per Unit]]*Table1[[#This Row],[Units Sold]]</f>
        <v>221220.99</v>
      </c>
      <c r="M3351" s="3" t="s">
        <v>966</v>
      </c>
      <c r="N3351" s="3">
        <v>52</v>
      </c>
      <c r="O3351" s="3" t="s">
        <v>65</v>
      </c>
      <c r="P3351" s="3" t="s">
        <v>16</v>
      </c>
      <c r="Q3351" s="4">
        <v>3</v>
      </c>
      <c r="R3351" s="4" t="str">
        <f>IF(Table1[[#This Row],[Customer Ratings]]&gt;=4, "Good",IF(Table1[[#This Row],[Customer Ratings]]=3, "Average","Poor"))</f>
        <v>Average</v>
      </c>
      <c r="S3351" s="3" t="s">
        <v>38</v>
      </c>
    </row>
    <row r="3352" spans="1:19" x14ac:dyDescent="0.25">
      <c r="A3352" s="3">
        <v>3351</v>
      </c>
      <c r="B3352" s="5">
        <f>DATE(Table1[[#This Row],[Year]],Table1[[#This Row],[Month]],Table1[[#This Row],[Day]])</f>
        <v>45434</v>
      </c>
      <c r="C3352" s="3">
        <v>22</v>
      </c>
      <c r="D3352" s="3">
        <v>5</v>
      </c>
      <c r="E3352" s="3">
        <v>2024</v>
      </c>
      <c r="F3352" s="3" t="str">
        <f>"Qtr"&amp; " " &amp;CHOOSE(MONTH(Table1[[#This Row],[Date]]),1,1,1,2,2,2,3,3,3,4,4,4)</f>
        <v>Qtr 2</v>
      </c>
      <c r="G3352" s="3" t="str">
        <f>TEXT(Table1[[#This Row],[Date]],"mmmm")</f>
        <v>May</v>
      </c>
      <c r="H3352" s="3" t="s">
        <v>1083</v>
      </c>
      <c r="I3352" s="3" t="s">
        <v>28</v>
      </c>
      <c r="J3352" s="3">
        <v>3</v>
      </c>
      <c r="K3352" s="3">
        <v>57727.72</v>
      </c>
      <c r="L3352" s="3">
        <f>Table1[[#This Row],[Price Per Unit]]*Table1[[#This Row],[Units Sold]]</f>
        <v>173183.16</v>
      </c>
      <c r="M3352" s="3" t="s">
        <v>780</v>
      </c>
      <c r="N3352" s="3">
        <v>40</v>
      </c>
      <c r="O3352" s="3" t="s">
        <v>102</v>
      </c>
      <c r="P3352" s="3" t="s">
        <v>31</v>
      </c>
      <c r="Q3352" s="4">
        <v>4</v>
      </c>
      <c r="R3352" s="4" t="str">
        <f>IF(Table1[[#This Row],[Customer Ratings]]&gt;=4, "Good",IF(Table1[[#This Row],[Customer Ratings]]=3, "Average","Poor"))</f>
        <v>Good</v>
      </c>
      <c r="S3352" s="3" t="s">
        <v>38</v>
      </c>
    </row>
    <row r="3353" spans="1:19" x14ac:dyDescent="0.25">
      <c r="A3353" s="3">
        <v>3352</v>
      </c>
      <c r="B3353" s="5">
        <f>DATE(Table1[[#This Row],[Year]],Table1[[#This Row],[Month]],Table1[[#This Row],[Day]])</f>
        <v>45434</v>
      </c>
      <c r="C3353" s="3">
        <v>22</v>
      </c>
      <c r="D3353" s="3">
        <v>5</v>
      </c>
      <c r="E3353" s="3">
        <v>2024</v>
      </c>
      <c r="F3353" s="3" t="str">
        <f>"Qtr"&amp; " " &amp;CHOOSE(MONTH(Table1[[#This Row],[Date]]),1,1,1,2,2,2,3,3,3,4,4,4)</f>
        <v>Qtr 2</v>
      </c>
      <c r="G3353" s="3" t="str">
        <f>TEXT(Table1[[#This Row],[Date]],"mmmm")</f>
        <v>May</v>
      </c>
      <c r="H3353" s="3" t="s">
        <v>1083</v>
      </c>
      <c r="I3353" s="3" t="s">
        <v>18</v>
      </c>
      <c r="J3353" s="3">
        <v>1</v>
      </c>
      <c r="K3353" s="3">
        <v>12977.48</v>
      </c>
      <c r="L3353" s="3">
        <f>Table1[[#This Row],[Price Per Unit]]*Table1[[#This Row],[Units Sold]]</f>
        <v>12977.48</v>
      </c>
      <c r="M3353" s="3" t="s">
        <v>636</v>
      </c>
      <c r="N3353" s="3">
        <v>21</v>
      </c>
      <c r="O3353" s="3" t="s">
        <v>65</v>
      </c>
      <c r="P3353" s="3" t="s">
        <v>31</v>
      </c>
      <c r="Q3353" s="4">
        <v>5</v>
      </c>
      <c r="R3353" s="4" t="str">
        <f>IF(Table1[[#This Row],[Customer Ratings]]&gt;=4, "Good",IF(Table1[[#This Row],[Customer Ratings]]=3, "Average","Poor"))</f>
        <v>Good</v>
      </c>
      <c r="S3353" s="3" t="s">
        <v>25</v>
      </c>
    </row>
    <row r="3354" spans="1:19" x14ac:dyDescent="0.25">
      <c r="A3354" s="3">
        <v>3353</v>
      </c>
      <c r="B3354" s="5">
        <f>DATE(Table1[[#This Row],[Year]],Table1[[#This Row],[Month]],Table1[[#This Row],[Day]])</f>
        <v>45434</v>
      </c>
      <c r="C3354" s="3">
        <v>22</v>
      </c>
      <c r="D3354" s="3">
        <v>5</v>
      </c>
      <c r="E3354" s="3">
        <v>2024</v>
      </c>
      <c r="F3354" s="3" t="str">
        <f>"Qtr"&amp; " " &amp;CHOOSE(MONTH(Table1[[#This Row],[Date]]),1,1,1,2,2,2,3,3,3,4,4,4)</f>
        <v>Qtr 2</v>
      </c>
      <c r="G3354" s="3" t="str">
        <f>TEXT(Table1[[#This Row],[Date]],"mmmm")</f>
        <v>May</v>
      </c>
      <c r="H3354" s="3" t="s">
        <v>1083</v>
      </c>
      <c r="I3354" s="3" t="s">
        <v>13</v>
      </c>
      <c r="J3354" s="3">
        <v>2</v>
      </c>
      <c r="K3354" s="3">
        <v>61305.32</v>
      </c>
      <c r="L3354" s="3">
        <f>Table1[[#This Row],[Price Per Unit]]*Table1[[#This Row],[Units Sold]]</f>
        <v>122610.64</v>
      </c>
      <c r="M3354" s="3" t="s">
        <v>266</v>
      </c>
      <c r="N3354" s="3">
        <v>59</v>
      </c>
      <c r="O3354" s="3" t="s">
        <v>24</v>
      </c>
      <c r="P3354" s="3" t="s">
        <v>31</v>
      </c>
      <c r="Q3354" s="4">
        <v>3</v>
      </c>
      <c r="R3354" s="4" t="str">
        <f>IF(Table1[[#This Row],[Customer Ratings]]&gt;=4, "Good",IF(Table1[[#This Row],[Customer Ratings]]=3, "Average","Poor"))</f>
        <v>Average</v>
      </c>
      <c r="S3354" s="3" t="s">
        <v>72</v>
      </c>
    </row>
    <row r="3355" spans="1:19" x14ac:dyDescent="0.25">
      <c r="A3355" s="3">
        <v>3354</v>
      </c>
      <c r="B3355" s="5">
        <f>DATE(Table1[[#This Row],[Year]],Table1[[#This Row],[Month]],Table1[[#This Row],[Day]])</f>
        <v>45434</v>
      </c>
      <c r="C3355" s="3">
        <v>22</v>
      </c>
      <c r="D3355" s="3">
        <v>5</v>
      </c>
      <c r="E3355" s="3">
        <v>2024</v>
      </c>
      <c r="F3355" s="3" t="str">
        <f>"Qtr"&amp; " " &amp;CHOOSE(MONTH(Table1[[#This Row],[Date]]),1,1,1,2,2,2,3,3,3,4,4,4)</f>
        <v>Qtr 2</v>
      </c>
      <c r="G3355" s="3" t="str">
        <f>TEXT(Table1[[#This Row],[Date]],"mmmm")</f>
        <v>May</v>
      </c>
      <c r="H3355" s="3" t="s">
        <v>1083</v>
      </c>
      <c r="I3355" s="3" t="s">
        <v>33</v>
      </c>
      <c r="J3355" s="3">
        <v>6</v>
      </c>
      <c r="K3355" s="3">
        <v>49489.75</v>
      </c>
      <c r="L3355" s="3">
        <f>Table1[[#This Row],[Price Per Unit]]*Table1[[#This Row],[Units Sold]]</f>
        <v>296938.5</v>
      </c>
      <c r="M3355" s="3" t="s">
        <v>605</v>
      </c>
      <c r="N3355" s="3">
        <v>31</v>
      </c>
      <c r="O3355" s="3" t="s">
        <v>54</v>
      </c>
      <c r="P3355" s="3" t="s">
        <v>16</v>
      </c>
      <c r="Q3355" s="4">
        <v>5</v>
      </c>
      <c r="R3355" s="4" t="str">
        <f>IF(Table1[[#This Row],[Customer Ratings]]&gt;=4, "Good",IF(Table1[[#This Row],[Customer Ratings]]=3, "Average","Poor"))</f>
        <v>Good</v>
      </c>
      <c r="S3355" s="3" t="s">
        <v>36</v>
      </c>
    </row>
    <row r="3356" spans="1:19" x14ac:dyDescent="0.25">
      <c r="A3356" s="3">
        <v>3355</v>
      </c>
      <c r="B3356" s="5">
        <f>DATE(Table1[[#This Row],[Year]],Table1[[#This Row],[Month]],Table1[[#This Row],[Day]])</f>
        <v>45435</v>
      </c>
      <c r="C3356" s="3">
        <v>23</v>
      </c>
      <c r="D3356" s="3">
        <v>5</v>
      </c>
      <c r="E3356" s="3">
        <v>2024</v>
      </c>
      <c r="F3356" s="3" t="str">
        <f>"Qtr"&amp; " " &amp;CHOOSE(MONTH(Table1[[#This Row],[Date]]),1,1,1,2,2,2,3,3,3,4,4,4)</f>
        <v>Qtr 2</v>
      </c>
      <c r="G3356" s="3" t="str">
        <f>TEXT(Table1[[#This Row],[Date]],"mmmm")</f>
        <v>May</v>
      </c>
      <c r="H3356" s="3" t="s">
        <v>1084</v>
      </c>
      <c r="I3356" s="3" t="s">
        <v>39</v>
      </c>
      <c r="J3356" s="3">
        <v>2</v>
      </c>
      <c r="K3356" s="3">
        <v>36065.4</v>
      </c>
      <c r="L3356" s="3">
        <f>Table1[[#This Row],[Price Per Unit]]*Table1[[#This Row],[Units Sold]]</f>
        <v>72130.8</v>
      </c>
      <c r="M3356" s="3" t="s">
        <v>563</v>
      </c>
      <c r="N3356" s="3">
        <v>56</v>
      </c>
      <c r="O3356" s="3" t="s">
        <v>24</v>
      </c>
      <c r="P3356" s="3" t="s">
        <v>16</v>
      </c>
      <c r="Q3356" s="4">
        <v>2</v>
      </c>
      <c r="R3356" s="4" t="str">
        <f>IF(Table1[[#This Row],[Customer Ratings]]&gt;=4, "Good",IF(Table1[[#This Row],[Customer Ratings]]=3, "Average","Poor"))</f>
        <v>Poor</v>
      </c>
      <c r="S3356" s="3" t="s">
        <v>90</v>
      </c>
    </row>
    <row r="3357" spans="1:19" x14ac:dyDescent="0.25">
      <c r="A3357" s="3">
        <v>3356</v>
      </c>
      <c r="B3357" s="5">
        <f>DATE(Table1[[#This Row],[Year]],Table1[[#This Row],[Month]],Table1[[#This Row],[Day]])</f>
        <v>45435</v>
      </c>
      <c r="C3357" s="3">
        <v>23</v>
      </c>
      <c r="D3357" s="3">
        <v>5</v>
      </c>
      <c r="E3357" s="3">
        <v>2024</v>
      </c>
      <c r="F3357" s="3" t="str">
        <f>"Qtr"&amp; " " &amp;CHOOSE(MONTH(Table1[[#This Row],[Date]]),1,1,1,2,2,2,3,3,3,4,4,4)</f>
        <v>Qtr 2</v>
      </c>
      <c r="G3357" s="3" t="str">
        <f>TEXT(Table1[[#This Row],[Date]],"mmmm")</f>
        <v>May</v>
      </c>
      <c r="H3357" s="3" t="s">
        <v>1084</v>
      </c>
      <c r="I3357" s="3" t="s">
        <v>39</v>
      </c>
      <c r="J3357" s="3">
        <v>6</v>
      </c>
      <c r="K3357" s="3">
        <v>30785.97</v>
      </c>
      <c r="L3357" s="3">
        <f>Table1[[#This Row],[Price Per Unit]]*Table1[[#This Row],[Units Sold]]</f>
        <v>184715.82</v>
      </c>
      <c r="M3357" s="3" t="s">
        <v>675</v>
      </c>
      <c r="N3357" s="3">
        <v>24</v>
      </c>
      <c r="O3357" s="3" t="s">
        <v>15</v>
      </c>
      <c r="P3357" s="3" t="s">
        <v>21</v>
      </c>
      <c r="Q3357" s="4">
        <v>1</v>
      </c>
      <c r="R3357" s="4" t="str">
        <f>IF(Table1[[#This Row],[Customer Ratings]]&gt;=4, "Good",IF(Table1[[#This Row],[Customer Ratings]]=3, "Average","Poor"))</f>
        <v>Poor</v>
      </c>
      <c r="S3357" s="3" t="s">
        <v>42</v>
      </c>
    </row>
    <row r="3358" spans="1:19" x14ac:dyDescent="0.25">
      <c r="A3358" s="3">
        <v>3357</v>
      </c>
      <c r="B3358" s="5">
        <f>DATE(Table1[[#This Row],[Year]],Table1[[#This Row],[Month]],Table1[[#This Row],[Day]])</f>
        <v>45435</v>
      </c>
      <c r="C3358" s="3">
        <v>23</v>
      </c>
      <c r="D3358" s="3">
        <v>5</v>
      </c>
      <c r="E3358" s="3">
        <v>2024</v>
      </c>
      <c r="F3358" s="3" t="str">
        <f>"Qtr"&amp; " " &amp;CHOOSE(MONTH(Table1[[#This Row],[Date]]),1,1,1,2,2,2,3,3,3,4,4,4)</f>
        <v>Qtr 2</v>
      </c>
      <c r="G3358" s="3" t="str">
        <f>TEXT(Table1[[#This Row],[Date]],"mmmm")</f>
        <v>May</v>
      </c>
      <c r="H3358" s="3" t="s">
        <v>1084</v>
      </c>
      <c r="I3358" s="3" t="s">
        <v>13</v>
      </c>
      <c r="J3358" s="3">
        <v>1</v>
      </c>
      <c r="K3358" s="3">
        <v>11154.94</v>
      </c>
      <c r="L3358" s="3">
        <f>Table1[[#This Row],[Price Per Unit]]*Table1[[#This Row],[Units Sold]]</f>
        <v>11154.94</v>
      </c>
      <c r="M3358" s="3" t="s">
        <v>14</v>
      </c>
      <c r="N3358" s="3">
        <v>25</v>
      </c>
      <c r="O3358" s="3" t="s">
        <v>41</v>
      </c>
      <c r="P3358" s="3" t="s">
        <v>16</v>
      </c>
      <c r="Q3358" s="4">
        <v>3</v>
      </c>
      <c r="R3358" s="4" t="str">
        <f>IF(Table1[[#This Row],[Customer Ratings]]&gt;=4, "Good",IF(Table1[[#This Row],[Customer Ratings]]=3, "Average","Poor"))</f>
        <v>Average</v>
      </c>
      <c r="S3358" s="3" t="s">
        <v>27</v>
      </c>
    </row>
    <row r="3359" spans="1:19" x14ac:dyDescent="0.25">
      <c r="A3359" s="3">
        <v>3358</v>
      </c>
      <c r="B3359" s="5">
        <f>DATE(Table1[[#This Row],[Year]],Table1[[#This Row],[Month]],Table1[[#This Row],[Day]])</f>
        <v>45436</v>
      </c>
      <c r="C3359" s="3">
        <v>24</v>
      </c>
      <c r="D3359" s="3">
        <v>5</v>
      </c>
      <c r="E3359" s="3">
        <v>2024</v>
      </c>
      <c r="F3359" s="3" t="str">
        <f>"Qtr"&amp; " " &amp;CHOOSE(MONTH(Table1[[#This Row],[Date]]),1,1,1,2,2,2,3,3,3,4,4,4)</f>
        <v>Qtr 2</v>
      </c>
      <c r="G3359" s="3" t="str">
        <f>TEXT(Table1[[#This Row],[Date]],"mmmm")</f>
        <v>May</v>
      </c>
      <c r="H3359" s="3" t="s">
        <v>1085</v>
      </c>
      <c r="I3359" s="3" t="s">
        <v>28</v>
      </c>
      <c r="J3359" s="3">
        <v>1</v>
      </c>
      <c r="K3359" s="3">
        <v>59512.9</v>
      </c>
      <c r="L3359" s="3">
        <f>Table1[[#This Row],[Price Per Unit]]*Table1[[#This Row],[Units Sold]]</f>
        <v>59512.9</v>
      </c>
      <c r="M3359" s="3" t="s">
        <v>339</v>
      </c>
      <c r="N3359" s="3">
        <v>59</v>
      </c>
      <c r="O3359" s="3" t="s">
        <v>65</v>
      </c>
      <c r="P3359" s="3" t="s">
        <v>16</v>
      </c>
      <c r="Q3359" s="4">
        <v>4</v>
      </c>
      <c r="R3359" s="4" t="str">
        <f>IF(Table1[[#This Row],[Customer Ratings]]&gt;=4, "Good",IF(Table1[[#This Row],[Customer Ratings]]=3, "Average","Poor"))</f>
        <v>Good</v>
      </c>
      <c r="S3359" s="3" t="s">
        <v>87</v>
      </c>
    </row>
    <row r="3360" spans="1:19" x14ac:dyDescent="0.25">
      <c r="A3360" s="3">
        <v>3359</v>
      </c>
      <c r="B3360" s="5">
        <f>DATE(Table1[[#This Row],[Year]],Table1[[#This Row],[Month]],Table1[[#This Row],[Day]])</f>
        <v>45436</v>
      </c>
      <c r="C3360" s="3">
        <v>24</v>
      </c>
      <c r="D3360" s="3">
        <v>5</v>
      </c>
      <c r="E3360" s="3">
        <v>2024</v>
      </c>
      <c r="F3360" s="3" t="str">
        <f>"Qtr"&amp; " " &amp;CHOOSE(MONTH(Table1[[#This Row],[Date]]),1,1,1,2,2,2,3,3,3,4,4,4)</f>
        <v>Qtr 2</v>
      </c>
      <c r="G3360" s="3" t="str">
        <f>TEXT(Table1[[#This Row],[Date]],"mmmm")</f>
        <v>May</v>
      </c>
      <c r="H3360" s="3" t="s">
        <v>1085</v>
      </c>
      <c r="I3360" s="3" t="s">
        <v>33</v>
      </c>
      <c r="J3360" s="3">
        <v>5</v>
      </c>
      <c r="K3360" s="3">
        <v>18563.310000000001</v>
      </c>
      <c r="L3360" s="3">
        <f>Table1[[#This Row],[Price Per Unit]]*Table1[[#This Row],[Units Sold]]</f>
        <v>92816.55</v>
      </c>
      <c r="M3360" s="3" t="s">
        <v>994</v>
      </c>
      <c r="N3360" s="3">
        <v>36</v>
      </c>
      <c r="O3360" s="3" t="s">
        <v>105</v>
      </c>
      <c r="P3360" s="3" t="s">
        <v>31</v>
      </c>
      <c r="Q3360" s="4">
        <v>3</v>
      </c>
      <c r="R3360" s="4" t="str">
        <f>IF(Table1[[#This Row],[Customer Ratings]]&gt;=4, "Good",IF(Table1[[#This Row],[Customer Ratings]]=3, "Average","Poor"))</f>
        <v>Average</v>
      </c>
      <c r="S3360" s="3" t="s">
        <v>83</v>
      </c>
    </row>
    <row r="3361" spans="1:19" x14ac:dyDescent="0.25">
      <c r="A3361" s="3">
        <v>3360</v>
      </c>
      <c r="B3361" s="5">
        <f>DATE(Table1[[#This Row],[Year]],Table1[[#This Row],[Month]],Table1[[#This Row],[Day]])</f>
        <v>45436</v>
      </c>
      <c r="C3361" s="3">
        <v>24</v>
      </c>
      <c r="D3361" s="3">
        <v>5</v>
      </c>
      <c r="E3361" s="3">
        <v>2024</v>
      </c>
      <c r="F3361" s="3" t="str">
        <f>"Qtr"&amp; " " &amp;CHOOSE(MONTH(Table1[[#This Row],[Date]]),1,1,1,2,2,2,3,3,3,4,4,4)</f>
        <v>Qtr 2</v>
      </c>
      <c r="G3361" s="3" t="str">
        <f>TEXT(Table1[[#This Row],[Date]],"mmmm")</f>
        <v>May</v>
      </c>
      <c r="H3361" s="3" t="s">
        <v>1085</v>
      </c>
      <c r="I3361" s="3" t="s">
        <v>39</v>
      </c>
      <c r="J3361" s="3">
        <v>9</v>
      </c>
      <c r="K3361" s="3">
        <v>28572.52</v>
      </c>
      <c r="L3361" s="3">
        <f>Table1[[#This Row],[Price Per Unit]]*Table1[[#This Row],[Units Sold]]</f>
        <v>257152.68</v>
      </c>
      <c r="M3361" s="3" t="s">
        <v>277</v>
      </c>
      <c r="N3361" s="3">
        <v>19</v>
      </c>
      <c r="O3361" s="3" t="s">
        <v>20</v>
      </c>
      <c r="P3361" s="3" t="s">
        <v>21</v>
      </c>
      <c r="Q3361" s="4">
        <v>1</v>
      </c>
      <c r="R3361" s="4" t="str">
        <f>IF(Table1[[#This Row],[Customer Ratings]]&gt;=4, "Good",IF(Table1[[#This Row],[Customer Ratings]]=3, "Average","Poor"))</f>
        <v>Poor</v>
      </c>
      <c r="S3361" s="3" t="s">
        <v>42</v>
      </c>
    </row>
    <row r="3362" spans="1:19" x14ac:dyDescent="0.25">
      <c r="A3362" s="3">
        <v>3361</v>
      </c>
      <c r="B3362" s="5">
        <f>DATE(Table1[[#This Row],[Year]],Table1[[#This Row],[Month]],Table1[[#This Row],[Day]])</f>
        <v>45436</v>
      </c>
      <c r="C3362" s="3">
        <v>24</v>
      </c>
      <c r="D3362" s="3">
        <v>5</v>
      </c>
      <c r="E3362" s="3">
        <v>2024</v>
      </c>
      <c r="F3362" s="3" t="str">
        <f>"Qtr"&amp; " " &amp;CHOOSE(MONTH(Table1[[#This Row],[Date]]),1,1,1,2,2,2,3,3,3,4,4,4)</f>
        <v>Qtr 2</v>
      </c>
      <c r="G3362" s="3" t="str">
        <f>TEXT(Table1[[#This Row],[Date]],"mmmm")</f>
        <v>May</v>
      </c>
      <c r="H3362" s="3" t="s">
        <v>1085</v>
      </c>
      <c r="I3362" s="3" t="s">
        <v>39</v>
      </c>
      <c r="J3362" s="3">
        <v>8</v>
      </c>
      <c r="K3362" s="3">
        <v>44146.42</v>
      </c>
      <c r="L3362" s="3">
        <f>Table1[[#This Row],[Price Per Unit]]*Table1[[#This Row],[Units Sold]]</f>
        <v>353171.36</v>
      </c>
      <c r="M3362" s="3" t="s">
        <v>238</v>
      </c>
      <c r="N3362" s="3">
        <v>18</v>
      </c>
      <c r="O3362" s="3" t="s">
        <v>58</v>
      </c>
      <c r="P3362" s="3" t="s">
        <v>45</v>
      </c>
      <c r="Q3362" s="4">
        <v>3</v>
      </c>
      <c r="R3362" s="4" t="str">
        <f>IF(Table1[[#This Row],[Customer Ratings]]&gt;=4, "Good",IF(Table1[[#This Row],[Customer Ratings]]=3, "Average","Poor"))</f>
        <v>Average</v>
      </c>
      <c r="S3362" s="3" t="s">
        <v>76</v>
      </c>
    </row>
    <row r="3363" spans="1:19" x14ac:dyDescent="0.25">
      <c r="A3363" s="3">
        <v>3362</v>
      </c>
      <c r="B3363" s="5">
        <f>DATE(Table1[[#This Row],[Year]],Table1[[#This Row],[Month]],Table1[[#This Row],[Day]])</f>
        <v>45437</v>
      </c>
      <c r="C3363" s="3">
        <v>25</v>
      </c>
      <c r="D3363" s="3">
        <v>5</v>
      </c>
      <c r="E3363" s="3">
        <v>2024</v>
      </c>
      <c r="F3363" s="3" t="str">
        <f>"Qtr"&amp; " " &amp;CHOOSE(MONTH(Table1[[#This Row],[Date]]),1,1,1,2,2,2,3,3,3,4,4,4)</f>
        <v>Qtr 2</v>
      </c>
      <c r="G3363" s="3" t="str">
        <f>TEXT(Table1[[#This Row],[Date]],"mmmm")</f>
        <v>May</v>
      </c>
      <c r="H3363" s="3" t="s">
        <v>1079</v>
      </c>
      <c r="I3363" s="3" t="s">
        <v>28</v>
      </c>
      <c r="J3363" s="3">
        <v>3</v>
      </c>
      <c r="K3363" s="3">
        <v>24759.56</v>
      </c>
      <c r="L3363" s="3">
        <f>Table1[[#This Row],[Price Per Unit]]*Table1[[#This Row],[Units Sold]]</f>
        <v>74278.680000000008</v>
      </c>
      <c r="M3363" s="3" t="s">
        <v>736</v>
      </c>
      <c r="N3363" s="3">
        <v>59</v>
      </c>
      <c r="O3363" s="3" t="s">
        <v>54</v>
      </c>
      <c r="P3363" s="3" t="s">
        <v>21</v>
      </c>
      <c r="Q3363" s="4">
        <v>3</v>
      </c>
      <c r="R3363" s="4" t="str">
        <f>IF(Table1[[#This Row],[Customer Ratings]]&gt;=4, "Good",IF(Table1[[#This Row],[Customer Ratings]]=3, "Average","Poor"))</f>
        <v>Average</v>
      </c>
      <c r="S3363" s="3" t="s">
        <v>32</v>
      </c>
    </row>
    <row r="3364" spans="1:19" x14ac:dyDescent="0.25">
      <c r="A3364" s="3">
        <v>3363</v>
      </c>
      <c r="B3364" s="5">
        <f>DATE(Table1[[#This Row],[Year]],Table1[[#This Row],[Month]],Table1[[#This Row],[Day]])</f>
        <v>45437</v>
      </c>
      <c r="C3364" s="3">
        <v>25</v>
      </c>
      <c r="D3364" s="3">
        <v>5</v>
      </c>
      <c r="E3364" s="3">
        <v>2024</v>
      </c>
      <c r="F3364" s="3" t="str">
        <f>"Qtr"&amp; " " &amp;CHOOSE(MONTH(Table1[[#This Row],[Date]]),1,1,1,2,2,2,3,3,3,4,4,4)</f>
        <v>Qtr 2</v>
      </c>
      <c r="G3364" s="3" t="str">
        <f>TEXT(Table1[[#This Row],[Date]],"mmmm")</f>
        <v>May</v>
      </c>
      <c r="H3364" s="3" t="s">
        <v>1079</v>
      </c>
      <c r="I3364" s="3" t="s">
        <v>13</v>
      </c>
      <c r="J3364" s="3">
        <v>3</v>
      </c>
      <c r="K3364" s="3">
        <v>39828.43</v>
      </c>
      <c r="L3364" s="3">
        <f>Table1[[#This Row],[Price Per Unit]]*Table1[[#This Row],[Units Sold]]</f>
        <v>119485.29000000001</v>
      </c>
      <c r="M3364" s="3" t="s">
        <v>126</v>
      </c>
      <c r="N3364" s="3">
        <v>55</v>
      </c>
      <c r="O3364" s="3" t="s">
        <v>20</v>
      </c>
      <c r="P3364" s="3" t="s">
        <v>16</v>
      </c>
      <c r="Q3364" s="4">
        <v>3</v>
      </c>
      <c r="R3364" s="4" t="str">
        <f>IF(Table1[[#This Row],[Customer Ratings]]&gt;=4, "Good",IF(Table1[[#This Row],[Customer Ratings]]=3, "Average","Poor"))</f>
        <v>Average</v>
      </c>
      <c r="S3364" s="3" t="s">
        <v>17</v>
      </c>
    </row>
    <row r="3365" spans="1:19" x14ac:dyDescent="0.25">
      <c r="A3365" s="3">
        <v>3364</v>
      </c>
      <c r="B3365" s="5">
        <f>DATE(Table1[[#This Row],[Year]],Table1[[#This Row],[Month]],Table1[[#This Row],[Day]])</f>
        <v>45437</v>
      </c>
      <c r="C3365" s="3">
        <v>25</v>
      </c>
      <c r="D3365" s="3">
        <v>5</v>
      </c>
      <c r="E3365" s="3">
        <v>2024</v>
      </c>
      <c r="F3365" s="3" t="str">
        <f>"Qtr"&amp; " " &amp;CHOOSE(MONTH(Table1[[#This Row],[Date]]),1,1,1,2,2,2,3,3,3,4,4,4)</f>
        <v>Qtr 2</v>
      </c>
      <c r="G3365" s="3" t="str">
        <f>TEXT(Table1[[#This Row],[Date]],"mmmm")</f>
        <v>May</v>
      </c>
      <c r="H3365" s="3" t="s">
        <v>1079</v>
      </c>
      <c r="I3365" s="3" t="s">
        <v>33</v>
      </c>
      <c r="J3365" s="3">
        <v>1</v>
      </c>
      <c r="K3365" s="3">
        <v>58560.57</v>
      </c>
      <c r="L3365" s="3">
        <f>Table1[[#This Row],[Price Per Unit]]*Table1[[#This Row],[Units Sold]]</f>
        <v>58560.57</v>
      </c>
      <c r="M3365" s="3" t="s">
        <v>239</v>
      </c>
      <c r="N3365" s="3">
        <v>30</v>
      </c>
      <c r="O3365" s="3" t="s">
        <v>81</v>
      </c>
      <c r="P3365" s="3" t="s">
        <v>16</v>
      </c>
      <c r="Q3365" s="4">
        <v>4</v>
      </c>
      <c r="R3365" s="4" t="str">
        <f>IF(Table1[[#This Row],[Customer Ratings]]&gt;=4, "Good",IF(Table1[[#This Row],[Customer Ratings]]=3, "Average","Poor"))</f>
        <v>Good</v>
      </c>
      <c r="S3365" s="3" t="s">
        <v>36</v>
      </c>
    </row>
    <row r="3366" spans="1:19" x14ac:dyDescent="0.25">
      <c r="A3366" s="3">
        <v>3365</v>
      </c>
      <c r="B3366" s="5">
        <f>DATE(Table1[[#This Row],[Year]],Table1[[#This Row],[Month]],Table1[[#This Row],[Day]])</f>
        <v>45438</v>
      </c>
      <c r="C3366" s="3">
        <v>26</v>
      </c>
      <c r="D3366" s="3">
        <v>5</v>
      </c>
      <c r="E3366" s="3">
        <v>2024</v>
      </c>
      <c r="F3366" s="3" t="str">
        <f>"Qtr"&amp; " " &amp;CHOOSE(MONTH(Table1[[#This Row],[Date]]),1,1,1,2,2,2,3,3,3,4,4,4)</f>
        <v>Qtr 2</v>
      </c>
      <c r="G3366" s="3" t="str">
        <f>TEXT(Table1[[#This Row],[Date]],"mmmm")</f>
        <v>May</v>
      </c>
      <c r="H3366" s="3" t="s">
        <v>1080</v>
      </c>
      <c r="I3366" s="3" t="s">
        <v>13</v>
      </c>
      <c r="J3366" s="3">
        <v>3</v>
      </c>
      <c r="K3366" s="3">
        <v>38232.28</v>
      </c>
      <c r="L3366" s="3">
        <f>Table1[[#This Row],[Price Per Unit]]*Table1[[#This Row],[Units Sold]]</f>
        <v>114696.84</v>
      </c>
      <c r="M3366" s="3" t="s">
        <v>1014</v>
      </c>
      <c r="N3366" s="3">
        <v>59</v>
      </c>
      <c r="O3366" s="3" t="s">
        <v>20</v>
      </c>
      <c r="P3366" s="3" t="s">
        <v>31</v>
      </c>
      <c r="Q3366" s="4">
        <v>1</v>
      </c>
      <c r="R3366" s="4" t="str">
        <f>IF(Table1[[#This Row],[Customer Ratings]]&gt;=4, "Good",IF(Table1[[#This Row],[Customer Ratings]]=3, "Average","Poor"))</f>
        <v>Poor</v>
      </c>
      <c r="S3366" s="3" t="s">
        <v>72</v>
      </c>
    </row>
    <row r="3367" spans="1:19" x14ac:dyDescent="0.25">
      <c r="A3367" s="3">
        <v>3366</v>
      </c>
      <c r="B3367" s="5">
        <f>DATE(Table1[[#This Row],[Year]],Table1[[#This Row],[Month]],Table1[[#This Row],[Day]])</f>
        <v>45438</v>
      </c>
      <c r="C3367" s="3">
        <v>26</v>
      </c>
      <c r="D3367" s="3">
        <v>5</v>
      </c>
      <c r="E3367" s="3">
        <v>2024</v>
      </c>
      <c r="F3367" s="3" t="str">
        <f>"Qtr"&amp; " " &amp;CHOOSE(MONTH(Table1[[#This Row],[Date]]),1,1,1,2,2,2,3,3,3,4,4,4)</f>
        <v>Qtr 2</v>
      </c>
      <c r="G3367" s="3" t="str">
        <f>TEXT(Table1[[#This Row],[Date]],"mmmm")</f>
        <v>May</v>
      </c>
      <c r="H3367" s="3" t="s">
        <v>1080</v>
      </c>
      <c r="I3367" s="3" t="s">
        <v>13</v>
      </c>
      <c r="J3367" s="3">
        <v>1</v>
      </c>
      <c r="K3367" s="3">
        <v>66938.64</v>
      </c>
      <c r="L3367" s="3">
        <f>Table1[[#This Row],[Price Per Unit]]*Table1[[#This Row],[Units Sold]]</f>
        <v>66938.64</v>
      </c>
      <c r="M3367" s="3" t="s">
        <v>91</v>
      </c>
      <c r="N3367" s="3">
        <v>41</v>
      </c>
      <c r="O3367" s="3" t="s">
        <v>78</v>
      </c>
      <c r="P3367" s="3" t="s">
        <v>45</v>
      </c>
      <c r="Q3367" s="4">
        <v>1</v>
      </c>
      <c r="R3367" s="4" t="str">
        <f>IF(Table1[[#This Row],[Customer Ratings]]&gt;=4, "Good",IF(Table1[[#This Row],[Customer Ratings]]=3, "Average","Poor"))</f>
        <v>Poor</v>
      </c>
      <c r="S3367" s="3" t="s">
        <v>17</v>
      </c>
    </row>
    <row r="3368" spans="1:19" x14ac:dyDescent="0.25">
      <c r="A3368" s="3">
        <v>3367</v>
      </c>
      <c r="B3368" s="5">
        <f>DATE(Table1[[#This Row],[Year]],Table1[[#This Row],[Month]],Table1[[#This Row],[Day]])</f>
        <v>45438</v>
      </c>
      <c r="C3368" s="3">
        <v>26</v>
      </c>
      <c r="D3368" s="3">
        <v>5</v>
      </c>
      <c r="E3368" s="3">
        <v>2024</v>
      </c>
      <c r="F3368" s="3" t="str">
        <f>"Qtr"&amp; " " &amp;CHOOSE(MONTH(Table1[[#This Row],[Date]]),1,1,1,2,2,2,3,3,3,4,4,4)</f>
        <v>Qtr 2</v>
      </c>
      <c r="G3368" s="3" t="str">
        <f>TEXT(Table1[[#This Row],[Date]],"mmmm")</f>
        <v>May</v>
      </c>
      <c r="H3368" s="3" t="s">
        <v>1080</v>
      </c>
      <c r="I3368" s="3" t="s">
        <v>33</v>
      </c>
      <c r="J3368" s="3">
        <v>8</v>
      </c>
      <c r="K3368" s="3">
        <v>60850.04</v>
      </c>
      <c r="L3368" s="3">
        <f>Table1[[#This Row],[Price Per Unit]]*Table1[[#This Row],[Units Sold]]</f>
        <v>486800.32</v>
      </c>
      <c r="M3368" s="3" t="s">
        <v>702</v>
      </c>
      <c r="N3368" s="3">
        <v>49</v>
      </c>
      <c r="O3368" s="3" t="s">
        <v>24</v>
      </c>
      <c r="P3368" s="3" t="s">
        <v>45</v>
      </c>
      <c r="Q3368" s="4">
        <v>4</v>
      </c>
      <c r="R3368" s="4" t="str">
        <f>IF(Table1[[#This Row],[Customer Ratings]]&gt;=4, "Good",IF(Table1[[#This Row],[Customer Ratings]]=3, "Average","Poor"))</f>
        <v>Good</v>
      </c>
      <c r="S3368" s="3" t="s">
        <v>46</v>
      </c>
    </row>
    <row r="3369" spans="1:19" x14ac:dyDescent="0.25">
      <c r="A3369" s="3">
        <v>3368</v>
      </c>
      <c r="B3369" s="5">
        <f>DATE(Table1[[#This Row],[Year]],Table1[[#This Row],[Month]],Table1[[#This Row],[Day]])</f>
        <v>45439</v>
      </c>
      <c r="C3369" s="3">
        <v>27</v>
      </c>
      <c r="D3369" s="3">
        <v>5</v>
      </c>
      <c r="E3369" s="3">
        <v>2024</v>
      </c>
      <c r="F3369" s="3" t="str">
        <f>"Qtr"&amp; " " &amp;CHOOSE(MONTH(Table1[[#This Row],[Date]]),1,1,1,2,2,2,3,3,3,4,4,4)</f>
        <v>Qtr 2</v>
      </c>
      <c r="G3369" s="3" t="str">
        <f>TEXT(Table1[[#This Row],[Date]],"mmmm")</f>
        <v>May</v>
      </c>
      <c r="H3369" s="3" t="s">
        <v>1081</v>
      </c>
      <c r="I3369" s="3" t="s">
        <v>33</v>
      </c>
      <c r="J3369" s="3">
        <v>1</v>
      </c>
      <c r="K3369" s="3">
        <v>29982.35</v>
      </c>
      <c r="L3369" s="3">
        <f>Table1[[#This Row],[Price Per Unit]]*Table1[[#This Row],[Units Sold]]</f>
        <v>29982.35</v>
      </c>
      <c r="M3369" s="3" t="s">
        <v>1020</v>
      </c>
      <c r="N3369" s="3">
        <v>47</v>
      </c>
      <c r="O3369" s="3" t="s">
        <v>78</v>
      </c>
      <c r="P3369" s="3" t="s">
        <v>45</v>
      </c>
      <c r="Q3369" s="4">
        <v>3</v>
      </c>
      <c r="R3369" s="4" t="str">
        <f>IF(Table1[[#This Row],[Customer Ratings]]&gt;=4, "Good",IF(Table1[[#This Row],[Customer Ratings]]=3, "Average","Poor"))</f>
        <v>Average</v>
      </c>
      <c r="S3369" s="3" t="s">
        <v>46</v>
      </c>
    </row>
    <row r="3370" spans="1:19" x14ac:dyDescent="0.25">
      <c r="A3370" s="3">
        <v>3369</v>
      </c>
      <c r="B3370" s="5">
        <f>DATE(Table1[[#This Row],[Year]],Table1[[#This Row],[Month]],Table1[[#This Row],[Day]])</f>
        <v>45439</v>
      </c>
      <c r="C3370" s="3">
        <v>27</v>
      </c>
      <c r="D3370" s="3">
        <v>5</v>
      </c>
      <c r="E3370" s="3">
        <v>2024</v>
      </c>
      <c r="F3370" s="3" t="str">
        <f>"Qtr"&amp; " " &amp;CHOOSE(MONTH(Table1[[#This Row],[Date]]),1,1,1,2,2,2,3,3,3,4,4,4)</f>
        <v>Qtr 2</v>
      </c>
      <c r="G3370" s="3" t="str">
        <f>TEXT(Table1[[#This Row],[Date]],"mmmm")</f>
        <v>May</v>
      </c>
      <c r="H3370" s="3" t="s">
        <v>1081</v>
      </c>
      <c r="I3370" s="3" t="s">
        <v>39</v>
      </c>
      <c r="J3370" s="3">
        <v>5</v>
      </c>
      <c r="K3370" s="3">
        <v>33997.730000000003</v>
      </c>
      <c r="L3370" s="3">
        <f>Table1[[#This Row],[Price Per Unit]]*Table1[[#This Row],[Units Sold]]</f>
        <v>169988.65000000002</v>
      </c>
      <c r="M3370" s="3" t="s">
        <v>365</v>
      </c>
      <c r="N3370" s="3">
        <v>23</v>
      </c>
      <c r="O3370" s="3" t="s">
        <v>98</v>
      </c>
      <c r="P3370" s="3" t="s">
        <v>16</v>
      </c>
      <c r="Q3370" s="4">
        <v>3</v>
      </c>
      <c r="R3370" s="4" t="str">
        <f>IF(Table1[[#This Row],[Customer Ratings]]&gt;=4, "Good",IF(Table1[[#This Row],[Customer Ratings]]=3, "Average","Poor"))</f>
        <v>Average</v>
      </c>
      <c r="S3370" s="3" t="s">
        <v>42</v>
      </c>
    </row>
    <row r="3371" spans="1:19" x14ac:dyDescent="0.25">
      <c r="A3371" s="3">
        <v>3370</v>
      </c>
      <c r="B3371" s="5">
        <f>DATE(Table1[[#This Row],[Year]],Table1[[#This Row],[Month]],Table1[[#This Row],[Day]])</f>
        <v>45439</v>
      </c>
      <c r="C3371" s="3">
        <v>27</v>
      </c>
      <c r="D3371" s="3">
        <v>5</v>
      </c>
      <c r="E3371" s="3">
        <v>2024</v>
      </c>
      <c r="F3371" s="3" t="str">
        <f>"Qtr"&amp; " " &amp;CHOOSE(MONTH(Table1[[#This Row],[Date]]),1,1,1,2,2,2,3,3,3,4,4,4)</f>
        <v>Qtr 2</v>
      </c>
      <c r="G3371" s="3" t="str">
        <f>TEXT(Table1[[#This Row],[Date]],"mmmm")</f>
        <v>May</v>
      </c>
      <c r="H3371" s="3" t="s">
        <v>1081</v>
      </c>
      <c r="I3371" s="3" t="s">
        <v>39</v>
      </c>
      <c r="J3371" s="3">
        <v>9</v>
      </c>
      <c r="K3371" s="3">
        <v>35399.599999999999</v>
      </c>
      <c r="L3371" s="3">
        <f>Table1[[#This Row],[Price Per Unit]]*Table1[[#This Row],[Units Sold]]</f>
        <v>318596.39999999997</v>
      </c>
      <c r="M3371" s="3" t="s">
        <v>874</v>
      </c>
      <c r="N3371" s="3">
        <v>55</v>
      </c>
      <c r="O3371" s="3" t="s">
        <v>48</v>
      </c>
      <c r="P3371" s="3" t="s">
        <v>16</v>
      </c>
      <c r="Q3371" s="4">
        <v>1</v>
      </c>
      <c r="R3371" s="4" t="str">
        <f>IF(Table1[[#This Row],[Customer Ratings]]&gt;=4, "Good",IF(Table1[[#This Row],[Customer Ratings]]=3, "Average","Poor"))</f>
        <v>Poor</v>
      </c>
      <c r="S3371" s="3" t="s">
        <v>42</v>
      </c>
    </row>
    <row r="3372" spans="1:19" x14ac:dyDescent="0.25">
      <c r="A3372" s="3">
        <v>3371</v>
      </c>
      <c r="B3372" s="5">
        <f>DATE(Table1[[#This Row],[Year]],Table1[[#This Row],[Month]],Table1[[#This Row],[Day]])</f>
        <v>45440</v>
      </c>
      <c r="C3372" s="3">
        <v>28</v>
      </c>
      <c r="D3372" s="3">
        <v>5</v>
      </c>
      <c r="E3372" s="3">
        <v>2024</v>
      </c>
      <c r="F3372" s="3" t="str">
        <f>"Qtr"&amp; " " &amp;CHOOSE(MONTH(Table1[[#This Row],[Date]]),1,1,1,2,2,2,3,3,3,4,4,4)</f>
        <v>Qtr 2</v>
      </c>
      <c r="G3372" s="3" t="str">
        <f>TEXT(Table1[[#This Row],[Date]],"mmmm")</f>
        <v>May</v>
      </c>
      <c r="H3372" s="3" t="s">
        <v>1082</v>
      </c>
      <c r="I3372" s="3" t="s">
        <v>33</v>
      </c>
      <c r="J3372" s="3">
        <v>7</v>
      </c>
      <c r="K3372" s="3">
        <v>47570.77</v>
      </c>
      <c r="L3372" s="3">
        <f>Table1[[#This Row],[Price Per Unit]]*Table1[[#This Row],[Units Sold]]</f>
        <v>332995.38999999996</v>
      </c>
      <c r="M3372" s="3" t="s">
        <v>560</v>
      </c>
      <c r="N3372" s="3">
        <v>50</v>
      </c>
      <c r="O3372" s="3" t="s">
        <v>54</v>
      </c>
      <c r="P3372" s="3" t="s">
        <v>21</v>
      </c>
      <c r="Q3372" s="4">
        <v>3</v>
      </c>
      <c r="R3372" s="4" t="str">
        <f>IF(Table1[[#This Row],[Customer Ratings]]&gt;=4, "Good",IF(Table1[[#This Row],[Customer Ratings]]=3, "Average","Poor"))</f>
        <v>Average</v>
      </c>
      <c r="S3372" s="3" t="s">
        <v>83</v>
      </c>
    </row>
    <row r="3373" spans="1:19" x14ac:dyDescent="0.25">
      <c r="A3373" s="3">
        <v>3372</v>
      </c>
      <c r="B3373" s="5">
        <f>DATE(Table1[[#This Row],[Year]],Table1[[#This Row],[Month]],Table1[[#This Row],[Day]])</f>
        <v>45440</v>
      </c>
      <c r="C3373" s="3">
        <v>28</v>
      </c>
      <c r="D3373" s="3">
        <v>5</v>
      </c>
      <c r="E3373" s="3">
        <v>2024</v>
      </c>
      <c r="F3373" s="3" t="str">
        <f>"Qtr"&amp; " " &amp;CHOOSE(MONTH(Table1[[#This Row],[Date]]),1,1,1,2,2,2,3,3,3,4,4,4)</f>
        <v>Qtr 2</v>
      </c>
      <c r="G3373" s="3" t="str">
        <f>TEXT(Table1[[#This Row],[Date]],"mmmm")</f>
        <v>May</v>
      </c>
      <c r="H3373" s="3" t="s">
        <v>1082</v>
      </c>
      <c r="I3373" s="3" t="s">
        <v>18</v>
      </c>
      <c r="J3373" s="3">
        <v>4</v>
      </c>
      <c r="K3373" s="3">
        <v>27207.74</v>
      </c>
      <c r="L3373" s="3">
        <f>Table1[[#This Row],[Price Per Unit]]*Table1[[#This Row],[Units Sold]]</f>
        <v>108830.96</v>
      </c>
      <c r="M3373" s="3" t="s">
        <v>220</v>
      </c>
      <c r="N3373" s="3">
        <v>40</v>
      </c>
      <c r="O3373" s="3" t="s">
        <v>48</v>
      </c>
      <c r="P3373" s="3" t="s">
        <v>16</v>
      </c>
      <c r="Q3373" s="4">
        <v>2</v>
      </c>
      <c r="R3373" s="4" t="str">
        <f>IF(Table1[[#This Row],[Customer Ratings]]&gt;=4, "Good",IF(Table1[[#This Row],[Customer Ratings]]=3, "Average","Poor"))</f>
        <v>Poor</v>
      </c>
      <c r="S3373" s="3" t="s">
        <v>55</v>
      </c>
    </row>
    <row r="3374" spans="1:19" x14ac:dyDescent="0.25">
      <c r="A3374" s="3">
        <v>3373</v>
      </c>
      <c r="B3374" s="5">
        <f>DATE(Table1[[#This Row],[Year]],Table1[[#This Row],[Month]],Table1[[#This Row],[Day]])</f>
        <v>45440</v>
      </c>
      <c r="C3374" s="3">
        <v>28</v>
      </c>
      <c r="D3374" s="3">
        <v>5</v>
      </c>
      <c r="E3374" s="3">
        <v>2024</v>
      </c>
      <c r="F3374" s="3" t="str">
        <f>"Qtr"&amp; " " &amp;CHOOSE(MONTH(Table1[[#This Row],[Date]]),1,1,1,2,2,2,3,3,3,4,4,4)</f>
        <v>Qtr 2</v>
      </c>
      <c r="G3374" s="3" t="str">
        <f>TEXT(Table1[[#This Row],[Date]],"mmmm")</f>
        <v>May</v>
      </c>
      <c r="H3374" s="3" t="s">
        <v>1082</v>
      </c>
      <c r="I3374" s="3" t="s">
        <v>39</v>
      </c>
      <c r="J3374" s="3">
        <v>9</v>
      </c>
      <c r="K3374" s="3">
        <v>68154.95</v>
      </c>
      <c r="L3374" s="3">
        <f>Table1[[#This Row],[Price Per Unit]]*Table1[[#This Row],[Units Sold]]</f>
        <v>613394.54999999993</v>
      </c>
      <c r="M3374" s="3" t="s">
        <v>706</v>
      </c>
      <c r="N3374" s="3">
        <v>27</v>
      </c>
      <c r="O3374" s="3" t="s">
        <v>20</v>
      </c>
      <c r="P3374" s="3" t="s">
        <v>45</v>
      </c>
      <c r="Q3374" s="4">
        <v>3</v>
      </c>
      <c r="R3374" s="4" t="str">
        <f>IF(Table1[[#This Row],[Customer Ratings]]&gt;=4, "Good",IF(Table1[[#This Row],[Customer Ratings]]=3, "Average","Poor"))</f>
        <v>Average</v>
      </c>
      <c r="S3374" s="3" t="s">
        <v>76</v>
      </c>
    </row>
    <row r="3375" spans="1:19" x14ac:dyDescent="0.25">
      <c r="A3375" s="3">
        <v>3374</v>
      </c>
      <c r="B3375" s="5">
        <f>DATE(Table1[[#This Row],[Year]],Table1[[#This Row],[Month]],Table1[[#This Row],[Day]])</f>
        <v>45440</v>
      </c>
      <c r="C3375" s="3">
        <v>28</v>
      </c>
      <c r="D3375" s="3">
        <v>5</v>
      </c>
      <c r="E3375" s="3">
        <v>2024</v>
      </c>
      <c r="F3375" s="3" t="str">
        <f>"Qtr"&amp; " " &amp;CHOOSE(MONTH(Table1[[#This Row],[Date]]),1,1,1,2,2,2,3,3,3,4,4,4)</f>
        <v>Qtr 2</v>
      </c>
      <c r="G3375" s="3" t="str">
        <f>TEXT(Table1[[#This Row],[Date]],"mmmm")</f>
        <v>May</v>
      </c>
      <c r="H3375" s="3" t="s">
        <v>1082</v>
      </c>
      <c r="I3375" s="3" t="s">
        <v>18</v>
      </c>
      <c r="J3375" s="3">
        <v>9</v>
      </c>
      <c r="K3375" s="3">
        <v>46521.05</v>
      </c>
      <c r="L3375" s="3">
        <f>Table1[[#This Row],[Price Per Unit]]*Table1[[#This Row],[Units Sold]]</f>
        <v>418689.45</v>
      </c>
      <c r="M3375" s="3" t="s">
        <v>1034</v>
      </c>
      <c r="N3375" s="3">
        <v>32</v>
      </c>
      <c r="O3375" s="3" t="s">
        <v>24</v>
      </c>
      <c r="P3375" s="3" t="s">
        <v>45</v>
      </c>
      <c r="Q3375" s="4">
        <v>3</v>
      </c>
      <c r="R3375" s="4" t="str">
        <f>IF(Table1[[#This Row],[Customer Ratings]]&gt;=4, "Good",IF(Table1[[#This Row],[Customer Ratings]]=3, "Average","Poor"))</f>
        <v>Average</v>
      </c>
      <c r="S3375" s="3" t="s">
        <v>22</v>
      </c>
    </row>
    <row r="3376" spans="1:19" x14ac:dyDescent="0.25">
      <c r="A3376" s="3">
        <v>3375</v>
      </c>
      <c r="B3376" s="5">
        <f>DATE(Table1[[#This Row],[Year]],Table1[[#This Row],[Month]],Table1[[#This Row],[Day]])</f>
        <v>45441</v>
      </c>
      <c r="C3376" s="3">
        <v>29</v>
      </c>
      <c r="D3376" s="3">
        <v>5</v>
      </c>
      <c r="E3376" s="3">
        <v>2024</v>
      </c>
      <c r="F3376" s="3" t="str">
        <f>"Qtr"&amp; " " &amp;CHOOSE(MONTH(Table1[[#This Row],[Date]]),1,1,1,2,2,2,3,3,3,4,4,4)</f>
        <v>Qtr 2</v>
      </c>
      <c r="G3376" s="3" t="str">
        <f>TEXT(Table1[[#This Row],[Date]],"mmmm")</f>
        <v>May</v>
      </c>
      <c r="H3376" s="3" t="s">
        <v>1083</v>
      </c>
      <c r="I3376" s="3" t="s">
        <v>33</v>
      </c>
      <c r="J3376" s="3">
        <v>2</v>
      </c>
      <c r="K3376" s="3">
        <v>33964.1</v>
      </c>
      <c r="L3376" s="3">
        <f>Table1[[#This Row],[Price Per Unit]]*Table1[[#This Row],[Units Sold]]</f>
        <v>67928.2</v>
      </c>
      <c r="M3376" s="3" t="s">
        <v>755</v>
      </c>
      <c r="N3376" s="3">
        <v>40</v>
      </c>
      <c r="O3376" s="3" t="s">
        <v>125</v>
      </c>
      <c r="P3376" s="3" t="s">
        <v>45</v>
      </c>
      <c r="Q3376" s="4">
        <v>5</v>
      </c>
      <c r="R3376" s="4" t="str">
        <f>IF(Table1[[#This Row],[Customer Ratings]]&gt;=4, "Good",IF(Table1[[#This Row],[Customer Ratings]]=3, "Average","Poor"))</f>
        <v>Good</v>
      </c>
      <c r="S3376" s="3" t="s">
        <v>46</v>
      </c>
    </row>
    <row r="3377" spans="1:19" x14ac:dyDescent="0.25">
      <c r="A3377" s="3">
        <v>3376</v>
      </c>
      <c r="B3377" s="5">
        <f>DATE(Table1[[#This Row],[Year]],Table1[[#This Row],[Month]],Table1[[#This Row],[Day]])</f>
        <v>45441</v>
      </c>
      <c r="C3377" s="3">
        <v>29</v>
      </c>
      <c r="D3377" s="3">
        <v>5</v>
      </c>
      <c r="E3377" s="3">
        <v>2024</v>
      </c>
      <c r="F3377" s="3" t="str">
        <f>"Qtr"&amp; " " &amp;CHOOSE(MONTH(Table1[[#This Row],[Date]]),1,1,1,2,2,2,3,3,3,4,4,4)</f>
        <v>Qtr 2</v>
      </c>
      <c r="G3377" s="3" t="str">
        <f>TEXT(Table1[[#This Row],[Date]],"mmmm")</f>
        <v>May</v>
      </c>
      <c r="H3377" s="3" t="s">
        <v>1083</v>
      </c>
      <c r="I3377" s="3" t="s">
        <v>39</v>
      </c>
      <c r="J3377" s="3">
        <v>6</v>
      </c>
      <c r="K3377" s="3">
        <v>48700.59</v>
      </c>
      <c r="L3377" s="3">
        <f>Table1[[#This Row],[Price Per Unit]]*Table1[[#This Row],[Units Sold]]</f>
        <v>292203.53999999998</v>
      </c>
      <c r="M3377" s="3" t="s">
        <v>386</v>
      </c>
      <c r="N3377" s="3">
        <v>53</v>
      </c>
      <c r="O3377" s="3" t="s">
        <v>52</v>
      </c>
      <c r="P3377" s="3" t="s">
        <v>31</v>
      </c>
      <c r="Q3377" s="4">
        <v>1</v>
      </c>
      <c r="R3377" s="4" t="str">
        <f>IF(Table1[[#This Row],[Customer Ratings]]&gt;=4, "Good",IF(Table1[[#This Row],[Customer Ratings]]=3, "Average","Poor"))</f>
        <v>Poor</v>
      </c>
      <c r="S3377" s="3" t="s">
        <v>76</v>
      </c>
    </row>
    <row r="3378" spans="1:19" x14ac:dyDescent="0.25">
      <c r="A3378" s="3">
        <v>3377</v>
      </c>
      <c r="B3378" s="5">
        <f>DATE(Table1[[#This Row],[Year]],Table1[[#This Row],[Month]],Table1[[#This Row],[Day]])</f>
        <v>45441</v>
      </c>
      <c r="C3378" s="3">
        <v>29</v>
      </c>
      <c r="D3378" s="3">
        <v>5</v>
      </c>
      <c r="E3378" s="3">
        <v>2024</v>
      </c>
      <c r="F3378" s="3" t="str">
        <f>"Qtr"&amp; " " &amp;CHOOSE(MONTH(Table1[[#This Row],[Date]]),1,1,1,2,2,2,3,3,3,4,4,4)</f>
        <v>Qtr 2</v>
      </c>
      <c r="G3378" s="3" t="str">
        <f>TEXT(Table1[[#This Row],[Date]],"mmmm")</f>
        <v>May</v>
      </c>
      <c r="H3378" s="3" t="s">
        <v>1083</v>
      </c>
      <c r="I3378" s="3" t="s">
        <v>13</v>
      </c>
      <c r="J3378" s="3">
        <v>4</v>
      </c>
      <c r="K3378" s="3">
        <v>33724.300000000003</v>
      </c>
      <c r="L3378" s="3">
        <f>Table1[[#This Row],[Price Per Unit]]*Table1[[#This Row],[Units Sold]]</f>
        <v>134897.20000000001</v>
      </c>
      <c r="M3378" s="3" t="s">
        <v>148</v>
      </c>
      <c r="N3378" s="3">
        <v>18</v>
      </c>
      <c r="O3378" s="3" t="s">
        <v>98</v>
      </c>
      <c r="P3378" s="3" t="s">
        <v>21</v>
      </c>
      <c r="Q3378" s="4">
        <v>1</v>
      </c>
      <c r="R3378" s="4" t="str">
        <f>IF(Table1[[#This Row],[Customer Ratings]]&gt;=4, "Good",IF(Table1[[#This Row],[Customer Ratings]]=3, "Average","Poor"))</f>
        <v>Poor</v>
      </c>
      <c r="S3378" s="3" t="s">
        <v>72</v>
      </c>
    </row>
    <row r="3379" spans="1:19" x14ac:dyDescent="0.25">
      <c r="A3379" s="3">
        <v>3378</v>
      </c>
      <c r="B3379" s="5">
        <f>DATE(Table1[[#This Row],[Year]],Table1[[#This Row],[Month]],Table1[[#This Row],[Day]])</f>
        <v>45442</v>
      </c>
      <c r="C3379" s="3">
        <v>30</v>
      </c>
      <c r="D3379" s="3">
        <v>5</v>
      </c>
      <c r="E3379" s="3">
        <v>2024</v>
      </c>
      <c r="F3379" s="3" t="str">
        <f>"Qtr"&amp; " " &amp;CHOOSE(MONTH(Table1[[#This Row],[Date]]),1,1,1,2,2,2,3,3,3,4,4,4)</f>
        <v>Qtr 2</v>
      </c>
      <c r="G3379" s="3" t="str">
        <f>TEXT(Table1[[#This Row],[Date]],"mmmm")</f>
        <v>May</v>
      </c>
      <c r="H3379" s="3" t="s">
        <v>1084</v>
      </c>
      <c r="I3379" s="3" t="s">
        <v>33</v>
      </c>
      <c r="J3379" s="3">
        <v>8</v>
      </c>
      <c r="K3379" s="3">
        <v>59067.74</v>
      </c>
      <c r="L3379" s="3">
        <f>Table1[[#This Row],[Price Per Unit]]*Table1[[#This Row],[Units Sold]]</f>
        <v>472541.92</v>
      </c>
      <c r="M3379" s="3" t="s">
        <v>644</v>
      </c>
      <c r="N3379" s="3">
        <v>25</v>
      </c>
      <c r="O3379" s="3" t="s">
        <v>20</v>
      </c>
      <c r="P3379" s="3" t="s">
        <v>21</v>
      </c>
      <c r="Q3379" s="4">
        <v>2</v>
      </c>
      <c r="R3379" s="4" t="str">
        <f>IF(Table1[[#This Row],[Customer Ratings]]&gt;=4, "Good",IF(Table1[[#This Row],[Customer Ratings]]=3, "Average","Poor"))</f>
        <v>Poor</v>
      </c>
      <c r="S3379" s="3" t="s">
        <v>83</v>
      </c>
    </row>
    <row r="3380" spans="1:19" x14ac:dyDescent="0.25">
      <c r="A3380" s="3">
        <v>3379</v>
      </c>
      <c r="B3380" s="5">
        <f>DATE(Table1[[#This Row],[Year]],Table1[[#This Row],[Month]],Table1[[#This Row],[Day]])</f>
        <v>45442</v>
      </c>
      <c r="C3380" s="3">
        <v>30</v>
      </c>
      <c r="D3380" s="3">
        <v>5</v>
      </c>
      <c r="E3380" s="3">
        <v>2024</v>
      </c>
      <c r="F3380" s="3" t="str">
        <f>"Qtr"&amp; " " &amp;CHOOSE(MONTH(Table1[[#This Row],[Date]]),1,1,1,2,2,2,3,3,3,4,4,4)</f>
        <v>Qtr 2</v>
      </c>
      <c r="G3380" s="3" t="str">
        <f>TEXT(Table1[[#This Row],[Date]],"mmmm")</f>
        <v>May</v>
      </c>
      <c r="H3380" s="3" t="s">
        <v>1084</v>
      </c>
      <c r="I3380" s="3" t="s">
        <v>28</v>
      </c>
      <c r="J3380" s="3">
        <v>7</v>
      </c>
      <c r="K3380" s="3">
        <v>44070.46</v>
      </c>
      <c r="L3380" s="3">
        <f>Table1[[#This Row],[Price Per Unit]]*Table1[[#This Row],[Units Sold]]</f>
        <v>308493.21999999997</v>
      </c>
      <c r="M3380" s="3" t="s">
        <v>1035</v>
      </c>
      <c r="N3380" s="3">
        <v>20</v>
      </c>
      <c r="O3380" s="3" t="s">
        <v>58</v>
      </c>
      <c r="P3380" s="3" t="s">
        <v>16</v>
      </c>
      <c r="Q3380" s="4">
        <v>2</v>
      </c>
      <c r="R3380" s="4" t="str">
        <f>IF(Table1[[#This Row],[Customer Ratings]]&gt;=4, "Good",IF(Table1[[#This Row],[Customer Ratings]]=3, "Average","Poor"))</f>
        <v>Poor</v>
      </c>
      <c r="S3380" s="3" t="s">
        <v>32</v>
      </c>
    </row>
    <row r="3381" spans="1:19" x14ac:dyDescent="0.25">
      <c r="A3381" s="3">
        <v>3380</v>
      </c>
      <c r="B3381" s="5">
        <f>DATE(Table1[[#This Row],[Year]],Table1[[#This Row],[Month]],Table1[[#This Row],[Day]])</f>
        <v>45442</v>
      </c>
      <c r="C3381" s="3">
        <v>30</v>
      </c>
      <c r="D3381" s="3">
        <v>5</v>
      </c>
      <c r="E3381" s="3">
        <v>2024</v>
      </c>
      <c r="F3381" s="3" t="str">
        <f>"Qtr"&amp; " " &amp;CHOOSE(MONTH(Table1[[#This Row],[Date]]),1,1,1,2,2,2,3,3,3,4,4,4)</f>
        <v>Qtr 2</v>
      </c>
      <c r="G3381" s="3" t="str">
        <f>TEXT(Table1[[#This Row],[Date]],"mmmm")</f>
        <v>May</v>
      </c>
      <c r="H3381" s="3" t="s">
        <v>1084</v>
      </c>
      <c r="I3381" s="3" t="s">
        <v>18</v>
      </c>
      <c r="J3381" s="3">
        <v>7</v>
      </c>
      <c r="K3381" s="3">
        <v>12518.23</v>
      </c>
      <c r="L3381" s="3">
        <f>Table1[[#This Row],[Price Per Unit]]*Table1[[#This Row],[Units Sold]]</f>
        <v>87627.61</v>
      </c>
      <c r="M3381" s="3" t="s">
        <v>458</v>
      </c>
      <c r="N3381" s="3">
        <v>31</v>
      </c>
      <c r="O3381" s="3" t="s">
        <v>98</v>
      </c>
      <c r="P3381" s="3" t="s">
        <v>31</v>
      </c>
      <c r="Q3381" s="4">
        <v>2</v>
      </c>
      <c r="R3381" s="4" t="str">
        <f>IF(Table1[[#This Row],[Customer Ratings]]&gt;=4, "Good",IF(Table1[[#This Row],[Customer Ratings]]=3, "Average","Poor"))</f>
        <v>Poor</v>
      </c>
      <c r="S3381" s="3" t="s">
        <v>22</v>
      </c>
    </row>
    <row r="3382" spans="1:19" x14ac:dyDescent="0.25">
      <c r="A3382" s="3">
        <v>3381</v>
      </c>
      <c r="B3382" s="5">
        <f>DATE(Table1[[#This Row],[Year]],Table1[[#This Row],[Month]],Table1[[#This Row],[Day]])</f>
        <v>45443</v>
      </c>
      <c r="C3382" s="3">
        <v>31</v>
      </c>
      <c r="D3382" s="3">
        <v>5</v>
      </c>
      <c r="E3382" s="3">
        <v>2024</v>
      </c>
      <c r="F3382" s="3" t="str">
        <f>"Qtr"&amp; " " &amp;CHOOSE(MONTH(Table1[[#This Row],[Date]]),1,1,1,2,2,2,3,3,3,4,4,4)</f>
        <v>Qtr 2</v>
      </c>
      <c r="G3382" s="3" t="str">
        <f>TEXT(Table1[[#This Row],[Date]],"mmmm")</f>
        <v>May</v>
      </c>
      <c r="H3382" s="3" t="s">
        <v>1085</v>
      </c>
      <c r="I3382" s="3" t="s">
        <v>33</v>
      </c>
      <c r="J3382" s="3">
        <v>9</v>
      </c>
      <c r="K3382" s="3">
        <v>20605.41</v>
      </c>
      <c r="L3382" s="3">
        <f>Table1[[#This Row],[Price Per Unit]]*Table1[[#This Row],[Units Sold]]</f>
        <v>185448.69</v>
      </c>
      <c r="M3382" s="3" t="s">
        <v>245</v>
      </c>
      <c r="N3382" s="3">
        <v>34</v>
      </c>
      <c r="O3382" s="3" t="s">
        <v>20</v>
      </c>
      <c r="P3382" s="3" t="s">
        <v>21</v>
      </c>
      <c r="Q3382" s="4">
        <v>1</v>
      </c>
      <c r="R3382" s="4" t="str">
        <f>IF(Table1[[#This Row],[Customer Ratings]]&gt;=4, "Good",IF(Table1[[#This Row],[Customer Ratings]]=3, "Average","Poor"))</f>
        <v>Poor</v>
      </c>
      <c r="S3382" s="3" t="s">
        <v>36</v>
      </c>
    </row>
    <row r="3383" spans="1:19" x14ac:dyDescent="0.25">
      <c r="A3383" s="3">
        <v>3382</v>
      </c>
      <c r="B3383" s="5">
        <f>DATE(Table1[[#This Row],[Year]],Table1[[#This Row],[Month]],Table1[[#This Row],[Day]])</f>
        <v>45443</v>
      </c>
      <c r="C3383" s="3">
        <v>31</v>
      </c>
      <c r="D3383" s="3">
        <v>5</v>
      </c>
      <c r="E3383" s="3">
        <v>2024</v>
      </c>
      <c r="F3383" s="3" t="str">
        <f>"Qtr"&amp; " " &amp;CHOOSE(MONTH(Table1[[#This Row],[Date]]),1,1,1,2,2,2,3,3,3,4,4,4)</f>
        <v>Qtr 2</v>
      </c>
      <c r="G3383" s="3" t="str">
        <f>TEXT(Table1[[#This Row],[Date]],"mmmm")</f>
        <v>May</v>
      </c>
      <c r="H3383" s="3" t="s">
        <v>1085</v>
      </c>
      <c r="I3383" s="3" t="s">
        <v>33</v>
      </c>
      <c r="J3383" s="3">
        <v>5</v>
      </c>
      <c r="K3383" s="3">
        <v>61899.64</v>
      </c>
      <c r="L3383" s="3">
        <f>Table1[[#This Row],[Price Per Unit]]*Table1[[#This Row],[Units Sold]]</f>
        <v>309498.2</v>
      </c>
      <c r="M3383" s="3" t="s">
        <v>928</v>
      </c>
      <c r="N3383" s="3">
        <v>51</v>
      </c>
      <c r="O3383" s="3" t="s">
        <v>54</v>
      </c>
      <c r="P3383" s="3" t="s">
        <v>31</v>
      </c>
      <c r="Q3383" s="4">
        <v>5</v>
      </c>
      <c r="R3383" s="4" t="str">
        <f>IF(Table1[[#This Row],[Customer Ratings]]&gt;=4, "Good",IF(Table1[[#This Row],[Customer Ratings]]=3, "Average","Poor"))</f>
        <v>Good</v>
      </c>
      <c r="S3383" s="3" t="s">
        <v>36</v>
      </c>
    </row>
    <row r="3384" spans="1:19" x14ac:dyDescent="0.25">
      <c r="A3384" s="3">
        <v>3383</v>
      </c>
      <c r="B3384" s="5">
        <f>DATE(Table1[[#This Row],[Year]],Table1[[#This Row],[Month]],Table1[[#This Row],[Day]])</f>
        <v>45443</v>
      </c>
      <c r="C3384" s="3">
        <v>31</v>
      </c>
      <c r="D3384" s="3">
        <v>5</v>
      </c>
      <c r="E3384" s="3">
        <v>2024</v>
      </c>
      <c r="F3384" s="3" t="str">
        <f>"Qtr"&amp; " " &amp;CHOOSE(MONTH(Table1[[#This Row],[Date]]),1,1,1,2,2,2,3,3,3,4,4,4)</f>
        <v>Qtr 2</v>
      </c>
      <c r="G3384" s="3" t="str">
        <f>TEXT(Table1[[#This Row],[Date]],"mmmm")</f>
        <v>May</v>
      </c>
      <c r="H3384" s="3" t="s">
        <v>1085</v>
      </c>
      <c r="I3384" s="3" t="s">
        <v>39</v>
      </c>
      <c r="J3384" s="3">
        <v>6</v>
      </c>
      <c r="K3384" s="3">
        <v>43773.99</v>
      </c>
      <c r="L3384" s="3">
        <f>Table1[[#This Row],[Price Per Unit]]*Table1[[#This Row],[Units Sold]]</f>
        <v>262643.94</v>
      </c>
      <c r="M3384" s="3" t="s">
        <v>489</v>
      </c>
      <c r="N3384" s="3">
        <v>23</v>
      </c>
      <c r="O3384" s="3" t="s">
        <v>48</v>
      </c>
      <c r="P3384" s="3" t="s">
        <v>31</v>
      </c>
      <c r="Q3384" s="4">
        <v>5</v>
      </c>
      <c r="R3384" s="4" t="str">
        <f>IF(Table1[[#This Row],[Customer Ratings]]&gt;=4, "Good",IF(Table1[[#This Row],[Customer Ratings]]=3, "Average","Poor"))</f>
        <v>Good</v>
      </c>
      <c r="S3384" s="3" t="s">
        <v>76</v>
      </c>
    </row>
    <row r="3385" spans="1:19" x14ac:dyDescent="0.25">
      <c r="A3385" s="3">
        <v>3384</v>
      </c>
      <c r="B3385" s="5">
        <f>DATE(Table1[[#This Row],[Year]],Table1[[#This Row],[Month]],Table1[[#This Row],[Day]])</f>
        <v>45444</v>
      </c>
      <c r="C3385" s="3">
        <v>1</v>
      </c>
      <c r="D3385" s="3">
        <v>6</v>
      </c>
      <c r="E3385" s="3">
        <v>2024</v>
      </c>
      <c r="F3385" s="3" t="str">
        <f>"Qtr"&amp; " " &amp;CHOOSE(MONTH(Table1[[#This Row],[Date]]),1,1,1,2,2,2,3,3,3,4,4,4)</f>
        <v>Qtr 2</v>
      </c>
      <c r="G3385" s="3" t="str">
        <f>TEXT(Table1[[#This Row],[Date]],"mmmm")</f>
        <v>June</v>
      </c>
      <c r="H3385" s="3" t="s">
        <v>1079</v>
      </c>
      <c r="I3385" s="3" t="s">
        <v>39</v>
      </c>
      <c r="J3385" s="3">
        <v>1</v>
      </c>
      <c r="K3385" s="3">
        <v>67020.61</v>
      </c>
      <c r="L3385" s="3">
        <f>Table1[[#This Row],[Price Per Unit]]*Table1[[#This Row],[Units Sold]]</f>
        <v>67020.61</v>
      </c>
      <c r="M3385" s="3" t="s">
        <v>986</v>
      </c>
      <c r="N3385" s="3">
        <v>22</v>
      </c>
      <c r="O3385" s="3" t="s">
        <v>24</v>
      </c>
      <c r="P3385" s="3" t="s">
        <v>16</v>
      </c>
      <c r="Q3385" s="4">
        <v>4</v>
      </c>
      <c r="R3385" s="4" t="str">
        <f>IF(Table1[[#This Row],[Customer Ratings]]&gt;=4, "Good",IF(Table1[[#This Row],[Customer Ratings]]=3, "Average","Poor"))</f>
        <v>Good</v>
      </c>
      <c r="S3385" s="3" t="s">
        <v>90</v>
      </c>
    </row>
    <row r="3386" spans="1:19" x14ac:dyDescent="0.25">
      <c r="A3386" s="3">
        <v>3385</v>
      </c>
      <c r="B3386" s="5">
        <f>DATE(Table1[[#This Row],[Year]],Table1[[#This Row],[Month]],Table1[[#This Row],[Day]])</f>
        <v>45444</v>
      </c>
      <c r="C3386" s="3">
        <v>1</v>
      </c>
      <c r="D3386" s="3">
        <v>6</v>
      </c>
      <c r="E3386" s="3">
        <v>2024</v>
      </c>
      <c r="F3386" s="3" t="str">
        <f>"Qtr"&amp; " " &amp;CHOOSE(MONTH(Table1[[#This Row],[Date]]),1,1,1,2,2,2,3,3,3,4,4,4)</f>
        <v>Qtr 2</v>
      </c>
      <c r="G3386" s="3" t="str">
        <f>TEXT(Table1[[#This Row],[Date]],"mmmm")</f>
        <v>June</v>
      </c>
      <c r="H3386" s="3" t="s">
        <v>1079</v>
      </c>
      <c r="I3386" s="3" t="s">
        <v>39</v>
      </c>
      <c r="J3386" s="3">
        <v>6</v>
      </c>
      <c r="K3386" s="3">
        <v>14345.34</v>
      </c>
      <c r="L3386" s="3">
        <f>Table1[[#This Row],[Price Per Unit]]*Table1[[#This Row],[Units Sold]]</f>
        <v>86072.040000000008</v>
      </c>
      <c r="M3386" s="3" t="s">
        <v>721</v>
      </c>
      <c r="N3386" s="3">
        <v>58</v>
      </c>
      <c r="O3386" s="3" t="s">
        <v>30</v>
      </c>
      <c r="P3386" s="3" t="s">
        <v>31</v>
      </c>
      <c r="Q3386" s="4">
        <v>1</v>
      </c>
      <c r="R3386" s="4" t="str">
        <f>IF(Table1[[#This Row],[Customer Ratings]]&gt;=4, "Good",IF(Table1[[#This Row],[Customer Ratings]]=3, "Average","Poor"))</f>
        <v>Poor</v>
      </c>
      <c r="S3386" s="3" t="s">
        <v>76</v>
      </c>
    </row>
    <row r="3387" spans="1:19" x14ac:dyDescent="0.25">
      <c r="A3387" s="3">
        <v>3386</v>
      </c>
      <c r="B3387" s="5">
        <f>DATE(Table1[[#This Row],[Year]],Table1[[#This Row],[Month]],Table1[[#This Row],[Day]])</f>
        <v>45444</v>
      </c>
      <c r="C3387" s="3">
        <v>1</v>
      </c>
      <c r="D3387" s="3">
        <v>6</v>
      </c>
      <c r="E3387" s="3">
        <v>2024</v>
      </c>
      <c r="F3387" s="3" t="str">
        <f>"Qtr"&amp; " " &amp;CHOOSE(MONTH(Table1[[#This Row],[Date]]),1,1,1,2,2,2,3,3,3,4,4,4)</f>
        <v>Qtr 2</v>
      </c>
      <c r="G3387" s="3" t="str">
        <f>TEXT(Table1[[#This Row],[Date]],"mmmm")</f>
        <v>June</v>
      </c>
      <c r="H3387" s="3" t="s">
        <v>1079</v>
      </c>
      <c r="I3387" s="3" t="s">
        <v>28</v>
      </c>
      <c r="J3387" s="3">
        <v>2</v>
      </c>
      <c r="K3387" s="3">
        <v>27715.64</v>
      </c>
      <c r="L3387" s="3">
        <f>Table1[[#This Row],[Price Per Unit]]*Table1[[#This Row],[Units Sold]]</f>
        <v>55431.28</v>
      </c>
      <c r="M3387" s="3" t="s">
        <v>789</v>
      </c>
      <c r="N3387" s="3">
        <v>57</v>
      </c>
      <c r="O3387" s="3" t="s">
        <v>98</v>
      </c>
      <c r="P3387" s="3" t="s">
        <v>21</v>
      </c>
      <c r="Q3387" s="4">
        <v>4</v>
      </c>
      <c r="R3387" s="4" t="str">
        <f>IF(Table1[[#This Row],[Customer Ratings]]&gt;=4, "Good",IF(Table1[[#This Row],[Customer Ratings]]=3, "Average","Poor"))</f>
        <v>Good</v>
      </c>
      <c r="S3387" s="3" t="s">
        <v>32</v>
      </c>
    </row>
    <row r="3388" spans="1:19" x14ac:dyDescent="0.25">
      <c r="A3388" s="3">
        <v>3387</v>
      </c>
      <c r="B3388" s="5">
        <f>DATE(Table1[[#This Row],[Year]],Table1[[#This Row],[Month]],Table1[[#This Row],[Day]])</f>
        <v>45445</v>
      </c>
      <c r="C3388" s="3">
        <v>2</v>
      </c>
      <c r="D3388" s="3">
        <v>6</v>
      </c>
      <c r="E3388" s="3">
        <v>2024</v>
      </c>
      <c r="F3388" s="3" t="str">
        <f>"Qtr"&amp; " " &amp;CHOOSE(MONTH(Table1[[#This Row],[Date]]),1,1,1,2,2,2,3,3,3,4,4,4)</f>
        <v>Qtr 2</v>
      </c>
      <c r="G3388" s="3" t="str">
        <f>TEXT(Table1[[#This Row],[Date]],"mmmm")</f>
        <v>June</v>
      </c>
      <c r="H3388" s="3" t="s">
        <v>1080</v>
      </c>
      <c r="I3388" s="3" t="s">
        <v>39</v>
      </c>
      <c r="J3388" s="3">
        <v>6</v>
      </c>
      <c r="K3388" s="3">
        <v>21612.6</v>
      </c>
      <c r="L3388" s="3">
        <f>Table1[[#This Row],[Price Per Unit]]*Table1[[#This Row],[Units Sold]]</f>
        <v>129675.59999999999</v>
      </c>
      <c r="M3388" s="3" t="s">
        <v>1021</v>
      </c>
      <c r="N3388" s="3">
        <v>46</v>
      </c>
      <c r="O3388" s="3" t="s">
        <v>24</v>
      </c>
      <c r="P3388" s="3" t="s">
        <v>16</v>
      </c>
      <c r="Q3388" s="4">
        <v>3</v>
      </c>
      <c r="R3388" s="4" t="str">
        <f>IF(Table1[[#This Row],[Customer Ratings]]&gt;=4, "Good",IF(Table1[[#This Row],[Customer Ratings]]=3, "Average","Poor"))</f>
        <v>Average</v>
      </c>
      <c r="S3388" s="3" t="s">
        <v>76</v>
      </c>
    </row>
    <row r="3389" spans="1:19" x14ac:dyDescent="0.25">
      <c r="A3389" s="3">
        <v>3388</v>
      </c>
      <c r="B3389" s="5">
        <f>DATE(Table1[[#This Row],[Year]],Table1[[#This Row],[Month]],Table1[[#This Row],[Day]])</f>
        <v>45445</v>
      </c>
      <c r="C3389" s="3">
        <v>2</v>
      </c>
      <c r="D3389" s="3">
        <v>6</v>
      </c>
      <c r="E3389" s="3">
        <v>2024</v>
      </c>
      <c r="F3389" s="3" t="str">
        <f>"Qtr"&amp; " " &amp;CHOOSE(MONTH(Table1[[#This Row],[Date]]),1,1,1,2,2,2,3,3,3,4,4,4)</f>
        <v>Qtr 2</v>
      </c>
      <c r="G3389" s="3" t="str">
        <f>TEXT(Table1[[#This Row],[Date]],"mmmm")</f>
        <v>June</v>
      </c>
      <c r="H3389" s="3" t="s">
        <v>1080</v>
      </c>
      <c r="I3389" s="3" t="s">
        <v>33</v>
      </c>
      <c r="J3389" s="3">
        <v>9</v>
      </c>
      <c r="K3389" s="3">
        <v>43230.42</v>
      </c>
      <c r="L3389" s="3">
        <f>Table1[[#This Row],[Price Per Unit]]*Table1[[#This Row],[Units Sold]]</f>
        <v>389073.77999999997</v>
      </c>
      <c r="M3389" s="3" t="s">
        <v>594</v>
      </c>
      <c r="N3389" s="3">
        <v>52</v>
      </c>
      <c r="O3389" s="3" t="s">
        <v>15</v>
      </c>
      <c r="P3389" s="3" t="s">
        <v>21</v>
      </c>
      <c r="Q3389" s="4">
        <v>2</v>
      </c>
      <c r="R3389" s="4" t="str">
        <f>IF(Table1[[#This Row],[Customer Ratings]]&gt;=4, "Good",IF(Table1[[#This Row],[Customer Ratings]]=3, "Average","Poor"))</f>
        <v>Poor</v>
      </c>
      <c r="S3389" s="3" t="s">
        <v>83</v>
      </c>
    </row>
    <row r="3390" spans="1:19" x14ac:dyDescent="0.25">
      <c r="A3390" s="3">
        <v>3389</v>
      </c>
      <c r="B3390" s="5">
        <f>DATE(Table1[[#This Row],[Year]],Table1[[#This Row],[Month]],Table1[[#This Row],[Day]])</f>
        <v>45445</v>
      </c>
      <c r="C3390" s="3">
        <v>2</v>
      </c>
      <c r="D3390" s="3">
        <v>6</v>
      </c>
      <c r="E3390" s="3">
        <v>2024</v>
      </c>
      <c r="F3390" s="3" t="str">
        <f>"Qtr"&amp; " " &amp;CHOOSE(MONTH(Table1[[#This Row],[Date]]),1,1,1,2,2,2,3,3,3,4,4,4)</f>
        <v>Qtr 2</v>
      </c>
      <c r="G3390" s="3" t="str">
        <f>TEXT(Table1[[#This Row],[Date]],"mmmm")</f>
        <v>June</v>
      </c>
      <c r="H3390" s="3" t="s">
        <v>1080</v>
      </c>
      <c r="I3390" s="3" t="s">
        <v>39</v>
      </c>
      <c r="J3390" s="3">
        <v>8</v>
      </c>
      <c r="K3390" s="3">
        <v>32967.57</v>
      </c>
      <c r="L3390" s="3">
        <f>Table1[[#This Row],[Price Per Unit]]*Table1[[#This Row],[Units Sold]]</f>
        <v>263740.56</v>
      </c>
      <c r="M3390" s="3" t="s">
        <v>359</v>
      </c>
      <c r="N3390" s="3">
        <v>35</v>
      </c>
      <c r="O3390" s="3" t="s">
        <v>105</v>
      </c>
      <c r="P3390" s="3" t="s">
        <v>31</v>
      </c>
      <c r="Q3390" s="4">
        <v>4</v>
      </c>
      <c r="R3390" s="4" t="str">
        <f>IF(Table1[[#This Row],[Customer Ratings]]&gt;=4, "Good",IF(Table1[[#This Row],[Customer Ratings]]=3, "Average","Poor"))</f>
        <v>Good</v>
      </c>
      <c r="S3390" s="3" t="s">
        <v>42</v>
      </c>
    </row>
    <row r="3391" spans="1:19" x14ac:dyDescent="0.25">
      <c r="A3391" s="3">
        <v>3390</v>
      </c>
      <c r="B3391" s="5">
        <f>DATE(Table1[[#This Row],[Year]],Table1[[#This Row],[Month]],Table1[[#This Row],[Day]])</f>
        <v>45445</v>
      </c>
      <c r="C3391" s="3">
        <v>2</v>
      </c>
      <c r="D3391" s="3">
        <v>6</v>
      </c>
      <c r="E3391" s="3">
        <v>2024</v>
      </c>
      <c r="F3391" s="3" t="str">
        <f>"Qtr"&amp; " " &amp;CHOOSE(MONTH(Table1[[#This Row],[Date]]),1,1,1,2,2,2,3,3,3,4,4,4)</f>
        <v>Qtr 2</v>
      </c>
      <c r="G3391" s="3" t="str">
        <f>TEXT(Table1[[#This Row],[Date]],"mmmm")</f>
        <v>June</v>
      </c>
      <c r="H3391" s="3" t="s">
        <v>1080</v>
      </c>
      <c r="I3391" s="3" t="s">
        <v>13</v>
      </c>
      <c r="J3391" s="3">
        <v>9</v>
      </c>
      <c r="K3391" s="3">
        <v>19436.41</v>
      </c>
      <c r="L3391" s="3">
        <f>Table1[[#This Row],[Price Per Unit]]*Table1[[#This Row],[Units Sold]]</f>
        <v>174927.69</v>
      </c>
      <c r="M3391" s="3" t="s">
        <v>851</v>
      </c>
      <c r="N3391" s="3">
        <v>57</v>
      </c>
      <c r="O3391" s="3" t="s">
        <v>20</v>
      </c>
      <c r="P3391" s="3" t="s">
        <v>31</v>
      </c>
      <c r="Q3391" s="4">
        <v>4</v>
      </c>
      <c r="R3391" s="4" t="str">
        <f>IF(Table1[[#This Row],[Customer Ratings]]&gt;=4, "Good",IF(Table1[[#This Row],[Customer Ratings]]=3, "Average","Poor"))</f>
        <v>Good</v>
      </c>
      <c r="S3391" s="3" t="s">
        <v>27</v>
      </c>
    </row>
    <row r="3392" spans="1:19" x14ac:dyDescent="0.25">
      <c r="A3392" s="3">
        <v>3391</v>
      </c>
      <c r="B3392" s="5">
        <f>DATE(Table1[[#This Row],[Year]],Table1[[#This Row],[Month]],Table1[[#This Row],[Day]])</f>
        <v>45446</v>
      </c>
      <c r="C3392" s="3">
        <v>3</v>
      </c>
      <c r="D3392" s="3">
        <v>6</v>
      </c>
      <c r="E3392" s="3">
        <v>2024</v>
      </c>
      <c r="F3392" s="3" t="str">
        <f>"Qtr"&amp; " " &amp;CHOOSE(MONTH(Table1[[#This Row],[Date]]),1,1,1,2,2,2,3,3,3,4,4,4)</f>
        <v>Qtr 2</v>
      </c>
      <c r="G3392" s="3" t="str">
        <f>TEXT(Table1[[#This Row],[Date]],"mmmm")</f>
        <v>June</v>
      </c>
      <c r="H3392" s="3" t="s">
        <v>1081</v>
      </c>
      <c r="I3392" s="3" t="s">
        <v>39</v>
      </c>
      <c r="J3392" s="3">
        <v>8</v>
      </c>
      <c r="K3392" s="3">
        <v>48565.11</v>
      </c>
      <c r="L3392" s="3">
        <f>Table1[[#This Row],[Price Per Unit]]*Table1[[#This Row],[Units Sold]]</f>
        <v>388520.88</v>
      </c>
      <c r="M3392" s="3" t="s">
        <v>142</v>
      </c>
      <c r="N3392" s="3">
        <v>47</v>
      </c>
      <c r="O3392" s="3" t="s">
        <v>125</v>
      </c>
      <c r="P3392" s="3" t="s">
        <v>45</v>
      </c>
      <c r="Q3392" s="4">
        <v>5</v>
      </c>
      <c r="R3392" s="4" t="str">
        <f>IF(Table1[[#This Row],[Customer Ratings]]&gt;=4, "Good",IF(Table1[[#This Row],[Customer Ratings]]=3, "Average","Poor"))</f>
        <v>Good</v>
      </c>
      <c r="S3392" s="3" t="s">
        <v>42</v>
      </c>
    </row>
    <row r="3393" spans="1:19" x14ac:dyDescent="0.25">
      <c r="A3393" s="3">
        <v>3392</v>
      </c>
      <c r="B3393" s="5">
        <f>DATE(Table1[[#This Row],[Year]],Table1[[#This Row],[Month]],Table1[[#This Row],[Day]])</f>
        <v>45446</v>
      </c>
      <c r="C3393" s="3">
        <v>3</v>
      </c>
      <c r="D3393" s="3">
        <v>6</v>
      </c>
      <c r="E3393" s="3">
        <v>2024</v>
      </c>
      <c r="F3393" s="3" t="str">
        <f>"Qtr"&amp; " " &amp;CHOOSE(MONTH(Table1[[#This Row],[Date]]),1,1,1,2,2,2,3,3,3,4,4,4)</f>
        <v>Qtr 2</v>
      </c>
      <c r="G3393" s="3" t="str">
        <f>TEXT(Table1[[#This Row],[Date]],"mmmm")</f>
        <v>June</v>
      </c>
      <c r="H3393" s="3" t="s">
        <v>1081</v>
      </c>
      <c r="I3393" s="3" t="s">
        <v>28</v>
      </c>
      <c r="J3393" s="3">
        <v>3</v>
      </c>
      <c r="K3393" s="3">
        <v>42177.9</v>
      </c>
      <c r="L3393" s="3">
        <f>Table1[[#This Row],[Price Per Unit]]*Table1[[#This Row],[Units Sold]]</f>
        <v>126533.70000000001</v>
      </c>
      <c r="M3393" s="3" t="s">
        <v>612</v>
      </c>
      <c r="N3393" s="3">
        <v>32</v>
      </c>
      <c r="O3393" s="3" t="s">
        <v>41</v>
      </c>
      <c r="P3393" s="3" t="s">
        <v>16</v>
      </c>
      <c r="Q3393" s="4">
        <v>2</v>
      </c>
      <c r="R3393" s="4" t="str">
        <f>IF(Table1[[#This Row],[Customer Ratings]]&gt;=4, "Good",IF(Table1[[#This Row],[Customer Ratings]]=3, "Average","Poor"))</f>
        <v>Poor</v>
      </c>
      <c r="S3393" s="3" t="s">
        <v>87</v>
      </c>
    </row>
    <row r="3394" spans="1:19" x14ac:dyDescent="0.25">
      <c r="A3394" s="3">
        <v>3393</v>
      </c>
      <c r="B3394" s="5">
        <f>DATE(Table1[[#This Row],[Year]],Table1[[#This Row],[Month]],Table1[[#This Row],[Day]])</f>
        <v>45446</v>
      </c>
      <c r="C3394" s="3">
        <v>3</v>
      </c>
      <c r="D3394" s="3">
        <v>6</v>
      </c>
      <c r="E3394" s="3">
        <v>2024</v>
      </c>
      <c r="F3394" s="3" t="str">
        <f>"Qtr"&amp; " " &amp;CHOOSE(MONTH(Table1[[#This Row],[Date]]),1,1,1,2,2,2,3,3,3,4,4,4)</f>
        <v>Qtr 2</v>
      </c>
      <c r="G3394" s="3" t="str">
        <f>TEXT(Table1[[#This Row],[Date]],"mmmm")</f>
        <v>June</v>
      </c>
      <c r="H3394" s="3" t="s">
        <v>1081</v>
      </c>
      <c r="I3394" s="3" t="s">
        <v>13</v>
      </c>
      <c r="J3394" s="3">
        <v>8</v>
      </c>
      <c r="K3394" s="3">
        <v>26484.18</v>
      </c>
      <c r="L3394" s="3">
        <f>Table1[[#This Row],[Price Per Unit]]*Table1[[#This Row],[Units Sold]]</f>
        <v>211873.44</v>
      </c>
      <c r="M3394" s="3" t="s">
        <v>525</v>
      </c>
      <c r="N3394" s="3">
        <v>32</v>
      </c>
      <c r="O3394" s="3" t="s">
        <v>20</v>
      </c>
      <c r="P3394" s="3" t="s">
        <v>16</v>
      </c>
      <c r="Q3394" s="4">
        <v>2</v>
      </c>
      <c r="R3394" s="4" t="str">
        <f>IF(Table1[[#This Row],[Customer Ratings]]&gt;=4, "Good",IF(Table1[[#This Row],[Customer Ratings]]=3, "Average","Poor"))</f>
        <v>Poor</v>
      </c>
      <c r="S3394" s="3" t="s">
        <v>27</v>
      </c>
    </row>
    <row r="3395" spans="1:19" x14ac:dyDescent="0.25">
      <c r="A3395" s="3">
        <v>3394</v>
      </c>
      <c r="B3395" s="5">
        <f>DATE(Table1[[#This Row],[Year]],Table1[[#This Row],[Month]],Table1[[#This Row],[Day]])</f>
        <v>45446</v>
      </c>
      <c r="C3395" s="3">
        <v>3</v>
      </c>
      <c r="D3395" s="3">
        <v>6</v>
      </c>
      <c r="E3395" s="3">
        <v>2024</v>
      </c>
      <c r="F3395" s="3" t="str">
        <f>"Qtr"&amp; " " &amp;CHOOSE(MONTH(Table1[[#This Row],[Date]]),1,1,1,2,2,2,3,3,3,4,4,4)</f>
        <v>Qtr 2</v>
      </c>
      <c r="G3395" s="3" t="str">
        <f>TEXT(Table1[[#This Row],[Date]],"mmmm")</f>
        <v>June</v>
      </c>
      <c r="H3395" s="3" t="s">
        <v>1081</v>
      </c>
      <c r="I3395" s="3" t="s">
        <v>33</v>
      </c>
      <c r="J3395" s="3">
        <v>6</v>
      </c>
      <c r="K3395" s="3">
        <v>38786.28</v>
      </c>
      <c r="L3395" s="3">
        <f>Table1[[#This Row],[Price Per Unit]]*Table1[[#This Row],[Units Sold]]</f>
        <v>232717.68</v>
      </c>
      <c r="M3395" s="3" t="s">
        <v>778</v>
      </c>
      <c r="N3395" s="3">
        <v>33</v>
      </c>
      <c r="O3395" s="3" t="s">
        <v>24</v>
      </c>
      <c r="P3395" s="3" t="s">
        <v>45</v>
      </c>
      <c r="Q3395" s="4">
        <v>5</v>
      </c>
      <c r="R3395" s="4" t="str">
        <f>IF(Table1[[#This Row],[Customer Ratings]]&gt;=4, "Good",IF(Table1[[#This Row],[Customer Ratings]]=3, "Average","Poor"))</f>
        <v>Good</v>
      </c>
      <c r="S3395" s="3" t="s">
        <v>36</v>
      </c>
    </row>
    <row r="3396" spans="1:19" x14ac:dyDescent="0.25">
      <c r="A3396" s="3">
        <v>3395</v>
      </c>
      <c r="B3396" s="5">
        <f>DATE(Table1[[#This Row],[Year]],Table1[[#This Row],[Month]],Table1[[#This Row],[Day]])</f>
        <v>45447</v>
      </c>
      <c r="C3396" s="3">
        <v>4</v>
      </c>
      <c r="D3396" s="3">
        <v>6</v>
      </c>
      <c r="E3396" s="3">
        <v>2024</v>
      </c>
      <c r="F3396" s="3" t="str">
        <f>"Qtr"&amp; " " &amp;CHOOSE(MONTH(Table1[[#This Row],[Date]]),1,1,1,2,2,2,3,3,3,4,4,4)</f>
        <v>Qtr 2</v>
      </c>
      <c r="G3396" s="3" t="str">
        <f>TEXT(Table1[[#This Row],[Date]],"mmmm")</f>
        <v>June</v>
      </c>
      <c r="H3396" s="3" t="s">
        <v>1082</v>
      </c>
      <c r="I3396" s="3" t="s">
        <v>33</v>
      </c>
      <c r="J3396" s="3">
        <v>6</v>
      </c>
      <c r="K3396" s="3">
        <v>54744.3</v>
      </c>
      <c r="L3396" s="3">
        <f>Table1[[#This Row],[Price Per Unit]]*Table1[[#This Row],[Units Sold]]</f>
        <v>328465.80000000005</v>
      </c>
      <c r="M3396" s="3" t="s">
        <v>762</v>
      </c>
      <c r="N3396" s="3">
        <v>50</v>
      </c>
      <c r="O3396" s="3" t="s">
        <v>20</v>
      </c>
      <c r="P3396" s="3" t="s">
        <v>21</v>
      </c>
      <c r="Q3396" s="4">
        <v>4</v>
      </c>
      <c r="R3396" s="4" t="str">
        <f>IF(Table1[[#This Row],[Customer Ratings]]&gt;=4, "Good",IF(Table1[[#This Row],[Customer Ratings]]=3, "Average","Poor"))</f>
        <v>Good</v>
      </c>
      <c r="S3396" s="3" t="s">
        <v>46</v>
      </c>
    </row>
    <row r="3397" spans="1:19" x14ac:dyDescent="0.25">
      <c r="A3397" s="3">
        <v>3396</v>
      </c>
      <c r="B3397" s="5">
        <f>DATE(Table1[[#This Row],[Year]],Table1[[#This Row],[Month]],Table1[[#This Row],[Day]])</f>
        <v>45447</v>
      </c>
      <c r="C3397" s="3">
        <v>4</v>
      </c>
      <c r="D3397" s="3">
        <v>6</v>
      </c>
      <c r="E3397" s="3">
        <v>2024</v>
      </c>
      <c r="F3397" s="3" t="str">
        <f>"Qtr"&amp; " " &amp;CHOOSE(MONTH(Table1[[#This Row],[Date]]),1,1,1,2,2,2,3,3,3,4,4,4)</f>
        <v>Qtr 2</v>
      </c>
      <c r="G3397" s="3" t="str">
        <f>TEXT(Table1[[#This Row],[Date]],"mmmm")</f>
        <v>June</v>
      </c>
      <c r="H3397" s="3" t="s">
        <v>1082</v>
      </c>
      <c r="I3397" s="3" t="s">
        <v>18</v>
      </c>
      <c r="J3397" s="3">
        <v>6</v>
      </c>
      <c r="K3397" s="3">
        <v>22316.3</v>
      </c>
      <c r="L3397" s="3">
        <f>Table1[[#This Row],[Price Per Unit]]*Table1[[#This Row],[Units Sold]]</f>
        <v>133897.79999999999</v>
      </c>
      <c r="M3397" s="3" t="s">
        <v>890</v>
      </c>
      <c r="N3397" s="3">
        <v>27</v>
      </c>
      <c r="O3397" s="3" t="s">
        <v>98</v>
      </c>
      <c r="P3397" s="3" t="s">
        <v>21</v>
      </c>
      <c r="Q3397" s="4">
        <v>5</v>
      </c>
      <c r="R3397" s="4" t="str">
        <f>IF(Table1[[#This Row],[Customer Ratings]]&gt;=4, "Good",IF(Table1[[#This Row],[Customer Ratings]]=3, "Average","Poor"))</f>
        <v>Good</v>
      </c>
      <c r="S3397" s="3" t="s">
        <v>22</v>
      </c>
    </row>
    <row r="3398" spans="1:19" x14ac:dyDescent="0.25">
      <c r="A3398" s="3">
        <v>3397</v>
      </c>
      <c r="B3398" s="5">
        <f>DATE(Table1[[#This Row],[Year]],Table1[[#This Row],[Month]],Table1[[#This Row],[Day]])</f>
        <v>45447</v>
      </c>
      <c r="C3398" s="3">
        <v>4</v>
      </c>
      <c r="D3398" s="3">
        <v>6</v>
      </c>
      <c r="E3398" s="3">
        <v>2024</v>
      </c>
      <c r="F3398" s="3" t="str">
        <f>"Qtr"&amp; " " &amp;CHOOSE(MONTH(Table1[[#This Row],[Date]]),1,1,1,2,2,2,3,3,3,4,4,4)</f>
        <v>Qtr 2</v>
      </c>
      <c r="G3398" s="3" t="str">
        <f>TEXT(Table1[[#This Row],[Date]],"mmmm")</f>
        <v>June</v>
      </c>
      <c r="H3398" s="3" t="s">
        <v>1082</v>
      </c>
      <c r="I3398" s="3" t="s">
        <v>13</v>
      </c>
      <c r="J3398" s="3">
        <v>3</v>
      </c>
      <c r="K3398" s="3">
        <v>27574.34</v>
      </c>
      <c r="L3398" s="3">
        <f>Table1[[#This Row],[Price Per Unit]]*Table1[[#This Row],[Units Sold]]</f>
        <v>82723.02</v>
      </c>
      <c r="M3398" s="3" t="s">
        <v>506</v>
      </c>
      <c r="N3398" s="3">
        <v>36</v>
      </c>
      <c r="O3398" s="3" t="s">
        <v>120</v>
      </c>
      <c r="P3398" s="3" t="s">
        <v>31</v>
      </c>
      <c r="Q3398" s="4">
        <v>4</v>
      </c>
      <c r="R3398" s="4" t="str">
        <f>IF(Table1[[#This Row],[Customer Ratings]]&gt;=4, "Good",IF(Table1[[#This Row],[Customer Ratings]]=3, "Average","Poor"))</f>
        <v>Good</v>
      </c>
      <c r="S3398" s="3" t="s">
        <v>27</v>
      </c>
    </row>
    <row r="3399" spans="1:19" x14ac:dyDescent="0.25">
      <c r="A3399" s="3">
        <v>3398</v>
      </c>
      <c r="B3399" s="5">
        <f>DATE(Table1[[#This Row],[Year]],Table1[[#This Row],[Month]],Table1[[#This Row],[Day]])</f>
        <v>45448</v>
      </c>
      <c r="C3399" s="3">
        <v>5</v>
      </c>
      <c r="D3399" s="3">
        <v>6</v>
      </c>
      <c r="E3399" s="3">
        <v>2024</v>
      </c>
      <c r="F3399" s="3" t="str">
        <f>"Qtr"&amp; " " &amp;CHOOSE(MONTH(Table1[[#This Row],[Date]]),1,1,1,2,2,2,3,3,3,4,4,4)</f>
        <v>Qtr 2</v>
      </c>
      <c r="G3399" s="3" t="str">
        <f>TEXT(Table1[[#This Row],[Date]],"mmmm")</f>
        <v>June</v>
      </c>
      <c r="H3399" s="3" t="s">
        <v>1083</v>
      </c>
      <c r="I3399" s="3" t="s">
        <v>18</v>
      </c>
      <c r="J3399" s="3">
        <v>1</v>
      </c>
      <c r="K3399" s="3">
        <v>30766.66</v>
      </c>
      <c r="L3399" s="3">
        <f>Table1[[#This Row],[Price Per Unit]]*Table1[[#This Row],[Units Sold]]</f>
        <v>30766.66</v>
      </c>
      <c r="M3399" s="3" t="s">
        <v>854</v>
      </c>
      <c r="N3399" s="3">
        <v>54</v>
      </c>
      <c r="O3399" s="3" t="s">
        <v>20</v>
      </c>
      <c r="P3399" s="3" t="s">
        <v>16</v>
      </c>
      <c r="Q3399" s="4">
        <v>5</v>
      </c>
      <c r="R3399" s="4" t="str">
        <f>IF(Table1[[#This Row],[Customer Ratings]]&gt;=4, "Good",IF(Table1[[#This Row],[Customer Ratings]]=3, "Average","Poor"))</f>
        <v>Good</v>
      </c>
      <c r="S3399" s="3" t="s">
        <v>55</v>
      </c>
    </row>
    <row r="3400" spans="1:19" x14ac:dyDescent="0.25">
      <c r="A3400" s="3">
        <v>3399</v>
      </c>
      <c r="B3400" s="5">
        <f>DATE(Table1[[#This Row],[Year]],Table1[[#This Row],[Month]],Table1[[#This Row],[Day]])</f>
        <v>45448</v>
      </c>
      <c r="C3400" s="3">
        <v>5</v>
      </c>
      <c r="D3400" s="3">
        <v>6</v>
      </c>
      <c r="E3400" s="3">
        <v>2024</v>
      </c>
      <c r="F3400" s="3" t="str">
        <f>"Qtr"&amp; " " &amp;CHOOSE(MONTH(Table1[[#This Row],[Date]]),1,1,1,2,2,2,3,3,3,4,4,4)</f>
        <v>Qtr 2</v>
      </c>
      <c r="G3400" s="3" t="str">
        <f>TEXT(Table1[[#This Row],[Date]],"mmmm")</f>
        <v>June</v>
      </c>
      <c r="H3400" s="3" t="s">
        <v>1083</v>
      </c>
      <c r="I3400" s="3" t="s">
        <v>13</v>
      </c>
      <c r="J3400" s="3">
        <v>4</v>
      </c>
      <c r="K3400" s="3">
        <v>54803.59</v>
      </c>
      <c r="L3400" s="3">
        <f>Table1[[#This Row],[Price Per Unit]]*Table1[[#This Row],[Units Sold]]</f>
        <v>219214.36</v>
      </c>
      <c r="M3400" s="3" t="s">
        <v>701</v>
      </c>
      <c r="N3400" s="3">
        <v>20</v>
      </c>
      <c r="O3400" s="3" t="s">
        <v>24</v>
      </c>
      <c r="P3400" s="3" t="s">
        <v>31</v>
      </c>
      <c r="Q3400" s="4">
        <v>5</v>
      </c>
      <c r="R3400" s="4" t="str">
        <f>IF(Table1[[#This Row],[Customer Ratings]]&gt;=4, "Good",IF(Table1[[#This Row],[Customer Ratings]]=3, "Average","Poor"))</f>
        <v>Good</v>
      </c>
      <c r="S3400" s="3" t="s">
        <v>72</v>
      </c>
    </row>
    <row r="3401" spans="1:19" x14ac:dyDescent="0.25">
      <c r="A3401" s="3">
        <v>3400</v>
      </c>
      <c r="B3401" s="5">
        <f>DATE(Table1[[#This Row],[Year]],Table1[[#This Row],[Month]],Table1[[#This Row],[Day]])</f>
        <v>45448</v>
      </c>
      <c r="C3401" s="3">
        <v>5</v>
      </c>
      <c r="D3401" s="3">
        <v>6</v>
      </c>
      <c r="E3401" s="3">
        <v>2024</v>
      </c>
      <c r="F3401" s="3" t="str">
        <f>"Qtr"&amp; " " &amp;CHOOSE(MONTH(Table1[[#This Row],[Date]]),1,1,1,2,2,2,3,3,3,4,4,4)</f>
        <v>Qtr 2</v>
      </c>
      <c r="G3401" s="3" t="str">
        <f>TEXT(Table1[[#This Row],[Date]],"mmmm")</f>
        <v>June</v>
      </c>
      <c r="H3401" s="3" t="s">
        <v>1083</v>
      </c>
      <c r="I3401" s="3" t="s">
        <v>13</v>
      </c>
      <c r="J3401" s="3">
        <v>6</v>
      </c>
      <c r="K3401" s="3">
        <v>60815.360000000001</v>
      </c>
      <c r="L3401" s="3">
        <f>Table1[[#This Row],[Price Per Unit]]*Table1[[#This Row],[Units Sold]]</f>
        <v>364892.16000000003</v>
      </c>
      <c r="M3401" s="3" t="s">
        <v>784</v>
      </c>
      <c r="N3401" s="3">
        <v>53</v>
      </c>
      <c r="O3401" s="3" t="s">
        <v>24</v>
      </c>
      <c r="P3401" s="3" t="s">
        <v>45</v>
      </c>
      <c r="Q3401" s="4">
        <v>3</v>
      </c>
      <c r="R3401" s="4" t="str">
        <f>IF(Table1[[#This Row],[Customer Ratings]]&gt;=4, "Good",IF(Table1[[#This Row],[Customer Ratings]]=3, "Average","Poor"))</f>
        <v>Average</v>
      </c>
      <c r="S3401" s="3" t="s">
        <v>27</v>
      </c>
    </row>
    <row r="3402" spans="1:19" x14ac:dyDescent="0.25">
      <c r="A3402" s="3">
        <v>3401</v>
      </c>
      <c r="B3402" s="5">
        <f>DATE(Table1[[#This Row],[Year]],Table1[[#This Row],[Month]],Table1[[#This Row],[Day]])</f>
        <v>45448</v>
      </c>
      <c r="C3402" s="3">
        <v>5</v>
      </c>
      <c r="D3402" s="3">
        <v>6</v>
      </c>
      <c r="E3402" s="3">
        <v>2024</v>
      </c>
      <c r="F3402" s="3" t="str">
        <f>"Qtr"&amp; " " &amp;CHOOSE(MONTH(Table1[[#This Row],[Date]]),1,1,1,2,2,2,3,3,3,4,4,4)</f>
        <v>Qtr 2</v>
      </c>
      <c r="G3402" s="3" t="str">
        <f>TEXT(Table1[[#This Row],[Date]],"mmmm")</f>
        <v>June</v>
      </c>
      <c r="H3402" s="3" t="s">
        <v>1083</v>
      </c>
      <c r="I3402" s="3" t="s">
        <v>28</v>
      </c>
      <c r="J3402" s="3">
        <v>2</v>
      </c>
      <c r="K3402" s="3">
        <v>32583.31</v>
      </c>
      <c r="L3402" s="3">
        <f>Table1[[#This Row],[Price Per Unit]]*Table1[[#This Row],[Units Sold]]</f>
        <v>65166.62</v>
      </c>
      <c r="M3402" s="3" t="s">
        <v>673</v>
      </c>
      <c r="N3402" s="3">
        <v>21</v>
      </c>
      <c r="O3402" s="3" t="s">
        <v>78</v>
      </c>
      <c r="P3402" s="3" t="s">
        <v>31</v>
      </c>
      <c r="Q3402" s="4">
        <v>4</v>
      </c>
      <c r="R3402" s="4" t="str">
        <f>IF(Table1[[#This Row],[Customer Ratings]]&gt;=4, "Good",IF(Table1[[#This Row],[Customer Ratings]]=3, "Average","Poor"))</f>
        <v>Good</v>
      </c>
      <c r="S3402" s="3" t="s">
        <v>87</v>
      </c>
    </row>
    <row r="3403" spans="1:19" x14ac:dyDescent="0.25">
      <c r="A3403" s="3">
        <v>3402</v>
      </c>
      <c r="B3403" s="5">
        <f>DATE(Table1[[#This Row],[Year]],Table1[[#This Row],[Month]],Table1[[#This Row],[Day]])</f>
        <v>45449</v>
      </c>
      <c r="C3403" s="3">
        <v>6</v>
      </c>
      <c r="D3403" s="3">
        <v>6</v>
      </c>
      <c r="E3403" s="3">
        <v>2024</v>
      </c>
      <c r="F3403" s="3" t="str">
        <f>"Qtr"&amp; " " &amp;CHOOSE(MONTH(Table1[[#This Row],[Date]]),1,1,1,2,2,2,3,3,3,4,4,4)</f>
        <v>Qtr 2</v>
      </c>
      <c r="G3403" s="3" t="str">
        <f>TEXT(Table1[[#This Row],[Date]],"mmmm")</f>
        <v>June</v>
      </c>
      <c r="H3403" s="3" t="s">
        <v>1084</v>
      </c>
      <c r="I3403" s="3" t="s">
        <v>18</v>
      </c>
      <c r="J3403" s="3">
        <v>7</v>
      </c>
      <c r="K3403" s="3">
        <v>27797.25</v>
      </c>
      <c r="L3403" s="3">
        <f>Table1[[#This Row],[Price Per Unit]]*Table1[[#This Row],[Units Sold]]</f>
        <v>194580.75</v>
      </c>
      <c r="M3403" s="3" t="s">
        <v>333</v>
      </c>
      <c r="N3403" s="3">
        <v>28</v>
      </c>
      <c r="O3403" s="3" t="s">
        <v>20</v>
      </c>
      <c r="P3403" s="3" t="s">
        <v>21</v>
      </c>
      <c r="Q3403" s="4">
        <v>4</v>
      </c>
      <c r="R3403" s="4" t="str">
        <f>IF(Table1[[#This Row],[Customer Ratings]]&gt;=4, "Good",IF(Table1[[#This Row],[Customer Ratings]]=3, "Average","Poor"))</f>
        <v>Good</v>
      </c>
      <c r="S3403" s="3" t="s">
        <v>22</v>
      </c>
    </row>
    <row r="3404" spans="1:19" x14ac:dyDescent="0.25">
      <c r="A3404" s="3">
        <v>3403</v>
      </c>
      <c r="B3404" s="5">
        <f>DATE(Table1[[#This Row],[Year]],Table1[[#This Row],[Month]],Table1[[#This Row],[Day]])</f>
        <v>45449</v>
      </c>
      <c r="C3404" s="3">
        <v>6</v>
      </c>
      <c r="D3404" s="3">
        <v>6</v>
      </c>
      <c r="E3404" s="3">
        <v>2024</v>
      </c>
      <c r="F3404" s="3" t="str">
        <f>"Qtr"&amp; " " &amp;CHOOSE(MONTH(Table1[[#This Row],[Date]]),1,1,1,2,2,2,3,3,3,4,4,4)</f>
        <v>Qtr 2</v>
      </c>
      <c r="G3404" s="3" t="str">
        <f>TEXT(Table1[[#This Row],[Date]],"mmmm")</f>
        <v>June</v>
      </c>
      <c r="H3404" s="3" t="s">
        <v>1084</v>
      </c>
      <c r="I3404" s="3" t="s">
        <v>28</v>
      </c>
      <c r="J3404" s="3">
        <v>7</v>
      </c>
      <c r="K3404" s="3">
        <v>63366.81</v>
      </c>
      <c r="L3404" s="3">
        <f>Table1[[#This Row],[Price Per Unit]]*Table1[[#This Row],[Units Sold]]</f>
        <v>443567.67</v>
      </c>
      <c r="M3404" s="3" t="s">
        <v>1027</v>
      </c>
      <c r="N3404" s="3">
        <v>58</v>
      </c>
      <c r="O3404" s="3" t="s">
        <v>105</v>
      </c>
      <c r="P3404" s="3" t="s">
        <v>21</v>
      </c>
      <c r="Q3404" s="4">
        <v>2</v>
      </c>
      <c r="R3404" s="4" t="str">
        <f>IF(Table1[[#This Row],[Customer Ratings]]&gt;=4, "Good",IF(Table1[[#This Row],[Customer Ratings]]=3, "Average","Poor"))</f>
        <v>Poor</v>
      </c>
      <c r="S3404" s="3" t="s">
        <v>32</v>
      </c>
    </row>
    <row r="3405" spans="1:19" x14ac:dyDescent="0.25">
      <c r="A3405" s="3">
        <v>3404</v>
      </c>
      <c r="B3405" s="5">
        <f>DATE(Table1[[#This Row],[Year]],Table1[[#This Row],[Month]],Table1[[#This Row],[Day]])</f>
        <v>45449</v>
      </c>
      <c r="C3405" s="3">
        <v>6</v>
      </c>
      <c r="D3405" s="3">
        <v>6</v>
      </c>
      <c r="E3405" s="3">
        <v>2024</v>
      </c>
      <c r="F3405" s="3" t="str">
        <f>"Qtr"&amp; " " &amp;CHOOSE(MONTH(Table1[[#This Row],[Date]]),1,1,1,2,2,2,3,3,3,4,4,4)</f>
        <v>Qtr 2</v>
      </c>
      <c r="G3405" s="3" t="str">
        <f>TEXT(Table1[[#This Row],[Date]],"mmmm")</f>
        <v>June</v>
      </c>
      <c r="H3405" s="3" t="s">
        <v>1084</v>
      </c>
      <c r="I3405" s="3" t="s">
        <v>13</v>
      </c>
      <c r="J3405" s="3">
        <v>4</v>
      </c>
      <c r="K3405" s="3">
        <v>69961.899999999994</v>
      </c>
      <c r="L3405" s="3">
        <f>Table1[[#This Row],[Price Per Unit]]*Table1[[#This Row],[Units Sold]]</f>
        <v>279847.59999999998</v>
      </c>
      <c r="M3405" s="3" t="s">
        <v>336</v>
      </c>
      <c r="N3405" s="3">
        <v>50</v>
      </c>
      <c r="O3405" s="3" t="s">
        <v>65</v>
      </c>
      <c r="P3405" s="3" t="s">
        <v>45</v>
      </c>
      <c r="Q3405" s="4">
        <v>2</v>
      </c>
      <c r="R3405" s="4" t="str">
        <f>IF(Table1[[#This Row],[Customer Ratings]]&gt;=4, "Good",IF(Table1[[#This Row],[Customer Ratings]]=3, "Average","Poor"))</f>
        <v>Poor</v>
      </c>
      <c r="S3405" s="3" t="s">
        <v>17</v>
      </c>
    </row>
    <row r="3406" spans="1:19" x14ac:dyDescent="0.25">
      <c r="A3406" s="3">
        <v>3405</v>
      </c>
      <c r="B3406" s="5">
        <f>DATE(Table1[[#This Row],[Year]],Table1[[#This Row],[Month]],Table1[[#This Row],[Day]])</f>
        <v>45450</v>
      </c>
      <c r="C3406" s="3">
        <v>7</v>
      </c>
      <c r="D3406" s="3">
        <v>6</v>
      </c>
      <c r="E3406" s="3">
        <v>2024</v>
      </c>
      <c r="F3406" s="3" t="str">
        <f>"Qtr"&amp; " " &amp;CHOOSE(MONTH(Table1[[#This Row],[Date]]),1,1,1,2,2,2,3,3,3,4,4,4)</f>
        <v>Qtr 2</v>
      </c>
      <c r="G3406" s="3" t="str">
        <f>TEXT(Table1[[#This Row],[Date]],"mmmm")</f>
        <v>June</v>
      </c>
      <c r="H3406" s="3" t="s">
        <v>1085</v>
      </c>
      <c r="I3406" s="3" t="s">
        <v>33</v>
      </c>
      <c r="J3406" s="3">
        <v>4</v>
      </c>
      <c r="K3406" s="3">
        <v>50221.22</v>
      </c>
      <c r="L3406" s="3">
        <f>Table1[[#This Row],[Price Per Unit]]*Table1[[#This Row],[Units Sold]]</f>
        <v>200884.88</v>
      </c>
      <c r="M3406" s="3" t="s">
        <v>258</v>
      </c>
      <c r="N3406" s="3">
        <v>45</v>
      </c>
      <c r="O3406" s="3" t="s">
        <v>78</v>
      </c>
      <c r="P3406" s="3" t="s">
        <v>21</v>
      </c>
      <c r="Q3406" s="4">
        <v>5</v>
      </c>
      <c r="R3406" s="4" t="str">
        <f>IF(Table1[[#This Row],[Customer Ratings]]&gt;=4, "Good",IF(Table1[[#This Row],[Customer Ratings]]=3, "Average","Poor"))</f>
        <v>Good</v>
      </c>
      <c r="S3406" s="3" t="s">
        <v>83</v>
      </c>
    </row>
    <row r="3407" spans="1:19" x14ac:dyDescent="0.25">
      <c r="A3407" s="3">
        <v>3406</v>
      </c>
      <c r="B3407" s="5">
        <f>DATE(Table1[[#This Row],[Year]],Table1[[#This Row],[Month]],Table1[[#This Row],[Day]])</f>
        <v>45450</v>
      </c>
      <c r="C3407" s="3">
        <v>7</v>
      </c>
      <c r="D3407" s="3">
        <v>6</v>
      </c>
      <c r="E3407" s="3">
        <v>2024</v>
      </c>
      <c r="F3407" s="3" t="str">
        <f>"Qtr"&amp; " " &amp;CHOOSE(MONTH(Table1[[#This Row],[Date]]),1,1,1,2,2,2,3,3,3,4,4,4)</f>
        <v>Qtr 2</v>
      </c>
      <c r="G3407" s="3" t="str">
        <f>TEXT(Table1[[#This Row],[Date]],"mmmm")</f>
        <v>June</v>
      </c>
      <c r="H3407" s="3" t="s">
        <v>1085</v>
      </c>
      <c r="I3407" s="3" t="s">
        <v>13</v>
      </c>
      <c r="J3407" s="3">
        <v>1</v>
      </c>
      <c r="K3407" s="3">
        <v>69398.84</v>
      </c>
      <c r="L3407" s="3">
        <f>Table1[[#This Row],[Price Per Unit]]*Table1[[#This Row],[Units Sold]]</f>
        <v>69398.84</v>
      </c>
      <c r="M3407" s="3" t="s">
        <v>755</v>
      </c>
      <c r="N3407" s="3">
        <v>49</v>
      </c>
      <c r="O3407" s="3" t="s">
        <v>137</v>
      </c>
      <c r="P3407" s="3" t="s">
        <v>45</v>
      </c>
      <c r="Q3407" s="4">
        <v>3</v>
      </c>
      <c r="R3407" s="4" t="str">
        <f>IF(Table1[[#This Row],[Customer Ratings]]&gt;=4, "Good",IF(Table1[[#This Row],[Customer Ratings]]=3, "Average","Poor"))</f>
        <v>Average</v>
      </c>
      <c r="S3407" s="3" t="s">
        <v>27</v>
      </c>
    </row>
    <row r="3408" spans="1:19" x14ac:dyDescent="0.25">
      <c r="A3408" s="3">
        <v>3407</v>
      </c>
      <c r="B3408" s="5">
        <f>DATE(Table1[[#This Row],[Year]],Table1[[#This Row],[Month]],Table1[[#This Row],[Day]])</f>
        <v>45450</v>
      </c>
      <c r="C3408" s="3">
        <v>7</v>
      </c>
      <c r="D3408" s="3">
        <v>6</v>
      </c>
      <c r="E3408" s="3">
        <v>2024</v>
      </c>
      <c r="F3408" s="3" t="str">
        <f>"Qtr"&amp; " " &amp;CHOOSE(MONTH(Table1[[#This Row],[Date]]),1,1,1,2,2,2,3,3,3,4,4,4)</f>
        <v>Qtr 2</v>
      </c>
      <c r="G3408" s="3" t="str">
        <f>TEXT(Table1[[#This Row],[Date]],"mmmm")</f>
        <v>June</v>
      </c>
      <c r="H3408" s="3" t="s">
        <v>1085</v>
      </c>
      <c r="I3408" s="3" t="s">
        <v>28</v>
      </c>
      <c r="J3408" s="3">
        <v>2</v>
      </c>
      <c r="K3408" s="3">
        <v>49597.98</v>
      </c>
      <c r="L3408" s="3">
        <f>Table1[[#This Row],[Price Per Unit]]*Table1[[#This Row],[Units Sold]]</f>
        <v>99195.96</v>
      </c>
      <c r="M3408" s="3" t="s">
        <v>230</v>
      </c>
      <c r="N3408" s="3">
        <v>33</v>
      </c>
      <c r="O3408" s="3" t="s">
        <v>20</v>
      </c>
      <c r="P3408" s="3" t="s">
        <v>16</v>
      </c>
      <c r="Q3408" s="4">
        <v>5</v>
      </c>
      <c r="R3408" s="4" t="str">
        <f>IF(Table1[[#This Row],[Customer Ratings]]&gt;=4, "Good",IF(Table1[[#This Row],[Customer Ratings]]=3, "Average","Poor"))</f>
        <v>Good</v>
      </c>
      <c r="S3408" s="3" t="s">
        <v>87</v>
      </c>
    </row>
    <row r="3409" spans="1:19" x14ac:dyDescent="0.25">
      <c r="A3409" s="3">
        <v>3408</v>
      </c>
      <c r="B3409" s="5">
        <f>DATE(Table1[[#This Row],[Year]],Table1[[#This Row],[Month]],Table1[[#This Row],[Day]])</f>
        <v>45451</v>
      </c>
      <c r="C3409" s="3">
        <v>8</v>
      </c>
      <c r="D3409" s="3">
        <v>6</v>
      </c>
      <c r="E3409" s="3">
        <v>2024</v>
      </c>
      <c r="F3409" s="3" t="str">
        <f>"Qtr"&amp; " " &amp;CHOOSE(MONTH(Table1[[#This Row],[Date]]),1,1,1,2,2,2,3,3,3,4,4,4)</f>
        <v>Qtr 2</v>
      </c>
      <c r="G3409" s="3" t="str">
        <f>TEXT(Table1[[#This Row],[Date]],"mmmm")</f>
        <v>June</v>
      </c>
      <c r="H3409" s="3" t="s">
        <v>1079</v>
      </c>
      <c r="I3409" s="3" t="s">
        <v>18</v>
      </c>
      <c r="J3409" s="3">
        <v>9</v>
      </c>
      <c r="K3409" s="3">
        <v>54007.62</v>
      </c>
      <c r="L3409" s="3">
        <f>Table1[[#This Row],[Price Per Unit]]*Table1[[#This Row],[Units Sold]]</f>
        <v>486068.58</v>
      </c>
      <c r="M3409" s="3" t="s">
        <v>149</v>
      </c>
      <c r="N3409" s="3">
        <v>26</v>
      </c>
      <c r="O3409" s="3" t="s">
        <v>54</v>
      </c>
      <c r="P3409" s="3" t="s">
        <v>45</v>
      </c>
      <c r="Q3409" s="4">
        <v>4</v>
      </c>
      <c r="R3409" s="4" t="str">
        <f>IF(Table1[[#This Row],[Customer Ratings]]&gt;=4, "Good",IF(Table1[[#This Row],[Customer Ratings]]=3, "Average","Poor"))</f>
        <v>Good</v>
      </c>
      <c r="S3409" s="3" t="s">
        <v>22</v>
      </c>
    </row>
    <row r="3410" spans="1:19" x14ac:dyDescent="0.25">
      <c r="A3410" s="3">
        <v>3409</v>
      </c>
      <c r="B3410" s="5">
        <f>DATE(Table1[[#This Row],[Year]],Table1[[#This Row],[Month]],Table1[[#This Row],[Day]])</f>
        <v>45451</v>
      </c>
      <c r="C3410" s="3">
        <v>8</v>
      </c>
      <c r="D3410" s="3">
        <v>6</v>
      </c>
      <c r="E3410" s="3">
        <v>2024</v>
      </c>
      <c r="F3410" s="3" t="str">
        <f>"Qtr"&amp; " " &amp;CHOOSE(MONTH(Table1[[#This Row],[Date]]),1,1,1,2,2,2,3,3,3,4,4,4)</f>
        <v>Qtr 2</v>
      </c>
      <c r="G3410" s="3" t="str">
        <f>TEXT(Table1[[#This Row],[Date]],"mmmm")</f>
        <v>June</v>
      </c>
      <c r="H3410" s="3" t="s">
        <v>1079</v>
      </c>
      <c r="I3410" s="3" t="s">
        <v>18</v>
      </c>
      <c r="J3410" s="3">
        <v>8</v>
      </c>
      <c r="K3410" s="3">
        <v>33319.360000000001</v>
      </c>
      <c r="L3410" s="3">
        <f>Table1[[#This Row],[Price Per Unit]]*Table1[[#This Row],[Units Sold]]</f>
        <v>266554.88</v>
      </c>
      <c r="M3410" s="3" t="s">
        <v>443</v>
      </c>
      <c r="N3410" s="3">
        <v>28</v>
      </c>
      <c r="O3410" s="3" t="s">
        <v>15</v>
      </c>
      <c r="P3410" s="3" t="s">
        <v>45</v>
      </c>
      <c r="Q3410" s="4">
        <v>5</v>
      </c>
      <c r="R3410" s="4" t="str">
        <f>IF(Table1[[#This Row],[Customer Ratings]]&gt;=4, "Good",IF(Table1[[#This Row],[Customer Ratings]]=3, "Average","Poor"))</f>
        <v>Good</v>
      </c>
      <c r="S3410" s="3" t="s">
        <v>22</v>
      </c>
    </row>
    <row r="3411" spans="1:19" x14ac:dyDescent="0.25">
      <c r="A3411" s="3">
        <v>3410</v>
      </c>
      <c r="B3411" s="5">
        <f>DATE(Table1[[#This Row],[Year]],Table1[[#This Row],[Month]],Table1[[#This Row],[Day]])</f>
        <v>45451</v>
      </c>
      <c r="C3411" s="3">
        <v>8</v>
      </c>
      <c r="D3411" s="3">
        <v>6</v>
      </c>
      <c r="E3411" s="3">
        <v>2024</v>
      </c>
      <c r="F3411" s="3" t="str">
        <f>"Qtr"&amp; " " &amp;CHOOSE(MONTH(Table1[[#This Row],[Date]]),1,1,1,2,2,2,3,3,3,4,4,4)</f>
        <v>Qtr 2</v>
      </c>
      <c r="G3411" s="3" t="str">
        <f>TEXT(Table1[[#This Row],[Date]],"mmmm")</f>
        <v>June</v>
      </c>
      <c r="H3411" s="3" t="s">
        <v>1079</v>
      </c>
      <c r="I3411" s="3" t="s">
        <v>28</v>
      </c>
      <c r="J3411" s="3">
        <v>8</v>
      </c>
      <c r="K3411" s="3">
        <v>35978.050000000003</v>
      </c>
      <c r="L3411" s="3">
        <f>Table1[[#This Row],[Price Per Unit]]*Table1[[#This Row],[Units Sold]]</f>
        <v>287824.40000000002</v>
      </c>
      <c r="M3411" s="3" t="s">
        <v>889</v>
      </c>
      <c r="N3411" s="3">
        <v>23</v>
      </c>
      <c r="O3411" s="3" t="s">
        <v>48</v>
      </c>
      <c r="P3411" s="3" t="s">
        <v>45</v>
      </c>
      <c r="Q3411" s="4">
        <v>3</v>
      </c>
      <c r="R3411" s="4" t="str">
        <f>IF(Table1[[#This Row],[Customer Ratings]]&gt;=4, "Good",IF(Table1[[#This Row],[Customer Ratings]]=3, "Average","Poor"))</f>
        <v>Average</v>
      </c>
      <c r="S3411" s="3" t="s">
        <v>87</v>
      </c>
    </row>
    <row r="3412" spans="1:19" x14ac:dyDescent="0.25">
      <c r="A3412" s="3">
        <v>3411</v>
      </c>
      <c r="B3412" s="5">
        <f>DATE(Table1[[#This Row],[Year]],Table1[[#This Row],[Month]],Table1[[#This Row],[Day]])</f>
        <v>45452</v>
      </c>
      <c r="C3412" s="3">
        <v>9</v>
      </c>
      <c r="D3412" s="3">
        <v>6</v>
      </c>
      <c r="E3412" s="3">
        <v>2024</v>
      </c>
      <c r="F3412" s="3" t="str">
        <f>"Qtr"&amp; " " &amp;CHOOSE(MONTH(Table1[[#This Row],[Date]]),1,1,1,2,2,2,3,3,3,4,4,4)</f>
        <v>Qtr 2</v>
      </c>
      <c r="G3412" s="3" t="str">
        <f>TEXT(Table1[[#This Row],[Date]],"mmmm")</f>
        <v>June</v>
      </c>
      <c r="H3412" s="3" t="s">
        <v>1080</v>
      </c>
      <c r="I3412" s="3" t="s">
        <v>18</v>
      </c>
      <c r="J3412" s="3">
        <v>9</v>
      </c>
      <c r="K3412" s="3">
        <v>18648.14</v>
      </c>
      <c r="L3412" s="3">
        <f>Table1[[#This Row],[Price Per Unit]]*Table1[[#This Row],[Units Sold]]</f>
        <v>167833.26</v>
      </c>
      <c r="M3412" s="3" t="s">
        <v>80</v>
      </c>
      <c r="N3412" s="3">
        <v>44</v>
      </c>
      <c r="O3412" s="3" t="s">
        <v>81</v>
      </c>
      <c r="P3412" s="3" t="s">
        <v>21</v>
      </c>
      <c r="Q3412" s="4">
        <v>2</v>
      </c>
      <c r="R3412" s="4" t="str">
        <f>IF(Table1[[#This Row],[Customer Ratings]]&gt;=4, "Good",IF(Table1[[#This Row],[Customer Ratings]]=3, "Average","Poor"))</f>
        <v>Poor</v>
      </c>
      <c r="S3412" s="3" t="s">
        <v>55</v>
      </c>
    </row>
    <row r="3413" spans="1:19" x14ac:dyDescent="0.25">
      <c r="A3413" s="3">
        <v>3412</v>
      </c>
      <c r="B3413" s="5">
        <f>DATE(Table1[[#This Row],[Year]],Table1[[#This Row],[Month]],Table1[[#This Row],[Day]])</f>
        <v>45452</v>
      </c>
      <c r="C3413" s="3">
        <v>9</v>
      </c>
      <c r="D3413" s="3">
        <v>6</v>
      </c>
      <c r="E3413" s="3">
        <v>2024</v>
      </c>
      <c r="F3413" s="3" t="str">
        <f>"Qtr"&amp; " " &amp;CHOOSE(MONTH(Table1[[#This Row],[Date]]),1,1,1,2,2,2,3,3,3,4,4,4)</f>
        <v>Qtr 2</v>
      </c>
      <c r="G3413" s="3" t="str">
        <f>TEXT(Table1[[#This Row],[Date]],"mmmm")</f>
        <v>June</v>
      </c>
      <c r="H3413" s="3" t="s">
        <v>1080</v>
      </c>
      <c r="I3413" s="3" t="s">
        <v>39</v>
      </c>
      <c r="J3413" s="3">
        <v>7</v>
      </c>
      <c r="K3413" s="3">
        <v>59365</v>
      </c>
      <c r="L3413" s="3">
        <f>Table1[[#This Row],[Price Per Unit]]*Table1[[#This Row],[Units Sold]]</f>
        <v>415555</v>
      </c>
      <c r="M3413" s="3" t="s">
        <v>131</v>
      </c>
      <c r="N3413" s="3">
        <v>29</v>
      </c>
      <c r="O3413" s="3" t="s">
        <v>54</v>
      </c>
      <c r="P3413" s="3" t="s">
        <v>16</v>
      </c>
      <c r="Q3413" s="4">
        <v>3</v>
      </c>
      <c r="R3413" s="4" t="str">
        <f>IF(Table1[[#This Row],[Customer Ratings]]&gt;=4, "Good",IF(Table1[[#This Row],[Customer Ratings]]=3, "Average","Poor"))</f>
        <v>Average</v>
      </c>
      <c r="S3413" s="3" t="s">
        <v>90</v>
      </c>
    </row>
    <row r="3414" spans="1:19" x14ac:dyDescent="0.25">
      <c r="A3414" s="3">
        <v>3413</v>
      </c>
      <c r="B3414" s="5">
        <f>DATE(Table1[[#This Row],[Year]],Table1[[#This Row],[Month]],Table1[[#This Row],[Day]])</f>
        <v>45452</v>
      </c>
      <c r="C3414" s="3">
        <v>9</v>
      </c>
      <c r="D3414" s="3">
        <v>6</v>
      </c>
      <c r="E3414" s="3">
        <v>2024</v>
      </c>
      <c r="F3414" s="3" t="str">
        <f>"Qtr"&amp; " " &amp;CHOOSE(MONTH(Table1[[#This Row],[Date]]),1,1,1,2,2,2,3,3,3,4,4,4)</f>
        <v>Qtr 2</v>
      </c>
      <c r="G3414" s="3" t="str">
        <f>TEXT(Table1[[#This Row],[Date]],"mmmm")</f>
        <v>June</v>
      </c>
      <c r="H3414" s="3" t="s">
        <v>1080</v>
      </c>
      <c r="I3414" s="3" t="s">
        <v>33</v>
      </c>
      <c r="J3414" s="3">
        <v>9</v>
      </c>
      <c r="K3414" s="3">
        <v>65863.539999999994</v>
      </c>
      <c r="L3414" s="3">
        <f>Table1[[#This Row],[Price Per Unit]]*Table1[[#This Row],[Units Sold]]</f>
        <v>592771.86</v>
      </c>
      <c r="M3414" s="3" t="s">
        <v>883</v>
      </c>
      <c r="N3414" s="3">
        <v>39</v>
      </c>
      <c r="O3414" s="3" t="s">
        <v>24</v>
      </c>
      <c r="P3414" s="3" t="s">
        <v>31</v>
      </c>
      <c r="Q3414" s="4">
        <v>5</v>
      </c>
      <c r="R3414" s="4" t="str">
        <f>IF(Table1[[#This Row],[Customer Ratings]]&gt;=4, "Good",IF(Table1[[#This Row],[Customer Ratings]]=3, "Average","Poor"))</f>
        <v>Good</v>
      </c>
      <c r="S3414" s="3" t="s">
        <v>46</v>
      </c>
    </row>
    <row r="3415" spans="1:19" x14ac:dyDescent="0.25">
      <c r="A3415" s="3">
        <v>3414</v>
      </c>
      <c r="B3415" s="5">
        <f>DATE(Table1[[#This Row],[Year]],Table1[[#This Row],[Month]],Table1[[#This Row],[Day]])</f>
        <v>45452</v>
      </c>
      <c r="C3415" s="3">
        <v>9</v>
      </c>
      <c r="D3415" s="3">
        <v>6</v>
      </c>
      <c r="E3415" s="3">
        <v>2024</v>
      </c>
      <c r="F3415" s="3" t="str">
        <f>"Qtr"&amp; " " &amp;CHOOSE(MONTH(Table1[[#This Row],[Date]]),1,1,1,2,2,2,3,3,3,4,4,4)</f>
        <v>Qtr 2</v>
      </c>
      <c r="G3415" s="3" t="str">
        <f>TEXT(Table1[[#This Row],[Date]],"mmmm")</f>
        <v>June</v>
      </c>
      <c r="H3415" s="3" t="s">
        <v>1080</v>
      </c>
      <c r="I3415" s="3" t="s">
        <v>33</v>
      </c>
      <c r="J3415" s="3">
        <v>2</v>
      </c>
      <c r="K3415" s="3">
        <v>47406.29</v>
      </c>
      <c r="L3415" s="3">
        <f>Table1[[#This Row],[Price Per Unit]]*Table1[[#This Row],[Units Sold]]</f>
        <v>94812.58</v>
      </c>
      <c r="M3415" s="3" t="s">
        <v>1034</v>
      </c>
      <c r="N3415" s="3">
        <v>57</v>
      </c>
      <c r="O3415" s="3" t="s">
        <v>35</v>
      </c>
      <c r="P3415" s="3" t="s">
        <v>16</v>
      </c>
      <c r="Q3415" s="4">
        <v>5</v>
      </c>
      <c r="R3415" s="4" t="str">
        <f>IF(Table1[[#This Row],[Customer Ratings]]&gt;=4, "Good",IF(Table1[[#This Row],[Customer Ratings]]=3, "Average","Poor"))</f>
        <v>Good</v>
      </c>
      <c r="S3415" s="3" t="s">
        <v>36</v>
      </c>
    </row>
    <row r="3416" spans="1:19" x14ac:dyDescent="0.25">
      <c r="A3416" s="3">
        <v>3415</v>
      </c>
      <c r="B3416" s="5">
        <f>DATE(Table1[[#This Row],[Year]],Table1[[#This Row],[Month]],Table1[[#This Row],[Day]])</f>
        <v>45453</v>
      </c>
      <c r="C3416" s="3">
        <v>10</v>
      </c>
      <c r="D3416" s="3">
        <v>6</v>
      </c>
      <c r="E3416" s="3">
        <v>2024</v>
      </c>
      <c r="F3416" s="3" t="str">
        <f>"Qtr"&amp; " " &amp;CHOOSE(MONTH(Table1[[#This Row],[Date]]),1,1,1,2,2,2,3,3,3,4,4,4)</f>
        <v>Qtr 2</v>
      </c>
      <c r="G3416" s="3" t="str">
        <f>TEXT(Table1[[#This Row],[Date]],"mmmm")</f>
        <v>June</v>
      </c>
      <c r="H3416" s="3" t="s">
        <v>1081</v>
      </c>
      <c r="I3416" s="3" t="s">
        <v>33</v>
      </c>
      <c r="J3416" s="3">
        <v>6</v>
      </c>
      <c r="K3416" s="3">
        <v>30618.84</v>
      </c>
      <c r="L3416" s="3">
        <f>Table1[[#This Row],[Price Per Unit]]*Table1[[#This Row],[Units Sold]]</f>
        <v>183713.04</v>
      </c>
      <c r="M3416" s="3" t="s">
        <v>733</v>
      </c>
      <c r="N3416" s="3">
        <v>54</v>
      </c>
      <c r="O3416" s="3" t="s">
        <v>120</v>
      </c>
      <c r="P3416" s="3" t="s">
        <v>21</v>
      </c>
      <c r="Q3416" s="4">
        <v>2</v>
      </c>
      <c r="R3416" s="4" t="str">
        <f>IF(Table1[[#This Row],[Customer Ratings]]&gt;=4, "Good",IF(Table1[[#This Row],[Customer Ratings]]=3, "Average","Poor"))</f>
        <v>Poor</v>
      </c>
      <c r="S3416" s="3" t="s">
        <v>83</v>
      </c>
    </row>
    <row r="3417" spans="1:19" x14ac:dyDescent="0.25">
      <c r="A3417" s="3">
        <v>3416</v>
      </c>
      <c r="B3417" s="5">
        <f>DATE(Table1[[#This Row],[Year]],Table1[[#This Row],[Month]],Table1[[#This Row],[Day]])</f>
        <v>45453</v>
      </c>
      <c r="C3417" s="3">
        <v>10</v>
      </c>
      <c r="D3417" s="3">
        <v>6</v>
      </c>
      <c r="E3417" s="3">
        <v>2024</v>
      </c>
      <c r="F3417" s="3" t="str">
        <f>"Qtr"&amp; " " &amp;CHOOSE(MONTH(Table1[[#This Row],[Date]]),1,1,1,2,2,2,3,3,3,4,4,4)</f>
        <v>Qtr 2</v>
      </c>
      <c r="G3417" s="3" t="str">
        <f>TEXT(Table1[[#This Row],[Date]],"mmmm")</f>
        <v>June</v>
      </c>
      <c r="H3417" s="3" t="s">
        <v>1081</v>
      </c>
      <c r="I3417" s="3" t="s">
        <v>18</v>
      </c>
      <c r="J3417" s="3">
        <v>3</v>
      </c>
      <c r="K3417" s="3">
        <v>19240.98</v>
      </c>
      <c r="L3417" s="3">
        <f>Table1[[#This Row],[Price Per Unit]]*Table1[[#This Row],[Units Sold]]</f>
        <v>57722.94</v>
      </c>
      <c r="M3417" s="3" t="s">
        <v>565</v>
      </c>
      <c r="N3417" s="3">
        <v>38</v>
      </c>
      <c r="O3417" s="3" t="s">
        <v>52</v>
      </c>
      <c r="P3417" s="3" t="s">
        <v>16</v>
      </c>
      <c r="Q3417" s="4">
        <v>2</v>
      </c>
      <c r="R3417" s="4" t="str">
        <f>IF(Table1[[#This Row],[Customer Ratings]]&gt;=4, "Good",IF(Table1[[#This Row],[Customer Ratings]]=3, "Average","Poor"))</f>
        <v>Poor</v>
      </c>
      <c r="S3417" s="3" t="s">
        <v>22</v>
      </c>
    </row>
    <row r="3418" spans="1:19" x14ac:dyDescent="0.25">
      <c r="A3418" s="3">
        <v>3417</v>
      </c>
      <c r="B3418" s="5">
        <f>DATE(Table1[[#This Row],[Year]],Table1[[#This Row],[Month]],Table1[[#This Row],[Day]])</f>
        <v>45453</v>
      </c>
      <c r="C3418" s="3">
        <v>10</v>
      </c>
      <c r="D3418" s="3">
        <v>6</v>
      </c>
      <c r="E3418" s="3">
        <v>2024</v>
      </c>
      <c r="F3418" s="3" t="str">
        <f>"Qtr"&amp; " " &amp;CHOOSE(MONTH(Table1[[#This Row],[Date]]),1,1,1,2,2,2,3,3,3,4,4,4)</f>
        <v>Qtr 2</v>
      </c>
      <c r="G3418" s="3" t="str">
        <f>TEXT(Table1[[#This Row],[Date]],"mmmm")</f>
        <v>June</v>
      </c>
      <c r="H3418" s="3" t="s">
        <v>1081</v>
      </c>
      <c r="I3418" s="3" t="s">
        <v>18</v>
      </c>
      <c r="J3418" s="3">
        <v>6</v>
      </c>
      <c r="K3418" s="3">
        <v>25909.37</v>
      </c>
      <c r="L3418" s="3">
        <f>Table1[[#This Row],[Price Per Unit]]*Table1[[#This Row],[Units Sold]]</f>
        <v>155456.22</v>
      </c>
      <c r="M3418" s="3" t="s">
        <v>1036</v>
      </c>
      <c r="N3418" s="3">
        <v>50</v>
      </c>
      <c r="O3418" s="3" t="s">
        <v>125</v>
      </c>
      <c r="P3418" s="3" t="s">
        <v>16</v>
      </c>
      <c r="Q3418" s="4">
        <v>5</v>
      </c>
      <c r="R3418" s="4" t="str">
        <f>IF(Table1[[#This Row],[Customer Ratings]]&gt;=4, "Good",IF(Table1[[#This Row],[Customer Ratings]]=3, "Average","Poor"))</f>
        <v>Good</v>
      </c>
      <c r="S3418" s="3" t="s">
        <v>25</v>
      </c>
    </row>
    <row r="3419" spans="1:19" x14ac:dyDescent="0.25">
      <c r="A3419" s="3">
        <v>3418</v>
      </c>
      <c r="B3419" s="5">
        <f>DATE(Table1[[#This Row],[Year]],Table1[[#This Row],[Month]],Table1[[#This Row],[Day]])</f>
        <v>45453</v>
      </c>
      <c r="C3419" s="3">
        <v>10</v>
      </c>
      <c r="D3419" s="3">
        <v>6</v>
      </c>
      <c r="E3419" s="3">
        <v>2024</v>
      </c>
      <c r="F3419" s="3" t="str">
        <f>"Qtr"&amp; " " &amp;CHOOSE(MONTH(Table1[[#This Row],[Date]]),1,1,1,2,2,2,3,3,3,4,4,4)</f>
        <v>Qtr 2</v>
      </c>
      <c r="G3419" s="3" t="str">
        <f>TEXT(Table1[[#This Row],[Date]],"mmmm")</f>
        <v>June</v>
      </c>
      <c r="H3419" s="3" t="s">
        <v>1081</v>
      </c>
      <c r="I3419" s="3" t="s">
        <v>13</v>
      </c>
      <c r="J3419" s="3">
        <v>3</v>
      </c>
      <c r="K3419" s="3">
        <v>25324.63</v>
      </c>
      <c r="L3419" s="3">
        <f>Table1[[#This Row],[Price Per Unit]]*Table1[[#This Row],[Units Sold]]</f>
        <v>75973.89</v>
      </c>
      <c r="M3419" s="3" t="s">
        <v>893</v>
      </c>
      <c r="N3419" s="3">
        <v>34</v>
      </c>
      <c r="O3419" s="3" t="s">
        <v>24</v>
      </c>
      <c r="P3419" s="3" t="s">
        <v>45</v>
      </c>
      <c r="Q3419" s="4">
        <v>2</v>
      </c>
      <c r="R3419" s="4" t="str">
        <f>IF(Table1[[#This Row],[Customer Ratings]]&gt;=4, "Good",IF(Table1[[#This Row],[Customer Ratings]]=3, "Average","Poor"))</f>
        <v>Poor</v>
      </c>
      <c r="S3419" s="3" t="s">
        <v>27</v>
      </c>
    </row>
    <row r="3420" spans="1:19" x14ac:dyDescent="0.25">
      <c r="A3420" s="3">
        <v>3419</v>
      </c>
      <c r="B3420" s="5">
        <f>DATE(Table1[[#This Row],[Year]],Table1[[#This Row],[Month]],Table1[[#This Row],[Day]])</f>
        <v>45454</v>
      </c>
      <c r="C3420" s="3">
        <v>11</v>
      </c>
      <c r="D3420" s="3">
        <v>6</v>
      </c>
      <c r="E3420" s="3">
        <v>2024</v>
      </c>
      <c r="F3420" s="3" t="str">
        <f>"Qtr"&amp; " " &amp;CHOOSE(MONTH(Table1[[#This Row],[Date]]),1,1,1,2,2,2,3,3,3,4,4,4)</f>
        <v>Qtr 2</v>
      </c>
      <c r="G3420" s="3" t="str">
        <f>TEXT(Table1[[#This Row],[Date]],"mmmm")</f>
        <v>June</v>
      </c>
      <c r="H3420" s="3" t="s">
        <v>1082</v>
      </c>
      <c r="I3420" s="3" t="s">
        <v>13</v>
      </c>
      <c r="J3420" s="3">
        <v>8</v>
      </c>
      <c r="K3420" s="3">
        <v>46811.67</v>
      </c>
      <c r="L3420" s="3">
        <f>Table1[[#This Row],[Price Per Unit]]*Table1[[#This Row],[Units Sold]]</f>
        <v>374493.36</v>
      </c>
      <c r="M3420" s="3" t="s">
        <v>307</v>
      </c>
      <c r="N3420" s="3">
        <v>46</v>
      </c>
      <c r="O3420" s="3" t="s">
        <v>105</v>
      </c>
      <c r="P3420" s="3" t="s">
        <v>45</v>
      </c>
      <c r="Q3420" s="4">
        <v>5</v>
      </c>
      <c r="R3420" s="4" t="str">
        <f>IF(Table1[[#This Row],[Customer Ratings]]&gt;=4, "Good",IF(Table1[[#This Row],[Customer Ratings]]=3, "Average","Poor"))</f>
        <v>Good</v>
      </c>
      <c r="S3420" s="3" t="s">
        <v>72</v>
      </c>
    </row>
    <row r="3421" spans="1:19" x14ac:dyDescent="0.25">
      <c r="A3421" s="3">
        <v>3420</v>
      </c>
      <c r="B3421" s="5">
        <f>DATE(Table1[[#This Row],[Year]],Table1[[#This Row],[Month]],Table1[[#This Row],[Day]])</f>
        <v>45454</v>
      </c>
      <c r="C3421" s="3">
        <v>11</v>
      </c>
      <c r="D3421" s="3">
        <v>6</v>
      </c>
      <c r="E3421" s="3">
        <v>2024</v>
      </c>
      <c r="F3421" s="3" t="str">
        <f>"Qtr"&amp; " " &amp;CHOOSE(MONTH(Table1[[#This Row],[Date]]),1,1,1,2,2,2,3,3,3,4,4,4)</f>
        <v>Qtr 2</v>
      </c>
      <c r="G3421" s="3" t="str">
        <f>TEXT(Table1[[#This Row],[Date]],"mmmm")</f>
        <v>June</v>
      </c>
      <c r="H3421" s="3" t="s">
        <v>1082</v>
      </c>
      <c r="I3421" s="3" t="s">
        <v>33</v>
      </c>
      <c r="J3421" s="3">
        <v>4</v>
      </c>
      <c r="K3421" s="3">
        <v>66702.25</v>
      </c>
      <c r="L3421" s="3">
        <f>Table1[[#This Row],[Price Per Unit]]*Table1[[#This Row],[Units Sold]]</f>
        <v>266809</v>
      </c>
      <c r="M3421" s="3" t="s">
        <v>100</v>
      </c>
      <c r="N3421" s="3">
        <v>57</v>
      </c>
      <c r="O3421" s="3" t="s">
        <v>120</v>
      </c>
      <c r="P3421" s="3" t="s">
        <v>21</v>
      </c>
      <c r="Q3421" s="4">
        <v>2</v>
      </c>
      <c r="R3421" s="4" t="str">
        <f>IF(Table1[[#This Row],[Customer Ratings]]&gt;=4, "Good",IF(Table1[[#This Row],[Customer Ratings]]=3, "Average","Poor"))</f>
        <v>Poor</v>
      </c>
      <c r="S3421" s="3" t="s">
        <v>46</v>
      </c>
    </row>
    <row r="3422" spans="1:19" x14ac:dyDescent="0.25">
      <c r="A3422" s="3">
        <v>3421</v>
      </c>
      <c r="B3422" s="5">
        <f>DATE(Table1[[#This Row],[Year]],Table1[[#This Row],[Month]],Table1[[#This Row],[Day]])</f>
        <v>45454</v>
      </c>
      <c r="C3422" s="3">
        <v>11</v>
      </c>
      <c r="D3422" s="3">
        <v>6</v>
      </c>
      <c r="E3422" s="3">
        <v>2024</v>
      </c>
      <c r="F3422" s="3" t="str">
        <f>"Qtr"&amp; " " &amp;CHOOSE(MONTH(Table1[[#This Row],[Date]]),1,1,1,2,2,2,3,3,3,4,4,4)</f>
        <v>Qtr 2</v>
      </c>
      <c r="G3422" s="3" t="str">
        <f>TEXT(Table1[[#This Row],[Date]],"mmmm")</f>
        <v>June</v>
      </c>
      <c r="H3422" s="3" t="s">
        <v>1082</v>
      </c>
      <c r="I3422" s="3" t="s">
        <v>39</v>
      </c>
      <c r="J3422" s="3">
        <v>6</v>
      </c>
      <c r="K3422" s="3">
        <v>12896.31</v>
      </c>
      <c r="L3422" s="3">
        <f>Table1[[#This Row],[Price Per Unit]]*Table1[[#This Row],[Units Sold]]</f>
        <v>77377.86</v>
      </c>
      <c r="M3422" s="3" t="s">
        <v>1023</v>
      </c>
      <c r="N3422" s="3">
        <v>27</v>
      </c>
      <c r="O3422" s="3" t="s">
        <v>20</v>
      </c>
      <c r="P3422" s="3" t="s">
        <v>45</v>
      </c>
      <c r="Q3422" s="4">
        <v>4</v>
      </c>
      <c r="R3422" s="4" t="str">
        <f>IF(Table1[[#This Row],[Customer Ratings]]&gt;=4, "Good",IF(Table1[[#This Row],[Customer Ratings]]=3, "Average","Poor"))</f>
        <v>Good</v>
      </c>
      <c r="S3422" s="3" t="s">
        <v>42</v>
      </c>
    </row>
    <row r="3423" spans="1:19" x14ac:dyDescent="0.25">
      <c r="A3423" s="3">
        <v>3422</v>
      </c>
      <c r="B3423" s="5">
        <f>DATE(Table1[[#This Row],[Year]],Table1[[#This Row],[Month]],Table1[[#This Row],[Day]])</f>
        <v>45454</v>
      </c>
      <c r="C3423" s="3">
        <v>11</v>
      </c>
      <c r="D3423" s="3">
        <v>6</v>
      </c>
      <c r="E3423" s="3">
        <v>2024</v>
      </c>
      <c r="F3423" s="3" t="str">
        <f>"Qtr"&amp; " " &amp;CHOOSE(MONTH(Table1[[#This Row],[Date]]),1,1,1,2,2,2,3,3,3,4,4,4)</f>
        <v>Qtr 2</v>
      </c>
      <c r="G3423" s="3" t="str">
        <f>TEXT(Table1[[#This Row],[Date]],"mmmm")</f>
        <v>June</v>
      </c>
      <c r="H3423" s="3" t="s">
        <v>1082</v>
      </c>
      <c r="I3423" s="3" t="s">
        <v>13</v>
      </c>
      <c r="J3423" s="3">
        <v>9</v>
      </c>
      <c r="K3423" s="3">
        <v>10061.34</v>
      </c>
      <c r="L3423" s="3">
        <f>Table1[[#This Row],[Price Per Unit]]*Table1[[#This Row],[Units Sold]]</f>
        <v>90552.06</v>
      </c>
      <c r="M3423" s="3" t="s">
        <v>166</v>
      </c>
      <c r="N3423" s="3">
        <v>35</v>
      </c>
      <c r="O3423" s="3" t="s">
        <v>20</v>
      </c>
      <c r="P3423" s="3" t="s">
        <v>21</v>
      </c>
      <c r="Q3423" s="4">
        <v>3</v>
      </c>
      <c r="R3423" s="4" t="str">
        <f>IF(Table1[[#This Row],[Customer Ratings]]&gt;=4, "Good",IF(Table1[[#This Row],[Customer Ratings]]=3, "Average","Poor"))</f>
        <v>Average</v>
      </c>
      <c r="S3423" s="3" t="s">
        <v>72</v>
      </c>
    </row>
    <row r="3424" spans="1:19" x14ac:dyDescent="0.25">
      <c r="A3424" s="3">
        <v>3423</v>
      </c>
      <c r="B3424" s="5">
        <f>DATE(Table1[[#This Row],[Year]],Table1[[#This Row],[Month]],Table1[[#This Row],[Day]])</f>
        <v>45455</v>
      </c>
      <c r="C3424" s="3">
        <v>12</v>
      </c>
      <c r="D3424" s="3">
        <v>6</v>
      </c>
      <c r="E3424" s="3">
        <v>2024</v>
      </c>
      <c r="F3424" s="3" t="str">
        <f>"Qtr"&amp; " " &amp;CHOOSE(MONTH(Table1[[#This Row],[Date]]),1,1,1,2,2,2,3,3,3,4,4,4)</f>
        <v>Qtr 2</v>
      </c>
      <c r="G3424" s="3" t="str">
        <f>TEXT(Table1[[#This Row],[Date]],"mmmm")</f>
        <v>June</v>
      </c>
      <c r="H3424" s="3" t="s">
        <v>1083</v>
      </c>
      <c r="I3424" s="3" t="s">
        <v>13</v>
      </c>
      <c r="J3424" s="3">
        <v>2</v>
      </c>
      <c r="K3424" s="3">
        <v>46010.92</v>
      </c>
      <c r="L3424" s="3">
        <f>Table1[[#This Row],[Price Per Unit]]*Table1[[#This Row],[Units Sold]]</f>
        <v>92021.84</v>
      </c>
      <c r="M3424" s="3" t="s">
        <v>712</v>
      </c>
      <c r="N3424" s="3">
        <v>30</v>
      </c>
      <c r="O3424" s="3" t="s">
        <v>24</v>
      </c>
      <c r="P3424" s="3" t="s">
        <v>31</v>
      </c>
      <c r="Q3424" s="4">
        <v>5</v>
      </c>
      <c r="R3424" s="4" t="str">
        <f>IF(Table1[[#This Row],[Customer Ratings]]&gt;=4, "Good",IF(Table1[[#This Row],[Customer Ratings]]=3, "Average","Poor"))</f>
        <v>Good</v>
      </c>
      <c r="S3424" s="3" t="s">
        <v>27</v>
      </c>
    </row>
    <row r="3425" spans="1:19" x14ac:dyDescent="0.25">
      <c r="A3425" s="3">
        <v>3424</v>
      </c>
      <c r="B3425" s="5">
        <f>DATE(Table1[[#This Row],[Year]],Table1[[#This Row],[Month]],Table1[[#This Row],[Day]])</f>
        <v>45455</v>
      </c>
      <c r="C3425" s="3">
        <v>12</v>
      </c>
      <c r="D3425" s="3">
        <v>6</v>
      </c>
      <c r="E3425" s="3">
        <v>2024</v>
      </c>
      <c r="F3425" s="3" t="str">
        <f>"Qtr"&amp; " " &amp;CHOOSE(MONTH(Table1[[#This Row],[Date]]),1,1,1,2,2,2,3,3,3,4,4,4)</f>
        <v>Qtr 2</v>
      </c>
      <c r="G3425" s="3" t="str">
        <f>TEXT(Table1[[#This Row],[Date]],"mmmm")</f>
        <v>June</v>
      </c>
      <c r="H3425" s="3" t="s">
        <v>1083</v>
      </c>
      <c r="I3425" s="3" t="s">
        <v>18</v>
      </c>
      <c r="J3425" s="3">
        <v>2</v>
      </c>
      <c r="K3425" s="3">
        <v>27043.63</v>
      </c>
      <c r="L3425" s="3">
        <f>Table1[[#This Row],[Price Per Unit]]*Table1[[#This Row],[Units Sold]]</f>
        <v>54087.26</v>
      </c>
      <c r="M3425" s="3" t="s">
        <v>762</v>
      </c>
      <c r="N3425" s="3">
        <v>44</v>
      </c>
      <c r="O3425" s="3" t="s">
        <v>137</v>
      </c>
      <c r="P3425" s="3" t="s">
        <v>16</v>
      </c>
      <c r="Q3425" s="4">
        <v>5</v>
      </c>
      <c r="R3425" s="4" t="str">
        <f>IF(Table1[[#This Row],[Customer Ratings]]&gt;=4, "Good",IF(Table1[[#This Row],[Customer Ratings]]=3, "Average","Poor"))</f>
        <v>Good</v>
      </c>
      <c r="S3425" s="3" t="s">
        <v>25</v>
      </c>
    </row>
    <row r="3426" spans="1:19" x14ac:dyDescent="0.25">
      <c r="A3426" s="3">
        <v>3425</v>
      </c>
      <c r="B3426" s="5">
        <f>DATE(Table1[[#This Row],[Year]],Table1[[#This Row],[Month]],Table1[[#This Row],[Day]])</f>
        <v>45455</v>
      </c>
      <c r="C3426" s="3">
        <v>12</v>
      </c>
      <c r="D3426" s="3">
        <v>6</v>
      </c>
      <c r="E3426" s="3">
        <v>2024</v>
      </c>
      <c r="F3426" s="3" t="str">
        <f>"Qtr"&amp; " " &amp;CHOOSE(MONTH(Table1[[#This Row],[Date]]),1,1,1,2,2,2,3,3,3,4,4,4)</f>
        <v>Qtr 2</v>
      </c>
      <c r="G3426" s="3" t="str">
        <f>TEXT(Table1[[#This Row],[Date]],"mmmm")</f>
        <v>June</v>
      </c>
      <c r="H3426" s="3" t="s">
        <v>1083</v>
      </c>
      <c r="I3426" s="3" t="s">
        <v>39</v>
      </c>
      <c r="J3426" s="3">
        <v>7</v>
      </c>
      <c r="K3426" s="3">
        <v>62832.9</v>
      </c>
      <c r="L3426" s="3">
        <f>Table1[[#This Row],[Price Per Unit]]*Table1[[#This Row],[Units Sold]]</f>
        <v>439830.3</v>
      </c>
      <c r="M3426" s="3" t="s">
        <v>312</v>
      </c>
      <c r="N3426" s="3">
        <v>27</v>
      </c>
      <c r="O3426" s="3" t="s">
        <v>41</v>
      </c>
      <c r="P3426" s="3" t="s">
        <v>31</v>
      </c>
      <c r="Q3426" s="4">
        <v>5</v>
      </c>
      <c r="R3426" s="4" t="str">
        <f>IF(Table1[[#This Row],[Customer Ratings]]&gt;=4, "Good",IF(Table1[[#This Row],[Customer Ratings]]=3, "Average","Poor"))</f>
        <v>Good</v>
      </c>
      <c r="S3426" s="3" t="s">
        <v>90</v>
      </c>
    </row>
    <row r="3427" spans="1:19" x14ac:dyDescent="0.25">
      <c r="A3427" s="3">
        <v>3426</v>
      </c>
      <c r="B3427" s="5">
        <f>DATE(Table1[[#This Row],[Year]],Table1[[#This Row],[Month]],Table1[[#This Row],[Day]])</f>
        <v>45455</v>
      </c>
      <c r="C3427" s="3">
        <v>12</v>
      </c>
      <c r="D3427" s="3">
        <v>6</v>
      </c>
      <c r="E3427" s="3">
        <v>2024</v>
      </c>
      <c r="F3427" s="3" t="str">
        <f>"Qtr"&amp; " " &amp;CHOOSE(MONTH(Table1[[#This Row],[Date]]),1,1,1,2,2,2,3,3,3,4,4,4)</f>
        <v>Qtr 2</v>
      </c>
      <c r="G3427" s="3" t="str">
        <f>TEXT(Table1[[#This Row],[Date]],"mmmm")</f>
        <v>June</v>
      </c>
      <c r="H3427" s="3" t="s">
        <v>1083</v>
      </c>
      <c r="I3427" s="3" t="s">
        <v>33</v>
      </c>
      <c r="J3427" s="3">
        <v>2</v>
      </c>
      <c r="K3427" s="3">
        <v>29635.02</v>
      </c>
      <c r="L3427" s="3">
        <f>Table1[[#This Row],[Price Per Unit]]*Table1[[#This Row],[Units Sold]]</f>
        <v>59270.04</v>
      </c>
      <c r="M3427" s="3" t="s">
        <v>942</v>
      </c>
      <c r="N3427" s="3">
        <v>49</v>
      </c>
      <c r="O3427" s="3" t="s">
        <v>15</v>
      </c>
      <c r="P3427" s="3" t="s">
        <v>31</v>
      </c>
      <c r="Q3427" s="4">
        <v>4</v>
      </c>
      <c r="R3427" s="4" t="str">
        <f>IF(Table1[[#This Row],[Customer Ratings]]&gt;=4, "Good",IF(Table1[[#This Row],[Customer Ratings]]=3, "Average","Poor"))</f>
        <v>Good</v>
      </c>
      <c r="S3427" s="3" t="s">
        <v>36</v>
      </c>
    </row>
    <row r="3428" spans="1:19" x14ac:dyDescent="0.25">
      <c r="A3428" s="3">
        <v>3427</v>
      </c>
      <c r="B3428" s="5">
        <f>DATE(Table1[[#This Row],[Year]],Table1[[#This Row],[Month]],Table1[[#This Row],[Day]])</f>
        <v>45456</v>
      </c>
      <c r="C3428" s="3">
        <v>13</v>
      </c>
      <c r="D3428" s="3">
        <v>6</v>
      </c>
      <c r="E3428" s="3">
        <v>2024</v>
      </c>
      <c r="F3428" s="3" t="str">
        <f>"Qtr"&amp; " " &amp;CHOOSE(MONTH(Table1[[#This Row],[Date]]),1,1,1,2,2,2,3,3,3,4,4,4)</f>
        <v>Qtr 2</v>
      </c>
      <c r="G3428" s="3" t="str">
        <f>TEXT(Table1[[#This Row],[Date]],"mmmm")</f>
        <v>June</v>
      </c>
      <c r="H3428" s="3" t="s">
        <v>1084</v>
      </c>
      <c r="I3428" s="3" t="s">
        <v>13</v>
      </c>
      <c r="J3428" s="3">
        <v>2</v>
      </c>
      <c r="K3428" s="3">
        <v>27384.26</v>
      </c>
      <c r="L3428" s="3">
        <f>Table1[[#This Row],[Price Per Unit]]*Table1[[#This Row],[Units Sold]]</f>
        <v>54768.52</v>
      </c>
      <c r="M3428" s="3" t="s">
        <v>955</v>
      </c>
      <c r="N3428" s="3">
        <v>58</v>
      </c>
      <c r="O3428" s="3" t="s">
        <v>125</v>
      </c>
      <c r="P3428" s="3" t="s">
        <v>16</v>
      </c>
      <c r="Q3428" s="4">
        <v>2</v>
      </c>
      <c r="R3428" s="4" t="str">
        <f>IF(Table1[[#This Row],[Customer Ratings]]&gt;=4, "Good",IF(Table1[[#This Row],[Customer Ratings]]=3, "Average","Poor"))</f>
        <v>Poor</v>
      </c>
      <c r="S3428" s="3" t="s">
        <v>27</v>
      </c>
    </row>
    <row r="3429" spans="1:19" x14ac:dyDescent="0.25">
      <c r="A3429" s="3">
        <v>3428</v>
      </c>
      <c r="B3429" s="5">
        <f>DATE(Table1[[#This Row],[Year]],Table1[[#This Row],[Month]],Table1[[#This Row],[Day]])</f>
        <v>45456</v>
      </c>
      <c r="C3429" s="3">
        <v>13</v>
      </c>
      <c r="D3429" s="3">
        <v>6</v>
      </c>
      <c r="E3429" s="3">
        <v>2024</v>
      </c>
      <c r="F3429" s="3" t="str">
        <f>"Qtr"&amp; " " &amp;CHOOSE(MONTH(Table1[[#This Row],[Date]]),1,1,1,2,2,2,3,3,3,4,4,4)</f>
        <v>Qtr 2</v>
      </c>
      <c r="G3429" s="3" t="str">
        <f>TEXT(Table1[[#This Row],[Date]],"mmmm")</f>
        <v>June</v>
      </c>
      <c r="H3429" s="3" t="s">
        <v>1084</v>
      </c>
      <c r="I3429" s="3" t="s">
        <v>39</v>
      </c>
      <c r="J3429" s="3">
        <v>4</v>
      </c>
      <c r="K3429" s="3">
        <v>26170.639999999999</v>
      </c>
      <c r="L3429" s="3">
        <f>Table1[[#This Row],[Price Per Unit]]*Table1[[#This Row],[Units Sold]]</f>
        <v>104682.56</v>
      </c>
      <c r="M3429" s="3" t="s">
        <v>508</v>
      </c>
      <c r="N3429" s="3">
        <v>20</v>
      </c>
      <c r="O3429" s="3" t="s">
        <v>30</v>
      </c>
      <c r="P3429" s="3" t="s">
        <v>45</v>
      </c>
      <c r="Q3429" s="4">
        <v>2</v>
      </c>
      <c r="R3429" s="4" t="str">
        <f>IF(Table1[[#This Row],[Customer Ratings]]&gt;=4, "Good",IF(Table1[[#This Row],[Customer Ratings]]=3, "Average","Poor"))</f>
        <v>Poor</v>
      </c>
      <c r="S3429" s="3" t="s">
        <v>90</v>
      </c>
    </row>
    <row r="3430" spans="1:19" x14ac:dyDescent="0.25">
      <c r="A3430" s="3">
        <v>3429</v>
      </c>
      <c r="B3430" s="5">
        <f>DATE(Table1[[#This Row],[Year]],Table1[[#This Row],[Month]],Table1[[#This Row],[Day]])</f>
        <v>45456</v>
      </c>
      <c r="C3430" s="3">
        <v>13</v>
      </c>
      <c r="D3430" s="3">
        <v>6</v>
      </c>
      <c r="E3430" s="3">
        <v>2024</v>
      </c>
      <c r="F3430" s="3" t="str">
        <f>"Qtr"&amp; " " &amp;CHOOSE(MONTH(Table1[[#This Row],[Date]]),1,1,1,2,2,2,3,3,3,4,4,4)</f>
        <v>Qtr 2</v>
      </c>
      <c r="G3430" s="3" t="str">
        <f>TEXT(Table1[[#This Row],[Date]],"mmmm")</f>
        <v>June</v>
      </c>
      <c r="H3430" s="3" t="s">
        <v>1084</v>
      </c>
      <c r="I3430" s="3" t="s">
        <v>39</v>
      </c>
      <c r="J3430" s="3">
        <v>9</v>
      </c>
      <c r="K3430" s="3">
        <v>18691.169999999998</v>
      </c>
      <c r="L3430" s="3">
        <f>Table1[[#This Row],[Price Per Unit]]*Table1[[#This Row],[Units Sold]]</f>
        <v>168220.52999999997</v>
      </c>
      <c r="M3430" s="3" t="s">
        <v>263</v>
      </c>
      <c r="N3430" s="3">
        <v>39</v>
      </c>
      <c r="O3430" s="3" t="s">
        <v>30</v>
      </c>
      <c r="P3430" s="3" t="s">
        <v>31</v>
      </c>
      <c r="Q3430" s="4">
        <v>5</v>
      </c>
      <c r="R3430" s="4" t="str">
        <f>IF(Table1[[#This Row],[Customer Ratings]]&gt;=4, "Good",IF(Table1[[#This Row],[Customer Ratings]]=3, "Average","Poor"))</f>
        <v>Good</v>
      </c>
      <c r="S3430" s="3" t="s">
        <v>42</v>
      </c>
    </row>
    <row r="3431" spans="1:19" x14ac:dyDescent="0.25">
      <c r="A3431" s="3">
        <v>3430</v>
      </c>
      <c r="B3431" s="5">
        <f>DATE(Table1[[#This Row],[Year]],Table1[[#This Row],[Month]],Table1[[#This Row],[Day]])</f>
        <v>45456</v>
      </c>
      <c r="C3431" s="3">
        <v>13</v>
      </c>
      <c r="D3431" s="3">
        <v>6</v>
      </c>
      <c r="E3431" s="3">
        <v>2024</v>
      </c>
      <c r="F3431" s="3" t="str">
        <f>"Qtr"&amp; " " &amp;CHOOSE(MONTH(Table1[[#This Row],[Date]]),1,1,1,2,2,2,3,3,3,4,4,4)</f>
        <v>Qtr 2</v>
      </c>
      <c r="G3431" s="3" t="str">
        <f>TEXT(Table1[[#This Row],[Date]],"mmmm")</f>
        <v>June</v>
      </c>
      <c r="H3431" s="3" t="s">
        <v>1084</v>
      </c>
      <c r="I3431" s="3" t="s">
        <v>33</v>
      </c>
      <c r="J3431" s="3">
        <v>8</v>
      </c>
      <c r="K3431" s="3">
        <v>44891.83</v>
      </c>
      <c r="L3431" s="3">
        <f>Table1[[#This Row],[Price Per Unit]]*Table1[[#This Row],[Units Sold]]</f>
        <v>359134.64</v>
      </c>
      <c r="M3431" s="3" t="s">
        <v>564</v>
      </c>
      <c r="N3431" s="3">
        <v>44</v>
      </c>
      <c r="O3431" s="3" t="s">
        <v>137</v>
      </c>
      <c r="P3431" s="3" t="s">
        <v>16</v>
      </c>
      <c r="Q3431" s="4">
        <v>2</v>
      </c>
      <c r="R3431" s="4" t="str">
        <f>IF(Table1[[#This Row],[Customer Ratings]]&gt;=4, "Good",IF(Table1[[#This Row],[Customer Ratings]]=3, "Average","Poor"))</f>
        <v>Poor</v>
      </c>
      <c r="S3431" s="3" t="s">
        <v>36</v>
      </c>
    </row>
    <row r="3432" spans="1:19" x14ac:dyDescent="0.25">
      <c r="A3432" s="3">
        <v>3431</v>
      </c>
      <c r="B3432" s="5">
        <f>DATE(Table1[[#This Row],[Year]],Table1[[#This Row],[Month]],Table1[[#This Row],[Day]])</f>
        <v>45457</v>
      </c>
      <c r="C3432" s="3">
        <v>14</v>
      </c>
      <c r="D3432" s="3">
        <v>6</v>
      </c>
      <c r="E3432" s="3">
        <v>2024</v>
      </c>
      <c r="F3432" s="3" t="str">
        <f>"Qtr"&amp; " " &amp;CHOOSE(MONTH(Table1[[#This Row],[Date]]),1,1,1,2,2,2,3,3,3,4,4,4)</f>
        <v>Qtr 2</v>
      </c>
      <c r="G3432" s="3" t="str">
        <f>TEXT(Table1[[#This Row],[Date]],"mmmm")</f>
        <v>June</v>
      </c>
      <c r="H3432" s="3" t="s">
        <v>1085</v>
      </c>
      <c r="I3432" s="3" t="s">
        <v>39</v>
      </c>
      <c r="J3432" s="3">
        <v>2</v>
      </c>
      <c r="K3432" s="3">
        <v>20092.82</v>
      </c>
      <c r="L3432" s="3">
        <f>Table1[[#This Row],[Price Per Unit]]*Table1[[#This Row],[Units Sold]]</f>
        <v>40185.64</v>
      </c>
      <c r="M3432" s="3" t="s">
        <v>233</v>
      </c>
      <c r="N3432" s="3">
        <v>20</v>
      </c>
      <c r="O3432" s="3" t="s">
        <v>15</v>
      </c>
      <c r="P3432" s="3" t="s">
        <v>31</v>
      </c>
      <c r="Q3432" s="4">
        <v>2</v>
      </c>
      <c r="R3432" s="4" t="str">
        <f>IF(Table1[[#This Row],[Customer Ratings]]&gt;=4, "Good",IF(Table1[[#This Row],[Customer Ratings]]=3, "Average","Poor"))</f>
        <v>Poor</v>
      </c>
      <c r="S3432" s="3" t="s">
        <v>42</v>
      </c>
    </row>
    <row r="3433" spans="1:19" x14ac:dyDescent="0.25">
      <c r="A3433" s="3">
        <v>3432</v>
      </c>
      <c r="B3433" s="5">
        <f>DATE(Table1[[#This Row],[Year]],Table1[[#This Row],[Month]],Table1[[#This Row],[Day]])</f>
        <v>45457</v>
      </c>
      <c r="C3433" s="3">
        <v>14</v>
      </c>
      <c r="D3433" s="3">
        <v>6</v>
      </c>
      <c r="E3433" s="3">
        <v>2024</v>
      </c>
      <c r="F3433" s="3" t="str">
        <f>"Qtr"&amp; " " &amp;CHOOSE(MONTH(Table1[[#This Row],[Date]]),1,1,1,2,2,2,3,3,3,4,4,4)</f>
        <v>Qtr 2</v>
      </c>
      <c r="G3433" s="3" t="str">
        <f>TEXT(Table1[[#This Row],[Date]],"mmmm")</f>
        <v>June</v>
      </c>
      <c r="H3433" s="3" t="s">
        <v>1085</v>
      </c>
      <c r="I3433" s="3" t="s">
        <v>39</v>
      </c>
      <c r="J3433" s="3">
        <v>8</v>
      </c>
      <c r="K3433" s="3">
        <v>35477.870000000003</v>
      </c>
      <c r="L3433" s="3">
        <f>Table1[[#This Row],[Price Per Unit]]*Table1[[#This Row],[Units Sold]]</f>
        <v>283822.96000000002</v>
      </c>
      <c r="M3433" s="3" t="s">
        <v>198</v>
      </c>
      <c r="N3433" s="3">
        <v>50</v>
      </c>
      <c r="O3433" s="3" t="s">
        <v>35</v>
      </c>
      <c r="P3433" s="3" t="s">
        <v>31</v>
      </c>
      <c r="Q3433" s="4">
        <v>4</v>
      </c>
      <c r="R3433" s="4" t="str">
        <f>IF(Table1[[#This Row],[Customer Ratings]]&gt;=4, "Good",IF(Table1[[#This Row],[Customer Ratings]]=3, "Average","Poor"))</f>
        <v>Good</v>
      </c>
      <c r="S3433" s="3" t="s">
        <v>76</v>
      </c>
    </row>
    <row r="3434" spans="1:19" x14ac:dyDescent="0.25">
      <c r="A3434" s="3">
        <v>3433</v>
      </c>
      <c r="B3434" s="5">
        <f>DATE(Table1[[#This Row],[Year]],Table1[[#This Row],[Month]],Table1[[#This Row],[Day]])</f>
        <v>45457</v>
      </c>
      <c r="C3434" s="3">
        <v>14</v>
      </c>
      <c r="D3434" s="3">
        <v>6</v>
      </c>
      <c r="E3434" s="3">
        <v>2024</v>
      </c>
      <c r="F3434" s="3" t="str">
        <f>"Qtr"&amp; " " &amp;CHOOSE(MONTH(Table1[[#This Row],[Date]]),1,1,1,2,2,2,3,3,3,4,4,4)</f>
        <v>Qtr 2</v>
      </c>
      <c r="G3434" s="3" t="str">
        <f>TEXT(Table1[[#This Row],[Date]],"mmmm")</f>
        <v>June</v>
      </c>
      <c r="H3434" s="3" t="s">
        <v>1085</v>
      </c>
      <c r="I3434" s="3" t="s">
        <v>39</v>
      </c>
      <c r="J3434" s="3">
        <v>4</v>
      </c>
      <c r="K3434" s="3">
        <v>37658.32</v>
      </c>
      <c r="L3434" s="3">
        <f>Table1[[#This Row],[Price Per Unit]]*Table1[[#This Row],[Units Sold]]</f>
        <v>150633.28</v>
      </c>
      <c r="M3434" s="3" t="s">
        <v>441</v>
      </c>
      <c r="N3434" s="3">
        <v>19</v>
      </c>
      <c r="O3434" s="3" t="s">
        <v>24</v>
      </c>
      <c r="P3434" s="3" t="s">
        <v>16</v>
      </c>
      <c r="Q3434" s="4">
        <v>5</v>
      </c>
      <c r="R3434" s="4" t="str">
        <f>IF(Table1[[#This Row],[Customer Ratings]]&gt;=4, "Good",IF(Table1[[#This Row],[Customer Ratings]]=3, "Average","Poor"))</f>
        <v>Good</v>
      </c>
      <c r="S3434" s="3" t="s">
        <v>90</v>
      </c>
    </row>
    <row r="3435" spans="1:19" x14ac:dyDescent="0.25">
      <c r="A3435" s="3">
        <v>3434</v>
      </c>
      <c r="B3435" s="5">
        <f>DATE(Table1[[#This Row],[Year]],Table1[[#This Row],[Month]],Table1[[#This Row],[Day]])</f>
        <v>45457</v>
      </c>
      <c r="C3435" s="3">
        <v>14</v>
      </c>
      <c r="D3435" s="3">
        <v>6</v>
      </c>
      <c r="E3435" s="3">
        <v>2024</v>
      </c>
      <c r="F3435" s="3" t="str">
        <f>"Qtr"&amp; " " &amp;CHOOSE(MONTH(Table1[[#This Row],[Date]]),1,1,1,2,2,2,3,3,3,4,4,4)</f>
        <v>Qtr 2</v>
      </c>
      <c r="G3435" s="3" t="str">
        <f>TEXT(Table1[[#This Row],[Date]],"mmmm")</f>
        <v>June</v>
      </c>
      <c r="H3435" s="3" t="s">
        <v>1085</v>
      </c>
      <c r="I3435" s="3" t="s">
        <v>13</v>
      </c>
      <c r="J3435" s="3">
        <v>2</v>
      </c>
      <c r="K3435" s="3">
        <v>11229.52</v>
      </c>
      <c r="L3435" s="3">
        <f>Table1[[#This Row],[Price Per Unit]]*Table1[[#This Row],[Units Sold]]</f>
        <v>22459.040000000001</v>
      </c>
      <c r="M3435" s="3" t="s">
        <v>452</v>
      </c>
      <c r="N3435" s="3">
        <v>28</v>
      </c>
      <c r="O3435" s="3" t="s">
        <v>105</v>
      </c>
      <c r="P3435" s="3" t="s">
        <v>45</v>
      </c>
      <c r="Q3435" s="4">
        <v>3</v>
      </c>
      <c r="R3435" s="4" t="str">
        <f>IF(Table1[[#This Row],[Customer Ratings]]&gt;=4, "Good",IF(Table1[[#This Row],[Customer Ratings]]=3, "Average","Poor"))</f>
        <v>Average</v>
      </c>
      <c r="S3435" s="3" t="s">
        <v>72</v>
      </c>
    </row>
    <row r="3436" spans="1:19" x14ac:dyDescent="0.25">
      <c r="A3436" s="3">
        <v>3435</v>
      </c>
      <c r="B3436" s="5">
        <f>DATE(Table1[[#This Row],[Year]],Table1[[#This Row],[Month]],Table1[[#This Row],[Day]])</f>
        <v>45458</v>
      </c>
      <c r="C3436" s="3">
        <v>15</v>
      </c>
      <c r="D3436" s="3">
        <v>6</v>
      </c>
      <c r="E3436" s="3">
        <v>2024</v>
      </c>
      <c r="F3436" s="3" t="str">
        <f>"Qtr"&amp; " " &amp;CHOOSE(MONTH(Table1[[#This Row],[Date]]),1,1,1,2,2,2,3,3,3,4,4,4)</f>
        <v>Qtr 2</v>
      </c>
      <c r="G3436" s="3" t="str">
        <f>TEXT(Table1[[#This Row],[Date]],"mmmm")</f>
        <v>June</v>
      </c>
      <c r="H3436" s="3" t="s">
        <v>1079</v>
      </c>
      <c r="I3436" s="3" t="s">
        <v>33</v>
      </c>
      <c r="J3436" s="3">
        <v>7</v>
      </c>
      <c r="K3436" s="3">
        <v>11008.44</v>
      </c>
      <c r="L3436" s="3">
        <f>Table1[[#This Row],[Price Per Unit]]*Table1[[#This Row],[Units Sold]]</f>
        <v>77059.08</v>
      </c>
      <c r="M3436" s="3" t="s">
        <v>1009</v>
      </c>
      <c r="N3436" s="3">
        <v>27</v>
      </c>
      <c r="O3436" s="3" t="s">
        <v>35</v>
      </c>
      <c r="P3436" s="3" t="s">
        <v>21</v>
      </c>
      <c r="Q3436" s="4">
        <v>5</v>
      </c>
      <c r="R3436" s="4" t="str">
        <f>IF(Table1[[#This Row],[Customer Ratings]]&gt;=4, "Good",IF(Table1[[#This Row],[Customer Ratings]]=3, "Average","Poor"))</f>
        <v>Good</v>
      </c>
      <c r="S3436" s="3" t="s">
        <v>83</v>
      </c>
    </row>
    <row r="3437" spans="1:19" x14ac:dyDescent="0.25">
      <c r="A3437" s="3">
        <v>3436</v>
      </c>
      <c r="B3437" s="5">
        <f>DATE(Table1[[#This Row],[Year]],Table1[[#This Row],[Month]],Table1[[#This Row],[Day]])</f>
        <v>45458</v>
      </c>
      <c r="C3437" s="3">
        <v>15</v>
      </c>
      <c r="D3437" s="3">
        <v>6</v>
      </c>
      <c r="E3437" s="3">
        <v>2024</v>
      </c>
      <c r="F3437" s="3" t="str">
        <f>"Qtr"&amp; " " &amp;CHOOSE(MONTH(Table1[[#This Row],[Date]]),1,1,1,2,2,2,3,3,3,4,4,4)</f>
        <v>Qtr 2</v>
      </c>
      <c r="G3437" s="3" t="str">
        <f>TEXT(Table1[[#This Row],[Date]],"mmmm")</f>
        <v>June</v>
      </c>
      <c r="H3437" s="3" t="s">
        <v>1079</v>
      </c>
      <c r="I3437" s="3" t="s">
        <v>39</v>
      </c>
      <c r="J3437" s="3">
        <v>6</v>
      </c>
      <c r="K3437" s="3">
        <v>41212.76</v>
      </c>
      <c r="L3437" s="3">
        <f>Table1[[#This Row],[Price Per Unit]]*Table1[[#This Row],[Units Sold]]</f>
        <v>247276.56</v>
      </c>
      <c r="M3437" s="3" t="s">
        <v>530</v>
      </c>
      <c r="N3437" s="3">
        <v>56</v>
      </c>
      <c r="O3437" s="3" t="s">
        <v>81</v>
      </c>
      <c r="P3437" s="3" t="s">
        <v>16</v>
      </c>
      <c r="Q3437" s="4">
        <v>5</v>
      </c>
      <c r="R3437" s="4" t="str">
        <f>IF(Table1[[#This Row],[Customer Ratings]]&gt;=4, "Good",IF(Table1[[#This Row],[Customer Ratings]]=3, "Average","Poor"))</f>
        <v>Good</v>
      </c>
      <c r="S3437" s="3" t="s">
        <v>90</v>
      </c>
    </row>
    <row r="3438" spans="1:19" x14ac:dyDescent="0.25">
      <c r="A3438" s="3">
        <v>3437</v>
      </c>
      <c r="B3438" s="5">
        <f>DATE(Table1[[#This Row],[Year]],Table1[[#This Row],[Month]],Table1[[#This Row],[Day]])</f>
        <v>45458</v>
      </c>
      <c r="C3438" s="3">
        <v>15</v>
      </c>
      <c r="D3438" s="3">
        <v>6</v>
      </c>
      <c r="E3438" s="3">
        <v>2024</v>
      </c>
      <c r="F3438" s="3" t="str">
        <f>"Qtr"&amp; " " &amp;CHOOSE(MONTH(Table1[[#This Row],[Date]]),1,1,1,2,2,2,3,3,3,4,4,4)</f>
        <v>Qtr 2</v>
      </c>
      <c r="G3438" s="3" t="str">
        <f>TEXT(Table1[[#This Row],[Date]],"mmmm")</f>
        <v>June</v>
      </c>
      <c r="H3438" s="3" t="s">
        <v>1079</v>
      </c>
      <c r="I3438" s="3" t="s">
        <v>39</v>
      </c>
      <c r="J3438" s="3">
        <v>5</v>
      </c>
      <c r="K3438" s="3">
        <v>51762.080000000002</v>
      </c>
      <c r="L3438" s="3">
        <f>Table1[[#This Row],[Price Per Unit]]*Table1[[#This Row],[Units Sold]]</f>
        <v>258810.40000000002</v>
      </c>
      <c r="M3438" s="3" t="s">
        <v>500</v>
      </c>
      <c r="N3438" s="3">
        <v>50</v>
      </c>
      <c r="O3438" s="3" t="s">
        <v>24</v>
      </c>
      <c r="P3438" s="3" t="s">
        <v>21</v>
      </c>
      <c r="Q3438" s="4">
        <v>3</v>
      </c>
      <c r="R3438" s="4" t="str">
        <f>IF(Table1[[#This Row],[Customer Ratings]]&gt;=4, "Good",IF(Table1[[#This Row],[Customer Ratings]]=3, "Average","Poor"))</f>
        <v>Average</v>
      </c>
      <c r="S3438" s="3" t="s">
        <v>90</v>
      </c>
    </row>
    <row r="3439" spans="1:19" x14ac:dyDescent="0.25">
      <c r="A3439" s="3">
        <v>3438</v>
      </c>
      <c r="B3439" s="5">
        <f>DATE(Table1[[#This Row],[Year]],Table1[[#This Row],[Month]],Table1[[#This Row],[Day]])</f>
        <v>45458</v>
      </c>
      <c r="C3439" s="3">
        <v>15</v>
      </c>
      <c r="D3439" s="3">
        <v>6</v>
      </c>
      <c r="E3439" s="3">
        <v>2024</v>
      </c>
      <c r="F3439" s="3" t="str">
        <f>"Qtr"&amp; " " &amp;CHOOSE(MONTH(Table1[[#This Row],[Date]]),1,1,1,2,2,2,3,3,3,4,4,4)</f>
        <v>Qtr 2</v>
      </c>
      <c r="G3439" s="3" t="str">
        <f>TEXT(Table1[[#This Row],[Date]],"mmmm")</f>
        <v>June</v>
      </c>
      <c r="H3439" s="3" t="s">
        <v>1079</v>
      </c>
      <c r="I3439" s="3" t="s">
        <v>13</v>
      </c>
      <c r="J3439" s="3">
        <v>1</v>
      </c>
      <c r="K3439" s="3">
        <v>66528.55</v>
      </c>
      <c r="L3439" s="3">
        <f>Table1[[#This Row],[Price Per Unit]]*Table1[[#This Row],[Units Sold]]</f>
        <v>66528.55</v>
      </c>
      <c r="M3439" s="3" t="s">
        <v>154</v>
      </c>
      <c r="N3439" s="3">
        <v>24</v>
      </c>
      <c r="O3439" s="3" t="s">
        <v>41</v>
      </c>
      <c r="P3439" s="3" t="s">
        <v>16</v>
      </c>
      <c r="Q3439" s="4">
        <v>5</v>
      </c>
      <c r="R3439" s="4" t="str">
        <f>IF(Table1[[#This Row],[Customer Ratings]]&gt;=4, "Good",IF(Table1[[#This Row],[Customer Ratings]]=3, "Average","Poor"))</f>
        <v>Good</v>
      </c>
      <c r="S3439" s="3" t="s">
        <v>17</v>
      </c>
    </row>
    <row r="3440" spans="1:19" x14ac:dyDescent="0.25">
      <c r="A3440" s="3">
        <v>3439</v>
      </c>
      <c r="B3440" s="5">
        <f>DATE(Table1[[#This Row],[Year]],Table1[[#This Row],[Month]],Table1[[#This Row],[Day]])</f>
        <v>45459</v>
      </c>
      <c r="C3440" s="3">
        <v>16</v>
      </c>
      <c r="D3440" s="3">
        <v>6</v>
      </c>
      <c r="E3440" s="3">
        <v>2024</v>
      </c>
      <c r="F3440" s="3" t="str">
        <f>"Qtr"&amp; " " &amp;CHOOSE(MONTH(Table1[[#This Row],[Date]]),1,1,1,2,2,2,3,3,3,4,4,4)</f>
        <v>Qtr 2</v>
      </c>
      <c r="G3440" s="3" t="str">
        <f>TEXT(Table1[[#This Row],[Date]],"mmmm")</f>
        <v>June</v>
      </c>
      <c r="H3440" s="3" t="s">
        <v>1080</v>
      </c>
      <c r="I3440" s="3" t="s">
        <v>33</v>
      </c>
      <c r="J3440" s="3">
        <v>2</v>
      </c>
      <c r="K3440" s="3">
        <v>20747.16</v>
      </c>
      <c r="L3440" s="3">
        <f>Table1[[#This Row],[Price Per Unit]]*Table1[[#This Row],[Units Sold]]</f>
        <v>41494.32</v>
      </c>
      <c r="M3440" s="3" t="s">
        <v>554</v>
      </c>
      <c r="N3440" s="3">
        <v>32</v>
      </c>
      <c r="O3440" s="3" t="s">
        <v>20</v>
      </c>
      <c r="P3440" s="3" t="s">
        <v>16</v>
      </c>
      <c r="Q3440" s="4">
        <v>5</v>
      </c>
      <c r="R3440" s="4" t="str">
        <f>IF(Table1[[#This Row],[Customer Ratings]]&gt;=4, "Good",IF(Table1[[#This Row],[Customer Ratings]]=3, "Average","Poor"))</f>
        <v>Good</v>
      </c>
      <c r="S3440" s="3" t="s">
        <v>46</v>
      </c>
    </row>
    <row r="3441" spans="1:19" x14ac:dyDescent="0.25">
      <c r="A3441" s="3">
        <v>3440</v>
      </c>
      <c r="B3441" s="5">
        <f>DATE(Table1[[#This Row],[Year]],Table1[[#This Row],[Month]],Table1[[#This Row],[Day]])</f>
        <v>45459</v>
      </c>
      <c r="C3441" s="3">
        <v>16</v>
      </c>
      <c r="D3441" s="3">
        <v>6</v>
      </c>
      <c r="E3441" s="3">
        <v>2024</v>
      </c>
      <c r="F3441" s="3" t="str">
        <f>"Qtr"&amp; " " &amp;CHOOSE(MONTH(Table1[[#This Row],[Date]]),1,1,1,2,2,2,3,3,3,4,4,4)</f>
        <v>Qtr 2</v>
      </c>
      <c r="G3441" s="3" t="str">
        <f>TEXT(Table1[[#This Row],[Date]],"mmmm")</f>
        <v>June</v>
      </c>
      <c r="H3441" s="3" t="s">
        <v>1080</v>
      </c>
      <c r="I3441" s="3" t="s">
        <v>18</v>
      </c>
      <c r="J3441" s="3">
        <v>8</v>
      </c>
      <c r="K3441" s="3">
        <v>16195.53</v>
      </c>
      <c r="L3441" s="3">
        <f>Table1[[#This Row],[Price Per Unit]]*Table1[[#This Row],[Units Sold]]</f>
        <v>129564.24</v>
      </c>
      <c r="M3441" s="3" t="s">
        <v>165</v>
      </c>
      <c r="N3441" s="3">
        <v>43</v>
      </c>
      <c r="O3441" s="3" t="s">
        <v>98</v>
      </c>
      <c r="P3441" s="3" t="s">
        <v>21</v>
      </c>
      <c r="Q3441" s="4">
        <v>4</v>
      </c>
      <c r="R3441" s="4" t="str">
        <f>IF(Table1[[#This Row],[Customer Ratings]]&gt;=4, "Good",IF(Table1[[#This Row],[Customer Ratings]]=3, "Average","Poor"))</f>
        <v>Good</v>
      </c>
      <c r="S3441" s="3" t="s">
        <v>55</v>
      </c>
    </row>
    <row r="3442" spans="1:19" x14ac:dyDescent="0.25">
      <c r="A3442" s="3">
        <v>3441</v>
      </c>
      <c r="B3442" s="5">
        <f>DATE(Table1[[#This Row],[Year]],Table1[[#This Row],[Month]],Table1[[#This Row],[Day]])</f>
        <v>45459</v>
      </c>
      <c r="C3442" s="3">
        <v>16</v>
      </c>
      <c r="D3442" s="3">
        <v>6</v>
      </c>
      <c r="E3442" s="3">
        <v>2024</v>
      </c>
      <c r="F3442" s="3" t="str">
        <f>"Qtr"&amp; " " &amp;CHOOSE(MONTH(Table1[[#This Row],[Date]]),1,1,1,2,2,2,3,3,3,4,4,4)</f>
        <v>Qtr 2</v>
      </c>
      <c r="G3442" s="3" t="str">
        <f>TEXT(Table1[[#This Row],[Date]],"mmmm")</f>
        <v>June</v>
      </c>
      <c r="H3442" s="3" t="s">
        <v>1080</v>
      </c>
      <c r="I3442" s="3" t="s">
        <v>13</v>
      </c>
      <c r="J3442" s="3">
        <v>1</v>
      </c>
      <c r="K3442" s="3">
        <v>13125.27</v>
      </c>
      <c r="L3442" s="3">
        <f>Table1[[#This Row],[Price Per Unit]]*Table1[[#This Row],[Units Sold]]</f>
        <v>13125.27</v>
      </c>
      <c r="M3442" s="3" t="s">
        <v>742</v>
      </c>
      <c r="N3442" s="3">
        <v>28</v>
      </c>
      <c r="O3442" s="3" t="s">
        <v>54</v>
      </c>
      <c r="P3442" s="3" t="s">
        <v>21</v>
      </c>
      <c r="Q3442" s="4">
        <v>4</v>
      </c>
      <c r="R3442" s="4" t="str">
        <f>IF(Table1[[#This Row],[Customer Ratings]]&gt;=4, "Good",IF(Table1[[#This Row],[Customer Ratings]]=3, "Average","Poor"))</f>
        <v>Good</v>
      </c>
      <c r="S3442" s="3" t="s">
        <v>72</v>
      </c>
    </row>
    <row r="3443" spans="1:19" x14ac:dyDescent="0.25">
      <c r="A3443" s="3">
        <v>3442</v>
      </c>
      <c r="B3443" s="5">
        <f>DATE(Table1[[#This Row],[Year]],Table1[[#This Row],[Month]],Table1[[#This Row],[Day]])</f>
        <v>45459</v>
      </c>
      <c r="C3443" s="3">
        <v>16</v>
      </c>
      <c r="D3443" s="3">
        <v>6</v>
      </c>
      <c r="E3443" s="3">
        <v>2024</v>
      </c>
      <c r="F3443" s="3" t="str">
        <f>"Qtr"&amp; " " &amp;CHOOSE(MONTH(Table1[[#This Row],[Date]]),1,1,1,2,2,2,3,3,3,4,4,4)</f>
        <v>Qtr 2</v>
      </c>
      <c r="G3443" s="3" t="str">
        <f>TEXT(Table1[[#This Row],[Date]],"mmmm")</f>
        <v>June</v>
      </c>
      <c r="H3443" s="3" t="s">
        <v>1080</v>
      </c>
      <c r="I3443" s="3" t="s">
        <v>33</v>
      </c>
      <c r="J3443" s="3">
        <v>3</v>
      </c>
      <c r="K3443" s="3">
        <v>36162.49</v>
      </c>
      <c r="L3443" s="3">
        <f>Table1[[#This Row],[Price Per Unit]]*Table1[[#This Row],[Units Sold]]</f>
        <v>108487.47</v>
      </c>
      <c r="M3443" s="3" t="s">
        <v>805</v>
      </c>
      <c r="N3443" s="3">
        <v>55</v>
      </c>
      <c r="O3443" s="3" t="s">
        <v>137</v>
      </c>
      <c r="P3443" s="3" t="s">
        <v>45</v>
      </c>
      <c r="Q3443" s="4">
        <v>4</v>
      </c>
      <c r="R3443" s="4" t="str">
        <f>IF(Table1[[#This Row],[Customer Ratings]]&gt;=4, "Good",IF(Table1[[#This Row],[Customer Ratings]]=3, "Average","Poor"))</f>
        <v>Good</v>
      </c>
      <c r="S3443" s="3" t="s">
        <v>46</v>
      </c>
    </row>
    <row r="3444" spans="1:19" x14ac:dyDescent="0.25">
      <c r="A3444" s="3">
        <v>3443</v>
      </c>
      <c r="B3444" s="5">
        <f>DATE(Table1[[#This Row],[Year]],Table1[[#This Row],[Month]],Table1[[#This Row],[Day]])</f>
        <v>45460</v>
      </c>
      <c r="C3444" s="3">
        <v>17</v>
      </c>
      <c r="D3444" s="3">
        <v>6</v>
      </c>
      <c r="E3444" s="3">
        <v>2024</v>
      </c>
      <c r="F3444" s="3" t="str">
        <f>"Qtr"&amp; " " &amp;CHOOSE(MONTH(Table1[[#This Row],[Date]]),1,1,1,2,2,2,3,3,3,4,4,4)</f>
        <v>Qtr 2</v>
      </c>
      <c r="G3444" s="3" t="str">
        <f>TEXT(Table1[[#This Row],[Date]],"mmmm")</f>
        <v>June</v>
      </c>
      <c r="H3444" s="3" t="s">
        <v>1081</v>
      </c>
      <c r="I3444" s="3" t="s">
        <v>39</v>
      </c>
      <c r="J3444" s="3">
        <v>2</v>
      </c>
      <c r="K3444" s="3">
        <v>47388.84</v>
      </c>
      <c r="L3444" s="3">
        <f>Table1[[#This Row],[Price Per Unit]]*Table1[[#This Row],[Units Sold]]</f>
        <v>94777.68</v>
      </c>
      <c r="M3444" s="3" t="s">
        <v>115</v>
      </c>
      <c r="N3444" s="3">
        <v>44</v>
      </c>
      <c r="O3444" s="3" t="s">
        <v>81</v>
      </c>
      <c r="P3444" s="3" t="s">
        <v>16</v>
      </c>
      <c r="Q3444" s="4">
        <v>5</v>
      </c>
      <c r="R3444" s="4" t="str">
        <f>IF(Table1[[#This Row],[Customer Ratings]]&gt;=4, "Good",IF(Table1[[#This Row],[Customer Ratings]]=3, "Average","Poor"))</f>
        <v>Good</v>
      </c>
      <c r="S3444" s="3" t="s">
        <v>76</v>
      </c>
    </row>
    <row r="3445" spans="1:19" x14ac:dyDescent="0.25">
      <c r="A3445" s="3">
        <v>3444</v>
      </c>
      <c r="B3445" s="5">
        <f>DATE(Table1[[#This Row],[Year]],Table1[[#This Row],[Month]],Table1[[#This Row],[Day]])</f>
        <v>45460</v>
      </c>
      <c r="C3445" s="3">
        <v>17</v>
      </c>
      <c r="D3445" s="3">
        <v>6</v>
      </c>
      <c r="E3445" s="3">
        <v>2024</v>
      </c>
      <c r="F3445" s="3" t="str">
        <f>"Qtr"&amp; " " &amp;CHOOSE(MONTH(Table1[[#This Row],[Date]]),1,1,1,2,2,2,3,3,3,4,4,4)</f>
        <v>Qtr 2</v>
      </c>
      <c r="G3445" s="3" t="str">
        <f>TEXT(Table1[[#This Row],[Date]],"mmmm")</f>
        <v>June</v>
      </c>
      <c r="H3445" s="3" t="s">
        <v>1081</v>
      </c>
      <c r="I3445" s="3" t="s">
        <v>33</v>
      </c>
      <c r="J3445" s="3">
        <v>5</v>
      </c>
      <c r="K3445" s="3">
        <v>60433.2</v>
      </c>
      <c r="L3445" s="3">
        <f>Table1[[#This Row],[Price Per Unit]]*Table1[[#This Row],[Units Sold]]</f>
        <v>302166</v>
      </c>
      <c r="M3445" s="3" t="s">
        <v>204</v>
      </c>
      <c r="N3445" s="3">
        <v>56</v>
      </c>
      <c r="O3445" s="3" t="s">
        <v>54</v>
      </c>
      <c r="P3445" s="3" t="s">
        <v>16</v>
      </c>
      <c r="Q3445" s="4">
        <v>5</v>
      </c>
      <c r="R3445" s="4" t="str">
        <f>IF(Table1[[#This Row],[Customer Ratings]]&gt;=4, "Good",IF(Table1[[#This Row],[Customer Ratings]]=3, "Average","Poor"))</f>
        <v>Good</v>
      </c>
      <c r="S3445" s="3" t="s">
        <v>36</v>
      </c>
    </row>
    <row r="3446" spans="1:19" x14ac:dyDescent="0.25">
      <c r="A3446" s="3">
        <v>3445</v>
      </c>
      <c r="B3446" s="5">
        <f>DATE(Table1[[#This Row],[Year]],Table1[[#This Row],[Month]],Table1[[#This Row],[Day]])</f>
        <v>45460</v>
      </c>
      <c r="C3446" s="3">
        <v>17</v>
      </c>
      <c r="D3446" s="3">
        <v>6</v>
      </c>
      <c r="E3446" s="3">
        <v>2024</v>
      </c>
      <c r="F3446" s="3" t="str">
        <f>"Qtr"&amp; " " &amp;CHOOSE(MONTH(Table1[[#This Row],[Date]]),1,1,1,2,2,2,3,3,3,4,4,4)</f>
        <v>Qtr 2</v>
      </c>
      <c r="G3446" s="3" t="str">
        <f>TEXT(Table1[[#This Row],[Date]],"mmmm")</f>
        <v>June</v>
      </c>
      <c r="H3446" s="3" t="s">
        <v>1081</v>
      </c>
      <c r="I3446" s="3" t="s">
        <v>33</v>
      </c>
      <c r="J3446" s="3">
        <v>4</v>
      </c>
      <c r="K3446" s="3">
        <v>50958.69</v>
      </c>
      <c r="L3446" s="3">
        <f>Table1[[#This Row],[Price Per Unit]]*Table1[[#This Row],[Units Sold]]</f>
        <v>203834.76</v>
      </c>
      <c r="M3446" s="3" t="s">
        <v>434</v>
      </c>
      <c r="N3446" s="3">
        <v>24</v>
      </c>
      <c r="O3446" s="3" t="s">
        <v>30</v>
      </c>
      <c r="P3446" s="3" t="s">
        <v>16</v>
      </c>
      <c r="Q3446" s="4">
        <v>2</v>
      </c>
      <c r="R3446" s="4" t="str">
        <f>IF(Table1[[#This Row],[Customer Ratings]]&gt;=4, "Good",IF(Table1[[#This Row],[Customer Ratings]]=3, "Average","Poor"))</f>
        <v>Poor</v>
      </c>
      <c r="S3446" s="3" t="s">
        <v>83</v>
      </c>
    </row>
    <row r="3447" spans="1:19" x14ac:dyDescent="0.25">
      <c r="A3447" s="3">
        <v>3446</v>
      </c>
      <c r="B3447" s="5">
        <f>DATE(Table1[[#This Row],[Year]],Table1[[#This Row],[Month]],Table1[[#This Row],[Day]])</f>
        <v>45460</v>
      </c>
      <c r="C3447" s="3">
        <v>17</v>
      </c>
      <c r="D3447" s="3">
        <v>6</v>
      </c>
      <c r="E3447" s="3">
        <v>2024</v>
      </c>
      <c r="F3447" s="3" t="str">
        <f>"Qtr"&amp; " " &amp;CHOOSE(MONTH(Table1[[#This Row],[Date]]),1,1,1,2,2,2,3,3,3,4,4,4)</f>
        <v>Qtr 2</v>
      </c>
      <c r="G3447" s="3" t="str">
        <f>TEXT(Table1[[#This Row],[Date]],"mmmm")</f>
        <v>June</v>
      </c>
      <c r="H3447" s="3" t="s">
        <v>1081</v>
      </c>
      <c r="I3447" s="3" t="s">
        <v>33</v>
      </c>
      <c r="J3447" s="3">
        <v>7</v>
      </c>
      <c r="K3447" s="3">
        <v>22501.65</v>
      </c>
      <c r="L3447" s="3">
        <f>Table1[[#This Row],[Price Per Unit]]*Table1[[#This Row],[Units Sold]]</f>
        <v>157511.55000000002</v>
      </c>
      <c r="M3447" s="3" t="s">
        <v>474</v>
      </c>
      <c r="N3447" s="3">
        <v>18</v>
      </c>
      <c r="O3447" s="3" t="s">
        <v>48</v>
      </c>
      <c r="P3447" s="3" t="s">
        <v>45</v>
      </c>
      <c r="Q3447" s="4">
        <v>2</v>
      </c>
      <c r="R3447" s="4" t="str">
        <f>IF(Table1[[#This Row],[Customer Ratings]]&gt;=4, "Good",IF(Table1[[#This Row],[Customer Ratings]]=3, "Average","Poor"))</f>
        <v>Poor</v>
      </c>
      <c r="S3447" s="3" t="s">
        <v>36</v>
      </c>
    </row>
    <row r="3448" spans="1:19" x14ac:dyDescent="0.25">
      <c r="A3448" s="3">
        <v>3447</v>
      </c>
      <c r="B3448" s="5">
        <f>DATE(Table1[[#This Row],[Year]],Table1[[#This Row],[Month]],Table1[[#This Row],[Day]])</f>
        <v>45461</v>
      </c>
      <c r="C3448" s="3">
        <v>18</v>
      </c>
      <c r="D3448" s="3">
        <v>6</v>
      </c>
      <c r="E3448" s="3">
        <v>2024</v>
      </c>
      <c r="F3448" s="3" t="str">
        <f>"Qtr"&amp; " " &amp;CHOOSE(MONTH(Table1[[#This Row],[Date]]),1,1,1,2,2,2,3,3,3,4,4,4)</f>
        <v>Qtr 2</v>
      </c>
      <c r="G3448" s="3" t="str">
        <f>TEXT(Table1[[#This Row],[Date]],"mmmm")</f>
        <v>June</v>
      </c>
      <c r="H3448" s="3" t="s">
        <v>1082</v>
      </c>
      <c r="I3448" s="3" t="s">
        <v>18</v>
      </c>
      <c r="J3448" s="3">
        <v>5</v>
      </c>
      <c r="K3448" s="3">
        <v>37706.22</v>
      </c>
      <c r="L3448" s="3">
        <f>Table1[[#This Row],[Price Per Unit]]*Table1[[#This Row],[Units Sold]]</f>
        <v>188531.1</v>
      </c>
      <c r="M3448" s="3" t="s">
        <v>224</v>
      </c>
      <c r="N3448" s="3">
        <v>27</v>
      </c>
      <c r="O3448" s="3" t="s">
        <v>48</v>
      </c>
      <c r="P3448" s="3" t="s">
        <v>21</v>
      </c>
      <c r="Q3448" s="4">
        <v>4</v>
      </c>
      <c r="R3448" s="4" t="str">
        <f>IF(Table1[[#This Row],[Customer Ratings]]&gt;=4, "Good",IF(Table1[[#This Row],[Customer Ratings]]=3, "Average","Poor"))</f>
        <v>Good</v>
      </c>
      <c r="S3448" s="3" t="s">
        <v>55</v>
      </c>
    </row>
    <row r="3449" spans="1:19" x14ac:dyDescent="0.25">
      <c r="A3449" s="3">
        <v>3448</v>
      </c>
      <c r="B3449" s="5">
        <f>DATE(Table1[[#This Row],[Year]],Table1[[#This Row],[Month]],Table1[[#This Row],[Day]])</f>
        <v>45461</v>
      </c>
      <c r="C3449" s="3">
        <v>18</v>
      </c>
      <c r="D3449" s="3">
        <v>6</v>
      </c>
      <c r="E3449" s="3">
        <v>2024</v>
      </c>
      <c r="F3449" s="3" t="str">
        <f>"Qtr"&amp; " " &amp;CHOOSE(MONTH(Table1[[#This Row],[Date]]),1,1,1,2,2,2,3,3,3,4,4,4)</f>
        <v>Qtr 2</v>
      </c>
      <c r="G3449" s="3" t="str">
        <f>TEXT(Table1[[#This Row],[Date]],"mmmm")</f>
        <v>June</v>
      </c>
      <c r="H3449" s="3" t="s">
        <v>1082</v>
      </c>
      <c r="I3449" s="3" t="s">
        <v>33</v>
      </c>
      <c r="J3449" s="3">
        <v>8</v>
      </c>
      <c r="K3449" s="3">
        <v>64620.78</v>
      </c>
      <c r="L3449" s="3">
        <f>Table1[[#This Row],[Price Per Unit]]*Table1[[#This Row],[Units Sold]]</f>
        <v>516966.24</v>
      </c>
      <c r="M3449" s="3" t="s">
        <v>260</v>
      </c>
      <c r="N3449" s="3">
        <v>38</v>
      </c>
      <c r="O3449" s="3" t="s">
        <v>24</v>
      </c>
      <c r="P3449" s="3" t="s">
        <v>16</v>
      </c>
      <c r="Q3449" s="4">
        <v>5</v>
      </c>
      <c r="R3449" s="4" t="str">
        <f>IF(Table1[[#This Row],[Customer Ratings]]&gt;=4, "Good",IF(Table1[[#This Row],[Customer Ratings]]=3, "Average","Poor"))</f>
        <v>Good</v>
      </c>
      <c r="S3449" s="3" t="s">
        <v>46</v>
      </c>
    </row>
    <row r="3450" spans="1:19" x14ac:dyDescent="0.25">
      <c r="A3450" s="3">
        <v>3449</v>
      </c>
      <c r="B3450" s="5">
        <f>DATE(Table1[[#This Row],[Year]],Table1[[#This Row],[Month]],Table1[[#This Row],[Day]])</f>
        <v>45461</v>
      </c>
      <c r="C3450" s="3">
        <v>18</v>
      </c>
      <c r="D3450" s="3">
        <v>6</v>
      </c>
      <c r="E3450" s="3">
        <v>2024</v>
      </c>
      <c r="F3450" s="3" t="str">
        <f>"Qtr"&amp; " " &amp;CHOOSE(MONTH(Table1[[#This Row],[Date]]),1,1,1,2,2,2,3,3,3,4,4,4)</f>
        <v>Qtr 2</v>
      </c>
      <c r="G3450" s="3" t="str">
        <f>TEXT(Table1[[#This Row],[Date]],"mmmm")</f>
        <v>June</v>
      </c>
      <c r="H3450" s="3" t="s">
        <v>1082</v>
      </c>
      <c r="I3450" s="3" t="s">
        <v>18</v>
      </c>
      <c r="J3450" s="3">
        <v>4</v>
      </c>
      <c r="K3450" s="3">
        <v>29604.46</v>
      </c>
      <c r="L3450" s="3">
        <f>Table1[[#This Row],[Price Per Unit]]*Table1[[#This Row],[Units Sold]]</f>
        <v>118417.84</v>
      </c>
      <c r="M3450" s="3" t="s">
        <v>766</v>
      </c>
      <c r="N3450" s="3">
        <v>32</v>
      </c>
      <c r="O3450" s="3" t="s">
        <v>30</v>
      </c>
      <c r="P3450" s="3" t="s">
        <v>21</v>
      </c>
      <c r="Q3450" s="4">
        <v>2</v>
      </c>
      <c r="R3450" s="4" t="str">
        <f>IF(Table1[[#This Row],[Customer Ratings]]&gt;=4, "Good",IF(Table1[[#This Row],[Customer Ratings]]=3, "Average","Poor"))</f>
        <v>Poor</v>
      </c>
      <c r="S3450" s="3" t="s">
        <v>22</v>
      </c>
    </row>
    <row r="3451" spans="1:19" x14ac:dyDescent="0.25">
      <c r="A3451" s="3">
        <v>3450</v>
      </c>
      <c r="B3451" s="5">
        <f>DATE(Table1[[#This Row],[Year]],Table1[[#This Row],[Month]],Table1[[#This Row],[Day]])</f>
        <v>45462</v>
      </c>
      <c r="C3451" s="3">
        <v>19</v>
      </c>
      <c r="D3451" s="3">
        <v>6</v>
      </c>
      <c r="E3451" s="3">
        <v>2024</v>
      </c>
      <c r="F3451" s="3" t="str">
        <f>"Qtr"&amp; " " &amp;CHOOSE(MONTH(Table1[[#This Row],[Date]]),1,1,1,2,2,2,3,3,3,4,4,4)</f>
        <v>Qtr 2</v>
      </c>
      <c r="G3451" s="3" t="str">
        <f>TEXT(Table1[[#This Row],[Date]],"mmmm")</f>
        <v>June</v>
      </c>
      <c r="H3451" s="3" t="s">
        <v>1083</v>
      </c>
      <c r="I3451" s="3" t="s">
        <v>39</v>
      </c>
      <c r="J3451" s="3">
        <v>6</v>
      </c>
      <c r="K3451" s="3">
        <v>39923.82</v>
      </c>
      <c r="L3451" s="3">
        <f>Table1[[#This Row],[Price Per Unit]]*Table1[[#This Row],[Units Sold]]</f>
        <v>239542.91999999998</v>
      </c>
      <c r="M3451" s="3" t="s">
        <v>368</v>
      </c>
      <c r="N3451" s="3">
        <v>47</v>
      </c>
      <c r="O3451" s="3" t="s">
        <v>20</v>
      </c>
      <c r="P3451" s="3" t="s">
        <v>45</v>
      </c>
      <c r="Q3451" s="4">
        <v>5</v>
      </c>
      <c r="R3451" s="4" t="str">
        <f>IF(Table1[[#This Row],[Customer Ratings]]&gt;=4, "Good",IF(Table1[[#This Row],[Customer Ratings]]=3, "Average","Poor"))</f>
        <v>Good</v>
      </c>
      <c r="S3451" s="3" t="s">
        <v>90</v>
      </c>
    </row>
    <row r="3452" spans="1:19" x14ac:dyDescent="0.25">
      <c r="A3452" s="3">
        <v>3451</v>
      </c>
      <c r="B3452" s="5">
        <f>DATE(Table1[[#This Row],[Year]],Table1[[#This Row],[Month]],Table1[[#This Row],[Day]])</f>
        <v>45462</v>
      </c>
      <c r="C3452" s="3">
        <v>19</v>
      </c>
      <c r="D3452" s="3">
        <v>6</v>
      </c>
      <c r="E3452" s="3">
        <v>2024</v>
      </c>
      <c r="F3452" s="3" t="str">
        <f>"Qtr"&amp; " " &amp;CHOOSE(MONTH(Table1[[#This Row],[Date]]),1,1,1,2,2,2,3,3,3,4,4,4)</f>
        <v>Qtr 2</v>
      </c>
      <c r="G3452" s="3" t="str">
        <f>TEXT(Table1[[#This Row],[Date]],"mmmm")</f>
        <v>June</v>
      </c>
      <c r="H3452" s="3" t="s">
        <v>1083</v>
      </c>
      <c r="I3452" s="3" t="s">
        <v>18</v>
      </c>
      <c r="J3452" s="3">
        <v>4</v>
      </c>
      <c r="K3452" s="3">
        <v>67513.919999999998</v>
      </c>
      <c r="L3452" s="3">
        <f>Table1[[#This Row],[Price Per Unit]]*Table1[[#This Row],[Units Sold]]</f>
        <v>270055.67999999999</v>
      </c>
      <c r="M3452" s="3" t="s">
        <v>197</v>
      </c>
      <c r="N3452" s="3">
        <v>47</v>
      </c>
      <c r="O3452" s="3" t="s">
        <v>20</v>
      </c>
      <c r="P3452" s="3" t="s">
        <v>31</v>
      </c>
      <c r="Q3452" s="4">
        <v>5</v>
      </c>
      <c r="R3452" s="4" t="str">
        <f>IF(Table1[[#This Row],[Customer Ratings]]&gt;=4, "Good",IF(Table1[[#This Row],[Customer Ratings]]=3, "Average","Poor"))</f>
        <v>Good</v>
      </c>
      <c r="S3452" s="3" t="s">
        <v>22</v>
      </c>
    </row>
    <row r="3453" spans="1:19" x14ac:dyDescent="0.25">
      <c r="A3453" s="3">
        <v>3452</v>
      </c>
      <c r="B3453" s="5">
        <f>DATE(Table1[[#This Row],[Year]],Table1[[#This Row],[Month]],Table1[[#This Row],[Day]])</f>
        <v>45462</v>
      </c>
      <c r="C3453" s="3">
        <v>19</v>
      </c>
      <c r="D3453" s="3">
        <v>6</v>
      </c>
      <c r="E3453" s="3">
        <v>2024</v>
      </c>
      <c r="F3453" s="3" t="str">
        <f>"Qtr"&amp; " " &amp;CHOOSE(MONTH(Table1[[#This Row],[Date]]),1,1,1,2,2,2,3,3,3,4,4,4)</f>
        <v>Qtr 2</v>
      </c>
      <c r="G3453" s="3" t="str">
        <f>TEXT(Table1[[#This Row],[Date]],"mmmm")</f>
        <v>June</v>
      </c>
      <c r="H3453" s="3" t="s">
        <v>1083</v>
      </c>
      <c r="I3453" s="3" t="s">
        <v>39</v>
      </c>
      <c r="J3453" s="3">
        <v>2</v>
      </c>
      <c r="K3453" s="3">
        <v>54082.48</v>
      </c>
      <c r="L3453" s="3">
        <f>Table1[[#This Row],[Price Per Unit]]*Table1[[#This Row],[Units Sold]]</f>
        <v>108164.96</v>
      </c>
      <c r="M3453" s="3" t="s">
        <v>805</v>
      </c>
      <c r="N3453" s="3">
        <v>25</v>
      </c>
      <c r="O3453" s="3" t="s">
        <v>20</v>
      </c>
      <c r="P3453" s="3" t="s">
        <v>21</v>
      </c>
      <c r="Q3453" s="4">
        <v>4</v>
      </c>
      <c r="R3453" s="4" t="str">
        <f>IF(Table1[[#This Row],[Customer Ratings]]&gt;=4, "Good",IF(Table1[[#This Row],[Customer Ratings]]=3, "Average","Poor"))</f>
        <v>Good</v>
      </c>
      <c r="S3453" s="3" t="s">
        <v>76</v>
      </c>
    </row>
    <row r="3454" spans="1:19" x14ac:dyDescent="0.25">
      <c r="A3454" s="3">
        <v>3453</v>
      </c>
      <c r="B3454" s="5">
        <f>DATE(Table1[[#This Row],[Year]],Table1[[#This Row],[Month]],Table1[[#This Row],[Day]])</f>
        <v>45462</v>
      </c>
      <c r="C3454" s="3">
        <v>19</v>
      </c>
      <c r="D3454" s="3">
        <v>6</v>
      </c>
      <c r="E3454" s="3">
        <v>2024</v>
      </c>
      <c r="F3454" s="3" t="str">
        <f>"Qtr"&amp; " " &amp;CHOOSE(MONTH(Table1[[#This Row],[Date]]),1,1,1,2,2,2,3,3,3,4,4,4)</f>
        <v>Qtr 2</v>
      </c>
      <c r="G3454" s="3" t="str">
        <f>TEXT(Table1[[#This Row],[Date]],"mmmm")</f>
        <v>June</v>
      </c>
      <c r="H3454" s="3" t="s">
        <v>1083</v>
      </c>
      <c r="I3454" s="3" t="s">
        <v>39</v>
      </c>
      <c r="J3454" s="3">
        <v>1</v>
      </c>
      <c r="K3454" s="3">
        <v>54864.42</v>
      </c>
      <c r="L3454" s="3">
        <f>Table1[[#This Row],[Price Per Unit]]*Table1[[#This Row],[Units Sold]]</f>
        <v>54864.42</v>
      </c>
      <c r="M3454" s="3" t="s">
        <v>732</v>
      </c>
      <c r="N3454" s="3">
        <v>41</v>
      </c>
      <c r="O3454" s="3" t="s">
        <v>15</v>
      </c>
      <c r="P3454" s="3" t="s">
        <v>45</v>
      </c>
      <c r="Q3454" s="4">
        <v>3</v>
      </c>
      <c r="R3454" s="4" t="str">
        <f>IF(Table1[[#This Row],[Customer Ratings]]&gt;=4, "Good",IF(Table1[[#This Row],[Customer Ratings]]=3, "Average","Poor"))</f>
        <v>Average</v>
      </c>
      <c r="S3454" s="3" t="s">
        <v>42</v>
      </c>
    </row>
    <row r="3455" spans="1:19" x14ac:dyDescent="0.25">
      <c r="A3455" s="3">
        <v>3454</v>
      </c>
      <c r="B3455" s="5">
        <f>DATE(Table1[[#This Row],[Year]],Table1[[#This Row],[Month]],Table1[[#This Row],[Day]])</f>
        <v>45463</v>
      </c>
      <c r="C3455" s="3">
        <v>20</v>
      </c>
      <c r="D3455" s="3">
        <v>6</v>
      </c>
      <c r="E3455" s="3">
        <v>2024</v>
      </c>
      <c r="F3455" s="3" t="str">
        <f>"Qtr"&amp; " " &amp;CHOOSE(MONTH(Table1[[#This Row],[Date]]),1,1,1,2,2,2,3,3,3,4,4,4)</f>
        <v>Qtr 2</v>
      </c>
      <c r="G3455" s="3" t="str">
        <f>TEXT(Table1[[#This Row],[Date]],"mmmm")</f>
        <v>June</v>
      </c>
      <c r="H3455" s="3" t="s">
        <v>1084</v>
      </c>
      <c r="I3455" s="3" t="s">
        <v>18</v>
      </c>
      <c r="J3455" s="3">
        <v>1</v>
      </c>
      <c r="K3455" s="3">
        <v>25140.04</v>
      </c>
      <c r="L3455" s="3">
        <f>Table1[[#This Row],[Price Per Unit]]*Table1[[#This Row],[Units Sold]]</f>
        <v>25140.04</v>
      </c>
      <c r="M3455" s="3" t="s">
        <v>358</v>
      </c>
      <c r="N3455" s="3">
        <v>36</v>
      </c>
      <c r="O3455" s="3" t="s">
        <v>98</v>
      </c>
      <c r="P3455" s="3" t="s">
        <v>31</v>
      </c>
      <c r="Q3455" s="4">
        <v>4</v>
      </c>
      <c r="R3455" s="4" t="str">
        <f>IF(Table1[[#This Row],[Customer Ratings]]&gt;=4, "Good",IF(Table1[[#This Row],[Customer Ratings]]=3, "Average","Poor"))</f>
        <v>Good</v>
      </c>
      <c r="S3455" s="3" t="s">
        <v>25</v>
      </c>
    </row>
    <row r="3456" spans="1:19" x14ac:dyDescent="0.25">
      <c r="A3456" s="3">
        <v>3455</v>
      </c>
      <c r="B3456" s="5">
        <f>DATE(Table1[[#This Row],[Year]],Table1[[#This Row],[Month]],Table1[[#This Row],[Day]])</f>
        <v>45463</v>
      </c>
      <c r="C3456" s="3">
        <v>20</v>
      </c>
      <c r="D3456" s="3">
        <v>6</v>
      </c>
      <c r="E3456" s="3">
        <v>2024</v>
      </c>
      <c r="F3456" s="3" t="str">
        <f>"Qtr"&amp; " " &amp;CHOOSE(MONTH(Table1[[#This Row],[Date]]),1,1,1,2,2,2,3,3,3,4,4,4)</f>
        <v>Qtr 2</v>
      </c>
      <c r="G3456" s="3" t="str">
        <f>TEXT(Table1[[#This Row],[Date]],"mmmm")</f>
        <v>June</v>
      </c>
      <c r="H3456" s="3" t="s">
        <v>1084</v>
      </c>
      <c r="I3456" s="3" t="s">
        <v>13</v>
      </c>
      <c r="J3456" s="3">
        <v>8</v>
      </c>
      <c r="K3456" s="3">
        <v>34881.89</v>
      </c>
      <c r="L3456" s="3">
        <f>Table1[[#This Row],[Price Per Unit]]*Table1[[#This Row],[Units Sold]]</f>
        <v>279055.12</v>
      </c>
      <c r="M3456" s="3" t="s">
        <v>242</v>
      </c>
      <c r="N3456" s="3">
        <v>20</v>
      </c>
      <c r="O3456" s="3" t="s">
        <v>137</v>
      </c>
      <c r="P3456" s="3" t="s">
        <v>16</v>
      </c>
      <c r="Q3456" s="4">
        <v>3</v>
      </c>
      <c r="R3456" s="4" t="str">
        <f>IF(Table1[[#This Row],[Customer Ratings]]&gt;=4, "Good",IF(Table1[[#This Row],[Customer Ratings]]=3, "Average","Poor"))</f>
        <v>Average</v>
      </c>
      <c r="S3456" s="3" t="s">
        <v>27</v>
      </c>
    </row>
    <row r="3457" spans="1:19" x14ac:dyDescent="0.25">
      <c r="A3457" s="3">
        <v>3456</v>
      </c>
      <c r="B3457" s="5">
        <f>DATE(Table1[[#This Row],[Year]],Table1[[#This Row],[Month]],Table1[[#This Row],[Day]])</f>
        <v>45463</v>
      </c>
      <c r="C3457" s="3">
        <v>20</v>
      </c>
      <c r="D3457" s="3">
        <v>6</v>
      </c>
      <c r="E3457" s="3">
        <v>2024</v>
      </c>
      <c r="F3457" s="3" t="str">
        <f>"Qtr"&amp; " " &amp;CHOOSE(MONTH(Table1[[#This Row],[Date]]),1,1,1,2,2,2,3,3,3,4,4,4)</f>
        <v>Qtr 2</v>
      </c>
      <c r="G3457" s="3" t="str">
        <f>TEXT(Table1[[#This Row],[Date]],"mmmm")</f>
        <v>June</v>
      </c>
      <c r="H3457" s="3" t="s">
        <v>1084</v>
      </c>
      <c r="I3457" s="3" t="s">
        <v>28</v>
      </c>
      <c r="J3457" s="3">
        <v>4</v>
      </c>
      <c r="K3457" s="3">
        <v>14940.53</v>
      </c>
      <c r="L3457" s="3">
        <f>Table1[[#This Row],[Price Per Unit]]*Table1[[#This Row],[Units Sold]]</f>
        <v>59762.12</v>
      </c>
      <c r="M3457" s="3" t="s">
        <v>386</v>
      </c>
      <c r="N3457" s="3">
        <v>32</v>
      </c>
      <c r="O3457" s="3" t="s">
        <v>20</v>
      </c>
      <c r="P3457" s="3" t="s">
        <v>16</v>
      </c>
      <c r="Q3457" s="4">
        <v>2</v>
      </c>
      <c r="R3457" s="4" t="str">
        <f>IF(Table1[[#This Row],[Customer Ratings]]&gt;=4, "Good",IF(Table1[[#This Row],[Customer Ratings]]=3, "Average","Poor"))</f>
        <v>Poor</v>
      </c>
      <c r="S3457" s="3" t="s">
        <v>87</v>
      </c>
    </row>
    <row r="3458" spans="1:19" x14ac:dyDescent="0.25">
      <c r="A3458" s="3">
        <v>3457</v>
      </c>
      <c r="B3458" s="5">
        <f>DATE(Table1[[#This Row],[Year]],Table1[[#This Row],[Month]],Table1[[#This Row],[Day]])</f>
        <v>45463</v>
      </c>
      <c r="C3458" s="3">
        <v>20</v>
      </c>
      <c r="D3458" s="3">
        <v>6</v>
      </c>
      <c r="E3458" s="3">
        <v>2024</v>
      </c>
      <c r="F3458" s="3" t="str">
        <f>"Qtr"&amp; " " &amp;CHOOSE(MONTH(Table1[[#This Row],[Date]]),1,1,1,2,2,2,3,3,3,4,4,4)</f>
        <v>Qtr 2</v>
      </c>
      <c r="G3458" s="3" t="str">
        <f>TEXT(Table1[[#This Row],[Date]],"mmmm")</f>
        <v>June</v>
      </c>
      <c r="H3458" s="3" t="s">
        <v>1084</v>
      </c>
      <c r="I3458" s="3" t="s">
        <v>33</v>
      </c>
      <c r="J3458" s="3">
        <v>5</v>
      </c>
      <c r="K3458" s="3">
        <v>46391.55</v>
      </c>
      <c r="L3458" s="3">
        <f>Table1[[#This Row],[Price Per Unit]]*Table1[[#This Row],[Units Sold]]</f>
        <v>231957.75</v>
      </c>
      <c r="M3458" s="3" t="s">
        <v>487</v>
      </c>
      <c r="N3458" s="3">
        <v>53</v>
      </c>
      <c r="O3458" s="3" t="s">
        <v>24</v>
      </c>
      <c r="P3458" s="3" t="s">
        <v>21</v>
      </c>
      <c r="Q3458" s="4">
        <v>3</v>
      </c>
      <c r="R3458" s="4" t="str">
        <f>IF(Table1[[#This Row],[Customer Ratings]]&gt;=4, "Good",IF(Table1[[#This Row],[Customer Ratings]]=3, "Average","Poor"))</f>
        <v>Average</v>
      </c>
      <c r="S3458" s="3" t="s">
        <v>46</v>
      </c>
    </row>
    <row r="3459" spans="1:19" x14ac:dyDescent="0.25">
      <c r="A3459" s="3">
        <v>3458</v>
      </c>
      <c r="B3459" s="5">
        <f>DATE(Table1[[#This Row],[Year]],Table1[[#This Row],[Month]],Table1[[#This Row],[Day]])</f>
        <v>45464</v>
      </c>
      <c r="C3459" s="3">
        <v>21</v>
      </c>
      <c r="D3459" s="3">
        <v>6</v>
      </c>
      <c r="E3459" s="3">
        <v>2024</v>
      </c>
      <c r="F3459" s="3" t="str">
        <f>"Qtr"&amp; " " &amp;CHOOSE(MONTH(Table1[[#This Row],[Date]]),1,1,1,2,2,2,3,3,3,4,4,4)</f>
        <v>Qtr 2</v>
      </c>
      <c r="G3459" s="3" t="str">
        <f>TEXT(Table1[[#This Row],[Date]],"mmmm")</f>
        <v>June</v>
      </c>
      <c r="H3459" s="3" t="s">
        <v>1085</v>
      </c>
      <c r="I3459" s="3" t="s">
        <v>28</v>
      </c>
      <c r="J3459" s="3">
        <v>8</v>
      </c>
      <c r="K3459" s="3">
        <v>16223.81</v>
      </c>
      <c r="L3459" s="3">
        <f>Table1[[#This Row],[Price Per Unit]]*Table1[[#This Row],[Units Sold]]</f>
        <v>129790.48</v>
      </c>
      <c r="M3459" s="3" t="s">
        <v>438</v>
      </c>
      <c r="N3459" s="3">
        <v>23</v>
      </c>
      <c r="O3459" s="3" t="s">
        <v>102</v>
      </c>
      <c r="P3459" s="3" t="s">
        <v>31</v>
      </c>
      <c r="Q3459" s="4">
        <v>5</v>
      </c>
      <c r="R3459" s="4" t="str">
        <f>IF(Table1[[#This Row],[Customer Ratings]]&gt;=4, "Good",IF(Table1[[#This Row],[Customer Ratings]]=3, "Average","Poor"))</f>
        <v>Good</v>
      </c>
      <c r="S3459" s="3" t="s">
        <v>87</v>
      </c>
    </row>
    <row r="3460" spans="1:19" x14ac:dyDescent="0.25">
      <c r="A3460" s="3">
        <v>3459</v>
      </c>
      <c r="B3460" s="5">
        <f>DATE(Table1[[#This Row],[Year]],Table1[[#This Row],[Month]],Table1[[#This Row],[Day]])</f>
        <v>45464</v>
      </c>
      <c r="C3460" s="3">
        <v>21</v>
      </c>
      <c r="D3460" s="3">
        <v>6</v>
      </c>
      <c r="E3460" s="3">
        <v>2024</v>
      </c>
      <c r="F3460" s="3" t="str">
        <f>"Qtr"&amp; " " &amp;CHOOSE(MONTH(Table1[[#This Row],[Date]]),1,1,1,2,2,2,3,3,3,4,4,4)</f>
        <v>Qtr 2</v>
      </c>
      <c r="G3460" s="3" t="str">
        <f>TEXT(Table1[[#This Row],[Date]],"mmmm")</f>
        <v>June</v>
      </c>
      <c r="H3460" s="3" t="s">
        <v>1085</v>
      </c>
      <c r="I3460" s="3" t="s">
        <v>33</v>
      </c>
      <c r="J3460" s="3">
        <v>7</v>
      </c>
      <c r="K3460" s="3">
        <v>60154.57</v>
      </c>
      <c r="L3460" s="3">
        <f>Table1[[#This Row],[Price Per Unit]]*Table1[[#This Row],[Units Sold]]</f>
        <v>421081.99</v>
      </c>
      <c r="M3460" s="3" t="s">
        <v>637</v>
      </c>
      <c r="N3460" s="3">
        <v>59</v>
      </c>
      <c r="O3460" s="3" t="s">
        <v>102</v>
      </c>
      <c r="P3460" s="3" t="s">
        <v>45</v>
      </c>
      <c r="Q3460" s="4">
        <v>3</v>
      </c>
      <c r="R3460" s="4" t="str">
        <f>IF(Table1[[#This Row],[Customer Ratings]]&gt;=4, "Good",IF(Table1[[#This Row],[Customer Ratings]]=3, "Average","Poor"))</f>
        <v>Average</v>
      </c>
      <c r="S3460" s="3" t="s">
        <v>36</v>
      </c>
    </row>
    <row r="3461" spans="1:19" x14ac:dyDescent="0.25">
      <c r="A3461" s="3">
        <v>3460</v>
      </c>
      <c r="B3461" s="5">
        <f>DATE(Table1[[#This Row],[Year]],Table1[[#This Row],[Month]],Table1[[#This Row],[Day]])</f>
        <v>45464</v>
      </c>
      <c r="C3461" s="3">
        <v>21</v>
      </c>
      <c r="D3461" s="3">
        <v>6</v>
      </c>
      <c r="E3461" s="3">
        <v>2024</v>
      </c>
      <c r="F3461" s="3" t="str">
        <f>"Qtr"&amp; " " &amp;CHOOSE(MONTH(Table1[[#This Row],[Date]]),1,1,1,2,2,2,3,3,3,4,4,4)</f>
        <v>Qtr 2</v>
      </c>
      <c r="G3461" s="3" t="str">
        <f>TEXT(Table1[[#This Row],[Date]],"mmmm")</f>
        <v>June</v>
      </c>
      <c r="H3461" s="3" t="s">
        <v>1085</v>
      </c>
      <c r="I3461" s="3" t="s">
        <v>33</v>
      </c>
      <c r="J3461" s="3">
        <v>8</v>
      </c>
      <c r="K3461" s="3">
        <v>58873.23</v>
      </c>
      <c r="L3461" s="3">
        <f>Table1[[#This Row],[Price Per Unit]]*Table1[[#This Row],[Units Sold]]</f>
        <v>470985.84</v>
      </c>
      <c r="M3461" s="3" t="s">
        <v>897</v>
      </c>
      <c r="N3461" s="3">
        <v>35</v>
      </c>
      <c r="O3461" s="3" t="s">
        <v>20</v>
      </c>
      <c r="P3461" s="3" t="s">
        <v>16</v>
      </c>
      <c r="Q3461" s="4">
        <v>2</v>
      </c>
      <c r="R3461" s="4" t="str">
        <f>IF(Table1[[#This Row],[Customer Ratings]]&gt;=4, "Good",IF(Table1[[#This Row],[Customer Ratings]]=3, "Average","Poor"))</f>
        <v>Poor</v>
      </c>
      <c r="S3461" s="3" t="s">
        <v>83</v>
      </c>
    </row>
    <row r="3462" spans="1:19" x14ac:dyDescent="0.25">
      <c r="A3462" s="3">
        <v>3461</v>
      </c>
      <c r="B3462" s="5">
        <f>DATE(Table1[[#This Row],[Year]],Table1[[#This Row],[Month]],Table1[[#This Row],[Day]])</f>
        <v>45464</v>
      </c>
      <c r="C3462" s="3">
        <v>21</v>
      </c>
      <c r="D3462" s="3">
        <v>6</v>
      </c>
      <c r="E3462" s="3">
        <v>2024</v>
      </c>
      <c r="F3462" s="3" t="str">
        <f>"Qtr"&amp; " " &amp;CHOOSE(MONTH(Table1[[#This Row],[Date]]),1,1,1,2,2,2,3,3,3,4,4,4)</f>
        <v>Qtr 2</v>
      </c>
      <c r="G3462" s="3" t="str">
        <f>TEXT(Table1[[#This Row],[Date]],"mmmm")</f>
        <v>June</v>
      </c>
      <c r="H3462" s="3" t="s">
        <v>1085</v>
      </c>
      <c r="I3462" s="3" t="s">
        <v>39</v>
      </c>
      <c r="J3462" s="3">
        <v>8</v>
      </c>
      <c r="K3462" s="3">
        <v>42016.31</v>
      </c>
      <c r="L3462" s="3">
        <f>Table1[[#This Row],[Price Per Unit]]*Table1[[#This Row],[Units Sold]]</f>
        <v>336130.48</v>
      </c>
      <c r="M3462" s="3" t="s">
        <v>548</v>
      </c>
      <c r="N3462" s="3">
        <v>55</v>
      </c>
      <c r="O3462" s="3" t="s">
        <v>102</v>
      </c>
      <c r="P3462" s="3" t="s">
        <v>16</v>
      </c>
      <c r="Q3462" s="4">
        <v>2</v>
      </c>
      <c r="R3462" s="4" t="str">
        <f>IF(Table1[[#This Row],[Customer Ratings]]&gt;=4, "Good",IF(Table1[[#This Row],[Customer Ratings]]=3, "Average","Poor"))</f>
        <v>Poor</v>
      </c>
      <c r="S3462" s="3" t="s">
        <v>42</v>
      </c>
    </row>
    <row r="3463" spans="1:19" x14ac:dyDescent="0.25">
      <c r="A3463" s="3">
        <v>3462</v>
      </c>
      <c r="B3463" s="5">
        <f>DATE(Table1[[#This Row],[Year]],Table1[[#This Row],[Month]],Table1[[#This Row],[Day]])</f>
        <v>45465</v>
      </c>
      <c r="C3463" s="3">
        <v>22</v>
      </c>
      <c r="D3463" s="3">
        <v>6</v>
      </c>
      <c r="E3463" s="3">
        <v>2024</v>
      </c>
      <c r="F3463" s="3" t="str">
        <f>"Qtr"&amp; " " &amp;CHOOSE(MONTH(Table1[[#This Row],[Date]]),1,1,1,2,2,2,3,3,3,4,4,4)</f>
        <v>Qtr 2</v>
      </c>
      <c r="G3463" s="3" t="str">
        <f>TEXT(Table1[[#This Row],[Date]],"mmmm")</f>
        <v>June</v>
      </c>
      <c r="H3463" s="3" t="s">
        <v>1079</v>
      </c>
      <c r="I3463" s="3" t="s">
        <v>33</v>
      </c>
      <c r="J3463" s="3">
        <v>6</v>
      </c>
      <c r="K3463" s="3">
        <v>18469.96</v>
      </c>
      <c r="L3463" s="3">
        <f>Table1[[#This Row],[Price Per Unit]]*Table1[[#This Row],[Units Sold]]</f>
        <v>110819.76</v>
      </c>
      <c r="M3463" s="3" t="s">
        <v>448</v>
      </c>
      <c r="N3463" s="3">
        <v>36</v>
      </c>
      <c r="O3463" s="3" t="s">
        <v>24</v>
      </c>
      <c r="P3463" s="3" t="s">
        <v>31</v>
      </c>
      <c r="Q3463" s="4">
        <v>4</v>
      </c>
      <c r="R3463" s="4" t="str">
        <f>IF(Table1[[#This Row],[Customer Ratings]]&gt;=4, "Good",IF(Table1[[#This Row],[Customer Ratings]]=3, "Average","Poor"))</f>
        <v>Good</v>
      </c>
      <c r="S3463" s="3" t="s">
        <v>83</v>
      </c>
    </row>
    <row r="3464" spans="1:19" x14ac:dyDescent="0.25">
      <c r="A3464" s="3">
        <v>3463</v>
      </c>
      <c r="B3464" s="5">
        <f>DATE(Table1[[#This Row],[Year]],Table1[[#This Row],[Month]],Table1[[#This Row],[Day]])</f>
        <v>45465</v>
      </c>
      <c r="C3464" s="3">
        <v>22</v>
      </c>
      <c r="D3464" s="3">
        <v>6</v>
      </c>
      <c r="E3464" s="3">
        <v>2024</v>
      </c>
      <c r="F3464" s="3" t="str">
        <f>"Qtr"&amp; " " &amp;CHOOSE(MONTH(Table1[[#This Row],[Date]]),1,1,1,2,2,2,3,3,3,4,4,4)</f>
        <v>Qtr 2</v>
      </c>
      <c r="G3464" s="3" t="str">
        <f>TEXT(Table1[[#This Row],[Date]],"mmmm")</f>
        <v>June</v>
      </c>
      <c r="H3464" s="3" t="s">
        <v>1079</v>
      </c>
      <c r="I3464" s="3" t="s">
        <v>33</v>
      </c>
      <c r="J3464" s="3">
        <v>2</v>
      </c>
      <c r="K3464" s="3">
        <v>11534.74</v>
      </c>
      <c r="L3464" s="3">
        <f>Table1[[#This Row],[Price Per Unit]]*Table1[[#This Row],[Units Sold]]</f>
        <v>23069.48</v>
      </c>
      <c r="M3464" s="3" t="s">
        <v>56</v>
      </c>
      <c r="N3464" s="3">
        <v>47</v>
      </c>
      <c r="O3464" s="3" t="s">
        <v>137</v>
      </c>
      <c r="P3464" s="3" t="s">
        <v>45</v>
      </c>
      <c r="Q3464" s="4">
        <v>2</v>
      </c>
      <c r="R3464" s="4" t="str">
        <f>IF(Table1[[#This Row],[Customer Ratings]]&gt;=4, "Good",IF(Table1[[#This Row],[Customer Ratings]]=3, "Average","Poor"))</f>
        <v>Poor</v>
      </c>
      <c r="S3464" s="3" t="s">
        <v>83</v>
      </c>
    </row>
    <row r="3465" spans="1:19" x14ac:dyDescent="0.25">
      <c r="A3465" s="3">
        <v>3464</v>
      </c>
      <c r="B3465" s="5">
        <f>DATE(Table1[[#This Row],[Year]],Table1[[#This Row],[Month]],Table1[[#This Row],[Day]])</f>
        <v>45465</v>
      </c>
      <c r="C3465" s="3">
        <v>22</v>
      </c>
      <c r="D3465" s="3">
        <v>6</v>
      </c>
      <c r="E3465" s="3">
        <v>2024</v>
      </c>
      <c r="F3465" s="3" t="str">
        <f>"Qtr"&amp; " " &amp;CHOOSE(MONTH(Table1[[#This Row],[Date]]),1,1,1,2,2,2,3,3,3,4,4,4)</f>
        <v>Qtr 2</v>
      </c>
      <c r="G3465" s="3" t="str">
        <f>TEXT(Table1[[#This Row],[Date]],"mmmm")</f>
        <v>June</v>
      </c>
      <c r="H3465" s="3" t="s">
        <v>1079</v>
      </c>
      <c r="I3465" s="3" t="s">
        <v>18</v>
      </c>
      <c r="J3465" s="3">
        <v>6</v>
      </c>
      <c r="K3465" s="3">
        <v>57802.52</v>
      </c>
      <c r="L3465" s="3">
        <f>Table1[[#This Row],[Price Per Unit]]*Table1[[#This Row],[Units Sold]]</f>
        <v>346815.12</v>
      </c>
      <c r="M3465" s="3" t="s">
        <v>1023</v>
      </c>
      <c r="N3465" s="3">
        <v>30</v>
      </c>
      <c r="O3465" s="3" t="s">
        <v>20</v>
      </c>
      <c r="P3465" s="3" t="s">
        <v>16</v>
      </c>
      <c r="Q3465" s="4">
        <v>5</v>
      </c>
      <c r="R3465" s="4" t="str">
        <f>IF(Table1[[#This Row],[Customer Ratings]]&gt;=4, "Good",IF(Table1[[#This Row],[Customer Ratings]]=3, "Average","Poor"))</f>
        <v>Good</v>
      </c>
      <c r="S3465" s="3" t="s">
        <v>55</v>
      </c>
    </row>
    <row r="3466" spans="1:19" x14ac:dyDescent="0.25">
      <c r="A3466" s="3">
        <v>3465</v>
      </c>
      <c r="B3466" s="5">
        <f>DATE(Table1[[#This Row],[Year]],Table1[[#This Row],[Month]],Table1[[#This Row],[Day]])</f>
        <v>45465</v>
      </c>
      <c r="C3466" s="3">
        <v>22</v>
      </c>
      <c r="D3466" s="3">
        <v>6</v>
      </c>
      <c r="E3466" s="3">
        <v>2024</v>
      </c>
      <c r="F3466" s="3" t="str">
        <f>"Qtr"&amp; " " &amp;CHOOSE(MONTH(Table1[[#This Row],[Date]]),1,1,1,2,2,2,3,3,3,4,4,4)</f>
        <v>Qtr 2</v>
      </c>
      <c r="G3466" s="3" t="str">
        <f>TEXT(Table1[[#This Row],[Date]],"mmmm")</f>
        <v>June</v>
      </c>
      <c r="H3466" s="3" t="s">
        <v>1079</v>
      </c>
      <c r="I3466" s="3" t="s">
        <v>28</v>
      </c>
      <c r="J3466" s="3">
        <v>1</v>
      </c>
      <c r="K3466" s="3">
        <v>46008.43</v>
      </c>
      <c r="L3466" s="3">
        <f>Table1[[#This Row],[Price Per Unit]]*Table1[[#This Row],[Units Sold]]</f>
        <v>46008.43</v>
      </c>
      <c r="M3466" s="3" t="s">
        <v>1035</v>
      </c>
      <c r="N3466" s="3">
        <v>56</v>
      </c>
      <c r="O3466" s="3" t="s">
        <v>105</v>
      </c>
      <c r="P3466" s="3" t="s">
        <v>16</v>
      </c>
      <c r="Q3466" s="4">
        <v>3</v>
      </c>
      <c r="R3466" s="4" t="str">
        <f>IF(Table1[[#This Row],[Customer Ratings]]&gt;=4, "Good",IF(Table1[[#This Row],[Customer Ratings]]=3, "Average","Poor"))</f>
        <v>Average</v>
      </c>
      <c r="S3466" s="3" t="s">
        <v>32</v>
      </c>
    </row>
    <row r="3467" spans="1:19" x14ac:dyDescent="0.25">
      <c r="A3467" s="3">
        <v>3466</v>
      </c>
      <c r="B3467" s="5">
        <f>DATE(Table1[[#This Row],[Year]],Table1[[#This Row],[Month]],Table1[[#This Row],[Day]])</f>
        <v>45466</v>
      </c>
      <c r="C3467" s="3">
        <v>23</v>
      </c>
      <c r="D3467" s="3">
        <v>6</v>
      </c>
      <c r="E3467" s="3">
        <v>2024</v>
      </c>
      <c r="F3467" s="3" t="str">
        <f>"Qtr"&amp; " " &amp;CHOOSE(MONTH(Table1[[#This Row],[Date]]),1,1,1,2,2,2,3,3,3,4,4,4)</f>
        <v>Qtr 2</v>
      </c>
      <c r="G3467" s="3" t="str">
        <f>TEXT(Table1[[#This Row],[Date]],"mmmm")</f>
        <v>June</v>
      </c>
      <c r="H3467" s="3" t="s">
        <v>1080</v>
      </c>
      <c r="I3467" s="3" t="s">
        <v>18</v>
      </c>
      <c r="J3467" s="3">
        <v>1</v>
      </c>
      <c r="K3467" s="3">
        <v>52655.78</v>
      </c>
      <c r="L3467" s="3">
        <f>Table1[[#This Row],[Price Per Unit]]*Table1[[#This Row],[Units Sold]]</f>
        <v>52655.78</v>
      </c>
      <c r="M3467" s="3" t="s">
        <v>1037</v>
      </c>
      <c r="N3467" s="3">
        <v>29</v>
      </c>
      <c r="O3467" s="3" t="s">
        <v>24</v>
      </c>
      <c r="P3467" s="3" t="s">
        <v>21</v>
      </c>
      <c r="Q3467" s="4">
        <v>5</v>
      </c>
      <c r="R3467" s="4" t="str">
        <f>IF(Table1[[#This Row],[Customer Ratings]]&gt;=4, "Good",IF(Table1[[#This Row],[Customer Ratings]]=3, "Average","Poor"))</f>
        <v>Good</v>
      </c>
      <c r="S3467" s="3" t="s">
        <v>22</v>
      </c>
    </row>
    <row r="3468" spans="1:19" x14ac:dyDescent="0.25">
      <c r="A3468" s="3">
        <v>3467</v>
      </c>
      <c r="B3468" s="5">
        <f>DATE(Table1[[#This Row],[Year]],Table1[[#This Row],[Month]],Table1[[#This Row],[Day]])</f>
        <v>45466</v>
      </c>
      <c r="C3468" s="3">
        <v>23</v>
      </c>
      <c r="D3468" s="3">
        <v>6</v>
      </c>
      <c r="E3468" s="3">
        <v>2024</v>
      </c>
      <c r="F3468" s="3" t="str">
        <f>"Qtr"&amp; " " &amp;CHOOSE(MONTH(Table1[[#This Row],[Date]]),1,1,1,2,2,2,3,3,3,4,4,4)</f>
        <v>Qtr 2</v>
      </c>
      <c r="G3468" s="3" t="str">
        <f>TEXT(Table1[[#This Row],[Date]],"mmmm")</f>
        <v>June</v>
      </c>
      <c r="H3468" s="3" t="s">
        <v>1080</v>
      </c>
      <c r="I3468" s="3" t="s">
        <v>33</v>
      </c>
      <c r="J3468" s="3">
        <v>3</v>
      </c>
      <c r="K3468" s="3">
        <v>28228.43</v>
      </c>
      <c r="L3468" s="3">
        <f>Table1[[#This Row],[Price Per Unit]]*Table1[[#This Row],[Units Sold]]</f>
        <v>84685.290000000008</v>
      </c>
      <c r="M3468" s="3" t="s">
        <v>637</v>
      </c>
      <c r="N3468" s="3">
        <v>51</v>
      </c>
      <c r="O3468" s="3" t="s">
        <v>24</v>
      </c>
      <c r="P3468" s="3" t="s">
        <v>45</v>
      </c>
      <c r="Q3468" s="4">
        <v>2</v>
      </c>
      <c r="R3468" s="4" t="str">
        <f>IF(Table1[[#This Row],[Customer Ratings]]&gt;=4, "Good",IF(Table1[[#This Row],[Customer Ratings]]=3, "Average","Poor"))</f>
        <v>Poor</v>
      </c>
      <c r="S3468" s="3" t="s">
        <v>36</v>
      </c>
    </row>
    <row r="3469" spans="1:19" x14ac:dyDescent="0.25">
      <c r="A3469" s="3">
        <v>3468</v>
      </c>
      <c r="B3469" s="5">
        <f>DATE(Table1[[#This Row],[Year]],Table1[[#This Row],[Month]],Table1[[#This Row],[Day]])</f>
        <v>45466</v>
      </c>
      <c r="C3469" s="3">
        <v>23</v>
      </c>
      <c r="D3469" s="3">
        <v>6</v>
      </c>
      <c r="E3469" s="3">
        <v>2024</v>
      </c>
      <c r="F3469" s="3" t="str">
        <f>"Qtr"&amp; " " &amp;CHOOSE(MONTH(Table1[[#This Row],[Date]]),1,1,1,2,2,2,3,3,3,4,4,4)</f>
        <v>Qtr 2</v>
      </c>
      <c r="G3469" s="3" t="str">
        <f>TEXT(Table1[[#This Row],[Date]],"mmmm")</f>
        <v>June</v>
      </c>
      <c r="H3469" s="3" t="s">
        <v>1080</v>
      </c>
      <c r="I3469" s="3" t="s">
        <v>39</v>
      </c>
      <c r="J3469" s="3">
        <v>3</v>
      </c>
      <c r="K3469" s="3">
        <v>40568.959999999999</v>
      </c>
      <c r="L3469" s="3">
        <f>Table1[[#This Row],[Price Per Unit]]*Table1[[#This Row],[Units Sold]]</f>
        <v>121706.88</v>
      </c>
      <c r="M3469" s="3" t="s">
        <v>278</v>
      </c>
      <c r="N3469" s="3">
        <v>29</v>
      </c>
      <c r="O3469" s="3" t="s">
        <v>105</v>
      </c>
      <c r="P3469" s="3" t="s">
        <v>16</v>
      </c>
      <c r="Q3469" s="4">
        <v>3</v>
      </c>
      <c r="R3469" s="4" t="str">
        <f>IF(Table1[[#This Row],[Customer Ratings]]&gt;=4, "Good",IF(Table1[[#This Row],[Customer Ratings]]=3, "Average","Poor"))</f>
        <v>Average</v>
      </c>
      <c r="S3469" s="3" t="s">
        <v>42</v>
      </c>
    </row>
    <row r="3470" spans="1:19" x14ac:dyDescent="0.25">
      <c r="A3470" s="3">
        <v>3469</v>
      </c>
      <c r="B3470" s="5">
        <f>DATE(Table1[[#This Row],[Year]],Table1[[#This Row],[Month]],Table1[[#This Row],[Day]])</f>
        <v>45466</v>
      </c>
      <c r="C3470" s="3">
        <v>23</v>
      </c>
      <c r="D3470" s="3">
        <v>6</v>
      </c>
      <c r="E3470" s="3">
        <v>2024</v>
      </c>
      <c r="F3470" s="3" t="str">
        <f>"Qtr"&amp; " " &amp;CHOOSE(MONTH(Table1[[#This Row],[Date]]),1,1,1,2,2,2,3,3,3,4,4,4)</f>
        <v>Qtr 2</v>
      </c>
      <c r="G3470" s="3" t="str">
        <f>TEXT(Table1[[#This Row],[Date]],"mmmm")</f>
        <v>June</v>
      </c>
      <c r="H3470" s="3" t="s">
        <v>1080</v>
      </c>
      <c r="I3470" s="3" t="s">
        <v>18</v>
      </c>
      <c r="J3470" s="3">
        <v>5</v>
      </c>
      <c r="K3470" s="3">
        <v>54830.45</v>
      </c>
      <c r="L3470" s="3">
        <f>Table1[[#This Row],[Price Per Unit]]*Table1[[#This Row],[Units Sold]]</f>
        <v>274152.25</v>
      </c>
      <c r="M3470" s="3" t="s">
        <v>696</v>
      </c>
      <c r="N3470" s="3">
        <v>41</v>
      </c>
      <c r="O3470" s="3" t="s">
        <v>20</v>
      </c>
      <c r="P3470" s="3" t="s">
        <v>31</v>
      </c>
      <c r="Q3470" s="4">
        <v>4</v>
      </c>
      <c r="R3470" s="4" t="str">
        <f>IF(Table1[[#This Row],[Customer Ratings]]&gt;=4, "Good",IF(Table1[[#This Row],[Customer Ratings]]=3, "Average","Poor"))</f>
        <v>Good</v>
      </c>
      <c r="S3470" s="3" t="s">
        <v>25</v>
      </c>
    </row>
    <row r="3471" spans="1:19" x14ac:dyDescent="0.25">
      <c r="A3471" s="3">
        <v>3470</v>
      </c>
      <c r="B3471" s="5">
        <f>DATE(Table1[[#This Row],[Year]],Table1[[#This Row],[Month]],Table1[[#This Row],[Day]])</f>
        <v>45467</v>
      </c>
      <c r="C3471" s="3">
        <v>24</v>
      </c>
      <c r="D3471" s="3">
        <v>6</v>
      </c>
      <c r="E3471" s="3">
        <v>2024</v>
      </c>
      <c r="F3471" s="3" t="str">
        <f>"Qtr"&amp; " " &amp;CHOOSE(MONTH(Table1[[#This Row],[Date]]),1,1,1,2,2,2,3,3,3,4,4,4)</f>
        <v>Qtr 2</v>
      </c>
      <c r="G3471" s="3" t="str">
        <f>TEXT(Table1[[#This Row],[Date]],"mmmm")</f>
        <v>June</v>
      </c>
      <c r="H3471" s="3" t="s">
        <v>1081</v>
      </c>
      <c r="I3471" s="3" t="s">
        <v>18</v>
      </c>
      <c r="J3471" s="3">
        <v>1</v>
      </c>
      <c r="K3471" s="3">
        <v>37753.800000000003</v>
      </c>
      <c r="L3471" s="3">
        <f>Table1[[#This Row],[Price Per Unit]]*Table1[[#This Row],[Units Sold]]</f>
        <v>37753.800000000003</v>
      </c>
      <c r="M3471" s="3" t="s">
        <v>628</v>
      </c>
      <c r="N3471" s="3">
        <v>21</v>
      </c>
      <c r="O3471" s="3" t="s">
        <v>58</v>
      </c>
      <c r="P3471" s="3" t="s">
        <v>16</v>
      </c>
      <c r="Q3471" s="4">
        <v>5</v>
      </c>
      <c r="R3471" s="4" t="str">
        <f>IF(Table1[[#This Row],[Customer Ratings]]&gt;=4, "Good",IF(Table1[[#This Row],[Customer Ratings]]=3, "Average","Poor"))</f>
        <v>Good</v>
      </c>
      <c r="S3471" s="3" t="s">
        <v>55</v>
      </c>
    </row>
    <row r="3472" spans="1:19" x14ac:dyDescent="0.25">
      <c r="A3472" s="3">
        <v>3471</v>
      </c>
      <c r="B3472" s="5">
        <f>DATE(Table1[[#This Row],[Year]],Table1[[#This Row],[Month]],Table1[[#This Row],[Day]])</f>
        <v>45467</v>
      </c>
      <c r="C3472" s="3">
        <v>24</v>
      </c>
      <c r="D3472" s="3">
        <v>6</v>
      </c>
      <c r="E3472" s="3">
        <v>2024</v>
      </c>
      <c r="F3472" s="3" t="str">
        <f>"Qtr"&amp; " " &amp;CHOOSE(MONTH(Table1[[#This Row],[Date]]),1,1,1,2,2,2,3,3,3,4,4,4)</f>
        <v>Qtr 2</v>
      </c>
      <c r="G3472" s="3" t="str">
        <f>TEXT(Table1[[#This Row],[Date]],"mmmm")</f>
        <v>June</v>
      </c>
      <c r="H3472" s="3" t="s">
        <v>1081</v>
      </c>
      <c r="I3472" s="3" t="s">
        <v>13</v>
      </c>
      <c r="J3472" s="3">
        <v>6</v>
      </c>
      <c r="K3472" s="3">
        <v>46083.05</v>
      </c>
      <c r="L3472" s="3">
        <f>Table1[[#This Row],[Price Per Unit]]*Table1[[#This Row],[Units Sold]]</f>
        <v>276498.30000000005</v>
      </c>
      <c r="M3472" s="3" t="s">
        <v>742</v>
      </c>
      <c r="N3472" s="3">
        <v>53</v>
      </c>
      <c r="O3472" s="3" t="s">
        <v>41</v>
      </c>
      <c r="P3472" s="3" t="s">
        <v>45</v>
      </c>
      <c r="Q3472" s="4">
        <v>4</v>
      </c>
      <c r="R3472" s="4" t="str">
        <f>IF(Table1[[#This Row],[Customer Ratings]]&gt;=4, "Good",IF(Table1[[#This Row],[Customer Ratings]]=3, "Average","Poor"))</f>
        <v>Good</v>
      </c>
      <c r="S3472" s="3" t="s">
        <v>27</v>
      </c>
    </row>
    <row r="3473" spans="1:19" x14ac:dyDescent="0.25">
      <c r="A3473" s="3">
        <v>3472</v>
      </c>
      <c r="B3473" s="5">
        <f>DATE(Table1[[#This Row],[Year]],Table1[[#This Row],[Month]],Table1[[#This Row],[Day]])</f>
        <v>45467</v>
      </c>
      <c r="C3473" s="3">
        <v>24</v>
      </c>
      <c r="D3473" s="3">
        <v>6</v>
      </c>
      <c r="E3473" s="3">
        <v>2024</v>
      </c>
      <c r="F3473" s="3" t="str">
        <f>"Qtr"&amp; " " &amp;CHOOSE(MONTH(Table1[[#This Row],[Date]]),1,1,1,2,2,2,3,3,3,4,4,4)</f>
        <v>Qtr 2</v>
      </c>
      <c r="G3473" s="3" t="str">
        <f>TEXT(Table1[[#This Row],[Date]],"mmmm")</f>
        <v>June</v>
      </c>
      <c r="H3473" s="3" t="s">
        <v>1081</v>
      </c>
      <c r="I3473" s="3" t="s">
        <v>33</v>
      </c>
      <c r="J3473" s="3">
        <v>7</v>
      </c>
      <c r="K3473" s="3">
        <v>57383.7</v>
      </c>
      <c r="L3473" s="3">
        <f>Table1[[#This Row],[Price Per Unit]]*Table1[[#This Row],[Units Sold]]</f>
        <v>401685.89999999997</v>
      </c>
      <c r="M3473" s="3" t="s">
        <v>536</v>
      </c>
      <c r="N3473" s="3">
        <v>31</v>
      </c>
      <c r="O3473" s="3" t="s">
        <v>24</v>
      </c>
      <c r="P3473" s="3" t="s">
        <v>21</v>
      </c>
      <c r="Q3473" s="4">
        <v>5</v>
      </c>
      <c r="R3473" s="4" t="str">
        <f>IF(Table1[[#This Row],[Customer Ratings]]&gt;=4, "Good",IF(Table1[[#This Row],[Customer Ratings]]=3, "Average","Poor"))</f>
        <v>Good</v>
      </c>
      <c r="S3473" s="3" t="s">
        <v>46</v>
      </c>
    </row>
    <row r="3474" spans="1:19" x14ac:dyDescent="0.25">
      <c r="A3474" s="3">
        <v>3473</v>
      </c>
      <c r="B3474" s="5">
        <f>DATE(Table1[[#This Row],[Year]],Table1[[#This Row],[Month]],Table1[[#This Row],[Day]])</f>
        <v>45467</v>
      </c>
      <c r="C3474" s="3">
        <v>24</v>
      </c>
      <c r="D3474" s="3">
        <v>6</v>
      </c>
      <c r="E3474" s="3">
        <v>2024</v>
      </c>
      <c r="F3474" s="3" t="str">
        <f>"Qtr"&amp; " " &amp;CHOOSE(MONTH(Table1[[#This Row],[Date]]),1,1,1,2,2,2,3,3,3,4,4,4)</f>
        <v>Qtr 2</v>
      </c>
      <c r="G3474" s="3" t="str">
        <f>TEXT(Table1[[#This Row],[Date]],"mmmm")</f>
        <v>June</v>
      </c>
      <c r="H3474" s="3" t="s">
        <v>1081</v>
      </c>
      <c r="I3474" s="3" t="s">
        <v>39</v>
      </c>
      <c r="J3474" s="3">
        <v>3</v>
      </c>
      <c r="K3474" s="3">
        <v>22913.24</v>
      </c>
      <c r="L3474" s="3">
        <f>Table1[[#This Row],[Price Per Unit]]*Table1[[#This Row],[Units Sold]]</f>
        <v>68739.72</v>
      </c>
      <c r="M3474" s="3" t="s">
        <v>964</v>
      </c>
      <c r="N3474" s="3">
        <v>34</v>
      </c>
      <c r="O3474" s="3" t="s">
        <v>81</v>
      </c>
      <c r="P3474" s="3" t="s">
        <v>16</v>
      </c>
      <c r="Q3474" s="4">
        <v>4</v>
      </c>
      <c r="R3474" s="4" t="str">
        <f>IF(Table1[[#This Row],[Customer Ratings]]&gt;=4, "Good",IF(Table1[[#This Row],[Customer Ratings]]=3, "Average","Poor"))</f>
        <v>Good</v>
      </c>
      <c r="S3474" s="3" t="s">
        <v>76</v>
      </c>
    </row>
    <row r="3475" spans="1:19" x14ac:dyDescent="0.25">
      <c r="A3475" s="3">
        <v>3474</v>
      </c>
      <c r="B3475" s="5">
        <f>DATE(Table1[[#This Row],[Year]],Table1[[#This Row],[Month]],Table1[[#This Row],[Day]])</f>
        <v>45468</v>
      </c>
      <c r="C3475" s="3">
        <v>25</v>
      </c>
      <c r="D3475" s="3">
        <v>6</v>
      </c>
      <c r="E3475" s="3">
        <v>2024</v>
      </c>
      <c r="F3475" s="3" t="str">
        <f>"Qtr"&amp; " " &amp;CHOOSE(MONTH(Table1[[#This Row],[Date]]),1,1,1,2,2,2,3,3,3,4,4,4)</f>
        <v>Qtr 2</v>
      </c>
      <c r="G3475" s="3" t="str">
        <f>TEXT(Table1[[#This Row],[Date]],"mmmm")</f>
        <v>June</v>
      </c>
      <c r="H3475" s="3" t="s">
        <v>1082</v>
      </c>
      <c r="I3475" s="3" t="s">
        <v>18</v>
      </c>
      <c r="J3475" s="3">
        <v>4</v>
      </c>
      <c r="K3475" s="3">
        <v>13955.73</v>
      </c>
      <c r="L3475" s="3">
        <f>Table1[[#This Row],[Price Per Unit]]*Table1[[#This Row],[Units Sold]]</f>
        <v>55822.92</v>
      </c>
      <c r="M3475" s="3" t="s">
        <v>561</v>
      </c>
      <c r="N3475" s="3">
        <v>20</v>
      </c>
      <c r="O3475" s="3" t="s">
        <v>81</v>
      </c>
      <c r="P3475" s="3" t="s">
        <v>31</v>
      </c>
      <c r="Q3475" s="4">
        <v>3</v>
      </c>
      <c r="R3475" s="4" t="str">
        <f>IF(Table1[[#This Row],[Customer Ratings]]&gt;=4, "Good",IF(Table1[[#This Row],[Customer Ratings]]=3, "Average","Poor"))</f>
        <v>Average</v>
      </c>
      <c r="S3475" s="3" t="s">
        <v>25</v>
      </c>
    </row>
    <row r="3476" spans="1:19" x14ac:dyDescent="0.25">
      <c r="A3476" s="3">
        <v>3475</v>
      </c>
      <c r="B3476" s="5">
        <f>DATE(Table1[[#This Row],[Year]],Table1[[#This Row],[Month]],Table1[[#This Row],[Day]])</f>
        <v>45468</v>
      </c>
      <c r="C3476" s="3">
        <v>25</v>
      </c>
      <c r="D3476" s="3">
        <v>6</v>
      </c>
      <c r="E3476" s="3">
        <v>2024</v>
      </c>
      <c r="F3476" s="3" t="str">
        <f>"Qtr"&amp; " " &amp;CHOOSE(MONTH(Table1[[#This Row],[Date]]),1,1,1,2,2,2,3,3,3,4,4,4)</f>
        <v>Qtr 2</v>
      </c>
      <c r="G3476" s="3" t="str">
        <f>TEXT(Table1[[#This Row],[Date]],"mmmm")</f>
        <v>June</v>
      </c>
      <c r="H3476" s="3" t="s">
        <v>1082</v>
      </c>
      <c r="I3476" s="3" t="s">
        <v>18</v>
      </c>
      <c r="J3476" s="3">
        <v>3</v>
      </c>
      <c r="K3476" s="3">
        <v>41909.410000000003</v>
      </c>
      <c r="L3476" s="3">
        <f>Table1[[#This Row],[Price Per Unit]]*Table1[[#This Row],[Units Sold]]</f>
        <v>125728.23000000001</v>
      </c>
      <c r="M3476" s="3" t="s">
        <v>417</v>
      </c>
      <c r="N3476" s="3">
        <v>55</v>
      </c>
      <c r="O3476" s="3" t="s">
        <v>58</v>
      </c>
      <c r="P3476" s="3" t="s">
        <v>16</v>
      </c>
      <c r="Q3476" s="4">
        <v>5</v>
      </c>
      <c r="R3476" s="4" t="str">
        <f>IF(Table1[[#This Row],[Customer Ratings]]&gt;=4, "Good",IF(Table1[[#This Row],[Customer Ratings]]=3, "Average","Poor"))</f>
        <v>Good</v>
      </c>
      <c r="S3476" s="3" t="s">
        <v>22</v>
      </c>
    </row>
    <row r="3477" spans="1:19" x14ac:dyDescent="0.25">
      <c r="A3477" s="3">
        <v>3476</v>
      </c>
      <c r="B3477" s="5">
        <f>DATE(Table1[[#This Row],[Year]],Table1[[#This Row],[Month]],Table1[[#This Row],[Day]])</f>
        <v>45468</v>
      </c>
      <c r="C3477" s="3">
        <v>25</v>
      </c>
      <c r="D3477" s="3">
        <v>6</v>
      </c>
      <c r="E3477" s="3">
        <v>2024</v>
      </c>
      <c r="F3477" s="3" t="str">
        <f>"Qtr"&amp; " " &amp;CHOOSE(MONTH(Table1[[#This Row],[Date]]),1,1,1,2,2,2,3,3,3,4,4,4)</f>
        <v>Qtr 2</v>
      </c>
      <c r="G3477" s="3" t="str">
        <f>TEXT(Table1[[#This Row],[Date]],"mmmm")</f>
        <v>June</v>
      </c>
      <c r="H3477" s="3" t="s">
        <v>1082</v>
      </c>
      <c r="I3477" s="3" t="s">
        <v>39</v>
      </c>
      <c r="J3477" s="3">
        <v>1</v>
      </c>
      <c r="K3477" s="3">
        <v>13727.55</v>
      </c>
      <c r="L3477" s="3">
        <f>Table1[[#This Row],[Price Per Unit]]*Table1[[#This Row],[Units Sold]]</f>
        <v>13727.55</v>
      </c>
      <c r="M3477" s="3" t="s">
        <v>869</v>
      </c>
      <c r="N3477" s="3">
        <v>40</v>
      </c>
      <c r="O3477" s="3" t="s">
        <v>58</v>
      </c>
      <c r="P3477" s="3" t="s">
        <v>31</v>
      </c>
      <c r="Q3477" s="4">
        <v>4</v>
      </c>
      <c r="R3477" s="4" t="str">
        <f>IF(Table1[[#This Row],[Customer Ratings]]&gt;=4, "Good",IF(Table1[[#This Row],[Customer Ratings]]=3, "Average","Poor"))</f>
        <v>Good</v>
      </c>
      <c r="S3477" s="3" t="s">
        <v>76</v>
      </c>
    </row>
    <row r="3478" spans="1:19" x14ac:dyDescent="0.25">
      <c r="A3478" s="3">
        <v>3477</v>
      </c>
      <c r="B3478" s="5">
        <f>DATE(Table1[[#This Row],[Year]],Table1[[#This Row],[Month]],Table1[[#This Row],[Day]])</f>
        <v>45468</v>
      </c>
      <c r="C3478" s="3">
        <v>25</v>
      </c>
      <c r="D3478" s="3">
        <v>6</v>
      </c>
      <c r="E3478" s="3">
        <v>2024</v>
      </c>
      <c r="F3478" s="3" t="str">
        <f>"Qtr"&amp; " " &amp;CHOOSE(MONTH(Table1[[#This Row],[Date]]),1,1,1,2,2,2,3,3,3,4,4,4)</f>
        <v>Qtr 2</v>
      </c>
      <c r="G3478" s="3" t="str">
        <f>TEXT(Table1[[#This Row],[Date]],"mmmm")</f>
        <v>June</v>
      </c>
      <c r="H3478" s="3" t="s">
        <v>1082</v>
      </c>
      <c r="I3478" s="3" t="s">
        <v>33</v>
      </c>
      <c r="J3478" s="3">
        <v>8</v>
      </c>
      <c r="K3478" s="3">
        <v>55993.440000000002</v>
      </c>
      <c r="L3478" s="3">
        <f>Table1[[#This Row],[Price Per Unit]]*Table1[[#This Row],[Units Sold]]</f>
        <v>447947.52000000002</v>
      </c>
      <c r="M3478" s="3" t="s">
        <v>931</v>
      </c>
      <c r="N3478" s="3">
        <v>30</v>
      </c>
      <c r="O3478" s="3" t="s">
        <v>24</v>
      </c>
      <c r="P3478" s="3" t="s">
        <v>45</v>
      </c>
      <c r="Q3478" s="4">
        <v>4</v>
      </c>
      <c r="R3478" s="4" t="str">
        <f>IF(Table1[[#This Row],[Customer Ratings]]&gt;=4, "Good",IF(Table1[[#This Row],[Customer Ratings]]=3, "Average","Poor"))</f>
        <v>Good</v>
      </c>
      <c r="S3478" s="3" t="s">
        <v>36</v>
      </c>
    </row>
    <row r="3479" spans="1:19" x14ac:dyDescent="0.25">
      <c r="A3479" s="3">
        <v>3478</v>
      </c>
      <c r="B3479" s="5">
        <f>DATE(Table1[[#This Row],[Year]],Table1[[#This Row],[Month]],Table1[[#This Row],[Day]])</f>
        <v>45469</v>
      </c>
      <c r="C3479" s="3">
        <v>26</v>
      </c>
      <c r="D3479" s="3">
        <v>6</v>
      </c>
      <c r="E3479" s="3">
        <v>2024</v>
      </c>
      <c r="F3479" s="3" t="str">
        <f>"Qtr"&amp; " " &amp;CHOOSE(MONTH(Table1[[#This Row],[Date]]),1,1,1,2,2,2,3,3,3,4,4,4)</f>
        <v>Qtr 2</v>
      </c>
      <c r="G3479" s="3" t="str">
        <f>TEXT(Table1[[#This Row],[Date]],"mmmm")</f>
        <v>June</v>
      </c>
      <c r="H3479" s="3" t="s">
        <v>1083</v>
      </c>
      <c r="I3479" s="3" t="s">
        <v>13</v>
      </c>
      <c r="J3479" s="3">
        <v>2</v>
      </c>
      <c r="K3479" s="3">
        <v>53152.69</v>
      </c>
      <c r="L3479" s="3">
        <f>Table1[[#This Row],[Price Per Unit]]*Table1[[#This Row],[Units Sold]]</f>
        <v>106305.38</v>
      </c>
      <c r="M3479" s="3" t="s">
        <v>308</v>
      </c>
      <c r="N3479" s="3">
        <v>26</v>
      </c>
      <c r="O3479" s="3" t="s">
        <v>20</v>
      </c>
      <c r="P3479" s="3" t="s">
        <v>21</v>
      </c>
      <c r="Q3479" s="4">
        <v>5</v>
      </c>
      <c r="R3479" s="4" t="str">
        <f>IF(Table1[[#This Row],[Customer Ratings]]&gt;=4, "Good",IF(Table1[[#This Row],[Customer Ratings]]=3, "Average","Poor"))</f>
        <v>Good</v>
      </c>
      <c r="S3479" s="3" t="s">
        <v>27</v>
      </c>
    </row>
    <row r="3480" spans="1:19" x14ac:dyDescent="0.25">
      <c r="A3480" s="3">
        <v>3479</v>
      </c>
      <c r="B3480" s="5">
        <f>DATE(Table1[[#This Row],[Year]],Table1[[#This Row],[Month]],Table1[[#This Row],[Day]])</f>
        <v>45469</v>
      </c>
      <c r="C3480" s="3">
        <v>26</v>
      </c>
      <c r="D3480" s="3">
        <v>6</v>
      </c>
      <c r="E3480" s="3">
        <v>2024</v>
      </c>
      <c r="F3480" s="3" t="str">
        <f>"Qtr"&amp; " " &amp;CHOOSE(MONTH(Table1[[#This Row],[Date]]),1,1,1,2,2,2,3,3,3,4,4,4)</f>
        <v>Qtr 2</v>
      </c>
      <c r="G3480" s="3" t="str">
        <f>TEXT(Table1[[#This Row],[Date]],"mmmm")</f>
        <v>June</v>
      </c>
      <c r="H3480" s="3" t="s">
        <v>1083</v>
      </c>
      <c r="I3480" s="3" t="s">
        <v>18</v>
      </c>
      <c r="J3480" s="3">
        <v>1</v>
      </c>
      <c r="K3480" s="3">
        <v>62902.76</v>
      </c>
      <c r="L3480" s="3">
        <f>Table1[[#This Row],[Price Per Unit]]*Table1[[#This Row],[Units Sold]]</f>
        <v>62902.76</v>
      </c>
      <c r="M3480" s="3" t="s">
        <v>647</v>
      </c>
      <c r="N3480" s="3">
        <v>38</v>
      </c>
      <c r="O3480" s="3" t="s">
        <v>120</v>
      </c>
      <c r="P3480" s="3" t="s">
        <v>45</v>
      </c>
      <c r="Q3480" s="4">
        <v>3</v>
      </c>
      <c r="R3480" s="4" t="str">
        <f>IF(Table1[[#This Row],[Customer Ratings]]&gt;=4, "Good",IF(Table1[[#This Row],[Customer Ratings]]=3, "Average","Poor"))</f>
        <v>Average</v>
      </c>
      <c r="S3480" s="3" t="s">
        <v>55</v>
      </c>
    </row>
    <row r="3481" spans="1:19" x14ac:dyDescent="0.25">
      <c r="A3481" s="3">
        <v>3480</v>
      </c>
      <c r="B3481" s="5">
        <f>DATE(Table1[[#This Row],[Year]],Table1[[#This Row],[Month]],Table1[[#This Row],[Day]])</f>
        <v>45469</v>
      </c>
      <c r="C3481" s="3">
        <v>26</v>
      </c>
      <c r="D3481" s="3">
        <v>6</v>
      </c>
      <c r="E3481" s="3">
        <v>2024</v>
      </c>
      <c r="F3481" s="3" t="str">
        <f>"Qtr"&amp; " " &amp;CHOOSE(MONTH(Table1[[#This Row],[Date]]),1,1,1,2,2,2,3,3,3,4,4,4)</f>
        <v>Qtr 2</v>
      </c>
      <c r="G3481" s="3" t="str">
        <f>TEXT(Table1[[#This Row],[Date]],"mmmm")</f>
        <v>June</v>
      </c>
      <c r="H3481" s="3" t="s">
        <v>1083</v>
      </c>
      <c r="I3481" s="3" t="s">
        <v>13</v>
      </c>
      <c r="J3481" s="3">
        <v>8</v>
      </c>
      <c r="K3481" s="3">
        <v>48373.73</v>
      </c>
      <c r="L3481" s="3">
        <f>Table1[[#This Row],[Price Per Unit]]*Table1[[#This Row],[Units Sold]]</f>
        <v>386989.84</v>
      </c>
      <c r="M3481" s="3" t="s">
        <v>282</v>
      </c>
      <c r="N3481" s="3">
        <v>58</v>
      </c>
      <c r="O3481" s="3" t="s">
        <v>20</v>
      </c>
      <c r="P3481" s="3" t="s">
        <v>16</v>
      </c>
      <c r="Q3481" s="4">
        <v>4</v>
      </c>
      <c r="R3481" s="4" t="str">
        <f>IF(Table1[[#This Row],[Customer Ratings]]&gt;=4, "Good",IF(Table1[[#This Row],[Customer Ratings]]=3, "Average","Poor"))</f>
        <v>Good</v>
      </c>
      <c r="S3481" s="3" t="s">
        <v>27</v>
      </c>
    </row>
    <row r="3482" spans="1:19" x14ac:dyDescent="0.25">
      <c r="A3482" s="3">
        <v>3481</v>
      </c>
      <c r="B3482" s="5">
        <f>DATE(Table1[[#This Row],[Year]],Table1[[#This Row],[Month]],Table1[[#This Row],[Day]])</f>
        <v>45469</v>
      </c>
      <c r="C3482" s="3">
        <v>26</v>
      </c>
      <c r="D3482" s="3">
        <v>6</v>
      </c>
      <c r="E3482" s="3">
        <v>2024</v>
      </c>
      <c r="F3482" s="3" t="str">
        <f>"Qtr"&amp; " " &amp;CHOOSE(MONTH(Table1[[#This Row],[Date]]),1,1,1,2,2,2,3,3,3,4,4,4)</f>
        <v>Qtr 2</v>
      </c>
      <c r="G3482" s="3" t="str">
        <f>TEXT(Table1[[#This Row],[Date]],"mmmm")</f>
        <v>June</v>
      </c>
      <c r="H3482" s="3" t="s">
        <v>1083</v>
      </c>
      <c r="I3482" s="3" t="s">
        <v>28</v>
      </c>
      <c r="J3482" s="3">
        <v>7</v>
      </c>
      <c r="K3482" s="3">
        <v>14031.85</v>
      </c>
      <c r="L3482" s="3">
        <f>Table1[[#This Row],[Price Per Unit]]*Table1[[#This Row],[Units Sold]]</f>
        <v>98222.95</v>
      </c>
      <c r="M3482" s="3" t="s">
        <v>816</v>
      </c>
      <c r="N3482" s="3">
        <v>25</v>
      </c>
      <c r="O3482" s="3" t="s">
        <v>20</v>
      </c>
      <c r="P3482" s="3" t="s">
        <v>16</v>
      </c>
      <c r="Q3482" s="4">
        <v>3</v>
      </c>
      <c r="R3482" s="4" t="str">
        <f>IF(Table1[[#This Row],[Customer Ratings]]&gt;=4, "Good",IF(Table1[[#This Row],[Customer Ratings]]=3, "Average","Poor"))</f>
        <v>Average</v>
      </c>
      <c r="S3482" s="3" t="s">
        <v>38</v>
      </c>
    </row>
    <row r="3483" spans="1:19" x14ac:dyDescent="0.25">
      <c r="A3483" s="3">
        <v>3482</v>
      </c>
      <c r="B3483" s="5">
        <f>DATE(Table1[[#This Row],[Year]],Table1[[#This Row],[Month]],Table1[[#This Row],[Day]])</f>
        <v>45470</v>
      </c>
      <c r="C3483" s="3">
        <v>27</v>
      </c>
      <c r="D3483" s="3">
        <v>6</v>
      </c>
      <c r="E3483" s="3">
        <v>2024</v>
      </c>
      <c r="F3483" s="3" t="str">
        <f>"Qtr"&amp; " " &amp;CHOOSE(MONTH(Table1[[#This Row],[Date]]),1,1,1,2,2,2,3,3,3,4,4,4)</f>
        <v>Qtr 2</v>
      </c>
      <c r="G3483" s="3" t="str">
        <f>TEXT(Table1[[#This Row],[Date]],"mmmm")</f>
        <v>June</v>
      </c>
      <c r="H3483" s="3" t="s">
        <v>1084</v>
      </c>
      <c r="I3483" s="3" t="s">
        <v>33</v>
      </c>
      <c r="J3483" s="3">
        <v>7</v>
      </c>
      <c r="K3483" s="3">
        <v>25189.13</v>
      </c>
      <c r="L3483" s="3">
        <f>Table1[[#This Row],[Price Per Unit]]*Table1[[#This Row],[Units Sold]]</f>
        <v>176323.91</v>
      </c>
      <c r="M3483" s="3" t="s">
        <v>402</v>
      </c>
      <c r="N3483" s="3">
        <v>34</v>
      </c>
      <c r="O3483" s="3" t="s">
        <v>30</v>
      </c>
      <c r="P3483" s="3" t="s">
        <v>21</v>
      </c>
      <c r="Q3483" s="4">
        <v>2</v>
      </c>
      <c r="R3483" s="4" t="str">
        <f>IF(Table1[[#This Row],[Customer Ratings]]&gt;=4, "Good",IF(Table1[[#This Row],[Customer Ratings]]=3, "Average","Poor"))</f>
        <v>Poor</v>
      </c>
      <c r="S3483" s="3" t="s">
        <v>36</v>
      </c>
    </row>
    <row r="3484" spans="1:19" x14ac:dyDescent="0.25">
      <c r="A3484" s="3">
        <v>3483</v>
      </c>
      <c r="B3484" s="5">
        <f>DATE(Table1[[#This Row],[Year]],Table1[[#This Row],[Month]],Table1[[#This Row],[Day]])</f>
        <v>45470</v>
      </c>
      <c r="C3484" s="3">
        <v>27</v>
      </c>
      <c r="D3484" s="3">
        <v>6</v>
      </c>
      <c r="E3484" s="3">
        <v>2024</v>
      </c>
      <c r="F3484" s="3" t="str">
        <f>"Qtr"&amp; " " &amp;CHOOSE(MONTH(Table1[[#This Row],[Date]]),1,1,1,2,2,2,3,3,3,4,4,4)</f>
        <v>Qtr 2</v>
      </c>
      <c r="G3484" s="3" t="str">
        <f>TEXT(Table1[[#This Row],[Date]],"mmmm")</f>
        <v>June</v>
      </c>
      <c r="H3484" s="3" t="s">
        <v>1084</v>
      </c>
      <c r="I3484" s="3" t="s">
        <v>28</v>
      </c>
      <c r="J3484" s="3">
        <v>4</v>
      </c>
      <c r="K3484" s="3">
        <v>58475.91</v>
      </c>
      <c r="L3484" s="3">
        <f>Table1[[#This Row],[Price Per Unit]]*Table1[[#This Row],[Units Sold]]</f>
        <v>233903.64</v>
      </c>
      <c r="M3484" s="3" t="s">
        <v>431</v>
      </c>
      <c r="N3484" s="3">
        <v>33</v>
      </c>
      <c r="O3484" s="3" t="s">
        <v>24</v>
      </c>
      <c r="P3484" s="3" t="s">
        <v>31</v>
      </c>
      <c r="Q3484" s="4">
        <v>5</v>
      </c>
      <c r="R3484" s="4" t="str">
        <f>IF(Table1[[#This Row],[Customer Ratings]]&gt;=4, "Good",IF(Table1[[#This Row],[Customer Ratings]]=3, "Average","Poor"))</f>
        <v>Good</v>
      </c>
      <c r="S3484" s="3" t="s">
        <v>87</v>
      </c>
    </row>
    <row r="3485" spans="1:19" x14ac:dyDescent="0.25">
      <c r="A3485" s="3">
        <v>3484</v>
      </c>
      <c r="B3485" s="5">
        <f>DATE(Table1[[#This Row],[Year]],Table1[[#This Row],[Month]],Table1[[#This Row],[Day]])</f>
        <v>45470</v>
      </c>
      <c r="C3485" s="3">
        <v>27</v>
      </c>
      <c r="D3485" s="3">
        <v>6</v>
      </c>
      <c r="E3485" s="3">
        <v>2024</v>
      </c>
      <c r="F3485" s="3" t="str">
        <f>"Qtr"&amp; " " &amp;CHOOSE(MONTH(Table1[[#This Row],[Date]]),1,1,1,2,2,2,3,3,3,4,4,4)</f>
        <v>Qtr 2</v>
      </c>
      <c r="G3485" s="3" t="str">
        <f>TEXT(Table1[[#This Row],[Date]],"mmmm")</f>
        <v>June</v>
      </c>
      <c r="H3485" s="3" t="s">
        <v>1084</v>
      </c>
      <c r="I3485" s="3" t="s">
        <v>28</v>
      </c>
      <c r="J3485" s="3">
        <v>9</v>
      </c>
      <c r="K3485" s="3">
        <v>20027.95</v>
      </c>
      <c r="L3485" s="3">
        <f>Table1[[#This Row],[Price Per Unit]]*Table1[[#This Row],[Units Sold]]</f>
        <v>180251.55000000002</v>
      </c>
      <c r="M3485" s="3" t="s">
        <v>356</v>
      </c>
      <c r="N3485" s="3">
        <v>33</v>
      </c>
      <c r="O3485" s="3" t="s">
        <v>78</v>
      </c>
      <c r="P3485" s="3" t="s">
        <v>45</v>
      </c>
      <c r="Q3485" s="4">
        <v>5</v>
      </c>
      <c r="R3485" s="4" t="str">
        <f>IF(Table1[[#This Row],[Customer Ratings]]&gt;=4, "Good",IF(Table1[[#This Row],[Customer Ratings]]=3, "Average","Poor"))</f>
        <v>Good</v>
      </c>
      <c r="S3485" s="3" t="s">
        <v>32</v>
      </c>
    </row>
    <row r="3486" spans="1:19" x14ac:dyDescent="0.25">
      <c r="A3486" s="3">
        <v>3485</v>
      </c>
      <c r="B3486" s="5">
        <f>DATE(Table1[[#This Row],[Year]],Table1[[#This Row],[Month]],Table1[[#This Row],[Day]])</f>
        <v>45470</v>
      </c>
      <c r="C3486" s="3">
        <v>27</v>
      </c>
      <c r="D3486" s="3">
        <v>6</v>
      </c>
      <c r="E3486" s="3">
        <v>2024</v>
      </c>
      <c r="F3486" s="3" t="str">
        <f>"Qtr"&amp; " " &amp;CHOOSE(MONTH(Table1[[#This Row],[Date]]),1,1,1,2,2,2,3,3,3,4,4,4)</f>
        <v>Qtr 2</v>
      </c>
      <c r="G3486" s="3" t="str">
        <f>TEXT(Table1[[#This Row],[Date]],"mmmm")</f>
        <v>June</v>
      </c>
      <c r="H3486" s="3" t="s">
        <v>1084</v>
      </c>
      <c r="I3486" s="3" t="s">
        <v>28</v>
      </c>
      <c r="J3486" s="3">
        <v>6</v>
      </c>
      <c r="K3486" s="3">
        <v>51908.83</v>
      </c>
      <c r="L3486" s="3">
        <f>Table1[[#This Row],[Price Per Unit]]*Table1[[#This Row],[Units Sold]]</f>
        <v>311452.98</v>
      </c>
      <c r="M3486" s="3" t="s">
        <v>870</v>
      </c>
      <c r="N3486" s="3">
        <v>45</v>
      </c>
      <c r="O3486" s="3" t="s">
        <v>24</v>
      </c>
      <c r="P3486" s="3" t="s">
        <v>31</v>
      </c>
      <c r="Q3486" s="4">
        <v>5</v>
      </c>
      <c r="R3486" s="4" t="str">
        <f>IF(Table1[[#This Row],[Customer Ratings]]&gt;=4, "Good",IF(Table1[[#This Row],[Customer Ratings]]=3, "Average","Poor"))</f>
        <v>Good</v>
      </c>
      <c r="S3486" s="3" t="s">
        <v>32</v>
      </c>
    </row>
    <row r="3487" spans="1:19" x14ac:dyDescent="0.25">
      <c r="A3487" s="3">
        <v>3486</v>
      </c>
      <c r="B3487" s="5">
        <f>DATE(Table1[[#This Row],[Year]],Table1[[#This Row],[Month]],Table1[[#This Row],[Day]])</f>
        <v>45471</v>
      </c>
      <c r="C3487" s="3">
        <v>28</v>
      </c>
      <c r="D3487" s="3">
        <v>6</v>
      </c>
      <c r="E3487" s="3">
        <v>2024</v>
      </c>
      <c r="F3487" s="3" t="str">
        <f>"Qtr"&amp; " " &amp;CHOOSE(MONTH(Table1[[#This Row],[Date]]),1,1,1,2,2,2,3,3,3,4,4,4)</f>
        <v>Qtr 2</v>
      </c>
      <c r="G3487" s="3" t="str">
        <f>TEXT(Table1[[#This Row],[Date]],"mmmm")</f>
        <v>June</v>
      </c>
      <c r="H3487" s="3" t="s">
        <v>1085</v>
      </c>
      <c r="I3487" s="3" t="s">
        <v>33</v>
      </c>
      <c r="J3487" s="3">
        <v>2</v>
      </c>
      <c r="K3487" s="3">
        <v>56815.56</v>
      </c>
      <c r="L3487" s="3">
        <f>Table1[[#This Row],[Price Per Unit]]*Table1[[#This Row],[Units Sold]]</f>
        <v>113631.12</v>
      </c>
      <c r="M3487" s="3" t="s">
        <v>343</v>
      </c>
      <c r="N3487" s="3">
        <v>33</v>
      </c>
      <c r="O3487" s="3" t="s">
        <v>65</v>
      </c>
      <c r="P3487" s="3" t="s">
        <v>16</v>
      </c>
      <c r="Q3487" s="4">
        <v>3</v>
      </c>
      <c r="R3487" s="4" t="str">
        <f>IF(Table1[[#This Row],[Customer Ratings]]&gt;=4, "Good",IF(Table1[[#This Row],[Customer Ratings]]=3, "Average","Poor"))</f>
        <v>Average</v>
      </c>
      <c r="S3487" s="3" t="s">
        <v>36</v>
      </c>
    </row>
    <row r="3488" spans="1:19" x14ac:dyDescent="0.25">
      <c r="A3488" s="3">
        <v>3487</v>
      </c>
      <c r="B3488" s="5">
        <f>DATE(Table1[[#This Row],[Year]],Table1[[#This Row],[Month]],Table1[[#This Row],[Day]])</f>
        <v>45471</v>
      </c>
      <c r="C3488" s="3">
        <v>28</v>
      </c>
      <c r="D3488" s="3">
        <v>6</v>
      </c>
      <c r="E3488" s="3">
        <v>2024</v>
      </c>
      <c r="F3488" s="3" t="str">
        <f>"Qtr"&amp; " " &amp;CHOOSE(MONTH(Table1[[#This Row],[Date]]),1,1,1,2,2,2,3,3,3,4,4,4)</f>
        <v>Qtr 2</v>
      </c>
      <c r="G3488" s="3" t="str">
        <f>TEXT(Table1[[#This Row],[Date]],"mmmm")</f>
        <v>June</v>
      </c>
      <c r="H3488" s="3" t="s">
        <v>1085</v>
      </c>
      <c r="I3488" s="3" t="s">
        <v>33</v>
      </c>
      <c r="J3488" s="3">
        <v>1</v>
      </c>
      <c r="K3488" s="3">
        <v>29806.71</v>
      </c>
      <c r="L3488" s="3">
        <f>Table1[[#This Row],[Price Per Unit]]*Table1[[#This Row],[Units Sold]]</f>
        <v>29806.71</v>
      </c>
      <c r="M3488" s="3" t="s">
        <v>849</v>
      </c>
      <c r="N3488" s="3">
        <v>31</v>
      </c>
      <c r="O3488" s="3" t="s">
        <v>125</v>
      </c>
      <c r="P3488" s="3" t="s">
        <v>31</v>
      </c>
      <c r="Q3488" s="4">
        <v>4</v>
      </c>
      <c r="R3488" s="4" t="str">
        <f>IF(Table1[[#This Row],[Customer Ratings]]&gt;=4, "Good",IF(Table1[[#This Row],[Customer Ratings]]=3, "Average","Poor"))</f>
        <v>Good</v>
      </c>
      <c r="S3488" s="3" t="s">
        <v>36</v>
      </c>
    </row>
    <row r="3489" spans="1:19" x14ac:dyDescent="0.25">
      <c r="A3489" s="3">
        <v>3488</v>
      </c>
      <c r="B3489" s="5">
        <f>DATE(Table1[[#This Row],[Year]],Table1[[#This Row],[Month]],Table1[[#This Row],[Day]])</f>
        <v>45471</v>
      </c>
      <c r="C3489" s="3">
        <v>28</v>
      </c>
      <c r="D3489" s="3">
        <v>6</v>
      </c>
      <c r="E3489" s="3">
        <v>2024</v>
      </c>
      <c r="F3489" s="3" t="str">
        <f>"Qtr"&amp; " " &amp;CHOOSE(MONTH(Table1[[#This Row],[Date]]),1,1,1,2,2,2,3,3,3,4,4,4)</f>
        <v>Qtr 2</v>
      </c>
      <c r="G3489" s="3" t="str">
        <f>TEXT(Table1[[#This Row],[Date]],"mmmm")</f>
        <v>June</v>
      </c>
      <c r="H3489" s="3" t="s">
        <v>1085</v>
      </c>
      <c r="I3489" s="3" t="s">
        <v>39</v>
      </c>
      <c r="J3489" s="3">
        <v>1</v>
      </c>
      <c r="K3489" s="3">
        <v>29337.85</v>
      </c>
      <c r="L3489" s="3">
        <f>Table1[[#This Row],[Price Per Unit]]*Table1[[#This Row],[Units Sold]]</f>
        <v>29337.85</v>
      </c>
      <c r="M3489" s="3" t="s">
        <v>29</v>
      </c>
      <c r="N3489" s="3">
        <v>55</v>
      </c>
      <c r="O3489" s="3" t="s">
        <v>52</v>
      </c>
      <c r="P3489" s="3" t="s">
        <v>45</v>
      </c>
      <c r="Q3489" s="4">
        <v>4</v>
      </c>
      <c r="R3489" s="4" t="str">
        <f>IF(Table1[[#This Row],[Customer Ratings]]&gt;=4, "Good",IF(Table1[[#This Row],[Customer Ratings]]=3, "Average","Poor"))</f>
        <v>Good</v>
      </c>
      <c r="S3489" s="3" t="s">
        <v>90</v>
      </c>
    </row>
    <row r="3490" spans="1:19" x14ac:dyDescent="0.25">
      <c r="A3490" s="3">
        <v>3489</v>
      </c>
      <c r="B3490" s="5">
        <f>DATE(Table1[[#This Row],[Year]],Table1[[#This Row],[Month]],Table1[[#This Row],[Day]])</f>
        <v>45471</v>
      </c>
      <c r="C3490" s="3">
        <v>28</v>
      </c>
      <c r="D3490" s="3">
        <v>6</v>
      </c>
      <c r="E3490" s="3">
        <v>2024</v>
      </c>
      <c r="F3490" s="3" t="str">
        <f>"Qtr"&amp; " " &amp;CHOOSE(MONTH(Table1[[#This Row],[Date]]),1,1,1,2,2,2,3,3,3,4,4,4)</f>
        <v>Qtr 2</v>
      </c>
      <c r="G3490" s="3" t="str">
        <f>TEXT(Table1[[#This Row],[Date]],"mmmm")</f>
        <v>June</v>
      </c>
      <c r="H3490" s="3" t="s">
        <v>1085</v>
      </c>
      <c r="I3490" s="3" t="s">
        <v>13</v>
      </c>
      <c r="J3490" s="3">
        <v>9</v>
      </c>
      <c r="K3490" s="3">
        <v>43468.160000000003</v>
      </c>
      <c r="L3490" s="3">
        <f>Table1[[#This Row],[Price Per Unit]]*Table1[[#This Row],[Units Sold]]</f>
        <v>391213.44000000006</v>
      </c>
      <c r="M3490" s="3" t="s">
        <v>940</v>
      </c>
      <c r="N3490" s="3">
        <v>37</v>
      </c>
      <c r="O3490" s="3" t="s">
        <v>78</v>
      </c>
      <c r="P3490" s="3" t="s">
        <v>31</v>
      </c>
      <c r="Q3490" s="4">
        <v>3</v>
      </c>
      <c r="R3490" s="4" t="str">
        <f>IF(Table1[[#This Row],[Customer Ratings]]&gt;=4, "Good",IF(Table1[[#This Row],[Customer Ratings]]=3, "Average","Poor"))</f>
        <v>Average</v>
      </c>
      <c r="S3490" s="3" t="s">
        <v>17</v>
      </c>
    </row>
    <row r="3491" spans="1:19" x14ac:dyDescent="0.25">
      <c r="A3491" s="3">
        <v>3490</v>
      </c>
      <c r="B3491" s="5">
        <f>DATE(Table1[[#This Row],[Year]],Table1[[#This Row],[Month]],Table1[[#This Row],[Day]])</f>
        <v>45472</v>
      </c>
      <c r="C3491" s="3">
        <v>29</v>
      </c>
      <c r="D3491" s="3">
        <v>6</v>
      </c>
      <c r="E3491" s="3">
        <v>2024</v>
      </c>
      <c r="F3491" s="3" t="str">
        <f>"Qtr"&amp; " " &amp;CHOOSE(MONTH(Table1[[#This Row],[Date]]),1,1,1,2,2,2,3,3,3,4,4,4)</f>
        <v>Qtr 2</v>
      </c>
      <c r="G3491" s="3" t="str">
        <f>TEXT(Table1[[#This Row],[Date]],"mmmm")</f>
        <v>June</v>
      </c>
      <c r="H3491" s="3" t="s">
        <v>1079</v>
      </c>
      <c r="I3491" s="3" t="s">
        <v>13</v>
      </c>
      <c r="J3491" s="3">
        <v>4</v>
      </c>
      <c r="K3491" s="3">
        <v>61677.18</v>
      </c>
      <c r="L3491" s="3">
        <f>Table1[[#This Row],[Price Per Unit]]*Table1[[#This Row],[Units Sold]]</f>
        <v>246708.72</v>
      </c>
      <c r="M3491" s="3" t="s">
        <v>86</v>
      </c>
      <c r="N3491" s="3">
        <v>58</v>
      </c>
      <c r="O3491" s="3" t="s">
        <v>24</v>
      </c>
      <c r="P3491" s="3" t="s">
        <v>16</v>
      </c>
      <c r="Q3491" s="4">
        <v>3</v>
      </c>
      <c r="R3491" s="4" t="str">
        <f>IF(Table1[[#This Row],[Customer Ratings]]&gt;=4, "Good",IF(Table1[[#This Row],[Customer Ratings]]=3, "Average","Poor"))</f>
        <v>Average</v>
      </c>
      <c r="S3491" s="3" t="s">
        <v>17</v>
      </c>
    </row>
    <row r="3492" spans="1:19" x14ac:dyDescent="0.25">
      <c r="A3492" s="3">
        <v>3491</v>
      </c>
      <c r="B3492" s="5">
        <f>DATE(Table1[[#This Row],[Year]],Table1[[#This Row],[Month]],Table1[[#This Row],[Day]])</f>
        <v>45472</v>
      </c>
      <c r="C3492" s="3">
        <v>29</v>
      </c>
      <c r="D3492" s="3">
        <v>6</v>
      </c>
      <c r="E3492" s="3">
        <v>2024</v>
      </c>
      <c r="F3492" s="3" t="str">
        <f>"Qtr"&amp; " " &amp;CHOOSE(MONTH(Table1[[#This Row],[Date]]),1,1,1,2,2,2,3,3,3,4,4,4)</f>
        <v>Qtr 2</v>
      </c>
      <c r="G3492" s="3" t="str">
        <f>TEXT(Table1[[#This Row],[Date]],"mmmm")</f>
        <v>June</v>
      </c>
      <c r="H3492" s="3" t="s">
        <v>1079</v>
      </c>
      <c r="I3492" s="3" t="s">
        <v>39</v>
      </c>
      <c r="J3492" s="3">
        <v>5</v>
      </c>
      <c r="K3492" s="3">
        <v>23434.37</v>
      </c>
      <c r="L3492" s="3">
        <f>Table1[[#This Row],[Price Per Unit]]*Table1[[#This Row],[Units Sold]]</f>
        <v>117171.84999999999</v>
      </c>
      <c r="M3492" s="3" t="s">
        <v>382</v>
      </c>
      <c r="N3492" s="3">
        <v>51</v>
      </c>
      <c r="O3492" s="3" t="s">
        <v>24</v>
      </c>
      <c r="P3492" s="3" t="s">
        <v>45</v>
      </c>
      <c r="Q3492" s="4">
        <v>2</v>
      </c>
      <c r="R3492" s="4" t="str">
        <f>IF(Table1[[#This Row],[Customer Ratings]]&gt;=4, "Good",IF(Table1[[#This Row],[Customer Ratings]]=3, "Average","Poor"))</f>
        <v>Poor</v>
      </c>
      <c r="S3492" s="3" t="s">
        <v>76</v>
      </c>
    </row>
    <row r="3493" spans="1:19" x14ac:dyDescent="0.25">
      <c r="A3493" s="3">
        <v>3492</v>
      </c>
      <c r="B3493" s="5">
        <f>DATE(Table1[[#This Row],[Year]],Table1[[#This Row],[Month]],Table1[[#This Row],[Day]])</f>
        <v>45472</v>
      </c>
      <c r="C3493" s="3">
        <v>29</v>
      </c>
      <c r="D3493" s="3">
        <v>6</v>
      </c>
      <c r="E3493" s="3">
        <v>2024</v>
      </c>
      <c r="F3493" s="3" t="str">
        <f>"Qtr"&amp; " " &amp;CHOOSE(MONTH(Table1[[#This Row],[Date]]),1,1,1,2,2,2,3,3,3,4,4,4)</f>
        <v>Qtr 2</v>
      </c>
      <c r="G3493" s="3" t="str">
        <f>TEXT(Table1[[#This Row],[Date]],"mmmm")</f>
        <v>June</v>
      </c>
      <c r="H3493" s="3" t="s">
        <v>1079</v>
      </c>
      <c r="I3493" s="3" t="s">
        <v>39</v>
      </c>
      <c r="J3493" s="3">
        <v>3</v>
      </c>
      <c r="K3493" s="3">
        <v>66475.490000000005</v>
      </c>
      <c r="L3493" s="3">
        <f>Table1[[#This Row],[Price Per Unit]]*Table1[[#This Row],[Units Sold]]</f>
        <v>199426.47000000003</v>
      </c>
      <c r="M3493" s="3" t="s">
        <v>608</v>
      </c>
      <c r="N3493" s="3">
        <v>46</v>
      </c>
      <c r="O3493" s="3" t="s">
        <v>20</v>
      </c>
      <c r="P3493" s="3" t="s">
        <v>31</v>
      </c>
      <c r="Q3493" s="4">
        <v>5</v>
      </c>
      <c r="R3493" s="4" t="str">
        <f>IF(Table1[[#This Row],[Customer Ratings]]&gt;=4, "Good",IF(Table1[[#This Row],[Customer Ratings]]=3, "Average","Poor"))</f>
        <v>Good</v>
      </c>
      <c r="S3493" s="3" t="s">
        <v>76</v>
      </c>
    </row>
    <row r="3494" spans="1:19" x14ac:dyDescent="0.25">
      <c r="A3494" s="3">
        <v>3493</v>
      </c>
      <c r="B3494" s="5">
        <f>DATE(Table1[[#This Row],[Year]],Table1[[#This Row],[Month]],Table1[[#This Row],[Day]])</f>
        <v>45472</v>
      </c>
      <c r="C3494" s="3">
        <v>29</v>
      </c>
      <c r="D3494" s="3">
        <v>6</v>
      </c>
      <c r="E3494" s="3">
        <v>2024</v>
      </c>
      <c r="F3494" s="3" t="str">
        <f>"Qtr"&amp; " " &amp;CHOOSE(MONTH(Table1[[#This Row],[Date]]),1,1,1,2,2,2,3,3,3,4,4,4)</f>
        <v>Qtr 2</v>
      </c>
      <c r="G3494" s="3" t="str">
        <f>TEXT(Table1[[#This Row],[Date]],"mmmm")</f>
        <v>June</v>
      </c>
      <c r="H3494" s="3" t="s">
        <v>1079</v>
      </c>
      <c r="I3494" s="3" t="s">
        <v>28</v>
      </c>
      <c r="J3494" s="3">
        <v>4</v>
      </c>
      <c r="K3494" s="3">
        <v>45947.12</v>
      </c>
      <c r="L3494" s="3">
        <f>Table1[[#This Row],[Price Per Unit]]*Table1[[#This Row],[Units Sold]]</f>
        <v>183788.48</v>
      </c>
      <c r="M3494" s="3" t="s">
        <v>684</v>
      </c>
      <c r="N3494" s="3">
        <v>20</v>
      </c>
      <c r="O3494" s="3" t="s">
        <v>102</v>
      </c>
      <c r="P3494" s="3" t="s">
        <v>31</v>
      </c>
      <c r="Q3494" s="4">
        <v>5</v>
      </c>
      <c r="R3494" s="4" t="str">
        <f>IF(Table1[[#This Row],[Customer Ratings]]&gt;=4, "Good",IF(Table1[[#This Row],[Customer Ratings]]=3, "Average","Poor"))</f>
        <v>Good</v>
      </c>
      <c r="S3494" s="3" t="s">
        <v>38</v>
      </c>
    </row>
    <row r="3495" spans="1:19" x14ac:dyDescent="0.25">
      <c r="A3495" s="3">
        <v>3494</v>
      </c>
      <c r="B3495" s="5">
        <f>DATE(Table1[[#This Row],[Year]],Table1[[#This Row],[Month]],Table1[[#This Row],[Day]])</f>
        <v>45473</v>
      </c>
      <c r="C3495" s="3">
        <v>30</v>
      </c>
      <c r="D3495" s="3">
        <v>6</v>
      </c>
      <c r="E3495" s="3">
        <v>2024</v>
      </c>
      <c r="F3495" s="3" t="str">
        <f>"Qtr"&amp; " " &amp;CHOOSE(MONTH(Table1[[#This Row],[Date]]),1,1,1,2,2,2,3,3,3,4,4,4)</f>
        <v>Qtr 2</v>
      </c>
      <c r="G3495" s="3" t="str">
        <f>TEXT(Table1[[#This Row],[Date]],"mmmm")</f>
        <v>June</v>
      </c>
      <c r="H3495" s="3" t="s">
        <v>1080</v>
      </c>
      <c r="I3495" s="3" t="s">
        <v>39</v>
      </c>
      <c r="J3495" s="3">
        <v>8</v>
      </c>
      <c r="K3495" s="3">
        <v>69527.59</v>
      </c>
      <c r="L3495" s="3">
        <f>Table1[[#This Row],[Price Per Unit]]*Table1[[#This Row],[Units Sold]]</f>
        <v>556220.72</v>
      </c>
      <c r="M3495" s="3" t="s">
        <v>561</v>
      </c>
      <c r="N3495" s="3">
        <v>27</v>
      </c>
      <c r="O3495" s="3" t="s">
        <v>24</v>
      </c>
      <c r="P3495" s="3" t="s">
        <v>45</v>
      </c>
      <c r="Q3495" s="4">
        <v>5</v>
      </c>
      <c r="R3495" s="4" t="str">
        <f>IF(Table1[[#This Row],[Customer Ratings]]&gt;=4, "Good",IF(Table1[[#This Row],[Customer Ratings]]=3, "Average","Poor"))</f>
        <v>Good</v>
      </c>
      <c r="S3495" s="3" t="s">
        <v>76</v>
      </c>
    </row>
    <row r="3496" spans="1:19" x14ac:dyDescent="0.25">
      <c r="A3496" s="3">
        <v>3495</v>
      </c>
      <c r="B3496" s="5">
        <f>DATE(Table1[[#This Row],[Year]],Table1[[#This Row],[Month]],Table1[[#This Row],[Day]])</f>
        <v>45473</v>
      </c>
      <c r="C3496" s="3">
        <v>30</v>
      </c>
      <c r="D3496" s="3">
        <v>6</v>
      </c>
      <c r="E3496" s="3">
        <v>2024</v>
      </c>
      <c r="F3496" s="3" t="str">
        <f>"Qtr"&amp; " " &amp;CHOOSE(MONTH(Table1[[#This Row],[Date]]),1,1,1,2,2,2,3,3,3,4,4,4)</f>
        <v>Qtr 2</v>
      </c>
      <c r="G3496" s="3" t="str">
        <f>TEXT(Table1[[#This Row],[Date]],"mmmm")</f>
        <v>June</v>
      </c>
      <c r="H3496" s="3" t="s">
        <v>1080</v>
      </c>
      <c r="I3496" s="3" t="s">
        <v>18</v>
      </c>
      <c r="J3496" s="3">
        <v>4</v>
      </c>
      <c r="K3496" s="3">
        <v>15376.82</v>
      </c>
      <c r="L3496" s="3">
        <f>Table1[[#This Row],[Price Per Unit]]*Table1[[#This Row],[Units Sold]]</f>
        <v>61507.28</v>
      </c>
      <c r="M3496" s="3" t="s">
        <v>569</v>
      </c>
      <c r="N3496" s="3">
        <v>37</v>
      </c>
      <c r="O3496" s="3" t="s">
        <v>125</v>
      </c>
      <c r="P3496" s="3" t="s">
        <v>16</v>
      </c>
      <c r="Q3496" s="4">
        <v>4</v>
      </c>
      <c r="R3496" s="4" t="str">
        <f>IF(Table1[[#This Row],[Customer Ratings]]&gt;=4, "Good",IF(Table1[[#This Row],[Customer Ratings]]=3, "Average","Poor"))</f>
        <v>Good</v>
      </c>
      <c r="S3496" s="3" t="s">
        <v>55</v>
      </c>
    </row>
    <row r="3497" spans="1:19" x14ac:dyDescent="0.25">
      <c r="A3497" s="3">
        <v>3496</v>
      </c>
      <c r="B3497" s="5">
        <f>DATE(Table1[[#This Row],[Year]],Table1[[#This Row],[Month]],Table1[[#This Row],[Day]])</f>
        <v>45473</v>
      </c>
      <c r="C3497" s="3">
        <v>30</v>
      </c>
      <c r="D3497" s="3">
        <v>6</v>
      </c>
      <c r="E3497" s="3">
        <v>2024</v>
      </c>
      <c r="F3497" s="3" t="str">
        <f>"Qtr"&amp; " " &amp;CHOOSE(MONTH(Table1[[#This Row],[Date]]),1,1,1,2,2,2,3,3,3,4,4,4)</f>
        <v>Qtr 2</v>
      </c>
      <c r="G3497" s="3" t="str">
        <f>TEXT(Table1[[#This Row],[Date]],"mmmm")</f>
        <v>June</v>
      </c>
      <c r="H3497" s="3" t="s">
        <v>1080</v>
      </c>
      <c r="I3497" s="3" t="s">
        <v>13</v>
      </c>
      <c r="J3497" s="3">
        <v>9</v>
      </c>
      <c r="K3497" s="3">
        <v>17593.73</v>
      </c>
      <c r="L3497" s="3">
        <f>Table1[[#This Row],[Price Per Unit]]*Table1[[#This Row],[Units Sold]]</f>
        <v>158343.57</v>
      </c>
      <c r="M3497" s="3" t="s">
        <v>785</v>
      </c>
      <c r="N3497" s="3">
        <v>19</v>
      </c>
      <c r="O3497" s="3" t="s">
        <v>20</v>
      </c>
      <c r="P3497" s="3" t="s">
        <v>45</v>
      </c>
      <c r="Q3497" s="4">
        <v>5</v>
      </c>
      <c r="R3497" s="4" t="str">
        <f>IF(Table1[[#This Row],[Customer Ratings]]&gt;=4, "Good",IF(Table1[[#This Row],[Customer Ratings]]=3, "Average","Poor"))</f>
        <v>Good</v>
      </c>
      <c r="S3497" s="3" t="s">
        <v>17</v>
      </c>
    </row>
    <row r="3498" spans="1:19" x14ac:dyDescent="0.25">
      <c r="A3498" s="3">
        <v>3497</v>
      </c>
      <c r="B3498" s="5">
        <f>DATE(Table1[[#This Row],[Year]],Table1[[#This Row],[Month]],Table1[[#This Row],[Day]])</f>
        <v>45474</v>
      </c>
      <c r="C3498" s="3">
        <v>1</v>
      </c>
      <c r="D3498" s="3">
        <v>7</v>
      </c>
      <c r="E3498" s="3">
        <v>2024</v>
      </c>
      <c r="F3498" s="3" t="str">
        <f>"Qtr"&amp; " " &amp;CHOOSE(MONTH(Table1[[#This Row],[Date]]),1,1,1,2,2,2,3,3,3,4,4,4)</f>
        <v>Qtr 3</v>
      </c>
      <c r="G3498" s="3" t="str">
        <f>TEXT(Table1[[#This Row],[Date]],"mmmm")</f>
        <v>July</v>
      </c>
      <c r="H3498" s="3" t="s">
        <v>1081</v>
      </c>
      <c r="I3498" s="3" t="s">
        <v>39</v>
      </c>
      <c r="J3498" s="3">
        <v>9</v>
      </c>
      <c r="K3498" s="3">
        <v>59598.51</v>
      </c>
      <c r="L3498" s="3">
        <f>Table1[[#This Row],[Price Per Unit]]*Table1[[#This Row],[Units Sold]]</f>
        <v>536386.59</v>
      </c>
      <c r="M3498" s="3" t="s">
        <v>508</v>
      </c>
      <c r="N3498" s="3">
        <v>44</v>
      </c>
      <c r="O3498" s="3" t="s">
        <v>30</v>
      </c>
      <c r="P3498" s="3" t="s">
        <v>16</v>
      </c>
      <c r="Q3498" s="4">
        <v>4</v>
      </c>
      <c r="R3498" s="4" t="str">
        <f>IF(Table1[[#This Row],[Customer Ratings]]&gt;=4, "Good",IF(Table1[[#This Row],[Customer Ratings]]=3, "Average","Poor"))</f>
        <v>Good</v>
      </c>
      <c r="S3498" s="3" t="s">
        <v>90</v>
      </c>
    </row>
    <row r="3499" spans="1:19" x14ac:dyDescent="0.25">
      <c r="A3499" s="3">
        <v>3498</v>
      </c>
      <c r="B3499" s="5">
        <f>DATE(Table1[[#This Row],[Year]],Table1[[#This Row],[Month]],Table1[[#This Row],[Day]])</f>
        <v>45474</v>
      </c>
      <c r="C3499" s="3">
        <v>1</v>
      </c>
      <c r="D3499" s="3">
        <v>7</v>
      </c>
      <c r="E3499" s="3">
        <v>2024</v>
      </c>
      <c r="F3499" s="3" t="str">
        <f>"Qtr"&amp; " " &amp;CHOOSE(MONTH(Table1[[#This Row],[Date]]),1,1,1,2,2,2,3,3,3,4,4,4)</f>
        <v>Qtr 3</v>
      </c>
      <c r="G3499" s="3" t="str">
        <f>TEXT(Table1[[#This Row],[Date]],"mmmm")</f>
        <v>July</v>
      </c>
      <c r="H3499" s="3" t="s">
        <v>1081</v>
      </c>
      <c r="I3499" s="3" t="s">
        <v>18</v>
      </c>
      <c r="J3499" s="3">
        <v>6</v>
      </c>
      <c r="K3499" s="3">
        <v>61885.35</v>
      </c>
      <c r="L3499" s="3">
        <f>Table1[[#This Row],[Price Per Unit]]*Table1[[#This Row],[Units Sold]]</f>
        <v>371312.1</v>
      </c>
      <c r="M3499" s="3" t="s">
        <v>925</v>
      </c>
      <c r="N3499" s="3">
        <v>49</v>
      </c>
      <c r="O3499" s="3" t="s">
        <v>20</v>
      </c>
      <c r="P3499" s="3" t="s">
        <v>31</v>
      </c>
      <c r="Q3499" s="4">
        <v>4</v>
      </c>
      <c r="R3499" s="4" t="str">
        <f>IF(Table1[[#This Row],[Customer Ratings]]&gt;=4, "Good",IF(Table1[[#This Row],[Customer Ratings]]=3, "Average","Poor"))</f>
        <v>Good</v>
      </c>
      <c r="S3499" s="3" t="s">
        <v>25</v>
      </c>
    </row>
    <row r="3500" spans="1:19" x14ac:dyDescent="0.25">
      <c r="A3500" s="3">
        <v>3499</v>
      </c>
      <c r="B3500" s="5">
        <f>DATE(Table1[[#This Row],[Year]],Table1[[#This Row],[Month]],Table1[[#This Row],[Day]])</f>
        <v>45474</v>
      </c>
      <c r="C3500" s="3">
        <v>1</v>
      </c>
      <c r="D3500" s="3">
        <v>7</v>
      </c>
      <c r="E3500" s="3">
        <v>2024</v>
      </c>
      <c r="F3500" s="3" t="str">
        <f>"Qtr"&amp; " " &amp;CHOOSE(MONTH(Table1[[#This Row],[Date]]),1,1,1,2,2,2,3,3,3,4,4,4)</f>
        <v>Qtr 3</v>
      </c>
      <c r="G3500" s="3" t="str">
        <f>TEXT(Table1[[#This Row],[Date]],"mmmm")</f>
        <v>July</v>
      </c>
      <c r="H3500" s="3" t="s">
        <v>1081</v>
      </c>
      <c r="I3500" s="3" t="s">
        <v>18</v>
      </c>
      <c r="J3500" s="3">
        <v>2</v>
      </c>
      <c r="K3500" s="3">
        <v>36727.519999999997</v>
      </c>
      <c r="L3500" s="3">
        <f>Table1[[#This Row],[Price Per Unit]]*Table1[[#This Row],[Units Sold]]</f>
        <v>73455.039999999994</v>
      </c>
      <c r="M3500" s="3" t="s">
        <v>639</v>
      </c>
      <c r="N3500" s="3">
        <v>27</v>
      </c>
      <c r="O3500" s="3" t="s">
        <v>52</v>
      </c>
      <c r="P3500" s="3" t="s">
        <v>45</v>
      </c>
      <c r="Q3500" s="4">
        <v>2</v>
      </c>
      <c r="R3500" s="4" t="str">
        <f>IF(Table1[[#This Row],[Customer Ratings]]&gt;=4, "Good",IF(Table1[[#This Row],[Customer Ratings]]=3, "Average","Poor"))</f>
        <v>Poor</v>
      </c>
      <c r="S3500" s="3" t="s">
        <v>22</v>
      </c>
    </row>
    <row r="3501" spans="1:19" x14ac:dyDescent="0.25">
      <c r="A3501" s="3">
        <v>3500</v>
      </c>
      <c r="B3501" s="5">
        <f>DATE(Table1[[#This Row],[Year]],Table1[[#This Row],[Month]],Table1[[#This Row],[Day]])</f>
        <v>45475</v>
      </c>
      <c r="C3501" s="3">
        <v>2</v>
      </c>
      <c r="D3501" s="3">
        <v>7</v>
      </c>
      <c r="E3501" s="3">
        <v>2024</v>
      </c>
      <c r="F3501" s="3" t="str">
        <f>"Qtr"&amp; " " &amp;CHOOSE(MONTH(Table1[[#This Row],[Date]]),1,1,1,2,2,2,3,3,3,4,4,4)</f>
        <v>Qtr 3</v>
      </c>
      <c r="G3501" s="3" t="str">
        <f>TEXT(Table1[[#This Row],[Date]],"mmmm")</f>
        <v>July</v>
      </c>
      <c r="H3501" s="3" t="s">
        <v>1082</v>
      </c>
      <c r="I3501" s="3" t="s">
        <v>18</v>
      </c>
      <c r="J3501" s="3">
        <v>7</v>
      </c>
      <c r="K3501" s="3">
        <v>52844.27</v>
      </c>
      <c r="L3501" s="3">
        <f>Table1[[#This Row],[Price Per Unit]]*Table1[[#This Row],[Units Sold]]</f>
        <v>369909.88999999996</v>
      </c>
      <c r="M3501" s="3" t="s">
        <v>1015</v>
      </c>
      <c r="N3501" s="3">
        <v>57</v>
      </c>
      <c r="O3501" s="3" t="s">
        <v>15</v>
      </c>
      <c r="P3501" s="3" t="s">
        <v>16</v>
      </c>
      <c r="Q3501" s="4">
        <v>3</v>
      </c>
      <c r="R3501" s="4" t="str">
        <f>IF(Table1[[#This Row],[Customer Ratings]]&gt;=4, "Good",IF(Table1[[#This Row],[Customer Ratings]]=3, "Average","Poor"))</f>
        <v>Average</v>
      </c>
      <c r="S3501" s="3" t="s">
        <v>22</v>
      </c>
    </row>
    <row r="3502" spans="1:19" x14ac:dyDescent="0.25">
      <c r="A3502" s="3">
        <v>3501</v>
      </c>
      <c r="B3502" s="5">
        <f>DATE(Table1[[#This Row],[Year]],Table1[[#This Row],[Month]],Table1[[#This Row],[Day]])</f>
        <v>45475</v>
      </c>
      <c r="C3502" s="3">
        <v>2</v>
      </c>
      <c r="D3502" s="3">
        <v>7</v>
      </c>
      <c r="E3502" s="3">
        <v>2024</v>
      </c>
      <c r="F3502" s="3" t="str">
        <f>"Qtr"&amp; " " &amp;CHOOSE(MONTH(Table1[[#This Row],[Date]]),1,1,1,2,2,2,3,3,3,4,4,4)</f>
        <v>Qtr 3</v>
      </c>
      <c r="G3502" s="3" t="str">
        <f>TEXT(Table1[[#This Row],[Date]],"mmmm")</f>
        <v>July</v>
      </c>
      <c r="H3502" s="3" t="s">
        <v>1082</v>
      </c>
      <c r="I3502" s="3" t="s">
        <v>18</v>
      </c>
      <c r="J3502" s="3">
        <v>9</v>
      </c>
      <c r="K3502" s="3">
        <v>62053.440000000002</v>
      </c>
      <c r="L3502" s="3">
        <f>Table1[[#This Row],[Price Per Unit]]*Table1[[#This Row],[Units Sold]]</f>
        <v>558480.96</v>
      </c>
      <c r="M3502" s="3" t="s">
        <v>70</v>
      </c>
      <c r="N3502" s="3">
        <v>34</v>
      </c>
      <c r="O3502" s="3" t="s">
        <v>20</v>
      </c>
      <c r="P3502" s="3" t="s">
        <v>45</v>
      </c>
      <c r="Q3502" s="4">
        <v>3</v>
      </c>
      <c r="R3502" s="4" t="str">
        <f>IF(Table1[[#This Row],[Customer Ratings]]&gt;=4, "Good",IF(Table1[[#This Row],[Customer Ratings]]=3, "Average","Poor"))</f>
        <v>Average</v>
      </c>
      <c r="S3502" s="3" t="s">
        <v>55</v>
      </c>
    </row>
    <row r="3503" spans="1:19" x14ac:dyDescent="0.25">
      <c r="A3503" s="3">
        <v>3502</v>
      </c>
      <c r="B3503" s="5">
        <f>DATE(Table1[[#This Row],[Year]],Table1[[#This Row],[Month]],Table1[[#This Row],[Day]])</f>
        <v>45475</v>
      </c>
      <c r="C3503" s="3">
        <v>2</v>
      </c>
      <c r="D3503" s="3">
        <v>7</v>
      </c>
      <c r="E3503" s="3">
        <v>2024</v>
      </c>
      <c r="F3503" s="3" t="str">
        <f>"Qtr"&amp; " " &amp;CHOOSE(MONTH(Table1[[#This Row],[Date]]),1,1,1,2,2,2,3,3,3,4,4,4)</f>
        <v>Qtr 3</v>
      </c>
      <c r="G3503" s="3" t="str">
        <f>TEXT(Table1[[#This Row],[Date]],"mmmm")</f>
        <v>July</v>
      </c>
      <c r="H3503" s="3" t="s">
        <v>1082</v>
      </c>
      <c r="I3503" s="3" t="s">
        <v>28</v>
      </c>
      <c r="J3503" s="3">
        <v>6</v>
      </c>
      <c r="K3503" s="3">
        <v>12587.67</v>
      </c>
      <c r="L3503" s="3">
        <f>Table1[[#This Row],[Price Per Unit]]*Table1[[#This Row],[Units Sold]]</f>
        <v>75526.02</v>
      </c>
      <c r="M3503" s="3" t="s">
        <v>1038</v>
      </c>
      <c r="N3503" s="3">
        <v>50</v>
      </c>
      <c r="O3503" s="3" t="s">
        <v>20</v>
      </c>
      <c r="P3503" s="3" t="s">
        <v>31</v>
      </c>
      <c r="Q3503" s="4">
        <v>3</v>
      </c>
      <c r="R3503" s="4" t="str">
        <f>IF(Table1[[#This Row],[Customer Ratings]]&gt;=4, "Good",IF(Table1[[#This Row],[Customer Ratings]]=3, "Average","Poor"))</f>
        <v>Average</v>
      </c>
      <c r="S3503" s="3" t="s">
        <v>87</v>
      </c>
    </row>
    <row r="3504" spans="1:19" x14ac:dyDescent="0.25">
      <c r="A3504" s="3">
        <v>3503</v>
      </c>
      <c r="B3504" s="5">
        <f>DATE(Table1[[#This Row],[Year]],Table1[[#This Row],[Month]],Table1[[#This Row],[Day]])</f>
        <v>45475</v>
      </c>
      <c r="C3504" s="3">
        <v>2</v>
      </c>
      <c r="D3504" s="3">
        <v>7</v>
      </c>
      <c r="E3504" s="3">
        <v>2024</v>
      </c>
      <c r="F3504" s="3" t="str">
        <f>"Qtr"&amp; " " &amp;CHOOSE(MONTH(Table1[[#This Row],[Date]]),1,1,1,2,2,2,3,3,3,4,4,4)</f>
        <v>Qtr 3</v>
      </c>
      <c r="G3504" s="3" t="str">
        <f>TEXT(Table1[[#This Row],[Date]],"mmmm")</f>
        <v>July</v>
      </c>
      <c r="H3504" s="3" t="s">
        <v>1082</v>
      </c>
      <c r="I3504" s="3" t="s">
        <v>18</v>
      </c>
      <c r="J3504" s="3">
        <v>3</v>
      </c>
      <c r="K3504" s="3">
        <v>44437.03</v>
      </c>
      <c r="L3504" s="3">
        <f>Table1[[#This Row],[Price Per Unit]]*Table1[[#This Row],[Units Sold]]</f>
        <v>133311.09</v>
      </c>
      <c r="M3504" s="3" t="s">
        <v>667</v>
      </c>
      <c r="N3504" s="3">
        <v>23</v>
      </c>
      <c r="O3504" s="3" t="s">
        <v>52</v>
      </c>
      <c r="P3504" s="3" t="s">
        <v>45</v>
      </c>
      <c r="Q3504" s="4">
        <v>5</v>
      </c>
      <c r="R3504" s="4" t="str">
        <f>IF(Table1[[#This Row],[Customer Ratings]]&gt;=4, "Good",IF(Table1[[#This Row],[Customer Ratings]]=3, "Average","Poor"))</f>
        <v>Good</v>
      </c>
      <c r="S3504" s="3" t="s">
        <v>22</v>
      </c>
    </row>
    <row r="3505" spans="1:19" x14ac:dyDescent="0.25">
      <c r="A3505" s="3">
        <v>3504</v>
      </c>
      <c r="B3505" s="5">
        <f>DATE(Table1[[#This Row],[Year]],Table1[[#This Row],[Month]],Table1[[#This Row],[Day]])</f>
        <v>45476</v>
      </c>
      <c r="C3505" s="3">
        <v>3</v>
      </c>
      <c r="D3505" s="3">
        <v>7</v>
      </c>
      <c r="E3505" s="3">
        <v>2024</v>
      </c>
      <c r="F3505" s="3" t="str">
        <f>"Qtr"&amp; " " &amp;CHOOSE(MONTH(Table1[[#This Row],[Date]]),1,1,1,2,2,2,3,3,3,4,4,4)</f>
        <v>Qtr 3</v>
      </c>
      <c r="G3505" s="3" t="str">
        <f>TEXT(Table1[[#This Row],[Date]],"mmmm")</f>
        <v>July</v>
      </c>
      <c r="H3505" s="3" t="s">
        <v>1083</v>
      </c>
      <c r="I3505" s="3" t="s">
        <v>28</v>
      </c>
      <c r="J3505" s="3">
        <v>7</v>
      </c>
      <c r="K3505" s="3">
        <v>61208.84</v>
      </c>
      <c r="L3505" s="3">
        <f>Table1[[#This Row],[Price Per Unit]]*Table1[[#This Row],[Units Sold]]</f>
        <v>428461.88</v>
      </c>
      <c r="M3505" s="3" t="s">
        <v>327</v>
      </c>
      <c r="N3505" s="3">
        <v>56</v>
      </c>
      <c r="O3505" s="3" t="s">
        <v>24</v>
      </c>
      <c r="P3505" s="3" t="s">
        <v>31</v>
      </c>
      <c r="Q3505" s="4">
        <v>3</v>
      </c>
      <c r="R3505" s="4" t="str">
        <f>IF(Table1[[#This Row],[Customer Ratings]]&gt;=4, "Good",IF(Table1[[#This Row],[Customer Ratings]]=3, "Average","Poor"))</f>
        <v>Average</v>
      </c>
      <c r="S3505" s="3" t="s">
        <v>32</v>
      </c>
    </row>
    <row r="3506" spans="1:19" x14ac:dyDescent="0.25">
      <c r="A3506" s="3">
        <v>3505</v>
      </c>
      <c r="B3506" s="5">
        <f>DATE(Table1[[#This Row],[Year]],Table1[[#This Row],[Month]],Table1[[#This Row],[Day]])</f>
        <v>45476</v>
      </c>
      <c r="C3506" s="3">
        <v>3</v>
      </c>
      <c r="D3506" s="3">
        <v>7</v>
      </c>
      <c r="E3506" s="3">
        <v>2024</v>
      </c>
      <c r="F3506" s="3" t="str">
        <f>"Qtr"&amp; " " &amp;CHOOSE(MONTH(Table1[[#This Row],[Date]]),1,1,1,2,2,2,3,3,3,4,4,4)</f>
        <v>Qtr 3</v>
      </c>
      <c r="G3506" s="3" t="str">
        <f>TEXT(Table1[[#This Row],[Date]],"mmmm")</f>
        <v>July</v>
      </c>
      <c r="H3506" s="3" t="s">
        <v>1083</v>
      </c>
      <c r="I3506" s="3" t="s">
        <v>28</v>
      </c>
      <c r="J3506" s="3">
        <v>5</v>
      </c>
      <c r="K3506" s="3">
        <v>33889.300000000003</v>
      </c>
      <c r="L3506" s="3">
        <f>Table1[[#This Row],[Price Per Unit]]*Table1[[#This Row],[Units Sold]]</f>
        <v>169446.5</v>
      </c>
      <c r="M3506" s="3" t="s">
        <v>696</v>
      </c>
      <c r="N3506" s="3">
        <v>35</v>
      </c>
      <c r="O3506" s="3" t="s">
        <v>137</v>
      </c>
      <c r="P3506" s="3" t="s">
        <v>31</v>
      </c>
      <c r="Q3506" s="4">
        <v>5</v>
      </c>
      <c r="R3506" s="4" t="str">
        <f>IF(Table1[[#This Row],[Customer Ratings]]&gt;=4, "Good",IF(Table1[[#This Row],[Customer Ratings]]=3, "Average","Poor"))</f>
        <v>Good</v>
      </c>
      <c r="S3506" s="3" t="s">
        <v>32</v>
      </c>
    </row>
    <row r="3507" spans="1:19" x14ac:dyDescent="0.25">
      <c r="A3507" s="3">
        <v>3506</v>
      </c>
      <c r="B3507" s="5">
        <f>DATE(Table1[[#This Row],[Year]],Table1[[#This Row],[Month]],Table1[[#This Row],[Day]])</f>
        <v>45476</v>
      </c>
      <c r="C3507" s="3">
        <v>3</v>
      </c>
      <c r="D3507" s="3">
        <v>7</v>
      </c>
      <c r="E3507" s="3">
        <v>2024</v>
      </c>
      <c r="F3507" s="3" t="str">
        <f>"Qtr"&amp; " " &amp;CHOOSE(MONTH(Table1[[#This Row],[Date]]),1,1,1,2,2,2,3,3,3,4,4,4)</f>
        <v>Qtr 3</v>
      </c>
      <c r="G3507" s="3" t="str">
        <f>TEXT(Table1[[#This Row],[Date]],"mmmm")</f>
        <v>July</v>
      </c>
      <c r="H3507" s="3" t="s">
        <v>1083</v>
      </c>
      <c r="I3507" s="3" t="s">
        <v>18</v>
      </c>
      <c r="J3507" s="3">
        <v>1</v>
      </c>
      <c r="K3507" s="3">
        <v>28143.02</v>
      </c>
      <c r="L3507" s="3">
        <f>Table1[[#This Row],[Price Per Unit]]*Table1[[#This Row],[Units Sold]]</f>
        <v>28143.02</v>
      </c>
      <c r="M3507" s="3" t="s">
        <v>601</v>
      </c>
      <c r="N3507" s="3">
        <v>26</v>
      </c>
      <c r="O3507" s="3" t="s">
        <v>20</v>
      </c>
      <c r="P3507" s="3" t="s">
        <v>31</v>
      </c>
      <c r="Q3507" s="4">
        <v>5</v>
      </c>
      <c r="R3507" s="4" t="str">
        <f>IF(Table1[[#This Row],[Customer Ratings]]&gt;=4, "Good",IF(Table1[[#This Row],[Customer Ratings]]=3, "Average","Poor"))</f>
        <v>Good</v>
      </c>
      <c r="S3507" s="3" t="s">
        <v>55</v>
      </c>
    </row>
    <row r="3508" spans="1:19" x14ac:dyDescent="0.25">
      <c r="A3508" s="3">
        <v>3507</v>
      </c>
      <c r="B3508" s="5">
        <f>DATE(Table1[[#This Row],[Year]],Table1[[#This Row],[Month]],Table1[[#This Row],[Day]])</f>
        <v>45476</v>
      </c>
      <c r="C3508" s="3">
        <v>3</v>
      </c>
      <c r="D3508" s="3">
        <v>7</v>
      </c>
      <c r="E3508" s="3">
        <v>2024</v>
      </c>
      <c r="F3508" s="3" t="str">
        <f>"Qtr"&amp; " " &amp;CHOOSE(MONTH(Table1[[#This Row],[Date]]),1,1,1,2,2,2,3,3,3,4,4,4)</f>
        <v>Qtr 3</v>
      </c>
      <c r="G3508" s="3" t="str">
        <f>TEXT(Table1[[#This Row],[Date]],"mmmm")</f>
        <v>July</v>
      </c>
      <c r="H3508" s="3" t="s">
        <v>1083</v>
      </c>
      <c r="I3508" s="3" t="s">
        <v>13</v>
      </c>
      <c r="J3508" s="3">
        <v>3</v>
      </c>
      <c r="K3508" s="3">
        <v>57742.400000000001</v>
      </c>
      <c r="L3508" s="3">
        <f>Table1[[#This Row],[Price Per Unit]]*Table1[[#This Row],[Units Sold]]</f>
        <v>173227.2</v>
      </c>
      <c r="M3508" s="3" t="s">
        <v>1000</v>
      </c>
      <c r="N3508" s="3">
        <v>25</v>
      </c>
      <c r="O3508" s="3" t="s">
        <v>58</v>
      </c>
      <c r="P3508" s="3" t="s">
        <v>16</v>
      </c>
      <c r="Q3508" s="4">
        <v>5</v>
      </c>
      <c r="R3508" s="4" t="str">
        <f>IF(Table1[[#This Row],[Customer Ratings]]&gt;=4, "Good",IF(Table1[[#This Row],[Customer Ratings]]=3, "Average","Poor"))</f>
        <v>Good</v>
      </c>
      <c r="S3508" s="3" t="s">
        <v>17</v>
      </c>
    </row>
    <row r="3509" spans="1:19" x14ac:dyDescent="0.25">
      <c r="A3509" s="3">
        <v>3508</v>
      </c>
      <c r="B3509" s="5">
        <f>DATE(Table1[[#This Row],[Year]],Table1[[#This Row],[Month]],Table1[[#This Row],[Day]])</f>
        <v>45477</v>
      </c>
      <c r="C3509" s="3">
        <v>4</v>
      </c>
      <c r="D3509" s="3">
        <v>7</v>
      </c>
      <c r="E3509" s="3">
        <v>2024</v>
      </c>
      <c r="F3509" s="3" t="str">
        <f>"Qtr"&amp; " " &amp;CHOOSE(MONTH(Table1[[#This Row],[Date]]),1,1,1,2,2,2,3,3,3,4,4,4)</f>
        <v>Qtr 3</v>
      </c>
      <c r="G3509" s="3" t="str">
        <f>TEXT(Table1[[#This Row],[Date]],"mmmm")</f>
        <v>July</v>
      </c>
      <c r="H3509" s="3" t="s">
        <v>1084</v>
      </c>
      <c r="I3509" s="3" t="s">
        <v>18</v>
      </c>
      <c r="J3509" s="3">
        <v>5</v>
      </c>
      <c r="K3509" s="3">
        <v>30147.200000000001</v>
      </c>
      <c r="L3509" s="3">
        <f>Table1[[#This Row],[Price Per Unit]]*Table1[[#This Row],[Units Sold]]</f>
        <v>150736</v>
      </c>
      <c r="M3509" s="3" t="s">
        <v>1039</v>
      </c>
      <c r="N3509" s="3">
        <v>42</v>
      </c>
      <c r="O3509" s="3" t="s">
        <v>78</v>
      </c>
      <c r="P3509" s="3" t="s">
        <v>16</v>
      </c>
      <c r="Q3509" s="4">
        <v>4</v>
      </c>
      <c r="R3509" s="4" t="str">
        <f>IF(Table1[[#This Row],[Customer Ratings]]&gt;=4, "Good",IF(Table1[[#This Row],[Customer Ratings]]=3, "Average","Poor"))</f>
        <v>Good</v>
      </c>
      <c r="S3509" s="3" t="s">
        <v>25</v>
      </c>
    </row>
    <row r="3510" spans="1:19" x14ac:dyDescent="0.25">
      <c r="A3510" s="3">
        <v>3509</v>
      </c>
      <c r="B3510" s="5">
        <f>DATE(Table1[[#This Row],[Year]],Table1[[#This Row],[Month]],Table1[[#This Row],[Day]])</f>
        <v>45477</v>
      </c>
      <c r="C3510" s="3">
        <v>4</v>
      </c>
      <c r="D3510" s="3">
        <v>7</v>
      </c>
      <c r="E3510" s="3">
        <v>2024</v>
      </c>
      <c r="F3510" s="3" t="str">
        <f>"Qtr"&amp; " " &amp;CHOOSE(MONTH(Table1[[#This Row],[Date]]),1,1,1,2,2,2,3,3,3,4,4,4)</f>
        <v>Qtr 3</v>
      </c>
      <c r="G3510" s="3" t="str">
        <f>TEXT(Table1[[#This Row],[Date]],"mmmm")</f>
        <v>July</v>
      </c>
      <c r="H3510" s="3" t="s">
        <v>1084</v>
      </c>
      <c r="I3510" s="3" t="s">
        <v>18</v>
      </c>
      <c r="J3510" s="3">
        <v>7</v>
      </c>
      <c r="K3510" s="3">
        <v>10190.459999999999</v>
      </c>
      <c r="L3510" s="3">
        <f>Table1[[#This Row],[Price Per Unit]]*Table1[[#This Row],[Units Sold]]</f>
        <v>71333.22</v>
      </c>
      <c r="M3510" s="3" t="s">
        <v>519</v>
      </c>
      <c r="N3510" s="3">
        <v>48</v>
      </c>
      <c r="O3510" s="3" t="s">
        <v>120</v>
      </c>
      <c r="P3510" s="3" t="s">
        <v>21</v>
      </c>
      <c r="Q3510" s="4">
        <v>2</v>
      </c>
      <c r="R3510" s="4" t="str">
        <f>IF(Table1[[#This Row],[Customer Ratings]]&gt;=4, "Good",IF(Table1[[#This Row],[Customer Ratings]]=3, "Average","Poor"))</f>
        <v>Poor</v>
      </c>
      <c r="S3510" s="3" t="s">
        <v>25</v>
      </c>
    </row>
    <row r="3511" spans="1:19" x14ac:dyDescent="0.25">
      <c r="A3511" s="3">
        <v>3510</v>
      </c>
      <c r="B3511" s="5">
        <f>DATE(Table1[[#This Row],[Year]],Table1[[#This Row],[Month]],Table1[[#This Row],[Day]])</f>
        <v>45477</v>
      </c>
      <c r="C3511" s="3">
        <v>4</v>
      </c>
      <c r="D3511" s="3">
        <v>7</v>
      </c>
      <c r="E3511" s="3">
        <v>2024</v>
      </c>
      <c r="F3511" s="3" t="str">
        <f>"Qtr"&amp; " " &amp;CHOOSE(MONTH(Table1[[#This Row],[Date]]),1,1,1,2,2,2,3,3,3,4,4,4)</f>
        <v>Qtr 3</v>
      </c>
      <c r="G3511" s="3" t="str">
        <f>TEXT(Table1[[#This Row],[Date]],"mmmm")</f>
        <v>July</v>
      </c>
      <c r="H3511" s="3" t="s">
        <v>1084</v>
      </c>
      <c r="I3511" s="3" t="s">
        <v>18</v>
      </c>
      <c r="J3511" s="3">
        <v>3</v>
      </c>
      <c r="K3511" s="3">
        <v>67574.36</v>
      </c>
      <c r="L3511" s="3">
        <f>Table1[[#This Row],[Price Per Unit]]*Table1[[#This Row],[Units Sold]]</f>
        <v>202723.08000000002</v>
      </c>
      <c r="M3511" s="3" t="s">
        <v>1040</v>
      </c>
      <c r="N3511" s="3">
        <v>59</v>
      </c>
      <c r="O3511" s="3" t="s">
        <v>15</v>
      </c>
      <c r="P3511" s="3" t="s">
        <v>16</v>
      </c>
      <c r="Q3511" s="4">
        <v>2</v>
      </c>
      <c r="R3511" s="4" t="str">
        <f>IF(Table1[[#This Row],[Customer Ratings]]&gt;=4, "Good",IF(Table1[[#This Row],[Customer Ratings]]=3, "Average","Poor"))</f>
        <v>Poor</v>
      </c>
      <c r="S3511" s="3" t="s">
        <v>25</v>
      </c>
    </row>
    <row r="3512" spans="1:19" x14ac:dyDescent="0.25">
      <c r="A3512" s="3">
        <v>3511</v>
      </c>
      <c r="B3512" s="5">
        <f>DATE(Table1[[#This Row],[Year]],Table1[[#This Row],[Month]],Table1[[#This Row],[Day]])</f>
        <v>45478</v>
      </c>
      <c r="C3512" s="3">
        <v>5</v>
      </c>
      <c r="D3512" s="3">
        <v>7</v>
      </c>
      <c r="E3512" s="3">
        <v>2024</v>
      </c>
      <c r="F3512" s="3" t="str">
        <f>"Qtr"&amp; " " &amp;CHOOSE(MONTH(Table1[[#This Row],[Date]]),1,1,1,2,2,2,3,3,3,4,4,4)</f>
        <v>Qtr 3</v>
      </c>
      <c r="G3512" s="3" t="str">
        <f>TEXT(Table1[[#This Row],[Date]],"mmmm")</f>
        <v>July</v>
      </c>
      <c r="H3512" s="3" t="s">
        <v>1085</v>
      </c>
      <c r="I3512" s="3" t="s">
        <v>13</v>
      </c>
      <c r="J3512" s="3">
        <v>6</v>
      </c>
      <c r="K3512" s="3">
        <v>45527.39</v>
      </c>
      <c r="L3512" s="3">
        <f>Table1[[#This Row],[Price Per Unit]]*Table1[[#This Row],[Units Sold]]</f>
        <v>273164.33999999997</v>
      </c>
      <c r="M3512" s="3" t="s">
        <v>96</v>
      </c>
      <c r="N3512" s="3">
        <v>21</v>
      </c>
      <c r="O3512" s="3" t="s">
        <v>54</v>
      </c>
      <c r="P3512" s="3" t="s">
        <v>21</v>
      </c>
      <c r="Q3512" s="4">
        <v>4</v>
      </c>
      <c r="R3512" s="4" t="str">
        <f>IF(Table1[[#This Row],[Customer Ratings]]&gt;=4, "Good",IF(Table1[[#This Row],[Customer Ratings]]=3, "Average","Poor"))</f>
        <v>Good</v>
      </c>
      <c r="S3512" s="3" t="s">
        <v>27</v>
      </c>
    </row>
    <row r="3513" spans="1:19" x14ac:dyDescent="0.25">
      <c r="A3513" s="3">
        <v>3512</v>
      </c>
      <c r="B3513" s="5">
        <f>DATE(Table1[[#This Row],[Year]],Table1[[#This Row],[Month]],Table1[[#This Row],[Day]])</f>
        <v>45478</v>
      </c>
      <c r="C3513" s="3">
        <v>5</v>
      </c>
      <c r="D3513" s="3">
        <v>7</v>
      </c>
      <c r="E3513" s="3">
        <v>2024</v>
      </c>
      <c r="F3513" s="3" t="str">
        <f>"Qtr"&amp; " " &amp;CHOOSE(MONTH(Table1[[#This Row],[Date]]),1,1,1,2,2,2,3,3,3,4,4,4)</f>
        <v>Qtr 3</v>
      </c>
      <c r="G3513" s="3" t="str">
        <f>TEXT(Table1[[#This Row],[Date]],"mmmm")</f>
        <v>July</v>
      </c>
      <c r="H3513" s="3" t="s">
        <v>1085</v>
      </c>
      <c r="I3513" s="3" t="s">
        <v>33</v>
      </c>
      <c r="J3513" s="3">
        <v>5</v>
      </c>
      <c r="K3513" s="3">
        <v>59171.08</v>
      </c>
      <c r="L3513" s="3">
        <f>Table1[[#This Row],[Price Per Unit]]*Table1[[#This Row],[Units Sold]]</f>
        <v>295855.40000000002</v>
      </c>
      <c r="M3513" s="3" t="s">
        <v>115</v>
      </c>
      <c r="N3513" s="3">
        <v>37</v>
      </c>
      <c r="O3513" s="3" t="s">
        <v>78</v>
      </c>
      <c r="P3513" s="3" t="s">
        <v>45</v>
      </c>
      <c r="Q3513" s="4">
        <v>5</v>
      </c>
      <c r="R3513" s="4" t="str">
        <f>IF(Table1[[#This Row],[Customer Ratings]]&gt;=4, "Good",IF(Table1[[#This Row],[Customer Ratings]]=3, "Average","Poor"))</f>
        <v>Good</v>
      </c>
      <c r="S3513" s="3" t="s">
        <v>46</v>
      </c>
    </row>
    <row r="3514" spans="1:19" x14ac:dyDescent="0.25">
      <c r="A3514" s="3">
        <v>3513</v>
      </c>
      <c r="B3514" s="5">
        <f>DATE(Table1[[#This Row],[Year]],Table1[[#This Row],[Month]],Table1[[#This Row],[Day]])</f>
        <v>45478</v>
      </c>
      <c r="C3514" s="3">
        <v>5</v>
      </c>
      <c r="D3514" s="3">
        <v>7</v>
      </c>
      <c r="E3514" s="3">
        <v>2024</v>
      </c>
      <c r="F3514" s="3" t="str">
        <f>"Qtr"&amp; " " &amp;CHOOSE(MONTH(Table1[[#This Row],[Date]]),1,1,1,2,2,2,3,3,3,4,4,4)</f>
        <v>Qtr 3</v>
      </c>
      <c r="G3514" s="3" t="str">
        <f>TEXT(Table1[[#This Row],[Date]],"mmmm")</f>
        <v>July</v>
      </c>
      <c r="H3514" s="3" t="s">
        <v>1085</v>
      </c>
      <c r="I3514" s="3" t="s">
        <v>33</v>
      </c>
      <c r="J3514" s="3">
        <v>1</v>
      </c>
      <c r="K3514" s="3">
        <v>59518.09</v>
      </c>
      <c r="L3514" s="3">
        <f>Table1[[#This Row],[Price Per Unit]]*Table1[[#This Row],[Units Sold]]</f>
        <v>59518.09</v>
      </c>
      <c r="M3514" s="3" t="s">
        <v>905</v>
      </c>
      <c r="N3514" s="3">
        <v>45</v>
      </c>
      <c r="O3514" s="3" t="s">
        <v>81</v>
      </c>
      <c r="P3514" s="3" t="s">
        <v>31</v>
      </c>
      <c r="Q3514" s="4">
        <v>2</v>
      </c>
      <c r="R3514" s="4" t="str">
        <f>IF(Table1[[#This Row],[Customer Ratings]]&gt;=4, "Good",IF(Table1[[#This Row],[Customer Ratings]]=3, "Average","Poor"))</f>
        <v>Poor</v>
      </c>
      <c r="S3514" s="3" t="s">
        <v>83</v>
      </c>
    </row>
    <row r="3515" spans="1:19" x14ac:dyDescent="0.25">
      <c r="A3515" s="3">
        <v>3514</v>
      </c>
      <c r="B3515" s="5">
        <f>DATE(Table1[[#This Row],[Year]],Table1[[#This Row],[Month]],Table1[[#This Row],[Day]])</f>
        <v>45478</v>
      </c>
      <c r="C3515" s="3">
        <v>5</v>
      </c>
      <c r="D3515" s="3">
        <v>7</v>
      </c>
      <c r="E3515" s="3">
        <v>2024</v>
      </c>
      <c r="F3515" s="3" t="str">
        <f>"Qtr"&amp; " " &amp;CHOOSE(MONTH(Table1[[#This Row],[Date]]),1,1,1,2,2,2,3,3,3,4,4,4)</f>
        <v>Qtr 3</v>
      </c>
      <c r="G3515" s="3" t="str">
        <f>TEXT(Table1[[#This Row],[Date]],"mmmm")</f>
        <v>July</v>
      </c>
      <c r="H3515" s="3" t="s">
        <v>1085</v>
      </c>
      <c r="I3515" s="3" t="s">
        <v>28</v>
      </c>
      <c r="J3515" s="3">
        <v>6</v>
      </c>
      <c r="K3515" s="3">
        <v>13984.63</v>
      </c>
      <c r="L3515" s="3">
        <f>Table1[[#This Row],[Price Per Unit]]*Table1[[#This Row],[Units Sold]]</f>
        <v>83907.78</v>
      </c>
      <c r="M3515" s="3" t="s">
        <v>503</v>
      </c>
      <c r="N3515" s="3">
        <v>57</v>
      </c>
      <c r="O3515" s="3" t="s">
        <v>120</v>
      </c>
      <c r="P3515" s="3" t="s">
        <v>16</v>
      </c>
      <c r="Q3515" s="4">
        <v>4</v>
      </c>
      <c r="R3515" s="4" t="str">
        <f>IF(Table1[[#This Row],[Customer Ratings]]&gt;=4, "Good",IF(Table1[[#This Row],[Customer Ratings]]=3, "Average","Poor"))</f>
        <v>Good</v>
      </c>
      <c r="S3515" s="3" t="s">
        <v>38</v>
      </c>
    </row>
    <row r="3516" spans="1:19" x14ac:dyDescent="0.25">
      <c r="A3516" s="3">
        <v>3515</v>
      </c>
      <c r="B3516" s="5">
        <f>DATE(Table1[[#This Row],[Year]],Table1[[#This Row],[Month]],Table1[[#This Row],[Day]])</f>
        <v>45479</v>
      </c>
      <c r="C3516" s="3">
        <v>6</v>
      </c>
      <c r="D3516" s="3">
        <v>7</v>
      </c>
      <c r="E3516" s="3">
        <v>2024</v>
      </c>
      <c r="F3516" s="3" t="str">
        <f>"Qtr"&amp; " " &amp;CHOOSE(MONTH(Table1[[#This Row],[Date]]),1,1,1,2,2,2,3,3,3,4,4,4)</f>
        <v>Qtr 3</v>
      </c>
      <c r="G3516" s="3" t="str">
        <f>TEXT(Table1[[#This Row],[Date]],"mmmm")</f>
        <v>July</v>
      </c>
      <c r="H3516" s="3" t="s">
        <v>1079</v>
      </c>
      <c r="I3516" s="3" t="s">
        <v>28</v>
      </c>
      <c r="J3516" s="3">
        <v>8</v>
      </c>
      <c r="K3516" s="3">
        <v>20251.61</v>
      </c>
      <c r="L3516" s="3">
        <f>Table1[[#This Row],[Price Per Unit]]*Table1[[#This Row],[Units Sold]]</f>
        <v>162012.88</v>
      </c>
      <c r="M3516" s="3" t="s">
        <v>825</v>
      </c>
      <c r="N3516" s="3">
        <v>18</v>
      </c>
      <c r="O3516" s="3" t="s">
        <v>52</v>
      </c>
      <c r="P3516" s="3" t="s">
        <v>31</v>
      </c>
      <c r="Q3516" s="4">
        <v>2</v>
      </c>
      <c r="R3516" s="4" t="str">
        <f>IF(Table1[[#This Row],[Customer Ratings]]&gt;=4, "Good",IF(Table1[[#This Row],[Customer Ratings]]=3, "Average","Poor"))</f>
        <v>Poor</v>
      </c>
      <c r="S3516" s="3" t="s">
        <v>32</v>
      </c>
    </row>
    <row r="3517" spans="1:19" x14ac:dyDescent="0.25">
      <c r="A3517" s="3">
        <v>3516</v>
      </c>
      <c r="B3517" s="5">
        <f>DATE(Table1[[#This Row],[Year]],Table1[[#This Row],[Month]],Table1[[#This Row],[Day]])</f>
        <v>45479</v>
      </c>
      <c r="C3517" s="3">
        <v>6</v>
      </c>
      <c r="D3517" s="3">
        <v>7</v>
      </c>
      <c r="E3517" s="3">
        <v>2024</v>
      </c>
      <c r="F3517" s="3" t="str">
        <f>"Qtr"&amp; " " &amp;CHOOSE(MONTH(Table1[[#This Row],[Date]]),1,1,1,2,2,2,3,3,3,4,4,4)</f>
        <v>Qtr 3</v>
      </c>
      <c r="G3517" s="3" t="str">
        <f>TEXT(Table1[[#This Row],[Date]],"mmmm")</f>
        <v>July</v>
      </c>
      <c r="H3517" s="3" t="s">
        <v>1079</v>
      </c>
      <c r="I3517" s="3" t="s">
        <v>13</v>
      </c>
      <c r="J3517" s="3">
        <v>1</v>
      </c>
      <c r="K3517" s="3">
        <v>28667.24</v>
      </c>
      <c r="L3517" s="3">
        <f>Table1[[#This Row],[Price Per Unit]]*Table1[[#This Row],[Units Sold]]</f>
        <v>28667.24</v>
      </c>
      <c r="M3517" s="3" t="s">
        <v>642</v>
      </c>
      <c r="N3517" s="3">
        <v>57</v>
      </c>
      <c r="O3517" s="3" t="s">
        <v>98</v>
      </c>
      <c r="P3517" s="3" t="s">
        <v>21</v>
      </c>
      <c r="Q3517" s="4">
        <v>5</v>
      </c>
      <c r="R3517" s="4" t="str">
        <f>IF(Table1[[#This Row],[Customer Ratings]]&gt;=4, "Good",IF(Table1[[#This Row],[Customer Ratings]]=3, "Average","Poor"))</f>
        <v>Good</v>
      </c>
      <c r="S3517" s="3" t="s">
        <v>72</v>
      </c>
    </row>
    <row r="3518" spans="1:19" x14ac:dyDescent="0.25">
      <c r="A3518" s="3">
        <v>3517</v>
      </c>
      <c r="B3518" s="5">
        <f>DATE(Table1[[#This Row],[Year]],Table1[[#This Row],[Month]],Table1[[#This Row],[Day]])</f>
        <v>45479</v>
      </c>
      <c r="C3518" s="3">
        <v>6</v>
      </c>
      <c r="D3518" s="3">
        <v>7</v>
      </c>
      <c r="E3518" s="3">
        <v>2024</v>
      </c>
      <c r="F3518" s="3" t="str">
        <f>"Qtr"&amp; " " &amp;CHOOSE(MONTH(Table1[[#This Row],[Date]]),1,1,1,2,2,2,3,3,3,4,4,4)</f>
        <v>Qtr 3</v>
      </c>
      <c r="G3518" s="3" t="str">
        <f>TEXT(Table1[[#This Row],[Date]],"mmmm")</f>
        <v>July</v>
      </c>
      <c r="H3518" s="3" t="s">
        <v>1079</v>
      </c>
      <c r="I3518" s="3" t="s">
        <v>39</v>
      </c>
      <c r="J3518" s="3">
        <v>2</v>
      </c>
      <c r="K3518" s="3">
        <v>29241.96</v>
      </c>
      <c r="L3518" s="3">
        <f>Table1[[#This Row],[Price Per Unit]]*Table1[[#This Row],[Units Sold]]</f>
        <v>58483.92</v>
      </c>
      <c r="M3518" s="3" t="s">
        <v>927</v>
      </c>
      <c r="N3518" s="3">
        <v>40</v>
      </c>
      <c r="O3518" s="3" t="s">
        <v>20</v>
      </c>
      <c r="P3518" s="3" t="s">
        <v>16</v>
      </c>
      <c r="Q3518" s="4">
        <v>2</v>
      </c>
      <c r="R3518" s="4" t="str">
        <f>IF(Table1[[#This Row],[Customer Ratings]]&gt;=4, "Good",IF(Table1[[#This Row],[Customer Ratings]]=3, "Average","Poor"))</f>
        <v>Poor</v>
      </c>
      <c r="S3518" s="3" t="s">
        <v>76</v>
      </c>
    </row>
    <row r="3519" spans="1:19" x14ac:dyDescent="0.25">
      <c r="A3519" s="3">
        <v>3518</v>
      </c>
      <c r="B3519" s="5">
        <f>DATE(Table1[[#This Row],[Year]],Table1[[#This Row],[Month]],Table1[[#This Row],[Day]])</f>
        <v>45480</v>
      </c>
      <c r="C3519" s="3">
        <v>7</v>
      </c>
      <c r="D3519" s="3">
        <v>7</v>
      </c>
      <c r="E3519" s="3">
        <v>2024</v>
      </c>
      <c r="F3519" s="3" t="str">
        <f>"Qtr"&amp; " " &amp;CHOOSE(MONTH(Table1[[#This Row],[Date]]),1,1,1,2,2,2,3,3,3,4,4,4)</f>
        <v>Qtr 3</v>
      </c>
      <c r="G3519" s="3" t="str">
        <f>TEXT(Table1[[#This Row],[Date]],"mmmm")</f>
        <v>July</v>
      </c>
      <c r="H3519" s="3" t="s">
        <v>1080</v>
      </c>
      <c r="I3519" s="3" t="s">
        <v>33</v>
      </c>
      <c r="J3519" s="3">
        <v>4</v>
      </c>
      <c r="K3519" s="3">
        <v>49527.17</v>
      </c>
      <c r="L3519" s="3">
        <f>Table1[[#This Row],[Price Per Unit]]*Table1[[#This Row],[Units Sold]]</f>
        <v>198108.68</v>
      </c>
      <c r="M3519" s="3" t="s">
        <v>880</v>
      </c>
      <c r="N3519" s="3">
        <v>30</v>
      </c>
      <c r="O3519" s="3" t="s">
        <v>20</v>
      </c>
      <c r="P3519" s="3" t="s">
        <v>16</v>
      </c>
      <c r="Q3519" s="4">
        <v>5</v>
      </c>
      <c r="R3519" s="4" t="str">
        <f>IF(Table1[[#This Row],[Customer Ratings]]&gt;=4, "Good",IF(Table1[[#This Row],[Customer Ratings]]=3, "Average","Poor"))</f>
        <v>Good</v>
      </c>
      <c r="S3519" s="3" t="s">
        <v>83</v>
      </c>
    </row>
    <row r="3520" spans="1:19" x14ac:dyDescent="0.25">
      <c r="A3520" s="3">
        <v>3519</v>
      </c>
      <c r="B3520" s="5">
        <f>DATE(Table1[[#This Row],[Year]],Table1[[#This Row],[Month]],Table1[[#This Row],[Day]])</f>
        <v>45480</v>
      </c>
      <c r="C3520" s="3">
        <v>7</v>
      </c>
      <c r="D3520" s="3">
        <v>7</v>
      </c>
      <c r="E3520" s="3">
        <v>2024</v>
      </c>
      <c r="F3520" s="3" t="str">
        <f>"Qtr"&amp; " " &amp;CHOOSE(MONTH(Table1[[#This Row],[Date]]),1,1,1,2,2,2,3,3,3,4,4,4)</f>
        <v>Qtr 3</v>
      </c>
      <c r="G3520" s="3" t="str">
        <f>TEXT(Table1[[#This Row],[Date]],"mmmm")</f>
        <v>July</v>
      </c>
      <c r="H3520" s="3" t="s">
        <v>1080</v>
      </c>
      <c r="I3520" s="3" t="s">
        <v>28</v>
      </c>
      <c r="J3520" s="3">
        <v>2</v>
      </c>
      <c r="K3520" s="3">
        <v>47387.98</v>
      </c>
      <c r="L3520" s="3">
        <f>Table1[[#This Row],[Price Per Unit]]*Table1[[#This Row],[Units Sold]]</f>
        <v>94775.96</v>
      </c>
      <c r="M3520" s="3" t="s">
        <v>826</v>
      </c>
      <c r="N3520" s="3">
        <v>33</v>
      </c>
      <c r="O3520" s="3" t="s">
        <v>20</v>
      </c>
      <c r="P3520" s="3" t="s">
        <v>16</v>
      </c>
      <c r="Q3520" s="4">
        <v>5</v>
      </c>
      <c r="R3520" s="4" t="str">
        <f>IF(Table1[[#This Row],[Customer Ratings]]&gt;=4, "Good",IF(Table1[[#This Row],[Customer Ratings]]=3, "Average","Poor"))</f>
        <v>Good</v>
      </c>
      <c r="S3520" s="3" t="s">
        <v>32</v>
      </c>
    </row>
    <row r="3521" spans="1:19" x14ac:dyDescent="0.25">
      <c r="A3521" s="3">
        <v>3520</v>
      </c>
      <c r="B3521" s="5">
        <f>DATE(Table1[[#This Row],[Year]],Table1[[#This Row],[Month]],Table1[[#This Row],[Day]])</f>
        <v>45480</v>
      </c>
      <c r="C3521" s="3">
        <v>7</v>
      </c>
      <c r="D3521" s="3">
        <v>7</v>
      </c>
      <c r="E3521" s="3">
        <v>2024</v>
      </c>
      <c r="F3521" s="3" t="str">
        <f>"Qtr"&amp; " " &amp;CHOOSE(MONTH(Table1[[#This Row],[Date]]),1,1,1,2,2,2,3,3,3,4,4,4)</f>
        <v>Qtr 3</v>
      </c>
      <c r="G3521" s="3" t="str">
        <f>TEXT(Table1[[#This Row],[Date]],"mmmm")</f>
        <v>July</v>
      </c>
      <c r="H3521" s="3" t="s">
        <v>1080</v>
      </c>
      <c r="I3521" s="3" t="s">
        <v>33</v>
      </c>
      <c r="J3521" s="3">
        <v>9</v>
      </c>
      <c r="K3521" s="3">
        <v>39675.39</v>
      </c>
      <c r="L3521" s="3">
        <f>Table1[[#This Row],[Price Per Unit]]*Table1[[#This Row],[Units Sold]]</f>
        <v>357078.51</v>
      </c>
      <c r="M3521" s="3" t="s">
        <v>397</v>
      </c>
      <c r="N3521" s="3">
        <v>43</v>
      </c>
      <c r="O3521" s="3" t="s">
        <v>102</v>
      </c>
      <c r="P3521" s="3" t="s">
        <v>16</v>
      </c>
      <c r="Q3521" s="4">
        <v>2</v>
      </c>
      <c r="R3521" s="4" t="str">
        <f>IF(Table1[[#This Row],[Customer Ratings]]&gt;=4, "Good",IF(Table1[[#This Row],[Customer Ratings]]=3, "Average","Poor"))</f>
        <v>Poor</v>
      </c>
      <c r="S3521" s="3" t="s">
        <v>36</v>
      </c>
    </row>
    <row r="3522" spans="1:19" x14ac:dyDescent="0.25">
      <c r="A3522" s="3">
        <v>3521</v>
      </c>
      <c r="B3522" s="5">
        <f>DATE(Table1[[#This Row],[Year]],Table1[[#This Row],[Month]],Table1[[#This Row],[Day]])</f>
        <v>45481</v>
      </c>
      <c r="C3522" s="3">
        <v>8</v>
      </c>
      <c r="D3522" s="3">
        <v>7</v>
      </c>
      <c r="E3522" s="3">
        <v>2024</v>
      </c>
      <c r="F3522" s="3" t="str">
        <f>"Qtr"&amp; " " &amp;CHOOSE(MONTH(Table1[[#This Row],[Date]]),1,1,1,2,2,2,3,3,3,4,4,4)</f>
        <v>Qtr 3</v>
      </c>
      <c r="G3522" s="3" t="str">
        <f>TEXT(Table1[[#This Row],[Date]],"mmmm")</f>
        <v>July</v>
      </c>
      <c r="H3522" s="3" t="s">
        <v>1081</v>
      </c>
      <c r="I3522" s="3" t="s">
        <v>13</v>
      </c>
      <c r="J3522" s="3">
        <v>8</v>
      </c>
      <c r="K3522" s="3">
        <v>22675.82</v>
      </c>
      <c r="L3522" s="3">
        <f>Table1[[#This Row],[Price Per Unit]]*Table1[[#This Row],[Units Sold]]</f>
        <v>181406.56</v>
      </c>
      <c r="M3522" s="3" t="s">
        <v>62</v>
      </c>
      <c r="N3522" s="3">
        <v>48</v>
      </c>
      <c r="O3522" s="3" t="s">
        <v>65</v>
      </c>
      <c r="P3522" s="3" t="s">
        <v>31</v>
      </c>
      <c r="Q3522" s="4">
        <v>2</v>
      </c>
      <c r="R3522" s="4" t="str">
        <f>IF(Table1[[#This Row],[Customer Ratings]]&gt;=4, "Good",IF(Table1[[#This Row],[Customer Ratings]]=3, "Average","Poor"))</f>
        <v>Poor</v>
      </c>
      <c r="S3522" s="3" t="s">
        <v>27</v>
      </c>
    </row>
    <row r="3523" spans="1:19" x14ac:dyDescent="0.25">
      <c r="A3523" s="3">
        <v>3522</v>
      </c>
      <c r="B3523" s="5">
        <f>DATE(Table1[[#This Row],[Year]],Table1[[#This Row],[Month]],Table1[[#This Row],[Day]])</f>
        <v>45481</v>
      </c>
      <c r="C3523" s="3">
        <v>8</v>
      </c>
      <c r="D3523" s="3">
        <v>7</v>
      </c>
      <c r="E3523" s="3">
        <v>2024</v>
      </c>
      <c r="F3523" s="3" t="str">
        <f>"Qtr"&amp; " " &amp;CHOOSE(MONTH(Table1[[#This Row],[Date]]),1,1,1,2,2,2,3,3,3,4,4,4)</f>
        <v>Qtr 3</v>
      </c>
      <c r="G3523" s="3" t="str">
        <f>TEXT(Table1[[#This Row],[Date]],"mmmm")</f>
        <v>July</v>
      </c>
      <c r="H3523" s="3" t="s">
        <v>1081</v>
      </c>
      <c r="I3523" s="3" t="s">
        <v>13</v>
      </c>
      <c r="J3523" s="3">
        <v>8</v>
      </c>
      <c r="K3523" s="3">
        <v>32919.01</v>
      </c>
      <c r="L3523" s="3">
        <f>Table1[[#This Row],[Price Per Unit]]*Table1[[#This Row],[Units Sold]]</f>
        <v>263352.08</v>
      </c>
      <c r="M3523" s="3" t="s">
        <v>728</v>
      </c>
      <c r="N3523" s="3">
        <v>18</v>
      </c>
      <c r="O3523" s="3" t="s">
        <v>52</v>
      </c>
      <c r="P3523" s="3" t="s">
        <v>16</v>
      </c>
      <c r="Q3523" s="4">
        <v>5</v>
      </c>
      <c r="R3523" s="4" t="str">
        <f>IF(Table1[[#This Row],[Customer Ratings]]&gt;=4, "Good",IF(Table1[[#This Row],[Customer Ratings]]=3, "Average","Poor"))</f>
        <v>Good</v>
      </c>
      <c r="S3523" s="3" t="s">
        <v>27</v>
      </c>
    </row>
    <row r="3524" spans="1:19" x14ac:dyDescent="0.25">
      <c r="A3524" s="3">
        <v>3523</v>
      </c>
      <c r="B3524" s="5">
        <f>DATE(Table1[[#This Row],[Year]],Table1[[#This Row],[Month]],Table1[[#This Row],[Day]])</f>
        <v>45481</v>
      </c>
      <c r="C3524" s="3">
        <v>8</v>
      </c>
      <c r="D3524" s="3">
        <v>7</v>
      </c>
      <c r="E3524" s="3">
        <v>2024</v>
      </c>
      <c r="F3524" s="3" t="str">
        <f>"Qtr"&amp; " " &amp;CHOOSE(MONTH(Table1[[#This Row],[Date]]),1,1,1,2,2,2,3,3,3,4,4,4)</f>
        <v>Qtr 3</v>
      </c>
      <c r="G3524" s="3" t="str">
        <f>TEXT(Table1[[#This Row],[Date]],"mmmm")</f>
        <v>July</v>
      </c>
      <c r="H3524" s="3" t="s">
        <v>1081</v>
      </c>
      <c r="I3524" s="3" t="s">
        <v>39</v>
      </c>
      <c r="J3524" s="3">
        <v>4</v>
      </c>
      <c r="K3524" s="3">
        <v>42615.64</v>
      </c>
      <c r="L3524" s="3">
        <f>Table1[[#This Row],[Price Per Unit]]*Table1[[#This Row],[Units Sold]]</f>
        <v>170462.56</v>
      </c>
      <c r="M3524" s="3" t="s">
        <v>879</v>
      </c>
      <c r="N3524" s="3">
        <v>34</v>
      </c>
      <c r="O3524" s="3" t="s">
        <v>48</v>
      </c>
      <c r="P3524" s="3" t="s">
        <v>21</v>
      </c>
      <c r="Q3524" s="4">
        <v>2</v>
      </c>
      <c r="R3524" s="4" t="str">
        <f>IF(Table1[[#This Row],[Customer Ratings]]&gt;=4, "Good",IF(Table1[[#This Row],[Customer Ratings]]=3, "Average","Poor"))</f>
        <v>Poor</v>
      </c>
      <c r="S3524" s="3" t="s">
        <v>76</v>
      </c>
    </row>
    <row r="3525" spans="1:19" x14ac:dyDescent="0.25">
      <c r="A3525" s="3">
        <v>3524</v>
      </c>
      <c r="B3525" s="5">
        <f>DATE(Table1[[#This Row],[Year]],Table1[[#This Row],[Month]],Table1[[#This Row],[Day]])</f>
        <v>45482</v>
      </c>
      <c r="C3525" s="3">
        <v>9</v>
      </c>
      <c r="D3525" s="3">
        <v>7</v>
      </c>
      <c r="E3525" s="3">
        <v>2024</v>
      </c>
      <c r="F3525" s="3" t="str">
        <f>"Qtr"&amp; " " &amp;CHOOSE(MONTH(Table1[[#This Row],[Date]]),1,1,1,2,2,2,3,3,3,4,4,4)</f>
        <v>Qtr 3</v>
      </c>
      <c r="G3525" s="3" t="str">
        <f>TEXT(Table1[[#This Row],[Date]],"mmmm")</f>
        <v>July</v>
      </c>
      <c r="H3525" s="3" t="s">
        <v>1082</v>
      </c>
      <c r="I3525" s="3" t="s">
        <v>39</v>
      </c>
      <c r="J3525" s="3">
        <v>5</v>
      </c>
      <c r="K3525" s="3">
        <v>38079.120000000003</v>
      </c>
      <c r="L3525" s="3">
        <f>Table1[[#This Row],[Price Per Unit]]*Table1[[#This Row],[Units Sold]]</f>
        <v>190395.6</v>
      </c>
      <c r="M3525" s="3" t="s">
        <v>982</v>
      </c>
      <c r="N3525" s="3">
        <v>33</v>
      </c>
      <c r="O3525" s="3" t="s">
        <v>20</v>
      </c>
      <c r="P3525" s="3" t="s">
        <v>16</v>
      </c>
      <c r="Q3525" s="4">
        <v>5</v>
      </c>
      <c r="R3525" s="4" t="str">
        <f>IF(Table1[[#This Row],[Customer Ratings]]&gt;=4, "Good",IF(Table1[[#This Row],[Customer Ratings]]=3, "Average","Poor"))</f>
        <v>Good</v>
      </c>
      <c r="S3525" s="3" t="s">
        <v>76</v>
      </c>
    </row>
    <row r="3526" spans="1:19" x14ac:dyDescent="0.25">
      <c r="A3526" s="3">
        <v>3525</v>
      </c>
      <c r="B3526" s="5">
        <f>DATE(Table1[[#This Row],[Year]],Table1[[#This Row],[Month]],Table1[[#This Row],[Day]])</f>
        <v>45482</v>
      </c>
      <c r="C3526" s="3">
        <v>9</v>
      </c>
      <c r="D3526" s="3">
        <v>7</v>
      </c>
      <c r="E3526" s="3">
        <v>2024</v>
      </c>
      <c r="F3526" s="3" t="str">
        <f>"Qtr"&amp; " " &amp;CHOOSE(MONTH(Table1[[#This Row],[Date]]),1,1,1,2,2,2,3,3,3,4,4,4)</f>
        <v>Qtr 3</v>
      </c>
      <c r="G3526" s="3" t="str">
        <f>TEXT(Table1[[#This Row],[Date]],"mmmm")</f>
        <v>July</v>
      </c>
      <c r="H3526" s="3" t="s">
        <v>1082</v>
      </c>
      <c r="I3526" s="3" t="s">
        <v>13</v>
      </c>
      <c r="J3526" s="3">
        <v>4</v>
      </c>
      <c r="K3526" s="3">
        <v>17637.55</v>
      </c>
      <c r="L3526" s="3">
        <f>Table1[[#This Row],[Price Per Unit]]*Table1[[#This Row],[Units Sold]]</f>
        <v>70550.2</v>
      </c>
      <c r="M3526" s="3" t="s">
        <v>692</v>
      </c>
      <c r="N3526" s="3">
        <v>54</v>
      </c>
      <c r="O3526" s="3" t="s">
        <v>24</v>
      </c>
      <c r="P3526" s="3" t="s">
        <v>21</v>
      </c>
      <c r="Q3526" s="4">
        <v>3</v>
      </c>
      <c r="R3526" s="4" t="str">
        <f>IF(Table1[[#This Row],[Customer Ratings]]&gt;=4, "Good",IF(Table1[[#This Row],[Customer Ratings]]=3, "Average","Poor"))</f>
        <v>Average</v>
      </c>
      <c r="S3526" s="3" t="s">
        <v>17</v>
      </c>
    </row>
    <row r="3527" spans="1:19" x14ac:dyDescent="0.25">
      <c r="A3527" s="3">
        <v>3526</v>
      </c>
      <c r="B3527" s="5">
        <f>DATE(Table1[[#This Row],[Year]],Table1[[#This Row],[Month]],Table1[[#This Row],[Day]])</f>
        <v>45482</v>
      </c>
      <c r="C3527" s="3">
        <v>9</v>
      </c>
      <c r="D3527" s="3">
        <v>7</v>
      </c>
      <c r="E3527" s="3">
        <v>2024</v>
      </c>
      <c r="F3527" s="3" t="str">
        <f>"Qtr"&amp; " " &amp;CHOOSE(MONTH(Table1[[#This Row],[Date]]),1,1,1,2,2,2,3,3,3,4,4,4)</f>
        <v>Qtr 3</v>
      </c>
      <c r="G3527" s="3" t="str">
        <f>TEXT(Table1[[#This Row],[Date]],"mmmm")</f>
        <v>July</v>
      </c>
      <c r="H3527" s="3" t="s">
        <v>1082</v>
      </c>
      <c r="I3527" s="3" t="s">
        <v>28</v>
      </c>
      <c r="J3527" s="3">
        <v>9</v>
      </c>
      <c r="K3527" s="3">
        <v>48970.63</v>
      </c>
      <c r="L3527" s="3">
        <f>Table1[[#This Row],[Price Per Unit]]*Table1[[#This Row],[Units Sold]]</f>
        <v>440735.67</v>
      </c>
      <c r="M3527" s="3" t="s">
        <v>917</v>
      </c>
      <c r="N3527" s="3">
        <v>27</v>
      </c>
      <c r="O3527" s="3" t="s">
        <v>48</v>
      </c>
      <c r="P3527" s="3" t="s">
        <v>21</v>
      </c>
      <c r="Q3527" s="4">
        <v>3</v>
      </c>
      <c r="R3527" s="4" t="str">
        <f>IF(Table1[[#This Row],[Customer Ratings]]&gt;=4, "Good",IF(Table1[[#This Row],[Customer Ratings]]=3, "Average","Poor"))</f>
        <v>Average</v>
      </c>
      <c r="S3527" s="3" t="s">
        <v>32</v>
      </c>
    </row>
    <row r="3528" spans="1:19" x14ac:dyDescent="0.25">
      <c r="A3528" s="3">
        <v>3527</v>
      </c>
      <c r="B3528" s="5">
        <f>DATE(Table1[[#This Row],[Year]],Table1[[#This Row],[Month]],Table1[[#This Row],[Day]])</f>
        <v>45483</v>
      </c>
      <c r="C3528" s="3">
        <v>10</v>
      </c>
      <c r="D3528" s="3">
        <v>7</v>
      </c>
      <c r="E3528" s="3">
        <v>2024</v>
      </c>
      <c r="F3528" s="3" t="str">
        <f>"Qtr"&amp; " " &amp;CHOOSE(MONTH(Table1[[#This Row],[Date]]),1,1,1,2,2,2,3,3,3,4,4,4)</f>
        <v>Qtr 3</v>
      </c>
      <c r="G3528" s="3" t="str">
        <f>TEXT(Table1[[#This Row],[Date]],"mmmm")</f>
        <v>July</v>
      </c>
      <c r="H3528" s="3" t="s">
        <v>1083</v>
      </c>
      <c r="I3528" s="3" t="s">
        <v>33</v>
      </c>
      <c r="J3528" s="3">
        <v>2</v>
      </c>
      <c r="K3528" s="3">
        <v>14383.11</v>
      </c>
      <c r="L3528" s="3">
        <f>Table1[[#This Row],[Price Per Unit]]*Table1[[#This Row],[Units Sold]]</f>
        <v>28766.22</v>
      </c>
      <c r="M3528" s="3" t="s">
        <v>806</v>
      </c>
      <c r="N3528" s="3">
        <v>55</v>
      </c>
      <c r="O3528" s="3" t="s">
        <v>24</v>
      </c>
      <c r="P3528" s="3" t="s">
        <v>31</v>
      </c>
      <c r="Q3528" s="4">
        <v>4</v>
      </c>
      <c r="R3528" s="4" t="str">
        <f>IF(Table1[[#This Row],[Customer Ratings]]&gt;=4, "Good",IF(Table1[[#This Row],[Customer Ratings]]=3, "Average","Poor"))</f>
        <v>Good</v>
      </c>
      <c r="S3528" s="3" t="s">
        <v>36</v>
      </c>
    </row>
    <row r="3529" spans="1:19" x14ac:dyDescent="0.25">
      <c r="A3529" s="3">
        <v>3528</v>
      </c>
      <c r="B3529" s="5">
        <f>DATE(Table1[[#This Row],[Year]],Table1[[#This Row],[Month]],Table1[[#This Row],[Day]])</f>
        <v>45483</v>
      </c>
      <c r="C3529" s="3">
        <v>10</v>
      </c>
      <c r="D3529" s="3">
        <v>7</v>
      </c>
      <c r="E3529" s="3">
        <v>2024</v>
      </c>
      <c r="F3529" s="3" t="str">
        <f>"Qtr"&amp; " " &amp;CHOOSE(MONTH(Table1[[#This Row],[Date]]),1,1,1,2,2,2,3,3,3,4,4,4)</f>
        <v>Qtr 3</v>
      </c>
      <c r="G3529" s="3" t="str">
        <f>TEXT(Table1[[#This Row],[Date]],"mmmm")</f>
        <v>July</v>
      </c>
      <c r="H3529" s="3" t="s">
        <v>1083</v>
      </c>
      <c r="I3529" s="3" t="s">
        <v>18</v>
      </c>
      <c r="J3529" s="3">
        <v>8</v>
      </c>
      <c r="K3529" s="3">
        <v>32691.68</v>
      </c>
      <c r="L3529" s="3">
        <f>Table1[[#This Row],[Price Per Unit]]*Table1[[#This Row],[Units Sold]]</f>
        <v>261533.44</v>
      </c>
      <c r="M3529" s="3" t="s">
        <v>385</v>
      </c>
      <c r="N3529" s="3">
        <v>48</v>
      </c>
      <c r="O3529" s="3" t="s">
        <v>20</v>
      </c>
      <c r="P3529" s="3" t="s">
        <v>16</v>
      </c>
      <c r="Q3529" s="4">
        <v>3</v>
      </c>
      <c r="R3529" s="4" t="str">
        <f>IF(Table1[[#This Row],[Customer Ratings]]&gt;=4, "Good",IF(Table1[[#This Row],[Customer Ratings]]=3, "Average","Poor"))</f>
        <v>Average</v>
      </c>
      <c r="S3529" s="3" t="s">
        <v>55</v>
      </c>
    </row>
    <row r="3530" spans="1:19" x14ac:dyDescent="0.25">
      <c r="A3530" s="3">
        <v>3529</v>
      </c>
      <c r="B3530" s="5">
        <f>DATE(Table1[[#This Row],[Year]],Table1[[#This Row],[Month]],Table1[[#This Row],[Day]])</f>
        <v>45483</v>
      </c>
      <c r="C3530" s="3">
        <v>10</v>
      </c>
      <c r="D3530" s="3">
        <v>7</v>
      </c>
      <c r="E3530" s="3">
        <v>2024</v>
      </c>
      <c r="F3530" s="3" t="str">
        <f>"Qtr"&amp; " " &amp;CHOOSE(MONTH(Table1[[#This Row],[Date]]),1,1,1,2,2,2,3,3,3,4,4,4)</f>
        <v>Qtr 3</v>
      </c>
      <c r="G3530" s="3" t="str">
        <f>TEXT(Table1[[#This Row],[Date]],"mmmm")</f>
        <v>July</v>
      </c>
      <c r="H3530" s="3" t="s">
        <v>1083</v>
      </c>
      <c r="I3530" s="3" t="s">
        <v>39</v>
      </c>
      <c r="J3530" s="3">
        <v>2</v>
      </c>
      <c r="K3530" s="3">
        <v>52601.760000000002</v>
      </c>
      <c r="L3530" s="3">
        <f>Table1[[#This Row],[Price Per Unit]]*Table1[[#This Row],[Units Sold]]</f>
        <v>105203.52</v>
      </c>
      <c r="M3530" s="3" t="s">
        <v>631</v>
      </c>
      <c r="N3530" s="3">
        <v>27</v>
      </c>
      <c r="O3530" s="3" t="s">
        <v>98</v>
      </c>
      <c r="P3530" s="3" t="s">
        <v>21</v>
      </c>
      <c r="Q3530" s="4">
        <v>5</v>
      </c>
      <c r="R3530" s="4" t="str">
        <f>IF(Table1[[#This Row],[Customer Ratings]]&gt;=4, "Good",IF(Table1[[#This Row],[Customer Ratings]]=3, "Average","Poor"))</f>
        <v>Good</v>
      </c>
      <c r="S3530" s="3" t="s">
        <v>76</v>
      </c>
    </row>
    <row r="3531" spans="1:19" x14ac:dyDescent="0.25">
      <c r="A3531" s="3">
        <v>3530</v>
      </c>
      <c r="B3531" s="5">
        <f>DATE(Table1[[#This Row],[Year]],Table1[[#This Row],[Month]],Table1[[#This Row],[Day]])</f>
        <v>45484</v>
      </c>
      <c r="C3531" s="3">
        <v>11</v>
      </c>
      <c r="D3531" s="3">
        <v>7</v>
      </c>
      <c r="E3531" s="3">
        <v>2024</v>
      </c>
      <c r="F3531" s="3" t="str">
        <f>"Qtr"&amp; " " &amp;CHOOSE(MONTH(Table1[[#This Row],[Date]]),1,1,1,2,2,2,3,3,3,4,4,4)</f>
        <v>Qtr 3</v>
      </c>
      <c r="G3531" s="3" t="str">
        <f>TEXT(Table1[[#This Row],[Date]],"mmmm")</f>
        <v>July</v>
      </c>
      <c r="H3531" s="3" t="s">
        <v>1084</v>
      </c>
      <c r="I3531" s="3" t="s">
        <v>18</v>
      </c>
      <c r="J3531" s="3">
        <v>1</v>
      </c>
      <c r="K3531" s="3">
        <v>11201.41</v>
      </c>
      <c r="L3531" s="3">
        <f>Table1[[#This Row],[Price Per Unit]]*Table1[[#This Row],[Units Sold]]</f>
        <v>11201.41</v>
      </c>
      <c r="M3531" s="3" t="s">
        <v>327</v>
      </c>
      <c r="N3531" s="3">
        <v>51</v>
      </c>
      <c r="O3531" s="3" t="s">
        <v>137</v>
      </c>
      <c r="P3531" s="3" t="s">
        <v>16</v>
      </c>
      <c r="Q3531" s="4">
        <v>3</v>
      </c>
      <c r="R3531" s="4" t="str">
        <f>IF(Table1[[#This Row],[Customer Ratings]]&gt;=4, "Good",IF(Table1[[#This Row],[Customer Ratings]]=3, "Average","Poor"))</f>
        <v>Average</v>
      </c>
      <c r="S3531" s="3" t="s">
        <v>55</v>
      </c>
    </row>
    <row r="3532" spans="1:19" x14ac:dyDescent="0.25">
      <c r="A3532" s="3">
        <v>3531</v>
      </c>
      <c r="B3532" s="5">
        <f>DATE(Table1[[#This Row],[Year]],Table1[[#This Row],[Month]],Table1[[#This Row],[Day]])</f>
        <v>45484</v>
      </c>
      <c r="C3532" s="3">
        <v>11</v>
      </c>
      <c r="D3532" s="3">
        <v>7</v>
      </c>
      <c r="E3532" s="3">
        <v>2024</v>
      </c>
      <c r="F3532" s="3" t="str">
        <f>"Qtr"&amp; " " &amp;CHOOSE(MONTH(Table1[[#This Row],[Date]]),1,1,1,2,2,2,3,3,3,4,4,4)</f>
        <v>Qtr 3</v>
      </c>
      <c r="G3532" s="3" t="str">
        <f>TEXT(Table1[[#This Row],[Date]],"mmmm")</f>
        <v>July</v>
      </c>
      <c r="H3532" s="3" t="s">
        <v>1084</v>
      </c>
      <c r="I3532" s="3" t="s">
        <v>28</v>
      </c>
      <c r="J3532" s="3">
        <v>3</v>
      </c>
      <c r="K3532" s="3">
        <v>44198.97</v>
      </c>
      <c r="L3532" s="3">
        <f>Table1[[#This Row],[Price Per Unit]]*Table1[[#This Row],[Units Sold]]</f>
        <v>132596.91</v>
      </c>
      <c r="M3532" s="3" t="s">
        <v>683</v>
      </c>
      <c r="N3532" s="3">
        <v>23</v>
      </c>
      <c r="O3532" s="3" t="s">
        <v>58</v>
      </c>
      <c r="P3532" s="3" t="s">
        <v>31</v>
      </c>
      <c r="Q3532" s="4">
        <v>3</v>
      </c>
      <c r="R3532" s="4" t="str">
        <f>IF(Table1[[#This Row],[Customer Ratings]]&gt;=4, "Good",IF(Table1[[#This Row],[Customer Ratings]]=3, "Average","Poor"))</f>
        <v>Average</v>
      </c>
      <c r="S3532" s="3" t="s">
        <v>32</v>
      </c>
    </row>
    <row r="3533" spans="1:19" x14ac:dyDescent="0.25">
      <c r="A3533" s="3">
        <v>3532</v>
      </c>
      <c r="B3533" s="5">
        <f>DATE(Table1[[#This Row],[Year]],Table1[[#This Row],[Month]],Table1[[#This Row],[Day]])</f>
        <v>45484</v>
      </c>
      <c r="C3533" s="3">
        <v>11</v>
      </c>
      <c r="D3533" s="3">
        <v>7</v>
      </c>
      <c r="E3533" s="3">
        <v>2024</v>
      </c>
      <c r="F3533" s="3" t="str">
        <f>"Qtr"&amp; " " &amp;CHOOSE(MONTH(Table1[[#This Row],[Date]]),1,1,1,2,2,2,3,3,3,4,4,4)</f>
        <v>Qtr 3</v>
      </c>
      <c r="G3533" s="3" t="str">
        <f>TEXT(Table1[[#This Row],[Date]],"mmmm")</f>
        <v>July</v>
      </c>
      <c r="H3533" s="3" t="s">
        <v>1084</v>
      </c>
      <c r="I3533" s="3" t="s">
        <v>39</v>
      </c>
      <c r="J3533" s="3">
        <v>9</v>
      </c>
      <c r="K3533" s="3">
        <v>30071.26</v>
      </c>
      <c r="L3533" s="3">
        <f>Table1[[#This Row],[Price Per Unit]]*Table1[[#This Row],[Units Sold]]</f>
        <v>270641.33999999997</v>
      </c>
      <c r="M3533" s="3" t="s">
        <v>437</v>
      </c>
      <c r="N3533" s="3">
        <v>45</v>
      </c>
      <c r="O3533" s="3" t="s">
        <v>54</v>
      </c>
      <c r="P3533" s="3" t="s">
        <v>31</v>
      </c>
      <c r="Q3533" s="4">
        <v>5</v>
      </c>
      <c r="R3533" s="4" t="str">
        <f>IF(Table1[[#This Row],[Customer Ratings]]&gt;=4, "Good",IF(Table1[[#This Row],[Customer Ratings]]=3, "Average","Poor"))</f>
        <v>Good</v>
      </c>
      <c r="S3533" s="3" t="s">
        <v>42</v>
      </c>
    </row>
    <row r="3534" spans="1:19" x14ac:dyDescent="0.25">
      <c r="A3534" s="3">
        <v>3533</v>
      </c>
      <c r="B3534" s="5">
        <f>DATE(Table1[[#This Row],[Year]],Table1[[#This Row],[Month]],Table1[[#This Row],[Day]])</f>
        <v>45484</v>
      </c>
      <c r="C3534" s="3">
        <v>11</v>
      </c>
      <c r="D3534" s="3">
        <v>7</v>
      </c>
      <c r="E3534" s="3">
        <v>2024</v>
      </c>
      <c r="F3534" s="3" t="str">
        <f>"Qtr"&amp; " " &amp;CHOOSE(MONTH(Table1[[#This Row],[Date]]),1,1,1,2,2,2,3,3,3,4,4,4)</f>
        <v>Qtr 3</v>
      </c>
      <c r="G3534" s="3" t="str">
        <f>TEXT(Table1[[#This Row],[Date]],"mmmm")</f>
        <v>July</v>
      </c>
      <c r="H3534" s="3" t="s">
        <v>1084</v>
      </c>
      <c r="I3534" s="3" t="s">
        <v>18</v>
      </c>
      <c r="J3534" s="3">
        <v>3</v>
      </c>
      <c r="K3534" s="3">
        <v>10529.91</v>
      </c>
      <c r="L3534" s="3">
        <f>Table1[[#This Row],[Price Per Unit]]*Table1[[#This Row],[Units Sold]]</f>
        <v>31589.73</v>
      </c>
      <c r="M3534" s="3" t="s">
        <v>605</v>
      </c>
      <c r="N3534" s="3">
        <v>45</v>
      </c>
      <c r="O3534" s="3" t="s">
        <v>20</v>
      </c>
      <c r="P3534" s="3" t="s">
        <v>16</v>
      </c>
      <c r="Q3534" s="4">
        <v>5</v>
      </c>
      <c r="R3534" s="4" t="str">
        <f>IF(Table1[[#This Row],[Customer Ratings]]&gt;=4, "Good",IF(Table1[[#This Row],[Customer Ratings]]=3, "Average","Poor"))</f>
        <v>Good</v>
      </c>
      <c r="S3534" s="3" t="s">
        <v>55</v>
      </c>
    </row>
    <row r="3535" spans="1:19" x14ac:dyDescent="0.25">
      <c r="A3535" s="3">
        <v>3534</v>
      </c>
      <c r="B3535" s="5">
        <f>DATE(Table1[[#This Row],[Year]],Table1[[#This Row],[Month]],Table1[[#This Row],[Day]])</f>
        <v>45485</v>
      </c>
      <c r="C3535" s="3">
        <v>12</v>
      </c>
      <c r="D3535" s="3">
        <v>7</v>
      </c>
      <c r="E3535" s="3">
        <v>2024</v>
      </c>
      <c r="F3535" s="3" t="str">
        <f>"Qtr"&amp; " " &amp;CHOOSE(MONTH(Table1[[#This Row],[Date]]),1,1,1,2,2,2,3,3,3,4,4,4)</f>
        <v>Qtr 3</v>
      </c>
      <c r="G3535" s="3" t="str">
        <f>TEXT(Table1[[#This Row],[Date]],"mmmm")</f>
        <v>July</v>
      </c>
      <c r="H3535" s="3" t="s">
        <v>1085</v>
      </c>
      <c r="I3535" s="3" t="s">
        <v>28</v>
      </c>
      <c r="J3535" s="3">
        <v>9</v>
      </c>
      <c r="K3535" s="3">
        <v>21423</v>
      </c>
      <c r="L3535" s="3">
        <f>Table1[[#This Row],[Price Per Unit]]*Table1[[#This Row],[Units Sold]]</f>
        <v>192807</v>
      </c>
      <c r="M3535" s="3" t="s">
        <v>238</v>
      </c>
      <c r="N3535" s="3">
        <v>30</v>
      </c>
      <c r="O3535" s="3" t="s">
        <v>78</v>
      </c>
      <c r="P3535" s="3" t="s">
        <v>21</v>
      </c>
      <c r="Q3535" s="4">
        <v>3</v>
      </c>
      <c r="R3535" s="4" t="str">
        <f>IF(Table1[[#This Row],[Customer Ratings]]&gt;=4, "Good",IF(Table1[[#This Row],[Customer Ratings]]=3, "Average","Poor"))</f>
        <v>Average</v>
      </c>
      <c r="S3535" s="3" t="s">
        <v>32</v>
      </c>
    </row>
    <row r="3536" spans="1:19" x14ac:dyDescent="0.25">
      <c r="A3536" s="3">
        <v>3535</v>
      </c>
      <c r="B3536" s="5">
        <f>DATE(Table1[[#This Row],[Year]],Table1[[#This Row],[Month]],Table1[[#This Row],[Day]])</f>
        <v>45485</v>
      </c>
      <c r="C3536" s="3">
        <v>12</v>
      </c>
      <c r="D3536" s="3">
        <v>7</v>
      </c>
      <c r="E3536" s="3">
        <v>2024</v>
      </c>
      <c r="F3536" s="3" t="str">
        <f>"Qtr"&amp; " " &amp;CHOOSE(MONTH(Table1[[#This Row],[Date]]),1,1,1,2,2,2,3,3,3,4,4,4)</f>
        <v>Qtr 3</v>
      </c>
      <c r="G3536" s="3" t="str">
        <f>TEXT(Table1[[#This Row],[Date]],"mmmm")</f>
        <v>July</v>
      </c>
      <c r="H3536" s="3" t="s">
        <v>1085</v>
      </c>
      <c r="I3536" s="3" t="s">
        <v>33</v>
      </c>
      <c r="J3536" s="3">
        <v>7</v>
      </c>
      <c r="K3536" s="3">
        <v>66456.77</v>
      </c>
      <c r="L3536" s="3">
        <f>Table1[[#This Row],[Price Per Unit]]*Table1[[#This Row],[Units Sold]]</f>
        <v>465197.39</v>
      </c>
      <c r="M3536" s="3" t="s">
        <v>401</v>
      </c>
      <c r="N3536" s="3">
        <v>58</v>
      </c>
      <c r="O3536" s="3" t="s">
        <v>20</v>
      </c>
      <c r="P3536" s="3" t="s">
        <v>45</v>
      </c>
      <c r="Q3536" s="4">
        <v>4</v>
      </c>
      <c r="R3536" s="4" t="str">
        <f>IF(Table1[[#This Row],[Customer Ratings]]&gt;=4, "Good",IF(Table1[[#This Row],[Customer Ratings]]=3, "Average","Poor"))</f>
        <v>Good</v>
      </c>
      <c r="S3536" s="3" t="s">
        <v>36</v>
      </c>
    </row>
    <row r="3537" spans="1:19" x14ac:dyDescent="0.25">
      <c r="A3537" s="3">
        <v>3536</v>
      </c>
      <c r="B3537" s="5">
        <f>DATE(Table1[[#This Row],[Year]],Table1[[#This Row],[Month]],Table1[[#This Row],[Day]])</f>
        <v>45485</v>
      </c>
      <c r="C3537" s="3">
        <v>12</v>
      </c>
      <c r="D3537" s="3">
        <v>7</v>
      </c>
      <c r="E3537" s="3">
        <v>2024</v>
      </c>
      <c r="F3537" s="3" t="str">
        <f>"Qtr"&amp; " " &amp;CHOOSE(MONTH(Table1[[#This Row],[Date]]),1,1,1,2,2,2,3,3,3,4,4,4)</f>
        <v>Qtr 3</v>
      </c>
      <c r="G3537" s="3" t="str">
        <f>TEXT(Table1[[#This Row],[Date]],"mmmm")</f>
        <v>July</v>
      </c>
      <c r="H3537" s="3" t="s">
        <v>1085</v>
      </c>
      <c r="I3537" s="3" t="s">
        <v>28</v>
      </c>
      <c r="J3537" s="3">
        <v>1</v>
      </c>
      <c r="K3537" s="3">
        <v>41268.93</v>
      </c>
      <c r="L3537" s="3">
        <f>Table1[[#This Row],[Price Per Unit]]*Table1[[#This Row],[Units Sold]]</f>
        <v>41268.93</v>
      </c>
      <c r="M3537" s="3" t="s">
        <v>1041</v>
      </c>
      <c r="N3537" s="3">
        <v>29</v>
      </c>
      <c r="O3537" s="3" t="s">
        <v>102</v>
      </c>
      <c r="P3537" s="3" t="s">
        <v>45</v>
      </c>
      <c r="Q3537" s="4">
        <v>3</v>
      </c>
      <c r="R3537" s="4" t="str">
        <f>IF(Table1[[#This Row],[Customer Ratings]]&gt;=4, "Good",IF(Table1[[#This Row],[Customer Ratings]]=3, "Average","Poor"))</f>
        <v>Average</v>
      </c>
      <c r="S3537" s="3" t="s">
        <v>87</v>
      </c>
    </row>
    <row r="3538" spans="1:19" x14ac:dyDescent="0.25">
      <c r="A3538" s="3">
        <v>3537</v>
      </c>
      <c r="B3538" s="5">
        <f>DATE(Table1[[#This Row],[Year]],Table1[[#This Row],[Month]],Table1[[#This Row],[Day]])</f>
        <v>45486</v>
      </c>
      <c r="C3538" s="3">
        <v>13</v>
      </c>
      <c r="D3538" s="3">
        <v>7</v>
      </c>
      <c r="E3538" s="3">
        <v>2024</v>
      </c>
      <c r="F3538" s="3" t="str">
        <f>"Qtr"&amp; " " &amp;CHOOSE(MONTH(Table1[[#This Row],[Date]]),1,1,1,2,2,2,3,3,3,4,4,4)</f>
        <v>Qtr 3</v>
      </c>
      <c r="G3538" s="3" t="str">
        <f>TEXT(Table1[[#This Row],[Date]],"mmmm")</f>
        <v>July</v>
      </c>
      <c r="H3538" s="3" t="s">
        <v>1079</v>
      </c>
      <c r="I3538" s="3" t="s">
        <v>39</v>
      </c>
      <c r="J3538" s="3">
        <v>5</v>
      </c>
      <c r="K3538" s="3">
        <v>69833.63</v>
      </c>
      <c r="L3538" s="3">
        <f>Table1[[#This Row],[Price Per Unit]]*Table1[[#This Row],[Units Sold]]</f>
        <v>349168.15</v>
      </c>
      <c r="M3538" s="3" t="s">
        <v>64</v>
      </c>
      <c r="N3538" s="3">
        <v>57</v>
      </c>
      <c r="O3538" s="3" t="s">
        <v>65</v>
      </c>
      <c r="P3538" s="3" t="s">
        <v>31</v>
      </c>
      <c r="Q3538" s="4">
        <v>3</v>
      </c>
      <c r="R3538" s="4" t="str">
        <f>IF(Table1[[#This Row],[Customer Ratings]]&gt;=4, "Good",IF(Table1[[#This Row],[Customer Ratings]]=3, "Average","Poor"))</f>
        <v>Average</v>
      </c>
      <c r="S3538" s="3" t="s">
        <v>76</v>
      </c>
    </row>
    <row r="3539" spans="1:19" x14ac:dyDescent="0.25">
      <c r="A3539" s="3">
        <v>3538</v>
      </c>
      <c r="B3539" s="5">
        <f>DATE(Table1[[#This Row],[Year]],Table1[[#This Row],[Month]],Table1[[#This Row],[Day]])</f>
        <v>45486</v>
      </c>
      <c r="C3539" s="3">
        <v>13</v>
      </c>
      <c r="D3539" s="3">
        <v>7</v>
      </c>
      <c r="E3539" s="3">
        <v>2024</v>
      </c>
      <c r="F3539" s="3" t="str">
        <f>"Qtr"&amp; " " &amp;CHOOSE(MONTH(Table1[[#This Row],[Date]]),1,1,1,2,2,2,3,3,3,4,4,4)</f>
        <v>Qtr 3</v>
      </c>
      <c r="G3539" s="3" t="str">
        <f>TEXT(Table1[[#This Row],[Date]],"mmmm")</f>
        <v>July</v>
      </c>
      <c r="H3539" s="3" t="s">
        <v>1079</v>
      </c>
      <c r="I3539" s="3" t="s">
        <v>13</v>
      </c>
      <c r="J3539" s="3">
        <v>9</v>
      </c>
      <c r="K3539" s="3">
        <v>41489.01</v>
      </c>
      <c r="L3539" s="3">
        <f>Table1[[#This Row],[Price Per Unit]]*Table1[[#This Row],[Units Sold]]</f>
        <v>373401.09</v>
      </c>
      <c r="M3539" s="3" t="s">
        <v>265</v>
      </c>
      <c r="N3539" s="3">
        <v>19</v>
      </c>
      <c r="O3539" s="3" t="s">
        <v>41</v>
      </c>
      <c r="P3539" s="3" t="s">
        <v>21</v>
      </c>
      <c r="Q3539" s="4">
        <v>5</v>
      </c>
      <c r="R3539" s="4" t="str">
        <f>IF(Table1[[#This Row],[Customer Ratings]]&gt;=4, "Good",IF(Table1[[#This Row],[Customer Ratings]]=3, "Average","Poor"))</f>
        <v>Good</v>
      </c>
      <c r="S3539" s="3" t="s">
        <v>27</v>
      </c>
    </row>
    <row r="3540" spans="1:19" x14ac:dyDescent="0.25">
      <c r="A3540" s="3">
        <v>3539</v>
      </c>
      <c r="B3540" s="5">
        <f>DATE(Table1[[#This Row],[Year]],Table1[[#This Row],[Month]],Table1[[#This Row],[Day]])</f>
        <v>45486</v>
      </c>
      <c r="C3540" s="3">
        <v>13</v>
      </c>
      <c r="D3540" s="3">
        <v>7</v>
      </c>
      <c r="E3540" s="3">
        <v>2024</v>
      </c>
      <c r="F3540" s="3" t="str">
        <f>"Qtr"&amp; " " &amp;CHOOSE(MONTH(Table1[[#This Row],[Date]]),1,1,1,2,2,2,3,3,3,4,4,4)</f>
        <v>Qtr 3</v>
      </c>
      <c r="G3540" s="3" t="str">
        <f>TEXT(Table1[[#This Row],[Date]],"mmmm")</f>
        <v>July</v>
      </c>
      <c r="H3540" s="3" t="s">
        <v>1079</v>
      </c>
      <c r="I3540" s="3" t="s">
        <v>33</v>
      </c>
      <c r="J3540" s="3">
        <v>3</v>
      </c>
      <c r="K3540" s="3">
        <v>42636.18</v>
      </c>
      <c r="L3540" s="3">
        <f>Table1[[#This Row],[Price Per Unit]]*Table1[[#This Row],[Units Sold]]</f>
        <v>127908.54000000001</v>
      </c>
      <c r="M3540" s="3" t="s">
        <v>632</v>
      </c>
      <c r="N3540" s="3">
        <v>25</v>
      </c>
      <c r="O3540" s="3" t="s">
        <v>54</v>
      </c>
      <c r="P3540" s="3" t="s">
        <v>45</v>
      </c>
      <c r="Q3540" s="4">
        <v>5</v>
      </c>
      <c r="R3540" s="4" t="str">
        <f>IF(Table1[[#This Row],[Customer Ratings]]&gt;=4, "Good",IF(Table1[[#This Row],[Customer Ratings]]=3, "Average","Poor"))</f>
        <v>Good</v>
      </c>
      <c r="S3540" s="3" t="s">
        <v>83</v>
      </c>
    </row>
    <row r="3541" spans="1:19" x14ac:dyDescent="0.25">
      <c r="A3541" s="3">
        <v>3540</v>
      </c>
      <c r="B3541" s="5">
        <f>DATE(Table1[[#This Row],[Year]],Table1[[#This Row],[Month]],Table1[[#This Row],[Day]])</f>
        <v>45486</v>
      </c>
      <c r="C3541" s="3">
        <v>13</v>
      </c>
      <c r="D3541" s="3">
        <v>7</v>
      </c>
      <c r="E3541" s="3">
        <v>2024</v>
      </c>
      <c r="F3541" s="3" t="str">
        <f>"Qtr"&amp; " " &amp;CHOOSE(MONTH(Table1[[#This Row],[Date]]),1,1,1,2,2,2,3,3,3,4,4,4)</f>
        <v>Qtr 3</v>
      </c>
      <c r="G3541" s="3" t="str">
        <f>TEXT(Table1[[#This Row],[Date]],"mmmm")</f>
        <v>July</v>
      </c>
      <c r="H3541" s="3" t="s">
        <v>1079</v>
      </c>
      <c r="I3541" s="3" t="s">
        <v>18</v>
      </c>
      <c r="J3541" s="3">
        <v>9</v>
      </c>
      <c r="K3541" s="3">
        <v>33510.58</v>
      </c>
      <c r="L3541" s="3">
        <f>Table1[[#This Row],[Price Per Unit]]*Table1[[#This Row],[Units Sold]]</f>
        <v>301595.22000000003</v>
      </c>
      <c r="M3541" s="3" t="s">
        <v>623</v>
      </c>
      <c r="N3541" s="3">
        <v>59</v>
      </c>
      <c r="O3541" s="3" t="s">
        <v>20</v>
      </c>
      <c r="P3541" s="3" t="s">
        <v>21</v>
      </c>
      <c r="Q3541" s="4">
        <v>4</v>
      </c>
      <c r="R3541" s="4" t="str">
        <f>IF(Table1[[#This Row],[Customer Ratings]]&gt;=4, "Good",IF(Table1[[#This Row],[Customer Ratings]]=3, "Average","Poor"))</f>
        <v>Good</v>
      </c>
      <c r="S3541" s="3" t="s">
        <v>22</v>
      </c>
    </row>
    <row r="3542" spans="1:19" x14ac:dyDescent="0.25">
      <c r="A3542" s="3">
        <v>3541</v>
      </c>
      <c r="B3542" s="5">
        <f>DATE(Table1[[#This Row],[Year]],Table1[[#This Row],[Month]],Table1[[#This Row],[Day]])</f>
        <v>45487</v>
      </c>
      <c r="C3542" s="3">
        <v>14</v>
      </c>
      <c r="D3542" s="3">
        <v>7</v>
      </c>
      <c r="E3542" s="3">
        <v>2024</v>
      </c>
      <c r="F3542" s="3" t="str">
        <f>"Qtr"&amp; " " &amp;CHOOSE(MONTH(Table1[[#This Row],[Date]]),1,1,1,2,2,2,3,3,3,4,4,4)</f>
        <v>Qtr 3</v>
      </c>
      <c r="G3542" s="3" t="str">
        <f>TEXT(Table1[[#This Row],[Date]],"mmmm")</f>
        <v>July</v>
      </c>
      <c r="H3542" s="3" t="s">
        <v>1080</v>
      </c>
      <c r="I3542" s="3" t="s">
        <v>39</v>
      </c>
      <c r="J3542" s="3">
        <v>5</v>
      </c>
      <c r="K3542" s="3">
        <v>28602.43</v>
      </c>
      <c r="L3542" s="3">
        <f>Table1[[#This Row],[Price Per Unit]]*Table1[[#This Row],[Units Sold]]</f>
        <v>143012.15</v>
      </c>
      <c r="M3542" s="3" t="s">
        <v>262</v>
      </c>
      <c r="N3542" s="3">
        <v>26</v>
      </c>
      <c r="O3542" s="3" t="s">
        <v>105</v>
      </c>
      <c r="P3542" s="3" t="s">
        <v>16</v>
      </c>
      <c r="Q3542" s="4">
        <v>2</v>
      </c>
      <c r="R3542" s="4" t="str">
        <f>IF(Table1[[#This Row],[Customer Ratings]]&gt;=4, "Good",IF(Table1[[#This Row],[Customer Ratings]]=3, "Average","Poor"))</f>
        <v>Poor</v>
      </c>
      <c r="S3542" s="3" t="s">
        <v>76</v>
      </c>
    </row>
    <row r="3543" spans="1:19" x14ac:dyDescent="0.25">
      <c r="A3543" s="3">
        <v>3542</v>
      </c>
      <c r="B3543" s="5">
        <f>DATE(Table1[[#This Row],[Year]],Table1[[#This Row],[Month]],Table1[[#This Row],[Day]])</f>
        <v>45487</v>
      </c>
      <c r="C3543" s="3">
        <v>14</v>
      </c>
      <c r="D3543" s="3">
        <v>7</v>
      </c>
      <c r="E3543" s="3">
        <v>2024</v>
      </c>
      <c r="F3543" s="3" t="str">
        <f>"Qtr"&amp; " " &amp;CHOOSE(MONTH(Table1[[#This Row],[Date]]),1,1,1,2,2,2,3,3,3,4,4,4)</f>
        <v>Qtr 3</v>
      </c>
      <c r="G3543" s="3" t="str">
        <f>TEXT(Table1[[#This Row],[Date]],"mmmm")</f>
        <v>July</v>
      </c>
      <c r="H3543" s="3" t="s">
        <v>1080</v>
      </c>
      <c r="I3543" s="3" t="s">
        <v>13</v>
      </c>
      <c r="J3543" s="3">
        <v>9</v>
      </c>
      <c r="K3543" s="3">
        <v>25092.73</v>
      </c>
      <c r="L3543" s="3">
        <f>Table1[[#This Row],[Price Per Unit]]*Table1[[#This Row],[Units Sold]]</f>
        <v>225834.57</v>
      </c>
      <c r="M3543" s="3" t="s">
        <v>375</v>
      </c>
      <c r="N3543" s="3">
        <v>25</v>
      </c>
      <c r="O3543" s="3" t="s">
        <v>20</v>
      </c>
      <c r="P3543" s="3" t="s">
        <v>31</v>
      </c>
      <c r="Q3543" s="4">
        <v>5</v>
      </c>
      <c r="R3543" s="4" t="str">
        <f>IF(Table1[[#This Row],[Customer Ratings]]&gt;=4, "Good",IF(Table1[[#This Row],[Customer Ratings]]=3, "Average","Poor"))</f>
        <v>Good</v>
      </c>
      <c r="S3543" s="3" t="s">
        <v>27</v>
      </c>
    </row>
    <row r="3544" spans="1:19" x14ac:dyDescent="0.25">
      <c r="A3544" s="3">
        <v>3543</v>
      </c>
      <c r="B3544" s="5">
        <f>DATE(Table1[[#This Row],[Year]],Table1[[#This Row],[Month]],Table1[[#This Row],[Day]])</f>
        <v>45487</v>
      </c>
      <c r="C3544" s="3">
        <v>14</v>
      </c>
      <c r="D3544" s="3">
        <v>7</v>
      </c>
      <c r="E3544" s="3">
        <v>2024</v>
      </c>
      <c r="F3544" s="3" t="str">
        <f>"Qtr"&amp; " " &amp;CHOOSE(MONTH(Table1[[#This Row],[Date]]),1,1,1,2,2,2,3,3,3,4,4,4)</f>
        <v>Qtr 3</v>
      </c>
      <c r="G3544" s="3" t="str">
        <f>TEXT(Table1[[#This Row],[Date]],"mmmm")</f>
        <v>July</v>
      </c>
      <c r="H3544" s="3" t="s">
        <v>1080</v>
      </c>
      <c r="I3544" s="3" t="s">
        <v>28</v>
      </c>
      <c r="J3544" s="3">
        <v>6</v>
      </c>
      <c r="K3544" s="3">
        <v>30605.24</v>
      </c>
      <c r="L3544" s="3">
        <f>Table1[[#This Row],[Price Per Unit]]*Table1[[#This Row],[Units Sold]]</f>
        <v>183631.44</v>
      </c>
      <c r="M3544" s="3" t="s">
        <v>995</v>
      </c>
      <c r="N3544" s="3">
        <v>20</v>
      </c>
      <c r="O3544" s="3" t="s">
        <v>65</v>
      </c>
      <c r="P3544" s="3" t="s">
        <v>16</v>
      </c>
      <c r="Q3544" s="4">
        <v>2</v>
      </c>
      <c r="R3544" s="4" t="str">
        <f>IF(Table1[[#This Row],[Customer Ratings]]&gt;=4, "Good",IF(Table1[[#This Row],[Customer Ratings]]=3, "Average","Poor"))</f>
        <v>Poor</v>
      </c>
      <c r="S3544" s="3" t="s">
        <v>38</v>
      </c>
    </row>
    <row r="3545" spans="1:19" x14ac:dyDescent="0.25">
      <c r="A3545" s="3">
        <v>3544</v>
      </c>
      <c r="B3545" s="5">
        <f>DATE(Table1[[#This Row],[Year]],Table1[[#This Row],[Month]],Table1[[#This Row],[Day]])</f>
        <v>45487</v>
      </c>
      <c r="C3545" s="3">
        <v>14</v>
      </c>
      <c r="D3545" s="3">
        <v>7</v>
      </c>
      <c r="E3545" s="3">
        <v>2024</v>
      </c>
      <c r="F3545" s="3" t="str">
        <f>"Qtr"&amp; " " &amp;CHOOSE(MONTH(Table1[[#This Row],[Date]]),1,1,1,2,2,2,3,3,3,4,4,4)</f>
        <v>Qtr 3</v>
      </c>
      <c r="G3545" s="3" t="str">
        <f>TEXT(Table1[[#This Row],[Date]],"mmmm")</f>
        <v>July</v>
      </c>
      <c r="H3545" s="3" t="s">
        <v>1080</v>
      </c>
      <c r="I3545" s="3" t="s">
        <v>13</v>
      </c>
      <c r="J3545" s="3">
        <v>9</v>
      </c>
      <c r="K3545" s="3">
        <v>37591.06</v>
      </c>
      <c r="L3545" s="3">
        <f>Table1[[#This Row],[Price Per Unit]]*Table1[[#This Row],[Units Sold]]</f>
        <v>338319.54</v>
      </c>
      <c r="M3545" s="3" t="s">
        <v>950</v>
      </c>
      <c r="N3545" s="3">
        <v>26</v>
      </c>
      <c r="O3545" s="3" t="s">
        <v>65</v>
      </c>
      <c r="P3545" s="3" t="s">
        <v>16</v>
      </c>
      <c r="Q3545" s="4">
        <v>4</v>
      </c>
      <c r="R3545" s="4" t="str">
        <f>IF(Table1[[#This Row],[Customer Ratings]]&gt;=4, "Good",IF(Table1[[#This Row],[Customer Ratings]]=3, "Average","Poor"))</f>
        <v>Good</v>
      </c>
      <c r="S3545" s="3" t="s">
        <v>72</v>
      </c>
    </row>
    <row r="3546" spans="1:19" x14ac:dyDescent="0.25">
      <c r="A3546" s="3">
        <v>3545</v>
      </c>
      <c r="B3546" s="5">
        <f>DATE(Table1[[#This Row],[Year]],Table1[[#This Row],[Month]],Table1[[#This Row],[Day]])</f>
        <v>45488</v>
      </c>
      <c r="C3546" s="3">
        <v>15</v>
      </c>
      <c r="D3546" s="3">
        <v>7</v>
      </c>
      <c r="E3546" s="3">
        <v>2024</v>
      </c>
      <c r="F3546" s="3" t="str">
        <f>"Qtr"&amp; " " &amp;CHOOSE(MONTH(Table1[[#This Row],[Date]]),1,1,1,2,2,2,3,3,3,4,4,4)</f>
        <v>Qtr 3</v>
      </c>
      <c r="G3546" s="3" t="str">
        <f>TEXT(Table1[[#This Row],[Date]],"mmmm")</f>
        <v>July</v>
      </c>
      <c r="H3546" s="3" t="s">
        <v>1081</v>
      </c>
      <c r="I3546" s="3" t="s">
        <v>39</v>
      </c>
      <c r="J3546" s="3">
        <v>7</v>
      </c>
      <c r="K3546" s="3">
        <v>21519.52</v>
      </c>
      <c r="L3546" s="3">
        <f>Table1[[#This Row],[Price Per Unit]]*Table1[[#This Row],[Units Sold]]</f>
        <v>150636.64000000001</v>
      </c>
      <c r="M3546" s="3" t="s">
        <v>203</v>
      </c>
      <c r="N3546" s="3">
        <v>30</v>
      </c>
      <c r="O3546" s="3" t="s">
        <v>15</v>
      </c>
      <c r="P3546" s="3" t="s">
        <v>16</v>
      </c>
      <c r="Q3546" s="4">
        <v>3</v>
      </c>
      <c r="R3546" s="4" t="str">
        <f>IF(Table1[[#This Row],[Customer Ratings]]&gt;=4, "Good",IF(Table1[[#This Row],[Customer Ratings]]=3, "Average","Poor"))</f>
        <v>Average</v>
      </c>
      <c r="S3546" s="3" t="s">
        <v>76</v>
      </c>
    </row>
    <row r="3547" spans="1:19" x14ac:dyDescent="0.25">
      <c r="A3547" s="3">
        <v>3546</v>
      </c>
      <c r="B3547" s="5">
        <f>DATE(Table1[[#This Row],[Year]],Table1[[#This Row],[Month]],Table1[[#This Row],[Day]])</f>
        <v>45488</v>
      </c>
      <c r="C3547" s="3">
        <v>15</v>
      </c>
      <c r="D3547" s="3">
        <v>7</v>
      </c>
      <c r="E3547" s="3">
        <v>2024</v>
      </c>
      <c r="F3547" s="3" t="str">
        <f>"Qtr"&amp; " " &amp;CHOOSE(MONTH(Table1[[#This Row],[Date]]),1,1,1,2,2,2,3,3,3,4,4,4)</f>
        <v>Qtr 3</v>
      </c>
      <c r="G3547" s="3" t="str">
        <f>TEXT(Table1[[#This Row],[Date]],"mmmm")</f>
        <v>July</v>
      </c>
      <c r="H3547" s="3" t="s">
        <v>1081</v>
      </c>
      <c r="I3547" s="3" t="s">
        <v>39</v>
      </c>
      <c r="J3547" s="3">
        <v>7</v>
      </c>
      <c r="K3547" s="3">
        <v>23492.51</v>
      </c>
      <c r="L3547" s="3">
        <f>Table1[[#This Row],[Price Per Unit]]*Table1[[#This Row],[Units Sold]]</f>
        <v>164447.56999999998</v>
      </c>
      <c r="M3547" s="3" t="s">
        <v>387</v>
      </c>
      <c r="N3547" s="3">
        <v>26</v>
      </c>
      <c r="O3547" s="3" t="s">
        <v>78</v>
      </c>
      <c r="P3547" s="3" t="s">
        <v>21</v>
      </c>
      <c r="Q3547" s="4">
        <v>3</v>
      </c>
      <c r="R3547" s="4" t="str">
        <f>IF(Table1[[#This Row],[Customer Ratings]]&gt;=4, "Good",IF(Table1[[#This Row],[Customer Ratings]]=3, "Average","Poor"))</f>
        <v>Average</v>
      </c>
      <c r="S3547" s="3" t="s">
        <v>42</v>
      </c>
    </row>
    <row r="3548" spans="1:19" x14ac:dyDescent="0.25">
      <c r="A3548" s="3">
        <v>3547</v>
      </c>
      <c r="B3548" s="5">
        <f>DATE(Table1[[#This Row],[Year]],Table1[[#This Row],[Month]],Table1[[#This Row],[Day]])</f>
        <v>45488</v>
      </c>
      <c r="C3548" s="3">
        <v>15</v>
      </c>
      <c r="D3548" s="3">
        <v>7</v>
      </c>
      <c r="E3548" s="3">
        <v>2024</v>
      </c>
      <c r="F3548" s="3" t="str">
        <f>"Qtr"&amp; " " &amp;CHOOSE(MONTH(Table1[[#This Row],[Date]]),1,1,1,2,2,2,3,3,3,4,4,4)</f>
        <v>Qtr 3</v>
      </c>
      <c r="G3548" s="3" t="str">
        <f>TEXT(Table1[[#This Row],[Date]],"mmmm")</f>
        <v>July</v>
      </c>
      <c r="H3548" s="3" t="s">
        <v>1081</v>
      </c>
      <c r="I3548" s="3" t="s">
        <v>13</v>
      </c>
      <c r="J3548" s="3">
        <v>8</v>
      </c>
      <c r="K3548" s="3">
        <v>26292.69</v>
      </c>
      <c r="L3548" s="3">
        <f>Table1[[#This Row],[Price Per Unit]]*Table1[[#This Row],[Units Sold]]</f>
        <v>210341.52</v>
      </c>
      <c r="M3548" s="3" t="s">
        <v>774</v>
      </c>
      <c r="N3548" s="3">
        <v>48</v>
      </c>
      <c r="O3548" s="3" t="s">
        <v>125</v>
      </c>
      <c r="P3548" s="3" t="s">
        <v>45</v>
      </c>
      <c r="Q3548" s="4">
        <v>2</v>
      </c>
      <c r="R3548" s="4" t="str">
        <f>IF(Table1[[#This Row],[Customer Ratings]]&gt;=4, "Good",IF(Table1[[#This Row],[Customer Ratings]]=3, "Average","Poor"))</f>
        <v>Poor</v>
      </c>
      <c r="S3548" s="3" t="s">
        <v>72</v>
      </c>
    </row>
    <row r="3549" spans="1:19" x14ac:dyDescent="0.25">
      <c r="A3549" s="3">
        <v>3548</v>
      </c>
      <c r="B3549" s="5">
        <f>DATE(Table1[[#This Row],[Year]],Table1[[#This Row],[Month]],Table1[[#This Row],[Day]])</f>
        <v>45489</v>
      </c>
      <c r="C3549" s="3">
        <v>16</v>
      </c>
      <c r="D3549" s="3">
        <v>7</v>
      </c>
      <c r="E3549" s="3">
        <v>2024</v>
      </c>
      <c r="F3549" s="3" t="str">
        <f>"Qtr"&amp; " " &amp;CHOOSE(MONTH(Table1[[#This Row],[Date]]),1,1,1,2,2,2,3,3,3,4,4,4)</f>
        <v>Qtr 3</v>
      </c>
      <c r="G3549" s="3" t="str">
        <f>TEXT(Table1[[#This Row],[Date]],"mmmm")</f>
        <v>July</v>
      </c>
      <c r="H3549" s="3" t="s">
        <v>1082</v>
      </c>
      <c r="I3549" s="3" t="s">
        <v>28</v>
      </c>
      <c r="J3549" s="3">
        <v>7</v>
      </c>
      <c r="K3549" s="3">
        <v>36955.589999999997</v>
      </c>
      <c r="L3549" s="3">
        <f>Table1[[#This Row],[Price Per Unit]]*Table1[[#This Row],[Units Sold]]</f>
        <v>258689.12999999998</v>
      </c>
      <c r="M3549" s="3" t="s">
        <v>603</v>
      </c>
      <c r="N3549" s="3">
        <v>42</v>
      </c>
      <c r="O3549" s="3" t="s">
        <v>41</v>
      </c>
      <c r="P3549" s="3" t="s">
        <v>16</v>
      </c>
      <c r="Q3549" s="4">
        <v>4</v>
      </c>
      <c r="R3549" s="4" t="str">
        <f>IF(Table1[[#This Row],[Customer Ratings]]&gt;=4, "Good",IF(Table1[[#This Row],[Customer Ratings]]=3, "Average","Poor"))</f>
        <v>Good</v>
      </c>
      <c r="S3549" s="3" t="s">
        <v>87</v>
      </c>
    </row>
    <row r="3550" spans="1:19" x14ac:dyDescent="0.25">
      <c r="A3550" s="3">
        <v>3549</v>
      </c>
      <c r="B3550" s="5">
        <f>DATE(Table1[[#This Row],[Year]],Table1[[#This Row],[Month]],Table1[[#This Row],[Day]])</f>
        <v>45489</v>
      </c>
      <c r="C3550" s="3">
        <v>16</v>
      </c>
      <c r="D3550" s="3">
        <v>7</v>
      </c>
      <c r="E3550" s="3">
        <v>2024</v>
      </c>
      <c r="F3550" s="3" t="str">
        <f>"Qtr"&amp; " " &amp;CHOOSE(MONTH(Table1[[#This Row],[Date]]),1,1,1,2,2,2,3,3,3,4,4,4)</f>
        <v>Qtr 3</v>
      </c>
      <c r="G3550" s="3" t="str">
        <f>TEXT(Table1[[#This Row],[Date]],"mmmm")</f>
        <v>July</v>
      </c>
      <c r="H3550" s="3" t="s">
        <v>1082</v>
      </c>
      <c r="I3550" s="3" t="s">
        <v>13</v>
      </c>
      <c r="J3550" s="3">
        <v>9</v>
      </c>
      <c r="K3550" s="3">
        <v>49168.800000000003</v>
      </c>
      <c r="L3550" s="3">
        <f>Table1[[#This Row],[Price Per Unit]]*Table1[[#This Row],[Units Sold]]</f>
        <v>442519.2</v>
      </c>
      <c r="M3550" s="3" t="s">
        <v>714</v>
      </c>
      <c r="N3550" s="3">
        <v>25</v>
      </c>
      <c r="O3550" s="3" t="s">
        <v>78</v>
      </c>
      <c r="P3550" s="3" t="s">
        <v>31</v>
      </c>
      <c r="Q3550" s="4">
        <v>4</v>
      </c>
      <c r="R3550" s="4" t="str">
        <f>IF(Table1[[#This Row],[Customer Ratings]]&gt;=4, "Good",IF(Table1[[#This Row],[Customer Ratings]]=3, "Average","Poor"))</f>
        <v>Good</v>
      </c>
      <c r="S3550" s="3" t="s">
        <v>27</v>
      </c>
    </row>
    <row r="3551" spans="1:19" x14ac:dyDescent="0.25">
      <c r="A3551" s="3">
        <v>3550</v>
      </c>
      <c r="B3551" s="5">
        <f>DATE(Table1[[#This Row],[Year]],Table1[[#This Row],[Month]],Table1[[#This Row],[Day]])</f>
        <v>45489</v>
      </c>
      <c r="C3551" s="3">
        <v>16</v>
      </c>
      <c r="D3551" s="3">
        <v>7</v>
      </c>
      <c r="E3551" s="3">
        <v>2024</v>
      </c>
      <c r="F3551" s="3" t="str">
        <f>"Qtr"&amp; " " &amp;CHOOSE(MONTH(Table1[[#This Row],[Date]]),1,1,1,2,2,2,3,3,3,4,4,4)</f>
        <v>Qtr 3</v>
      </c>
      <c r="G3551" s="3" t="str">
        <f>TEXT(Table1[[#This Row],[Date]],"mmmm")</f>
        <v>July</v>
      </c>
      <c r="H3551" s="3" t="s">
        <v>1082</v>
      </c>
      <c r="I3551" s="3" t="s">
        <v>39</v>
      </c>
      <c r="J3551" s="3">
        <v>9</v>
      </c>
      <c r="K3551" s="3">
        <v>61368.77</v>
      </c>
      <c r="L3551" s="3">
        <f>Table1[[#This Row],[Price Per Unit]]*Table1[[#This Row],[Units Sold]]</f>
        <v>552318.92999999993</v>
      </c>
      <c r="M3551" s="3" t="s">
        <v>806</v>
      </c>
      <c r="N3551" s="3">
        <v>48</v>
      </c>
      <c r="O3551" s="3" t="s">
        <v>24</v>
      </c>
      <c r="P3551" s="3" t="s">
        <v>21</v>
      </c>
      <c r="Q3551" s="4">
        <v>5</v>
      </c>
      <c r="R3551" s="4" t="str">
        <f>IF(Table1[[#This Row],[Customer Ratings]]&gt;=4, "Good",IF(Table1[[#This Row],[Customer Ratings]]=3, "Average","Poor"))</f>
        <v>Good</v>
      </c>
      <c r="S3551" s="3" t="s">
        <v>90</v>
      </c>
    </row>
    <row r="3552" spans="1:19" x14ac:dyDescent="0.25">
      <c r="A3552" s="3">
        <v>3551</v>
      </c>
      <c r="B3552" s="5">
        <f>DATE(Table1[[#This Row],[Year]],Table1[[#This Row],[Month]],Table1[[#This Row],[Day]])</f>
        <v>45490</v>
      </c>
      <c r="C3552" s="3">
        <v>17</v>
      </c>
      <c r="D3552" s="3">
        <v>7</v>
      </c>
      <c r="E3552" s="3">
        <v>2024</v>
      </c>
      <c r="F3552" s="3" t="str">
        <f>"Qtr"&amp; " " &amp;CHOOSE(MONTH(Table1[[#This Row],[Date]]),1,1,1,2,2,2,3,3,3,4,4,4)</f>
        <v>Qtr 3</v>
      </c>
      <c r="G3552" s="3" t="str">
        <f>TEXT(Table1[[#This Row],[Date]],"mmmm")</f>
        <v>July</v>
      </c>
      <c r="H3552" s="3" t="s">
        <v>1083</v>
      </c>
      <c r="I3552" s="3" t="s">
        <v>39</v>
      </c>
      <c r="J3552" s="3">
        <v>6</v>
      </c>
      <c r="K3552" s="3">
        <v>27227.91</v>
      </c>
      <c r="L3552" s="3">
        <f>Table1[[#This Row],[Price Per Unit]]*Table1[[#This Row],[Units Sold]]</f>
        <v>163367.46</v>
      </c>
      <c r="M3552" s="3" t="s">
        <v>827</v>
      </c>
      <c r="N3552" s="3">
        <v>48</v>
      </c>
      <c r="O3552" s="3" t="s">
        <v>20</v>
      </c>
      <c r="P3552" s="3" t="s">
        <v>45</v>
      </c>
      <c r="Q3552" s="4">
        <v>2</v>
      </c>
      <c r="R3552" s="4" t="str">
        <f>IF(Table1[[#This Row],[Customer Ratings]]&gt;=4, "Good",IF(Table1[[#This Row],[Customer Ratings]]=3, "Average","Poor"))</f>
        <v>Poor</v>
      </c>
      <c r="S3552" s="3" t="s">
        <v>76</v>
      </c>
    </row>
    <row r="3553" spans="1:19" x14ac:dyDescent="0.25">
      <c r="A3553" s="3">
        <v>3552</v>
      </c>
      <c r="B3553" s="5">
        <f>DATE(Table1[[#This Row],[Year]],Table1[[#This Row],[Month]],Table1[[#This Row],[Day]])</f>
        <v>45490</v>
      </c>
      <c r="C3553" s="3">
        <v>17</v>
      </c>
      <c r="D3553" s="3">
        <v>7</v>
      </c>
      <c r="E3553" s="3">
        <v>2024</v>
      </c>
      <c r="F3553" s="3" t="str">
        <f>"Qtr"&amp; " " &amp;CHOOSE(MONTH(Table1[[#This Row],[Date]]),1,1,1,2,2,2,3,3,3,4,4,4)</f>
        <v>Qtr 3</v>
      </c>
      <c r="G3553" s="3" t="str">
        <f>TEXT(Table1[[#This Row],[Date]],"mmmm")</f>
        <v>July</v>
      </c>
      <c r="H3553" s="3" t="s">
        <v>1083</v>
      </c>
      <c r="I3553" s="3" t="s">
        <v>18</v>
      </c>
      <c r="J3553" s="3">
        <v>7</v>
      </c>
      <c r="K3553" s="3">
        <v>21023.7</v>
      </c>
      <c r="L3553" s="3">
        <f>Table1[[#This Row],[Price Per Unit]]*Table1[[#This Row],[Units Sold]]</f>
        <v>147165.9</v>
      </c>
      <c r="M3553" s="3" t="s">
        <v>676</v>
      </c>
      <c r="N3553" s="3">
        <v>34</v>
      </c>
      <c r="O3553" s="3" t="s">
        <v>65</v>
      </c>
      <c r="P3553" s="3" t="s">
        <v>16</v>
      </c>
      <c r="Q3553" s="4">
        <v>5</v>
      </c>
      <c r="R3553" s="4" t="str">
        <f>IF(Table1[[#This Row],[Customer Ratings]]&gt;=4, "Good",IF(Table1[[#This Row],[Customer Ratings]]=3, "Average","Poor"))</f>
        <v>Good</v>
      </c>
      <c r="S3553" s="3" t="s">
        <v>25</v>
      </c>
    </row>
    <row r="3554" spans="1:19" x14ac:dyDescent="0.25">
      <c r="A3554" s="3">
        <v>3553</v>
      </c>
      <c r="B3554" s="5">
        <f>DATE(Table1[[#This Row],[Year]],Table1[[#This Row],[Month]],Table1[[#This Row],[Day]])</f>
        <v>45490</v>
      </c>
      <c r="C3554" s="3">
        <v>17</v>
      </c>
      <c r="D3554" s="3">
        <v>7</v>
      </c>
      <c r="E3554" s="3">
        <v>2024</v>
      </c>
      <c r="F3554" s="3" t="str">
        <f>"Qtr"&amp; " " &amp;CHOOSE(MONTH(Table1[[#This Row],[Date]]),1,1,1,2,2,2,3,3,3,4,4,4)</f>
        <v>Qtr 3</v>
      </c>
      <c r="G3554" s="3" t="str">
        <f>TEXT(Table1[[#This Row],[Date]],"mmmm")</f>
        <v>July</v>
      </c>
      <c r="H3554" s="3" t="s">
        <v>1083</v>
      </c>
      <c r="I3554" s="3" t="s">
        <v>18</v>
      </c>
      <c r="J3554" s="3">
        <v>2</v>
      </c>
      <c r="K3554" s="3">
        <v>32730.85</v>
      </c>
      <c r="L3554" s="3">
        <f>Table1[[#This Row],[Price Per Unit]]*Table1[[#This Row],[Units Sold]]</f>
        <v>65461.7</v>
      </c>
      <c r="M3554" s="3" t="s">
        <v>496</v>
      </c>
      <c r="N3554" s="3">
        <v>36</v>
      </c>
      <c r="O3554" s="3" t="s">
        <v>20</v>
      </c>
      <c r="P3554" s="3" t="s">
        <v>31</v>
      </c>
      <c r="Q3554" s="4">
        <v>2</v>
      </c>
      <c r="R3554" s="4" t="str">
        <f>IF(Table1[[#This Row],[Customer Ratings]]&gt;=4, "Good",IF(Table1[[#This Row],[Customer Ratings]]=3, "Average","Poor"))</f>
        <v>Poor</v>
      </c>
      <c r="S3554" s="3" t="s">
        <v>55</v>
      </c>
    </row>
    <row r="3555" spans="1:19" x14ac:dyDescent="0.25">
      <c r="A3555" s="3">
        <v>3554</v>
      </c>
      <c r="B3555" s="5">
        <f>DATE(Table1[[#This Row],[Year]],Table1[[#This Row],[Month]],Table1[[#This Row],[Day]])</f>
        <v>45490</v>
      </c>
      <c r="C3555" s="3">
        <v>17</v>
      </c>
      <c r="D3555" s="3">
        <v>7</v>
      </c>
      <c r="E3555" s="3">
        <v>2024</v>
      </c>
      <c r="F3555" s="3" t="str">
        <f>"Qtr"&amp; " " &amp;CHOOSE(MONTH(Table1[[#This Row],[Date]]),1,1,1,2,2,2,3,3,3,4,4,4)</f>
        <v>Qtr 3</v>
      </c>
      <c r="G3555" s="3" t="str">
        <f>TEXT(Table1[[#This Row],[Date]],"mmmm")</f>
        <v>July</v>
      </c>
      <c r="H3555" s="3" t="s">
        <v>1083</v>
      </c>
      <c r="I3555" s="3" t="s">
        <v>33</v>
      </c>
      <c r="J3555" s="3">
        <v>9</v>
      </c>
      <c r="K3555" s="3">
        <v>63662.98</v>
      </c>
      <c r="L3555" s="3">
        <f>Table1[[#This Row],[Price Per Unit]]*Table1[[#This Row],[Units Sold]]</f>
        <v>572966.82000000007</v>
      </c>
      <c r="M3555" s="3" t="s">
        <v>733</v>
      </c>
      <c r="N3555" s="3">
        <v>20</v>
      </c>
      <c r="O3555" s="3" t="s">
        <v>98</v>
      </c>
      <c r="P3555" s="3" t="s">
        <v>16</v>
      </c>
      <c r="Q3555" s="4">
        <v>5</v>
      </c>
      <c r="R3555" s="4" t="str">
        <f>IF(Table1[[#This Row],[Customer Ratings]]&gt;=4, "Good",IF(Table1[[#This Row],[Customer Ratings]]=3, "Average","Poor"))</f>
        <v>Good</v>
      </c>
      <c r="S3555" s="3" t="s">
        <v>46</v>
      </c>
    </row>
    <row r="3556" spans="1:19" x14ac:dyDescent="0.25">
      <c r="A3556" s="3">
        <v>3555</v>
      </c>
      <c r="B3556" s="5">
        <f>DATE(Table1[[#This Row],[Year]],Table1[[#This Row],[Month]],Table1[[#This Row],[Day]])</f>
        <v>45491</v>
      </c>
      <c r="C3556" s="3">
        <v>18</v>
      </c>
      <c r="D3556" s="3">
        <v>7</v>
      </c>
      <c r="E3556" s="3">
        <v>2024</v>
      </c>
      <c r="F3556" s="3" t="str">
        <f>"Qtr"&amp; " " &amp;CHOOSE(MONTH(Table1[[#This Row],[Date]]),1,1,1,2,2,2,3,3,3,4,4,4)</f>
        <v>Qtr 3</v>
      </c>
      <c r="G3556" s="3" t="str">
        <f>TEXT(Table1[[#This Row],[Date]],"mmmm")</f>
        <v>July</v>
      </c>
      <c r="H3556" s="3" t="s">
        <v>1084</v>
      </c>
      <c r="I3556" s="3" t="s">
        <v>39</v>
      </c>
      <c r="J3556" s="3">
        <v>1</v>
      </c>
      <c r="K3556" s="3">
        <v>10591.64</v>
      </c>
      <c r="L3556" s="3">
        <f>Table1[[#This Row],[Price Per Unit]]*Table1[[#This Row],[Units Sold]]</f>
        <v>10591.64</v>
      </c>
      <c r="M3556" s="3" t="s">
        <v>688</v>
      </c>
      <c r="N3556" s="3">
        <v>47</v>
      </c>
      <c r="O3556" s="3" t="s">
        <v>20</v>
      </c>
      <c r="P3556" s="3" t="s">
        <v>45</v>
      </c>
      <c r="Q3556" s="4">
        <v>5</v>
      </c>
      <c r="R3556" s="4" t="str">
        <f>IF(Table1[[#This Row],[Customer Ratings]]&gt;=4, "Good",IF(Table1[[#This Row],[Customer Ratings]]=3, "Average","Poor"))</f>
        <v>Good</v>
      </c>
      <c r="S3556" s="3" t="s">
        <v>90</v>
      </c>
    </row>
    <row r="3557" spans="1:19" x14ac:dyDescent="0.25">
      <c r="A3557" s="3">
        <v>3556</v>
      </c>
      <c r="B3557" s="5">
        <f>DATE(Table1[[#This Row],[Year]],Table1[[#This Row],[Month]],Table1[[#This Row],[Day]])</f>
        <v>45491</v>
      </c>
      <c r="C3557" s="3">
        <v>18</v>
      </c>
      <c r="D3557" s="3">
        <v>7</v>
      </c>
      <c r="E3557" s="3">
        <v>2024</v>
      </c>
      <c r="F3557" s="3" t="str">
        <f>"Qtr"&amp; " " &amp;CHOOSE(MONTH(Table1[[#This Row],[Date]]),1,1,1,2,2,2,3,3,3,4,4,4)</f>
        <v>Qtr 3</v>
      </c>
      <c r="G3557" s="3" t="str">
        <f>TEXT(Table1[[#This Row],[Date]],"mmmm")</f>
        <v>July</v>
      </c>
      <c r="H3557" s="3" t="s">
        <v>1084</v>
      </c>
      <c r="I3557" s="3" t="s">
        <v>18</v>
      </c>
      <c r="J3557" s="3">
        <v>1</v>
      </c>
      <c r="K3557" s="3">
        <v>50672.12</v>
      </c>
      <c r="L3557" s="3">
        <f>Table1[[#This Row],[Price Per Unit]]*Table1[[#This Row],[Units Sold]]</f>
        <v>50672.12</v>
      </c>
      <c r="M3557" s="3" t="s">
        <v>952</v>
      </c>
      <c r="N3557" s="3">
        <v>27</v>
      </c>
      <c r="O3557" s="3" t="s">
        <v>105</v>
      </c>
      <c r="P3557" s="3" t="s">
        <v>45</v>
      </c>
      <c r="Q3557" s="4">
        <v>4</v>
      </c>
      <c r="R3557" s="4" t="str">
        <f>IF(Table1[[#This Row],[Customer Ratings]]&gt;=4, "Good",IF(Table1[[#This Row],[Customer Ratings]]=3, "Average","Poor"))</f>
        <v>Good</v>
      </c>
      <c r="S3557" s="3" t="s">
        <v>55</v>
      </c>
    </row>
    <row r="3558" spans="1:19" x14ac:dyDescent="0.25">
      <c r="A3558" s="3">
        <v>3557</v>
      </c>
      <c r="B3558" s="5">
        <f>DATE(Table1[[#This Row],[Year]],Table1[[#This Row],[Month]],Table1[[#This Row],[Day]])</f>
        <v>45491</v>
      </c>
      <c r="C3558" s="3">
        <v>18</v>
      </c>
      <c r="D3558" s="3">
        <v>7</v>
      </c>
      <c r="E3558" s="3">
        <v>2024</v>
      </c>
      <c r="F3558" s="3" t="str">
        <f>"Qtr"&amp; " " &amp;CHOOSE(MONTH(Table1[[#This Row],[Date]]),1,1,1,2,2,2,3,3,3,4,4,4)</f>
        <v>Qtr 3</v>
      </c>
      <c r="G3558" s="3" t="str">
        <f>TEXT(Table1[[#This Row],[Date]],"mmmm")</f>
        <v>July</v>
      </c>
      <c r="H3558" s="3" t="s">
        <v>1084</v>
      </c>
      <c r="I3558" s="3" t="s">
        <v>13</v>
      </c>
      <c r="J3558" s="3">
        <v>3</v>
      </c>
      <c r="K3558" s="3">
        <v>38629.599999999999</v>
      </c>
      <c r="L3558" s="3">
        <f>Table1[[#This Row],[Price Per Unit]]*Table1[[#This Row],[Units Sold]]</f>
        <v>115888.79999999999</v>
      </c>
      <c r="M3558" s="3" t="s">
        <v>722</v>
      </c>
      <c r="N3558" s="3">
        <v>46</v>
      </c>
      <c r="O3558" s="3" t="s">
        <v>120</v>
      </c>
      <c r="P3558" s="3" t="s">
        <v>16</v>
      </c>
      <c r="Q3558" s="4">
        <v>4</v>
      </c>
      <c r="R3558" s="4" t="str">
        <f>IF(Table1[[#This Row],[Customer Ratings]]&gt;=4, "Good",IF(Table1[[#This Row],[Customer Ratings]]=3, "Average","Poor"))</f>
        <v>Good</v>
      </c>
      <c r="S3558" s="3" t="s">
        <v>27</v>
      </c>
    </row>
    <row r="3559" spans="1:19" x14ac:dyDescent="0.25">
      <c r="A3559" s="3">
        <v>3558</v>
      </c>
      <c r="B3559" s="5">
        <f>DATE(Table1[[#This Row],[Year]],Table1[[#This Row],[Month]],Table1[[#This Row],[Day]])</f>
        <v>45492</v>
      </c>
      <c r="C3559" s="3">
        <v>19</v>
      </c>
      <c r="D3559" s="3">
        <v>7</v>
      </c>
      <c r="E3559" s="3">
        <v>2024</v>
      </c>
      <c r="F3559" s="3" t="str">
        <f>"Qtr"&amp; " " &amp;CHOOSE(MONTH(Table1[[#This Row],[Date]]),1,1,1,2,2,2,3,3,3,4,4,4)</f>
        <v>Qtr 3</v>
      </c>
      <c r="G3559" s="3" t="str">
        <f>TEXT(Table1[[#This Row],[Date]],"mmmm")</f>
        <v>July</v>
      </c>
      <c r="H3559" s="3" t="s">
        <v>1085</v>
      </c>
      <c r="I3559" s="3" t="s">
        <v>28</v>
      </c>
      <c r="J3559" s="3">
        <v>6</v>
      </c>
      <c r="K3559" s="3">
        <v>19662.77</v>
      </c>
      <c r="L3559" s="3">
        <f>Table1[[#This Row],[Price Per Unit]]*Table1[[#This Row],[Units Sold]]</f>
        <v>117976.62</v>
      </c>
      <c r="M3559" s="3" t="s">
        <v>935</v>
      </c>
      <c r="N3559" s="3">
        <v>57</v>
      </c>
      <c r="O3559" s="3" t="s">
        <v>20</v>
      </c>
      <c r="P3559" s="3" t="s">
        <v>16</v>
      </c>
      <c r="Q3559" s="4">
        <v>3</v>
      </c>
      <c r="R3559" s="4" t="str">
        <f>IF(Table1[[#This Row],[Customer Ratings]]&gt;=4, "Good",IF(Table1[[#This Row],[Customer Ratings]]=3, "Average","Poor"))</f>
        <v>Average</v>
      </c>
      <c r="S3559" s="3" t="s">
        <v>32</v>
      </c>
    </row>
    <row r="3560" spans="1:19" x14ac:dyDescent="0.25">
      <c r="A3560" s="3">
        <v>3559</v>
      </c>
      <c r="B3560" s="5">
        <f>DATE(Table1[[#This Row],[Year]],Table1[[#This Row],[Month]],Table1[[#This Row],[Day]])</f>
        <v>45492</v>
      </c>
      <c r="C3560" s="3">
        <v>19</v>
      </c>
      <c r="D3560" s="3">
        <v>7</v>
      </c>
      <c r="E3560" s="3">
        <v>2024</v>
      </c>
      <c r="F3560" s="3" t="str">
        <f>"Qtr"&amp; " " &amp;CHOOSE(MONTH(Table1[[#This Row],[Date]]),1,1,1,2,2,2,3,3,3,4,4,4)</f>
        <v>Qtr 3</v>
      </c>
      <c r="G3560" s="3" t="str">
        <f>TEXT(Table1[[#This Row],[Date]],"mmmm")</f>
        <v>July</v>
      </c>
      <c r="H3560" s="3" t="s">
        <v>1085</v>
      </c>
      <c r="I3560" s="3" t="s">
        <v>13</v>
      </c>
      <c r="J3560" s="3">
        <v>5</v>
      </c>
      <c r="K3560" s="3">
        <v>29261.29</v>
      </c>
      <c r="L3560" s="3">
        <f>Table1[[#This Row],[Price Per Unit]]*Table1[[#This Row],[Units Sold]]</f>
        <v>146306.45000000001</v>
      </c>
      <c r="M3560" s="3" t="s">
        <v>417</v>
      </c>
      <c r="N3560" s="3">
        <v>35</v>
      </c>
      <c r="O3560" s="3" t="s">
        <v>20</v>
      </c>
      <c r="P3560" s="3" t="s">
        <v>21</v>
      </c>
      <c r="Q3560" s="4">
        <v>3</v>
      </c>
      <c r="R3560" s="4" t="str">
        <f>IF(Table1[[#This Row],[Customer Ratings]]&gt;=4, "Good",IF(Table1[[#This Row],[Customer Ratings]]=3, "Average","Poor"))</f>
        <v>Average</v>
      </c>
      <c r="S3560" s="3" t="s">
        <v>72</v>
      </c>
    </row>
    <row r="3561" spans="1:19" x14ac:dyDescent="0.25">
      <c r="A3561" s="3">
        <v>3560</v>
      </c>
      <c r="B3561" s="5">
        <f>DATE(Table1[[#This Row],[Year]],Table1[[#This Row],[Month]],Table1[[#This Row],[Day]])</f>
        <v>45492</v>
      </c>
      <c r="C3561" s="3">
        <v>19</v>
      </c>
      <c r="D3561" s="3">
        <v>7</v>
      </c>
      <c r="E3561" s="3">
        <v>2024</v>
      </c>
      <c r="F3561" s="3" t="str">
        <f>"Qtr"&amp; " " &amp;CHOOSE(MONTH(Table1[[#This Row],[Date]]),1,1,1,2,2,2,3,3,3,4,4,4)</f>
        <v>Qtr 3</v>
      </c>
      <c r="G3561" s="3" t="str">
        <f>TEXT(Table1[[#This Row],[Date]],"mmmm")</f>
        <v>July</v>
      </c>
      <c r="H3561" s="3" t="s">
        <v>1085</v>
      </c>
      <c r="I3561" s="3" t="s">
        <v>28</v>
      </c>
      <c r="J3561" s="3">
        <v>2</v>
      </c>
      <c r="K3561" s="3">
        <v>23497</v>
      </c>
      <c r="L3561" s="3">
        <f>Table1[[#This Row],[Price Per Unit]]*Table1[[#This Row],[Units Sold]]</f>
        <v>46994</v>
      </c>
      <c r="M3561" s="3" t="s">
        <v>276</v>
      </c>
      <c r="N3561" s="3">
        <v>29</v>
      </c>
      <c r="O3561" s="3" t="s">
        <v>24</v>
      </c>
      <c r="P3561" s="3" t="s">
        <v>45</v>
      </c>
      <c r="Q3561" s="4">
        <v>4</v>
      </c>
      <c r="R3561" s="4" t="str">
        <f>IF(Table1[[#This Row],[Customer Ratings]]&gt;=4, "Good",IF(Table1[[#This Row],[Customer Ratings]]=3, "Average","Poor"))</f>
        <v>Good</v>
      </c>
      <c r="S3561" s="3" t="s">
        <v>32</v>
      </c>
    </row>
    <row r="3562" spans="1:19" x14ac:dyDescent="0.25">
      <c r="A3562" s="3">
        <v>3561</v>
      </c>
      <c r="B3562" s="5">
        <f>DATE(Table1[[#This Row],[Year]],Table1[[#This Row],[Month]],Table1[[#This Row],[Day]])</f>
        <v>45493</v>
      </c>
      <c r="C3562" s="3">
        <v>20</v>
      </c>
      <c r="D3562" s="3">
        <v>7</v>
      </c>
      <c r="E3562" s="3">
        <v>2024</v>
      </c>
      <c r="F3562" s="3" t="str">
        <f>"Qtr"&amp; " " &amp;CHOOSE(MONTH(Table1[[#This Row],[Date]]),1,1,1,2,2,2,3,3,3,4,4,4)</f>
        <v>Qtr 3</v>
      </c>
      <c r="G3562" s="3" t="str">
        <f>TEXT(Table1[[#This Row],[Date]],"mmmm")</f>
        <v>July</v>
      </c>
      <c r="H3562" s="3" t="s">
        <v>1079</v>
      </c>
      <c r="I3562" s="3" t="s">
        <v>18</v>
      </c>
      <c r="J3562" s="3">
        <v>9</v>
      </c>
      <c r="K3562" s="3">
        <v>62669.93</v>
      </c>
      <c r="L3562" s="3">
        <f>Table1[[#This Row],[Price Per Unit]]*Table1[[#This Row],[Units Sold]]</f>
        <v>564029.37</v>
      </c>
      <c r="M3562" s="3" t="s">
        <v>89</v>
      </c>
      <c r="N3562" s="3">
        <v>40</v>
      </c>
      <c r="O3562" s="3" t="s">
        <v>48</v>
      </c>
      <c r="P3562" s="3" t="s">
        <v>45</v>
      </c>
      <c r="Q3562" s="4">
        <v>4</v>
      </c>
      <c r="R3562" s="4" t="str">
        <f>IF(Table1[[#This Row],[Customer Ratings]]&gt;=4, "Good",IF(Table1[[#This Row],[Customer Ratings]]=3, "Average","Poor"))</f>
        <v>Good</v>
      </c>
      <c r="S3562" s="3" t="s">
        <v>25</v>
      </c>
    </row>
    <row r="3563" spans="1:19" x14ac:dyDescent="0.25">
      <c r="A3563" s="3">
        <v>3562</v>
      </c>
      <c r="B3563" s="5">
        <f>DATE(Table1[[#This Row],[Year]],Table1[[#This Row],[Month]],Table1[[#This Row],[Day]])</f>
        <v>45493</v>
      </c>
      <c r="C3563" s="3">
        <v>20</v>
      </c>
      <c r="D3563" s="3">
        <v>7</v>
      </c>
      <c r="E3563" s="3">
        <v>2024</v>
      </c>
      <c r="F3563" s="3" t="str">
        <f>"Qtr"&amp; " " &amp;CHOOSE(MONTH(Table1[[#This Row],[Date]]),1,1,1,2,2,2,3,3,3,4,4,4)</f>
        <v>Qtr 3</v>
      </c>
      <c r="G3563" s="3" t="str">
        <f>TEXT(Table1[[#This Row],[Date]],"mmmm")</f>
        <v>July</v>
      </c>
      <c r="H3563" s="3" t="s">
        <v>1079</v>
      </c>
      <c r="I3563" s="3" t="s">
        <v>33</v>
      </c>
      <c r="J3563" s="3">
        <v>4</v>
      </c>
      <c r="K3563" s="3">
        <v>38912.400000000001</v>
      </c>
      <c r="L3563" s="3">
        <f>Table1[[#This Row],[Price Per Unit]]*Table1[[#This Row],[Units Sold]]</f>
        <v>155649.60000000001</v>
      </c>
      <c r="M3563" s="3" t="s">
        <v>473</v>
      </c>
      <c r="N3563" s="3">
        <v>28</v>
      </c>
      <c r="O3563" s="3" t="s">
        <v>20</v>
      </c>
      <c r="P3563" s="3" t="s">
        <v>16</v>
      </c>
      <c r="Q3563" s="4">
        <v>5</v>
      </c>
      <c r="R3563" s="4" t="str">
        <f>IF(Table1[[#This Row],[Customer Ratings]]&gt;=4, "Good",IF(Table1[[#This Row],[Customer Ratings]]=3, "Average","Poor"))</f>
        <v>Good</v>
      </c>
      <c r="S3563" s="3" t="s">
        <v>46</v>
      </c>
    </row>
    <row r="3564" spans="1:19" x14ac:dyDescent="0.25">
      <c r="A3564" s="3">
        <v>3563</v>
      </c>
      <c r="B3564" s="5">
        <f>DATE(Table1[[#This Row],[Year]],Table1[[#This Row],[Month]],Table1[[#This Row],[Day]])</f>
        <v>45493</v>
      </c>
      <c r="C3564" s="3">
        <v>20</v>
      </c>
      <c r="D3564" s="3">
        <v>7</v>
      </c>
      <c r="E3564" s="3">
        <v>2024</v>
      </c>
      <c r="F3564" s="3" t="str">
        <f>"Qtr"&amp; " " &amp;CHOOSE(MONTH(Table1[[#This Row],[Date]]),1,1,1,2,2,2,3,3,3,4,4,4)</f>
        <v>Qtr 3</v>
      </c>
      <c r="G3564" s="3" t="str">
        <f>TEXT(Table1[[#This Row],[Date]],"mmmm")</f>
        <v>July</v>
      </c>
      <c r="H3564" s="3" t="s">
        <v>1079</v>
      </c>
      <c r="I3564" s="3" t="s">
        <v>13</v>
      </c>
      <c r="J3564" s="3">
        <v>4</v>
      </c>
      <c r="K3564" s="3">
        <v>43785.66</v>
      </c>
      <c r="L3564" s="3">
        <f>Table1[[#This Row],[Price Per Unit]]*Table1[[#This Row],[Units Sold]]</f>
        <v>175142.64</v>
      </c>
      <c r="M3564" s="3" t="s">
        <v>622</v>
      </c>
      <c r="N3564" s="3">
        <v>26</v>
      </c>
      <c r="O3564" s="3" t="s">
        <v>20</v>
      </c>
      <c r="P3564" s="3" t="s">
        <v>31</v>
      </c>
      <c r="Q3564" s="4">
        <v>3</v>
      </c>
      <c r="R3564" s="4" t="str">
        <f>IF(Table1[[#This Row],[Customer Ratings]]&gt;=4, "Good",IF(Table1[[#This Row],[Customer Ratings]]=3, "Average","Poor"))</f>
        <v>Average</v>
      </c>
      <c r="S3564" s="3" t="s">
        <v>27</v>
      </c>
    </row>
    <row r="3565" spans="1:19" x14ac:dyDescent="0.25">
      <c r="A3565" s="3">
        <v>3564</v>
      </c>
      <c r="B3565" s="5">
        <f>DATE(Table1[[#This Row],[Year]],Table1[[#This Row],[Month]],Table1[[#This Row],[Day]])</f>
        <v>45493</v>
      </c>
      <c r="C3565" s="3">
        <v>20</v>
      </c>
      <c r="D3565" s="3">
        <v>7</v>
      </c>
      <c r="E3565" s="3">
        <v>2024</v>
      </c>
      <c r="F3565" s="3" t="str">
        <f>"Qtr"&amp; " " &amp;CHOOSE(MONTH(Table1[[#This Row],[Date]]),1,1,1,2,2,2,3,3,3,4,4,4)</f>
        <v>Qtr 3</v>
      </c>
      <c r="G3565" s="3" t="str">
        <f>TEXT(Table1[[#This Row],[Date]],"mmmm")</f>
        <v>July</v>
      </c>
      <c r="H3565" s="3" t="s">
        <v>1079</v>
      </c>
      <c r="I3565" s="3" t="s">
        <v>13</v>
      </c>
      <c r="J3565" s="3">
        <v>5</v>
      </c>
      <c r="K3565" s="3">
        <v>45621.26</v>
      </c>
      <c r="L3565" s="3">
        <f>Table1[[#This Row],[Price Per Unit]]*Table1[[#This Row],[Units Sold]]</f>
        <v>228106.30000000002</v>
      </c>
      <c r="M3565" s="3" t="s">
        <v>700</v>
      </c>
      <c r="N3565" s="3">
        <v>41</v>
      </c>
      <c r="O3565" s="3" t="s">
        <v>24</v>
      </c>
      <c r="P3565" s="3" t="s">
        <v>16</v>
      </c>
      <c r="Q3565" s="4">
        <v>4</v>
      </c>
      <c r="R3565" s="4" t="str">
        <f>IF(Table1[[#This Row],[Customer Ratings]]&gt;=4, "Good",IF(Table1[[#This Row],[Customer Ratings]]=3, "Average","Poor"))</f>
        <v>Good</v>
      </c>
      <c r="S3565" s="3" t="s">
        <v>72</v>
      </c>
    </row>
    <row r="3566" spans="1:19" x14ac:dyDescent="0.25">
      <c r="A3566" s="3">
        <v>3565</v>
      </c>
      <c r="B3566" s="5">
        <f>DATE(Table1[[#This Row],[Year]],Table1[[#This Row],[Month]],Table1[[#This Row],[Day]])</f>
        <v>45494</v>
      </c>
      <c r="C3566" s="3">
        <v>21</v>
      </c>
      <c r="D3566" s="3">
        <v>7</v>
      </c>
      <c r="E3566" s="3">
        <v>2024</v>
      </c>
      <c r="F3566" s="3" t="str">
        <f>"Qtr"&amp; " " &amp;CHOOSE(MONTH(Table1[[#This Row],[Date]]),1,1,1,2,2,2,3,3,3,4,4,4)</f>
        <v>Qtr 3</v>
      </c>
      <c r="G3566" s="3" t="str">
        <f>TEXT(Table1[[#This Row],[Date]],"mmmm")</f>
        <v>July</v>
      </c>
      <c r="H3566" s="3" t="s">
        <v>1080</v>
      </c>
      <c r="I3566" s="3" t="s">
        <v>13</v>
      </c>
      <c r="J3566" s="3">
        <v>8</v>
      </c>
      <c r="K3566" s="3">
        <v>48377.03</v>
      </c>
      <c r="L3566" s="3">
        <f>Table1[[#This Row],[Price Per Unit]]*Table1[[#This Row],[Units Sold]]</f>
        <v>387016.24</v>
      </c>
      <c r="M3566" s="3" t="s">
        <v>909</v>
      </c>
      <c r="N3566" s="3">
        <v>42</v>
      </c>
      <c r="O3566" s="3" t="s">
        <v>24</v>
      </c>
      <c r="P3566" s="3" t="s">
        <v>16</v>
      </c>
      <c r="Q3566" s="4">
        <v>2</v>
      </c>
      <c r="R3566" s="4" t="str">
        <f>IF(Table1[[#This Row],[Customer Ratings]]&gt;=4, "Good",IF(Table1[[#This Row],[Customer Ratings]]=3, "Average","Poor"))</f>
        <v>Poor</v>
      </c>
      <c r="S3566" s="3" t="s">
        <v>72</v>
      </c>
    </row>
    <row r="3567" spans="1:19" x14ac:dyDescent="0.25">
      <c r="A3567" s="3">
        <v>3566</v>
      </c>
      <c r="B3567" s="5">
        <f>DATE(Table1[[#This Row],[Year]],Table1[[#This Row],[Month]],Table1[[#This Row],[Day]])</f>
        <v>45494</v>
      </c>
      <c r="C3567" s="3">
        <v>21</v>
      </c>
      <c r="D3567" s="3">
        <v>7</v>
      </c>
      <c r="E3567" s="3">
        <v>2024</v>
      </c>
      <c r="F3567" s="3" t="str">
        <f>"Qtr"&amp; " " &amp;CHOOSE(MONTH(Table1[[#This Row],[Date]]),1,1,1,2,2,2,3,3,3,4,4,4)</f>
        <v>Qtr 3</v>
      </c>
      <c r="G3567" s="3" t="str">
        <f>TEXT(Table1[[#This Row],[Date]],"mmmm")</f>
        <v>July</v>
      </c>
      <c r="H3567" s="3" t="s">
        <v>1080</v>
      </c>
      <c r="I3567" s="3" t="s">
        <v>28</v>
      </c>
      <c r="J3567" s="3">
        <v>4</v>
      </c>
      <c r="K3567" s="3">
        <v>39733.339999999997</v>
      </c>
      <c r="L3567" s="3">
        <f>Table1[[#This Row],[Price Per Unit]]*Table1[[#This Row],[Units Sold]]</f>
        <v>158933.35999999999</v>
      </c>
      <c r="M3567" s="3" t="s">
        <v>413</v>
      </c>
      <c r="N3567" s="3">
        <v>42</v>
      </c>
      <c r="O3567" s="3" t="s">
        <v>65</v>
      </c>
      <c r="P3567" s="3" t="s">
        <v>45</v>
      </c>
      <c r="Q3567" s="4">
        <v>2</v>
      </c>
      <c r="R3567" s="4" t="str">
        <f>IF(Table1[[#This Row],[Customer Ratings]]&gt;=4, "Good",IF(Table1[[#This Row],[Customer Ratings]]=3, "Average","Poor"))</f>
        <v>Poor</v>
      </c>
      <c r="S3567" s="3" t="s">
        <v>38</v>
      </c>
    </row>
    <row r="3568" spans="1:19" x14ac:dyDescent="0.25">
      <c r="A3568" s="3">
        <v>3567</v>
      </c>
      <c r="B3568" s="5">
        <f>DATE(Table1[[#This Row],[Year]],Table1[[#This Row],[Month]],Table1[[#This Row],[Day]])</f>
        <v>45494</v>
      </c>
      <c r="C3568" s="3">
        <v>21</v>
      </c>
      <c r="D3568" s="3">
        <v>7</v>
      </c>
      <c r="E3568" s="3">
        <v>2024</v>
      </c>
      <c r="F3568" s="3" t="str">
        <f>"Qtr"&amp; " " &amp;CHOOSE(MONTH(Table1[[#This Row],[Date]]),1,1,1,2,2,2,3,3,3,4,4,4)</f>
        <v>Qtr 3</v>
      </c>
      <c r="G3568" s="3" t="str">
        <f>TEXT(Table1[[#This Row],[Date]],"mmmm")</f>
        <v>July</v>
      </c>
      <c r="H3568" s="3" t="s">
        <v>1080</v>
      </c>
      <c r="I3568" s="3" t="s">
        <v>18</v>
      </c>
      <c r="J3568" s="3">
        <v>5</v>
      </c>
      <c r="K3568" s="3">
        <v>11072.41</v>
      </c>
      <c r="L3568" s="3">
        <f>Table1[[#This Row],[Price Per Unit]]*Table1[[#This Row],[Units Sold]]</f>
        <v>55362.05</v>
      </c>
      <c r="M3568" s="3" t="s">
        <v>201</v>
      </c>
      <c r="N3568" s="3">
        <v>26</v>
      </c>
      <c r="O3568" s="3" t="s">
        <v>20</v>
      </c>
      <c r="P3568" s="3" t="s">
        <v>21</v>
      </c>
      <c r="Q3568" s="4">
        <v>3</v>
      </c>
      <c r="R3568" s="4" t="str">
        <f>IF(Table1[[#This Row],[Customer Ratings]]&gt;=4, "Good",IF(Table1[[#This Row],[Customer Ratings]]=3, "Average","Poor"))</f>
        <v>Average</v>
      </c>
      <c r="S3568" s="3" t="s">
        <v>22</v>
      </c>
    </row>
    <row r="3569" spans="1:19" x14ac:dyDescent="0.25">
      <c r="A3569" s="3">
        <v>3568</v>
      </c>
      <c r="B3569" s="5">
        <f>DATE(Table1[[#This Row],[Year]],Table1[[#This Row],[Month]],Table1[[#This Row],[Day]])</f>
        <v>45494</v>
      </c>
      <c r="C3569" s="3">
        <v>21</v>
      </c>
      <c r="D3569" s="3">
        <v>7</v>
      </c>
      <c r="E3569" s="3">
        <v>2024</v>
      </c>
      <c r="F3569" s="3" t="str">
        <f>"Qtr"&amp; " " &amp;CHOOSE(MONTH(Table1[[#This Row],[Date]]),1,1,1,2,2,2,3,3,3,4,4,4)</f>
        <v>Qtr 3</v>
      </c>
      <c r="G3569" s="3" t="str">
        <f>TEXT(Table1[[#This Row],[Date]],"mmmm")</f>
        <v>July</v>
      </c>
      <c r="H3569" s="3" t="s">
        <v>1080</v>
      </c>
      <c r="I3569" s="3" t="s">
        <v>13</v>
      </c>
      <c r="J3569" s="3">
        <v>4</v>
      </c>
      <c r="K3569" s="3">
        <v>30083.360000000001</v>
      </c>
      <c r="L3569" s="3">
        <f>Table1[[#This Row],[Price Per Unit]]*Table1[[#This Row],[Units Sold]]</f>
        <v>120333.44</v>
      </c>
      <c r="M3569" s="3" t="s">
        <v>411</v>
      </c>
      <c r="N3569" s="3">
        <v>29</v>
      </c>
      <c r="O3569" s="3" t="s">
        <v>102</v>
      </c>
      <c r="P3569" s="3" t="s">
        <v>16</v>
      </c>
      <c r="Q3569" s="4">
        <v>2</v>
      </c>
      <c r="R3569" s="4" t="str">
        <f>IF(Table1[[#This Row],[Customer Ratings]]&gt;=4, "Good",IF(Table1[[#This Row],[Customer Ratings]]=3, "Average","Poor"))</f>
        <v>Poor</v>
      </c>
      <c r="S3569" s="3" t="s">
        <v>72</v>
      </c>
    </row>
    <row r="3570" spans="1:19" x14ac:dyDescent="0.25">
      <c r="A3570" s="3">
        <v>3569</v>
      </c>
      <c r="B3570" s="5">
        <f>DATE(Table1[[#This Row],[Year]],Table1[[#This Row],[Month]],Table1[[#This Row],[Day]])</f>
        <v>45495</v>
      </c>
      <c r="C3570" s="3">
        <v>22</v>
      </c>
      <c r="D3570" s="3">
        <v>7</v>
      </c>
      <c r="E3570" s="3">
        <v>2024</v>
      </c>
      <c r="F3570" s="3" t="str">
        <f>"Qtr"&amp; " " &amp;CHOOSE(MONTH(Table1[[#This Row],[Date]]),1,1,1,2,2,2,3,3,3,4,4,4)</f>
        <v>Qtr 3</v>
      </c>
      <c r="G3570" s="3" t="str">
        <f>TEXT(Table1[[#This Row],[Date]],"mmmm")</f>
        <v>July</v>
      </c>
      <c r="H3570" s="3" t="s">
        <v>1081</v>
      </c>
      <c r="I3570" s="3" t="s">
        <v>13</v>
      </c>
      <c r="J3570" s="3">
        <v>6</v>
      </c>
      <c r="K3570" s="3">
        <v>21032.39</v>
      </c>
      <c r="L3570" s="3">
        <f>Table1[[#This Row],[Price Per Unit]]*Table1[[#This Row],[Units Sold]]</f>
        <v>126194.34</v>
      </c>
      <c r="M3570" s="3" t="s">
        <v>813</v>
      </c>
      <c r="N3570" s="3">
        <v>28</v>
      </c>
      <c r="O3570" s="3" t="s">
        <v>24</v>
      </c>
      <c r="P3570" s="3" t="s">
        <v>31</v>
      </c>
      <c r="Q3570" s="4">
        <v>5</v>
      </c>
      <c r="R3570" s="4" t="str">
        <f>IF(Table1[[#This Row],[Customer Ratings]]&gt;=4, "Good",IF(Table1[[#This Row],[Customer Ratings]]=3, "Average","Poor"))</f>
        <v>Good</v>
      </c>
      <c r="S3570" s="3" t="s">
        <v>27</v>
      </c>
    </row>
    <row r="3571" spans="1:19" x14ac:dyDescent="0.25">
      <c r="A3571" s="3">
        <v>3570</v>
      </c>
      <c r="B3571" s="5">
        <f>DATE(Table1[[#This Row],[Year]],Table1[[#This Row],[Month]],Table1[[#This Row],[Day]])</f>
        <v>45495</v>
      </c>
      <c r="C3571" s="3">
        <v>22</v>
      </c>
      <c r="D3571" s="3">
        <v>7</v>
      </c>
      <c r="E3571" s="3">
        <v>2024</v>
      </c>
      <c r="F3571" s="3" t="str">
        <f>"Qtr"&amp; " " &amp;CHOOSE(MONTH(Table1[[#This Row],[Date]]),1,1,1,2,2,2,3,3,3,4,4,4)</f>
        <v>Qtr 3</v>
      </c>
      <c r="G3571" s="3" t="str">
        <f>TEXT(Table1[[#This Row],[Date]],"mmmm")</f>
        <v>July</v>
      </c>
      <c r="H3571" s="3" t="s">
        <v>1081</v>
      </c>
      <c r="I3571" s="3" t="s">
        <v>33</v>
      </c>
      <c r="J3571" s="3">
        <v>3</v>
      </c>
      <c r="K3571" s="3">
        <v>50808.57</v>
      </c>
      <c r="L3571" s="3">
        <f>Table1[[#This Row],[Price Per Unit]]*Table1[[#This Row],[Units Sold]]</f>
        <v>152425.71</v>
      </c>
      <c r="M3571" s="3" t="s">
        <v>735</v>
      </c>
      <c r="N3571" s="3">
        <v>55</v>
      </c>
      <c r="O3571" s="3" t="s">
        <v>20</v>
      </c>
      <c r="P3571" s="3" t="s">
        <v>31</v>
      </c>
      <c r="Q3571" s="4">
        <v>3</v>
      </c>
      <c r="R3571" s="4" t="str">
        <f>IF(Table1[[#This Row],[Customer Ratings]]&gt;=4, "Good",IF(Table1[[#This Row],[Customer Ratings]]=3, "Average","Poor"))</f>
        <v>Average</v>
      </c>
      <c r="S3571" s="3" t="s">
        <v>83</v>
      </c>
    </row>
    <row r="3572" spans="1:19" x14ac:dyDescent="0.25">
      <c r="A3572" s="3">
        <v>3571</v>
      </c>
      <c r="B3572" s="5">
        <f>DATE(Table1[[#This Row],[Year]],Table1[[#This Row],[Month]],Table1[[#This Row],[Day]])</f>
        <v>45495</v>
      </c>
      <c r="C3572" s="3">
        <v>22</v>
      </c>
      <c r="D3572" s="3">
        <v>7</v>
      </c>
      <c r="E3572" s="3">
        <v>2024</v>
      </c>
      <c r="F3572" s="3" t="str">
        <f>"Qtr"&amp; " " &amp;CHOOSE(MONTH(Table1[[#This Row],[Date]]),1,1,1,2,2,2,3,3,3,4,4,4)</f>
        <v>Qtr 3</v>
      </c>
      <c r="G3572" s="3" t="str">
        <f>TEXT(Table1[[#This Row],[Date]],"mmmm")</f>
        <v>July</v>
      </c>
      <c r="H3572" s="3" t="s">
        <v>1081</v>
      </c>
      <c r="I3572" s="3" t="s">
        <v>33</v>
      </c>
      <c r="J3572" s="3">
        <v>8</v>
      </c>
      <c r="K3572" s="3">
        <v>13402.28</v>
      </c>
      <c r="L3572" s="3">
        <f>Table1[[#This Row],[Price Per Unit]]*Table1[[#This Row],[Units Sold]]</f>
        <v>107218.24000000001</v>
      </c>
      <c r="M3572" s="3" t="s">
        <v>930</v>
      </c>
      <c r="N3572" s="3">
        <v>45</v>
      </c>
      <c r="O3572" s="3" t="s">
        <v>35</v>
      </c>
      <c r="P3572" s="3" t="s">
        <v>16</v>
      </c>
      <c r="Q3572" s="4">
        <v>4</v>
      </c>
      <c r="R3572" s="4" t="str">
        <f>IF(Table1[[#This Row],[Customer Ratings]]&gt;=4, "Good",IF(Table1[[#This Row],[Customer Ratings]]=3, "Average","Poor"))</f>
        <v>Good</v>
      </c>
      <c r="S3572" s="3" t="s">
        <v>36</v>
      </c>
    </row>
    <row r="3573" spans="1:19" x14ac:dyDescent="0.25">
      <c r="A3573" s="3">
        <v>3572</v>
      </c>
      <c r="B3573" s="5">
        <f>DATE(Table1[[#This Row],[Year]],Table1[[#This Row],[Month]],Table1[[#This Row],[Day]])</f>
        <v>45496</v>
      </c>
      <c r="C3573" s="3">
        <v>23</v>
      </c>
      <c r="D3573" s="3">
        <v>7</v>
      </c>
      <c r="E3573" s="3">
        <v>2024</v>
      </c>
      <c r="F3573" s="3" t="str">
        <f>"Qtr"&amp; " " &amp;CHOOSE(MONTH(Table1[[#This Row],[Date]]),1,1,1,2,2,2,3,3,3,4,4,4)</f>
        <v>Qtr 3</v>
      </c>
      <c r="G3573" s="3" t="str">
        <f>TEXT(Table1[[#This Row],[Date]],"mmmm")</f>
        <v>July</v>
      </c>
      <c r="H3573" s="3" t="s">
        <v>1082</v>
      </c>
      <c r="I3573" s="3" t="s">
        <v>18</v>
      </c>
      <c r="J3573" s="3">
        <v>6</v>
      </c>
      <c r="K3573" s="3">
        <v>43828.2</v>
      </c>
      <c r="L3573" s="3">
        <f>Table1[[#This Row],[Price Per Unit]]*Table1[[#This Row],[Units Sold]]</f>
        <v>262969.19999999995</v>
      </c>
      <c r="M3573" s="3" t="s">
        <v>461</v>
      </c>
      <c r="N3573" s="3">
        <v>25</v>
      </c>
      <c r="O3573" s="3" t="s">
        <v>20</v>
      </c>
      <c r="P3573" s="3" t="s">
        <v>31</v>
      </c>
      <c r="Q3573" s="4">
        <v>2</v>
      </c>
      <c r="R3573" s="4" t="str">
        <f>IF(Table1[[#This Row],[Customer Ratings]]&gt;=4, "Good",IF(Table1[[#This Row],[Customer Ratings]]=3, "Average","Poor"))</f>
        <v>Poor</v>
      </c>
      <c r="S3573" s="3" t="s">
        <v>22</v>
      </c>
    </row>
    <row r="3574" spans="1:19" x14ac:dyDescent="0.25">
      <c r="A3574" s="3">
        <v>3573</v>
      </c>
      <c r="B3574" s="5">
        <f>DATE(Table1[[#This Row],[Year]],Table1[[#This Row],[Month]],Table1[[#This Row],[Day]])</f>
        <v>45496</v>
      </c>
      <c r="C3574" s="3">
        <v>23</v>
      </c>
      <c r="D3574" s="3">
        <v>7</v>
      </c>
      <c r="E3574" s="3">
        <v>2024</v>
      </c>
      <c r="F3574" s="3" t="str">
        <f>"Qtr"&amp; " " &amp;CHOOSE(MONTH(Table1[[#This Row],[Date]]),1,1,1,2,2,2,3,3,3,4,4,4)</f>
        <v>Qtr 3</v>
      </c>
      <c r="G3574" s="3" t="str">
        <f>TEXT(Table1[[#This Row],[Date]],"mmmm")</f>
        <v>July</v>
      </c>
      <c r="H3574" s="3" t="s">
        <v>1082</v>
      </c>
      <c r="I3574" s="3" t="s">
        <v>18</v>
      </c>
      <c r="J3574" s="3">
        <v>5</v>
      </c>
      <c r="K3574" s="3">
        <v>22637.9</v>
      </c>
      <c r="L3574" s="3">
        <f>Table1[[#This Row],[Price Per Unit]]*Table1[[#This Row],[Units Sold]]</f>
        <v>113189.5</v>
      </c>
      <c r="M3574" s="3" t="s">
        <v>1039</v>
      </c>
      <c r="N3574" s="3">
        <v>27</v>
      </c>
      <c r="O3574" s="3" t="s">
        <v>52</v>
      </c>
      <c r="P3574" s="3" t="s">
        <v>31</v>
      </c>
      <c r="Q3574" s="4">
        <v>5</v>
      </c>
      <c r="R3574" s="4" t="str">
        <f>IF(Table1[[#This Row],[Customer Ratings]]&gt;=4, "Good",IF(Table1[[#This Row],[Customer Ratings]]=3, "Average","Poor"))</f>
        <v>Good</v>
      </c>
      <c r="S3574" s="3" t="s">
        <v>25</v>
      </c>
    </row>
    <row r="3575" spans="1:19" x14ac:dyDescent="0.25">
      <c r="A3575" s="3">
        <v>3574</v>
      </c>
      <c r="B3575" s="5">
        <f>DATE(Table1[[#This Row],[Year]],Table1[[#This Row],[Month]],Table1[[#This Row],[Day]])</f>
        <v>45496</v>
      </c>
      <c r="C3575" s="3">
        <v>23</v>
      </c>
      <c r="D3575" s="3">
        <v>7</v>
      </c>
      <c r="E3575" s="3">
        <v>2024</v>
      </c>
      <c r="F3575" s="3" t="str">
        <f>"Qtr"&amp; " " &amp;CHOOSE(MONTH(Table1[[#This Row],[Date]]),1,1,1,2,2,2,3,3,3,4,4,4)</f>
        <v>Qtr 3</v>
      </c>
      <c r="G3575" s="3" t="str">
        <f>TEXT(Table1[[#This Row],[Date]],"mmmm")</f>
        <v>July</v>
      </c>
      <c r="H3575" s="3" t="s">
        <v>1082</v>
      </c>
      <c r="I3575" s="3" t="s">
        <v>39</v>
      </c>
      <c r="J3575" s="3">
        <v>2</v>
      </c>
      <c r="K3575" s="3">
        <v>66930.75</v>
      </c>
      <c r="L3575" s="3">
        <f>Table1[[#This Row],[Price Per Unit]]*Table1[[#This Row],[Units Sold]]</f>
        <v>133861.5</v>
      </c>
      <c r="M3575" s="3" t="s">
        <v>785</v>
      </c>
      <c r="N3575" s="3">
        <v>42</v>
      </c>
      <c r="O3575" s="3" t="s">
        <v>24</v>
      </c>
      <c r="P3575" s="3" t="s">
        <v>16</v>
      </c>
      <c r="Q3575" s="4">
        <v>4</v>
      </c>
      <c r="R3575" s="4" t="str">
        <f>IF(Table1[[#This Row],[Customer Ratings]]&gt;=4, "Good",IF(Table1[[#This Row],[Customer Ratings]]=3, "Average","Poor"))</f>
        <v>Good</v>
      </c>
      <c r="S3575" s="3" t="s">
        <v>90</v>
      </c>
    </row>
    <row r="3576" spans="1:19" x14ac:dyDescent="0.25">
      <c r="A3576" s="3">
        <v>3575</v>
      </c>
      <c r="B3576" s="5">
        <f>DATE(Table1[[#This Row],[Year]],Table1[[#This Row],[Month]],Table1[[#This Row],[Day]])</f>
        <v>45496</v>
      </c>
      <c r="C3576" s="3">
        <v>23</v>
      </c>
      <c r="D3576" s="3">
        <v>7</v>
      </c>
      <c r="E3576" s="3">
        <v>2024</v>
      </c>
      <c r="F3576" s="3" t="str">
        <f>"Qtr"&amp; " " &amp;CHOOSE(MONTH(Table1[[#This Row],[Date]]),1,1,1,2,2,2,3,3,3,4,4,4)</f>
        <v>Qtr 3</v>
      </c>
      <c r="G3576" s="3" t="str">
        <f>TEXT(Table1[[#This Row],[Date]],"mmmm")</f>
        <v>July</v>
      </c>
      <c r="H3576" s="3" t="s">
        <v>1082</v>
      </c>
      <c r="I3576" s="3" t="s">
        <v>33</v>
      </c>
      <c r="J3576" s="3">
        <v>7</v>
      </c>
      <c r="K3576" s="3">
        <v>30132.46</v>
      </c>
      <c r="L3576" s="3">
        <f>Table1[[#This Row],[Price Per Unit]]*Table1[[#This Row],[Units Sold]]</f>
        <v>210927.22</v>
      </c>
      <c r="M3576" s="3" t="s">
        <v>369</v>
      </c>
      <c r="N3576" s="3">
        <v>53</v>
      </c>
      <c r="O3576" s="3" t="s">
        <v>20</v>
      </c>
      <c r="P3576" s="3" t="s">
        <v>31</v>
      </c>
      <c r="Q3576" s="4">
        <v>5</v>
      </c>
      <c r="R3576" s="4" t="str">
        <f>IF(Table1[[#This Row],[Customer Ratings]]&gt;=4, "Good",IF(Table1[[#This Row],[Customer Ratings]]=3, "Average","Poor"))</f>
        <v>Good</v>
      </c>
      <c r="S3576" s="3" t="s">
        <v>83</v>
      </c>
    </row>
    <row r="3577" spans="1:19" x14ac:dyDescent="0.25">
      <c r="A3577" s="3">
        <v>3576</v>
      </c>
      <c r="B3577" s="5">
        <f>DATE(Table1[[#This Row],[Year]],Table1[[#This Row],[Month]],Table1[[#This Row],[Day]])</f>
        <v>45497</v>
      </c>
      <c r="C3577" s="3">
        <v>24</v>
      </c>
      <c r="D3577" s="3">
        <v>7</v>
      </c>
      <c r="E3577" s="3">
        <v>2024</v>
      </c>
      <c r="F3577" s="3" t="str">
        <f>"Qtr"&amp; " " &amp;CHOOSE(MONTH(Table1[[#This Row],[Date]]),1,1,1,2,2,2,3,3,3,4,4,4)</f>
        <v>Qtr 3</v>
      </c>
      <c r="G3577" s="3" t="str">
        <f>TEXT(Table1[[#This Row],[Date]],"mmmm")</f>
        <v>July</v>
      </c>
      <c r="H3577" s="3" t="s">
        <v>1083</v>
      </c>
      <c r="I3577" s="3" t="s">
        <v>39</v>
      </c>
      <c r="J3577" s="3">
        <v>2</v>
      </c>
      <c r="K3577" s="3">
        <v>29513.27</v>
      </c>
      <c r="L3577" s="3">
        <f>Table1[[#This Row],[Price Per Unit]]*Table1[[#This Row],[Units Sold]]</f>
        <v>59026.54</v>
      </c>
      <c r="M3577" s="3" t="s">
        <v>69</v>
      </c>
      <c r="N3577" s="3">
        <v>26</v>
      </c>
      <c r="O3577" s="3" t="s">
        <v>120</v>
      </c>
      <c r="P3577" s="3" t="s">
        <v>31</v>
      </c>
      <c r="Q3577" s="4">
        <v>5</v>
      </c>
      <c r="R3577" s="4" t="str">
        <f>IF(Table1[[#This Row],[Customer Ratings]]&gt;=4, "Good",IF(Table1[[#This Row],[Customer Ratings]]=3, "Average","Poor"))</f>
        <v>Good</v>
      </c>
      <c r="S3577" s="3" t="s">
        <v>90</v>
      </c>
    </row>
    <row r="3578" spans="1:19" x14ac:dyDescent="0.25">
      <c r="A3578" s="3">
        <v>3577</v>
      </c>
      <c r="B3578" s="5">
        <f>DATE(Table1[[#This Row],[Year]],Table1[[#This Row],[Month]],Table1[[#This Row],[Day]])</f>
        <v>45497</v>
      </c>
      <c r="C3578" s="3">
        <v>24</v>
      </c>
      <c r="D3578" s="3">
        <v>7</v>
      </c>
      <c r="E3578" s="3">
        <v>2024</v>
      </c>
      <c r="F3578" s="3" t="str">
        <f>"Qtr"&amp; " " &amp;CHOOSE(MONTH(Table1[[#This Row],[Date]]),1,1,1,2,2,2,3,3,3,4,4,4)</f>
        <v>Qtr 3</v>
      </c>
      <c r="G3578" s="3" t="str">
        <f>TEXT(Table1[[#This Row],[Date]],"mmmm")</f>
        <v>July</v>
      </c>
      <c r="H3578" s="3" t="s">
        <v>1083</v>
      </c>
      <c r="I3578" s="3" t="s">
        <v>28</v>
      </c>
      <c r="J3578" s="3">
        <v>1</v>
      </c>
      <c r="K3578" s="3">
        <v>65403.08</v>
      </c>
      <c r="L3578" s="3">
        <f>Table1[[#This Row],[Price Per Unit]]*Table1[[#This Row],[Units Sold]]</f>
        <v>65403.08</v>
      </c>
      <c r="M3578" s="3" t="s">
        <v>66</v>
      </c>
      <c r="N3578" s="3">
        <v>58</v>
      </c>
      <c r="O3578" s="3" t="s">
        <v>102</v>
      </c>
      <c r="P3578" s="3" t="s">
        <v>16</v>
      </c>
      <c r="Q3578" s="4">
        <v>2</v>
      </c>
      <c r="R3578" s="4" t="str">
        <f>IF(Table1[[#This Row],[Customer Ratings]]&gt;=4, "Good",IF(Table1[[#This Row],[Customer Ratings]]=3, "Average","Poor"))</f>
        <v>Poor</v>
      </c>
      <c r="S3578" s="3" t="s">
        <v>38</v>
      </c>
    </row>
    <row r="3579" spans="1:19" x14ac:dyDescent="0.25">
      <c r="A3579" s="3">
        <v>3578</v>
      </c>
      <c r="B3579" s="5">
        <f>DATE(Table1[[#This Row],[Year]],Table1[[#This Row],[Month]],Table1[[#This Row],[Day]])</f>
        <v>45497</v>
      </c>
      <c r="C3579" s="3">
        <v>24</v>
      </c>
      <c r="D3579" s="3">
        <v>7</v>
      </c>
      <c r="E3579" s="3">
        <v>2024</v>
      </c>
      <c r="F3579" s="3" t="str">
        <f>"Qtr"&amp; " " &amp;CHOOSE(MONTH(Table1[[#This Row],[Date]]),1,1,1,2,2,2,3,3,3,4,4,4)</f>
        <v>Qtr 3</v>
      </c>
      <c r="G3579" s="3" t="str">
        <f>TEXT(Table1[[#This Row],[Date]],"mmmm")</f>
        <v>July</v>
      </c>
      <c r="H3579" s="3" t="s">
        <v>1083</v>
      </c>
      <c r="I3579" s="3" t="s">
        <v>39</v>
      </c>
      <c r="J3579" s="3">
        <v>7</v>
      </c>
      <c r="K3579" s="3">
        <v>35040.879999999997</v>
      </c>
      <c r="L3579" s="3">
        <f>Table1[[#This Row],[Price Per Unit]]*Table1[[#This Row],[Units Sold]]</f>
        <v>245286.15999999997</v>
      </c>
      <c r="M3579" s="3" t="s">
        <v>302</v>
      </c>
      <c r="N3579" s="3">
        <v>25</v>
      </c>
      <c r="O3579" s="3" t="s">
        <v>20</v>
      </c>
      <c r="P3579" s="3" t="s">
        <v>45</v>
      </c>
      <c r="Q3579" s="4">
        <v>5</v>
      </c>
      <c r="R3579" s="4" t="str">
        <f>IF(Table1[[#This Row],[Customer Ratings]]&gt;=4, "Good",IF(Table1[[#This Row],[Customer Ratings]]=3, "Average","Poor"))</f>
        <v>Good</v>
      </c>
      <c r="S3579" s="3" t="s">
        <v>42</v>
      </c>
    </row>
    <row r="3580" spans="1:19" x14ac:dyDescent="0.25">
      <c r="A3580" s="3">
        <v>3579</v>
      </c>
      <c r="B3580" s="5">
        <f>DATE(Table1[[#This Row],[Year]],Table1[[#This Row],[Month]],Table1[[#This Row],[Day]])</f>
        <v>45498</v>
      </c>
      <c r="C3580" s="3">
        <v>25</v>
      </c>
      <c r="D3580" s="3">
        <v>7</v>
      </c>
      <c r="E3580" s="3">
        <v>2024</v>
      </c>
      <c r="F3580" s="3" t="str">
        <f>"Qtr"&amp; " " &amp;CHOOSE(MONTH(Table1[[#This Row],[Date]]),1,1,1,2,2,2,3,3,3,4,4,4)</f>
        <v>Qtr 3</v>
      </c>
      <c r="G3580" s="3" t="str">
        <f>TEXT(Table1[[#This Row],[Date]],"mmmm")</f>
        <v>July</v>
      </c>
      <c r="H3580" s="3" t="s">
        <v>1084</v>
      </c>
      <c r="I3580" s="3" t="s">
        <v>13</v>
      </c>
      <c r="J3580" s="3">
        <v>5</v>
      </c>
      <c r="K3580" s="3">
        <v>67771.740000000005</v>
      </c>
      <c r="L3580" s="3">
        <f>Table1[[#This Row],[Price Per Unit]]*Table1[[#This Row],[Units Sold]]</f>
        <v>338858.7</v>
      </c>
      <c r="M3580" s="3" t="s">
        <v>919</v>
      </c>
      <c r="N3580" s="3">
        <v>20</v>
      </c>
      <c r="O3580" s="3" t="s">
        <v>20</v>
      </c>
      <c r="P3580" s="3" t="s">
        <v>21</v>
      </c>
      <c r="Q3580" s="4">
        <v>5</v>
      </c>
      <c r="R3580" s="4" t="str">
        <f>IF(Table1[[#This Row],[Customer Ratings]]&gt;=4, "Good",IF(Table1[[#This Row],[Customer Ratings]]=3, "Average","Poor"))</f>
        <v>Good</v>
      </c>
      <c r="S3580" s="3" t="s">
        <v>72</v>
      </c>
    </row>
    <row r="3581" spans="1:19" x14ac:dyDescent="0.25">
      <c r="A3581" s="3">
        <v>3580</v>
      </c>
      <c r="B3581" s="5">
        <f>DATE(Table1[[#This Row],[Year]],Table1[[#This Row],[Month]],Table1[[#This Row],[Day]])</f>
        <v>45498</v>
      </c>
      <c r="C3581" s="3">
        <v>25</v>
      </c>
      <c r="D3581" s="3">
        <v>7</v>
      </c>
      <c r="E3581" s="3">
        <v>2024</v>
      </c>
      <c r="F3581" s="3" t="str">
        <f>"Qtr"&amp; " " &amp;CHOOSE(MONTH(Table1[[#This Row],[Date]]),1,1,1,2,2,2,3,3,3,4,4,4)</f>
        <v>Qtr 3</v>
      </c>
      <c r="G3581" s="3" t="str">
        <f>TEXT(Table1[[#This Row],[Date]],"mmmm")</f>
        <v>July</v>
      </c>
      <c r="H3581" s="3" t="s">
        <v>1084</v>
      </c>
      <c r="I3581" s="3" t="s">
        <v>39</v>
      </c>
      <c r="J3581" s="3">
        <v>1</v>
      </c>
      <c r="K3581" s="3">
        <v>11450.22</v>
      </c>
      <c r="L3581" s="3">
        <f>Table1[[#This Row],[Price Per Unit]]*Table1[[#This Row],[Units Sold]]</f>
        <v>11450.22</v>
      </c>
      <c r="M3581" s="3" t="s">
        <v>488</v>
      </c>
      <c r="N3581" s="3">
        <v>35</v>
      </c>
      <c r="O3581" s="3" t="s">
        <v>98</v>
      </c>
      <c r="P3581" s="3" t="s">
        <v>21</v>
      </c>
      <c r="Q3581" s="4">
        <v>5</v>
      </c>
      <c r="R3581" s="4" t="str">
        <f>IF(Table1[[#This Row],[Customer Ratings]]&gt;=4, "Good",IF(Table1[[#This Row],[Customer Ratings]]=3, "Average","Poor"))</f>
        <v>Good</v>
      </c>
      <c r="S3581" s="3" t="s">
        <v>76</v>
      </c>
    </row>
    <row r="3582" spans="1:19" x14ac:dyDescent="0.25">
      <c r="A3582" s="3">
        <v>3581</v>
      </c>
      <c r="B3582" s="5">
        <f>DATE(Table1[[#This Row],[Year]],Table1[[#This Row],[Month]],Table1[[#This Row],[Day]])</f>
        <v>45498</v>
      </c>
      <c r="C3582" s="3">
        <v>25</v>
      </c>
      <c r="D3582" s="3">
        <v>7</v>
      </c>
      <c r="E3582" s="3">
        <v>2024</v>
      </c>
      <c r="F3582" s="3" t="str">
        <f>"Qtr"&amp; " " &amp;CHOOSE(MONTH(Table1[[#This Row],[Date]]),1,1,1,2,2,2,3,3,3,4,4,4)</f>
        <v>Qtr 3</v>
      </c>
      <c r="G3582" s="3" t="str">
        <f>TEXT(Table1[[#This Row],[Date]],"mmmm")</f>
        <v>July</v>
      </c>
      <c r="H3582" s="3" t="s">
        <v>1084</v>
      </c>
      <c r="I3582" s="3" t="s">
        <v>18</v>
      </c>
      <c r="J3582" s="3">
        <v>4</v>
      </c>
      <c r="K3582" s="3">
        <v>28380.67</v>
      </c>
      <c r="L3582" s="3">
        <f>Table1[[#This Row],[Price Per Unit]]*Table1[[#This Row],[Units Sold]]</f>
        <v>113522.68</v>
      </c>
      <c r="M3582" s="3" t="s">
        <v>642</v>
      </c>
      <c r="N3582" s="3">
        <v>52</v>
      </c>
      <c r="O3582" s="3" t="s">
        <v>24</v>
      </c>
      <c r="P3582" s="3" t="s">
        <v>45</v>
      </c>
      <c r="Q3582" s="4">
        <v>5</v>
      </c>
      <c r="R3582" s="4" t="str">
        <f>IF(Table1[[#This Row],[Customer Ratings]]&gt;=4, "Good",IF(Table1[[#This Row],[Customer Ratings]]=3, "Average","Poor"))</f>
        <v>Good</v>
      </c>
      <c r="S3582" s="3" t="s">
        <v>22</v>
      </c>
    </row>
    <row r="3583" spans="1:19" x14ac:dyDescent="0.25">
      <c r="A3583" s="3">
        <v>3582</v>
      </c>
      <c r="B3583" s="5">
        <f>DATE(Table1[[#This Row],[Year]],Table1[[#This Row],[Month]],Table1[[#This Row],[Day]])</f>
        <v>45499</v>
      </c>
      <c r="C3583" s="3">
        <v>26</v>
      </c>
      <c r="D3583" s="3">
        <v>7</v>
      </c>
      <c r="E3583" s="3">
        <v>2024</v>
      </c>
      <c r="F3583" s="3" t="str">
        <f>"Qtr"&amp; " " &amp;CHOOSE(MONTH(Table1[[#This Row],[Date]]),1,1,1,2,2,2,3,3,3,4,4,4)</f>
        <v>Qtr 3</v>
      </c>
      <c r="G3583" s="3" t="str">
        <f>TEXT(Table1[[#This Row],[Date]],"mmmm")</f>
        <v>July</v>
      </c>
      <c r="H3583" s="3" t="s">
        <v>1085</v>
      </c>
      <c r="I3583" s="3" t="s">
        <v>28</v>
      </c>
      <c r="J3583" s="3">
        <v>4</v>
      </c>
      <c r="K3583" s="3">
        <v>49971.58</v>
      </c>
      <c r="L3583" s="3">
        <f>Table1[[#This Row],[Price Per Unit]]*Table1[[#This Row],[Units Sold]]</f>
        <v>199886.32</v>
      </c>
      <c r="M3583" s="3" t="s">
        <v>968</v>
      </c>
      <c r="N3583" s="3">
        <v>34</v>
      </c>
      <c r="O3583" s="3" t="s">
        <v>52</v>
      </c>
      <c r="P3583" s="3" t="s">
        <v>16</v>
      </c>
      <c r="Q3583" s="4">
        <v>4</v>
      </c>
      <c r="R3583" s="4" t="str">
        <f>IF(Table1[[#This Row],[Customer Ratings]]&gt;=4, "Good",IF(Table1[[#This Row],[Customer Ratings]]=3, "Average","Poor"))</f>
        <v>Good</v>
      </c>
      <c r="S3583" s="3" t="s">
        <v>38</v>
      </c>
    </row>
    <row r="3584" spans="1:19" x14ac:dyDescent="0.25">
      <c r="A3584" s="3">
        <v>3583</v>
      </c>
      <c r="B3584" s="5">
        <f>DATE(Table1[[#This Row],[Year]],Table1[[#This Row],[Month]],Table1[[#This Row],[Day]])</f>
        <v>45499</v>
      </c>
      <c r="C3584" s="3">
        <v>26</v>
      </c>
      <c r="D3584" s="3">
        <v>7</v>
      </c>
      <c r="E3584" s="3">
        <v>2024</v>
      </c>
      <c r="F3584" s="3" t="str">
        <f>"Qtr"&amp; " " &amp;CHOOSE(MONTH(Table1[[#This Row],[Date]]),1,1,1,2,2,2,3,3,3,4,4,4)</f>
        <v>Qtr 3</v>
      </c>
      <c r="G3584" s="3" t="str">
        <f>TEXT(Table1[[#This Row],[Date]],"mmmm")</f>
        <v>July</v>
      </c>
      <c r="H3584" s="3" t="s">
        <v>1085</v>
      </c>
      <c r="I3584" s="3" t="s">
        <v>13</v>
      </c>
      <c r="J3584" s="3">
        <v>7</v>
      </c>
      <c r="K3584" s="3">
        <v>63451.42</v>
      </c>
      <c r="L3584" s="3">
        <f>Table1[[#This Row],[Price Per Unit]]*Table1[[#This Row],[Units Sold]]</f>
        <v>444159.94</v>
      </c>
      <c r="M3584" s="3" t="s">
        <v>971</v>
      </c>
      <c r="N3584" s="3">
        <v>53</v>
      </c>
      <c r="O3584" s="3" t="s">
        <v>24</v>
      </c>
      <c r="P3584" s="3" t="s">
        <v>45</v>
      </c>
      <c r="Q3584" s="4">
        <v>4</v>
      </c>
      <c r="R3584" s="4" t="str">
        <f>IF(Table1[[#This Row],[Customer Ratings]]&gt;=4, "Good",IF(Table1[[#This Row],[Customer Ratings]]=3, "Average","Poor"))</f>
        <v>Good</v>
      </c>
      <c r="S3584" s="3" t="s">
        <v>17</v>
      </c>
    </row>
    <row r="3585" spans="1:19" x14ac:dyDescent="0.25">
      <c r="A3585" s="3">
        <v>3584</v>
      </c>
      <c r="B3585" s="5">
        <f>DATE(Table1[[#This Row],[Year]],Table1[[#This Row],[Month]],Table1[[#This Row],[Day]])</f>
        <v>45499</v>
      </c>
      <c r="C3585" s="3">
        <v>26</v>
      </c>
      <c r="D3585" s="3">
        <v>7</v>
      </c>
      <c r="E3585" s="3">
        <v>2024</v>
      </c>
      <c r="F3585" s="3" t="str">
        <f>"Qtr"&amp; " " &amp;CHOOSE(MONTH(Table1[[#This Row],[Date]]),1,1,1,2,2,2,3,3,3,4,4,4)</f>
        <v>Qtr 3</v>
      </c>
      <c r="G3585" s="3" t="str">
        <f>TEXT(Table1[[#This Row],[Date]],"mmmm")</f>
        <v>July</v>
      </c>
      <c r="H3585" s="3" t="s">
        <v>1085</v>
      </c>
      <c r="I3585" s="3" t="s">
        <v>39</v>
      </c>
      <c r="J3585" s="3">
        <v>9</v>
      </c>
      <c r="K3585" s="3">
        <v>25384.34</v>
      </c>
      <c r="L3585" s="3">
        <f>Table1[[#This Row],[Price Per Unit]]*Table1[[#This Row],[Units Sold]]</f>
        <v>228459.06</v>
      </c>
      <c r="M3585" s="3" t="s">
        <v>760</v>
      </c>
      <c r="N3585" s="3">
        <v>45</v>
      </c>
      <c r="O3585" s="3" t="s">
        <v>20</v>
      </c>
      <c r="P3585" s="3" t="s">
        <v>21</v>
      </c>
      <c r="Q3585" s="4">
        <v>5</v>
      </c>
      <c r="R3585" s="4" t="str">
        <f>IF(Table1[[#This Row],[Customer Ratings]]&gt;=4, "Good",IF(Table1[[#This Row],[Customer Ratings]]=3, "Average","Poor"))</f>
        <v>Good</v>
      </c>
      <c r="S3585" s="3" t="s">
        <v>42</v>
      </c>
    </row>
    <row r="3586" spans="1:19" x14ac:dyDescent="0.25">
      <c r="A3586" s="3">
        <v>3585</v>
      </c>
      <c r="B3586" s="5">
        <f>DATE(Table1[[#This Row],[Year]],Table1[[#This Row],[Month]],Table1[[#This Row],[Day]])</f>
        <v>45500</v>
      </c>
      <c r="C3586" s="3">
        <v>27</v>
      </c>
      <c r="D3586" s="3">
        <v>7</v>
      </c>
      <c r="E3586" s="3">
        <v>2024</v>
      </c>
      <c r="F3586" s="3" t="str">
        <f>"Qtr"&amp; " " &amp;CHOOSE(MONTH(Table1[[#This Row],[Date]]),1,1,1,2,2,2,3,3,3,4,4,4)</f>
        <v>Qtr 3</v>
      </c>
      <c r="G3586" s="3" t="str">
        <f>TEXT(Table1[[#This Row],[Date]],"mmmm")</f>
        <v>July</v>
      </c>
      <c r="H3586" s="3" t="s">
        <v>1079</v>
      </c>
      <c r="I3586" s="3" t="s">
        <v>28</v>
      </c>
      <c r="J3586" s="3">
        <v>2</v>
      </c>
      <c r="K3586" s="3">
        <v>65828.66</v>
      </c>
      <c r="L3586" s="3">
        <f>Table1[[#This Row],[Price Per Unit]]*Table1[[#This Row],[Units Sold]]</f>
        <v>131657.32</v>
      </c>
      <c r="M3586" s="3" t="s">
        <v>437</v>
      </c>
      <c r="N3586" s="3">
        <v>32</v>
      </c>
      <c r="O3586" s="3" t="s">
        <v>105</v>
      </c>
      <c r="P3586" s="3" t="s">
        <v>21</v>
      </c>
      <c r="Q3586" s="4">
        <v>3</v>
      </c>
      <c r="R3586" s="4" t="str">
        <f>IF(Table1[[#This Row],[Customer Ratings]]&gt;=4, "Good",IF(Table1[[#This Row],[Customer Ratings]]=3, "Average","Poor"))</f>
        <v>Average</v>
      </c>
      <c r="S3586" s="3" t="s">
        <v>32</v>
      </c>
    </row>
    <row r="3587" spans="1:19" x14ac:dyDescent="0.25">
      <c r="A3587" s="3">
        <v>3586</v>
      </c>
      <c r="B3587" s="5">
        <f>DATE(Table1[[#This Row],[Year]],Table1[[#This Row],[Month]],Table1[[#This Row],[Day]])</f>
        <v>45500</v>
      </c>
      <c r="C3587" s="3">
        <v>27</v>
      </c>
      <c r="D3587" s="3">
        <v>7</v>
      </c>
      <c r="E3587" s="3">
        <v>2024</v>
      </c>
      <c r="F3587" s="3" t="str">
        <f>"Qtr"&amp; " " &amp;CHOOSE(MONTH(Table1[[#This Row],[Date]]),1,1,1,2,2,2,3,3,3,4,4,4)</f>
        <v>Qtr 3</v>
      </c>
      <c r="G3587" s="3" t="str">
        <f>TEXT(Table1[[#This Row],[Date]],"mmmm")</f>
        <v>July</v>
      </c>
      <c r="H3587" s="3" t="s">
        <v>1079</v>
      </c>
      <c r="I3587" s="3" t="s">
        <v>28</v>
      </c>
      <c r="J3587" s="3">
        <v>1</v>
      </c>
      <c r="K3587" s="3">
        <v>45647.29</v>
      </c>
      <c r="L3587" s="3">
        <f>Table1[[#This Row],[Price Per Unit]]*Table1[[#This Row],[Units Sold]]</f>
        <v>45647.29</v>
      </c>
      <c r="M3587" s="3" t="s">
        <v>146</v>
      </c>
      <c r="N3587" s="3">
        <v>36</v>
      </c>
      <c r="O3587" s="3" t="s">
        <v>41</v>
      </c>
      <c r="P3587" s="3" t="s">
        <v>21</v>
      </c>
      <c r="Q3587" s="4">
        <v>3</v>
      </c>
      <c r="R3587" s="4" t="str">
        <f>IF(Table1[[#This Row],[Customer Ratings]]&gt;=4, "Good",IF(Table1[[#This Row],[Customer Ratings]]=3, "Average","Poor"))</f>
        <v>Average</v>
      </c>
      <c r="S3587" s="3" t="s">
        <v>32</v>
      </c>
    </row>
    <row r="3588" spans="1:19" x14ac:dyDescent="0.25">
      <c r="A3588" s="3">
        <v>3587</v>
      </c>
      <c r="B3588" s="5">
        <f>DATE(Table1[[#This Row],[Year]],Table1[[#This Row],[Month]],Table1[[#This Row],[Day]])</f>
        <v>45500</v>
      </c>
      <c r="C3588" s="3">
        <v>27</v>
      </c>
      <c r="D3588" s="3">
        <v>7</v>
      </c>
      <c r="E3588" s="3">
        <v>2024</v>
      </c>
      <c r="F3588" s="3" t="str">
        <f>"Qtr"&amp; " " &amp;CHOOSE(MONTH(Table1[[#This Row],[Date]]),1,1,1,2,2,2,3,3,3,4,4,4)</f>
        <v>Qtr 3</v>
      </c>
      <c r="G3588" s="3" t="str">
        <f>TEXT(Table1[[#This Row],[Date]],"mmmm")</f>
        <v>July</v>
      </c>
      <c r="H3588" s="3" t="s">
        <v>1079</v>
      </c>
      <c r="I3588" s="3" t="s">
        <v>13</v>
      </c>
      <c r="J3588" s="3">
        <v>2</v>
      </c>
      <c r="K3588" s="3">
        <v>58060.49</v>
      </c>
      <c r="L3588" s="3">
        <f>Table1[[#This Row],[Price Per Unit]]*Table1[[#This Row],[Units Sold]]</f>
        <v>116120.98</v>
      </c>
      <c r="M3588" s="3" t="s">
        <v>387</v>
      </c>
      <c r="N3588" s="3">
        <v>39</v>
      </c>
      <c r="O3588" s="3" t="s">
        <v>105</v>
      </c>
      <c r="P3588" s="3" t="s">
        <v>21</v>
      </c>
      <c r="Q3588" s="4">
        <v>4</v>
      </c>
      <c r="R3588" s="4" t="str">
        <f>IF(Table1[[#This Row],[Customer Ratings]]&gt;=4, "Good",IF(Table1[[#This Row],[Customer Ratings]]=3, "Average","Poor"))</f>
        <v>Good</v>
      </c>
      <c r="S3588" s="3" t="s">
        <v>27</v>
      </c>
    </row>
    <row r="3589" spans="1:19" x14ac:dyDescent="0.25">
      <c r="A3589" s="3">
        <v>3588</v>
      </c>
      <c r="B3589" s="5">
        <f>DATE(Table1[[#This Row],[Year]],Table1[[#This Row],[Month]],Table1[[#This Row],[Day]])</f>
        <v>45500</v>
      </c>
      <c r="C3589" s="3">
        <v>27</v>
      </c>
      <c r="D3589" s="3">
        <v>7</v>
      </c>
      <c r="E3589" s="3">
        <v>2024</v>
      </c>
      <c r="F3589" s="3" t="str">
        <f>"Qtr"&amp; " " &amp;CHOOSE(MONTH(Table1[[#This Row],[Date]]),1,1,1,2,2,2,3,3,3,4,4,4)</f>
        <v>Qtr 3</v>
      </c>
      <c r="G3589" s="3" t="str">
        <f>TEXT(Table1[[#This Row],[Date]],"mmmm")</f>
        <v>July</v>
      </c>
      <c r="H3589" s="3" t="s">
        <v>1079</v>
      </c>
      <c r="I3589" s="3" t="s">
        <v>39</v>
      </c>
      <c r="J3589" s="3">
        <v>7</v>
      </c>
      <c r="K3589" s="3">
        <v>33832.44</v>
      </c>
      <c r="L3589" s="3">
        <f>Table1[[#This Row],[Price Per Unit]]*Table1[[#This Row],[Units Sold]]</f>
        <v>236827.08000000002</v>
      </c>
      <c r="M3589" s="3" t="s">
        <v>487</v>
      </c>
      <c r="N3589" s="3">
        <v>23</v>
      </c>
      <c r="O3589" s="3" t="s">
        <v>20</v>
      </c>
      <c r="P3589" s="3" t="s">
        <v>16</v>
      </c>
      <c r="Q3589" s="4">
        <v>3</v>
      </c>
      <c r="R3589" s="4" t="str">
        <f>IF(Table1[[#This Row],[Customer Ratings]]&gt;=4, "Good",IF(Table1[[#This Row],[Customer Ratings]]=3, "Average","Poor"))</f>
        <v>Average</v>
      </c>
      <c r="S3589" s="3" t="s">
        <v>42</v>
      </c>
    </row>
    <row r="3590" spans="1:19" x14ac:dyDescent="0.25">
      <c r="A3590" s="3">
        <v>3589</v>
      </c>
      <c r="B3590" s="5">
        <f>DATE(Table1[[#This Row],[Year]],Table1[[#This Row],[Month]],Table1[[#This Row],[Day]])</f>
        <v>45501</v>
      </c>
      <c r="C3590" s="3">
        <v>28</v>
      </c>
      <c r="D3590" s="3">
        <v>7</v>
      </c>
      <c r="E3590" s="3">
        <v>2024</v>
      </c>
      <c r="F3590" s="3" t="str">
        <f>"Qtr"&amp; " " &amp;CHOOSE(MONTH(Table1[[#This Row],[Date]]),1,1,1,2,2,2,3,3,3,4,4,4)</f>
        <v>Qtr 3</v>
      </c>
      <c r="G3590" s="3" t="str">
        <f>TEXT(Table1[[#This Row],[Date]],"mmmm")</f>
        <v>July</v>
      </c>
      <c r="H3590" s="3" t="s">
        <v>1080</v>
      </c>
      <c r="I3590" s="3" t="s">
        <v>28</v>
      </c>
      <c r="J3590" s="3">
        <v>6</v>
      </c>
      <c r="K3590" s="3">
        <v>22730.82</v>
      </c>
      <c r="L3590" s="3">
        <f>Table1[[#This Row],[Price Per Unit]]*Table1[[#This Row],[Units Sold]]</f>
        <v>136384.91999999998</v>
      </c>
      <c r="M3590" s="3" t="s">
        <v>908</v>
      </c>
      <c r="N3590" s="3">
        <v>24</v>
      </c>
      <c r="O3590" s="3" t="s">
        <v>52</v>
      </c>
      <c r="P3590" s="3" t="s">
        <v>21</v>
      </c>
      <c r="Q3590" s="4">
        <v>4</v>
      </c>
      <c r="R3590" s="4" t="str">
        <f>IF(Table1[[#This Row],[Customer Ratings]]&gt;=4, "Good",IF(Table1[[#This Row],[Customer Ratings]]=3, "Average","Poor"))</f>
        <v>Good</v>
      </c>
      <c r="S3590" s="3" t="s">
        <v>87</v>
      </c>
    </row>
    <row r="3591" spans="1:19" x14ac:dyDescent="0.25">
      <c r="A3591" s="3">
        <v>3590</v>
      </c>
      <c r="B3591" s="5">
        <f>DATE(Table1[[#This Row],[Year]],Table1[[#This Row],[Month]],Table1[[#This Row],[Day]])</f>
        <v>45501</v>
      </c>
      <c r="C3591" s="3">
        <v>28</v>
      </c>
      <c r="D3591" s="3">
        <v>7</v>
      </c>
      <c r="E3591" s="3">
        <v>2024</v>
      </c>
      <c r="F3591" s="3" t="str">
        <f>"Qtr"&amp; " " &amp;CHOOSE(MONTH(Table1[[#This Row],[Date]]),1,1,1,2,2,2,3,3,3,4,4,4)</f>
        <v>Qtr 3</v>
      </c>
      <c r="G3591" s="3" t="str">
        <f>TEXT(Table1[[#This Row],[Date]],"mmmm")</f>
        <v>July</v>
      </c>
      <c r="H3591" s="3" t="s">
        <v>1080</v>
      </c>
      <c r="I3591" s="3" t="s">
        <v>28</v>
      </c>
      <c r="J3591" s="3">
        <v>4</v>
      </c>
      <c r="K3591" s="3">
        <v>64674.12</v>
      </c>
      <c r="L3591" s="3">
        <f>Table1[[#This Row],[Price Per Unit]]*Table1[[#This Row],[Units Sold]]</f>
        <v>258696.48</v>
      </c>
      <c r="M3591" s="3" t="s">
        <v>1035</v>
      </c>
      <c r="N3591" s="3">
        <v>26</v>
      </c>
      <c r="O3591" s="3" t="s">
        <v>65</v>
      </c>
      <c r="P3591" s="3" t="s">
        <v>21</v>
      </c>
      <c r="Q3591" s="4">
        <v>2</v>
      </c>
      <c r="R3591" s="4" t="str">
        <f>IF(Table1[[#This Row],[Customer Ratings]]&gt;=4, "Good",IF(Table1[[#This Row],[Customer Ratings]]=3, "Average","Poor"))</f>
        <v>Poor</v>
      </c>
      <c r="S3591" s="3" t="s">
        <v>38</v>
      </c>
    </row>
    <row r="3592" spans="1:19" x14ac:dyDescent="0.25">
      <c r="A3592" s="3">
        <v>3591</v>
      </c>
      <c r="B3592" s="5">
        <f>DATE(Table1[[#This Row],[Year]],Table1[[#This Row],[Month]],Table1[[#This Row],[Day]])</f>
        <v>45501</v>
      </c>
      <c r="C3592" s="3">
        <v>28</v>
      </c>
      <c r="D3592" s="3">
        <v>7</v>
      </c>
      <c r="E3592" s="3">
        <v>2024</v>
      </c>
      <c r="F3592" s="3" t="str">
        <f>"Qtr"&amp; " " &amp;CHOOSE(MONTH(Table1[[#This Row],[Date]]),1,1,1,2,2,2,3,3,3,4,4,4)</f>
        <v>Qtr 3</v>
      </c>
      <c r="G3592" s="3" t="str">
        <f>TEXT(Table1[[#This Row],[Date]],"mmmm")</f>
        <v>July</v>
      </c>
      <c r="H3592" s="3" t="s">
        <v>1080</v>
      </c>
      <c r="I3592" s="3" t="s">
        <v>33</v>
      </c>
      <c r="J3592" s="3">
        <v>1</v>
      </c>
      <c r="K3592" s="3">
        <v>65988.149999999994</v>
      </c>
      <c r="L3592" s="3">
        <f>Table1[[#This Row],[Price Per Unit]]*Table1[[#This Row],[Units Sold]]</f>
        <v>65988.149999999994</v>
      </c>
      <c r="M3592" s="3" t="s">
        <v>493</v>
      </c>
      <c r="N3592" s="3">
        <v>37</v>
      </c>
      <c r="O3592" s="3" t="s">
        <v>20</v>
      </c>
      <c r="P3592" s="3" t="s">
        <v>16</v>
      </c>
      <c r="Q3592" s="4">
        <v>4</v>
      </c>
      <c r="R3592" s="4" t="str">
        <f>IF(Table1[[#This Row],[Customer Ratings]]&gt;=4, "Good",IF(Table1[[#This Row],[Customer Ratings]]=3, "Average","Poor"))</f>
        <v>Good</v>
      </c>
      <c r="S3592" s="3" t="s">
        <v>46</v>
      </c>
    </row>
    <row r="3593" spans="1:19" x14ac:dyDescent="0.25">
      <c r="A3593" s="3">
        <v>3592</v>
      </c>
      <c r="B3593" s="5">
        <f>DATE(Table1[[#This Row],[Year]],Table1[[#This Row],[Month]],Table1[[#This Row],[Day]])</f>
        <v>45501</v>
      </c>
      <c r="C3593" s="3">
        <v>28</v>
      </c>
      <c r="D3593" s="3">
        <v>7</v>
      </c>
      <c r="E3593" s="3">
        <v>2024</v>
      </c>
      <c r="F3593" s="3" t="str">
        <f>"Qtr"&amp; " " &amp;CHOOSE(MONTH(Table1[[#This Row],[Date]]),1,1,1,2,2,2,3,3,3,4,4,4)</f>
        <v>Qtr 3</v>
      </c>
      <c r="G3593" s="3" t="str">
        <f>TEXT(Table1[[#This Row],[Date]],"mmmm")</f>
        <v>July</v>
      </c>
      <c r="H3593" s="3" t="s">
        <v>1080</v>
      </c>
      <c r="I3593" s="3" t="s">
        <v>28</v>
      </c>
      <c r="J3593" s="3">
        <v>1</v>
      </c>
      <c r="K3593" s="3">
        <v>39854.51</v>
      </c>
      <c r="L3593" s="3">
        <f>Table1[[#This Row],[Price Per Unit]]*Table1[[#This Row],[Units Sold]]</f>
        <v>39854.51</v>
      </c>
      <c r="M3593" s="3" t="s">
        <v>692</v>
      </c>
      <c r="N3593" s="3">
        <v>54</v>
      </c>
      <c r="O3593" s="3" t="s">
        <v>20</v>
      </c>
      <c r="P3593" s="3" t="s">
        <v>45</v>
      </c>
      <c r="Q3593" s="4">
        <v>2</v>
      </c>
      <c r="R3593" s="4" t="str">
        <f>IF(Table1[[#This Row],[Customer Ratings]]&gt;=4, "Good",IF(Table1[[#This Row],[Customer Ratings]]=3, "Average","Poor"))</f>
        <v>Poor</v>
      </c>
      <c r="S3593" s="3" t="s">
        <v>87</v>
      </c>
    </row>
    <row r="3594" spans="1:19" x14ac:dyDescent="0.25">
      <c r="A3594" s="3">
        <v>3593</v>
      </c>
      <c r="B3594" s="5">
        <f>DATE(Table1[[#This Row],[Year]],Table1[[#This Row],[Month]],Table1[[#This Row],[Day]])</f>
        <v>45502</v>
      </c>
      <c r="C3594" s="3">
        <v>29</v>
      </c>
      <c r="D3594" s="3">
        <v>7</v>
      </c>
      <c r="E3594" s="3">
        <v>2024</v>
      </c>
      <c r="F3594" s="3" t="str">
        <f>"Qtr"&amp; " " &amp;CHOOSE(MONTH(Table1[[#This Row],[Date]]),1,1,1,2,2,2,3,3,3,4,4,4)</f>
        <v>Qtr 3</v>
      </c>
      <c r="G3594" s="3" t="str">
        <f>TEXT(Table1[[#This Row],[Date]],"mmmm")</f>
        <v>July</v>
      </c>
      <c r="H3594" s="3" t="s">
        <v>1081</v>
      </c>
      <c r="I3594" s="3" t="s">
        <v>33</v>
      </c>
      <c r="J3594" s="3">
        <v>5</v>
      </c>
      <c r="K3594" s="3">
        <v>10389.700000000001</v>
      </c>
      <c r="L3594" s="3">
        <f>Table1[[#This Row],[Price Per Unit]]*Table1[[#This Row],[Units Sold]]</f>
        <v>51948.5</v>
      </c>
      <c r="M3594" s="3" t="s">
        <v>1021</v>
      </c>
      <c r="N3594" s="3">
        <v>28</v>
      </c>
      <c r="O3594" s="3" t="s">
        <v>102</v>
      </c>
      <c r="P3594" s="3" t="s">
        <v>16</v>
      </c>
      <c r="Q3594" s="4">
        <v>5</v>
      </c>
      <c r="R3594" s="4" t="str">
        <f>IF(Table1[[#This Row],[Customer Ratings]]&gt;=4, "Good",IF(Table1[[#This Row],[Customer Ratings]]=3, "Average","Poor"))</f>
        <v>Good</v>
      </c>
      <c r="S3594" s="3" t="s">
        <v>46</v>
      </c>
    </row>
    <row r="3595" spans="1:19" x14ac:dyDescent="0.25">
      <c r="A3595" s="3">
        <v>3594</v>
      </c>
      <c r="B3595" s="5">
        <f>DATE(Table1[[#This Row],[Year]],Table1[[#This Row],[Month]],Table1[[#This Row],[Day]])</f>
        <v>45502</v>
      </c>
      <c r="C3595" s="3">
        <v>29</v>
      </c>
      <c r="D3595" s="3">
        <v>7</v>
      </c>
      <c r="E3595" s="3">
        <v>2024</v>
      </c>
      <c r="F3595" s="3" t="str">
        <f>"Qtr"&amp; " " &amp;CHOOSE(MONTH(Table1[[#This Row],[Date]]),1,1,1,2,2,2,3,3,3,4,4,4)</f>
        <v>Qtr 3</v>
      </c>
      <c r="G3595" s="3" t="str">
        <f>TEXT(Table1[[#This Row],[Date]],"mmmm")</f>
        <v>July</v>
      </c>
      <c r="H3595" s="3" t="s">
        <v>1081</v>
      </c>
      <c r="I3595" s="3" t="s">
        <v>39</v>
      </c>
      <c r="J3595" s="3">
        <v>1</v>
      </c>
      <c r="K3595" s="3">
        <v>16586.98</v>
      </c>
      <c r="L3595" s="3">
        <f>Table1[[#This Row],[Price Per Unit]]*Table1[[#This Row],[Units Sold]]</f>
        <v>16586.98</v>
      </c>
      <c r="M3595" s="3" t="s">
        <v>821</v>
      </c>
      <c r="N3595" s="3">
        <v>19</v>
      </c>
      <c r="O3595" s="3" t="s">
        <v>98</v>
      </c>
      <c r="P3595" s="3" t="s">
        <v>21</v>
      </c>
      <c r="Q3595" s="4">
        <v>3</v>
      </c>
      <c r="R3595" s="4" t="str">
        <f>IF(Table1[[#This Row],[Customer Ratings]]&gt;=4, "Good",IF(Table1[[#This Row],[Customer Ratings]]=3, "Average","Poor"))</f>
        <v>Average</v>
      </c>
      <c r="S3595" s="3" t="s">
        <v>76</v>
      </c>
    </row>
    <row r="3596" spans="1:19" x14ac:dyDescent="0.25">
      <c r="A3596" s="3">
        <v>3595</v>
      </c>
      <c r="B3596" s="5">
        <f>DATE(Table1[[#This Row],[Year]],Table1[[#This Row],[Month]],Table1[[#This Row],[Day]])</f>
        <v>45502</v>
      </c>
      <c r="C3596" s="3">
        <v>29</v>
      </c>
      <c r="D3596" s="3">
        <v>7</v>
      </c>
      <c r="E3596" s="3">
        <v>2024</v>
      </c>
      <c r="F3596" s="3" t="str">
        <f>"Qtr"&amp; " " &amp;CHOOSE(MONTH(Table1[[#This Row],[Date]]),1,1,1,2,2,2,3,3,3,4,4,4)</f>
        <v>Qtr 3</v>
      </c>
      <c r="G3596" s="3" t="str">
        <f>TEXT(Table1[[#This Row],[Date]],"mmmm")</f>
        <v>July</v>
      </c>
      <c r="H3596" s="3" t="s">
        <v>1081</v>
      </c>
      <c r="I3596" s="3" t="s">
        <v>39</v>
      </c>
      <c r="J3596" s="3">
        <v>7</v>
      </c>
      <c r="K3596" s="3">
        <v>44381.68</v>
      </c>
      <c r="L3596" s="3">
        <f>Table1[[#This Row],[Price Per Unit]]*Table1[[#This Row],[Units Sold]]</f>
        <v>310671.76</v>
      </c>
      <c r="M3596" s="3" t="s">
        <v>131</v>
      </c>
      <c r="N3596" s="3">
        <v>39</v>
      </c>
      <c r="O3596" s="3" t="s">
        <v>20</v>
      </c>
      <c r="P3596" s="3" t="s">
        <v>31</v>
      </c>
      <c r="Q3596" s="4">
        <v>5</v>
      </c>
      <c r="R3596" s="4" t="str">
        <f>IF(Table1[[#This Row],[Customer Ratings]]&gt;=4, "Good",IF(Table1[[#This Row],[Customer Ratings]]=3, "Average","Poor"))</f>
        <v>Good</v>
      </c>
      <c r="S3596" s="3" t="s">
        <v>42</v>
      </c>
    </row>
    <row r="3597" spans="1:19" x14ac:dyDescent="0.25">
      <c r="A3597" s="3">
        <v>3596</v>
      </c>
      <c r="B3597" s="5">
        <f>DATE(Table1[[#This Row],[Year]],Table1[[#This Row],[Month]],Table1[[#This Row],[Day]])</f>
        <v>45502</v>
      </c>
      <c r="C3597" s="3">
        <v>29</v>
      </c>
      <c r="D3597" s="3">
        <v>7</v>
      </c>
      <c r="E3597" s="3">
        <v>2024</v>
      </c>
      <c r="F3597" s="3" t="str">
        <f>"Qtr"&amp; " " &amp;CHOOSE(MONTH(Table1[[#This Row],[Date]]),1,1,1,2,2,2,3,3,3,4,4,4)</f>
        <v>Qtr 3</v>
      </c>
      <c r="G3597" s="3" t="str">
        <f>TEXT(Table1[[#This Row],[Date]],"mmmm")</f>
        <v>July</v>
      </c>
      <c r="H3597" s="3" t="s">
        <v>1081</v>
      </c>
      <c r="I3597" s="3" t="s">
        <v>39</v>
      </c>
      <c r="J3597" s="3">
        <v>1</v>
      </c>
      <c r="K3597" s="3">
        <v>11426.6</v>
      </c>
      <c r="L3597" s="3">
        <f>Table1[[#This Row],[Price Per Unit]]*Table1[[#This Row],[Units Sold]]</f>
        <v>11426.6</v>
      </c>
      <c r="M3597" s="3" t="s">
        <v>881</v>
      </c>
      <c r="N3597" s="3">
        <v>53</v>
      </c>
      <c r="O3597" s="3" t="s">
        <v>81</v>
      </c>
      <c r="P3597" s="3" t="s">
        <v>16</v>
      </c>
      <c r="Q3597" s="4">
        <v>5</v>
      </c>
      <c r="R3597" s="4" t="str">
        <f>IF(Table1[[#This Row],[Customer Ratings]]&gt;=4, "Good",IF(Table1[[#This Row],[Customer Ratings]]=3, "Average","Poor"))</f>
        <v>Good</v>
      </c>
      <c r="S3597" s="3" t="s">
        <v>76</v>
      </c>
    </row>
    <row r="3598" spans="1:19" x14ac:dyDescent="0.25">
      <c r="A3598" s="3">
        <v>3597</v>
      </c>
      <c r="B3598" s="5">
        <f>DATE(Table1[[#This Row],[Year]],Table1[[#This Row],[Month]],Table1[[#This Row],[Day]])</f>
        <v>45503</v>
      </c>
      <c r="C3598" s="3">
        <v>30</v>
      </c>
      <c r="D3598" s="3">
        <v>7</v>
      </c>
      <c r="E3598" s="3">
        <v>2024</v>
      </c>
      <c r="F3598" s="3" t="str">
        <f>"Qtr"&amp; " " &amp;CHOOSE(MONTH(Table1[[#This Row],[Date]]),1,1,1,2,2,2,3,3,3,4,4,4)</f>
        <v>Qtr 3</v>
      </c>
      <c r="G3598" s="3" t="str">
        <f>TEXT(Table1[[#This Row],[Date]],"mmmm")</f>
        <v>July</v>
      </c>
      <c r="H3598" s="3" t="s">
        <v>1082</v>
      </c>
      <c r="I3598" s="3" t="s">
        <v>18</v>
      </c>
      <c r="J3598" s="3">
        <v>1</v>
      </c>
      <c r="K3598" s="3">
        <v>33814.720000000001</v>
      </c>
      <c r="L3598" s="3">
        <f>Table1[[#This Row],[Price Per Unit]]*Table1[[#This Row],[Units Sold]]</f>
        <v>33814.720000000001</v>
      </c>
      <c r="M3598" s="3" t="s">
        <v>511</v>
      </c>
      <c r="N3598" s="3">
        <v>22</v>
      </c>
      <c r="O3598" s="3" t="s">
        <v>54</v>
      </c>
      <c r="P3598" s="3" t="s">
        <v>16</v>
      </c>
      <c r="Q3598" s="4">
        <v>5</v>
      </c>
      <c r="R3598" s="4" t="str">
        <f>IF(Table1[[#This Row],[Customer Ratings]]&gt;=4, "Good",IF(Table1[[#This Row],[Customer Ratings]]=3, "Average","Poor"))</f>
        <v>Good</v>
      </c>
      <c r="S3598" s="3" t="s">
        <v>25</v>
      </c>
    </row>
    <row r="3599" spans="1:19" x14ac:dyDescent="0.25">
      <c r="A3599" s="3">
        <v>3598</v>
      </c>
      <c r="B3599" s="5">
        <f>DATE(Table1[[#This Row],[Year]],Table1[[#This Row],[Month]],Table1[[#This Row],[Day]])</f>
        <v>45503</v>
      </c>
      <c r="C3599" s="3">
        <v>30</v>
      </c>
      <c r="D3599" s="3">
        <v>7</v>
      </c>
      <c r="E3599" s="3">
        <v>2024</v>
      </c>
      <c r="F3599" s="3" t="str">
        <f>"Qtr"&amp; " " &amp;CHOOSE(MONTH(Table1[[#This Row],[Date]]),1,1,1,2,2,2,3,3,3,4,4,4)</f>
        <v>Qtr 3</v>
      </c>
      <c r="G3599" s="3" t="str">
        <f>TEXT(Table1[[#This Row],[Date]],"mmmm")</f>
        <v>July</v>
      </c>
      <c r="H3599" s="3" t="s">
        <v>1082</v>
      </c>
      <c r="I3599" s="3" t="s">
        <v>39</v>
      </c>
      <c r="J3599" s="3">
        <v>2</v>
      </c>
      <c r="K3599" s="3">
        <v>28202.2</v>
      </c>
      <c r="L3599" s="3">
        <f>Table1[[#This Row],[Price Per Unit]]*Table1[[#This Row],[Units Sold]]</f>
        <v>56404.4</v>
      </c>
      <c r="M3599" s="3" t="s">
        <v>486</v>
      </c>
      <c r="N3599" s="3">
        <v>24</v>
      </c>
      <c r="O3599" s="3" t="s">
        <v>24</v>
      </c>
      <c r="P3599" s="3" t="s">
        <v>45</v>
      </c>
      <c r="Q3599" s="4">
        <v>5</v>
      </c>
      <c r="R3599" s="4" t="str">
        <f>IF(Table1[[#This Row],[Customer Ratings]]&gt;=4, "Good",IF(Table1[[#This Row],[Customer Ratings]]=3, "Average","Poor"))</f>
        <v>Good</v>
      </c>
      <c r="S3599" s="3" t="s">
        <v>90</v>
      </c>
    </row>
    <row r="3600" spans="1:19" x14ac:dyDescent="0.25">
      <c r="A3600" s="3">
        <v>3599</v>
      </c>
      <c r="B3600" s="5">
        <f>DATE(Table1[[#This Row],[Year]],Table1[[#This Row],[Month]],Table1[[#This Row],[Day]])</f>
        <v>45503</v>
      </c>
      <c r="C3600" s="3">
        <v>30</v>
      </c>
      <c r="D3600" s="3">
        <v>7</v>
      </c>
      <c r="E3600" s="3">
        <v>2024</v>
      </c>
      <c r="F3600" s="3" t="str">
        <f>"Qtr"&amp; " " &amp;CHOOSE(MONTH(Table1[[#This Row],[Date]]),1,1,1,2,2,2,3,3,3,4,4,4)</f>
        <v>Qtr 3</v>
      </c>
      <c r="G3600" s="3" t="str">
        <f>TEXT(Table1[[#This Row],[Date]],"mmmm")</f>
        <v>July</v>
      </c>
      <c r="H3600" s="3" t="s">
        <v>1082</v>
      </c>
      <c r="I3600" s="3" t="s">
        <v>28</v>
      </c>
      <c r="J3600" s="3">
        <v>3</v>
      </c>
      <c r="K3600" s="3">
        <v>52860.9</v>
      </c>
      <c r="L3600" s="3">
        <f>Table1[[#This Row],[Price Per Unit]]*Table1[[#This Row],[Units Sold]]</f>
        <v>158582.70000000001</v>
      </c>
      <c r="M3600" s="3" t="s">
        <v>478</v>
      </c>
      <c r="N3600" s="3">
        <v>23</v>
      </c>
      <c r="O3600" s="3" t="s">
        <v>58</v>
      </c>
      <c r="P3600" s="3" t="s">
        <v>21</v>
      </c>
      <c r="Q3600" s="4">
        <v>4</v>
      </c>
      <c r="R3600" s="4" t="str">
        <f>IF(Table1[[#This Row],[Customer Ratings]]&gt;=4, "Good",IF(Table1[[#This Row],[Customer Ratings]]=3, "Average","Poor"))</f>
        <v>Good</v>
      </c>
      <c r="S3600" s="3" t="s">
        <v>32</v>
      </c>
    </row>
    <row r="3601" spans="1:19" x14ac:dyDescent="0.25">
      <c r="A3601" s="3">
        <v>3600</v>
      </c>
      <c r="B3601" s="5">
        <f>DATE(Table1[[#This Row],[Year]],Table1[[#This Row],[Month]],Table1[[#This Row],[Day]])</f>
        <v>45503</v>
      </c>
      <c r="C3601" s="3">
        <v>30</v>
      </c>
      <c r="D3601" s="3">
        <v>7</v>
      </c>
      <c r="E3601" s="3">
        <v>2024</v>
      </c>
      <c r="F3601" s="3" t="str">
        <f>"Qtr"&amp; " " &amp;CHOOSE(MONTH(Table1[[#This Row],[Date]]),1,1,1,2,2,2,3,3,3,4,4,4)</f>
        <v>Qtr 3</v>
      </c>
      <c r="G3601" s="3" t="str">
        <f>TEXT(Table1[[#This Row],[Date]],"mmmm")</f>
        <v>July</v>
      </c>
      <c r="H3601" s="3" t="s">
        <v>1082</v>
      </c>
      <c r="I3601" s="3" t="s">
        <v>13</v>
      </c>
      <c r="J3601" s="3">
        <v>1</v>
      </c>
      <c r="K3601" s="3">
        <v>13334.72</v>
      </c>
      <c r="L3601" s="3">
        <f>Table1[[#This Row],[Price Per Unit]]*Table1[[#This Row],[Units Sold]]</f>
        <v>13334.72</v>
      </c>
      <c r="M3601" s="3" t="s">
        <v>96</v>
      </c>
      <c r="N3601" s="3">
        <v>39</v>
      </c>
      <c r="O3601" s="3" t="s">
        <v>41</v>
      </c>
      <c r="P3601" s="3" t="s">
        <v>31</v>
      </c>
      <c r="Q3601" s="4">
        <v>4</v>
      </c>
      <c r="R3601" s="4" t="str">
        <f>IF(Table1[[#This Row],[Customer Ratings]]&gt;=4, "Good",IF(Table1[[#This Row],[Customer Ratings]]=3, "Average","Poor"))</f>
        <v>Good</v>
      </c>
      <c r="S3601" s="3" t="s">
        <v>72</v>
      </c>
    </row>
    <row r="3602" spans="1:19" x14ac:dyDescent="0.25">
      <c r="A3602" s="3">
        <v>3601</v>
      </c>
      <c r="B3602" s="5">
        <f>DATE(Table1[[#This Row],[Year]],Table1[[#This Row],[Month]],Table1[[#This Row],[Day]])</f>
        <v>45504</v>
      </c>
      <c r="C3602" s="3">
        <v>31</v>
      </c>
      <c r="D3602" s="3">
        <v>7</v>
      </c>
      <c r="E3602" s="3">
        <v>2024</v>
      </c>
      <c r="F3602" s="3" t="str">
        <f>"Qtr"&amp; " " &amp;CHOOSE(MONTH(Table1[[#This Row],[Date]]),1,1,1,2,2,2,3,3,3,4,4,4)</f>
        <v>Qtr 3</v>
      </c>
      <c r="G3602" s="3" t="str">
        <f>TEXT(Table1[[#This Row],[Date]],"mmmm")</f>
        <v>July</v>
      </c>
      <c r="H3602" s="3" t="s">
        <v>1083</v>
      </c>
      <c r="I3602" s="3" t="s">
        <v>33</v>
      </c>
      <c r="J3602" s="3">
        <v>9</v>
      </c>
      <c r="K3602" s="3">
        <v>39323.879999999997</v>
      </c>
      <c r="L3602" s="3">
        <f>Table1[[#This Row],[Price Per Unit]]*Table1[[#This Row],[Units Sold]]</f>
        <v>353914.92</v>
      </c>
      <c r="M3602" s="3" t="s">
        <v>47</v>
      </c>
      <c r="N3602" s="3">
        <v>27</v>
      </c>
      <c r="O3602" s="3" t="s">
        <v>20</v>
      </c>
      <c r="P3602" s="3" t="s">
        <v>16</v>
      </c>
      <c r="Q3602" s="4">
        <v>3</v>
      </c>
      <c r="R3602" s="4" t="str">
        <f>IF(Table1[[#This Row],[Customer Ratings]]&gt;=4, "Good",IF(Table1[[#This Row],[Customer Ratings]]=3, "Average","Poor"))</f>
        <v>Average</v>
      </c>
      <c r="S3602" s="3" t="s">
        <v>46</v>
      </c>
    </row>
    <row r="3603" spans="1:19" x14ac:dyDescent="0.25">
      <c r="A3603" s="3">
        <v>3602</v>
      </c>
      <c r="B3603" s="5">
        <f>DATE(Table1[[#This Row],[Year]],Table1[[#This Row],[Month]],Table1[[#This Row],[Day]])</f>
        <v>45504</v>
      </c>
      <c r="C3603" s="3">
        <v>31</v>
      </c>
      <c r="D3603" s="3">
        <v>7</v>
      </c>
      <c r="E3603" s="3">
        <v>2024</v>
      </c>
      <c r="F3603" s="3" t="str">
        <f>"Qtr"&amp; " " &amp;CHOOSE(MONTH(Table1[[#This Row],[Date]]),1,1,1,2,2,2,3,3,3,4,4,4)</f>
        <v>Qtr 3</v>
      </c>
      <c r="G3603" s="3" t="str">
        <f>TEXT(Table1[[#This Row],[Date]],"mmmm")</f>
        <v>July</v>
      </c>
      <c r="H3603" s="3" t="s">
        <v>1083</v>
      </c>
      <c r="I3603" s="3" t="s">
        <v>18</v>
      </c>
      <c r="J3603" s="3">
        <v>8</v>
      </c>
      <c r="K3603" s="3">
        <v>44746.86</v>
      </c>
      <c r="L3603" s="3">
        <f>Table1[[#This Row],[Price Per Unit]]*Table1[[#This Row],[Units Sold]]</f>
        <v>357974.88</v>
      </c>
      <c r="M3603" s="3" t="s">
        <v>353</v>
      </c>
      <c r="N3603" s="3">
        <v>57</v>
      </c>
      <c r="O3603" s="3" t="s">
        <v>52</v>
      </c>
      <c r="P3603" s="3" t="s">
        <v>16</v>
      </c>
      <c r="Q3603" s="4">
        <v>5</v>
      </c>
      <c r="R3603" s="4" t="str">
        <f>IF(Table1[[#This Row],[Customer Ratings]]&gt;=4, "Good",IF(Table1[[#This Row],[Customer Ratings]]=3, "Average","Poor"))</f>
        <v>Good</v>
      </c>
      <c r="S3603" s="3" t="s">
        <v>22</v>
      </c>
    </row>
    <row r="3604" spans="1:19" x14ac:dyDescent="0.25">
      <c r="A3604" s="3">
        <v>3603</v>
      </c>
      <c r="B3604" s="5">
        <f>DATE(Table1[[#This Row],[Year]],Table1[[#This Row],[Month]],Table1[[#This Row],[Day]])</f>
        <v>45504</v>
      </c>
      <c r="C3604" s="3">
        <v>31</v>
      </c>
      <c r="D3604" s="3">
        <v>7</v>
      </c>
      <c r="E3604" s="3">
        <v>2024</v>
      </c>
      <c r="F3604" s="3" t="str">
        <f>"Qtr"&amp; " " &amp;CHOOSE(MONTH(Table1[[#This Row],[Date]]),1,1,1,2,2,2,3,3,3,4,4,4)</f>
        <v>Qtr 3</v>
      </c>
      <c r="G3604" s="3" t="str">
        <f>TEXT(Table1[[#This Row],[Date]],"mmmm")</f>
        <v>July</v>
      </c>
      <c r="H3604" s="3" t="s">
        <v>1083</v>
      </c>
      <c r="I3604" s="3" t="s">
        <v>39</v>
      </c>
      <c r="J3604" s="3">
        <v>5</v>
      </c>
      <c r="K3604" s="3">
        <v>47037.46</v>
      </c>
      <c r="L3604" s="3">
        <f>Table1[[#This Row],[Price Per Unit]]*Table1[[#This Row],[Units Sold]]</f>
        <v>235187.3</v>
      </c>
      <c r="M3604" s="3" t="s">
        <v>266</v>
      </c>
      <c r="N3604" s="3">
        <v>37</v>
      </c>
      <c r="O3604" s="3" t="s">
        <v>20</v>
      </c>
      <c r="P3604" s="3" t="s">
        <v>16</v>
      </c>
      <c r="Q3604" s="4">
        <v>5</v>
      </c>
      <c r="R3604" s="4" t="str">
        <f>IF(Table1[[#This Row],[Customer Ratings]]&gt;=4, "Good",IF(Table1[[#This Row],[Customer Ratings]]=3, "Average","Poor"))</f>
        <v>Good</v>
      </c>
      <c r="S3604" s="3" t="s">
        <v>76</v>
      </c>
    </row>
    <row r="3605" spans="1:19" x14ac:dyDescent="0.25">
      <c r="A3605" s="3">
        <v>3604</v>
      </c>
      <c r="B3605" s="5">
        <f>DATE(Table1[[#This Row],[Year]],Table1[[#This Row],[Month]],Table1[[#This Row],[Day]])</f>
        <v>45504</v>
      </c>
      <c r="C3605" s="3">
        <v>31</v>
      </c>
      <c r="D3605" s="3">
        <v>7</v>
      </c>
      <c r="E3605" s="3">
        <v>2024</v>
      </c>
      <c r="F3605" s="3" t="str">
        <f>"Qtr"&amp; " " &amp;CHOOSE(MONTH(Table1[[#This Row],[Date]]),1,1,1,2,2,2,3,3,3,4,4,4)</f>
        <v>Qtr 3</v>
      </c>
      <c r="G3605" s="3" t="str">
        <f>TEXT(Table1[[#This Row],[Date]],"mmmm")</f>
        <v>July</v>
      </c>
      <c r="H3605" s="3" t="s">
        <v>1083</v>
      </c>
      <c r="I3605" s="3" t="s">
        <v>39</v>
      </c>
      <c r="J3605" s="3">
        <v>2</v>
      </c>
      <c r="K3605" s="3">
        <v>34309.46</v>
      </c>
      <c r="L3605" s="3">
        <f>Table1[[#This Row],[Price Per Unit]]*Table1[[#This Row],[Units Sold]]</f>
        <v>68618.92</v>
      </c>
      <c r="M3605" s="3" t="s">
        <v>811</v>
      </c>
      <c r="N3605" s="3">
        <v>45</v>
      </c>
      <c r="O3605" s="3" t="s">
        <v>24</v>
      </c>
      <c r="P3605" s="3" t="s">
        <v>31</v>
      </c>
      <c r="Q3605" s="4">
        <v>5</v>
      </c>
      <c r="R3605" s="4" t="str">
        <f>IF(Table1[[#This Row],[Customer Ratings]]&gt;=4, "Good",IF(Table1[[#This Row],[Customer Ratings]]=3, "Average","Poor"))</f>
        <v>Good</v>
      </c>
      <c r="S3605" s="3" t="s">
        <v>42</v>
      </c>
    </row>
    <row r="3606" spans="1:19" x14ac:dyDescent="0.25">
      <c r="A3606" s="3">
        <v>3605</v>
      </c>
      <c r="B3606" s="5">
        <f>DATE(Table1[[#This Row],[Year]],Table1[[#This Row],[Month]],Table1[[#This Row],[Day]])</f>
        <v>45505</v>
      </c>
      <c r="C3606" s="3">
        <v>1</v>
      </c>
      <c r="D3606" s="3">
        <v>8</v>
      </c>
      <c r="E3606" s="3">
        <v>2024</v>
      </c>
      <c r="F3606" s="3" t="str">
        <f>"Qtr"&amp; " " &amp;CHOOSE(MONTH(Table1[[#This Row],[Date]]),1,1,1,2,2,2,3,3,3,4,4,4)</f>
        <v>Qtr 3</v>
      </c>
      <c r="G3606" s="3" t="str">
        <f>TEXT(Table1[[#This Row],[Date]],"mmmm")</f>
        <v>August</v>
      </c>
      <c r="H3606" s="3" t="s">
        <v>1084</v>
      </c>
      <c r="I3606" s="3" t="s">
        <v>13</v>
      </c>
      <c r="J3606" s="3">
        <v>5</v>
      </c>
      <c r="K3606" s="3">
        <v>28262.07</v>
      </c>
      <c r="L3606" s="3">
        <f>Table1[[#This Row],[Price Per Unit]]*Table1[[#This Row],[Units Sold]]</f>
        <v>141310.35</v>
      </c>
      <c r="M3606" s="3" t="s">
        <v>891</v>
      </c>
      <c r="N3606" s="3">
        <v>40</v>
      </c>
      <c r="O3606" s="3" t="s">
        <v>20</v>
      </c>
      <c r="P3606" s="3" t="s">
        <v>16</v>
      </c>
      <c r="Q3606" s="4">
        <v>5</v>
      </c>
      <c r="R3606" s="4" t="str">
        <f>IF(Table1[[#This Row],[Customer Ratings]]&gt;=4, "Good",IF(Table1[[#This Row],[Customer Ratings]]=3, "Average","Poor"))</f>
        <v>Good</v>
      </c>
      <c r="S3606" s="3" t="s">
        <v>17</v>
      </c>
    </row>
    <row r="3607" spans="1:19" x14ac:dyDescent="0.25">
      <c r="A3607" s="3">
        <v>3606</v>
      </c>
      <c r="B3607" s="5">
        <f>DATE(Table1[[#This Row],[Year]],Table1[[#This Row],[Month]],Table1[[#This Row],[Day]])</f>
        <v>45505</v>
      </c>
      <c r="C3607" s="3">
        <v>1</v>
      </c>
      <c r="D3607" s="3">
        <v>8</v>
      </c>
      <c r="E3607" s="3">
        <v>2024</v>
      </c>
      <c r="F3607" s="3" t="str">
        <f>"Qtr"&amp; " " &amp;CHOOSE(MONTH(Table1[[#This Row],[Date]]),1,1,1,2,2,2,3,3,3,4,4,4)</f>
        <v>Qtr 3</v>
      </c>
      <c r="G3607" s="3" t="str">
        <f>TEXT(Table1[[#This Row],[Date]],"mmmm")</f>
        <v>August</v>
      </c>
      <c r="H3607" s="3" t="s">
        <v>1084</v>
      </c>
      <c r="I3607" s="3" t="s">
        <v>13</v>
      </c>
      <c r="J3607" s="3">
        <v>6</v>
      </c>
      <c r="K3607" s="3">
        <v>50949.58</v>
      </c>
      <c r="L3607" s="3">
        <f>Table1[[#This Row],[Price Per Unit]]*Table1[[#This Row],[Units Sold]]</f>
        <v>305697.48</v>
      </c>
      <c r="M3607" s="3" t="s">
        <v>34</v>
      </c>
      <c r="N3607" s="3">
        <v>52</v>
      </c>
      <c r="O3607" s="3" t="s">
        <v>78</v>
      </c>
      <c r="P3607" s="3" t="s">
        <v>16</v>
      </c>
      <c r="Q3607" s="4">
        <v>3</v>
      </c>
      <c r="R3607" s="4" t="str">
        <f>IF(Table1[[#This Row],[Customer Ratings]]&gt;=4, "Good",IF(Table1[[#This Row],[Customer Ratings]]=3, "Average","Poor"))</f>
        <v>Average</v>
      </c>
      <c r="S3607" s="3" t="s">
        <v>17</v>
      </c>
    </row>
    <row r="3608" spans="1:19" x14ac:dyDescent="0.25">
      <c r="A3608" s="3">
        <v>3607</v>
      </c>
      <c r="B3608" s="5">
        <f>DATE(Table1[[#This Row],[Year]],Table1[[#This Row],[Month]],Table1[[#This Row],[Day]])</f>
        <v>45505</v>
      </c>
      <c r="C3608" s="3">
        <v>1</v>
      </c>
      <c r="D3608" s="3">
        <v>8</v>
      </c>
      <c r="E3608" s="3">
        <v>2024</v>
      </c>
      <c r="F3608" s="3" t="str">
        <f>"Qtr"&amp; " " &amp;CHOOSE(MONTH(Table1[[#This Row],[Date]]),1,1,1,2,2,2,3,3,3,4,4,4)</f>
        <v>Qtr 3</v>
      </c>
      <c r="G3608" s="3" t="str">
        <f>TEXT(Table1[[#This Row],[Date]],"mmmm")</f>
        <v>August</v>
      </c>
      <c r="H3608" s="3" t="s">
        <v>1084</v>
      </c>
      <c r="I3608" s="3" t="s">
        <v>18</v>
      </c>
      <c r="J3608" s="3">
        <v>1</v>
      </c>
      <c r="K3608" s="3">
        <v>60854.14</v>
      </c>
      <c r="L3608" s="3">
        <f>Table1[[#This Row],[Price Per Unit]]*Table1[[#This Row],[Units Sold]]</f>
        <v>60854.14</v>
      </c>
      <c r="M3608" s="3" t="s">
        <v>784</v>
      </c>
      <c r="N3608" s="3">
        <v>18</v>
      </c>
      <c r="O3608" s="3" t="s">
        <v>24</v>
      </c>
      <c r="P3608" s="3" t="s">
        <v>31</v>
      </c>
      <c r="Q3608" s="4">
        <v>4</v>
      </c>
      <c r="R3608" s="4" t="str">
        <f>IF(Table1[[#This Row],[Customer Ratings]]&gt;=4, "Good",IF(Table1[[#This Row],[Customer Ratings]]=3, "Average","Poor"))</f>
        <v>Good</v>
      </c>
      <c r="S3608" s="3" t="s">
        <v>22</v>
      </c>
    </row>
    <row r="3609" spans="1:19" x14ac:dyDescent="0.25">
      <c r="A3609" s="3">
        <v>3608</v>
      </c>
      <c r="B3609" s="5">
        <f>DATE(Table1[[#This Row],[Year]],Table1[[#This Row],[Month]],Table1[[#This Row],[Day]])</f>
        <v>45506</v>
      </c>
      <c r="C3609" s="3">
        <v>2</v>
      </c>
      <c r="D3609" s="3">
        <v>8</v>
      </c>
      <c r="E3609" s="3">
        <v>2024</v>
      </c>
      <c r="F3609" s="3" t="str">
        <f>"Qtr"&amp; " " &amp;CHOOSE(MONTH(Table1[[#This Row],[Date]]),1,1,1,2,2,2,3,3,3,4,4,4)</f>
        <v>Qtr 3</v>
      </c>
      <c r="G3609" s="3" t="str">
        <f>TEXT(Table1[[#This Row],[Date]],"mmmm")</f>
        <v>August</v>
      </c>
      <c r="H3609" s="3" t="s">
        <v>1085</v>
      </c>
      <c r="I3609" s="3" t="s">
        <v>33</v>
      </c>
      <c r="J3609" s="3">
        <v>4</v>
      </c>
      <c r="K3609" s="3">
        <v>51617.06</v>
      </c>
      <c r="L3609" s="3">
        <f>Table1[[#This Row],[Price Per Unit]]*Table1[[#This Row],[Units Sold]]</f>
        <v>206468.24</v>
      </c>
      <c r="M3609" s="3" t="s">
        <v>278</v>
      </c>
      <c r="N3609" s="3">
        <v>46</v>
      </c>
      <c r="O3609" s="3" t="s">
        <v>137</v>
      </c>
      <c r="P3609" s="3" t="s">
        <v>16</v>
      </c>
      <c r="Q3609" s="4">
        <v>5</v>
      </c>
      <c r="R3609" s="4" t="str">
        <f>IF(Table1[[#This Row],[Customer Ratings]]&gt;=4, "Good",IF(Table1[[#This Row],[Customer Ratings]]=3, "Average","Poor"))</f>
        <v>Good</v>
      </c>
      <c r="S3609" s="3" t="s">
        <v>83</v>
      </c>
    </row>
    <row r="3610" spans="1:19" x14ac:dyDescent="0.25">
      <c r="A3610" s="3">
        <v>3609</v>
      </c>
      <c r="B3610" s="5">
        <f>DATE(Table1[[#This Row],[Year]],Table1[[#This Row],[Month]],Table1[[#This Row],[Day]])</f>
        <v>45506</v>
      </c>
      <c r="C3610" s="3">
        <v>2</v>
      </c>
      <c r="D3610" s="3">
        <v>8</v>
      </c>
      <c r="E3610" s="3">
        <v>2024</v>
      </c>
      <c r="F3610" s="3" t="str">
        <f>"Qtr"&amp; " " &amp;CHOOSE(MONTH(Table1[[#This Row],[Date]]),1,1,1,2,2,2,3,3,3,4,4,4)</f>
        <v>Qtr 3</v>
      </c>
      <c r="G3610" s="3" t="str">
        <f>TEXT(Table1[[#This Row],[Date]],"mmmm")</f>
        <v>August</v>
      </c>
      <c r="H3610" s="3" t="s">
        <v>1085</v>
      </c>
      <c r="I3610" s="3" t="s">
        <v>39</v>
      </c>
      <c r="J3610" s="3">
        <v>9</v>
      </c>
      <c r="K3610" s="3">
        <v>65926.14</v>
      </c>
      <c r="L3610" s="3">
        <f>Table1[[#This Row],[Price Per Unit]]*Table1[[#This Row],[Units Sold]]</f>
        <v>593335.26</v>
      </c>
      <c r="M3610" s="3" t="s">
        <v>225</v>
      </c>
      <c r="N3610" s="3">
        <v>26</v>
      </c>
      <c r="O3610" s="3" t="s">
        <v>81</v>
      </c>
      <c r="P3610" s="3" t="s">
        <v>31</v>
      </c>
      <c r="Q3610" s="4">
        <v>3</v>
      </c>
      <c r="R3610" s="4" t="str">
        <f>IF(Table1[[#This Row],[Customer Ratings]]&gt;=4, "Good",IF(Table1[[#This Row],[Customer Ratings]]=3, "Average","Poor"))</f>
        <v>Average</v>
      </c>
      <c r="S3610" s="3" t="s">
        <v>42</v>
      </c>
    </row>
    <row r="3611" spans="1:19" x14ac:dyDescent="0.25">
      <c r="A3611" s="3">
        <v>3610</v>
      </c>
      <c r="B3611" s="5">
        <f>DATE(Table1[[#This Row],[Year]],Table1[[#This Row],[Month]],Table1[[#This Row],[Day]])</f>
        <v>45506</v>
      </c>
      <c r="C3611" s="3">
        <v>2</v>
      </c>
      <c r="D3611" s="3">
        <v>8</v>
      </c>
      <c r="E3611" s="3">
        <v>2024</v>
      </c>
      <c r="F3611" s="3" t="str">
        <f>"Qtr"&amp; " " &amp;CHOOSE(MONTH(Table1[[#This Row],[Date]]),1,1,1,2,2,2,3,3,3,4,4,4)</f>
        <v>Qtr 3</v>
      </c>
      <c r="G3611" s="3" t="str">
        <f>TEXT(Table1[[#This Row],[Date]],"mmmm")</f>
        <v>August</v>
      </c>
      <c r="H3611" s="3" t="s">
        <v>1085</v>
      </c>
      <c r="I3611" s="3" t="s">
        <v>18</v>
      </c>
      <c r="J3611" s="3">
        <v>2</v>
      </c>
      <c r="K3611" s="3">
        <v>53035.81</v>
      </c>
      <c r="L3611" s="3">
        <f>Table1[[#This Row],[Price Per Unit]]*Table1[[#This Row],[Units Sold]]</f>
        <v>106071.62</v>
      </c>
      <c r="M3611" s="3" t="s">
        <v>963</v>
      </c>
      <c r="N3611" s="3">
        <v>26</v>
      </c>
      <c r="O3611" s="3" t="s">
        <v>24</v>
      </c>
      <c r="P3611" s="3" t="s">
        <v>45</v>
      </c>
      <c r="Q3611" s="4">
        <v>5</v>
      </c>
      <c r="R3611" s="4" t="str">
        <f>IF(Table1[[#This Row],[Customer Ratings]]&gt;=4, "Good",IF(Table1[[#This Row],[Customer Ratings]]=3, "Average","Poor"))</f>
        <v>Good</v>
      </c>
      <c r="S3611" s="3" t="s">
        <v>55</v>
      </c>
    </row>
    <row r="3612" spans="1:19" x14ac:dyDescent="0.25">
      <c r="A3612" s="3">
        <v>3611</v>
      </c>
      <c r="B3612" s="5">
        <f>DATE(Table1[[#This Row],[Year]],Table1[[#This Row],[Month]],Table1[[#This Row],[Day]])</f>
        <v>45507</v>
      </c>
      <c r="C3612" s="3">
        <v>3</v>
      </c>
      <c r="D3612" s="3">
        <v>8</v>
      </c>
      <c r="E3612" s="3">
        <v>2024</v>
      </c>
      <c r="F3612" s="3" t="str">
        <f>"Qtr"&amp; " " &amp;CHOOSE(MONTH(Table1[[#This Row],[Date]]),1,1,1,2,2,2,3,3,3,4,4,4)</f>
        <v>Qtr 3</v>
      </c>
      <c r="G3612" s="3" t="str">
        <f>TEXT(Table1[[#This Row],[Date]],"mmmm")</f>
        <v>August</v>
      </c>
      <c r="H3612" s="3" t="s">
        <v>1079</v>
      </c>
      <c r="I3612" s="3" t="s">
        <v>28</v>
      </c>
      <c r="J3612" s="3">
        <v>5</v>
      </c>
      <c r="K3612" s="3">
        <v>55877.120000000003</v>
      </c>
      <c r="L3612" s="3">
        <f>Table1[[#This Row],[Price Per Unit]]*Table1[[#This Row],[Units Sold]]</f>
        <v>279385.60000000003</v>
      </c>
      <c r="M3612" s="3" t="s">
        <v>589</v>
      </c>
      <c r="N3612" s="3">
        <v>39</v>
      </c>
      <c r="O3612" s="3" t="s">
        <v>81</v>
      </c>
      <c r="P3612" s="3" t="s">
        <v>31</v>
      </c>
      <c r="Q3612" s="4">
        <v>5</v>
      </c>
      <c r="R3612" s="4" t="str">
        <f>IF(Table1[[#This Row],[Customer Ratings]]&gt;=4, "Good",IF(Table1[[#This Row],[Customer Ratings]]=3, "Average","Poor"))</f>
        <v>Good</v>
      </c>
      <c r="S3612" s="3" t="s">
        <v>32</v>
      </c>
    </row>
    <row r="3613" spans="1:19" x14ac:dyDescent="0.25">
      <c r="A3613" s="3">
        <v>3612</v>
      </c>
      <c r="B3613" s="5">
        <f>DATE(Table1[[#This Row],[Year]],Table1[[#This Row],[Month]],Table1[[#This Row],[Day]])</f>
        <v>45507</v>
      </c>
      <c r="C3613" s="3">
        <v>3</v>
      </c>
      <c r="D3613" s="3">
        <v>8</v>
      </c>
      <c r="E3613" s="3">
        <v>2024</v>
      </c>
      <c r="F3613" s="3" t="str">
        <f>"Qtr"&amp; " " &amp;CHOOSE(MONTH(Table1[[#This Row],[Date]]),1,1,1,2,2,2,3,3,3,4,4,4)</f>
        <v>Qtr 3</v>
      </c>
      <c r="G3613" s="3" t="str">
        <f>TEXT(Table1[[#This Row],[Date]],"mmmm")</f>
        <v>August</v>
      </c>
      <c r="H3613" s="3" t="s">
        <v>1079</v>
      </c>
      <c r="I3613" s="3" t="s">
        <v>28</v>
      </c>
      <c r="J3613" s="3">
        <v>1</v>
      </c>
      <c r="K3613" s="3">
        <v>20074.189999999999</v>
      </c>
      <c r="L3613" s="3">
        <f>Table1[[#This Row],[Price Per Unit]]*Table1[[#This Row],[Units Sold]]</f>
        <v>20074.189999999999</v>
      </c>
      <c r="M3613" s="3" t="s">
        <v>806</v>
      </c>
      <c r="N3613" s="3">
        <v>19</v>
      </c>
      <c r="O3613" s="3" t="s">
        <v>24</v>
      </c>
      <c r="P3613" s="3" t="s">
        <v>45</v>
      </c>
      <c r="Q3613" s="4">
        <v>4</v>
      </c>
      <c r="R3613" s="4" t="str">
        <f>IF(Table1[[#This Row],[Customer Ratings]]&gt;=4, "Good",IF(Table1[[#This Row],[Customer Ratings]]=3, "Average","Poor"))</f>
        <v>Good</v>
      </c>
      <c r="S3613" s="3" t="s">
        <v>32</v>
      </c>
    </row>
    <row r="3614" spans="1:19" x14ac:dyDescent="0.25">
      <c r="A3614" s="3">
        <v>3613</v>
      </c>
      <c r="B3614" s="5">
        <f>DATE(Table1[[#This Row],[Year]],Table1[[#This Row],[Month]],Table1[[#This Row],[Day]])</f>
        <v>45507</v>
      </c>
      <c r="C3614" s="3">
        <v>3</v>
      </c>
      <c r="D3614" s="3">
        <v>8</v>
      </c>
      <c r="E3614" s="3">
        <v>2024</v>
      </c>
      <c r="F3614" s="3" t="str">
        <f>"Qtr"&amp; " " &amp;CHOOSE(MONTH(Table1[[#This Row],[Date]]),1,1,1,2,2,2,3,3,3,4,4,4)</f>
        <v>Qtr 3</v>
      </c>
      <c r="G3614" s="3" t="str">
        <f>TEXT(Table1[[#This Row],[Date]],"mmmm")</f>
        <v>August</v>
      </c>
      <c r="H3614" s="3" t="s">
        <v>1079</v>
      </c>
      <c r="I3614" s="3" t="s">
        <v>18</v>
      </c>
      <c r="J3614" s="3">
        <v>4</v>
      </c>
      <c r="K3614" s="3">
        <v>35172.379999999997</v>
      </c>
      <c r="L3614" s="3">
        <f>Table1[[#This Row],[Price Per Unit]]*Table1[[#This Row],[Units Sold]]</f>
        <v>140689.51999999999</v>
      </c>
      <c r="M3614" s="3" t="s">
        <v>991</v>
      </c>
      <c r="N3614" s="3">
        <v>33</v>
      </c>
      <c r="O3614" s="3" t="s">
        <v>98</v>
      </c>
      <c r="P3614" s="3" t="s">
        <v>31</v>
      </c>
      <c r="Q3614" s="4">
        <v>4</v>
      </c>
      <c r="R3614" s="4" t="str">
        <f>IF(Table1[[#This Row],[Customer Ratings]]&gt;=4, "Good",IF(Table1[[#This Row],[Customer Ratings]]=3, "Average","Poor"))</f>
        <v>Good</v>
      </c>
      <c r="S3614" s="3" t="s">
        <v>55</v>
      </c>
    </row>
    <row r="3615" spans="1:19" x14ac:dyDescent="0.25">
      <c r="A3615" s="3">
        <v>3614</v>
      </c>
      <c r="B3615" s="5">
        <f>DATE(Table1[[#This Row],[Year]],Table1[[#This Row],[Month]],Table1[[#This Row],[Day]])</f>
        <v>45508</v>
      </c>
      <c r="C3615" s="3">
        <v>4</v>
      </c>
      <c r="D3615" s="3">
        <v>8</v>
      </c>
      <c r="E3615" s="3">
        <v>2024</v>
      </c>
      <c r="F3615" s="3" t="str">
        <f>"Qtr"&amp; " " &amp;CHOOSE(MONTH(Table1[[#This Row],[Date]]),1,1,1,2,2,2,3,3,3,4,4,4)</f>
        <v>Qtr 3</v>
      </c>
      <c r="G3615" s="3" t="str">
        <f>TEXT(Table1[[#This Row],[Date]],"mmmm")</f>
        <v>August</v>
      </c>
      <c r="H3615" s="3" t="s">
        <v>1080</v>
      </c>
      <c r="I3615" s="3" t="s">
        <v>39</v>
      </c>
      <c r="J3615" s="3">
        <v>4</v>
      </c>
      <c r="K3615" s="3">
        <v>39103.32</v>
      </c>
      <c r="L3615" s="3">
        <f>Table1[[#This Row],[Price Per Unit]]*Table1[[#This Row],[Units Sold]]</f>
        <v>156413.28</v>
      </c>
      <c r="M3615" s="3" t="s">
        <v>575</v>
      </c>
      <c r="N3615" s="3">
        <v>57</v>
      </c>
      <c r="O3615" s="3" t="s">
        <v>20</v>
      </c>
      <c r="P3615" s="3" t="s">
        <v>21</v>
      </c>
      <c r="Q3615" s="4">
        <v>3</v>
      </c>
      <c r="R3615" s="4" t="str">
        <f>IF(Table1[[#This Row],[Customer Ratings]]&gt;=4, "Good",IF(Table1[[#This Row],[Customer Ratings]]=3, "Average","Poor"))</f>
        <v>Average</v>
      </c>
      <c r="S3615" s="3" t="s">
        <v>90</v>
      </c>
    </row>
    <row r="3616" spans="1:19" x14ac:dyDescent="0.25">
      <c r="A3616" s="3">
        <v>3615</v>
      </c>
      <c r="B3616" s="5">
        <f>DATE(Table1[[#This Row],[Year]],Table1[[#This Row],[Month]],Table1[[#This Row],[Day]])</f>
        <v>45508</v>
      </c>
      <c r="C3616" s="3">
        <v>4</v>
      </c>
      <c r="D3616" s="3">
        <v>8</v>
      </c>
      <c r="E3616" s="3">
        <v>2024</v>
      </c>
      <c r="F3616" s="3" t="str">
        <f>"Qtr"&amp; " " &amp;CHOOSE(MONTH(Table1[[#This Row],[Date]]),1,1,1,2,2,2,3,3,3,4,4,4)</f>
        <v>Qtr 3</v>
      </c>
      <c r="G3616" s="3" t="str">
        <f>TEXT(Table1[[#This Row],[Date]],"mmmm")</f>
        <v>August</v>
      </c>
      <c r="H3616" s="3" t="s">
        <v>1080</v>
      </c>
      <c r="I3616" s="3" t="s">
        <v>18</v>
      </c>
      <c r="J3616" s="3">
        <v>6</v>
      </c>
      <c r="K3616" s="3">
        <v>25377.59</v>
      </c>
      <c r="L3616" s="3">
        <f>Table1[[#This Row],[Price Per Unit]]*Table1[[#This Row],[Units Sold]]</f>
        <v>152265.54</v>
      </c>
      <c r="M3616" s="3" t="s">
        <v>868</v>
      </c>
      <c r="N3616" s="3">
        <v>23</v>
      </c>
      <c r="O3616" s="3" t="s">
        <v>81</v>
      </c>
      <c r="P3616" s="3" t="s">
        <v>16</v>
      </c>
      <c r="Q3616" s="4">
        <v>2</v>
      </c>
      <c r="R3616" s="4" t="str">
        <f>IF(Table1[[#This Row],[Customer Ratings]]&gt;=4, "Good",IF(Table1[[#This Row],[Customer Ratings]]=3, "Average","Poor"))</f>
        <v>Poor</v>
      </c>
      <c r="S3616" s="3" t="s">
        <v>55</v>
      </c>
    </row>
    <row r="3617" spans="1:19" x14ac:dyDescent="0.25">
      <c r="A3617" s="3">
        <v>3616</v>
      </c>
      <c r="B3617" s="5">
        <f>DATE(Table1[[#This Row],[Year]],Table1[[#This Row],[Month]],Table1[[#This Row],[Day]])</f>
        <v>45508</v>
      </c>
      <c r="C3617" s="3">
        <v>4</v>
      </c>
      <c r="D3617" s="3">
        <v>8</v>
      </c>
      <c r="E3617" s="3">
        <v>2024</v>
      </c>
      <c r="F3617" s="3" t="str">
        <f>"Qtr"&amp; " " &amp;CHOOSE(MONTH(Table1[[#This Row],[Date]]),1,1,1,2,2,2,3,3,3,4,4,4)</f>
        <v>Qtr 3</v>
      </c>
      <c r="G3617" s="3" t="str">
        <f>TEXT(Table1[[#This Row],[Date]],"mmmm")</f>
        <v>August</v>
      </c>
      <c r="H3617" s="3" t="s">
        <v>1080</v>
      </c>
      <c r="I3617" s="3" t="s">
        <v>39</v>
      </c>
      <c r="J3617" s="3">
        <v>9</v>
      </c>
      <c r="K3617" s="3">
        <v>41712.39</v>
      </c>
      <c r="L3617" s="3">
        <f>Table1[[#This Row],[Price Per Unit]]*Table1[[#This Row],[Units Sold]]</f>
        <v>375411.51</v>
      </c>
      <c r="M3617" s="3" t="s">
        <v>817</v>
      </c>
      <c r="N3617" s="3">
        <v>30</v>
      </c>
      <c r="O3617" s="3" t="s">
        <v>102</v>
      </c>
      <c r="P3617" s="3" t="s">
        <v>45</v>
      </c>
      <c r="Q3617" s="4">
        <v>3</v>
      </c>
      <c r="R3617" s="4" t="str">
        <f>IF(Table1[[#This Row],[Customer Ratings]]&gt;=4, "Good",IF(Table1[[#This Row],[Customer Ratings]]=3, "Average","Poor"))</f>
        <v>Average</v>
      </c>
      <c r="S3617" s="3" t="s">
        <v>76</v>
      </c>
    </row>
    <row r="3618" spans="1:19" x14ac:dyDescent="0.25">
      <c r="A3618" s="3">
        <v>3617</v>
      </c>
      <c r="B3618" s="5">
        <f>DATE(Table1[[#This Row],[Year]],Table1[[#This Row],[Month]],Table1[[#This Row],[Day]])</f>
        <v>45509</v>
      </c>
      <c r="C3618" s="3">
        <v>5</v>
      </c>
      <c r="D3618" s="3">
        <v>8</v>
      </c>
      <c r="E3618" s="3">
        <v>2024</v>
      </c>
      <c r="F3618" s="3" t="str">
        <f>"Qtr"&amp; " " &amp;CHOOSE(MONTH(Table1[[#This Row],[Date]]),1,1,1,2,2,2,3,3,3,4,4,4)</f>
        <v>Qtr 3</v>
      </c>
      <c r="G3618" s="3" t="str">
        <f>TEXT(Table1[[#This Row],[Date]],"mmmm")</f>
        <v>August</v>
      </c>
      <c r="H3618" s="3" t="s">
        <v>1081</v>
      </c>
      <c r="I3618" s="3" t="s">
        <v>13</v>
      </c>
      <c r="J3618" s="3">
        <v>3</v>
      </c>
      <c r="K3618" s="3">
        <v>27447.52</v>
      </c>
      <c r="L3618" s="3">
        <f>Table1[[#This Row],[Price Per Unit]]*Table1[[#This Row],[Units Sold]]</f>
        <v>82342.559999999998</v>
      </c>
      <c r="M3618" s="3" t="s">
        <v>654</v>
      </c>
      <c r="N3618" s="3">
        <v>50</v>
      </c>
      <c r="O3618" s="3" t="s">
        <v>20</v>
      </c>
      <c r="P3618" s="3" t="s">
        <v>16</v>
      </c>
      <c r="Q3618" s="4">
        <v>3</v>
      </c>
      <c r="R3618" s="4" t="str">
        <f>IF(Table1[[#This Row],[Customer Ratings]]&gt;=4, "Good",IF(Table1[[#This Row],[Customer Ratings]]=3, "Average","Poor"))</f>
        <v>Average</v>
      </c>
      <c r="S3618" s="3" t="s">
        <v>27</v>
      </c>
    </row>
    <row r="3619" spans="1:19" x14ac:dyDescent="0.25">
      <c r="A3619" s="3">
        <v>3618</v>
      </c>
      <c r="B3619" s="5">
        <f>DATE(Table1[[#This Row],[Year]],Table1[[#This Row],[Month]],Table1[[#This Row],[Day]])</f>
        <v>45509</v>
      </c>
      <c r="C3619" s="3">
        <v>5</v>
      </c>
      <c r="D3619" s="3">
        <v>8</v>
      </c>
      <c r="E3619" s="3">
        <v>2024</v>
      </c>
      <c r="F3619" s="3" t="str">
        <f>"Qtr"&amp; " " &amp;CHOOSE(MONTH(Table1[[#This Row],[Date]]),1,1,1,2,2,2,3,3,3,4,4,4)</f>
        <v>Qtr 3</v>
      </c>
      <c r="G3619" s="3" t="str">
        <f>TEXT(Table1[[#This Row],[Date]],"mmmm")</f>
        <v>August</v>
      </c>
      <c r="H3619" s="3" t="s">
        <v>1081</v>
      </c>
      <c r="I3619" s="3" t="s">
        <v>18</v>
      </c>
      <c r="J3619" s="3">
        <v>9</v>
      </c>
      <c r="K3619" s="3">
        <v>51250.13</v>
      </c>
      <c r="L3619" s="3">
        <f>Table1[[#This Row],[Price Per Unit]]*Table1[[#This Row],[Units Sold]]</f>
        <v>461251.17</v>
      </c>
      <c r="M3619" s="3" t="s">
        <v>388</v>
      </c>
      <c r="N3619" s="3">
        <v>36</v>
      </c>
      <c r="O3619" s="3" t="s">
        <v>20</v>
      </c>
      <c r="P3619" s="3" t="s">
        <v>16</v>
      </c>
      <c r="Q3619" s="4">
        <v>2</v>
      </c>
      <c r="R3619" s="4" t="str">
        <f>IF(Table1[[#This Row],[Customer Ratings]]&gt;=4, "Good",IF(Table1[[#This Row],[Customer Ratings]]=3, "Average","Poor"))</f>
        <v>Poor</v>
      </c>
      <c r="S3619" s="3" t="s">
        <v>25</v>
      </c>
    </row>
    <row r="3620" spans="1:19" x14ac:dyDescent="0.25">
      <c r="A3620" s="3">
        <v>3619</v>
      </c>
      <c r="B3620" s="5">
        <f>DATE(Table1[[#This Row],[Year]],Table1[[#This Row],[Month]],Table1[[#This Row],[Day]])</f>
        <v>45509</v>
      </c>
      <c r="C3620" s="3">
        <v>5</v>
      </c>
      <c r="D3620" s="3">
        <v>8</v>
      </c>
      <c r="E3620" s="3">
        <v>2024</v>
      </c>
      <c r="F3620" s="3" t="str">
        <f>"Qtr"&amp; " " &amp;CHOOSE(MONTH(Table1[[#This Row],[Date]]),1,1,1,2,2,2,3,3,3,4,4,4)</f>
        <v>Qtr 3</v>
      </c>
      <c r="G3620" s="3" t="str">
        <f>TEXT(Table1[[#This Row],[Date]],"mmmm")</f>
        <v>August</v>
      </c>
      <c r="H3620" s="3" t="s">
        <v>1081</v>
      </c>
      <c r="I3620" s="3" t="s">
        <v>39</v>
      </c>
      <c r="J3620" s="3">
        <v>6</v>
      </c>
      <c r="K3620" s="3">
        <v>38217.31</v>
      </c>
      <c r="L3620" s="3">
        <f>Table1[[#This Row],[Price Per Unit]]*Table1[[#This Row],[Units Sold]]</f>
        <v>229303.86</v>
      </c>
      <c r="M3620" s="3" t="s">
        <v>1006</v>
      </c>
      <c r="N3620" s="3">
        <v>32</v>
      </c>
      <c r="O3620" s="3" t="s">
        <v>78</v>
      </c>
      <c r="P3620" s="3" t="s">
        <v>31</v>
      </c>
      <c r="Q3620" s="4">
        <v>5</v>
      </c>
      <c r="R3620" s="4" t="str">
        <f>IF(Table1[[#This Row],[Customer Ratings]]&gt;=4, "Good",IF(Table1[[#This Row],[Customer Ratings]]=3, "Average","Poor"))</f>
        <v>Good</v>
      </c>
      <c r="S3620" s="3" t="s">
        <v>76</v>
      </c>
    </row>
    <row r="3621" spans="1:19" x14ac:dyDescent="0.25">
      <c r="A3621" s="3">
        <v>3620</v>
      </c>
      <c r="B3621" s="5">
        <f>DATE(Table1[[#This Row],[Year]],Table1[[#This Row],[Month]],Table1[[#This Row],[Day]])</f>
        <v>45509</v>
      </c>
      <c r="C3621" s="3">
        <v>5</v>
      </c>
      <c r="D3621" s="3">
        <v>8</v>
      </c>
      <c r="E3621" s="3">
        <v>2024</v>
      </c>
      <c r="F3621" s="3" t="str">
        <f>"Qtr"&amp; " " &amp;CHOOSE(MONTH(Table1[[#This Row],[Date]]),1,1,1,2,2,2,3,3,3,4,4,4)</f>
        <v>Qtr 3</v>
      </c>
      <c r="G3621" s="3" t="str">
        <f>TEXT(Table1[[#This Row],[Date]],"mmmm")</f>
        <v>August</v>
      </c>
      <c r="H3621" s="3" t="s">
        <v>1081</v>
      </c>
      <c r="I3621" s="3" t="s">
        <v>18</v>
      </c>
      <c r="J3621" s="3">
        <v>7</v>
      </c>
      <c r="K3621" s="3">
        <v>37528.42</v>
      </c>
      <c r="L3621" s="3">
        <f>Table1[[#This Row],[Price Per Unit]]*Table1[[#This Row],[Units Sold]]</f>
        <v>262698.94</v>
      </c>
      <c r="M3621" s="3" t="s">
        <v>573</v>
      </c>
      <c r="N3621" s="3">
        <v>50</v>
      </c>
      <c r="O3621" s="3" t="s">
        <v>120</v>
      </c>
      <c r="P3621" s="3" t="s">
        <v>21</v>
      </c>
      <c r="Q3621" s="4">
        <v>5</v>
      </c>
      <c r="R3621" s="4" t="str">
        <f>IF(Table1[[#This Row],[Customer Ratings]]&gt;=4, "Good",IF(Table1[[#This Row],[Customer Ratings]]=3, "Average","Poor"))</f>
        <v>Good</v>
      </c>
      <c r="S3621" s="3" t="s">
        <v>55</v>
      </c>
    </row>
    <row r="3622" spans="1:19" x14ac:dyDescent="0.25">
      <c r="A3622" s="3">
        <v>3621</v>
      </c>
      <c r="B3622" s="5">
        <f>DATE(Table1[[#This Row],[Year]],Table1[[#This Row],[Month]],Table1[[#This Row],[Day]])</f>
        <v>45510</v>
      </c>
      <c r="C3622" s="3">
        <v>6</v>
      </c>
      <c r="D3622" s="3">
        <v>8</v>
      </c>
      <c r="E3622" s="3">
        <v>2024</v>
      </c>
      <c r="F3622" s="3" t="str">
        <f>"Qtr"&amp; " " &amp;CHOOSE(MONTH(Table1[[#This Row],[Date]]),1,1,1,2,2,2,3,3,3,4,4,4)</f>
        <v>Qtr 3</v>
      </c>
      <c r="G3622" s="3" t="str">
        <f>TEXT(Table1[[#This Row],[Date]],"mmmm")</f>
        <v>August</v>
      </c>
      <c r="H3622" s="3" t="s">
        <v>1082</v>
      </c>
      <c r="I3622" s="3" t="s">
        <v>18</v>
      </c>
      <c r="J3622" s="3">
        <v>2</v>
      </c>
      <c r="K3622" s="3">
        <v>69018.55</v>
      </c>
      <c r="L3622" s="3">
        <f>Table1[[#This Row],[Price Per Unit]]*Table1[[#This Row],[Units Sold]]</f>
        <v>138037.1</v>
      </c>
      <c r="M3622" s="3" t="s">
        <v>261</v>
      </c>
      <c r="N3622" s="3">
        <v>27</v>
      </c>
      <c r="O3622" s="3" t="s">
        <v>20</v>
      </c>
      <c r="P3622" s="3" t="s">
        <v>31</v>
      </c>
      <c r="Q3622" s="4">
        <v>2</v>
      </c>
      <c r="R3622" s="4" t="str">
        <f>IF(Table1[[#This Row],[Customer Ratings]]&gt;=4, "Good",IF(Table1[[#This Row],[Customer Ratings]]=3, "Average","Poor"))</f>
        <v>Poor</v>
      </c>
      <c r="S3622" s="3" t="s">
        <v>25</v>
      </c>
    </row>
    <row r="3623" spans="1:19" x14ac:dyDescent="0.25">
      <c r="A3623" s="3">
        <v>3622</v>
      </c>
      <c r="B3623" s="5">
        <f>DATE(Table1[[#This Row],[Year]],Table1[[#This Row],[Month]],Table1[[#This Row],[Day]])</f>
        <v>45510</v>
      </c>
      <c r="C3623" s="3">
        <v>6</v>
      </c>
      <c r="D3623" s="3">
        <v>8</v>
      </c>
      <c r="E3623" s="3">
        <v>2024</v>
      </c>
      <c r="F3623" s="3" t="str">
        <f>"Qtr"&amp; " " &amp;CHOOSE(MONTH(Table1[[#This Row],[Date]]),1,1,1,2,2,2,3,3,3,4,4,4)</f>
        <v>Qtr 3</v>
      </c>
      <c r="G3623" s="3" t="str">
        <f>TEXT(Table1[[#This Row],[Date]],"mmmm")</f>
        <v>August</v>
      </c>
      <c r="H3623" s="3" t="s">
        <v>1082</v>
      </c>
      <c r="I3623" s="3" t="s">
        <v>39</v>
      </c>
      <c r="J3623" s="3">
        <v>6</v>
      </c>
      <c r="K3623" s="3">
        <v>33546.69</v>
      </c>
      <c r="L3623" s="3">
        <f>Table1[[#This Row],[Price Per Unit]]*Table1[[#This Row],[Units Sold]]</f>
        <v>201280.14</v>
      </c>
      <c r="M3623" s="3" t="s">
        <v>152</v>
      </c>
      <c r="N3623" s="3">
        <v>18</v>
      </c>
      <c r="O3623" s="3" t="s">
        <v>24</v>
      </c>
      <c r="P3623" s="3" t="s">
        <v>16</v>
      </c>
      <c r="Q3623" s="4">
        <v>5</v>
      </c>
      <c r="R3623" s="4" t="str">
        <f>IF(Table1[[#This Row],[Customer Ratings]]&gt;=4, "Good",IF(Table1[[#This Row],[Customer Ratings]]=3, "Average","Poor"))</f>
        <v>Good</v>
      </c>
      <c r="S3623" s="3" t="s">
        <v>76</v>
      </c>
    </row>
    <row r="3624" spans="1:19" x14ac:dyDescent="0.25">
      <c r="A3624" s="3">
        <v>3623</v>
      </c>
      <c r="B3624" s="5">
        <f>DATE(Table1[[#This Row],[Year]],Table1[[#This Row],[Month]],Table1[[#This Row],[Day]])</f>
        <v>45510</v>
      </c>
      <c r="C3624" s="3">
        <v>6</v>
      </c>
      <c r="D3624" s="3">
        <v>8</v>
      </c>
      <c r="E3624" s="3">
        <v>2024</v>
      </c>
      <c r="F3624" s="3" t="str">
        <f>"Qtr"&amp; " " &amp;CHOOSE(MONTH(Table1[[#This Row],[Date]]),1,1,1,2,2,2,3,3,3,4,4,4)</f>
        <v>Qtr 3</v>
      </c>
      <c r="G3624" s="3" t="str">
        <f>TEXT(Table1[[#This Row],[Date]],"mmmm")</f>
        <v>August</v>
      </c>
      <c r="H3624" s="3" t="s">
        <v>1082</v>
      </c>
      <c r="I3624" s="3" t="s">
        <v>39</v>
      </c>
      <c r="J3624" s="3">
        <v>6</v>
      </c>
      <c r="K3624" s="3">
        <v>31737.73</v>
      </c>
      <c r="L3624" s="3">
        <f>Table1[[#This Row],[Price Per Unit]]*Table1[[#This Row],[Units Sold]]</f>
        <v>190426.38</v>
      </c>
      <c r="M3624" s="3" t="s">
        <v>1029</v>
      </c>
      <c r="N3624" s="3">
        <v>29</v>
      </c>
      <c r="O3624" s="3" t="s">
        <v>20</v>
      </c>
      <c r="P3624" s="3" t="s">
        <v>31</v>
      </c>
      <c r="Q3624" s="4">
        <v>5</v>
      </c>
      <c r="R3624" s="4" t="str">
        <f>IF(Table1[[#This Row],[Customer Ratings]]&gt;=4, "Good",IF(Table1[[#This Row],[Customer Ratings]]=3, "Average","Poor"))</f>
        <v>Good</v>
      </c>
      <c r="S3624" s="3" t="s">
        <v>76</v>
      </c>
    </row>
    <row r="3625" spans="1:19" x14ac:dyDescent="0.25">
      <c r="A3625" s="3">
        <v>3624</v>
      </c>
      <c r="B3625" s="5">
        <f>DATE(Table1[[#This Row],[Year]],Table1[[#This Row],[Month]],Table1[[#This Row],[Day]])</f>
        <v>45511</v>
      </c>
      <c r="C3625" s="3">
        <v>7</v>
      </c>
      <c r="D3625" s="3">
        <v>8</v>
      </c>
      <c r="E3625" s="3">
        <v>2024</v>
      </c>
      <c r="F3625" s="3" t="str">
        <f>"Qtr"&amp; " " &amp;CHOOSE(MONTH(Table1[[#This Row],[Date]]),1,1,1,2,2,2,3,3,3,4,4,4)</f>
        <v>Qtr 3</v>
      </c>
      <c r="G3625" s="3" t="str">
        <f>TEXT(Table1[[#This Row],[Date]],"mmmm")</f>
        <v>August</v>
      </c>
      <c r="H3625" s="3" t="s">
        <v>1083</v>
      </c>
      <c r="I3625" s="3" t="s">
        <v>33</v>
      </c>
      <c r="J3625" s="3">
        <v>2</v>
      </c>
      <c r="K3625" s="3">
        <v>29116.26</v>
      </c>
      <c r="L3625" s="3">
        <f>Table1[[#This Row],[Price Per Unit]]*Table1[[#This Row],[Units Sold]]</f>
        <v>58232.52</v>
      </c>
      <c r="M3625" s="3" t="s">
        <v>373</v>
      </c>
      <c r="N3625" s="3">
        <v>46</v>
      </c>
      <c r="O3625" s="3" t="s">
        <v>24</v>
      </c>
      <c r="P3625" s="3" t="s">
        <v>45</v>
      </c>
      <c r="Q3625" s="4">
        <v>2</v>
      </c>
      <c r="R3625" s="4" t="str">
        <f>IF(Table1[[#This Row],[Customer Ratings]]&gt;=4, "Good",IF(Table1[[#This Row],[Customer Ratings]]=3, "Average","Poor"))</f>
        <v>Poor</v>
      </c>
      <c r="S3625" s="3" t="s">
        <v>83</v>
      </c>
    </row>
    <row r="3626" spans="1:19" x14ac:dyDescent="0.25">
      <c r="A3626" s="3">
        <v>3625</v>
      </c>
      <c r="B3626" s="5">
        <f>DATE(Table1[[#This Row],[Year]],Table1[[#This Row],[Month]],Table1[[#This Row],[Day]])</f>
        <v>45511</v>
      </c>
      <c r="C3626" s="3">
        <v>7</v>
      </c>
      <c r="D3626" s="3">
        <v>8</v>
      </c>
      <c r="E3626" s="3">
        <v>2024</v>
      </c>
      <c r="F3626" s="3" t="str">
        <f>"Qtr"&amp; " " &amp;CHOOSE(MONTH(Table1[[#This Row],[Date]]),1,1,1,2,2,2,3,3,3,4,4,4)</f>
        <v>Qtr 3</v>
      </c>
      <c r="G3626" s="3" t="str">
        <f>TEXT(Table1[[#This Row],[Date]],"mmmm")</f>
        <v>August</v>
      </c>
      <c r="H3626" s="3" t="s">
        <v>1083</v>
      </c>
      <c r="I3626" s="3" t="s">
        <v>18</v>
      </c>
      <c r="J3626" s="3">
        <v>2</v>
      </c>
      <c r="K3626" s="3">
        <v>63684.95</v>
      </c>
      <c r="L3626" s="3">
        <f>Table1[[#This Row],[Price Per Unit]]*Table1[[#This Row],[Units Sold]]</f>
        <v>127369.9</v>
      </c>
      <c r="M3626" s="3" t="s">
        <v>867</v>
      </c>
      <c r="N3626" s="3">
        <v>34</v>
      </c>
      <c r="O3626" s="3" t="s">
        <v>78</v>
      </c>
      <c r="P3626" s="3" t="s">
        <v>21</v>
      </c>
      <c r="Q3626" s="4">
        <v>4</v>
      </c>
      <c r="R3626" s="4" t="str">
        <f>IF(Table1[[#This Row],[Customer Ratings]]&gt;=4, "Good",IF(Table1[[#This Row],[Customer Ratings]]=3, "Average","Poor"))</f>
        <v>Good</v>
      </c>
      <c r="S3626" s="3" t="s">
        <v>55</v>
      </c>
    </row>
    <row r="3627" spans="1:19" x14ac:dyDescent="0.25">
      <c r="A3627" s="3">
        <v>3626</v>
      </c>
      <c r="B3627" s="5">
        <f>DATE(Table1[[#This Row],[Year]],Table1[[#This Row],[Month]],Table1[[#This Row],[Day]])</f>
        <v>45511</v>
      </c>
      <c r="C3627" s="3">
        <v>7</v>
      </c>
      <c r="D3627" s="3">
        <v>8</v>
      </c>
      <c r="E3627" s="3">
        <v>2024</v>
      </c>
      <c r="F3627" s="3" t="str">
        <f>"Qtr"&amp; " " &amp;CHOOSE(MONTH(Table1[[#This Row],[Date]]),1,1,1,2,2,2,3,3,3,4,4,4)</f>
        <v>Qtr 3</v>
      </c>
      <c r="G3627" s="3" t="str">
        <f>TEXT(Table1[[#This Row],[Date]],"mmmm")</f>
        <v>August</v>
      </c>
      <c r="H3627" s="3" t="s">
        <v>1083</v>
      </c>
      <c r="I3627" s="3" t="s">
        <v>28</v>
      </c>
      <c r="J3627" s="3">
        <v>2</v>
      </c>
      <c r="K3627" s="3">
        <v>39803.43</v>
      </c>
      <c r="L3627" s="3">
        <f>Table1[[#This Row],[Price Per Unit]]*Table1[[#This Row],[Units Sold]]</f>
        <v>79606.86</v>
      </c>
      <c r="M3627" s="3" t="s">
        <v>781</v>
      </c>
      <c r="N3627" s="3">
        <v>21</v>
      </c>
      <c r="O3627" s="3" t="s">
        <v>52</v>
      </c>
      <c r="P3627" s="3" t="s">
        <v>16</v>
      </c>
      <c r="Q3627" s="4">
        <v>3</v>
      </c>
      <c r="R3627" s="4" t="str">
        <f>IF(Table1[[#This Row],[Customer Ratings]]&gt;=4, "Good",IF(Table1[[#This Row],[Customer Ratings]]=3, "Average","Poor"))</f>
        <v>Average</v>
      </c>
      <c r="S3627" s="3" t="s">
        <v>32</v>
      </c>
    </row>
    <row r="3628" spans="1:19" x14ac:dyDescent="0.25">
      <c r="A3628" s="3">
        <v>3627</v>
      </c>
      <c r="B3628" s="5">
        <f>DATE(Table1[[#This Row],[Year]],Table1[[#This Row],[Month]],Table1[[#This Row],[Day]])</f>
        <v>45511</v>
      </c>
      <c r="C3628" s="3">
        <v>7</v>
      </c>
      <c r="D3628" s="3">
        <v>8</v>
      </c>
      <c r="E3628" s="3">
        <v>2024</v>
      </c>
      <c r="F3628" s="3" t="str">
        <f>"Qtr"&amp; " " &amp;CHOOSE(MONTH(Table1[[#This Row],[Date]]),1,1,1,2,2,2,3,3,3,4,4,4)</f>
        <v>Qtr 3</v>
      </c>
      <c r="G3628" s="3" t="str">
        <f>TEXT(Table1[[#This Row],[Date]],"mmmm")</f>
        <v>August</v>
      </c>
      <c r="H3628" s="3" t="s">
        <v>1083</v>
      </c>
      <c r="I3628" s="3" t="s">
        <v>18</v>
      </c>
      <c r="J3628" s="3">
        <v>1</v>
      </c>
      <c r="K3628" s="3">
        <v>46000.87</v>
      </c>
      <c r="L3628" s="3">
        <f>Table1[[#This Row],[Price Per Unit]]*Table1[[#This Row],[Units Sold]]</f>
        <v>46000.87</v>
      </c>
      <c r="M3628" s="3" t="s">
        <v>190</v>
      </c>
      <c r="N3628" s="3">
        <v>46</v>
      </c>
      <c r="O3628" s="3" t="s">
        <v>137</v>
      </c>
      <c r="P3628" s="3" t="s">
        <v>31</v>
      </c>
      <c r="Q3628" s="4">
        <v>2</v>
      </c>
      <c r="R3628" s="4" t="str">
        <f>IF(Table1[[#This Row],[Customer Ratings]]&gt;=4, "Good",IF(Table1[[#This Row],[Customer Ratings]]=3, "Average","Poor"))</f>
        <v>Poor</v>
      </c>
      <c r="S3628" s="3" t="s">
        <v>22</v>
      </c>
    </row>
    <row r="3629" spans="1:19" x14ac:dyDescent="0.25">
      <c r="A3629" s="3">
        <v>3628</v>
      </c>
      <c r="B3629" s="5">
        <f>DATE(Table1[[#This Row],[Year]],Table1[[#This Row],[Month]],Table1[[#This Row],[Day]])</f>
        <v>45512</v>
      </c>
      <c r="C3629" s="3">
        <v>8</v>
      </c>
      <c r="D3629" s="3">
        <v>8</v>
      </c>
      <c r="E3629" s="3">
        <v>2024</v>
      </c>
      <c r="F3629" s="3" t="str">
        <f>"Qtr"&amp; " " &amp;CHOOSE(MONTH(Table1[[#This Row],[Date]]),1,1,1,2,2,2,3,3,3,4,4,4)</f>
        <v>Qtr 3</v>
      </c>
      <c r="G3629" s="3" t="str">
        <f>TEXT(Table1[[#This Row],[Date]],"mmmm")</f>
        <v>August</v>
      </c>
      <c r="H3629" s="3" t="s">
        <v>1084</v>
      </c>
      <c r="I3629" s="3" t="s">
        <v>18</v>
      </c>
      <c r="J3629" s="3">
        <v>5</v>
      </c>
      <c r="K3629" s="3">
        <v>20849.11</v>
      </c>
      <c r="L3629" s="3">
        <f>Table1[[#This Row],[Price Per Unit]]*Table1[[#This Row],[Units Sold]]</f>
        <v>104245.55</v>
      </c>
      <c r="M3629" s="3" t="s">
        <v>885</v>
      </c>
      <c r="N3629" s="3">
        <v>24</v>
      </c>
      <c r="O3629" s="3" t="s">
        <v>35</v>
      </c>
      <c r="P3629" s="3" t="s">
        <v>45</v>
      </c>
      <c r="Q3629" s="4">
        <v>2</v>
      </c>
      <c r="R3629" s="4" t="str">
        <f>IF(Table1[[#This Row],[Customer Ratings]]&gt;=4, "Good",IF(Table1[[#This Row],[Customer Ratings]]=3, "Average","Poor"))</f>
        <v>Poor</v>
      </c>
      <c r="S3629" s="3" t="s">
        <v>55</v>
      </c>
    </row>
    <row r="3630" spans="1:19" x14ac:dyDescent="0.25">
      <c r="A3630" s="3">
        <v>3629</v>
      </c>
      <c r="B3630" s="5">
        <f>DATE(Table1[[#This Row],[Year]],Table1[[#This Row],[Month]],Table1[[#This Row],[Day]])</f>
        <v>45512</v>
      </c>
      <c r="C3630" s="3">
        <v>8</v>
      </c>
      <c r="D3630" s="3">
        <v>8</v>
      </c>
      <c r="E3630" s="3">
        <v>2024</v>
      </c>
      <c r="F3630" s="3" t="str">
        <f>"Qtr"&amp; " " &amp;CHOOSE(MONTH(Table1[[#This Row],[Date]]),1,1,1,2,2,2,3,3,3,4,4,4)</f>
        <v>Qtr 3</v>
      </c>
      <c r="G3630" s="3" t="str">
        <f>TEXT(Table1[[#This Row],[Date]],"mmmm")</f>
        <v>August</v>
      </c>
      <c r="H3630" s="3" t="s">
        <v>1084</v>
      </c>
      <c r="I3630" s="3" t="s">
        <v>39</v>
      </c>
      <c r="J3630" s="3">
        <v>8</v>
      </c>
      <c r="K3630" s="3">
        <v>42456.54</v>
      </c>
      <c r="L3630" s="3">
        <f>Table1[[#This Row],[Price Per Unit]]*Table1[[#This Row],[Units Sold]]</f>
        <v>339652.32</v>
      </c>
      <c r="M3630" s="3" t="s">
        <v>735</v>
      </c>
      <c r="N3630" s="3">
        <v>30</v>
      </c>
      <c r="O3630" s="3" t="s">
        <v>24</v>
      </c>
      <c r="P3630" s="3" t="s">
        <v>21</v>
      </c>
      <c r="Q3630" s="4">
        <v>5</v>
      </c>
      <c r="R3630" s="4" t="str">
        <f>IF(Table1[[#This Row],[Customer Ratings]]&gt;=4, "Good",IF(Table1[[#This Row],[Customer Ratings]]=3, "Average","Poor"))</f>
        <v>Good</v>
      </c>
      <c r="S3630" s="3" t="s">
        <v>42</v>
      </c>
    </row>
    <row r="3631" spans="1:19" x14ac:dyDescent="0.25">
      <c r="A3631" s="3">
        <v>3630</v>
      </c>
      <c r="B3631" s="5">
        <f>DATE(Table1[[#This Row],[Year]],Table1[[#This Row],[Month]],Table1[[#This Row],[Day]])</f>
        <v>45512</v>
      </c>
      <c r="C3631" s="3">
        <v>8</v>
      </c>
      <c r="D3631" s="3">
        <v>8</v>
      </c>
      <c r="E3631" s="3">
        <v>2024</v>
      </c>
      <c r="F3631" s="3" t="str">
        <f>"Qtr"&amp; " " &amp;CHOOSE(MONTH(Table1[[#This Row],[Date]]),1,1,1,2,2,2,3,3,3,4,4,4)</f>
        <v>Qtr 3</v>
      </c>
      <c r="G3631" s="3" t="str">
        <f>TEXT(Table1[[#This Row],[Date]],"mmmm")</f>
        <v>August</v>
      </c>
      <c r="H3631" s="3" t="s">
        <v>1084</v>
      </c>
      <c r="I3631" s="3" t="s">
        <v>18</v>
      </c>
      <c r="J3631" s="3">
        <v>2</v>
      </c>
      <c r="K3631" s="3">
        <v>26478.89</v>
      </c>
      <c r="L3631" s="3">
        <f>Table1[[#This Row],[Price Per Unit]]*Table1[[#This Row],[Units Sold]]</f>
        <v>52957.78</v>
      </c>
      <c r="M3631" s="3" t="s">
        <v>276</v>
      </c>
      <c r="N3631" s="3">
        <v>22</v>
      </c>
      <c r="O3631" s="3" t="s">
        <v>15</v>
      </c>
      <c r="P3631" s="3" t="s">
        <v>31</v>
      </c>
      <c r="Q3631" s="4">
        <v>4</v>
      </c>
      <c r="R3631" s="4" t="str">
        <f>IF(Table1[[#This Row],[Customer Ratings]]&gt;=4, "Good",IF(Table1[[#This Row],[Customer Ratings]]=3, "Average","Poor"))</f>
        <v>Good</v>
      </c>
      <c r="S3631" s="3" t="s">
        <v>25</v>
      </c>
    </row>
    <row r="3632" spans="1:19" x14ac:dyDescent="0.25">
      <c r="A3632" s="3">
        <v>3631</v>
      </c>
      <c r="B3632" s="5">
        <f>DATE(Table1[[#This Row],[Year]],Table1[[#This Row],[Month]],Table1[[#This Row],[Day]])</f>
        <v>45513</v>
      </c>
      <c r="C3632" s="3">
        <v>9</v>
      </c>
      <c r="D3632" s="3">
        <v>8</v>
      </c>
      <c r="E3632" s="3">
        <v>2024</v>
      </c>
      <c r="F3632" s="3" t="str">
        <f>"Qtr"&amp; " " &amp;CHOOSE(MONTH(Table1[[#This Row],[Date]]),1,1,1,2,2,2,3,3,3,4,4,4)</f>
        <v>Qtr 3</v>
      </c>
      <c r="G3632" s="3" t="str">
        <f>TEXT(Table1[[#This Row],[Date]],"mmmm")</f>
        <v>August</v>
      </c>
      <c r="H3632" s="3" t="s">
        <v>1085</v>
      </c>
      <c r="I3632" s="3" t="s">
        <v>18</v>
      </c>
      <c r="J3632" s="3">
        <v>5</v>
      </c>
      <c r="K3632" s="3">
        <v>53838.22</v>
      </c>
      <c r="L3632" s="3">
        <f>Table1[[#This Row],[Price Per Unit]]*Table1[[#This Row],[Units Sold]]</f>
        <v>269191.09999999998</v>
      </c>
      <c r="M3632" s="3" t="s">
        <v>155</v>
      </c>
      <c r="N3632" s="3">
        <v>23</v>
      </c>
      <c r="O3632" s="3" t="s">
        <v>20</v>
      </c>
      <c r="P3632" s="3" t="s">
        <v>31</v>
      </c>
      <c r="Q3632" s="4">
        <v>2</v>
      </c>
      <c r="R3632" s="4" t="str">
        <f>IF(Table1[[#This Row],[Customer Ratings]]&gt;=4, "Good",IF(Table1[[#This Row],[Customer Ratings]]=3, "Average","Poor"))</f>
        <v>Poor</v>
      </c>
      <c r="S3632" s="3" t="s">
        <v>55</v>
      </c>
    </row>
    <row r="3633" spans="1:19" x14ac:dyDescent="0.25">
      <c r="A3633" s="3">
        <v>3632</v>
      </c>
      <c r="B3633" s="5">
        <f>DATE(Table1[[#This Row],[Year]],Table1[[#This Row],[Month]],Table1[[#This Row],[Day]])</f>
        <v>45513</v>
      </c>
      <c r="C3633" s="3">
        <v>9</v>
      </c>
      <c r="D3633" s="3">
        <v>8</v>
      </c>
      <c r="E3633" s="3">
        <v>2024</v>
      </c>
      <c r="F3633" s="3" t="str">
        <f>"Qtr"&amp; " " &amp;CHOOSE(MONTH(Table1[[#This Row],[Date]]),1,1,1,2,2,2,3,3,3,4,4,4)</f>
        <v>Qtr 3</v>
      </c>
      <c r="G3633" s="3" t="str">
        <f>TEXT(Table1[[#This Row],[Date]],"mmmm")</f>
        <v>August</v>
      </c>
      <c r="H3633" s="3" t="s">
        <v>1085</v>
      </c>
      <c r="I3633" s="3" t="s">
        <v>28</v>
      </c>
      <c r="J3633" s="3">
        <v>8</v>
      </c>
      <c r="K3633" s="3">
        <v>59951.7</v>
      </c>
      <c r="L3633" s="3">
        <f>Table1[[#This Row],[Price Per Unit]]*Table1[[#This Row],[Units Sold]]</f>
        <v>479613.6</v>
      </c>
      <c r="M3633" s="3" t="s">
        <v>708</v>
      </c>
      <c r="N3633" s="3">
        <v>51</v>
      </c>
      <c r="O3633" s="3" t="s">
        <v>48</v>
      </c>
      <c r="P3633" s="3" t="s">
        <v>16</v>
      </c>
      <c r="Q3633" s="4">
        <v>4</v>
      </c>
      <c r="R3633" s="4" t="str">
        <f>IF(Table1[[#This Row],[Customer Ratings]]&gt;=4, "Good",IF(Table1[[#This Row],[Customer Ratings]]=3, "Average","Poor"))</f>
        <v>Good</v>
      </c>
      <c r="S3633" s="3" t="s">
        <v>38</v>
      </c>
    </row>
    <row r="3634" spans="1:19" x14ac:dyDescent="0.25">
      <c r="A3634" s="3">
        <v>3633</v>
      </c>
      <c r="B3634" s="5">
        <f>DATE(Table1[[#This Row],[Year]],Table1[[#This Row],[Month]],Table1[[#This Row],[Day]])</f>
        <v>45513</v>
      </c>
      <c r="C3634" s="3">
        <v>9</v>
      </c>
      <c r="D3634" s="3">
        <v>8</v>
      </c>
      <c r="E3634" s="3">
        <v>2024</v>
      </c>
      <c r="F3634" s="3" t="str">
        <f>"Qtr"&amp; " " &amp;CHOOSE(MONTH(Table1[[#This Row],[Date]]),1,1,1,2,2,2,3,3,3,4,4,4)</f>
        <v>Qtr 3</v>
      </c>
      <c r="G3634" s="3" t="str">
        <f>TEXT(Table1[[#This Row],[Date]],"mmmm")</f>
        <v>August</v>
      </c>
      <c r="H3634" s="3" t="s">
        <v>1085</v>
      </c>
      <c r="I3634" s="3" t="s">
        <v>39</v>
      </c>
      <c r="J3634" s="3">
        <v>5</v>
      </c>
      <c r="K3634" s="3">
        <v>52888.639999999999</v>
      </c>
      <c r="L3634" s="3">
        <f>Table1[[#This Row],[Price Per Unit]]*Table1[[#This Row],[Units Sold]]</f>
        <v>264443.2</v>
      </c>
      <c r="M3634" s="3" t="s">
        <v>955</v>
      </c>
      <c r="N3634" s="3">
        <v>24</v>
      </c>
      <c r="O3634" s="3" t="s">
        <v>48</v>
      </c>
      <c r="P3634" s="3" t="s">
        <v>45</v>
      </c>
      <c r="Q3634" s="4">
        <v>5</v>
      </c>
      <c r="R3634" s="4" t="str">
        <f>IF(Table1[[#This Row],[Customer Ratings]]&gt;=4, "Good",IF(Table1[[#This Row],[Customer Ratings]]=3, "Average","Poor"))</f>
        <v>Good</v>
      </c>
      <c r="S3634" s="3" t="s">
        <v>42</v>
      </c>
    </row>
    <row r="3635" spans="1:19" x14ac:dyDescent="0.25">
      <c r="A3635" s="3">
        <v>3634</v>
      </c>
      <c r="B3635" s="5">
        <f>DATE(Table1[[#This Row],[Year]],Table1[[#This Row],[Month]],Table1[[#This Row],[Day]])</f>
        <v>45513</v>
      </c>
      <c r="C3635" s="3">
        <v>9</v>
      </c>
      <c r="D3635" s="3">
        <v>8</v>
      </c>
      <c r="E3635" s="3">
        <v>2024</v>
      </c>
      <c r="F3635" s="3" t="str">
        <f>"Qtr"&amp; " " &amp;CHOOSE(MONTH(Table1[[#This Row],[Date]]),1,1,1,2,2,2,3,3,3,4,4,4)</f>
        <v>Qtr 3</v>
      </c>
      <c r="G3635" s="3" t="str">
        <f>TEXT(Table1[[#This Row],[Date]],"mmmm")</f>
        <v>August</v>
      </c>
      <c r="H3635" s="3" t="s">
        <v>1085</v>
      </c>
      <c r="I3635" s="3" t="s">
        <v>18</v>
      </c>
      <c r="J3635" s="3">
        <v>2</v>
      </c>
      <c r="K3635" s="3">
        <v>53814.65</v>
      </c>
      <c r="L3635" s="3">
        <f>Table1[[#This Row],[Price Per Unit]]*Table1[[#This Row],[Units Sold]]</f>
        <v>107629.3</v>
      </c>
      <c r="M3635" s="3" t="s">
        <v>477</v>
      </c>
      <c r="N3635" s="3">
        <v>45</v>
      </c>
      <c r="O3635" s="3" t="s">
        <v>65</v>
      </c>
      <c r="P3635" s="3" t="s">
        <v>21</v>
      </c>
      <c r="Q3635" s="4">
        <v>2</v>
      </c>
      <c r="R3635" s="4" t="str">
        <f>IF(Table1[[#This Row],[Customer Ratings]]&gt;=4, "Good",IF(Table1[[#This Row],[Customer Ratings]]=3, "Average","Poor"))</f>
        <v>Poor</v>
      </c>
      <c r="S3635" s="3" t="s">
        <v>55</v>
      </c>
    </row>
    <row r="3636" spans="1:19" x14ac:dyDescent="0.25">
      <c r="A3636" s="3">
        <v>3635</v>
      </c>
      <c r="B3636" s="5">
        <f>DATE(Table1[[#This Row],[Year]],Table1[[#This Row],[Month]],Table1[[#This Row],[Day]])</f>
        <v>45514</v>
      </c>
      <c r="C3636" s="3">
        <v>10</v>
      </c>
      <c r="D3636" s="3">
        <v>8</v>
      </c>
      <c r="E3636" s="3">
        <v>2024</v>
      </c>
      <c r="F3636" s="3" t="str">
        <f>"Qtr"&amp; " " &amp;CHOOSE(MONTH(Table1[[#This Row],[Date]]),1,1,1,2,2,2,3,3,3,4,4,4)</f>
        <v>Qtr 3</v>
      </c>
      <c r="G3636" s="3" t="str">
        <f>TEXT(Table1[[#This Row],[Date]],"mmmm")</f>
        <v>August</v>
      </c>
      <c r="H3636" s="3" t="s">
        <v>1079</v>
      </c>
      <c r="I3636" s="3" t="s">
        <v>13</v>
      </c>
      <c r="J3636" s="3">
        <v>3</v>
      </c>
      <c r="K3636" s="3">
        <v>40748.480000000003</v>
      </c>
      <c r="L3636" s="3">
        <f>Table1[[#This Row],[Price Per Unit]]*Table1[[#This Row],[Units Sold]]</f>
        <v>122245.44</v>
      </c>
      <c r="M3636" s="3" t="s">
        <v>622</v>
      </c>
      <c r="N3636" s="3">
        <v>27</v>
      </c>
      <c r="O3636" s="3" t="s">
        <v>78</v>
      </c>
      <c r="P3636" s="3" t="s">
        <v>31</v>
      </c>
      <c r="Q3636" s="4">
        <v>4</v>
      </c>
      <c r="R3636" s="4" t="str">
        <f>IF(Table1[[#This Row],[Customer Ratings]]&gt;=4, "Good",IF(Table1[[#This Row],[Customer Ratings]]=3, "Average","Poor"))</f>
        <v>Good</v>
      </c>
      <c r="S3636" s="3" t="s">
        <v>17</v>
      </c>
    </row>
    <row r="3637" spans="1:19" x14ac:dyDescent="0.25">
      <c r="A3637" s="3">
        <v>3636</v>
      </c>
      <c r="B3637" s="5">
        <f>DATE(Table1[[#This Row],[Year]],Table1[[#This Row],[Month]],Table1[[#This Row],[Day]])</f>
        <v>45514</v>
      </c>
      <c r="C3637" s="3">
        <v>10</v>
      </c>
      <c r="D3637" s="3">
        <v>8</v>
      </c>
      <c r="E3637" s="3">
        <v>2024</v>
      </c>
      <c r="F3637" s="3" t="str">
        <f>"Qtr"&amp; " " &amp;CHOOSE(MONTH(Table1[[#This Row],[Date]]),1,1,1,2,2,2,3,3,3,4,4,4)</f>
        <v>Qtr 3</v>
      </c>
      <c r="G3637" s="3" t="str">
        <f>TEXT(Table1[[#This Row],[Date]],"mmmm")</f>
        <v>August</v>
      </c>
      <c r="H3637" s="3" t="s">
        <v>1079</v>
      </c>
      <c r="I3637" s="3" t="s">
        <v>33</v>
      </c>
      <c r="J3637" s="3">
        <v>6</v>
      </c>
      <c r="K3637" s="3">
        <v>52727.08</v>
      </c>
      <c r="L3637" s="3">
        <f>Table1[[#This Row],[Price Per Unit]]*Table1[[#This Row],[Units Sold]]</f>
        <v>316362.48</v>
      </c>
      <c r="M3637" s="3" t="s">
        <v>848</v>
      </c>
      <c r="N3637" s="3">
        <v>21</v>
      </c>
      <c r="O3637" s="3" t="s">
        <v>120</v>
      </c>
      <c r="P3637" s="3" t="s">
        <v>21</v>
      </c>
      <c r="Q3637" s="4">
        <v>3</v>
      </c>
      <c r="R3637" s="4" t="str">
        <f>IF(Table1[[#This Row],[Customer Ratings]]&gt;=4, "Good",IF(Table1[[#This Row],[Customer Ratings]]=3, "Average","Poor"))</f>
        <v>Average</v>
      </c>
      <c r="S3637" s="3" t="s">
        <v>83</v>
      </c>
    </row>
    <row r="3638" spans="1:19" x14ac:dyDescent="0.25">
      <c r="A3638" s="3">
        <v>3637</v>
      </c>
      <c r="B3638" s="5">
        <f>DATE(Table1[[#This Row],[Year]],Table1[[#This Row],[Month]],Table1[[#This Row],[Day]])</f>
        <v>45514</v>
      </c>
      <c r="C3638" s="3">
        <v>10</v>
      </c>
      <c r="D3638" s="3">
        <v>8</v>
      </c>
      <c r="E3638" s="3">
        <v>2024</v>
      </c>
      <c r="F3638" s="3" t="str">
        <f>"Qtr"&amp; " " &amp;CHOOSE(MONTH(Table1[[#This Row],[Date]]),1,1,1,2,2,2,3,3,3,4,4,4)</f>
        <v>Qtr 3</v>
      </c>
      <c r="G3638" s="3" t="str">
        <f>TEXT(Table1[[#This Row],[Date]],"mmmm")</f>
        <v>August</v>
      </c>
      <c r="H3638" s="3" t="s">
        <v>1079</v>
      </c>
      <c r="I3638" s="3" t="s">
        <v>28</v>
      </c>
      <c r="J3638" s="3">
        <v>5</v>
      </c>
      <c r="K3638" s="3">
        <v>35361.22</v>
      </c>
      <c r="L3638" s="3">
        <f>Table1[[#This Row],[Price Per Unit]]*Table1[[#This Row],[Units Sold]]</f>
        <v>176806.1</v>
      </c>
      <c r="M3638" s="3" t="s">
        <v>876</v>
      </c>
      <c r="N3638" s="3">
        <v>20</v>
      </c>
      <c r="O3638" s="3" t="s">
        <v>24</v>
      </c>
      <c r="P3638" s="3" t="s">
        <v>45</v>
      </c>
      <c r="Q3638" s="4">
        <v>5</v>
      </c>
      <c r="R3638" s="4" t="str">
        <f>IF(Table1[[#This Row],[Customer Ratings]]&gt;=4, "Good",IF(Table1[[#This Row],[Customer Ratings]]=3, "Average","Poor"))</f>
        <v>Good</v>
      </c>
      <c r="S3638" s="3" t="s">
        <v>32</v>
      </c>
    </row>
    <row r="3639" spans="1:19" x14ac:dyDescent="0.25">
      <c r="A3639" s="3">
        <v>3638</v>
      </c>
      <c r="B3639" s="5">
        <f>DATE(Table1[[#This Row],[Year]],Table1[[#This Row],[Month]],Table1[[#This Row],[Day]])</f>
        <v>45514</v>
      </c>
      <c r="C3639" s="3">
        <v>10</v>
      </c>
      <c r="D3639" s="3">
        <v>8</v>
      </c>
      <c r="E3639" s="3">
        <v>2024</v>
      </c>
      <c r="F3639" s="3" t="str">
        <f>"Qtr"&amp; " " &amp;CHOOSE(MONTH(Table1[[#This Row],[Date]]),1,1,1,2,2,2,3,3,3,4,4,4)</f>
        <v>Qtr 3</v>
      </c>
      <c r="G3639" s="3" t="str">
        <f>TEXT(Table1[[#This Row],[Date]],"mmmm")</f>
        <v>August</v>
      </c>
      <c r="H3639" s="3" t="s">
        <v>1079</v>
      </c>
      <c r="I3639" s="3" t="s">
        <v>18</v>
      </c>
      <c r="J3639" s="3">
        <v>4</v>
      </c>
      <c r="K3639" s="3">
        <v>49089.35</v>
      </c>
      <c r="L3639" s="3">
        <f>Table1[[#This Row],[Price Per Unit]]*Table1[[#This Row],[Units Sold]]</f>
        <v>196357.4</v>
      </c>
      <c r="M3639" s="3" t="s">
        <v>572</v>
      </c>
      <c r="N3639" s="3">
        <v>42</v>
      </c>
      <c r="O3639" s="3" t="s">
        <v>24</v>
      </c>
      <c r="P3639" s="3" t="s">
        <v>16</v>
      </c>
      <c r="Q3639" s="4">
        <v>4</v>
      </c>
      <c r="R3639" s="4" t="str">
        <f>IF(Table1[[#This Row],[Customer Ratings]]&gt;=4, "Good",IF(Table1[[#This Row],[Customer Ratings]]=3, "Average","Poor"))</f>
        <v>Good</v>
      </c>
      <c r="S3639" s="3" t="s">
        <v>55</v>
      </c>
    </row>
    <row r="3640" spans="1:19" x14ac:dyDescent="0.25">
      <c r="A3640" s="3">
        <v>3639</v>
      </c>
      <c r="B3640" s="5">
        <f>DATE(Table1[[#This Row],[Year]],Table1[[#This Row],[Month]],Table1[[#This Row],[Day]])</f>
        <v>45515</v>
      </c>
      <c r="C3640" s="3">
        <v>11</v>
      </c>
      <c r="D3640" s="3">
        <v>8</v>
      </c>
      <c r="E3640" s="3">
        <v>2024</v>
      </c>
      <c r="F3640" s="3" t="str">
        <f>"Qtr"&amp; " " &amp;CHOOSE(MONTH(Table1[[#This Row],[Date]]),1,1,1,2,2,2,3,3,3,4,4,4)</f>
        <v>Qtr 3</v>
      </c>
      <c r="G3640" s="3" t="str">
        <f>TEXT(Table1[[#This Row],[Date]],"mmmm")</f>
        <v>August</v>
      </c>
      <c r="H3640" s="3" t="s">
        <v>1080</v>
      </c>
      <c r="I3640" s="3" t="s">
        <v>13</v>
      </c>
      <c r="J3640" s="3">
        <v>4</v>
      </c>
      <c r="K3640" s="3">
        <v>25542.35</v>
      </c>
      <c r="L3640" s="3">
        <f>Table1[[#This Row],[Price Per Unit]]*Table1[[#This Row],[Units Sold]]</f>
        <v>102169.4</v>
      </c>
      <c r="M3640" s="3" t="s">
        <v>569</v>
      </c>
      <c r="N3640" s="3">
        <v>40</v>
      </c>
      <c r="O3640" s="3" t="s">
        <v>30</v>
      </c>
      <c r="P3640" s="3" t="s">
        <v>16</v>
      </c>
      <c r="Q3640" s="4">
        <v>5</v>
      </c>
      <c r="R3640" s="4" t="str">
        <f>IF(Table1[[#This Row],[Customer Ratings]]&gt;=4, "Good",IF(Table1[[#This Row],[Customer Ratings]]=3, "Average","Poor"))</f>
        <v>Good</v>
      </c>
      <c r="S3640" s="3" t="s">
        <v>17</v>
      </c>
    </row>
    <row r="3641" spans="1:19" x14ac:dyDescent="0.25">
      <c r="A3641" s="3">
        <v>3640</v>
      </c>
      <c r="B3641" s="5">
        <f>DATE(Table1[[#This Row],[Year]],Table1[[#This Row],[Month]],Table1[[#This Row],[Day]])</f>
        <v>45515</v>
      </c>
      <c r="C3641" s="3">
        <v>11</v>
      </c>
      <c r="D3641" s="3">
        <v>8</v>
      </c>
      <c r="E3641" s="3">
        <v>2024</v>
      </c>
      <c r="F3641" s="3" t="str">
        <f>"Qtr"&amp; " " &amp;CHOOSE(MONTH(Table1[[#This Row],[Date]]),1,1,1,2,2,2,3,3,3,4,4,4)</f>
        <v>Qtr 3</v>
      </c>
      <c r="G3641" s="3" t="str">
        <f>TEXT(Table1[[#This Row],[Date]],"mmmm")</f>
        <v>August</v>
      </c>
      <c r="H3641" s="3" t="s">
        <v>1080</v>
      </c>
      <c r="I3641" s="3" t="s">
        <v>18</v>
      </c>
      <c r="J3641" s="3">
        <v>5</v>
      </c>
      <c r="K3641" s="3">
        <v>14185.42</v>
      </c>
      <c r="L3641" s="3">
        <f>Table1[[#This Row],[Price Per Unit]]*Table1[[#This Row],[Units Sold]]</f>
        <v>70927.100000000006</v>
      </c>
      <c r="M3641" s="3" t="s">
        <v>279</v>
      </c>
      <c r="N3641" s="3">
        <v>44</v>
      </c>
      <c r="O3641" s="3" t="s">
        <v>137</v>
      </c>
      <c r="P3641" s="3" t="s">
        <v>16</v>
      </c>
      <c r="Q3641" s="4">
        <v>2</v>
      </c>
      <c r="R3641" s="4" t="str">
        <f>IF(Table1[[#This Row],[Customer Ratings]]&gt;=4, "Good",IF(Table1[[#This Row],[Customer Ratings]]=3, "Average","Poor"))</f>
        <v>Poor</v>
      </c>
      <c r="S3641" s="3" t="s">
        <v>25</v>
      </c>
    </row>
    <row r="3642" spans="1:19" x14ac:dyDescent="0.25">
      <c r="A3642" s="3">
        <v>3641</v>
      </c>
      <c r="B3642" s="5">
        <f>DATE(Table1[[#This Row],[Year]],Table1[[#This Row],[Month]],Table1[[#This Row],[Day]])</f>
        <v>45515</v>
      </c>
      <c r="C3642" s="3">
        <v>11</v>
      </c>
      <c r="D3642" s="3">
        <v>8</v>
      </c>
      <c r="E3642" s="3">
        <v>2024</v>
      </c>
      <c r="F3642" s="3" t="str">
        <f>"Qtr"&amp; " " &amp;CHOOSE(MONTH(Table1[[#This Row],[Date]]),1,1,1,2,2,2,3,3,3,4,4,4)</f>
        <v>Qtr 3</v>
      </c>
      <c r="G3642" s="3" t="str">
        <f>TEXT(Table1[[#This Row],[Date]],"mmmm")</f>
        <v>August</v>
      </c>
      <c r="H3642" s="3" t="s">
        <v>1080</v>
      </c>
      <c r="I3642" s="3" t="s">
        <v>18</v>
      </c>
      <c r="J3642" s="3">
        <v>2</v>
      </c>
      <c r="K3642" s="3">
        <v>34808.400000000001</v>
      </c>
      <c r="L3642" s="3">
        <f>Table1[[#This Row],[Price Per Unit]]*Table1[[#This Row],[Units Sold]]</f>
        <v>69616.800000000003</v>
      </c>
      <c r="M3642" s="3" t="s">
        <v>198</v>
      </c>
      <c r="N3642" s="3">
        <v>31</v>
      </c>
      <c r="O3642" s="3" t="s">
        <v>41</v>
      </c>
      <c r="P3642" s="3" t="s">
        <v>21</v>
      </c>
      <c r="Q3642" s="4">
        <v>2</v>
      </c>
      <c r="R3642" s="4" t="str">
        <f>IF(Table1[[#This Row],[Customer Ratings]]&gt;=4, "Good",IF(Table1[[#This Row],[Customer Ratings]]=3, "Average","Poor"))</f>
        <v>Poor</v>
      </c>
      <c r="S3642" s="3" t="s">
        <v>22</v>
      </c>
    </row>
    <row r="3643" spans="1:19" x14ac:dyDescent="0.25">
      <c r="A3643" s="3">
        <v>3642</v>
      </c>
      <c r="B3643" s="5">
        <f>DATE(Table1[[#This Row],[Year]],Table1[[#This Row],[Month]],Table1[[#This Row],[Day]])</f>
        <v>45516</v>
      </c>
      <c r="C3643" s="3">
        <v>12</v>
      </c>
      <c r="D3643" s="3">
        <v>8</v>
      </c>
      <c r="E3643" s="3">
        <v>2024</v>
      </c>
      <c r="F3643" s="3" t="str">
        <f>"Qtr"&amp; " " &amp;CHOOSE(MONTH(Table1[[#This Row],[Date]]),1,1,1,2,2,2,3,3,3,4,4,4)</f>
        <v>Qtr 3</v>
      </c>
      <c r="G3643" s="3" t="str">
        <f>TEXT(Table1[[#This Row],[Date]],"mmmm")</f>
        <v>August</v>
      </c>
      <c r="H3643" s="3" t="s">
        <v>1081</v>
      </c>
      <c r="I3643" s="3" t="s">
        <v>39</v>
      </c>
      <c r="J3643" s="3">
        <v>9</v>
      </c>
      <c r="K3643" s="3">
        <v>37706.69</v>
      </c>
      <c r="L3643" s="3">
        <f>Table1[[#This Row],[Price Per Unit]]*Table1[[#This Row],[Units Sold]]</f>
        <v>339360.21</v>
      </c>
      <c r="M3643" s="3" t="s">
        <v>480</v>
      </c>
      <c r="N3643" s="3">
        <v>55</v>
      </c>
      <c r="O3643" s="3" t="s">
        <v>20</v>
      </c>
      <c r="P3643" s="3" t="s">
        <v>21</v>
      </c>
      <c r="Q3643" s="4">
        <v>5</v>
      </c>
      <c r="R3643" s="4" t="str">
        <f>IF(Table1[[#This Row],[Customer Ratings]]&gt;=4, "Good",IF(Table1[[#This Row],[Customer Ratings]]=3, "Average","Poor"))</f>
        <v>Good</v>
      </c>
      <c r="S3643" s="3" t="s">
        <v>90</v>
      </c>
    </row>
    <row r="3644" spans="1:19" x14ac:dyDescent="0.25">
      <c r="A3644" s="3">
        <v>3643</v>
      </c>
      <c r="B3644" s="5">
        <f>DATE(Table1[[#This Row],[Year]],Table1[[#This Row],[Month]],Table1[[#This Row],[Day]])</f>
        <v>45516</v>
      </c>
      <c r="C3644" s="3">
        <v>12</v>
      </c>
      <c r="D3644" s="3">
        <v>8</v>
      </c>
      <c r="E3644" s="3">
        <v>2024</v>
      </c>
      <c r="F3644" s="3" t="str">
        <f>"Qtr"&amp; " " &amp;CHOOSE(MONTH(Table1[[#This Row],[Date]]),1,1,1,2,2,2,3,3,3,4,4,4)</f>
        <v>Qtr 3</v>
      </c>
      <c r="G3644" s="3" t="str">
        <f>TEXT(Table1[[#This Row],[Date]],"mmmm")</f>
        <v>August</v>
      </c>
      <c r="H3644" s="3" t="s">
        <v>1081</v>
      </c>
      <c r="I3644" s="3" t="s">
        <v>39</v>
      </c>
      <c r="J3644" s="3">
        <v>2</v>
      </c>
      <c r="K3644" s="3">
        <v>25384.43</v>
      </c>
      <c r="L3644" s="3">
        <f>Table1[[#This Row],[Price Per Unit]]*Table1[[#This Row],[Units Sold]]</f>
        <v>50768.86</v>
      </c>
      <c r="M3644" s="3" t="s">
        <v>596</v>
      </c>
      <c r="N3644" s="3">
        <v>49</v>
      </c>
      <c r="O3644" s="3" t="s">
        <v>24</v>
      </c>
      <c r="P3644" s="3" t="s">
        <v>31</v>
      </c>
      <c r="Q3644" s="4">
        <v>5</v>
      </c>
      <c r="R3644" s="4" t="str">
        <f>IF(Table1[[#This Row],[Customer Ratings]]&gt;=4, "Good",IF(Table1[[#This Row],[Customer Ratings]]=3, "Average","Poor"))</f>
        <v>Good</v>
      </c>
      <c r="S3644" s="3" t="s">
        <v>42</v>
      </c>
    </row>
    <row r="3645" spans="1:19" x14ac:dyDescent="0.25">
      <c r="A3645" s="3">
        <v>3644</v>
      </c>
      <c r="B3645" s="5">
        <f>DATE(Table1[[#This Row],[Year]],Table1[[#This Row],[Month]],Table1[[#This Row],[Day]])</f>
        <v>45516</v>
      </c>
      <c r="C3645" s="3">
        <v>12</v>
      </c>
      <c r="D3645" s="3">
        <v>8</v>
      </c>
      <c r="E3645" s="3">
        <v>2024</v>
      </c>
      <c r="F3645" s="3" t="str">
        <f>"Qtr"&amp; " " &amp;CHOOSE(MONTH(Table1[[#This Row],[Date]]),1,1,1,2,2,2,3,3,3,4,4,4)</f>
        <v>Qtr 3</v>
      </c>
      <c r="G3645" s="3" t="str">
        <f>TEXT(Table1[[#This Row],[Date]],"mmmm")</f>
        <v>August</v>
      </c>
      <c r="H3645" s="3" t="s">
        <v>1081</v>
      </c>
      <c r="I3645" s="3" t="s">
        <v>39</v>
      </c>
      <c r="J3645" s="3">
        <v>2</v>
      </c>
      <c r="K3645" s="3">
        <v>53662.57</v>
      </c>
      <c r="L3645" s="3">
        <f>Table1[[#This Row],[Price Per Unit]]*Table1[[#This Row],[Units Sold]]</f>
        <v>107325.14</v>
      </c>
      <c r="M3645" s="3" t="s">
        <v>607</v>
      </c>
      <c r="N3645" s="3">
        <v>40</v>
      </c>
      <c r="O3645" s="3" t="s">
        <v>20</v>
      </c>
      <c r="P3645" s="3" t="s">
        <v>45</v>
      </c>
      <c r="Q3645" s="4">
        <v>3</v>
      </c>
      <c r="R3645" s="4" t="str">
        <f>IF(Table1[[#This Row],[Customer Ratings]]&gt;=4, "Good",IF(Table1[[#This Row],[Customer Ratings]]=3, "Average","Poor"))</f>
        <v>Average</v>
      </c>
      <c r="S3645" s="3" t="s">
        <v>90</v>
      </c>
    </row>
    <row r="3646" spans="1:19" x14ac:dyDescent="0.25">
      <c r="A3646" s="3">
        <v>3645</v>
      </c>
      <c r="B3646" s="5">
        <f>DATE(Table1[[#This Row],[Year]],Table1[[#This Row],[Month]],Table1[[#This Row],[Day]])</f>
        <v>45517</v>
      </c>
      <c r="C3646" s="3">
        <v>13</v>
      </c>
      <c r="D3646" s="3">
        <v>8</v>
      </c>
      <c r="E3646" s="3">
        <v>2024</v>
      </c>
      <c r="F3646" s="3" t="str">
        <f>"Qtr"&amp; " " &amp;CHOOSE(MONTH(Table1[[#This Row],[Date]]),1,1,1,2,2,2,3,3,3,4,4,4)</f>
        <v>Qtr 3</v>
      </c>
      <c r="G3646" s="3" t="str">
        <f>TEXT(Table1[[#This Row],[Date]],"mmmm")</f>
        <v>August</v>
      </c>
      <c r="H3646" s="3" t="s">
        <v>1082</v>
      </c>
      <c r="I3646" s="3" t="s">
        <v>13</v>
      </c>
      <c r="J3646" s="3">
        <v>9</v>
      </c>
      <c r="K3646" s="3">
        <v>14413.03</v>
      </c>
      <c r="L3646" s="3">
        <f>Table1[[#This Row],[Price Per Unit]]*Table1[[#This Row],[Units Sold]]</f>
        <v>129717.27</v>
      </c>
      <c r="M3646" s="3" t="s">
        <v>407</v>
      </c>
      <c r="N3646" s="3">
        <v>57</v>
      </c>
      <c r="O3646" s="3" t="s">
        <v>24</v>
      </c>
      <c r="P3646" s="3" t="s">
        <v>45</v>
      </c>
      <c r="Q3646" s="4">
        <v>3</v>
      </c>
      <c r="R3646" s="4" t="str">
        <f>IF(Table1[[#This Row],[Customer Ratings]]&gt;=4, "Good",IF(Table1[[#This Row],[Customer Ratings]]=3, "Average","Poor"))</f>
        <v>Average</v>
      </c>
      <c r="S3646" s="3" t="s">
        <v>72</v>
      </c>
    </row>
    <row r="3647" spans="1:19" x14ac:dyDescent="0.25">
      <c r="A3647" s="3">
        <v>3646</v>
      </c>
      <c r="B3647" s="5">
        <f>DATE(Table1[[#This Row],[Year]],Table1[[#This Row],[Month]],Table1[[#This Row],[Day]])</f>
        <v>45517</v>
      </c>
      <c r="C3647" s="3">
        <v>13</v>
      </c>
      <c r="D3647" s="3">
        <v>8</v>
      </c>
      <c r="E3647" s="3">
        <v>2024</v>
      </c>
      <c r="F3647" s="3" t="str">
        <f>"Qtr"&amp; " " &amp;CHOOSE(MONTH(Table1[[#This Row],[Date]]),1,1,1,2,2,2,3,3,3,4,4,4)</f>
        <v>Qtr 3</v>
      </c>
      <c r="G3647" s="3" t="str">
        <f>TEXT(Table1[[#This Row],[Date]],"mmmm")</f>
        <v>August</v>
      </c>
      <c r="H3647" s="3" t="s">
        <v>1082</v>
      </c>
      <c r="I3647" s="3" t="s">
        <v>18</v>
      </c>
      <c r="J3647" s="3">
        <v>3</v>
      </c>
      <c r="K3647" s="3">
        <v>23364.9</v>
      </c>
      <c r="L3647" s="3">
        <f>Table1[[#This Row],[Price Per Unit]]*Table1[[#This Row],[Units Sold]]</f>
        <v>70094.700000000012</v>
      </c>
      <c r="M3647" s="3" t="s">
        <v>508</v>
      </c>
      <c r="N3647" s="3">
        <v>54</v>
      </c>
      <c r="O3647" s="3" t="s">
        <v>24</v>
      </c>
      <c r="P3647" s="3" t="s">
        <v>45</v>
      </c>
      <c r="Q3647" s="4">
        <v>4</v>
      </c>
      <c r="R3647" s="4" t="str">
        <f>IF(Table1[[#This Row],[Customer Ratings]]&gt;=4, "Good",IF(Table1[[#This Row],[Customer Ratings]]=3, "Average","Poor"))</f>
        <v>Good</v>
      </c>
      <c r="S3647" s="3" t="s">
        <v>25</v>
      </c>
    </row>
    <row r="3648" spans="1:19" x14ac:dyDescent="0.25">
      <c r="A3648" s="3">
        <v>3647</v>
      </c>
      <c r="B3648" s="5">
        <f>DATE(Table1[[#This Row],[Year]],Table1[[#This Row],[Month]],Table1[[#This Row],[Day]])</f>
        <v>45517</v>
      </c>
      <c r="C3648" s="3">
        <v>13</v>
      </c>
      <c r="D3648" s="3">
        <v>8</v>
      </c>
      <c r="E3648" s="3">
        <v>2024</v>
      </c>
      <c r="F3648" s="3" t="str">
        <f>"Qtr"&amp; " " &amp;CHOOSE(MONTH(Table1[[#This Row],[Date]]),1,1,1,2,2,2,3,3,3,4,4,4)</f>
        <v>Qtr 3</v>
      </c>
      <c r="G3648" s="3" t="str">
        <f>TEXT(Table1[[#This Row],[Date]],"mmmm")</f>
        <v>August</v>
      </c>
      <c r="H3648" s="3" t="s">
        <v>1082</v>
      </c>
      <c r="I3648" s="3" t="s">
        <v>33</v>
      </c>
      <c r="J3648" s="3">
        <v>7</v>
      </c>
      <c r="K3648" s="3">
        <v>54913.88</v>
      </c>
      <c r="L3648" s="3">
        <f>Table1[[#This Row],[Price Per Unit]]*Table1[[#This Row],[Units Sold]]</f>
        <v>384397.16</v>
      </c>
      <c r="M3648" s="3" t="s">
        <v>249</v>
      </c>
      <c r="N3648" s="3">
        <v>20</v>
      </c>
      <c r="O3648" s="3" t="s">
        <v>137</v>
      </c>
      <c r="P3648" s="3" t="s">
        <v>21</v>
      </c>
      <c r="Q3648" s="4">
        <v>3</v>
      </c>
      <c r="R3648" s="4" t="str">
        <f>IF(Table1[[#This Row],[Customer Ratings]]&gt;=4, "Good",IF(Table1[[#This Row],[Customer Ratings]]=3, "Average","Poor"))</f>
        <v>Average</v>
      </c>
      <c r="S3648" s="3" t="s">
        <v>46</v>
      </c>
    </row>
    <row r="3649" spans="1:19" x14ac:dyDescent="0.25">
      <c r="A3649" s="3">
        <v>3648</v>
      </c>
      <c r="B3649" s="5">
        <f>DATE(Table1[[#This Row],[Year]],Table1[[#This Row],[Month]],Table1[[#This Row],[Day]])</f>
        <v>45518</v>
      </c>
      <c r="C3649" s="3">
        <v>14</v>
      </c>
      <c r="D3649" s="3">
        <v>8</v>
      </c>
      <c r="E3649" s="3">
        <v>2024</v>
      </c>
      <c r="F3649" s="3" t="str">
        <f>"Qtr"&amp; " " &amp;CHOOSE(MONTH(Table1[[#This Row],[Date]]),1,1,1,2,2,2,3,3,3,4,4,4)</f>
        <v>Qtr 3</v>
      </c>
      <c r="G3649" s="3" t="str">
        <f>TEXT(Table1[[#This Row],[Date]],"mmmm")</f>
        <v>August</v>
      </c>
      <c r="H3649" s="3" t="s">
        <v>1083</v>
      </c>
      <c r="I3649" s="3" t="s">
        <v>28</v>
      </c>
      <c r="J3649" s="3">
        <v>4</v>
      </c>
      <c r="K3649" s="3">
        <v>36227.46</v>
      </c>
      <c r="L3649" s="3">
        <f>Table1[[#This Row],[Price Per Unit]]*Table1[[#This Row],[Units Sold]]</f>
        <v>144909.84</v>
      </c>
      <c r="M3649" s="3" t="s">
        <v>654</v>
      </c>
      <c r="N3649" s="3">
        <v>52</v>
      </c>
      <c r="O3649" s="3" t="s">
        <v>98</v>
      </c>
      <c r="P3649" s="3" t="s">
        <v>16</v>
      </c>
      <c r="Q3649" s="4">
        <v>5</v>
      </c>
      <c r="R3649" s="4" t="str">
        <f>IF(Table1[[#This Row],[Customer Ratings]]&gt;=4, "Good",IF(Table1[[#This Row],[Customer Ratings]]=3, "Average","Poor"))</f>
        <v>Good</v>
      </c>
      <c r="S3649" s="3" t="s">
        <v>87</v>
      </c>
    </row>
    <row r="3650" spans="1:19" x14ac:dyDescent="0.25">
      <c r="A3650" s="3">
        <v>3649</v>
      </c>
      <c r="B3650" s="5">
        <f>DATE(Table1[[#This Row],[Year]],Table1[[#This Row],[Month]],Table1[[#This Row],[Day]])</f>
        <v>45518</v>
      </c>
      <c r="C3650" s="3">
        <v>14</v>
      </c>
      <c r="D3650" s="3">
        <v>8</v>
      </c>
      <c r="E3650" s="3">
        <v>2024</v>
      </c>
      <c r="F3650" s="3" t="str">
        <f>"Qtr"&amp; " " &amp;CHOOSE(MONTH(Table1[[#This Row],[Date]]),1,1,1,2,2,2,3,3,3,4,4,4)</f>
        <v>Qtr 3</v>
      </c>
      <c r="G3650" s="3" t="str">
        <f>TEXT(Table1[[#This Row],[Date]],"mmmm")</f>
        <v>August</v>
      </c>
      <c r="H3650" s="3" t="s">
        <v>1083</v>
      </c>
      <c r="I3650" s="3" t="s">
        <v>39</v>
      </c>
      <c r="J3650" s="3">
        <v>6</v>
      </c>
      <c r="K3650" s="3">
        <v>52317.02</v>
      </c>
      <c r="L3650" s="3">
        <f>Table1[[#This Row],[Price Per Unit]]*Table1[[#This Row],[Units Sold]]</f>
        <v>313902.12</v>
      </c>
      <c r="M3650" s="3" t="s">
        <v>73</v>
      </c>
      <c r="N3650" s="3">
        <v>30</v>
      </c>
      <c r="O3650" s="3" t="s">
        <v>20</v>
      </c>
      <c r="P3650" s="3" t="s">
        <v>45</v>
      </c>
      <c r="Q3650" s="4">
        <v>2</v>
      </c>
      <c r="R3650" s="4" t="str">
        <f>IF(Table1[[#This Row],[Customer Ratings]]&gt;=4, "Good",IF(Table1[[#This Row],[Customer Ratings]]=3, "Average","Poor"))</f>
        <v>Poor</v>
      </c>
      <c r="S3650" s="3" t="s">
        <v>90</v>
      </c>
    </row>
    <row r="3651" spans="1:19" x14ac:dyDescent="0.25">
      <c r="A3651" s="3">
        <v>3650</v>
      </c>
      <c r="B3651" s="5">
        <f>DATE(Table1[[#This Row],[Year]],Table1[[#This Row],[Month]],Table1[[#This Row],[Day]])</f>
        <v>45518</v>
      </c>
      <c r="C3651" s="3">
        <v>14</v>
      </c>
      <c r="D3651" s="3">
        <v>8</v>
      </c>
      <c r="E3651" s="3">
        <v>2024</v>
      </c>
      <c r="F3651" s="3" t="str">
        <f>"Qtr"&amp; " " &amp;CHOOSE(MONTH(Table1[[#This Row],[Date]]),1,1,1,2,2,2,3,3,3,4,4,4)</f>
        <v>Qtr 3</v>
      </c>
      <c r="G3651" s="3" t="str">
        <f>TEXT(Table1[[#This Row],[Date]],"mmmm")</f>
        <v>August</v>
      </c>
      <c r="H3651" s="3" t="s">
        <v>1083</v>
      </c>
      <c r="I3651" s="3" t="s">
        <v>39</v>
      </c>
      <c r="J3651" s="3">
        <v>4</v>
      </c>
      <c r="K3651" s="3">
        <v>44049.15</v>
      </c>
      <c r="L3651" s="3">
        <f>Table1[[#This Row],[Price Per Unit]]*Table1[[#This Row],[Units Sold]]</f>
        <v>176196.6</v>
      </c>
      <c r="M3651" s="3" t="s">
        <v>826</v>
      </c>
      <c r="N3651" s="3">
        <v>51</v>
      </c>
      <c r="O3651" s="3" t="s">
        <v>58</v>
      </c>
      <c r="P3651" s="3" t="s">
        <v>31</v>
      </c>
      <c r="Q3651" s="4">
        <v>5</v>
      </c>
      <c r="R3651" s="4" t="str">
        <f>IF(Table1[[#This Row],[Customer Ratings]]&gt;=4, "Good",IF(Table1[[#This Row],[Customer Ratings]]=3, "Average","Poor"))</f>
        <v>Good</v>
      </c>
      <c r="S3651" s="3" t="s">
        <v>90</v>
      </c>
    </row>
    <row r="3652" spans="1:19" x14ac:dyDescent="0.25">
      <c r="A3652" s="3">
        <v>3651</v>
      </c>
      <c r="B3652" s="5">
        <f>DATE(Table1[[#This Row],[Year]],Table1[[#This Row],[Month]],Table1[[#This Row],[Day]])</f>
        <v>45519</v>
      </c>
      <c r="C3652" s="3">
        <v>15</v>
      </c>
      <c r="D3652" s="3">
        <v>8</v>
      </c>
      <c r="E3652" s="3">
        <v>2024</v>
      </c>
      <c r="F3652" s="3" t="str">
        <f>"Qtr"&amp; " " &amp;CHOOSE(MONTH(Table1[[#This Row],[Date]]),1,1,1,2,2,2,3,3,3,4,4,4)</f>
        <v>Qtr 3</v>
      </c>
      <c r="G3652" s="3" t="str">
        <f>TEXT(Table1[[#This Row],[Date]],"mmmm")</f>
        <v>August</v>
      </c>
      <c r="H3652" s="3" t="s">
        <v>1084</v>
      </c>
      <c r="I3652" s="3" t="s">
        <v>18</v>
      </c>
      <c r="J3652" s="3">
        <v>7</v>
      </c>
      <c r="K3652" s="3">
        <v>67042.759999999995</v>
      </c>
      <c r="L3652" s="3">
        <f>Table1[[#This Row],[Price Per Unit]]*Table1[[#This Row],[Units Sold]]</f>
        <v>469299.31999999995</v>
      </c>
      <c r="M3652" s="3" t="s">
        <v>764</v>
      </c>
      <c r="N3652" s="3">
        <v>41</v>
      </c>
      <c r="O3652" s="3" t="s">
        <v>24</v>
      </c>
      <c r="P3652" s="3" t="s">
        <v>21</v>
      </c>
      <c r="Q3652" s="4">
        <v>5</v>
      </c>
      <c r="R3652" s="4" t="str">
        <f>IF(Table1[[#This Row],[Customer Ratings]]&gt;=4, "Good",IF(Table1[[#This Row],[Customer Ratings]]=3, "Average","Poor"))</f>
        <v>Good</v>
      </c>
      <c r="S3652" s="3" t="s">
        <v>55</v>
      </c>
    </row>
    <row r="3653" spans="1:19" x14ac:dyDescent="0.25">
      <c r="A3653" s="3">
        <v>3652</v>
      </c>
      <c r="B3653" s="5">
        <f>DATE(Table1[[#This Row],[Year]],Table1[[#This Row],[Month]],Table1[[#This Row],[Day]])</f>
        <v>45519</v>
      </c>
      <c r="C3653" s="3">
        <v>15</v>
      </c>
      <c r="D3653" s="3">
        <v>8</v>
      </c>
      <c r="E3653" s="3">
        <v>2024</v>
      </c>
      <c r="F3653" s="3" t="str">
        <f>"Qtr"&amp; " " &amp;CHOOSE(MONTH(Table1[[#This Row],[Date]]),1,1,1,2,2,2,3,3,3,4,4,4)</f>
        <v>Qtr 3</v>
      </c>
      <c r="G3653" s="3" t="str">
        <f>TEXT(Table1[[#This Row],[Date]],"mmmm")</f>
        <v>August</v>
      </c>
      <c r="H3653" s="3" t="s">
        <v>1084</v>
      </c>
      <c r="I3653" s="3" t="s">
        <v>18</v>
      </c>
      <c r="J3653" s="3">
        <v>1</v>
      </c>
      <c r="K3653" s="3">
        <v>45867.75</v>
      </c>
      <c r="L3653" s="3">
        <f>Table1[[#This Row],[Price Per Unit]]*Table1[[#This Row],[Units Sold]]</f>
        <v>45867.75</v>
      </c>
      <c r="M3653" s="3" t="s">
        <v>320</v>
      </c>
      <c r="N3653" s="3">
        <v>18</v>
      </c>
      <c r="O3653" s="3" t="s">
        <v>78</v>
      </c>
      <c r="P3653" s="3" t="s">
        <v>16</v>
      </c>
      <c r="Q3653" s="4">
        <v>2</v>
      </c>
      <c r="R3653" s="4" t="str">
        <f>IF(Table1[[#This Row],[Customer Ratings]]&gt;=4, "Good",IF(Table1[[#This Row],[Customer Ratings]]=3, "Average","Poor"))</f>
        <v>Poor</v>
      </c>
      <c r="S3653" s="3" t="s">
        <v>25</v>
      </c>
    </row>
    <row r="3654" spans="1:19" x14ac:dyDescent="0.25">
      <c r="A3654" s="3">
        <v>3653</v>
      </c>
      <c r="B3654" s="5">
        <f>DATE(Table1[[#This Row],[Year]],Table1[[#This Row],[Month]],Table1[[#This Row],[Day]])</f>
        <v>45519</v>
      </c>
      <c r="C3654" s="3">
        <v>15</v>
      </c>
      <c r="D3654" s="3">
        <v>8</v>
      </c>
      <c r="E3654" s="3">
        <v>2024</v>
      </c>
      <c r="F3654" s="3" t="str">
        <f>"Qtr"&amp; " " &amp;CHOOSE(MONTH(Table1[[#This Row],[Date]]),1,1,1,2,2,2,3,3,3,4,4,4)</f>
        <v>Qtr 3</v>
      </c>
      <c r="G3654" s="3" t="str">
        <f>TEXT(Table1[[#This Row],[Date]],"mmmm")</f>
        <v>August</v>
      </c>
      <c r="H3654" s="3" t="s">
        <v>1084</v>
      </c>
      <c r="I3654" s="3" t="s">
        <v>13</v>
      </c>
      <c r="J3654" s="3">
        <v>3</v>
      </c>
      <c r="K3654" s="3">
        <v>10892.14</v>
      </c>
      <c r="L3654" s="3">
        <f>Table1[[#This Row],[Price Per Unit]]*Table1[[#This Row],[Units Sold]]</f>
        <v>32676.42</v>
      </c>
      <c r="M3654" s="3" t="s">
        <v>864</v>
      </c>
      <c r="N3654" s="3">
        <v>29</v>
      </c>
      <c r="O3654" s="3" t="s">
        <v>20</v>
      </c>
      <c r="P3654" s="3" t="s">
        <v>45</v>
      </c>
      <c r="Q3654" s="4">
        <v>5</v>
      </c>
      <c r="R3654" s="4" t="str">
        <f>IF(Table1[[#This Row],[Customer Ratings]]&gt;=4, "Good",IF(Table1[[#This Row],[Customer Ratings]]=3, "Average","Poor"))</f>
        <v>Good</v>
      </c>
      <c r="S3654" s="3" t="s">
        <v>72</v>
      </c>
    </row>
    <row r="3655" spans="1:19" x14ac:dyDescent="0.25">
      <c r="A3655" s="3">
        <v>3654</v>
      </c>
      <c r="B3655" s="5">
        <f>DATE(Table1[[#This Row],[Year]],Table1[[#This Row],[Month]],Table1[[#This Row],[Day]])</f>
        <v>45519</v>
      </c>
      <c r="C3655" s="3">
        <v>15</v>
      </c>
      <c r="D3655" s="3">
        <v>8</v>
      </c>
      <c r="E3655" s="3">
        <v>2024</v>
      </c>
      <c r="F3655" s="3" t="str">
        <f>"Qtr"&amp; " " &amp;CHOOSE(MONTH(Table1[[#This Row],[Date]]),1,1,1,2,2,2,3,3,3,4,4,4)</f>
        <v>Qtr 3</v>
      </c>
      <c r="G3655" s="3" t="str">
        <f>TEXT(Table1[[#This Row],[Date]],"mmmm")</f>
        <v>August</v>
      </c>
      <c r="H3655" s="3" t="s">
        <v>1084</v>
      </c>
      <c r="I3655" s="3" t="s">
        <v>13</v>
      </c>
      <c r="J3655" s="3">
        <v>3</v>
      </c>
      <c r="K3655" s="3">
        <v>31172.639999999999</v>
      </c>
      <c r="L3655" s="3">
        <f>Table1[[#This Row],[Price Per Unit]]*Table1[[#This Row],[Units Sold]]</f>
        <v>93517.92</v>
      </c>
      <c r="M3655" s="3" t="s">
        <v>684</v>
      </c>
      <c r="N3655" s="3">
        <v>25</v>
      </c>
      <c r="O3655" s="3" t="s">
        <v>20</v>
      </c>
      <c r="P3655" s="3" t="s">
        <v>16</v>
      </c>
      <c r="Q3655" s="4">
        <v>3</v>
      </c>
      <c r="R3655" s="4" t="str">
        <f>IF(Table1[[#This Row],[Customer Ratings]]&gt;=4, "Good",IF(Table1[[#This Row],[Customer Ratings]]=3, "Average","Poor"))</f>
        <v>Average</v>
      </c>
      <c r="S3655" s="3" t="s">
        <v>17</v>
      </c>
    </row>
    <row r="3656" spans="1:19" x14ac:dyDescent="0.25">
      <c r="A3656" s="3">
        <v>3655</v>
      </c>
      <c r="B3656" s="5">
        <f>DATE(Table1[[#This Row],[Year]],Table1[[#This Row],[Month]],Table1[[#This Row],[Day]])</f>
        <v>45520</v>
      </c>
      <c r="C3656" s="3">
        <v>16</v>
      </c>
      <c r="D3656" s="3">
        <v>8</v>
      </c>
      <c r="E3656" s="3">
        <v>2024</v>
      </c>
      <c r="F3656" s="3" t="str">
        <f>"Qtr"&amp; " " &amp;CHOOSE(MONTH(Table1[[#This Row],[Date]]),1,1,1,2,2,2,3,3,3,4,4,4)</f>
        <v>Qtr 3</v>
      </c>
      <c r="G3656" s="3" t="str">
        <f>TEXT(Table1[[#This Row],[Date]],"mmmm")</f>
        <v>August</v>
      </c>
      <c r="H3656" s="3" t="s">
        <v>1085</v>
      </c>
      <c r="I3656" s="3" t="s">
        <v>39</v>
      </c>
      <c r="J3656" s="3">
        <v>1</v>
      </c>
      <c r="K3656" s="3">
        <v>18583.64</v>
      </c>
      <c r="L3656" s="3">
        <f>Table1[[#This Row],[Price Per Unit]]*Table1[[#This Row],[Units Sold]]</f>
        <v>18583.64</v>
      </c>
      <c r="M3656" s="3" t="s">
        <v>216</v>
      </c>
      <c r="N3656" s="3">
        <v>36</v>
      </c>
      <c r="O3656" s="3" t="s">
        <v>20</v>
      </c>
      <c r="P3656" s="3" t="s">
        <v>31</v>
      </c>
      <c r="Q3656" s="4">
        <v>4</v>
      </c>
      <c r="R3656" s="4" t="str">
        <f>IF(Table1[[#This Row],[Customer Ratings]]&gt;=4, "Good",IF(Table1[[#This Row],[Customer Ratings]]=3, "Average","Poor"))</f>
        <v>Good</v>
      </c>
      <c r="S3656" s="3" t="s">
        <v>90</v>
      </c>
    </row>
    <row r="3657" spans="1:19" x14ac:dyDescent="0.25">
      <c r="A3657" s="3">
        <v>3656</v>
      </c>
      <c r="B3657" s="5">
        <f>DATE(Table1[[#This Row],[Year]],Table1[[#This Row],[Month]],Table1[[#This Row],[Day]])</f>
        <v>45520</v>
      </c>
      <c r="C3657" s="3">
        <v>16</v>
      </c>
      <c r="D3657" s="3">
        <v>8</v>
      </c>
      <c r="E3657" s="3">
        <v>2024</v>
      </c>
      <c r="F3657" s="3" t="str">
        <f>"Qtr"&amp; " " &amp;CHOOSE(MONTH(Table1[[#This Row],[Date]]),1,1,1,2,2,2,3,3,3,4,4,4)</f>
        <v>Qtr 3</v>
      </c>
      <c r="G3657" s="3" t="str">
        <f>TEXT(Table1[[#This Row],[Date]],"mmmm")</f>
        <v>August</v>
      </c>
      <c r="H3657" s="3" t="s">
        <v>1085</v>
      </c>
      <c r="I3657" s="3" t="s">
        <v>18</v>
      </c>
      <c r="J3657" s="3">
        <v>6</v>
      </c>
      <c r="K3657" s="3">
        <v>65478.02</v>
      </c>
      <c r="L3657" s="3">
        <f>Table1[[#This Row],[Price Per Unit]]*Table1[[#This Row],[Units Sold]]</f>
        <v>392868.12</v>
      </c>
      <c r="M3657" s="3" t="s">
        <v>210</v>
      </c>
      <c r="N3657" s="3">
        <v>26</v>
      </c>
      <c r="O3657" s="3" t="s">
        <v>30</v>
      </c>
      <c r="P3657" s="3" t="s">
        <v>45</v>
      </c>
      <c r="Q3657" s="4">
        <v>4</v>
      </c>
      <c r="R3657" s="4" t="str">
        <f>IF(Table1[[#This Row],[Customer Ratings]]&gt;=4, "Good",IF(Table1[[#This Row],[Customer Ratings]]=3, "Average","Poor"))</f>
        <v>Good</v>
      </c>
      <c r="S3657" s="3" t="s">
        <v>25</v>
      </c>
    </row>
    <row r="3658" spans="1:19" x14ac:dyDescent="0.25">
      <c r="A3658" s="3">
        <v>3657</v>
      </c>
      <c r="B3658" s="5">
        <f>DATE(Table1[[#This Row],[Year]],Table1[[#This Row],[Month]],Table1[[#This Row],[Day]])</f>
        <v>45520</v>
      </c>
      <c r="C3658" s="3">
        <v>16</v>
      </c>
      <c r="D3658" s="3">
        <v>8</v>
      </c>
      <c r="E3658" s="3">
        <v>2024</v>
      </c>
      <c r="F3658" s="3" t="str">
        <f>"Qtr"&amp; " " &amp;CHOOSE(MONTH(Table1[[#This Row],[Date]]),1,1,1,2,2,2,3,3,3,4,4,4)</f>
        <v>Qtr 3</v>
      </c>
      <c r="G3658" s="3" t="str">
        <f>TEXT(Table1[[#This Row],[Date]],"mmmm")</f>
        <v>August</v>
      </c>
      <c r="H3658" s="3" t="s">
        <v>1085</v>
      </c>
      <c r="I3658" s="3" t="s">
        <v>33</v>
      </c>
      <c r="J3658" s="3">
        <v>9</v>
      </c>
      <c r="K3658" s="3">
        <v>16240.75</v>
      </c>
      <c r="L3658" s="3">
        <f>Table1[[#This Row],[Price Per Unit]]*Table1[[#This Row],[Units Sold]]</f>
        <v>146166.75</v>
      </c>
      <c r="M3658" s="3" t="s">
        <v>298</v>
      </c>
      <c r="N3658" s="3">
        <v>45</v>
      </c>
      <c r="O3658" s="3" t="s">
        <v>24</v>
      </c>
      <c r="P3658" s="3" t="s">
        <v>45</v>
      </c>
      <c r="Q3658" s="4">
        <v>5</v>
      </c>
      <c r="R3658" s="4" t="str">
        <f>IF(Table1[[#This Row],[Customer Ratings]]&gt;=4, "Good",IF(Table1[[#This Row],[Customer Ratings]]=3, "Average","Poor"))</f>
        <v>Good</v>
      </c>
      <c r="S3658" s="3" t="s">
        <v>36</v>
      </c>
    </row>
    <row r="3659" spans="1:19" x14ac:dyDescent="0.25">
      <c r="A3659" s="3">
        <v>3658</v>
      </c>
      <c r="B3659" s="5">
        <f>DATE(Table1[[#This Row],[Year]],Table1[[#This Row],[Month]],Table1[[#This Row],[Day]])</f>
        <v>45521</v>
      </c>
      <c r="C3659" s="3">
        <v>17</v>
      </c>
      <c r="D3659" s="3">
        <v>8</v>
      </c>
      <c r="E3659" s="3">
        <v>2024</v>
      </c>
      <c r="F3659" s="3" t="str">
        <f>"Qtr"&amp; " " &amp;CHOOSE(MONTH(Table1[[#This Row],[Date]]),1,1,1,2,2,2,3,3,3,4,4,4)</f>
        <v>Qtr 3</v>
      </c>
      <c r="G3659" s="3" t="str">
        <f>TEXT(Table1[[#This Row],[Date]],"mmmm")</f>
        <v>August</v>
      </c>
      <c r="H3659" s="3" t="s">
        <v>1079</v>
      </c>
      <c r="I3659" s="3" t="s">
        <v>28</v>
      </c>
      <c r="J3659" s="3">
        <v>8</v>
      </c>
      <c r="K3659" s="3">
        <v>33262.400000000001</v>
      </c>
      <c r="L3659" s="3">
        <f>Table1[[#This Row],[Price Per Unit]]*Table1[[#This Row],[Units Sold]]</f>
        <v>266099.20000000001</v>
      </c>
      <c r="M3659" s="3" t="s">
        <v>249</v>
      </c>
      <c r="N3659" s="3">
        <v>31</v>
      </c>
      <c r="O3659" s="3" t="s">
        <v>48</v>
      </c>
      <c r="P3659" s="3" t="s">
        <v>16</v>
      </c>
      <c r="Q3659" s="4">
        <v>2</v>
      </c>
      <c r="R3659" s="4" t="str">
        <f>IF(Table1[[#This Row],[Customer Ratings]]&gt;=4, "Good",IF(Table1[[#This Row],[Customer Ratings]]=3, "Average","Poor"))</f>
        <v>Poor</v>
      </c>
      <c r="S3659" s="3" t="s">
        <v>32</v>
      </c>
    </row>
    <row r="3660" spans="1:19" x14ac:dyDescent="0.25">
      <c r="A3660" s="3">
        <v>3659</v>
      </c>
      <c r="B3660" s="5">
        <f>DATE(Table1[[#This Row],[Year]],Table1[[#This Row],[Month]],Table1[[#This Row],[Day]])</f>
        <v>45521</v>
      </c>
      <c r="C3660" s="3">
        <v>17</v>
      </c>
      <c r="D3660" s="3">
        <v>8</v>
      </c>
      <c r="E3660" s="3">
        <v>2024</v>
      </c>
      <c r="F3660" s="3" t="str">
        <f>"Qtr"&amp; " " &amp;CHOOSE(MONTH(Table1[[#This Row],[Date]]),1,1,1,2,2,2,3,3,3,4,4,4)</f>
        <v>Qtr 3</v>
      </c>
      <c r="G3660" s="3" t="str">
        <f>TEXT(Table1[[#This Row],[Date]],"mmmm")</f>
        <v>August</v>
      </c>
      <c r="H3660" s="3" t="s">
        <v>1079</v>
      </c>
      <c r="I3660" s="3" t="s">
        <v>18</v>
      </c>
      <c r="J3660" s="3">
        <v>7</v>
      </c>
      <c r="K3660" s="3">
        <v>23565.95</v>
      </c>
      <c r="L3660" s="3">
        <f>Table1[[#This Row],[Price Per Unit]]*Table1[[#This Row],[Units Sold]]</f>
        <v>164961.65</v>
      </c>
      <c r="M3660" s="3" t="s">
        <v>601</v>
      </c>
      <c r="N3660" s="3">
        <v>44</v>
      </c>
      <c r="O3660" s="3" t="s">
        <v>120</v>
      </c>
      <c r="P3660" s="3" t="s">
        <v>21</v>
      </c>
      <c r="Q3660" s="4">
        <v>5</v>
      </c>
      <c r="R3660" s="4" t="str">
        <f>IF(Table1[[#This Row],[Customer Ratings]]&gt;=4, "Good",IF(Table1[[#This Row],[Customer Ratings]]=3, "Average","Poor"))</f>
        <v>Good</v>
      </c>
      <c r="S3660" s="3" t="s">
        <v>22</v>
      </c>
    </row>
    <row r="3661" spans="1:19" x14ac:dyDescent="0.25">
      <c r="A3661" s="3">
        <v>3660</v>
      </c>
      <c r="B3661" s="5">
        <f>DATE(Table1[[#This Row],[Year]],Table1[[#This Row],[Month]],Table1[[#This Row],[Day]])</f>
        <v>45521</v>
      </c>
      <c r="C3661" s="3">
        <v>17</v>
      </c>
      <c r="D3661" s="3">
        <v>8</v>
      </c>
      <c r="E3661" s="3">
        <v>2024</v>
      </c>
      <c r="F3661" s="3" t="str">
        <f>"Qtr"&amp; " " &amp;CHOOSE(MONTH(Table1[[#This Row],[Date]]),1,1,1,2,2,2,3,3,3,4,4,4)</f>
        <v>Qtr 3</v>
      </c>
      <c r="G3661" s="3" t="str">
        <f>TEXT(Table1[[#This Row],[Date]],"mmmm")</f>
        <v>August</v>
      </c>
      <c r="H3661" s="3" t="s">
        <v>1079</v>
      </c>
      <c r="I3661" s="3" t="s">
        <v>18</v>
      </c>
      <c r="J3661" s="3">
        <v>8</v>
      </c>
      <c r="K3661" s="3">
        <v>60803.32</v>
      </c>
      <c r="L3661" s="3">
        <f>Table1[[#This Row],[Price Per Unit]]*Table1[[#This Row],[Units Sold]]</f>
        <v>486426.56</v>
      </c>
      <c r="M3661" s="3" t="s">
        <v>954</v>
      </c>
      <c r="N3661" s="3">
        <v>35</v>
      </c>
      <c r="O3661" s="3" t="s">
        <v>35</v>
      </c>
      <c r="P3661" s="3" t="s">
        <v>16</v>
      </c>
      <c r="Q3661" s="4">
        <v>5</v>
      </c>
      <c r="R3661" s="4" t="str">
        <f>IF(Table1[[#This Row],[Customer Ratings]]&gt;=4, "Good",IF(Table1[[#This Row],[Customer Ratings]]=3, "Average","Poor"))</f>
        <v>Good</v>
      </c>
      <c r="S3661" s="3" t="s">
        <v>55</v>
      </c>
    </row>
    <row r="3662" spans="1:19" x14ac:dyDescent="0.25">
      <c r="A3662" s="3">
        <v>3661</v>
      </c>
      <c r="B3662" s="5">
        <f>DATE(Table1[[#This Row],[Year]],Table1[[#This Row],[Month]],Table1[[#This Row],[Day]])</f>
        <v>45522</v>
      </c>
      <c r="C3662" s="3">
        <v>18</v>
      </c>
      <c r="D3662" s="3">
        <v>8</v>
      </c>
      <c r="E3662" s="3">
        <v>2024</v>
      </c>
      <c r="F3662" s="3" t="str">
        <f>"Qtr"&amp; " " &amp;CHOOSE(MONTH(Table1[[#This Row],[Date]]),1,1,1,2,2,2,3,3,3,4,4,4)</f>
        <v>Qtr 3</v>
      </c>
      <c r="G3662" s="3" t="str">
        <f>TEXT(Table1[[#This Row],[Date]],"mmmm")</f>
        <v>August</v>
      </c>
      <c r="H3662" s="3" t="s">
        <v>1080</v>
      </c>
      <c r="I3662" s="3" t="s">
        <v>13</v>
      </c>
      <c r="J3662" s="3">
        <v>6</v>
      </c>
      <c r="K3662" s="3">
        <v>28513.99</v>
      </c>
      <c r="L3662" s="3">
        <f>Table1[[#This Row],[Price Per Unit]]*Table1[[#This Row],[Units Sold]]</f>
        <v>171083.94</v>
      </c>
      <c r="M3662" s="3" t="s">
        <v>660</v>
      </c>
      <c r="N3662" s="3">
        <v>59</v>
      </c>
      <c r="O3662" s="3" t="s">
        <v>20</v>
      </c>
      <c r="P3662" s="3" t="s">
        <v>31</v>
      </c>
      <c r="Q3662" s="4">
        <v>5</v>
      </c>
      <c r="R3662" s="4" t="str">
        <f>IF(Table1[[#This Row],[Customer Ratings]]&gt;=4, "Good",IF(Table1[[#This Row],[Customer Ratings]]=3, "Average","Poor"))</f>
        <v>Good</v>
      </c>
      <c r="S3662" s="3" t="s">
        <v>27</v>
      </c>
    </row>
    <row r="3663" spans="1:19" x14ac:dyDescent="0.25">
      <c r="A3663" s="3">
        <v>3662</v>
      </c>
      <c r="B3663" s="5">
        <f>DATE(Table1[[#This Row],[Year]],Table1[[#This Row],[Month]],Table1[[#This Row],[Day]])</f>
        <v>45522</v>
      </c>
      <c r="C3663" s="3">
        <v>18</v>
      </c>
      <c r="D3663" s="3">
        <v>8</v>
      </c>
      <c r="E3663" s="3">
        <v>2024</v>
      </c>
      <c r="F3663" s="3" t="str">
        <f>"Qtr"&amp; " " &amp;CHOOSE(MONTH(Table1[[#This Row],[Date]]),1,1,1,2,2,2,3,3,3,4,4,4)</f>
        <v>Qtr 3</v>
      </c>
      <c r="G3663" s="3" t="str">
        <f>TEXT(Table1[[#This Row],[Date]],"mmmm")</f>
        <v>August</v>
      </c>
      <c r="H3663" s="3" t="s">
        <v>1080</v>
      </c>
      <c r="I3663" s="3" t="s">
        <v>28</v>
      </c>
      <c r="J3663" s="3">
        <v>9</v>
      </c>
      <c r="K3663" s="3">
        <v>69513.61</v>
      </c>
      <c r="L3663" s="3">
        <f>Table1[[#This Row],[Price Per Unit]]*Table1[[#This Row],[Units Sold]]</f>
        <v>625622.49</v>
      </c>
      <c r="M3663" s="3" t="s">
        <v>321</v>
      </c>
      <c r="N3663" s="3">
        <v>58</v>
      </c>
      <c r="O3663" s="3" t="s">
        <v>20</v>
      </c>
      <c r="P3663" s="3" t="s">
        <v>16</v>
      </c>
      <c r="Q3663" s="4">
        <v>5</v>
      </c>
      <c r="R3663" s="4" t="str">
        <f>IF(Table1[[#This Row],[Customer Ratings]]&gt;=4, "Good",IF(Table1[[#This Row],[Customer Ratings]]=3, "Average","Poor"))</f>
        <v>Good</v>
      </c>
      <c r="S3663" s="3" t="s">
        <v>32</v>
      </c>
    </row>
    <row r="3664" spans="1:19" x14ac:dyDescent="0.25">
      <c r="A3664" s="3">
        <v>3663</v>
      </c>
      <c r="B3664" s="5">
        <f>DATE(Table1[[#This Row],[Year]],Table1[[#This Row],[Month]],Table1[[#This Row],[Day]])</f>
        <v>45522</v>
      </c>
      <c r="C3664" s="3">
        <v>18</v>
      </c>
      <c r="D3664" s="3">
        <v>8</v>
      </c>
      <c r="E3664" s="3">
        <v>2024</v>
      </c>
      <c r="F3664" s="3" t="str">
        <f>"Qtr"&amp; " " &amp;CHOOSE(MONTH(Table1[[#This Row],[Date]]),1,1,1,2,2,2,3,3,3,4,4,4)</f>
        <v>Qtr 3</v>
      </c>
      <c r="G3664" s="3" t="str">
        <f>TEXT(Table1[[#This Row],[Date]],"mmmm")</f>
        <v>August</v>
      </c>
      <c r="H3664" s="3" t="s">
        <v>1080</v>
      </c>
      <c r="I3664" s="3" t="s">
        <v>39</v>
      </c>
      <c r="J3664" s="3">
        <v>3</v>
      </c>
      <c r="K3664" s="3">
        <v>12317</v>
      </c>
      <c r="L3664" s="3">
        <f>Table1[[#This Row],[Price Per Unit]]*Table1[[#This Row],[Units Sold]]</f>
        <v>36951</v>
      </c>
      <c r="M3664" s="3" t="s">
        <v>749</v>
      </c>
      <c r="N3664" s="3">
        <v>23</v>
      </c>
      <c r="O3664" s="3" t="s">
        <v>24</v>
      </c>
      <c r="P3664" s="3" t="s">
        <v>16</v>
      </c>
      <c r="Q3664" s="4">
        <v>4</v>
      </c>
      <c r="R3664" s="4" t="str">
        <f>IF(Table1[[#This Row],[Customer Ratings]]&gt;=4, "Good",IF(Table1[[#This Row],[Customer Ratings]]=3, "Average","Poor"))</f>
        <v>Good</v>
      </c>
      <c r="S3664" s="3" t="s">
        <v>76</v>
      </c>
    </row>
    <row r="3665" spans="1:19" x14ac:dyDescent="0.25">
      <c r="A3665" s="3">
        <v>3664</v>
      </c>
      <c r="B3665" s="5">
        <f>DATE(Table1[[#This Row],[Year]],Table1[[#This Row],[Month]],Table1[[#This Row],[Day]])</f>
        <v>45522</v>
      </c>
      <c r="C3665" s="3">
        <v>18</v>
      </c>
      <c r="D3665" s="3">
        <v>8</v>
      </c>
      <c r="E3665" s="3">
        <v>2024</v>
      </c>
      <c r="F3665" s="3" t="str">
        <f>"Qtr"&amp; " " &amp;CHOOSE(MONTH(Table1[[#This Row],[Date]]),1,1,1,2,2,2,3,3,3,4,4,4)</f>
        <v>Qtr 3</v>
      </c>
      <c r="G3665" s="3" t="str">
        <f>TEXT(Table1[[#This Row],[Date]],"mmmm")</f>
        <v>August</v>
      </c>
      <c r="H3665" s="3" t="s">
        <v>1080</v>
      </c>
      <c r="I3665" s="3" t="s">
        <v>18</v>
      </c>
      <c r="J3665" s="3">
        <v>9</v>
      </c>
      <c r="K3665" s="3">
        <v>17696.61</v>
      </c>
      <c r="L3665" s="3">
        <f>Table1[[#This Row],[Price Per Unit]]*Table1[[#This Row],[Units Sold]]</f>
        <v>159269.49</v>
      </c>
      <c r="M3665" s="3" t="s">
        <v>115</v>
      </c>
      <c r="N3665" s="3">
        <v>50</v>
      </c>
      <c r="O3665" s="3" t="s">
        <v>102</v>
      </c>
      <c r="P3665" s="3" t="s">
        <v>45</v>
      </c>
      <c r="Q3665" s="4">
        <v>4</v>
      </c>
      <c r="R3665" s="4" t="str">
        <f>IF(Table1[[#This Row],[Customer Ratings]]&gt;=4, "Good",IF(Table1[[#This Row],[Customer Ratings]]=3, "Average","Poor"))</f>
        <v>Good</v>
      </c>
      <c r="S3665" s="3" t="s">
        <v>55</v>
      </c>
    </row>
    <row r="3666" spans="1:19" x14ac:dyDescent="0.25">
      <c r="A3666" s="3">
        <v>3665</v>
      </c>
      <c r="B3666" s="5">
        <f>DATE(Table1[[#This Row],[Year]],Table1[[#This Row],[Month]],Table1[[#This Row],[Day]])</f>
        <v>45523</v>
      </c>
      <c r="C3666" s="3">
        <v>19</v>
      </c>
      <c r="D3666" s="3">
        <v>8</v>
      </c>
      <c r="E3666" s="3">
        <v>2024</v>
      </c>
      <c r="F3666" s="3" t="str">
        <f>"Qtr"&amp; " " &amp;CHOOSE(MONTH(Table1[[#This Row],[Date]]),1,1,1,2,2,2,3,3,3,4,4,4)</f>
        <v>Qtr 3</v>
      </c>
      <c r="G3666" s="3" t="str">
        <f>TEXT(Table1[[#This Row],[Date]],"mmmm")</f>
        <v>August</v>
      </c>
      <c r="H3666" s="3" t="s">
        <v>1081</v>
      </c>
      <c r="I3666" s="3" t="s">
        <v>39</v>
      </c>
      <c r="J3666" s="3">
        <v>4</v>
      </c>
      <c r="K3666" s="3">
        <v>23478.33</v>
      </c>
      <c r="L3666" s="3">
        <f>Table1[[#This Row],[Price Per Unit]]*Table1[[#This Row],[Units Sold]]</f>
        <v>93913.32</v>
      </c>
      <c r="M3666" s="3" t="s">
        <v>247</v>
      </c>
      <c r="N3666" s="3">
        <v>54</v>
      </c>
      <c r="O3666" s="3" t="s">
        <v>137</v>
      </c>
      <c r="P3666" s="3" t="s">
        <v>21</v>
      </c>
      <c r="Q3666" s="4">
        <v>5</v>
      </c>
      <c r="R3666" s="4" t="str">
        <f>IF(Table1[[#This Row],[Customer Ratings]]&gt;=4, "Good",IF(Table1[[#This Row],[Customer Ratings]]=3, "Average","Poor"))</f>
        <v>Good</v>
      </c>
      <c r="S3666" s="3" t="s">
        <v>90</v>
      </c>
    </row>
    <row r="3667" spans="1:19" x14ac:dyDescent="0.25">
      <c r="A3667" s="3">
        <v>3666</v>
      </c>
      <c r="B3667" s="5">
        <f>DATE(Table1[[#This Row],[Year]],Table1[[#This Row],[Month]],Table1[[#This Row],[Day]])</f>
        <v>45523</v>
      </c>
      <c r="C3667" s="3">
        <v>19</v>
      </c>
      <c r="D3667" s="3">
        <v>8</v>
      </c>
      <c r="E3667" s="3">
        <v>2024</v>
      </c>
      <c r="F3667" s="3" t="str">
        <f>"Qtr"&amp; " " &amp;CHOOSE(MONTH(Table1[[#This Row],[Date]]),1,1,1,2,2,2,3,3,3,4,4,4)</f>
        <v>Qtr 3</v>
      </c>
      <c r="G3667" s="3" t="str">
        <f>TEXT(Table1[[#This Row],[Date]],"mmmm")</f>
        <v>August</v>
      </c>
      <c r="H3667" s="3" t="s">
        <v>1081</v>
      </c>
      <c r="I3667" s="3" t="s">
        <v>18</v>
      </c>
      <c r="J3667" s="3">
        <v>7</v>
      </c>
      <c r="K3667" s="3">
        <v>58666.36</v>
      </c>
      <c r="L3667" s="3">
        <f>Table1[[#This Row],[Price Per Unit]]*Table1[[#This Row],[Units Sold]]</f>
        <v>410664.52</v>
      </c>
      <c r="M3667" s="3" t="s">
        <v>130</v>
      </c>
      <c r="N3667" s="3">
        <v>59</v>
      </c>
      <c r="O3667" s="3" t="s">
        <v>52</v>
      </c>
      <c r="P3667" s="3" t="s">
        <v>21</v>
      </c>
      <c r="Q3667" s="4">
        <v>2</v>
      </c>
      <c r="R3667" s="4" t="str">
        <f>IF(Table1[[#This Row],[Customer Ratings]]&gt;=4, "Good",IF(Table1[[#This Row],[Customer Ratings]]=3, "Average","Poor"))</f>
        <v>Poor</v>
      </c>
      <c r="S3667" s="3" t="s">
        <v>25</v>
      </c>
    </row>
    <row r="3668" spans="1:19" x14ac:dyDescent="0.25">
      <c r="A3668" s="3">
        <v>3667</v>
      </c>
      <c r="B3668" s="5">
        <f>DATE(Table1[[#This Row],[Year]],Table1[[#This Row],[Month]],Table1[[#This Row],[Day]])</f>
        <v>45523</v>
      </c>
      <c r="C3668" s="3">
        <v>19</v>
      </c>
      <c r="D3668" s="3">
        <v>8</v>
      </c>
      <c r="E3668" s="3">
        <v>2024</v>
      </c>
      <c r="F3668" s="3" t="str">
        <f>"Qtr"&amp; " " &amp;CHOOSE(MONTH(Table1[[#This Row],[Date]]),1,1,1,2,2,2,3,3,3,4,4,4)</f>
        <v>Qtr 3</v>
      </c>
      <c r="G3668" s="3" t="str">
        <f>TEXT(Table1[[#This Row],[Date]],"mmmm")</f>
        <v>August</v>
      </c>
      <c r="H3668" s="3" t="s">
        <v>1081</v>
      </c>
      <c r="I3668" s="3" t="s">
        <v>39</v>
      </c>
      <c r="J3668" s="3">
        <v>9</v>
      </c>
      <c r="K3668" s="3">
        <v>62711.03</v>
      </c>
      <c r="L3668" s="3">
        <f>Table1[[#This Row],[Price Per Unit]]*Table1[[#This Row],[Units Sold]]</f>
        <v>564399.27</v>
      </c>
      <c r="M3668" s="3" t="s">
        <v>593</v>
      </c>
      <c r="N3668" s="3">
        <v>42</v>
      </c>
      <c r="O3668" s="3" t="s">
        <v>20</v>
      </c>
      <c r="P3668" s="3" t="s">
        <v>21</v>
      </c>
      <c r="Q3668" s="4">
        <v>5</v>
      </c>
      <c r="R3668" s="4" t="str">
        <f>IF(Table1[[#This Row],[Customer Ratings]]&gt;=4, "Good",IF(Table1[[#This Row],[Customer Ratings]]=3, "Average","Poor"))</f>
        <v>Good</v>
      </c>
      <c r="S3668" s="3" t="s">
        <v>90</v>
      </c>
    </row>
    <row r="3669" spans="1:19" x14ac:dyDescent="0.25">
      <c r="A3669" s="3">
        <v>3668</v>
      </c>
      <c r="B3669" s="5">
        <f>DATE(Table1[[#This Row],[Year]],Table1[[#This Row],[Month]],Table1[[#This Row],[Day]])</f>
        <v>45524</v>
      </c>
      <c r="C3669" s="3">
        <v>20</v>
      </c>
      <c r="D3669" s="3">
        <v>8</v>
      </c>
      <c r="E3669" s="3">
        <v>2024</v>
      </c>
      <c r="F3669" s="3" t="str">
        <f>"Qtr"&amp; " " &amp;CHOOSE(MONTH(Table1[[#This Row],[Date]]),1,1,1,2,2,2,3,3,3,4,4,4)</f>
        <v>Qtr 3</v>
      </c>
      <c r="G3669" s="3" t="str">
        <f>TEXT(Table1[[#This Row],[Date]],"mmmm")</f>
        <v>August</v>
      </c>
      <c r="H3669" s="3" t="s">
        <v>1082</v>
      </c>
      <c r="I3669" s="3" t="s">
        <v>28</v>
      </c>
      <c r="J3669" s="3">
        <v>2</v>
      </c>
      <c r="K3669" s="3">
        <v>14287.08</v>
      </c>
      <c r="L3669" s="3">
        <f>Table1[[#This Row],[Price Per Unit]]*Table1[[#This Row],[Units Sold]]</f>
        <v>28574.16</v>
      </c>
      <c r="M3669" s="3" t="s">
        <v>466</v>
      </c>
      <c r="N3669" s="3">
        <v>30</v>
      </c>
      <c r="O3669" s="3" t="s">
        <v>24</v>
      </c>
      <c r="P3669" s="3" t="s">
        <v>21</v>
      </c>
      <c r="Q3669" s="4">
        <v>3</v>
      </c>
      <c r="R3669" s="4" t="str">
        <f>IF(Table1[[#This Row],[Customer Ratings]]&gt;=4, "Good",IF(Table1[[#This Row],[Customer Ratings]]=3, "Average","Poor"))</f>
        <v>Average</v>
      </c>
      <c r="S3669" s="3" t="s">
        <v>87</v>
      </c>
    </row>
    <row r="3670" spans="1:19" x14ac:dyDescent="0.25">
      <c r="A3670" s="3">
        <v>3669</v>
      </c>
      <c r="B3670" s="5">
        <f>DATE(Table1[[#This Row],[Year]],Table1[[#This Row],[Month]],Table1[[#This Row],[Day]])</f>
        <v>45524</v>
      </c>
      <c r="C3670" s="3">
        <v>20</v>
      </c>
      <c r="D3670" s="3">
        <v>8</v>
      </c>
      <c r="E3670" s="3">
        <v>2024</v>
      </c>
      <c r="F3670" s="3" t="str">
        <f>"Qtr"&amp; " " &amp;CHOOSE(MONTH(Table1[[#This Row],[Date]]),1,1,1,2,2,2,3,3,3,4,4,4)</f>
        <v>Qtr 3</v>
      </c>
      <c r="G3670" s="3" t="str">
        <f>TEXT(Table1[[#This Row],[Date]],"mmmm")</f>
        <v>August</v>
      </c>
      <c r="H3670" s="3" t="s">
        <v>1082</v>
      </c>
      <c r="I3670" s="3" t="s">
        <v>13</v>
      </c>
      <c r="J3670" s="3">
        <v>2</v>
      </c>
      <c r="K3670" s="3">
        <v>11947.61</v>
      </c>
      <c r="L3670" s="3">
        <f>Table1[[#This Row],[Price Per Unit]]*Table1[[#This Row],[Units Sold]]</f>
        <v>23895.22</v>
      </c>
      <c r="M3670" s="3" t="s">
        <v>348</v>
      </c>
      <c r="N3670" s="3">
        <v>40</v>
      </c>
      <c r="O3670" s="3" t="s">
        <v>41</v>
      </c>
      <c r="P3670" s="3" t="s">
        <v>16</v>
      </c>
      <c r="Q3670" s="4">
        <v>4</v>
      </c>
      <c r="R3670" s="4" t="str">
        <f>IF(Table1[[#This Row],[Customer Ratings]]&gt;=4, "Good",IF(Table1[[#This Row],[Customer Ratings]]=3, "Average","Poor"))</f>
        <v>Good</v>
      </c>
      <c r="S3670" s="3" t="s">
        <v>17</v>
      </c>
    </row>
    <row r="3671" spans="1:19" x14ac:dyDescent="0.25">
      <c r="A3671" s="3">
        <v>3670</v>
      </c>
      <c r="B3671" s="5">
        <f>DATE(Table1[[#This Row],[Year]],Table1[[#This Row],[Month]],Table1[[#This Row],[Day]])</f>
        <v>45524</v>
      </c>
      <c r="C3671" s="3">
        <v>20</v>
      </c>
      <c r="D3671" s="3">
        <v>8</v>
      </c>
      <c r="E3671" s="3">
        <v>2024</v>
      </c>
      <c r="F3671" s="3" t="str">
        <f>"Qtr"&amp; " " &amp;CHOOSE(MONTH(Table1[[#This Row],[Date]]),1,1,1,2,2,2,3,3,3,4,4,4)</f>
        <v>Qtr 3</v>
      </c>
      <c r="G3671" s="3" t="str">
        <f>TEXT(Table1[[#This Row],[Date]],"mmmm")</f>
        <v>August</v>
      </c>
      <c r="H3671" s="3" t="s">
        <v>1082</v>
      </c>
      <c r="I3671" s="3" t="s">
        <v>28</v>
      </c>
      <c r="J3671" s="3">
        <v>9</v>
      </c>
      <c r="K3671" s="3">
        <v>54673.41</v>
      </c>
      <c r="L3671" s="3">
        <f>Table1[[#This Row],[Price Per Unit]]*Table1[[#This Row],[Units Sold]]</f>
        <v>492060.69000000006</v>
      </c>
      <c r="M3671" s="3" t="s">
        <v>436</v>
      </c>
      <c r="N3671" s="3">
        <v>53</v>
      </c>
      <c r="O3671" s="3" t="s">
        <v>20</v>
      </c>
      <c r="P3671" s="3" t="s">
        <v>45</v>
      </c>
      <c r="Q3671" s="4">
        <v>4</v>
      </c>
      <c r="R3671" s="4" t="str">
        <f>IF(Table1[[#This Row],[Customer Ratings]]&gt;=4, "Good",IF(Table1[[#This Row],[Customer Ratings]]=3, "Average","Poor"))</f>
        <v>Good</v>
      </c>
      <c r="S3671" s="3" t="s">
        <v>32</v>
      </c>
    </row>
    <row r="3672" spans="1:19" x14ac:dyDescent="0.25">
      <c r="A3672" s="3">
        <v>3671</v>
      </c>
      <c r="B3672" s="5">
        <f>DATE(Table1[[#This Row],[Year]],Table1[[#This Row],[Month]],Table1[[#This Row],[Day]])</f>
        <v>45525</v>
      </c>
      <c r="C3672" s="3">
        <v>21</v>
      </c>
      <c r="D3672" s="3">
        <v>8</v>
      </c>
      <c r="E3672" s="3">
        <v>2024</v>
      </c>
      <c r="F3672" s="3" t="str">
        <f>"Qtr"&amp; " " &amp;CHOOSE(MONTH(Table1[[#This Row],[Date]]),1,1,1,2,2,2,3,3,3,4,4,4)</f>
        <v>Qtr 3</v>
      </c>
      <c r="G3672" s="3" t="str">
        <f>TEXT(Table1[[#This Row],[Date]],"mmmm")</f>
        <v>August</v>
      </c>
      <c r="H3672" s="3" t="s">
        <v>1083</v>
      </c>
      <c r="I3672" s="3" t="s">
        <v>33</v>
      </c>
      <c r="J3672" s="3">
        <v>3</v>
      </c>
      <c r="K3672" s="3">
        <v>18001.12</v>
      </c>
      <c r="L3672" s="3">
        <f>Table1[[#This Row],[Price Per Unit]]*Table1[[#This Row],[Units Sold]]</f>
        <v>54003.360000000001</v>
      </c>
      <c r="M3672" s="3" t="s">
        <v>276</v>
      </c>
      <c r="N3672" s="3">
        <v>50</v>
      </c>
      <c r="O3672" s="3" t="s">
        <v>41</v>
      </c>
      <c r="P3672" s="3" t="s">
        <v>45</v>
      </c>
      <c r="Q3672" s="4">
        <v>4</v>
      </c>
      <c r="R3672" s="4" t="str">
        <f>IF(Table1[[#This Row],[Customer Ratings]]&gt;=4, "Good",IF(Table1[[#This Row],[Customer Ratings]]=3, "Average","Poor"))</f>
        <v>Good</v>
      </c>
      <c r="S3672" s="3" t="s">
        <v>36</v>
      </c>
    </row>
    <row r="3673" spans="1:19" x14ac:dyDescent="0.25">
      <c r="A3673" s="3">
        <v>3672</v>
      </c>
      <c r="B3673" s="5">
        <f>DATE(Table1[[#This Row],[Year]],Table1[[#This Row],[Month]],Table1[[#This Row],[Day]])</f>
        <v>45525</v>
      </c>
      <c r="C3673" s="3">
        <v>21</v>
      </c>
      <c r="D3673" s="3">
        <v>8</v>
      </c>
      <c r="E3673" s="3">
        <v>2024</v>
      </c>
      <c r="F3673" s="3" t="str">
        <f>"Qtr"&amp; " " &amp;CHOOSE(MONTH(Table1[[#This Row],[Date]]),1,1,1,2,2,2,3,3,3,4,4,4)</f>
        <v>Qtr 3</v>
      </c>
      <c r="G3673" s="3" t="str">
        <f>TEXT(Table1[[#This Row],[Date]],"mmmm")</f>
        <v>August</v>
      </c>
      <c r="H3673" s="3" t="s">
        <v>1083</v>
      </c>
      <c r="I3673" s="3" t="s">
        <v>13</v>
      </c>
      <c r="J3673" s="3">
        <v>9</v>
      </c>
      <c r="K3673" s="3">
        <v>17979.919999999998</v>
      </c>
      <c r="L3673" s="3">
        <f>Table1[[#This Row],[Price Per Unit]]*Table1[[#This Row],[Units Sold]]</f>
        <v>161819.27999999997</v>
      </c>
      <c r="M3673" s="3" t="s">
        <v>901</v>
      </c>
      <c r="N3673" s="3">
        <v>38</v>
      </c>
      <c r="O3673" s="3" t="s">
        <v>24</v>
      </c>
      <c r="P3673" s="3" t="s">
        <v>21</v>
      </c>
      <c r="Q3673" s="4">
        <v>2</v>
      </c>
      <c r="R3673" s="4" t="str">
        <f>IF(Table1[[#This Row],[Customer Ratings]]&gt;=4, "Good",IF(Table1[[#This Row],[Customer Ratings]]=3, "Average","Poor"))</f>
        <v>Poor</v>
      </c>
      <c r="S3673" s="3" t="s">
        <v>17</v>
      </c>
    </row>
    <row r="3674" spans="1:19" x14ac:dyDescent="0.25">
      <c r="A3674" s="3">
        <v>3673</v>
      </c>
      <c r="B3674" s="5">
        <f>DATE(Table1[[#This Row],[Year]],Table1[[#This Row],[Month]],Table1[[#This Row],[Day]])</f>
        <v>45525</v>
      </c>
      <c r="C3674" s="3">
        <v>21</v>
      </c>
      <c r="D3674" s="3">
        <v>8</v>
      </c>
      <c r="E3674" s="3">
        <v>2024</v>
      </c>
      <c r="F3674" s="3" t="str">
        <f>"Qtr"&amp; " " &amp;CHOOSE(MONTH(Table1[[#This Row],[Date]]),1,1,1,2,2,2,3,3,3,4,4,4)</f>
        <v>Qtr 3</v>
      </c>
      <c r="G3674" s="3" t="str">
        <f>TEXT(Table1[[#This Row],[Date]],"mmmm")</f>
        <v>August</v>
      </c>
      <c r="H3674" s="3" t="s">
        <v>1083</v>
      </c>
      <c r="I3674" s="3" t="s">
        <v>28</v>
      </c>
      <c r="J3674" s="3">
        <v>5</v>
      </c>
      <c r="K3674" s="3">
        <v>11341.99</v>
      </c>
      <c r="L3674" s="3">
        <f>Table1[[#This Row],[Price Per Unit]]*Table1[[#This Row],[Units Sold]]</f>
        <v>56709.95</v>
      </c>
      <c r="M3674" s="3" t="s">
        <v>222</v>
      </c>
      <c r="N3674" s="3">
        <v>51</v>
      </c>
      <c r="O3674" s="3" t="s">
        <v>125</v>
      </c>
      <c r="P3674" s="3" t="s">
        <v>16</v>
      </c>
      <c r="Q3674" s="4">
        <v>5</v>
      </c>
      <c r="R3674" s="4" t="str">
        <f>IF(Table1[[#This Row],[Customer Ratings]]&gt;=4, "Good",IF(Table1[[#This Row],[Customer Ratings]]=3, "Average","Poor"))</f>
        <v>Good</v>
      </c>
      <c r="S3674" s="3" t="s">
        <v>87</v>
      </c>
    </row>
    <row r="3675" spans="1:19" x14ac:dyDescent="0.25">
      <c r="A3675" s="3">
        <v>3674</v>
      </c>
      <c r="B3675" s="5">
        <f>DATE(Table1[[#This Row],[Year]],Table1[[#This Row],[Month]],Table1[[#This Row],[Day]])</f>
        <v>45526</v>
      </c>
      <c r="C3675" s="3">
        <v>22</v>
      </c>
      <c r="D3675" s="3">
        <v>8</v>
      </c>
      <c r="E3675" s="3">
        <v>2024</v>
      </c>
      <c r="F3675" s="3" t="str">
        <f>"Qtr"&amp; " " &amp;CHOOSE(MONTH(Table1[[#This Row],[Date]]),1,1,1,2,2,2,3,3,3,4,4,4)</f>
        <v>Qtr 3</v>
      </c>
      <c r="G3675" s="3" t="str">
        <f>TEXT(Table1[[#This Row],[Date]],"mmmm")</f>
        <v>August</v>
      </c>
      <c r="H3675" s="3" t="s">
        <v>1084</v>
      </c>
      <c r="I3675" s="3" t="s">
        <v>33</v>
      </c>
      <c r="J3675" s="3">
        <v>6</v>
      </c>
      <c r="K3675" s="3">
        <v>12988.47</v>
      </c>
      <c r="L3675" s="3">
        <f>Table1[[#This Row],[Price Per Unit]]*Table1[[#This Row],[Units Sold]]</f>
        <v>77930.819999999992</v>
      </c>
      <c r="M3675" s="3" t="s">
        <v>89</v>
      </c>
      <c r="N3675" s="3">
        <v>53</v>
      </c>
      <c r="O3675" s="3" t="s">
        <v>24</v>
      </c>
      <c r="P3675" s="3" t="s">
        <v>21</v>
      </c>
      <c r="Q3675" s="4">
        <v>2</v>
      </c>
      <c r="R3675" s="4" t="str">
        <f>IF(Table1[[#This Row],[Customer Ratings]]&gt;=4, "Good",IF(Table1[[#This Row],[Customer Ratings]]=3, "Average","Poor"))</f>
        <v>Poor</v>
      </c>
      <c r="S3675" s="3" t="s">
        <v>83</v>
      </c>
    </row>
    <row r="3676" spans="1:19" x14ac:dyDescent="0.25">
      <c r="A3676" s="3">
        <v>3675</v>
      </c>
      <c r="B3676" s="5">
        <f>DATE(Table1[[#This Row],[Year]],Table1[[#This Row],[Month]],Table1[[#This Row],[Day]])</f>
        <v>45526</v>
      </c>
      <c r="C3676" s="3">
        <v>22</v>
      </c>
      <c r="D3676" s="3">
        <v>8</v>
      </c>
      <c r="E3676" s="3">
        <v>2024</v>
      </c>
      <c r="F3676" s="3" t="str">
        <f>"Qtr"&amp; " " &amp;CHOOSE(MONTH(Table1[[#This Row],[Date]]),1,1,1,2,2,2,3,3,3,4,4,4)</f>
        <v>Qtr 3</v>
      </c>
      <c r="G3676" s="3" t="str">
        <f>TEXT(Table1[[#This Row],[Date]],"mmmm")</f>
        <v>August</v>
      </c>
      <c r="H3676" s="3" t="s">
        <v>1084</v>
      </c>
      <c r="I3676" s="3" t="s">
        <v>18</v>
      </c>
      <c r="J3676" s="3">
        <v>2</v>
      </c>
      <c r="K3676" s="3">
        <v>25820.53</v>
      </c>
      <c r="L3676" s="3">
        <f>Table1[[#This Row],[Price Per Unit]]*Table1[[#This Row],[Units Sold]]</f>
        <v>51641.06</v>
      </c>
      <c r="M3676" s="3" t="s">
        <v>235</v>
      </c>
      <c r="N3676" s="3">
        <v>34</v>
      </c>
      <c r="O3676" s="3" t="s">
        <v>30</v>
      </c>
      <c r="P3676" s="3" t="s">
        <v>21</v>
      </c>
      <c r="Q3676" s="4">
        <v>4</v>
      </c>
      <c r="R3676" s="4" t="str">
        <f>IF(Table1[[#This Row],[Customer Ratings]]&gt;=4, "Good",IF(Table1[[#This Row],[Customer Ratings]]=3, "Average","Poor"))</f>
        <v>Good</v>
      </c>
      <c r="S3676" s="3" t="s">
        <v>55</v>
      </c>
    </row>
    <row r="3677" spans="1:19" x14ac:dyDescent="0.25">
      <c r="A3677" s="3">
        <v>3676</v>
      </c>
      <c r="B3677" s="5">
        <f>DATE(Table1[[#This Row],[Year]],Table1[[#This Row],[Month]],Table1[[#This Row],[Day]])</f>
        <v>45526</v>
      </c>
      <c r="C3677" s="3">
        <v>22</v>
      </c>
      <c r="D3677" s="3">
        <v>8</v>
      </c>
      <c r="E3677" s="3">
        <v>2024</v>
      </c>
      <c r="F3677" s="3" t="str">
        <f>"Qtr"&amp; " " &amp;CHOOSE(MONTH(Table1[[#This Row],[Date]]),1,1,1,2,2,2,3,3,3,4,4,4)</f>
        <v>Qtr 3</v>
      </c>
      <c r="G3677" s="3" t="str">
        <f>TEXT(Table1[[#This Row],[Date]],"mmmm")</f>
        <v>August</v>
      </c>
      <c r="H3677" s="3" t="s">
        <v>1084</v>
      </c>
      <c r="I3677" s="3" t="s">
        <v>18</v>
      </c>
      <c r="J3677" s="3">
        <v>8</v>
      </c>
      <c r="K3677" s="3">
        <v>13900.33</v>
      </c>
      <c r="L3677" s="3">
        <f>Table1[[#This Row],[Price Per Unit]]*Table1[[#This Row],[Units Sold]]</f>
        <v>111202.64</v>
      </c>
      <c r="M3677" s="3" t="s">
        <v>322</v>
      </c>
      <c r="N3677" s="3">
        <v>27</v>
      </c>
      <c r="O3677" s="3" t="s">
        <v>58</v>
      </c>
      <c r="P3677" s="3" t="s">
        <v>45</v>
      </c>
      <c r="Q3677" s="4">
        <v>5</v>
      </c>
      <c r="R3677" s="4" t="str">
        <f>IF(Table1[[#This Row],[Customer Ratings]]&gt;=4, "Good",IF(Table1[[#This Row],[Customer Ratings]]=3, "Average","Poor"))</f>
        <v>Good</v>
      </c>
      <c r="S3677" s="3" t="s">
        <v>22</v>
      </c>
    </row>
    <row r="3678" spans="1:19" x14ac:dyDescent="0.25">
      <c r="A3678" s="3">
        <v>3677</v>
      </c>
      <c r="B3678" s="5">
        <f>DATE(Table1[[#This Row],[Year]],Table1[[#This Row],[Month]],Table1[[#This Row],[Day]])</f>
        <v>45527</v>
      </c>
      <c r="C3678" s="3">
        <v>23</v>
      </c>
      <c r="D3678" s="3">
        <v>8</v>
      </c>
      <c r="E3678" s="3">
        <v>2024</v>
      </c>
      <c r="F3678" s="3" t="str">
        <f>"Qtr"&amp; " " &amp;CHOOSE(MONTH(Table1[[#This Row],[Date]]),1,1,1,2,2,2,3,3,3,4,4,4)</f>
        <v>Qtr 3</v>
      </c>
      <c r="G3678" s="3" t="str">
        <f>TEXT(Table1[[#This Row],[Date]],"mmmm")</f>
        <v>August</v>
      </c>
      <c r="H3678" s="3" t="s">
        <v>1085</v>
      </c>
      <c r="I3678" s="3" t="s">
        <v>39</v>
      </c>
      <c r="J3678" s="3">
        <v>9</v>
      </c>
      <c r="K3678" s="3">
        <v>32132.75</v>
      </c>
      <c r="L3678" s="3">
        <f>Table1[[#This Row],[Price Per Unit]]*Table1[[#This Row],[Units Sold]]</f>
        <v>289194.75</v>
      </c>
      <c r="M3678" s="3" t="s">
        <v>736</v>
      </c>
      <c r="N3678" s="3">
        <v>40</v>
      </c>
      <c r="O3678" s="3" t="s">
        <v>20</v>
      </c>
      <c r="P3678" s="3" t="s">
        <v>45</v>
      </c>
      <c r="Q3678" s="4">
        <v>4</v>
      </c>
      <c r="R3678" s="4" t="str">
        <f>IF(Table1[[#This Row],[Customer Ratings]]&gt;=4, "Good",IF(Table1[[#This Row],[Customer Ratings]]=3, "Average","Poor"))</f>
        <v>Good</v>
      </c>
      <c r="S3678" s="3" t="s">
        <v>76</v>
      </c>
    </row>
    <row r="3679" spans="1:19" x14ac:dyDescent="0.25">
      <c r="A3679" s="3">
        <v>3678</v>
      </c>
      <c r="B3679" s="5">
        <f>DATE(Table1[[#This Row],[Year]],Table1[[#This Row],[Month]],Table1[[#This Row],[Day]])</f>
        <v>45527</v>
      </c>
      <c r="C3679" s="3">
        <v>23</v>
      </c>
      <c r="D3679" s="3">
        <v>8</v>
      </c>
      <c r="E3679" s="3">
        <v>2024</v>
      </c>
      <c r="F3679" s="3" t="str">
        <f>"Qtr"&amp; " " &amp;CHOOSE(MONTH(Table1[[#This Row],[Date]]),1,1,1,2,2,2,3,3,3,4,4,4)</f>
        <v>Qtr 3</v>
      </c>
      <c r="G3679" s="3" t="str">
        <f>TEXT(Table1[[#This Row],[Date]],"mmmm")</f>
        <v>August</v>
      </c>
      <c r="H3679" s="3" t="s">
        <v>1085</v>
      </c>
      <c r="I3679" s="3" t="s">
        <v>13</v>
      </c>
      <c r="J3679" s="3">
        <v>2</v>
      </c>
      <c r="K3679" s="3">
        <v>59966.5</v>
      </c>
      <c r="L3679" s="3">
        <f>Table1[[#This Row],[Price Per Unit]]*Table1[[#This Row],[Units Sold]]</f>
        <v>119933</v>
      </c>
      <c r="M3679" s="3" t="s">
        <v>966</v>
      </c>
      <c r="N3679" s="3">
        <v>19</v>
      </c>
      <c r="O3679" s="3" t="s">
        <v>15</v>
      </c>
      <c r="P3679" s="3" t="s">
        <v>21</v>
      </c>
      <c r="Q3679" s="4">
        <v>5</v>
      </c>
      <c r="R3679" s="4" t="str">
        <f>IF(Table1[[#This Row],[Customer Ratings]]&gt;=4, "Good",IF(Table1[[#This Row],[Customer Ratings]]=3, "Average","Poor"))</f>
        <v>Good</v>
      </c>
      <c r="S3679" s="3" t="s">
        <v>17</v>
      </c>
    </row>
    <row r="3680" spans="1:19" x14ac:dyDescent="0.25">
      <c r="A3680" s="3">
        <v>3679</v>
      </c>
      <c r="B3680" s="5">
        <f>DATE(Table1[[#This Row],[Year]],Table1[[#This Row],[Month]],Table1[[#This Row],[Day]])</f>
        <v>45527</v>
      </c>
      <c r="C3680" s="3">
        <v>23</v>
      </c>
      <c r="D3680" s="3">
        <v>8</v>
      </c>
      <c r="E3680" s="3">
        <v>2024</v>
      </c>
      <c r="F3680" s="3" t="str">
        <f>"Qtr"&amp; " " &amp;CHOOSE(MONTH(Table1[[#This Row],[Date]]),1,1,1,2,2,2,3,3,3,4,4,4)</f>
        <v>Qtr 3</v>
      </c>
      <c r="G3680" s="3" t="str">
        <f>TEXT(Table1[[#This Row],[Date]],"mmmm")</f>
        <v>August</v>
      </c>
      <c r="H3680" s="3" t="s">
        <v>1085</v>
      </c>
      <c r="I3680" s="3" t="s">
        <v>18</v>
      </c>
      <c r="J3680" s="3">
        <v>6</v>
      </c>
      <c r="K3680" s="3">
        <v>29579.22</v>
      </c>
      <c r="L3680" s="3">
        <f>Table1[[#This Row],[Price Per Unit]]*Table1[[#This Row],[Units Sold]]</f>
        <v>177475.32</v>
      </c>
      <c r="M3680" s="3" t="s">
        <v>699</v>
      </c>
      <c r="N3680" s="3">
        <v>52</v>
      </c>
      <c r="O3680" s="3" t="s">
        <v>125</v>
      </c>
      <c r="P3680" s="3" t="s">
        <v>16</v>
      </c>
      <c r="Q3680" s="4">
        <v>5</v>
      </c>
      <c r="R3680" s="4" t="str">
        <f>IF(Table1[[#This Row],[Customer Ratings]]&gt;=4, "Good",IF(Table1[[#This Row],[Customer Ratings]]=3, "Average","Poor"))</f>
        <v>Good</v>
      </c>
      <c r="S3680" s="3" t="s">
        <v>22</v>
      </c>
    </row>
    <row r="3681" spans="1:19" x14ac:dyDescent="0.25">
      <c r="A3681" s="3">
        <v>3680</v>
      </c>
      <c r="B3681" s="5">
        <f>DATE(Table1[[#This Row],[Year]],Table1[[#This Row],[Month]],Table1[[#This Row],[Day]])</f>
        <v>45528</v>
      </c>
      <c r="C3681" s="3">
        <v>24</v>
      </c>
      <c r="D3681" s="3">
        <v>8</v>
      </c>
      <c r="E3681" s="3">
        <v>2024</v>
      </c>
      <c r="F3681" s="3" t="str">
        <f>"Qtr"&amp; " " &amp;CHOOSE(MONTH(Table1[[#This Row],[Date]]),1,1,1,2,2,2,3,3,3,4,4,4)</f>
        <v>Qtr 3</v>
      </c>
      <c r="G3681" s="3" t="str">
        <f>TEXT(Table1[[#This Row],[Date]],"mmmm")</f>
        <v>August</v>
      </c>
      <c r="H3681" s="3" t="s">
        <v>1079</v>
      </c>
      <c r="I3681" s="3" t="s">
        <v>13</v>
      </c>
      <c r="J3681" s="3">
        <v>6</v>
      </c>
      <c r="K3681" s="3">
        <v>53670.05</v>
      </c>
      <c r="L3681" s="3">
        <f>Table1[[#This Row],[Price Per Unit]]*Table1[[#This Row],[Units Sold]]</f>
        <v>322020.30000000005</v>
      </c>
      <c r="M3681" s="3" t="s">
        <v>585</v>
      </c>
      <c r="N3681" s="3">
        <v>31</v>
      </c>
      <c r="O3681" s="3" t="s">
        <v>81</v>
      </c>
      <c r="P3681" s="3" t="s">
        <v>21</v>
      </c>
      <c r="Q3681" s="4">
        <v>4</v>
      </c>
      <c r="R3681" s="4" t="str">
        <f>IF(Table1[[#This Row],[Customer Ratings]]&gt;=4, "Good",IF(Table1[[#This Row],[Customer Ratings]]=3, "Average","Poor"))</f>
        <v>Good</v>
      </c>
      <c r="S3681" s="3" t="s">
        <v>72</v>
      </c>
    </row>
    <row r="3682" spans="1:19" x14ac:dyDescent="0.25">
      <c r="A3682" s="3">
        <v>3681</v>
      </c>
      <c r="B3682" s="5">
        <f>DATE(Table1[[#This Row],[Year]],Table1[[#This Row],[Month]],Table1[[#This Row],[Day]])</f>
        <v>45528</v>
      </c>
      <c r="C3682" s="3">
        <v>24</v>
      </c>
      <c r="D3682" s="3">
        <v>8</v>
      </c>
      <c r="E3682" s="3">
        <v>2024</v>
      </c>
      <c r="F3682" s="3" t="str">
        <f>"Qtr"&amp; " " &amp;CHOOSE(MONTH(Table1[[#This Row],[Date]]),1,1,1,2,2,2,3,3,3,4,4,4)</f>
        <v>Qtr 3</v>
      </c>
      <c r="G3682" s="3" t="str">
        <f>TEXT(Table1[[#This Row],[Date]],"mmmm")</f>
        <v>August</v>
      </c>
      <c r="H3682" s="3" t="s">
        <v>1079</v>
      </c>
      <c r="I3682" s="3" t="s">
        <v>18</v>
      </c>
      <c r="J3682" s="3">
        <v>8</v>
      </c>
      <c r="K3682" s="3">
        <v>15634.6</v>
      </c>
      <c r="L3682" s="3">
        <f>Table1[[#This Row],[Price Per Unit]]*Table1[[#This Row],[Units Sold]]</f>
        <v>125076.8</v>
      </c>
      <c r="M3682" s="3" t="s">
        <v>485</v>
      </c>
      <c r="N3682" s="3">
        <v>58</v>
      </c>
      <c r="O3682" s="3" t="s">
        <v>20</v>
      </c>
      <c r="P3682" s="3" t="s">
        <v>45</v>
      </c>
      <c r="Q3682" s="4">
        <v>4</v>
      </c>
      <c r="R3682" s="4" t="str">
        <f>IF(Table1[[#This Row],[Customer Ratings]]&gt;=4, "Good",IF(Table1[[#This Row],[Customer Ratings]]=3, "Average","Poor"))</f>
        <v>Good</v>
      </c>
      <c r="S3682" s="3" t="s">
        <v>55</v>
      </c>
    </row>
    <row r="3683" spans="1:19" x14ac:dyDescent="0.25">
      <c r="A3683" s="3">
        <v>3682</v>
      </c>
      <c r="B3683" s="5">
        <f>DATE(Table1[[#This Row],[Year]],Table1[[#This Row],[Month]],Table1[[#This Row],[Day]])</f>
        <v>45528</v>
      </c>
      <c r="C3683" s="3">
        <v>24</v>
      </c>
      <c r="D3683" s="3">
        <v>8</v>
      </c>
      <c r="E3683" s="3">
        <v>2024</v>
      </c>
      <c r="F3683" s="3" t="str">
        <f>"Qtr"&amp; " " &amp;CHOOSE(MONTH(Table1[[#This Row],[Date]]),1,1,1,2,2,2,3,3,3,4,4,4)</f>
        <v>Qtr 3</v>
      </c>
      <c r="G3683" s="3" t="str">
        <f>TEXT(Table1[[#This Row],[Date]],"mmmm")</f>
        <v>August</v>
      </c>
      <c r="H3683" s="3" t="s">
        <v>1079</v>
      </c>
      <c r="I3683" s="3" t="s">
        <v>39</v>
      </c>
      <c r="J3683" s="3">
        <v>5</v>
      </c>
      <c r="K3683" s="3">
        <v>49562.51</v>
      </c>
      <c r="L3683" s="3">
        <f>Table1[[#This Row],[Price Per Unit]]*Table1[[#This Row],[Units Sold]]</f>
        <v>247812.55000000002</v>
      </c>
      <c r="M3683" s="3" t="s">
        <v>818</v>
      </c>
      <c r="N3683" s="3">
        <v>19</v>
      </c>
      <c r="O3683" s="3" t="s">
        <v>137</v>
      </c>
      <c r="P3683" s="3" t="s">
        <v>45</v>
      </c>
      <c r="Q3683" s="4">
        <v>5</v>
      </c>
      <c r="R3683" s="4" t="str">
        <f>IF(Table1[[#This Row],[Customer Ratings]]&gt;=4, "Good",IF(Table1[[#This Row],[Customer Ratings]]=3, "Average","Poor"))</f>
        <v>Good</v>
      </c>
      <c r="S3683" s="3" t="s">
        <v>42</v>
      </c>
    </row>
    <row r="3684" spans="1:19" x14ac:dyDescent="0.25">
      <c r="A3684" s="3">
        <v>3683</v>
      </c>
      <c r="B3684" s="5">
        <f>DATE(Table1[[#This Row],[Year]],Table1[[#This Row],[Month]],Table1[[#This Row],[Day]])</f>
        <v>45528</v>
      </c>
      <c r="C3684" s="3">
        <v>24</v>
      </c>
      <c r="D3684" s="3">
        <v>8</v>
      </c>
      <c r="E3684" s="3">
        <v>2024</v>
      </c>
      <c r="F3684" s="3" t="str">
        <f>"Qtr"&amp; " " &amp;CHOOSE(MONTH(Table1[[#This Row],[Date]]),1,1,1,2,2,2,3,3,3,4,4,4)</f>
        <v>Qtr 3</v>
      </c>
      <c r="G3684" s="3" t="str">
        <f>TEXT(Table1[[#This Row],[Date]],"mmmm")</f>
        <v>August</v>
      </c>
      <c r="H3684" s="3" t="s">
        <v>1079</v>
      </c>
      <c r="I3684" s="3" t="s">
        <v>28</v>
      </c>
      <c r="J3684" s="3">
        <v>9</v>
      </c>
      <c r="K3684" s="3">
        <v>29004.83</v>
      </c>
      <c r="L3684" s="3">
        <f>Table1[[#This Row],[Price Per Unit]]*Table1[[#This Row],[Units Sold]]</f>
        <v>261043.47000000003</v>
      </c>
      <c r="M3684" s="3" t="s">
        <v>995</v>
      </c>
      <c r="N3684" s="3">
        <v>36</v>
      </c>
      <c r="O3684" s="3" t="s">
        <v>24</v>
      </c>
      <c r="P3684" s="3" t="s">
        <v>16</v>
      </c>
      <c r="Q3684" s="4">
        <v>2</v>
      </c>
      <c r="R3684" s="4" t="str">
        <f>IF(Table1[[#This Row],[Customer Ratings]]&gt;=4, "Good",IF(Table1[[#This Row],[Customer Ratings]]=3, "Average","Poor"))</f>
        <v>Poor</v>
      </c>
      <c r="S3684" s="3" t="s">
        <v>87</v>
      </c>
    </row>
    <row r="3685" spans="1:19" x14ac:dyDescent="0.25">
      <c r="A3685" s="3">
        <v>3684</v>
      </c>
      <c r="B3685" s="5">
        <f>DATE(Table1[[#This Row],[Year]],Table1[[#This Row],[Month]],Table1[[#This Row],[Day]])</f>
        <v>45529</v>
      </c>
      <c r="C3685" s="3">
        <v>25</v>
      </c>
      <c r="D3685" s="3">
        <v>8</v>
      </c>
      <c r="E3685" s="3">
        <v>2024</v>
      </c>
      <c r="F3685" s="3" t="str">
        <f>"Qtr"&amp; " " &amp;CHOOSE(MONTH(Table1[[#This Row],[Date]]),1,1,1,2,2,2,3,3,3,4,4,4)</f>
        <v>Qtr 3</v>
      </c>
      <c r="G3685" s="3" t="str">
        <f>TEXT(Table1[[#This Row],[Date]],"mmmm")</f>
        <v>August</v>
      </c>
      <c r="H3685" s="3" t="s">
        <v>1080</v>
      </c>
      <c r="I3685" s="3" t="s">
        <v>39</v>
      </c>
      <c r="J3685" s="3">
        <v>1</v>
      </c>
      <c r="K3685" s="3">
        <v>54985.17</v>
      </c>
      <c r="L3685" s="3">
        <f>Table1[[#This Row],[Price Per Unit]]*Table1[[#This Row],[Units Sold]]</f>
        <v>54985.17</v>
      </c>
      <c r="M3685" s="3" t="s">
        <v>126</v>
      </c>
      <c r="N3685" s="3">
        <v>33</v>
      </c>
      <c r="O3685" s="3" t="s">
        <v>52</v>
      </c>
      <c r="P3685" s="3" t="s">
        <v>21</v>
      </c>
      <c r="Q3685" s="4">
        <v>2</v>
      </c>
      <c r="R3685" s="4" t="str">
        <f>IF(Table1[[#This Row],[Customer Ratings]]&gt;=4, "Good",IF(Table1[[#This Row],[Customer Ratings]]=3, "Average","Poor"))</f>
        <v>Poor</v>
      </c>
      <c r="S3685" s="3" t="s">
        <v>42</v>
      </c>
    </row>
    <row r="3686" spans="1:19" x14ac:dyDescent="0.25">
      <c r="A3686" s="3">
        <v>3685</v>
      </c>
      <c r="B3686" s="5">
        <f>DATE(Table1[[#This Row],[Year]],Table1[[#This Row],[Month]],Table1[[#This Row],[Day]])</f>
        <v>45529</v>
      </c>
      <c r="C3686" s="3">
        <v>25</v>
      </c>
      <c r="D3686" s="3">
        <v>8</v>
      </c>
      <c r="E3686" s="3">
        <v>2024</v>
      </c>
      <c r="F3686" s="3" t="str">
        <f>"Qtr"&amp; " " &amp;CHOOSE(MONTH(Table1[[#This Row],[Date]]),1,1,1,2,2,2,3,3,3,4,4,4)</f>
        <v>Qtr 3</v>
      </c>
      <c r="G3686" s="3" t="str">
        <f>TEXT(Table1[[#This Row],[Date]],"mmmm")</f>
        <v>August</v>
      </c>
      <c r="H3686" s="3" t="s">
        <v>1080</v>
      </c>
      <c r="I3686" s="3" t="s">
        <v>33</v>
      </c>
      <c r="J3686" s="3">
        <v>9</v>
      </c>
      <c r="K3686" s="3">
        <v>18175.12</v>
      </c>
      <c r="L3686" s="3">
        <f>Table1[[#This Row],[Price Per Unit]]*Table1[[#This Row],[Units Sold]]</f>
        <v>163576.07999999999</v>
      </c>
      <c r="M3686" s="3" t="s">
        <v>865</v>
      </c>
      <c r="N3686" s="3">
        <v>42</v>
      </c>
      <c r="O3686" s="3" t="s">
        <v>24</v>
      </c>
      <c r="P3686" s="3" t="s">
        <v>21</v>
      </c>
      <c r="Q3686" s="4">
        <v>2</v>
      </c>
      <c r="R3686" s="4" t="str">
        <f>IF(Table1[[#This Row],[Customer Ratings]]&gt;=4, "Good",IF(Table1[[#This Row],[Customer Ratings]]=3, "Average","Poor"))</f>
        <v>Poor</v>
      </c>
      <c r="S3686" s="3" t="s">
        <v>36</v>
      </c>
    </row>
    <row r="3687" spans="1:19" x14ac:dyDescent="0.25">
      <c r="A3687" s="3">
        <v>3686</v>
      </c>
      <c r="B3687" s="5">
        <f>DATE(Table1[[#This Row],[Year]],Table1[[#This Row],[Month]],Table1[[#This Row],[Day]])</f>
        <v>45529</v>
      </c>
      <c r="C3687" s="3">
        <v>25</v>
      </c>
      <c r="D3687" s="3">
        <v>8</v>
      </c>
      <c r="E3687" s="3">
        <v>2024</v>
      </c>
      <c r="F3687" s="3" t="str">
        <f>"Qtr"&amp; " " &amp;CHOOSE(MONTH(Table1[[#This Row],[Date]]),1,1,1,2,2,2,3,3,3,4,4,4)</f>
        <v>Qtr 3</v>
      </c>
      <c r="G3687" s="3" t="str">
        <f>TEXT(Table1[[#This Row],[Date]],"mmmm")</f>
        <v>August</v>
      </c>
      <c r="H3687" s="3" t="s">
        <v>1080</v>
      </c>
      <c r="I3687" s="3" t="s">
        <v>18</v>
      </c>
      <c r="J3687" s="3">
        <v>7</v>
      </c>
      <c r="K3687" s="3">
        <v>63873</v>
      </c>
      <c r="L3687" s="3">
        <f>Table1[[#This Row],[Price Per Unit]]*Table1[[#This Row],[Units Sold]]</f>
        <v>447111</v>
      </c>
      <c r="M3687" s="3" t="s">
        <v>654</v>
      </c>
      <c r="N3687" s="3">
        <v>18</v>
      </c>
      <c r="O3687" s="3" t="s">
        <v>125</v>
      </c>
      <c r="P3687" s="3" t="s">
        <v>31</v>
      </c>
      <c r="Q3687" s="4">
        <v>3</v>
      </c>
      <c r="R3687" s="4" t="str">
        <f>IF(Table1[[#This Row],[Customer Ratings]]&gt;=4, "Good",IF(Table1[[#This Row],[Customer Ratings]]=3, "Average","Poor"))</f>
        <v>Average</v>
      </c>
      <c r="S3687" s="3" t="s">
        <v>22</v>
      </c>
    </row>
    <row r="3688" spans="1:19" x14ac:dyDescent="0.25">
      <c r="A3688" s="3">
        <v>3687</v>
      </c>
      <c r="B3688" s="5">
        <f>DATE(Table1[[#This Row],[Year]],Table1[[#This Row],[Month]],Table1[[#This Row],[Day]])</f>
        <v>45530</v>
      </c>
      <c r="C3688" s="3">
        <v>26</v>
      </c>
      <c r="D3688" s="3">
        <v>8</v>
      </c>
      <c r="E3688" s="3">
        <v>2024</v>
      </c>
      <c r="F3688" s="3" t="str">
        <f>"Qtr"&amp; " " &amp;CHOOSE(MONTH(Table1[[#This Row],[Date]]),1,1,1,2,2,2,3,3,3,4,4,4)</f>
        <v>Qtr 3</v>
      </c>
      <c r="G3688" s="3" t="str">
        <f>TEXT(Table1[[#This Row],[Date]],"mmmm")</f>
        <v>August</v>
      </c>
      <c r="H3688" s="3" t="s">
        <v>1081</v>
      </c>
      <c r="I3688" s="3" t="s">
        <v>33</v>
      </c>
      <c r="J3688" s="3">
        <v>4</v>
      </c>
      <c r="K3688" s="3">
        <v>24554.63</v>
      </c>
      <c r="L3688" s="3">
        <f>Table1[[#This Row],[Price Per Unit]]*Table1[[#This Row],[Units Sold]]</f>
        <v>98218.52</v>
      </c>
      <c r="M3688" s="3" t="s">
        <v>516</v>
      </c>
      <c r="N3688" s="3">
        <v>19</v>
      </c>
      <c r="O3688" s="3" t="s">
        <v>20</v>
      </c>
      <c r="P3688" s="3" t="s">
        <v>21</v>
      </c>
      <c r="Q3688" s="4">
        <v>5</v>
      </c>
      <c r="R3688" s="4" t="str">
        <f>IF(Table1[[#This Row],[Customer Ratings]]&gt;=4, "Good",IF(Table1[[#This Row],[Customer Ratings]]=3, "Average","Poor"))</f>
        <v>Good</v>
      </c>
      <c r="S3688" s="3" t="s">
        <v>83</v>
      </c>
    </row>
    <row r="3689" spans="1:19" x14ac:dyDescent="0.25">
      <c r="A3689" s="3">
        <v>3688</v>
      </c>
      <c r="B3689" s="5">
        <f>DATE(Table1[[#This Row],[Year]],Table1[[#This Row],[Month]],Table1[[#This Row],[Day]])</f>
        <v>45530</v>
      </c>
      <c r="C3689" s="3">
        <v>26</v>
      </c>
      <c r="D3689" s="3">
        <v>8</v>
      </c>
      <c r="E3689" s="3">
        <v>2024</v>
      </c>
      <c r="F3689" s="3" t="str">
        <f>"Qtr"&amp; " " &amp;CHOOSE(MONTH(Table1[[#This Row],[Date]]),1,1,1,2,2,2,3,3,3,4,4,4)</f>
        <v>Qtr 3</v>
      </c>
      <c r="G3689" s="3" t="str">
        <f>TEXT(Table1[[#This Row],[Date]],"mmmm")</f>
        <v>August</v>
      </c>
      <c r="H3689" s="3" t="s">
        <v>1081</v>
      </c>
      <c r="I3689" s="3" t="s">
        <v>33</v>
      </c>
      <c r="J3689" s="3">
        <v>3</v>
      </c>
      <c r="K3689" s="3">
        <v>31188.27</v>
      </c>
      <c r="L3689" s="3">
        <f>Table1[[#This Row],[Price Per Unit]]*Table1[[#This Row],[Units Sold]]</f>
        <v>93564.81</v>
      </c>
      <c r="M3689" s="3" t="s">
        <v>1011</v>
      </c>
      <c r="N3689" s="3">
        <v>44</v>
      </c>
      <c r="O3689" s="3" t="s">
        <v>20</v>
      </c>
      <c r="P3689" s="3" t="s">
        <v>16</v>
      </c>
      <c r="Q3689" s="4">
        <v>3</v>
      </c>
      <c r="R3689" s="4" t="str">
        <f>IF(Table1[[#This Row],[Customer Ratings]]&gt;=4, "Good",IF(Table1[[#This Row],[Customer Ratings]]=3, "Average","Poor"))</f>
        <v>Average</v>
      </c>
      <c r="S3689" s="3" t="s">
        <v>46</v>
      </c>
    </row>
    <row r="3690" spans="1:19" x14ac:dyDescent="0.25">
      <c r="A3690" s="3">
        <v>3689</v>
      </c>
      <c r="B3690" s="5">
        <f>DATE(Table1[[#This Row],[Year]],Table1[[#This Row],[Month]],Table1[[#This Row],[Day]])</f>
        <v>45530</v>
      </c>
      <c r="C3690" s="3">
        <v>26</v>
      </c>
      <c r="D3690" s="3">
        <v>8</v>
      </c>
      <c r="E3690" s="3">
        <v>2024</v>
      </c>
      <c r="F3690" s="3" t="str">
        <f>"Qtr"&amp; " " &amp;CHOOSE(MONTH(Table1[[#This Row],[Date]]),1,1,1,2,2,2,3,3,3,4,4,4)</f>
        <v>Qtr 3</v>
      </c>
      <c r="G3690" s="3" t="str">
        <f>TEXT(Table1[[#This Row],[Date]],"mmmm")</f>
        <v>August</v>
      </c>
      <c r="H3690" s="3" t="s">
        <v>1081</v>
      </c>
      <c r="I3690" s="3" t="s">
        <v>13</v>
      </c>
      <c r="J3690" s="3">
        <v>6</v>
      </c>
      <c r="K3690" s="3">
        <v>67010.84</v>
      </c>
      <c r="L3690" s="3">
        <f>Table1[[#This Row],[Price Per Unit]]*Table1[[#This Row],[Units Sold]]</f>
        <v>402065.04</v>
      </c>
      <c r="M3690" s="3" t="s">
        <v>872</v>
      </c>
      <c r="N3690" s="3">
        <v>19</v>
      </c>
      <c r="O3690" s="3" t="s">
        <v>20</v>
      </c>
      <c r="P3690" s="3" t="s">
        <v>45</v>
      </c>
      <c r="Q3690" s="4">
        <v>3</v>
      </c>
      <c r="R3690" s="4" t="str">
        <f>IF(Table1[[#This Row],[Customer Ratings]]&gt;=4, "Good",IF(Table1[[#This Row],[Customer Ratings]]=3, "Average","Poor"))</f>
        <v>Average</v>
      </c>
      <c r="S3690" s="3" t="s">
        <v>17</v>
      </c>
    </row>
    <row r="3691" spans="1:19" x14ac:dyDescent="0.25">
      <c r="A3691" s="3">
        <v>3690</v>
      </c>
      <c r="B3691" s="5">
        <f>DATE(Table1[[#This Row],[Year]],Table1[[#This Row],[Month]],Table1[[#This Row],[Day]])</f>
        <v>45531</v>
      </c>
      <c r="C3691" s="3">
        <v>27</v>
      </c>
      <c r="D3691" s="3">
        <v>8</v>
      </c>
      <c r="E3691" s="3">
        <v>2024</v>
      </c>
      <c r="F3691" s="3" t="str">
        <f>"Qtr"&amp; " " &amp;CHOOSE(MONTH(Table1[[#This Row],[Date]]),1,1,1,2,2,2,3,3,3,4,4,4)</f>
        <v>Qtr 3</v>
      </c>
      <c r="G3691" s="3" t="str">
        <f>TEXT(Table1[[#This Row],[Date]],"mmmm")</f>
        <v>August</v>
      </c>
      <c r="H3691" s="3" t="s">
        <v>1082</v>
      </c>
      <c r="I3691" s="3" t="s">
        <v>18</v>
      </c>
      <c r="J3691" s="3">
        <v>1</v>
      </c>
      <c r="K3691" s="3">
        <v>44708.94</v>
      </c>
      <c r="L3691" s="3">
        <f>Table1[[#This Row],[Price Per Unit]]*Table1[[#This Row],[Units Sold]]</f>
        <v>44708.94</v>
      </c>
      <c r="M3691" s="3" t="s">
        <v>43</v>
      </c>
      <c r="N3691" s="3">
        <v>47</v>
      </c>
      <c r="O3691" s="3" t="s">
        <v>24</v>
      </c>
      <c r="P3691" s="3" t="s">
        <v>31</v>
      </c>
      <c r="Q3691" s="4">
        <v>5</v>
      </c>
      <c r="R3691" s="4" t="str">
        <f>IF(Table1[[#This Row],[Customer Ratings]]&gt;=4, "Good",IF(Table1[[#This Row],[Customer Ratings]]=3, "Average","Poor"))</f>
        <v>Good</v>
      </c>
      <c r="S3691" s="3" t="s">
        <v>25</v>
      </c>
    </row>
    <row r="3692" spans="1:19" x14ac:dyDescent="0.25">
      <c r="A3692" s="3">
        <v>3691</v>
      </c>
      <c r="B3692" s="5">
        <f>DATE(Table1[[#This Row],[Year]],Table1[[#This Row],[Month]],Table1[[#This Row],[Day]])</f>
        <v>45531</v>
      </c>
      <c r="C3692" s="3">
        <v>27</v>
      </c>
      <c r="D3692" s="3">
        <v>8</v>
      </c>
      <c r="E3692" s="3">
        <v>2024</v>
      </c>
      <c r="F3692" s="3" t="str">
        <f>"Qtr"&amp; " " &amp;CHOOSE(MONTH(Table1[[#This Row],[Date]]),1,1,1,2,2,2,3,3,3,4,4,4)</f>
        <v>Qtr 3</v>
      </c>
      <c r="G3692" s="3" t="str">
        <f>TEXT(Table1[[#This Row],[Date]],"mmmm")</f>
        <v>August</v>
      </c>
      <c r="H3692" s="3" t="s">
        <v>1082</v>
      </c>
      <c r="I3692" s="3" t="s">
        <v>33</v>
      </c>
      <c r="J3692" s="3">
        <v>3</v>
      </c>
      <c r="K3692" s="3">
        <v>31946.29</v>
      </c>
      <c r="L3692" s="3">
        <f>Table1[[#This Row],[Price Per Unit]]*Table1[[#This Row],[Units Sold]]</f>
        <v>95838.87</v>
      </c>
      <c r="M3692" s="3" t="s">
        <v>773</v>
      </c>
      <c r="N3692" s="3">
        <v>27</v>
      </c>
      <c r="O3692" s="3" t="s">
        <v>125</v>
      </c>
      <c r="P3692" s="3" t="s">
        <v>16</v>
      </c>
      <c r="Q3692" s="4">
        <v>3</v>
      </c>
      <c r="R3692" s="4" t="str">
        <f>IF(Table1[[#This Row],[Customer Ratings]]&gt;=4, "Good",IF(Table1[[#This Row],[Customer Ratings]]=3, "Average","Poor"))</f>
        <v>Average</v>
      </c>
      <c r="S3692" s="3" t="s">
        <v>83</v>
      </c>
    </row>
    <row r="3693" spans="1:19" x14ac:dyDescent="0.25">
      <c r="A3693" s="3">
        <v>3692</v>
      </c>
      <c r="B3693" s="5">
        <f>DATE(Table1[[#This Row],[Year]],Table1[[#This Row],[Month]],Table1[[#This Row],[Day]])</f>
        <v>45531</v>
      </c>
      <c r="C3693" s="3">
        <v>27</v>
      </c>
      <c r="D3693" s="3">
        <v>8</v>
      </c>
      <c r="E3693" s="3">
        <v>2024</v>
      </c>
      <c r="F3693" s="3" t="str">
        <f>"Qtr"&amp; " " &amp;CHOOSE(MONTH(Table1[[#This Row],[Date]]),1,1,1,2,2,2,3,3,3,4,4,4)</f>
        <v>Qtr 3</v>
      </c>
      <c r="G3693" s="3" t="str">
        <f>TEXT(Table1[[#This Row],[Date]],"mmmm")</f>
        <v>August</v>
      </c>
      <c r="H3693" s="3" t="s">
        <v>1082</v>
      </c>
      <c r="I3693" s="3" t="s">
        <v>28</v>
      </c>
      <c r="J3693" s="3">
        <v>2</v>
      </c>
      <c r="K3693" s="3">
        <v>66976.13</v>
      </c>
      <c r="L3693" s="3">
        <f>Table1[[#This Row],[Price Per Unit]]*Table1[[#This Row],[Units Sold]]</f>
        <v>133952.26</v>
      </c>
      <c r="M3693" s="3" t="s">
        <v>364</v>
      </c>
      <c r="N3693" s="3">
        <v>36</v>
      </c>
      <c r="O3693" s="3" t="s">
        <v>15</v>
      </c>
      <c r="P3693" s="3" t="s">
        <v>16</v>
      </c>
      <c r="Q3693" s="4">
        <v>5</v>
      </c>
      <c r="R3693" s="4" t="str">
        <f>IF(Table1[[#This Row],[Customer Ratings]]&gt;=4, "Good",IF(Table1[[#This Row],[Customer Ratings]]=3, "Average","Poor"))</f>
        <v>Good</v>
      </c>
      <c r="S3693" s="3" t="s">
        <v>38</v>
      </c>
    </row>
    <row r="3694" spans="1:19" x14ac:dyDescent="0.25">
      <c r="A3694" s="3">
        <v>3693</v>
      </c>
      <c r="B3694" s="5">
        <f>DATE(Table1[[#This Row],[Year]],Table1[[#This Row],[Month]],Table1[[#This Row],[Day]])</f>
        <v>45532</v>
      </c>
      <c r="C3694" s="3">
        <v>28</v>
      </c>
      <c r="D3694" s="3">
        <v>8</v>
      </c>
      <c r="E3694" s="3">
        <v>2024</v>
      </c>
      <c r="F3694" s="3" t="str">
        <f>"Qtr"&amp; " " &amp;CHOOSE(MONTH(Table1[[#This Row],[Date]]),1,1,1,2,2,2,3,3,3,4,4,4)</f>
        <v>Qtr 3</v>
      </c>
      <c r="G3694" s="3" t="str">
        <f>TEXT(Table1[[#This Row],[Date]],"mmmm")</f>
        <v>August</v>
      </c>
      <c r="H3694" s="3" t="s">
        <v>1083</v>
      </c>
      <c r="I3694" s="3" t="s">
        <v>33</v>
      </c>
      <c r="J3694" s="3">
        <v>9</v>
      </c>
      <c r="K3694" s="3">
        <v>29744.65</v>
      </c>
      <c r="L3694" s="3">
        <f>Table1[[#This Row],[Price Per Unit]]*Table1[[#This Row],[Units Sold]]</f>
        <v>267701.85000000003</v>
      </c>
      <c r="M3694" s="3" t="s">
        <v>940</v>
      </c>
      <c r="N3694" s="3">
        <v>59</v>
      </c>
      <c r="O3694" s="3" t="s">
        <v>58</v>
      </c>
      <c r="P3694" s="3" t="s">
        <v>31</v>
      </c>
      <c r="Q3694" s="4">
        <v>5</v>
      </c>
      <c r="R3694" s="4" t="str">
        <f>IF(Table1[[#This Row],[Customer Ratings]]&gt;=4, "Good",IF(Table1[[#This Row],[Customer Ratings]]=3, "Average","Poor"))</f>
        <v>Good</v>
      </c>
      <c r="S3694" s="3" t="s">
        <v>83</v>
      </c>
    </row>
    <row r="3695" spans="1:19" x14ac:dyDescent="0.25">
      <c r="A3695" s="3">
        <v>3694</v>
      </c>
      <c r="B3695" s="5">
        <f>DATE(Table1[[#This Row],[Year]],Table1[[#This Row],[Month]],Table1[[#This Row],[Day]])</f>
        <v>45532</v>
      </c>
      <c r="C3695" s="3">
        <v>28</v>
      </c>
      <c r="D3695" s="3">
        <v>8</v>
      </c>
      <c r="E3695" s="3">
        <v>2024</v>
      </c>
      <c r="F3695" s="3" t="str">
        <f>"Qtr"&amp; " " &amp;CHOOSE(MONTH(Table1[[#This Row],[Date]]),1,1,1,2,2,2,3,3,3,4,4,4)</f>
        <v>Qtr 3</v>
      </c>
      <c r="G3695" s="3" t="str">
        <f>TEXT(Table1[[#This Row],[Date]],"mmmm")</f>
        <v>August</v>
      </c>
      <c r="H3695" s="3" t="s">
        <v>1083</v>
      </c>
      <c r="I3695" s="3" t="s">
        <v>28</v>
      </c>
      <c r="J3695" s="3">
        <v>3</v>
      </c>
      <c r="K3695" s="3">
        <v>15692.24</v>
      </c>
      <c r="L3695" s="3">
        <f>Table1[[#This Row],[Price Per Unit]]*Table1[[#This Row],[Units Sold]]</f>
        <v>47076.72</v>
      </c>
      <c r="M3695" s="3" t="s">
        <v>1042</v>
      </c>
      <c r="N3695" s="3">
        <v>33</v>
      </c>
      <c r="O3695" s="3" t="s">
        <v>20</v>
      </c>
      <c r="P3695" s="3" t="s">
        <v>21</v>
      </c>
      <c r="Q3695" s="4">
        <v>5</v>
      </c>
      <c r="R3695" s="4" t="str">
        <f>IF(Table1[[#This Row],[Customer Ratings]]&gt;=4, "Good",IF(Table1[[#This Row],[Customer Ratings]]=3, "Average","Poor"))</f>
        <v>Good</v>
      </c>
      <c r="S3695" s="3" t="s">
        <v>38</v>
      </c>
    </row>
    <row r="3696" spans="1:19" x14ac:dyDescent="0.25">
      <c r="A3696" s="3">
        <v>3695</v>
      </c>
      <c r="B3696" s="5">
        <f>DATE(Table1[[#This Row],[Year]],Table1[[#This Row],[Month]],Table1[[#This Row],[Day]])</f>
        <v>45532</v>
      </c>
      <c r="C3696" s="3">
        <v>28</v>
      </c>
      <c r="D3696" s="3">
        <v>8</v>
      </c>
      <c r="E3696" s="3">
        <v>2024</v>
      </c>
      <c r="F3696" s="3" t="str">
        <f>"Qtr"&amp; " " &amp;CHOOSE(MONTH(Table1[[#This Row],[Date]]),1,1,1,2,2,2,3,3,3,4,4,4)</f>
        <v>Qtr 3</v>
      </c>
      <c r="G3696" s="3" t="str">
        <f>TEXT(Table1[[#This Row],[Date]],"mmmm")</f>
        <v>August</v>
      </c>
      <c r="H3696" s="3" t="s">
        <v>1083</v>
      </c>
      <c r="I3696" s="3" t="s">
        <v>13</v>
      </c>
      <c r="J3696" s="3">
        <v>2</v>
      </c>
      <c r="K3696" s="3">
        <v>69810.929999999993</v>
      </c>
      <c r="L3696" s="3">
        <f>Table1[[#This Row],[Price Per Unit]]*Table1[[#This Row],[Units Sold]]</f>
        <v>139621.85999999999</v>
      </c>
      <c r="M3696" s="3" t="s">
        <v>250</v>
      </c>
      <c r="N3696" s="3">
        <v>30</v>
      </c>
      <c r="O3696" s="3" t="s">
        <v>54</v>
      </c>
      <c r="P3696" s="3" t="s">
        <v>31</v>
      </c>
      <c r="Q3696" s="4">
        <v>5</v>
      </c>
      <c r="R3696" s="4" t="str">
        <f>IF(Table1[[#This Row],[Customer Ratings]]&gt;=4, "Good",IF(Table1[[#This Row],[Customer Ratings]]=3, "Average","Poor"))</f>
        <v>Good</v>
      </c>
      <c r="S3696" s="3" t="s">
        <v>72</v>
      </c>
    </row>
    <row r="3697" spans="1:19" x14ac:dyDescent="0.25">
      <c r="A3697" s="3">
        <v>3696</v>
      </c>
      <c r="B3697" s="5">
        <f>DATE(Table1[[#This Row],[Year]],Table1[[#This Row],[Month]],Table1[[#This Row],[Day]])</f>
        <v>45533</v>
      </c>
      <c r="C3697" s="3">
        <v>29</v>
      </c>
      <c r="D3697" s="3">
        <v>8</v>
      </c>
      <c r="E3697" s="3">
        <v>2024</v>
      </c>
      <c r="F3697" s="3" t="str">
        <f>"Qtr"&amp; " " &amp;CHOOSE(MONTH(Table1[[#This Row],[Date]]),1,1,1,2,2,2,3,3,3,4,4,4)</f>
        <v>Qtr 3</v>
      </c>
      <c r="G3697" s="3" t="str">
        <f>TEXT(Table1[[#This Row],[Date]],"mmmm")</f>
        <v>August</v>
      </c>
      <c r="H3697" s="3" t="s">
        <v>1084</v>
      </c>
      <c r="I3697" s="3" t="s">
        <v>33</v>
      </c>
      <c r="J3697" s="3">
        <v>4</v>
      </c>
      <c r="K3697" s="3">
        <v>26070.7</v>
      </c>
      <c r="L3697" s="3">
        <f>Table1[[#This Row],[Price Per Unit]]*Table1[[#This Row],[Units Sold]]</f>
        <v>104282.8</v>
      </c>
      <c r="M3697" s="3" t="s">
        <v>533</v>
      </c>
      <c r="N3697" s="3">
        <v>25</v>
      </c>
      <c r="O3697" s="3" t="s">
        <v>24</v>
      </c>
      <c r="P3697" s="3" t="s">
        <v>16</v>
      </c>
      <c r="Q3697" s="4">
        <v>5</v>
      </c>
      <c r="R3697" s="4" t="str">
        <f>IF(Table1[[#This Row],[Customer Ratings]]&gt;=4, "Good",IF(Table1[[#This Row],[Customer Ratings]]=3, "Average","Poor"))</f>
        <v>Good</v>
      </c>
      <c r="S3697" s="3" t="s">
        <v>83</v>
      </c>
    </row>
    <row r="3698" spans="1:19" x14ac:dyDescent="0.25">
      <c r="A3698" s="3">
        <v>3697</v>
      </c>
      <c r="B3698" s="5">
        <f>DATE(Table1[[#This Row],[Year]],Table1[[#This Row],[Month]],Table1[[#This Row],[Day]])</f>
        <v>45533</v>
      </c>
      <c r="C3698" s="3">
        <v>29</v>
      </c>
      <c r="D3698" s="3">
        <v>8</v>
      </c>
      <c r="E3698" s="3">
        <v>2024</v>
      </c>
      <c r="F3698" s="3" t="str">
        <f>"Qtr"&amp; " " &amp;CHOOSE(MONTH(Table1[[#This Row],[Date]]),1,1,1,2,2,2,3,3,3,4,4,4)</f>
        <v>Qtr 3</v>
      </c>
      <c r="G3698" s="3" t="str">
        <f>TEXT(Table1[[#This Row],[Date]],"mmmm")</f>
        <v>August</v>
      </c>
      <c r="H3698" s="3" t="s">
        <v>1084</v>
      </c>
      <c r="I3698" s="3" t="s">
        <v>39</v>
      </c>
      <c r="J3698" s="3">
        <v>2</v>
      </c>
      <c r="K3698" s="3">
        <v>61075.47</v>
      </c>
      <c r="L3698" s="3">
        <f>Table1[[#This Row],[Price Per Unit]]*Table1[[#This Row],[Units Sold]]</f>
        <v>122150.94</v>
      </c>
      <c r="M3698" s="3" t="s">
        <v>577</v>
      </c>
      <c r="N3698" s="3">
        <v>48</v>
      </c>
      <c r="O3698" s="3" t="s">
        <v>24</v>
      </c>
      <c r="P3698" s="3" t="s">
        <v>21</v>
      </c>
      <c r="Q3698" s="4">
        <v>5</v>
      </c>
      <c r="R3698" s="4" t="str">
        <f>IF(Table1[[#This Row],[Customer Ratings]]&gt;=4, "Good",IF(Table1[[#This Row],[Customer Ratings]]=3, "Average","Poor"))</f>
        <v>Good</v>
      </c>
      <c r="S3698" s="3" t="s">
        <v>42</v>
      </c>
    </row>
    <row r="3699" spans="1:19" x14ac:dyDescent="0.25">
      <c r="A3699" s="3">
        <v>3698</v>
      </c>
      <c r="B3699" s="5">
        <f>DATE(Table1[[#This Row],[Year]],Table1[[#This Row],[Month]],Table1[[#This Row],[Day]])</f>
        <v>45533</v>
      </c>
      <c r="C3699" s="3">
        <v>29</v>
      </c>
      <c r="D3699" s="3">
        <v>8</v>
      </c>
      <c r="E3699" s="3">
        <v>2024</v>
      </c>
      <c r="F3699" s="3" t="str">
        <f>"Qtr"&amp; " " &amp;CHOOSE(MONTH(Table1[[#This Row],[Date]]),1,1,1,2,2,2,3,3,3,4,4,4)</f>
        <v>Qtr 3</v>
      </c>
      <c r="G3699" s="3" t="str">
        <f>TEXT(Table1[[#This Row],[Date]],"mmmm")</f>
        <v>August</v>
      </c>
      <c r="H3699" s="3" t="s">
        <v>1084</v>
      </c>
      <c r="I3699" s="3" t="s">
        <v>13</v>
      </c>
      <c r="J3699" s="3">
        <v>1</v>
      </c>
      <c r="K3699" s="3">
        <v>19932.45</v>
      </c>
      <c r="L3699" s="3">
        <f>Table1[[#This Row],[Price Per Unit]]*Table1[[#This Row],[Units Sold]]</f>
        <v>19932.45</v>
      </c>
      <c r="M3699" s="3" t="s">
        <v>206</v>
      </c>
      <c r="N3699" s="3">
        <v>42</v>
      </c>
      <c r="O3699" s="3" t="s">
        <v>24</v>
      </c>
      <c r="P3699" s="3" t="s">
        <v>45</v>
      </c>
      <c r="Q3699" s="4">
        <v>2</v>
      </c>
      <c r="R3699" s="4" t="str">
        <f>IF(Table1[[#This Row],[Customer Ratings]]&gt;=4, "Good",IF(Table1[[#This Row],[Customer Ratings]]=3, "Average","Poor"))</f>
        <v>Poor</v>
      </c>
      <c r="S3699" s="3" t="s">
        <v>27</v>
      </c>
    </row>
    <row r="3700" spans="1:19" x14ac:dyDescent="0.25">
      <c r="A3700" s="3">
        <v>3699</v>
      </c>
      <c r="B3700" s="5">
        <f>DATE(Table1[[#This Row],[Year]],Table1[[#This Row],[Month]],Table1[[#This Row],[Day]])</f>
        <v>45534</v>
      </c>
      <c r="C3700" s="3">
        <v>30</v>
      </c>
      <c r="D3700" s="3">
        <v>8</v>
      </c>
      <c r="E3700" s="3">
        <v>2024</v>
      </c>
      <c r="F3700" s="3" t="str">
        <f>"Qtr"&amp; " " &amp;CHOOSE(MONTH(Table1[[#This Row],[Date]]),1,1,1,2,2,2,3,3,3,4,4,4)</f>
        <v>Qtr 3</v>
      </c>
      <c r="G3700" s="3" t="str">
        <f>TEXT(Table1[[#This Row],[Date]],"mmmm")</f>
        <v>August</v>
      </c>
      <c r="H3700" s="3" t="s">
        <v>1085</v>
      </c>
      <c r="I3700" s="3" t="s">
        <v>28</v>
      </c>
      <c r="J3700" s="3">
        <v>6</v>
      </c>
      <c r="K3700" s="3">
        <v>53881.24</v>
      </c>
      <c r="L3700" s="3">
        <f>Table1[[#This Row],[Price Per Unit]]*Table1[[#This Row],[Units Sold]]</f>
        <v>323287.44</v>
      </c>
      <c r="M3700" s="3" t="s">
        <v>914</v>
      </c>
      <c r="N3700" s="3">
        <v>56</v>
      </c>
      <c r="O3700" s="3" t="s">
        <v>30</v>
      </c>
      <c r="P3700" s="3" t="s">
        <v>31</v>
      </c>
      <c r="Q3700" s="4">
        <v>5</v>
      </c>
      <c r="R3700" s="4" t="str">
        <f>IF(Table1[[#This Row],[Customer Ratings]]&gt;=4, "Good",IF(Table1[[#This Row],[Customer Ratings]]=3, "Average","Poor"))</f>
        <v>Good</v>
      </c>
      <c r="S3700" s="3" t="s">
        <v>38</v>
      </c>
    </row>
    <row r="3701" spans="1:19" x14ac:dyDescent="0.25">
      <c r="A3701" s="3">
        <v>3700</v>
      </c>
      <c r="B3701" s="5">
        <f>DATE(Table1[[#This Row],[Year]],Table1[[#This Row],[Month]],Table1[[#This Row],[Day]])</f>
        <v>45534</v>
      </c>
      <c r="C3701" s="3">
        <v>30</v>
      </c>
      <c r="D3701" s="3">
        <v>8</v>
      </c>
      <c r="E3701" s="3">
        <v>2024</v>
      </c>
      <c r="F3701" s="3" t="str">
        <f>"Qtr"&amp; " " &amp;CHOOSE(MONTH(Table1[[#This Row],[Date]]),1,1,1,2,2,2,3,3,3,4,4,4)</f>
        <v>Qtr 3</v>
      </c>
      <c r="G3701" s="3" t="str">
        <f>TEXT(Table1[[#This Row],[Date]],"mmmm")</f>
        <v>August</v>
      </c>
      <c r="H3701" s="3" t="s">
        <v>1085</v>
      </c>
      <c r="I3701" s="3" t="s">
        <v>13</v>
      </c>
      <c r="J3701" s="3">
        <v>8</v>
      </c>
      <c r="K3701" s="3">
        <v>41466.959999999999</v>
      </c>
      <c r="L3701" s="3">
        <f>Table1[[#This Row],[Price Per Unit]]*Table1[[#This Row],[Units Sold]]</f>
        <v>331735.67999999999</v>
      </c>
      <c r="M3701" s="3" t="s">
        <v>431</v>
      </c>
      <c r="N3701" s="3">
        <v>38</v>
      </c>
      <c r="O3701" s="3" t="s">
        <v>120</v>
      </c>
      <c r="P3701" s="3" t="s">
        <v>16</v>
      </c>
      <c r="Q3701" s="4">
        <v>4</v>
      </c>
      <c r="R3701" s="4" t="str">
        <f>IF(Table1[[#This Row],[Customer Ratings]]&gt;=4, "Good",IF(Table1[[#This Row],[Customer Ratings]]=3, "Average","Poor"))</f>
        <v>Good</v>
      </c>
      <c r="S3701" s="3" t="s">
        <v>17</v>
      </c>
    </row>
    <row r="3702" spans="1:19" x14ac:dyDescent="0.25">
      <c r="A3702" s="3">
        <v>3701</v>
      </c>
      <c r="B3702" s="5">
        <f>DATE(Table1[[#This Row],[Year]],Table1[[#This Row],[Month]],Table1[[#This Row],[Day]])</f>
        <v>45534</v>
      </c>
      <c r="C3702" s="3">
        <v>30</v>
      </c>
      <c r="D3702" s="3">
        <v>8</v>
      </c>
      <c r="E3702" s="3">
        <v>2024</v>
      </c>
      <c r="F3702" s="3" t="str">
        <f>"Qtr"&amp; " " &amp;CHOOSE(MONTH(Table1[[#This Row],[Date]]),1,1,1,2,2,2,3,3,3,4,4,4)</f>
        <v>Qtr 3</v>
      </c>
      <c r="G3702" s="3" t="str">
        <f>TEXT(Table1[[#This Row],[Date]],"mmmm")</f>
        <v>August</v>
      </c>
      <c r="H3702" s="3" t="s">
        <v>1085</v>
      </c>
      <c r="I3702" s="3" t="s">
        <v>33</v>
      </c>
      <c r="J3702" s="3">
        <v>2</v>
      </c>
      <c r="K3702" s="3">
        <v>68854.39</v>
      </c>
      <c r="L3702" s="3">
        <f>Table1[[#This Row],[Price Per Unit]]*Table1[[#This Row],[Units Sold]]</f>
        <v>137708.78</v>
      </c>
      <c r="M3702" s="3" t="s">
        <v>661</v>
      </c>
      <c r="N3702" s="3">
        <v>55</v>
      </c>
      <c r="O3702" s="3" t="s">
        <v>20</v>
      </c>
      <c r="P3702" s="3" t="s">
        <v>21</v>
      </c>
      <c r="Q3702" s="4">
        <v>5</v>
      </c>
      <c r="R3702" s="4" t="str">
        <f>IF(Table1[[#This Row],[Customer Ratings]]&gt;=4, "Good",IF(Table1[[#This Row],[Customer Ratings]]=3, "Average","Poor"))</f>
        <v>Good</v>
      </c>
      <c r="S3702" s="3" t="s">
        <v>36</v>
      </c>
    </row>
    <row r="3703" spans="1:19" x14ac:dyDescent="0.25">
      <c r="A3703" s="3">
        <v>3702</v>
      </c>
      <c r="B3703" s="5">
        <f>DATE(Table1[[#This Row],[Year]],Table1[[#This Row],[Month]],Table1[[#This Row],[Day]])</f>
        <v>45534</v>
      </c>
      <c r="C3703" s="3">
        <v>30</v>
      </c>
      <c r="D3703" s="3">
        <v>8</v>
      </c>
      <c r="E3703" s="3">
        <v>2024</v>
      </c>
      <c r="F3703" s="3" t="str">
        <f>"Qtr"&amp; " " &amp;CHOOSE(MONTH(Table1[[#This Row],[Date]]),1,1,1,2,2,2,3,3,3,4,4,4)</f>
        <v>Qtr 3</v>
      </c>
      <c r="G3703" s="3" t="str">
        <f>TEXT(Table1[[#This Row],[Date]],"mmmm")</f>
        <v>August</v>
      </c>
      <c r="H3703" s="3" t="s">
        <v>1085</v>
      </c>
      <c r="I3703" s="3" t="s">
        <v>18</v>
      </c>
      <c r="J3703" s="3">
        <v>9</v>
      </c>
      <c r="K3703" s="3">
        <v>43169.82</v>
      </c>
      <c r="L3703" s="3">
        <f>Table1[[#This Row],[Price Per Unit]]*Table1[[#This Row],[Units Sold]]</f>
        <v>388528.38</v>
      </c>
      <c r="M3703" s="3" t="s">
        <v>708</v>
      </c>
      <c r="N3703" s="3">
        <v>58</v>
      </c>
      <c r="O3703" s="3" t="s">
        <v>20</v>
      </c>
      <c r="P3703" s="3" t="s">
        <v>16</v>
      </c>
      <c r="Q3703" s="4">
        <v>5</v>
      </c>
      <c r="R3703" s="4" t="str">
        <f>IF(Table1[[#This Row],[Customer Ratings]]&gt;=4, "Good",IF(Table1[[#This Row],[Customer Ratings]]=3, "Average","Poor"))</f>
        <v>Good</v>
      </c>
      <c r="S3703" s="3" t="s">
        <v>55</v>
      </c>
    </row>
    <row r="3704" spans="1:19" x14ac:dyDescent="0.25">
      <c r="A3704" s="3">
        <v>3703</v>
      </c>
      <c r="B3704" s="5">
        <f>DATE(Table1[[#This Row],[Year]],Table1[[#This Row],[Month]],Table1[[#This Row],[Day]])</f>
        <v>45535</v>
      </c>
      <c r="C3704" s="3">
        <v>31</v>
      </c>
      <c r="D3704" s="3">
        <v>8</v>
      </c>
      <c r="E3704" s="3">
        <v>2024</v>
      </c>
      <c r="F3704" s="3" t="str">
        <f>"Qtr"&amp; " " &amp;CHOOSE(MONTH(Table1[[#This Row],[Date]]),1,1,1,2,2,2,3,3,3,4,4,4)</f>
        <v>Qtr 3</v>
      </c>
      <c r="G3704" s="3" t="str">
        <f>TEXT(Table1[[#This Row],[Date]],"mmmm")</f>
        <v>August</v>
      </c>
      <c r="H3704" s="3" t="s">
        <v>1079</v>
      </c>
      <c r="I3704" s="3" t="s">
        <v>18</v>
      </c>
      <c r="J3704" s="3">
        <v>3</v>
      </c>
      <c r="K3704" s="3">
        <v>11500.91</v>
      </c>
      <c r="L3704" s="3">
        <f>Table1[[#This Row],[Price Per Unit]]*Table1[[#This Row],[Units Sold]]</f>
        <v>34502.729999999996</v>
      </c>
      <c r="M3704" s="3" t="s">
        <v>997</v>
      </c>
      <c r="N3704" s="3">
        <v>46</v>
      </c>
      <c r="O3704" s="3" t="s">
        <v>41</v>
      </c>
      <c r="P3704" s="3" t="s">
        <v>21</v>
      </c>
      <c r="Q3704" s="4">
        <v>5</v>
      </c>
      <c r="R3704" s="4" t="str">
        <f>IF(Table1[[#This Row],[Customer Ratings]]&gt;=4, "Good",IF(Table1[[#This Row],[Customer Ratings]]=3, "Average","Poor"))</f>
        <v>Good</v>
      </c>
      <c r="S3704" s="3" t="s">
        <v>25</v>
      </c>
    </row>
    <row r="3705" spans="1:19" x14ac:dyDescent="0.25">
      <c r="A3705" s="3">
        <v>3704</v>
      </c>
      <c r="B3705" s="5">
        <f>DATE(Table1[[#This Row],[Year]],Table1[[#This Row],[Month]],Table1[[#This Row],[Day]])</f>
        <v>45535</v>
      </c>
      <c r="C3705" s="3">
        <v>31</v>
      </c>
      <c r="D3705" s="3">
        <v>8</v>
      </c>
      <c r="E3705" s="3">
        <v>2024</v>
      </c>
      <c r="F3705" s="3" t="str">
        <f>"Qtr"&amp; " " &amp;CHOOSE(MONTH(Table1[[#This Row],[Date]]),1,1,1,2,2,2,3,3,3,4,4,4)</f>
        <v>Qtr 3</v>
      </c>
      <c r="G3705" s="3" t="str">
        <f>TEXT(Table1[[#This Row],[Date]],"mmmm")</f>
        <v>August</v>
      </c>
      <c r="H3705" s="3" t="s">
        <v>1079</v>
      </c>
      <c r="I3705" s="3" t="s">
        <v>28</v>
      </c>
      <c r="J3705" s="3">
        <v>8</v>
      </c>
      <c r="K3705" s="3">
        <v>46232.68</v>
      </c>
      <c r="L3705" s="3">
        <f>Table1[[#This Row],[Price Per Unit]]*Table1[[#This Row],[Units Sold]]</f>
        <v>369861.44</v>
      </c>
      <c r="M3705" s="3" t="s">
        <v>217</v>
      </c>
      <c r="N3705" s="3">
        <v>23</v>
      </c>
      <c r="O3705" s="3" t="s">
        <v>98</v>
      </c>
      <c r="P3705" s="3" t="s">
        <v>21</v>
      </c>
      <c r="Q3705" s="4">
        <v>5</v>
      </c>
      <c r="R3705" s="4" t="str">
        <f>IF(Table1[[#This Row],[Customer Ratings]]&gt;=4, "Good",IF(Table1[[#This Row],[Customer Ratings]]=3, "Average","Poor"))</f>
        <v>Good</v>
      </c>
      <c r="S3705" s="3" t="s">
        <v>32</v>
      </c>
    </row>
    <row r="3706" spans="1:19" x14ac:dyDescent="0.25">
      <c r="A3706" s="3">
        <v>3705</v>
      </c>
      <c r="B3706" s="5">
        <f>DATE(Table1[[#This Row],[Year]],Table1[[#This Row],[Month]],Table1[[#This Row],[Day]])</f>
        <v>45535</v>
      </c>
      <c r="C3706" s="3">
        <v>31</v>
      </c>
      <c r="D3706" s="3">
        <v>8</v>
      </c>
      <c r="E3706" s="3">
        <v>2024</v>
      </c>
      <c r="F3706" s="3" t="str">
        <f>"Qtr"&amp; " " &amp;CHOOSE(MONTH(Table1[[#This Row],[Date]]),1,1,1,2,2,2,3,3,3,4,4,4)</f>
        <v>Qtr 3</v>
      </c>
      <c r="G3706" s="3" t="str">
        <f>TEXT(Table1[[#This Row],[Date]],"mmmm")</f>
        <v>August</v>
      </c>
      <c r="H3706" s="3" t="s">
        <v>1079</v>
      </c>
      <c r="I3706" s="3" t="s">
        <v>28</v>
      </c>
      <c r="J3706" s="3">
        <v>8</v>
      </c>
      <c r="K3706" s="3">
        <v>18718.990000000002</v>
      </c>
      <c r="L3706" s="3">
        <f>Table1[[#This Row],[Price Per Unit]]*Table1[[#This Row],[Units Sold]]</f>
        <v>149751.92000000001</v>
      </c>
      <c r="M3706" s="3" t="s">
        <v>56</v>
      </c>
      <c r="N3706" s="3">
        <v>35</v>
      </c>
      <c r="O3706" s="3" t="s">
        <v>20</v>
      </c>
      <c r="P3706" s="3" t="s">
        <v>31</v>
      </c>
      <c r="Q3706" s="4">
        <v>5</v>
      </c>
      <c r="R3706" s="4" t="str">
        <f>IF(Table1[[#This Row],[Customer Ratings]]&gt;=4, "Good",IF(Table1[[#This Row],[Customer Ratings]]=3, "Average","Poor"))</f>
        <v>Good</v>
      </c>
      <c r="S3706" s="3" t="s">
        <v>32</v>
      </c>
    </row>
    <row r="3707" spans="1:19" x14ac:dyDescent="0.25">
      <c r="A3707" s="3">
        <v>3706</v>
      </c>
      <c r="B3707" s="5">
        <f>DATE(Table1[[#This Row],[Year]],Table1[[#This Row],[Month]],Table1[[#This Row],[Day]])</f>
        <v>45536</v>
      </c>
      <c r="C3707" s="3">
        <v>1</v>
      </c>
      <c r="D3707" s="3">
        <v>9</v>
      </c>
      <c r="E3707" s="3">
        <v>2024</v>
      </c>
      <c r="F3707" s="3" t="str">
        <f>"Qtr"&amp; " " &amp;CHOOSE(MONTH(Table1[[#This Row],[Date]]),1,1,1,2,2,2,3,3,3,4,4,4)</f>
        <v>Qtr 3</v>
      </c>
      <c r="G3707" s="3" t="str">
        <f>TEXT(Table1[[#This Row],[Date]],"mmmm")</f>
        <v>September</v>
      </c>
      <c r="H3707" s="3" t="s">
        <v>1080</v>
      </c>
      <c r="I3707" s="3" t="s">
        <v>18</v>
      </c>
      <c r="J3707" s="3">
        <v>3</v>
      </c>
      <c r="K3707" s="3">
        <v>57912.45</v>
      </c>
      <c r="L3707" s="3">
        <f>Table1[[#This Row],[Price Per Unit]]*Table1[[#This Row],[Units Sold]]</f>
        <v>173737.34999999998</v>
      </c>
      <c r="M3707" s="3" t="s">
        <v>155</v>
      </c>
      <c r="N3707" s="3">
        <v>52</v>
      </c>
      <c r="O3707" s="3" t="s">
        <v>20</v>
      </c>
      <c r="P3707" s="3" t="s">
        <v>45</v>
      </c>
      <c r="Q3707" s="4">
        <v>5</v>
      </c>
      <c r="R3707" s="4" t="str">
        <f>IF(Table1[[#This Row],[Customer Ratings]]&gt;=4, "Good",IF(Table1[[#This Row],[Customer Ratings]]=3, "Average","Poor"))</f>
        <v>Good</v>
      </c>
      <c r="S3707" s="3" t="s">
        <v>22</v>
      </c>
    </row>
    <row r="3708" spans="1:19" x14ac:dyDescent="0.25">
      <c r="A3708" s="3">
        <v>3707</v>
      </c>
      <c r="B3708" s="5">
        <f>DATE(Table1[[#This Row],[Year]],Table1[[#This Row],[Month]],Table1[[#This Row],[Day]])</f>
        <v>45536</v>
      </c>
      <c r="C3708" s="3">
        <v>1</v>
      </c>
      <c r="D3708" s="3">
        <v>9</v>
      </c>
      <c r="E3708" s="3">
        <v>2024</v>
      </c>
      <c r="F3708" s="3" t="str">
        <f>"Qtr"&amp; " " &amp;CHOOSE(MONTH(Table1[[#This Row],[Date]]),1,1,1,2,2,2,3,3,3,4,4,4)</f>
        <v>Qtr 3</v>
      </c>
      <c r="G3708" s="3" t="str">
        <f>TEXT(Table1[[#This Row],[Date]],"mmmm")</f>
        <v>September</v>
      </c>
      <c r="H3708" s="3" t="s">
        <v>1080</v>
      </c>
      <c r="I3708" s="3" t="s">
        <v>28</v>
      </c>
      <c r="J3708" s="3">
        <v>3</v>
      </c>
      <c r="K3708" s="3">
        <v>61394.09</v>
      </c>
      <c r="L3708" s="3">
        <f>Table1[[#This Row],[Price Per Unit]]*Table1[[#This Row],[Units Sold]]</f>
        <v>184182.27</v>
      </c>
      <c r="M3708" s="3" t="s">
        <v>799</v>
      </c>
      <c r="N3708" s="3">
        <v>44</v>
      </c>
      <c r="O3708" s="3" t="s">
        <v>98</v>
      </c>
      <c r="P3708" s="3" t="s">
        <v>21</v>
      </c>
      <c r="Q3708" s="4">
        <v>5</v>
      </c>
      <c r="R3708" s="4" t="str">
        <f>IF(Table1[[#This Row],[Customer Ratings]]&gt;=4, "Good",IF(Table1[[#This Row],[Customer Ratings]]=3, "Average","Poor"))</f>
        <v>Good</v>
      </c>
      <c r="S3708" s="3" t="s">
        <v>32</v>
      </c>
    </row>
    <row r="3709" spans="1:19" x14ac:dyDescent="0.25">
      <c r="A3709" s="3">
        <v>3708</v>
      </c>
      <c r="B3709" s="5">
        <f>DATE(Table1[[#This Row],[Year]],Table1[[#This Row],[Month]],Table1[[#This Row],[Day]])</f>
        <v>45536</v>
      </c>
      <c r="C3709" s="3">
        <v>1</v>
      </c>
      <c r="D3709" s="3">
        <v>9</v>
      </c>
      <c r="E3709" s="3">
        <v>2024</v>
      </c>
      <c r="F3709" s="3" t="str">
        <f>"Qtr"&amp; " " &amp;CHOOSE(MONTH(Table1[[#This Row],[Date]]),1,1,1,2,2,2,3,3,3,4,4,4)</f>
        <v>Qtr 3</v>
      </c>
      <c r="G3709" s="3" t="str">
        <f>TEXT(Table1[[#This Row],[Date]],"mmmm")</f>
        <v>September</v>
      </c>
      <c r="H3709" s="3" t="s">
        <v>1080</v>
      </c>
      <c r="I3709" s="3" t="s">
        <v>13</v>
      </c>
      <c r="J3709" s="3">
        <v>6</v>
      </c>
      <c r="K3709" s="3">
        <v>38925.61</v>
      </c>
      <c r="L3709" s="3">
        <f>Table1[[#This Row],[Price Per Unit]]*Table1[[#This Row],[Units Sold]]</f>
        <v>233553.66</v>
      </c>
      <c r="M3709" s="3" t="s">
        <v>416</v>
      </c>
      <c r="N3709" s="3">
        <v>22</v>
      </c>
      <c r="O3709" s="3" t="s">
        <v>24</v>
      </c>
      <c r="P3709" s="3" t="s">
        <v>16</v>
      </c>
      <c r="Q3709" s="4">
        <v>5</v>
      </c>
      <c r="R3709" s="4" t="str">
        <f>IF(Table1[[#This Row],[Customer Ratings]]&gt;=4, "Good",IF(Table1[[#This Row],[Customer Ratings]]=3, "Average","Poor"))</f>
        <v>Good</v>
      </c>
      <c r="S3709" s="3" t="s">
        <v>27</v>
      </c>
    </row>
    <row r="3710" spans="1:19" x14ac:dyDescent="0.25">
      <c r="A3710" s="3">
        <v>3709</v>
      </c>
      <c r="B3710" s="5">
        <f>DATE(Table1[[#This Row],[Year]],Table1[[#This Row],[Month]],Table1[[#This Row],[Day]])</f>
        <v>45536</v>
      </c>
      <c r="C3710" s="3">
        <v>1</v>
      </c>
      <c r="D3710" s="3">
        <v>9</v>
      </c>
      <c r="E3710" s="3">
        <v>2024</v>
      </c>
      <c r="F3710" s="3" t="str">
        <f>"Qtr"&amp; " " &amp;CHOOSE(MONTH(Table1[[#This Row],[Date]]),1,1,1,2,2,2,3,3,3,4,4,4)</f>
        <v>Qtr 3</v>
      </c>
      <c r="G3710" s="3" t="str">
        <f>TEXT(Table1[[#This Row],[Date]],"mmmm")</f>
        <v>September</v>
      </c>
      <c r="H3710" s="3" t="s">
        <v>1080</v>
      </c>
      <c r="I3710" s="3" t="s">
        <v>39</v>
      </c>
      <c r="J3710" s="3">
        <v>1</v>
      </c>
      <c r="K3710" s="3">
        <v>56993.29</v>
      </c>
      <c r="L3710" s="3">
        <f>Table1[[#This Row],[Price Per Unit]]*Table1[[#This Row],[Units Sold]]</f>
        <v>56993.29</v>
      </c>
      <c r="M3710" s="3" t="s">
        <v>992</v>
      </c>
      <c r="N3710" s="3">
        <v>24</v>
      </c>
      <c r="O3710" s="3" t="s">
        <v>20</v>
      </c>
      <c r="P3710" s="3" t="s">
        <v>21</v>
      </c>
      <c r="Q3710" s="4">
        <v>4</v>
      </c>
      <c r="R3710" s="4" t="str">
        <f>IF(Table1[[#This Row],[Customer Ratings]]&gt;=4, "Good",IF(Table1[[#This Row],[Customer Ratings]]=3, "Average","Poor"))</f>
        <v>Good</v>
      </c>
      <c r="S3710" s="3" t="s">
        <v>76</v>
      </c>
    </row>
    <row r="3711" spans="1:19" x14ac:dyDescent="0.25">
      <c r="A3711" s="3">
        <v>3710</v>
      </c>
      <c r="B3711" s="5">
        <f>DATE(Table1[[#This Row],[Year]],Table1[[#This Row],[Month]],Table1[[#This Row],[Day]])</f>
        <v>45537</v>
      </c>
      <c r="C3711" s="3">
        <v>2</v>
      </c>
      <c r="D3711" s="3">
        <v>9</v>
      </c>
      <c r="E3711" s="3">
        <v>2024</v>
      </c>
      <c r="F3711" s="3" t="str">
        <f>"Qtr"&amp; " " &amp;CHOOSE(MONTH(Table1[[#This Row],[Date]]),1,1,1,2,2,2,3,3,3,4,4,4)</f>
        <v>Qtr 3</v>
      </c>
      <c r="G3711" s="3" t="str">
        <f>TEXT(Table1[[#This Row],[Date]],"mmmm")</f>
        <v>September</v>
      </c>
      <c r="H3711" s="3" t="s">
        <v>1081</v>
      </c>
      <c r="I3711" s="3" t="s">
        <v>39</v>
      </c>
      <c r="J3711" s="3">
        <v>4</v>
      </c>
      <c r="K3711" s="3">
        <v>18706.64</v>
      </c>
      <c r="L3711" s="3">
        <f>Table1[[#This Row],[Price Per Unit]]*Table1[[#This Row],[Units Sold]]</f>
        <v>74826.559999999998</v>
      </c>
      <c r="M3711" s="3" t="s">
        <v>509</v>
      </c>
      <c r="N3711" s="3">
        <v>27</v>
      </c>
      <c r="O3711" s="3" t="s">
        <v>20</v>
      </c>
      <c r="P3711" s="3" t="s">
        <v>45</v>
      </c>
      <c r="Q3711" s="4">
        <v>3</v>
      </c>
      <c r="R3711" s="4" t="str">
        <f>IF(Table1[[#This Row],[Customer Ratings]]&gt;=4, "Good",IF(Table1[[#This Row],[Customer Ratings]]=3, "Average","Poor"))</f>
        <v>Average</v>
      </c>
      <c r="S3711" s="3" t="s">
        <v>76</v>
      </c>
    </row>
    <row r="3712" spans="1:19" x14ac:dyDescent="0.25">
      <c r="A3712" s="3">
        <v>3711</v>
      </c>
      <c r="B3712" s="5">
        <f>DATE(Table1[[#This Row],[Year]],Table1[[#This Row],[Month]],Table1[[#This Row],[Day]])</f>
        <v>45537</v>
      </c>
      <c r="C3712" s="3">
        <v>2</v>
      </c>
      <c r="D3712" s="3">
        <v>9</v>
      </c>
      <c r="E3712" s="3">
        <v>2024</v>
      </c>
      <c r="F3712" s="3" t="str">
        <f>"Qtr"&amp; " " &amp;CHOOSE(MONTH(Table1[[#This Row],[Date]]),1,1,1,2,2,2,3,3,3,4,4,4)</f>
        <v>Qtr 3</v>
      </c>
      <c r="G3712" s="3" t="str">
        <f>TEXT(Table1[[#This Row],[Date]],"mmmm")</f>
        <v>September</v>
      </c>
      <c r="H3712" s="3" t="s">
        <v>1081</v>
      </c>
      <c r="I3712" s="3" t="s">
        <v>13</v>
      </c>
      <c r="J3712" s="3">
        <v>1</v>
      </c>
      <c r="K3712" s="3">
        <v>39524.69</v>
      </c>
      <c r="L3712" s="3">
        <f>Table1[[#This Row],[Price Per Unit]]*Table1[[#This Row],[Units Sold]]</f>
        <v>39524.69</v>
      </c>
      <c r="M3712" s="3" t="s">
        <v>566</v>
      </c>
      <c r="N3712" s="3">
        <v>27</v>
      </c>
      <c r="O3712" s="3" t="s">
        <v>24</v>
      </c>
      <c r="P3712" s="3" t="s">
        <v>16</v>
      </c>
      <c r="Q3712" s="4">
        <v>4</v>
      </c>
      <c r="R3712" s="4" t="str">
        <f>IF(Table1[[#This Row],[Customer Ratings]]&gt;=4, "Good",IF(Table1[[#This Row],[Customer Ratings]]=3, "Average","Poor"))</f>
        <v>Good</v>
      </c>
      <c r="S3712" s="3" t="s">
        <v>17</v>
      </c>
    </row>
    <row r="3713" spans="1:19" x14ac:dyDescent="0.25">
      <c r="A3713" s="3">
        <v>3712</v>
      </c>
      <c r="B3713" s="5">
        <f>DATE(Table1[[#This Row],[Year]],Table1[[#This Row],[Month]],Table1[[#This Row],[Day]])</f>
        <v>45537</v>
      </c>
      <c r="C3713" s="3">
        <v>2</v>
      </c>
      <c r="D3713" s="3">
        <v>9</v>
      </c>
      <c r="E3713" s="3">
        <v>2024</v>
      </c>
      <c r="F3713" s="3" t="str">
        <f>"Qtr"&amp; " " &amp;CHOOSE(MONTH(Table1[[#This Row],[Date]]),1,1,1,2,2,2,3,3,3,4,4,4)</f>
        <v>Qtr 3</v>
      </c>
      <c r="G3713" s="3" t="str">
        <f>TEXT(Table1[[#This Row],[Date]],"mmmm")</f>
        <v>September</v>
      </c>
      <c r="H3713" s="3" t="s">
        <v>1081</v>
      </c>
      <c r="I3713" s="3" t="s">
        <v>39</v>
      </c>
      <c r="J3713" s="3">
        <v>3</v>
      </c>
      <c r="K3713" s="3">
        <v>33636.660000000003</v>
      </c>
      <c r="L3713" s="3">
        <f>Table1[[#This Row],[Price Per Unit]]*Table1[[#This Row],[Units Sold]]</f>
        <v>100909.98000000001</v>
      </c>
      <c r="M3713" s="3" t="s">
        <v>793</v>
      </c>
      <c r="N3713" s="3">
        <v>45</v>
      </c>
      <c r="O3713" s="3" t="s">
        <v>98</v>
      </c>
      <c r="P3713" s="3" t="s">
        <v>21</v>
      </c>
      <c r="Q3713" s="4">
        <v>4</v>
      </c>
      <c r="R3713" s="4" t="str">
        <f>IF(Table1[[#This Row],[Customer Ratings]]&gt;=4, "Good",IF(Table1[[#This Row],[Customer Ratings]]=3, "Average","Poor"))</f>
        <v>Good</v>
      </c>
      <c r="S3713" s="3" t="s">
        <v>90</v>
      </c>
    </row>
    <row r="3714" spans="1:19" x14ac:dyDescent="0.25">
      <c r="A3714" s="3">
        <v>3713</v>
      </c>
      <c r="B3714" s="5">
        <f>DATE(Table1[[#This Row],[Year]],Table1[[#This Row],[Month]],Table1[[#This Row],[Day]])</f>
        <v>45537</v>
      </c>
      <c r="C3714" s="3">
        <v>2</v>
      </c>
      <c r="D3714" s="3">
        <v>9</v>
      </c>
      <c r="E3714" s="3">
        <v>2024</v>
      </c>
      <c r="F3714" s="3" t="str">
        <f>"Qtr"&amp; " " &amp;CHOOSE(MONTH(Table1[[#This Row],[Date]]),1,1,1,2,2,2,3,3,3,4,4,4)</f>
        <v>Qtr 3</v>
      </c>
      <c r="G3714" s="3" t="str">
        <f>TEXT(Table1[[#This Row],[Date]],"mmmm")</f>
        <v>September</v>
      </c>
      <c r="H3714" s="3" t="s">
        <v>1081</v>
      </c>
      <c r="I3714" s="3" t="s">
        <v>33</v>
      </c>
      <c r="J3714" s="3">
        <v>9</v>
      </c>
      <c r="K3714" s="3">
        <v>46679.040000000001</v>
      </c>
      <c r="L3714" s="3">
        <f>Table1[[#This Row],[Price Per Unit]]*Table1[[#This Row],[Units Sold]]</f>
        <v>420111.35999999999</v>
      </c>
      <c r="M3714" s="3" t="s">
        <v>748</v>
      </c>
      <c r="N3714" s="3">
        <v>53</v>
      </c>
      <c r="O3714" s="3" t="s">
        <v>41</v>
      </c>
      <c r="P3714" s="3" t="s">
        <v>21</v>
      </c>
      <c r="Q3714" s="4">
        <v>5</v>
      </c>
      <c r="R3714" s="4" t="str">
        <f>IF(Table1[[#This Row],[Customer Ratings]]&gt;=4, "Good",IF(Table1[[#This Row],[Customer Ratings]]=3, "Average","Poor"))</f>
        <v>Good</v>
      </c>
      <c r="S3714" s="3" t="s">
        <v>46</v>
      </c>
    </row>
    <row r="3715" spans="1:19" x14ac:dyDescent="0.25">
      <c r="A3715" s="3">
        <v>3714</v>
      </c>
      <c r="B3715" s="5">
        <f>DATE(Table1[[#This Row],[Year]],Table1[[#This Row],[Month]],Table1[[#This Row],[Day]])</f>
        <v>45538</v>
      </c>
      <c r="C3715" s="3">
        <v>3</v>
      </c>
      <c r="D3715" s="3">
        <v>9</v>
      </c>
      <c r="E3715" s="3">
        <v>2024</v>
      </c>
      <c r="F3715" s="3" t="str">
        <f>"Qtr"&amp; " " &amp;CHOOSE(MONTH(Table1[[#This Row],[Date]]),1,1,1,2,2,2,3,3,3,4,4,4)</f>
        <v>Qtr 3</v>
      </c>
      <c r="G3715" s="3" t="str">
        <f>TEXT(Table1[[#This Row],[Date]],"mmmm")</f>
        <v>September</v>
      </c>
      <c r="H3715" s="3" t="s">
        <v>1082</v>
      </c>
      <c r="I3715" s="3" t="s">
        <v>13</v>
      </c>
      <c r="J3715" s="3">
        <v>5</v>
      </c>
      <c r="K3715" s="3">
        <v>12668.63</v>
      </c>
      <c r="L3715" s="3">
        <f>Table1[[#This Row],[Price Per Unit]]*Table1[[#This Row],[Units Sold]]</f>
        <v>63343.149999999994</v>
      </c>
      <c r="M3715" s="3" t="s">
        <v>268</v>
      </c>
      <c r="N3715" s="3">
        <v>27</v>
      </c>
      <c r="O3715" s="3" t="s">
        <v>102</v>
      </c>
      <c r="P3715" s="3" t="s">
        <v>31</v>
      </c>
      <c r="Q3715" s="4">
        <v>4</v>
      </c>
      <c r="R3715" s="4" t="str">
        <f>IF(Table1[[#This Row],[Customer Ratings]]&gt;=4, "Good",IF(Table1[[#This Row],[Customer Ratings]]=3, "Average","Poor"))</f>
        <v>Good</v>
      </c>
      <c r="S3715" s="3" t="s">
        <v>17</v>
      </c>
    </row>
    <row r="3716" spans="1:19" x14ac:dyDescent="0.25">
      <c r="A3716" s="3">
        <v>3715</v>
      </c>
      <c r="B3716" s="5">
        <f>DATE(Table1[[#This Row],[Year]],Table1[[#This Row],[Month]],Table1[[#This Row],[Day]])</f>
        <v>45538</v>
      </c>
      <c r="C3716" s="3">
        <v>3</v>
      </c>
      <c r="D3716" s="3">
        <v>9</v>
      </c>
      <c r="E3716" s="3">
        <v>2024</v>
      </c>
      <c r="F3716" s="3" t="str">
        <f>"Qtr"&amp; " " &amp;CHOOSE(MONTH(Table1[[#This Row],[Date]]),1,1,1,2,2,2,3,3,3,4,4,4)</f>
        <v>Qtr 3</v>
      </c>
      <c r="G3716" s="3" t="str">
        <f>TEXT(Table1[[#This Row],[Date]],"mmmm")</f>
        <v>September</v>
      </c>
      <c r="H3716" s="3" t="s">
        <v>1082</v>
      </c>
      <c r="I3716" s="3" t="s">
        <v>28</v>
      </c>
      <c r="J3716" s="3">
        <v>5</v>
      </c>
      <c r="K3716" s="3">
        <v>55127.37</v>
      </c>
      <c r="L3716" s="3">
        <f>Table1[[#This Row],[Price Per Unit]]*Table1[[#This Row],[Units Sold]]</f>
        <v>275636.85000000003</v>
      </c>
      <c r="M3716" s="3" t="s">
        <v>771</v>
      </c>
      <c r="N3716" s="3">
        <v>52</v>
      </c>
      <c r="O3716" s="3" t="s">
        <v>48</v>
      </c>
      <c r="P3716" s="3" t="s">
        <v>45</v>
      </c>
      <c r="Q3716" s="4">
        <v>5</v>
      </c>
      <c r="R3716" s="4" t="str">
        <f>IF(Table1[[#This Row],[Customer Ratings]]&gt;=4, "Good",IF(Table1[[#This Row],[Customer Ratings]]=3, "Average","Poor"))</f>
        <v>Good</v>
      </c>
      <c r="S3716" s="3" t="s">
        <v>32</v>
      </c>
    </row>
    <row r="3717" spans="1:19" x14ac:dyDescent="0.25">
      <c r="A3717" s="3">
        <v>3716</v>
      </c>
      <c r="B3717" s="5">
        <f>DATE(Table1[[#This Row],[Year]],Table1[[#This Row],[Month]],Table1[[#This Row],[Day]])</f>
        <v>45538</v>
      </c>
      <c r="C3717" s="3">
        <v>3</v>
      </c>
      <c r="D3717" s="3">
        <v>9</v>
      </c>
      <c r="E3717" s="3">
        <v>2024</v>
      </c>
      <c r="F3717" s="3" t="str">
        <f>"Qtr"&amp; " " &amp;CHOOSE(MONTH(Table1[[#This Row],[Date]]),1,1,1,2,2,2,3,3,3,4,4,4)</f>
        <v>Qtr 3</v>
      </c>
      <c r="G3717" s="3" t="str">
        <f>TEXT(Table1[[#This Row],[Date]],"mmmm")</f>
        <v>September</v>
      </c>
      <c r="H3717" s="3" t="s">
        <v>1082</v>
      </c>
      <c r="I3717" s="3" t="s">
        <v>13</v>
      </c>
      <c r="J3717" s="3">
        <v>4</v>
      </c>
      <c r="K3717" s="3">
        <v>14747.76</v>
      </c>
      <c r="L3717" s="3">
        <f>Table1[[#This Row],[Price Per Unit]]*Table1[[#This Row],[Units Sold]]</f>
        <v>58991.040000000001</v>
      </c>
      <c r="M3717" s="3" t="s">
        <v>109</v>
      </c>
      <c r="N3717" s="3">
        <v>52</v>
      </c>
      <c r="O3717" s="3" t="s">
        <v>120</v>
      </c>
      <c r="P3717" s="3" t="s">
        <v>21</v>
      </c>
      <c r="Q3717" s="4">
        <v>2</v>
      </c>
      <c r="R3717" s="4" t="str">
        <f>IF(Table1[[#This Row],[Customer Ratings]]&gt;=4, "Good",IF(Table1[[#This Row],[Customer Ratings]]=3, "Average","Poor"))</f>
        <v>Poor</v>
      </c>
      <c r="S3717" s="3" t="s">
        <v>17</v>
      </c>
    </row>
    <row r="3718" spans="1:19" x14ac:dyDescent="0.25">
      <c r="A3718" s="3">
        <v>3717</v>
      </c>
      <c r="B3718" s="5">
        <f>DATE(Table1[[#This Row],[Year]],Table1[[#This Row],[Month]],Table1[[#This Row],[Day]])</f>
        <v>45539</v>
      </c>
      <c r="C3718" s="3">
        <v>4</v>
      </c>
      <c r="D3718" s="3">
        <v>9</v>
      </c>
      <c r="E3718" s="3">
        <v>2024</v>
      </c>
      <c r="F3718" s="3" t="str">
        <f>"Qtr"&amp; " " &amp;CHOOSE(MONTH(Table1[[#This Row],[Date]]),1,1,1,2,2,2,3,3,3,4,4,4)</f>
        <v>Qtr 3</v>
      </c>
      <c r="G3718" s="3" t="str">
        <f>TEXT(Table1[[#This Row],[Date]],"mmmm")</f>
        <v>September</v>
      </c>
      <c r="H3718" s="3" t="s">
        <v>1083</v>
      </c>
      <c r="I3718" s="3" t="s">
        <v>18</v>
      </c>
      <c r="J3718" s="3">
        <v>3</v>
      </c>
      <c r="K3718" s="3">
        <v>49388.29</v>
      </c>
      <c r="L3718" s="3">
        <f>Table1[[#This Row],[Price Per Unit]]*Table1[[#This Row],[Units Sold]]</f>
        <v>148164.87</v>
      </c>
      <c r="M3718" s="3" t="s">
        <v>89</v>
      </c>
      <c r="N3718" s="3">
        <v>54</v>
      </c>
      <c r="O3718" s="3" t="s">
        <v>35</v>
      </c>
      <c r="P3718" s="3" t="s">
        <v>45</v>
      </c>
      <c r="Q3718" s="4">
        <v>5</v>
      </c>
      <c r="R3718" s="4" t="str">
        <f>IF(Table1[[#This Row],[Customer Ratings]]&gt;=4, "Good",IF(Table1[[#This Row],[Customer Ratings]]=3, "Average","Poor"))</f>
        <v>Good</v>
      </c>
      <c r="S3718" s="3" t="s">
        <v>55</v>
      </c>
    </row>
    <row r="3719" spans="1:19" x14ac:dyDescent="0.25">
      <c r="A3719" s="3">
        <v>3718</v>
      </c>
      <c r="B3719" s="5">
        <f>DATE(Table1[[#This Row],[Year]],Table1[[#This Row],[Month]],Table1[[#This Row],[Day]])</f>
        <v>45539</v>
      </c>
      <c r="C3719" s="3">
        <v>4</v>
      </c>
      <c r="D3719" s="3">
        <v>9</v>
      </c>
      <c r="E3719" s="3">
        <v>2024</v>
      </c>
      <c r="F3719" s="3" t="str">
        <f>"Qtr"&amp; " " &amp;CHOOSE(MONTH(Table1[[#This Row],[Date]]),1,1,1,2,2,2,3,3,3,4,4,4)</f>
        <v>Qtr 3</v>
      </c>
      <c r="G3719" s="3" t="str">
        <f>TEXT(Table1[[#This Row],[Date]],"mmmm")</f>
        <v>September</v>
      </c>
      <c r="H3719" s="3" t="s">
        <v>1083</v>
      </c>
      <c r="I3719" s="3" t="s">
        <v>28</v>
      </c>
      <c r="J3719" s="3">
        <v>5</v>
      </c>
      <c r="K3719" s="3">
        <v>11107.43</v>
      </c>
      <c r="L3719" s="3">
        <f>Table1[[#This Row],[Price Per Unit]]*Table1[[#This Row],[Units Sold]]</f>
        <v>55537.15</v>
      </c>
      <c r="M3719" s="3" t="s">
        <v>614</v>
      </c>
      <c r="N3719" s="3">
        <v>37</v>
      </c>
      <c r="O3719" s="3" t="s">
        <v>102</v>
      </c>
      <c r="P3719" s="3" t="s">
        <v>21</v>
      </c>
      <c r="Q3719" s="4">
        <v>3</v>
      </c>
      <c r="R3719" s="4" t="str">
        <f>IF(Table1[[#This Row],[Customer Ratings]]&gt;=4, "Good",IF(Table1[[#This Row],[Customer Ratings]]=3, "Average","Poor"))</f>
        <v>Average</v>
      </c>
      <c r="S3719" s="3" t="s">
        <v>32</v>
      </c>
    </row>
    <row r="3720" spans="1:19" x14ac:dyDescent="0.25">
      <c r="A3720" s="3">
        <v>3719</v>
      </c>
      <c r="B3720" s="5">
        <f>DATE(Table1[[#This Row],[Year]],Table1[[#This Row],[Month]],Table1[[#This Row],[Day]])</f>
        <v>45539</v>
      </c>
      <c r="C3720" s="3">
        <v>4</v>
      </c>
      <c r="D3720" s="3">
        <v>9</v>
      </c>
      <c r="E3720" s="3">
        <v>2024</v>
      </c>
      <c r="F3720" s="3" t="str">
        <f>"Qtr"&amp; " " &amp;CHOOSE(MONTH(Table1[[#This Row],[Date]]),1,1,1,2,2,2,3,3,3,4,4,4)</f>
        <v>Qtr 3</v>
      </c>
      <c r="G3720" s="3" t="str">
        <f>TEXT(Table1[[#This Row],[Date]],"mmmm")</f>
        <v>September</v>
      </c>
      <c r="H3720" s="3" t="s">
        <v>1083</v>
      </c>
      <c r="I3720" s="3" t="s">
        <v>18</v>
      </c>
      <c r="J3720" s="3">
        <v>4</v>
      </c>
      <c r="K3720" s="3">
        <v>59913.279999999999</v>
      </c>
      <c r="L3720" s="3">
        <f>Table1[[#This Row],[Price Per Unit]]*Table1[[#This Row],[Units Sold]]</f>
        <v>239653.12</v>
      </c>
      <c r="M3720" s="3" t="s">
        <v>1021</v>
      </c>
      <c r="N3720" s="3">
        <v>30</v>
      </c>
      <c r="O3720" s="3" t="s">
        <v>81</v>
      </c>
      <c r="P3720" s="3" t="s">
        <v>16</v>
      </c>
      <c r="Q3720" s="4">
        <v>2</v>
      </c>
      <c r="R3720" s="4" t="str">
        <f>IF(Table1[[#This Row],[Customer Ratings]]&gt;=4, "Good",IF(Table1[[#This Row],[Customer Ratings]]=3, "Average","Poor"))</f>
        <v>Poor</v>
      </c>
      <c r="S3720" s="3" t="s">
        <v>22</v>
      </c>
    </row>
    <row r="3721" spans="1:19" x14ac:dyDescent="0.25">
      <c r="A3721" s="3">
        <v>3720</v>
      </c>
      <c r="B3721" s="5">
        <f>DATE(Table1[[#This Row],[Year]],Table1[[#This Row],[Month]],Table1[[#This Row],[Day]])</f>
        <v>45540</v>
      </c>
      <c r="C3721" s="3">
        <v>5</v>
      </c>
      <c r="D3721" s="3">
        <v>9</v>
      </c>
      <c r="E3721" s="3">
        <v>2024</v>
      </c>
      <c r="F3721" s="3" t="str">
        <f>"Qtr"&amp; " " &amp;CHOOSE(MONTH(Table1[[#This Row],[Date]]),1,1,1,2,2,2,3,3,3,4,4,4)</f>
        <v>Qtr 3</v>
      </c>
      <c r="G3721" s="3" t="str">
        <f>TEXT(Table1[[#This Row],[Date]],"mmmm")</f>
        <v>September</v>
      </c>
      <c r="H3721" s="3" t="s">
        <v>1084</v>
      </c>
      <c r="I3721" s="3" t="s">
        <v>28</v>
      </c>
      <c r="J3721" s="3">
        <v>8</v>
      </c>
      <c r="K3721" s="3">
        <v>20481.98</v>
      </c>
      <c r="L3721" s="3">
        <f>Table1[[#This Row],[Price Per Unit]]*Table1[[#This Row],[Units Sold]]</f>
        <v>163855.84</v>
      </c>
      <c r="M3721" s="3" t="s">
        <v>745</v>
      </c>
      <c r="N3721" s="3">
        <v>28</v>
      </c>
      <c r="O3721" s="3" t="s">
        <v>24</v>
      </c>
      <c r="P3721" s="3" t="s">
        <v>45</v>
      </c>
      <c r="Q3721" s="4">
        <v>5</v>
      </c>
      <c r="R3721" s="4" t="str">
        <f>IF(Table1[[#This Row],[Customer Ratings]]&gt;=4, "Good",IF(Table1[[#This Row],[Customer Ratings]]=3, "Average","Poor"))</f>
        <v>Good</v>
      </c>
      <c r="S3721" s="3" t="s">
        <v>32</v>
      </c>
    </row>
    <row r="3722" spans="1:19" x14ac:dyDescent="0.25">
      <c r="A3722" s="3">
        <v>3721</v>
      </c>
      <c r="B3722" s="5">
        <f>DATE(Table1[[#This Row],[Year]],Table1[[#This Row],[Month]],Table1[[#This Row],[Day]])</f>
        <v>45540</v>
      </c>
      <c r="C3722" s="3">
        <v>5</v>
      </c>
      <c r="D3722" s="3">
        <v>9</v>
      </c>
      <c r="E3722" s="3">
        <v>2024</v>
      </c>
      <c r="F3722" s="3" t="str">
        <f>"Qtr"&amp; " " &amp;CHOOSE(MONTH(Table1[[#This Row],[Date]]),1,1,1,2,2,2,3,3,3,4,4,4)</f>
        <v>Qtr 3</v>
      </c>
      <c r="G3722" s="3" t="str">
        <f>TEXT(Table1[[#This Row],[Date]],"mmmm")</f>
        <v>September</v>
      </c>
      <c r="H3722" s="3" t="s">
        <v>1084</v>
      </c>
      <c r="I3722" s="3" t="s">
        <v>39</v>
      </c>
      <c r="J3722" s="3">
        <v>4</v>
      </c>
      <c r="K3722" s="3">
        <v>40929.85</v>
      </c>
      <c r="L3722" s="3">
        <f>Table1[[#This Row],[Price Per Unit]]*Table1[[#This Row],[Units Sold]]</f>
        <v>163719.4</v>
      </c>
      <c r="M3722" s="3" t="s">
        <v>1004</v>
      </c>
      <c r="N3722" s="3">
        <v>36</v>
      </c>
      <c r="O3722" s="3" t="s">
        <v>20</v>
      </c>
      <c r="P3722" s="3" t="s">
        <v>16</v>
      </c>
      <c r="Q3722" s="4">
        <v>5</v>
      </c>
      <c r="R3722" s="4" t="str">
        <f>IF(Table1[[#This Row],[Customer Ratings]]&gt;=4, "Good",IF(Table1[[#This Row],[Customer Ratings]]=3, "Average","Poor"))</f>
        <v>Good</v>
      </c>
      <c r="S3722" s="3" t="s">
        <v>42</v>
      </c>
    </row>
    <row r="3723" spans="1:19" x14ac:dyDescent="0.25">
      <c r="A3723" s="3">
        <v>3722</v>
      </c>
      <c r="B3723" s="5">
        <f>DATE(Table1[[#This Row],[Year]],Table1[[#This Row],[Month]],Table1[[#This Row],[Day]])</f>
        <v>45540</v>
      </c>
      <c r="C3723" s="3">
        <v>5</v>
      </c>
      <c r="D3723" s="3">
        <v>9</v>
      </c>
      <c r="E3723" s="3">
        <v>2024</v>
      </c>
      <c r="F3723" s="3" t="str">
        <f>"Qtr"&amp; " " &amp;CHOOSE(MONTH(Table1[[#This Row],[Date]]),1,1,1,2,2,2,3,3,3,4,4,4)</f>
        <v>Qtr 3</v>
      </c>
      <c r="G3723" s="3" t="str">
        <f>TEXT(Table1[[#This Row],[Date]],"mmmm")</f>
        <v>September</v>
      </c>
      <c r="H3723" s="3" t="s">
        <v>1084</v>
      </c>
      <c r="I3723" s="3" t="s">
        <v>13</v>
      </c>
      <c r="J3723" s="3">
        <v>8</v>
      </c>
      <c r="K3723" s="3">
        <v>25689.57</v>
      </c>
      <c r="L3723" s="3">
        <f>Table1[[#This Row],[Price Per Unit]]*Table1[[#This Row],[Units Sold]]</f>
        <v>205516.56</v>
      </c>
      <c r="M3723" s="3" t="s">
        <v>567</v>
      </c>
      <c r="N3723" s="3">
        <v>45</v>
      </c>
      <c r="O3723" s="3" t="s">
        <v>24</v>
      </c>
      <c r="P3723" s="3" t="s">
        <v>45</v>
      </c>
      <c r="Q3723" s="4">
        <v>3</v>
      </c>
      <c r="R3723" s="4" t="str">
        <f>IF(Table1[[#This Row],[Customer Ratings]]&gt;=4, "Good",IF(Table1[[#This Row],[Customer Ratings]]=3, "Average","Poor"))</f>
        <v>Average</v>
      </c>
      <c r="S3723" s="3" t="s">
        <v>17</v>
      </c>
    </row>
    <row r="3724" spans="1:19" x14ac:dyDescent="0.25">
      <c r="A3724" s="3">
        <v>3723</v>
      </c>
      <c r="B3724" s="5">
        <f>DATE(Table1[[#This Row],[Year]],Table1[[#This Row],[Month]],Table1[[#This Row],[Day]])</f>
        <v>45541</v>
      </c>
      <c r="C3724" s="3">
        <v>6</v>
      </c>
      <c r="D3724" s="3">
        <v>9</v>
      </c>
      <c r="E3724" s="3">
        <v>2024</v>
      </c>
      <c r="F3724" s="3" t="str">
        <f>"Qtr"&amp; " " &amp;CHOOSE(MONTH(Table1[[#This Row],[Date]]),1,1,1,2,2,2,3,3,3,4,4,4)</f>
        <v>Qtr 3</v>
      </c>
      <c r="G3724" s="3" t="str">
        <f>TEXT(Table1[[#This Row],[Date]],"mmmm")</f>
        <v>September</v>
      </c>
      <c r="H3724" s="3" t="s">
        <v>1085</v>
      </c>
      <c r="I3724" s="3" t="s">
        <v>33</v>
      </c>
      <c r="J3724" s="3">
        <v>6</v>
      </c>
      <c r="K3724" s="3">
        <v>53358.83</v>
      </c>
      <c r="L3724" s="3">
        <f>Table1[[#This Row],[Price Per Unit]]*Table1[[#This Row],[Units Sold]]</f>
        <v>320152.98</v>
      </c>
      <c r="M3724" s="3" t="s">
        <v>761</v>
      </c>
      <c r="N3724" s="3">
        <v>55</v>
      </c>
      <c r="O3724" s="3" t="s">
        <v>20</v>
      </c>
      <c r="P3724" s="3" t="s">
        <v>16</v>
      </c>
      <c r="Q3724" s="4">
        <v>4</v>
      </c>
      <c r="R3724" s="4" t="str">
        <f>IF(Table1[[#This Row],[Customer Ratings]]&gt;=4, "Good",IF(Table1[[#This Row],[Customer Ratings]]=3, "Average","Poor"))</f>
        <v>Good</v>
      </c>
      <c r="S3724" s="3" t="s">
        <v>83</v>
      </c>
    </row>
    <row r="3725" spans="1:19" x14ac:dyDescent="0.25">
      <c r="A3725" s="3">
        <v>3724</v>
      </c>
      <c r="B3725" s="5">
        <f>DATE(Table1[[#This Row],[Year]],Table1[[#This Row],[Month]],Table1[[#This Row],[Day]])</f>
        <v>45541</v>
      </c>
      <c r="C3725" s="3">
        <v>6</v>
      </c>
      <c r="D3725" s="3">
        <v>9</v>
      </c>
      <c r="E3725" s="3">
        <v>2024</v>
      </c>
      <c r="F3725" s="3" t="str">
        <f>"Qtr"&amp; " " &amp;CHOOSE(MONTH(Table1[[#This Row],[Date]]),1,1,1,2,2,2,3,3,3,4,4,4)</f>
        <v>Qtr 3</v>
      </c>
      <c r="G3725" s="3" t="str">
        <f>TEXT(Table1[[#This Row],[Date]],"mmmm")</f>
        <v>September</v>
      </c>
      <c r="H3725" s="3" t="s">
        <v>1085</v>
      </c>
      <c r="I3725" s="3" t="s">
        <v>28</v>
      </c>
      <c r="J3725" s="3">
        <v>5</v>
      </c>
      <c r="K3725" s="3">
        <v>29281.07</v>
      </c>
      <c r="L3725" s="3">
        <f>Table1[[#This Row],[Price Per Unit]]*Table1[[#This Row],[Units Sold]]</f>
        <v>146405.35</v>
      </c>
      <c r="M3725" s="3" t="s">
        <v>670</v>
      </c>
      <c r="N3725" s="3">
        <v>21</v>
      </c>
      <c r="O3725" s="3" t="s">
        <v>30</v>
      </c>
      <c r="P3725" s="3" t="s">
        <v>21</v>
      </c>
      <c r="Q3725" s="4">
        <v>5</v>
      </c>
      <c r="R3725" s="4" t="str">
        <f>IF(Table1[[#This Row],[Customer Ratings]]&gt;=4, "Good",IF(Table1[[#This Row],[Customer Ratings]]=3, "Average","Poor"))</f>
        <v>Good</v>
      </c>
      <c r="S3725" s="3" t="s">
        <v>32</v>
      </c>
    </row>
    <row r="3726" spans="1:19" x14ac:dyDescent="0.25">
      <c r="A3726" s="3">
        <v>3725</v>
      </c>
      <c r="B3726" s="5">
        <f>DATE(Table1[[#This Row],[Year]],Table1[[#This Row],[Month]],Table1[[#This Row],[Day]])</f>
        <v>45541</v>
      </c>
      <c r="C3726" s="3">
        <v>6</v>
      </c>
      <c r="D3726" s="3">
        <v>9</v>
      </c>
      <c r="E3726" s="3">
        <v>2024</v>
      </c>
      <c r="F3726" s="3" t="str">
        <f>"Qtr"&amp; " " &amp;CHOOSE(MONTH(Table1[[#This Row],[Date]]),1,1,1,2,2,2,3,3,3,4,4,4)</f>
        <v>Qtr 3</v>
      </c>
      <c r="G3726" s="3" t="str">
        <f>TEXT(Table1[[#This Row],[Date]],"mmmm")</f>
        <v>September</v>
      </c>
      <c r="H3726" s="3" t="s">
        <v>1085</v>
      </c>
      <c r="I3726" s="3" t="s">
        <v>28</v>
      </c>
      <c r="J3726" s="3">
        <v>4</v>
      </c>
      <c r="K3726" s="3">
        <v>53476.55</v>
      </c>
      <c r="L3726" s="3">
        <f>Table1[[#This Row],[Price Per Unit]]*Table1[[#This Row],[Units Sold]]</f>
        <v>213906.2</v>
      </c>
      <c r="M3726" s="3" t="s">
        <v>193</v>
      </c>
      <c r="N3726" s="3">
        <v>54</v>
      </c>
      <c r="O3726" s="3" t="s">
        <v>20</v>
      </c>
      <c r="P3726" s="3" t="s">
        <v>16</v>
      </c>
      <c r="Q3726" s="4">
        <v>3</v>
      </c>
      <c r="R3726" s="4" t="str">
        <f>IF(Table1[[#This Row],[Customer Ratings]]&gt;=4, "Good",IF(Table1[[#This Row],[Customer Ratings]]=3, "Average","Poor"))</f>
        <v>Average</v>
      </c>
      <c r="S3726" s="3" t="s">
        <v>32</v>
      </c>
    </row>
    <row r="3727" spans="1:19" x14ac:dyDescent="0.25">
      <c r="A3727" s="3">
        <v>3726</v>
      </c>
      <c r="B3727" s="5">
        <f>DATE(Table1[[#This Row],[Year]],Table1[[#This Row],[Month]],Table1[[#This Row],[Day]])</f>
        <v>45542</v>
      </c>
      <c r="C3727" s="3">
        <v>7</v>
      </c>
      <c r="D3727" s="3">
        <v>9</v>
      </c>
      <c r="E3727" s="3">
        <v>2024</v>
      </c>
      <c r="F3727" s="3" t="str">
        <f>"Qtr"&amp; " " &amp;CHOOSE(MONTH(Table1[[#This Row],[Date]]),1,1,1,2,2,2,3,3,3,4,4,4)</f>
        <v>Qtr 3</v>
      </c>
      <c r="G3727" s="3" t="str">
        <f>TEXT(Table1[[#This Row],[Date]],"mmmm")</f>
        <v>September</v>
      </c>
      <c r="H3727" s="3" t="s">
        <v>1079</v>
      </c>
      <c r="I3727" s="3" t="s">
        <v>18</v>
      </c>
      <c r="J3727" s="3">
        <v>4</v>
      </c>
      <c r="K3727" s="3">
        <v>27092.27</v>
      </c>
      <c r="L3727" s="3">
        <f>Table1[[#This Row],[Price Per Unit]]*Table1[[#This Row],[Units Sold]]</f>
        <v>108369.08</v>
      </c>
      <c r="M3727" s="3" t="s">
        <v>848</v>
      </c>
      <c r="N3727" s="3">
        <v>36</v>
      </c>
      <c r="O3727" s="3" t="s">
        <v>20</v>
      </c>
      <c r="P3727" s="3" t="s">
        <v>16</v>
      </c>
      <c r="Q3727" s="4">
        <v>5</v>
      </c>
      <c r="R3727" s="4" t="str">
        <f>IF(Table1[[#This Row],[Customer Ratings]]&gt;=4, "Good",IF(Table1[[#This Row],[Customer Ratings]]=3, "Average","Poor"))</f>
        <v>Good</v>
      </c>
      <c r="S3727" s="3" t="s">
        <v>55</v>
      </c>
    </row>
    <row r="3728" spans="1:19" x14ac:dyDescent="0.25">
      <c r="A3728" s="3">
        <v>3727</v>
      </c>
      <c r="B3728" s="5">
        <f>DATE(Table1[[#This Row],[Year]],Table1[[#This Row],[Month]],Table1[[#This Row],[Day]])</f>
        <v>45542</v>
      </c>
      <c r="C3728" s="3">
        <v>7</v>
      </c>
      <c r="D3728" s="3">
        <v>9</v>
      </c>
      <c r="E3728" s="3">
        <v>2024</v>
      </c>
      <c r="F3728" s="3" t="str">
        <f>"Qtr"&amp; " " &amp;CHOOSE(MONTH(Table1[[#This Row],[Date]]),1,1,1,2,2,2,3,3,3,4,4,4)</f>
        <v>Qtr 3</v>
      </c>
      <c r="G3728" s="3" t="str">
        <f>TEXT(Table1[[#This Row],[Date]],"mmmm")</f>
        <v>September</v>
      </c>
      <c r="H3728" s="3" t="s">
        <v>1079</v>
      </c>
      <c r="I3728" s="3" t="s">
        <v>39</v>
      </c>
      <c r="J3728" s="3">
        <v>4</v>
      </c>
      <c r="K3728" s="3">
        <v>55148.39</v>
      </c>
      <c r="L3728" s="3">
        <f>Table1[[#This Row],[Price Per Unit]]*Table1[[#This Row],[Units Sold]]</f>
        <v>220593.56</v>
      </c>
      <c r="M3728" s="3" t="s">
        <v>771</v>
      </c>
      <c r="N3728" s="3">
        <v>54</v>
      </c>
      <c r="O3728" s="3" t="s">
        <v>30</v>
      </c>
      <c r="P3728" s="3" t="s">
        <v>21</v>
      </c>
      <c r="Q3728" s="4">
        <v>5</v>
      </c>
      <c r="R3728" s="4" t="str">
        <f>IF(Table1[[#This Row],[Customer Ratings]]&gt;=4, "Good",IF(Table1[[#This Row],[Customer Ratings]]=3, "Average","Poor"))</f>
        <v>Good</v>
      </c>
      <c r="S3728" s="3" t="s">
        <v>76</v>
      </c>
    </row>
    <row r="3729" spans="1:19" x14ac:dyDescent="0.25">
      <c r="A3729" s="3">
        <v>3728</v>
      </c>
      <c r="B3729" s="5">
        <f>DATE(Table1[[#This Row],[Year]],Table1[[#This Row],[Month]],Table1[[#This Row],[Day]])</f>
        <v>45542</v>
      </c>
      <c r="C3729" s="3">
        <v>7</v>
      </c>
      <c r="D3729" s="3">
        <v>9</v>
      </c>
      <c r="E3729" s="3">
        <v>2024</v>
      </c>
      <c r="F3729" s="3" t="str">
        <f>"Qtr"&amp; " " &amp;CHOOSE(MONTH(Table1[[#This Row],[Date]]),1,1,1,2,2,2,3,3,3,4,4,4)</f>
        <v>Qtr 3</v>
      </c>
      <c r="G3729" s="3" t="str">
        <f>TEXT(Table1[[#This Row],[Date]],"mmmm")</f>
        <v>September</v>
      </c>
      <c r="H3729" s="3" t="s">
        <v>1079</v>
      </c>
      <c r="I3729" s="3" t="s">
        <v>18</v>
      </c>
      <c r="J3729" s="3">
        <v>9</v>
      </c>
      <c r="K3729" s="3">
        <v>11836.33</v>
      </c>
      <c r="L3729" s="3">
        <f>Table1[[#This Row],[Price Per Unit]]*Table1[[#This Row],[Units Sold]]</f>
        <v>106526.97</v>
      </c>
      <c r="M3729" s="3" t="s">
        <v>1021</v>
      </c>
      <c r="N3729" s="3">
        <v>31</v>
      </c>
      <c r="O3729" s="3" t="s">
        <v>102</v>
      </c>
      <c r="P3729" s="3" t="s">
        <v>45</v>
      </c>
      <c r="Q3729" s="4">
        <v>5</v>
      </c>
      <c r="R3729" s="4" t="str">
        <f>IF(Table1[[#This Row],[Customer Ratings]]&gt;=4, "Good",IF(Table1[[#This Row],[Customer Ratings]]=3, "Average","Poor"))</f>
        <v>Good</v>
      </c>
      <c r="S3729" s="3" t="s">
        <v>25</v>
      </c>
    </row>
    <row r="3730" spans="1:19" x14ac:dyDescent="0.25">
      <c r="A3730" s="3">
        <v>3729</v>
      </c>
      <c r="B3730" s="5">
        <f>DATE(Table1[[#This Row],[Year]],Table1[[#This Row],[Month]],Table1[[#This Row],[Day]])</f>
        <v>45542</v>
      </c>
      <c r="C3730" s="3">
        <v>7</v>
      </c>
      <c r="D3730" s="3">
        <v>9</v>
      </c>
      <c r="E3730" s="3">
        <v>2024</v>
      </c>
      <c r="F3730" s="3" t="str">
        <f>"Qtr"&amp; " " &amp;CHOOSE(MONTH(Table1[[#This Row],[Date]]),1,1,1,2,2,2,3,3,3,4,4,4)</f>
        <v>Qtr 3</v>
      </c>
      <c r="G3730" s="3" t="str">
        <f>TEXT(Table1[[#This Row],[Date]],"mmmm")</f>
        <v>September</v>
      </c>
      <c r="H3730" s="3" t="s">
        <v>1079</v>
      </c>
      <c r="I3730" s="3" t="s">
        <v>18</v>
      </c>
      <c r="J3730" s="3">
        <v>4</v>
      </c>
      <c r="K3730" s="3">
        <v>26998.68</v>
      </c>
      <c r="L3730" s="3">
        <f>Table1[[#This Row],[Price Per Unit]]*Table1[[#This Row],[Units Sold]]</f>
        <v>107994.72</v>
      </c>
      <c r="M3730" s="3" t="s">
        <v>900</v>
      </c>
      <c r="N3730" s="3">
        <v>48</v>
      </c>
      <c r="O3730" s="3" t="s">
        <v>137</v>
      </c>
      <c r="P3730" s="3" t="s">
        <v>16</v>
      </c>
      <c r="Q3730" s="4">
        <v>4</v>
      </c>
      <c r="R3730" s="4" t="str">
        <f>IF(Table1[[#This Row],[Customer Ratings]]&gt;=4, "Good",IF(Table1[[#This Row],[Customer Ratings]]=3, "Average","Poor"))</f>
        <v>Good</v>
      </c>
      <c r="S3730" s="3" t="s">
        <v>55</v>
      </c>
    </row>
    <row r="3731" spans="1:19" x14ac:dyDescent="0.25">
      <c r="A3731" s="3">
        <v>3730</v>
      </c>
      <c r="B3731" s="5">
        <f>DATE(Table1[[#This Row],[Year]],Table1[[#This Row],[Month]],Table1[[#This Row],[Day]])</f>
        <v>45543</v>
      </c>
      <c r="C3731" s="3">
        <v>8</v>
      </c>
      <c r="D3731" s="3">
        <v>9</v>
      </c>
      <c r="E3731" s="3">
        <v>2024</v>
      </c>
      <c r="F3731" s="3" t="str">
        <f>"Qtr"&amp; " " &amp;CHOOSE(MONTH(Table1[[#This Row],[Date]]),1,1,1,2,2,2,3,3,3,4,4,4)</f>
        <v>Qtr 3</v>
      </c>
      <c r="G3731" s="3" t="str">
        <f>TEXT(Table1[[#This Row],[Date]],"mmmm")</f>
        <v>September</v>
      </c>
      <c r="H3731" s="3" t="s">
        <v>1080</v>
      </c>
      <c r="I3731" s="3" t="s">
        <v>39</v>
      </c>
      <c r="J3731" s="3">
        <v>9</v>
      </c>
      <c r="K3731" s="3">
        <v>39918.01</v>
      </c>
      <c r="L3731" s="3">
        <f>Table1[[#This Row],[Price Per Unit]]*Table1[[#This Row],[Units Sold]]</f>
        <v>359262.09</v>
      </c>
      <c r="M3731" s="3" t="s">
        <v>267</v>
      </c>
      <c r="N3731" s="3">
        <v>45</v>
      </c>
      <c r="O3731" s="3" t="s">
        <v>52</v>
      </c>
      <c r="P3731" s="3" t="s">
        <v>31</v>
      </c>
      <c r="Q3731" s="4">
        <v>4</v>
      </c>
      <c r="R3731" s="4" t="str">
        <f>IF(Table1[[#This Row],[Customer Ratings]]&gt;=4, "Good",IF(Table1[[#This Row],[Customer Ratings]]=3, "Average","Poor"))</f>
        <v>Good</v>
      </c>
      <c r="S3731" s="3" t="s">
        <v>90</v>
      </c>
    </row>
    <row r="3732" spans="1:19" x14ac:dyDescent="0.25">
      <c r="A3732" s="3">
        <v>3731</v>
      </c>
      <c r="B3732" s="5">
        <f>DATE(Table1[[#This Row],[Year]],Table1[[#This Row],[Month]],Table1[[#This Row],[Day]])</f>
        <v>45543</v>
      </c>
      <c r="C3732" s="3">
        <v>8</v>
      </c>
      <c r="D3732" s="3">
        <v>9</v>
      </c>
      <c r="E3732" s="3">
        <v>2024</v>
      </c>
      <c r="F3732" s="3" t="str">
        <f>"Qtr"&amp; " " &amp;CHOOSE(MONTH(Table1[[#This Row],[Date]]),1,1,1,2,2,2,3,3,3,4,4,4)</f>
        <v>Qtr 3</v>
      </c>
      <c r="G3732" s="3" t="str">
        <f>TEXT(Table1[[#This Row],[Date]],"mmmm")</f>
        <v>September</v>
      </c>
      <c r="H3732" s="3" t="s">
        <v>1080</v>
      </c>
      <c r="I3732" s="3" t="s">
        <v>33</v>
      </c>
      <c r="J3732" s="3">
        <v>6</v>
      </c>
      <c r="K3732" s="3">
        <v>12703.57</v>
      </c>
      <c r="L3732" s="3">
        <f>Table1[[#This Row],[Price Per Unit]]*Table1[[#This Row],[Units Sold]]</f>
        <v>76221.42</v>
      </c>
      <c r="M3732" s="3" t="s">
        <v>861</v>
      </c>
      <c r="N3732" s="3">
        <v>53</v>
      </c>
      <c r="O3732" s="3" t="s">
        <v>24</v>
      </c>
      <c r="P3732" s="3" t="s">
        <v>31</v>
      </c>
      <c r="Q3732" s="4">
        <v>5</v>
      </c>
      <c r="R3732" s="4" t="str">
        <f>IF(Table1[[#This Row],[Customer Ratings]]&gt;=4, "Good",IF(Table1[[#This Row],[Customer Ratings]]=3, "Average","Poor"))</f>
        <v>Good</v>
      </c>
      <c r="S3732" s="3" t="s">
        <v>83</v>
      </c>
    </row>
    <row r="3733" spans="1:19" x14ac:dyDescent="0.25">
      <c r="A3733" s="3">
        <v>3732</v>
      </c>
      <c r="B3733" s="5">
        <f>DATE(Table1[[#This Row],[Year]],Table1[[#This Row],[Month]],Table1[[#This Row],[Day]])</f>
        <v>45543</v>
      </c>
      <c r="C3733" s="3">
        <v>8</v>
      </c>
      <c r="D3733" s="3">
        <v>9</v>
      </c>
      <c r="E3733" s="3">
        <v>2024</v>
      </c>
      <c r="F3733" s="3" t="str">
        <f>"Qtr"&amp; " " &amp;CHOOSE(MONTH(Table1[[#This Row],[Date]]),1,1,1,2,2,2,3,3,3,4,4,4)</f>
        <v>Qtr 3</v>
      </c>
      <c r="G3733" s="3" t="str">
        <f>TEXT(Table1[[#This Row],[Date]],"mmmm")</f>
        <v>September</v>
      </c>
      <c r="H3733" s="3" t="s">
        <v>1080</v>
      </c>
      <c r="I3733" s="3" t="s">
        <v>18</v>
      </c>
      <c r="J3733" s="3">
        <v>7</v>
      </c>
      <c r="K3733" s="3">
        <v>21162.04</v>
      </c>
      <c r="L3733" s="3">
        <f>Table1[[#This Row],[Price Per Unit]]*Table1[[#This Row],[Units Sold]]</f>
        <v>148134.28</v>
      </c>
      <c r="M3733" s="3" t="s">
        <v>170</v>
      </c>
      <c r="N3733" s="3">
        <v>55</v>
      </c>
      <c r="O3733" s="3" t="s">
        <v>20</v>
      </c>
      <c r="P3733" s="3" t="s">
        <v>16</v>
      </c>
      <c r="Q3733" s="4">
        <v>5</v>
      </c>
      <c r="R3733" s="4" t="str">
        <f>IF(Table1[[#This Row],[Customer Ratings]]&gt;=4, "Good",IF(Table1[[#This Row],[Customer Ratings]]=3, "Average","Poor"))</f>
        <v>Good</v>
      </c>
      <c r="S3733" s="3" t="s">
        <v>22</v>
      </c>
    </row>
    <row r="3734" spans="1:19" x14ac:dyDescent="0.25">
      <c r="A3734" s="3">
        <v>3733</v>
      </c>
      <c r="B3734" s="5">
        <f>DATE(Table1[[#This Row],[Year]],Table1[[#This Row],[Month]],Table1[[#This Row],[Day]])</f>
        <v>45544</v>
      </c>
      <c r="C3734" s="3">
        <v>9</v>
      </c>
      <c r="D3734" s="3">
        <v>9</v>
      </c>
      <c r="E3734" s="3">
        <v>2024</v>
      </c>
      <c r="F3734" s="3" t="str">
        <f>"Qtr"&amp; " " &amp;CHOOSE(MONTH(Table1[[#This Row],[Date]]),1,1,1,2,2,2,3,3,3,4,4,4)</f>
        <v>Qtr 3</v>
      </c>
      <c r="G3734" s="3" t="str">
        <f>TEXT(Table1[[#This Row],[Date]],"mmmm")</f>
        <v>September</v>
      </c>
      <c r="H3734" s="3" t="s">
        <v>1081</v>
      </c>
      <c r="I3734" s="3" t="s">
        <v>18</v>
      </c>
      <c r="J3734" s="3">
        <v>3</v>
      </c>
      <c r="K3734" s="3">
        <v>66072.22</v>
      </c>
      <c r="L3734" s="3">
        <f>Table1[[#This Row],[Price Per Unit]]*Table1[[#This Row],[Units Sold]]</f>
        <v>198216.66</v>
      </c>
      <c r="M3734" s="3" t="s">
        <v>565</v>
      </c>
      <c r="N3734" s="3">
        <v>36</v>
      </c>
      <c r="O3734" s="3" t="s">
        <v>102</v>
      </c>
      <c r="P3734" s="3" t="s">
        <v>16</v>
      </c>
      <c r="Q3734" s="4">
        <v>4</v>
      </c>
      <c r="R3734" s="4" t="str">
        <f>IF(Table1[[#This Row],[Customer Ratings]]&gt;=4, "Good",IF(Table1[[#This Row],[Customer Ratings]]=3, "Average","Poor"))</f>
        <v>Good</v>
      </c>
      <c r="S3734" s="3" t="s">
        <v>22</v>
      </c>
    </row>
    <row r="3735" spans="1:19" x14ac:dyDescent="0.25">
      <c r="A3735" s="3">
        <v>3734</v>
      </c>
      <c r="B3735" s="5">
        <f>DATE(Table1[[#This Row],[Year]],Table1[[#This Row],[Month]],Table1[[#This Row],[Day]])</f>
        <v>45544</v>
      </c>
      <c r="C3735" s="3">
        <v>9</v>
      </c>
      <c r="D3735" s="3">
        <v>9</v>
      </c>
      <c r="E3735" s="3">
        <v>2024</v>
      </c>
      <c r="F3735" s="3" t="str">
        <f>"Qtr"&amp; " " &amp;CHOOSE(MONTH(Table1[[#This Row],[Date]]),1,1,1,2,2,2,3,3,3,4,4,4)</f>
        <v>Qtr 3</v>
      </c>
      <c r="G3735" s="3" t="str">
        <f>TEXT(Table1[[#This Row],[Date]],"mmmm")</f>
        <v>September</v>
      </c>
      <c r="H3735" s="3" t="s">
        <v>1081</v>
      </c>
      <c r="I3735" s="3" t="s">
        <v>28</v>
      </c>
      <c r="J3735" s="3">
        <v>8</v>
      </c>
      <c r="K3735" s="3">
        <v>68610.06</v>
      </c>
      <c r="L3735" s="3">
        <f>Table1[[#This Row],[Price Per Unit]]*Table1[[#This Row],[Units Sold]]</f>
        <v>548880.48</v>
      </c>
      <c r="M3735" s="3" t="s">
        <v>313</v>
      </c>
      <c r="N3735" s="3">
        <v>59</v>
      </c>
      <c r="O3735" s="3" t="s">
        <v>78</v>
      </c>
      <c r="P3735" s="3" t="s">
        <v>16</v>
      </c>
      <c r="Q3735" s="4">
        <v>3</v>
      </c>
      <c r="R3735" s="4" t="str">
        <f>IF(Table1[[#This Row],[Customer Ratings]]&gt;=4, "Good",IF(Table1[[#This Row],[Customer Ratings]]=3, "Average","Poor"))</f>
        <v>Average</v>
      </c>
      <c r="S3735" s="3" t="s">
        <v>87</v>
      </c>
    </row>
    <row r="3736" spans="1:19" x14ac:dyDescent="0.25">
      <c r="A3736" s="3">
        <v>3735</v>
      </c>
      <c r="B3736" s="5">
        <f>DATE(Table1[[#This Row],[Year]],Table1[[#This Row],[Month]],Table1[[#This Row],[Day]])</f>
        <v>45544</v>
      </c>
      <c r="C3736" s="3">
        <v>9</v>
      </c>
      <c r="D3736" s="3">
        <v>9</v>
      </c>
      <c r="E3736" s="3">
        <v>2024</v>
      </c>
      <c r="F3736" s="3" t="str">
        <f>"Qtr"&amp; " " &amp;CHOOSE(MONTH(Table1[[#This Row],[Date]]),1,1,1,2,2,2,3,3,3,4,4,4)</f>
        <v>Qtr 3</v>
      </c>
      <c r="G3736" s="3" t="str">
        <f>TEXT(Table1[[#This Row],[Date]],"mmmm")</f>
        <v>September</v>
      </c>
      <c r="H3736" s="3" t="s">
        <v>1081</v>
      </c>
      <c r="I3736" s="3" t="s">
        <v>39</v>
      </c>
      <c r="J3736" s="3">
        <v>3</v>
      </c>
      <c r="K3736" s="3">
        <v>54385</v>
      </c>
      <c r="L3736" s="3">
        <f>Table1[[#This Row],[Price Per Unit]]*Table1[[#This Row],[Units Sold]]</f>
        <v>163155</v>
      </c>
      <c r="M3736" s="3" t="s">
        <v>95</v>
      </c>
      <c r="N3736" s="3">
        <v>18</v>
      </c>
      <c r="O3736" s="3" t="s">
        <v>24</v>
      </c>
      <c r="P3736" s="3" t="s">
        <v>45</v>
      </c>
      <c r="Q3736" s="4">
        <v>5</v>
      </c>
      <c r="R3736" s="4" t="str">
        <f>IF(Table1[[#This Row],[Customer Ratings]]&gt;=4, "Good",IF(Table1[[#This Row],[Customer Ratings]]=3, "Average","Poor"))</f>
        <v>Good</v>
      </c>
      <c r="S3736" s="3" t="s">
        <v>90</v>
      </c>
    </row>
    <row r="3737" spans="1:19" x14ac:dyDescent="0.25">
      <c r="A3737" s="3">
        <v>3736</v>
      </c>
      <c r="B3737" s="5">
        <f>DATE(Table1[[#This Row],[Year]],Table1[[#This Row],[Month]],Table1[[#This Row],[Day]])</f>
        <v>45545</v>
      </c>
      <c r="C3737" s="3">
        <v>10</v>
      </c>
      <c r="D3737" s="3">
        <v>9</v>
      </c>
      <c r="E3737" s="3">
        <v>2024</v>
      </c>
      <c r="F3737" s="3" t="str">
        <f>"Qtr"&amp; " " &amp;CHOOSE(MONTH(Table1[[#This Row],[Date]]),1,1,1,2,2,2,3,3,3,4,4,4)</f>
        <v>Qtr 3</v>
      </c>
      <c r="G3737" s="3" t="str">
        <f>TEXT(Table1[[#This Row],[Date]],"mmmm")</f>
        <v>September</v>
      </c>
      <c r="H3737" s="3" t="s">
        <v>1082</v>
      </c>
      <c r="I3737" s="3" t="s">
        <v>13</v>
      </c>
      <c r="J3737" s="3">
        <v>1</v>
      </c>
      <c r="K3737" s="3">
        <v>25132</v>
      </c>
      <c r="L3737" s="3">
        <f>Table1[[#This Row],[Price Per Unit]]*Table1[[#This Row],[Units Sold]]</f>
        <v>25132</v>
      </c>
      <c r="M3737" s="3" t="s">
        <v>61</v>
      </c>
      <c r="N3737" s="3">
        <v>40</v>
      </c>
      <c r="O3737" s="3" t="s">
        <v>20</v>
      </c>
      <c r="P3737" s="3" t="s">
        <v>21</v>
      </c>
      <c r="Q3737" s="4">
        <v>3</v>
      </c>
      <c r="R3737" s="4" t="str">
        <f>IF(Table1[[#This Row],[Customer Ratings]]&gt;=4, "Good",IF(Table1[[#This Row],[Customer Ratings]]=3, "Average","Poor"))</f>
        <v>Average</v>
      </c>
      <c r="S3737" s="3" t="s">
        <v>27</v>
      </c>
    </row>
    <row r="3738" spans="1:19" x14ac:dyDescent="0.25">
      <c r="A3738" s="3">
        <v>3737</v>
      </c>
      <c r="B3738" s="5">
        <f>DATE(Table1[[#This Row],[Year]],Table1[[#This Row],[Month]],Table1[[#This Row],[Day]])</f>
        <v>45545</v>
      </c>
      <c r="C3738" s="3">
        <v>10</v>
      </c>
      <c r="D3738" s="3">
        <v>9</v>
      </c>
      <c r="E3738" s="3">
        <v>2024</v>
      </c>
      <c r="F3738" s="3" t="str">
        <f>"Qtr"&amp; " " &amp;CHOOSE(MONTH(Table1[[#This Row],[Date]]),1,1,1,2,2,2,3,3,3,4,4,4)</f>
        <v>Qtr 3</v>
      </c>
      <c r="G3738" s="3" t="str">
        <f>TEXT(Table1[[#This Row],[Date]],"mmmm")</f>
        <v>September</v>
      </c>
      <c r="H3738" s="3" t="s">
        <v>1082</v>
      </c>
      <c r="I3738" s="3" t="s">
        <v>33</v>
      </c>
      <c r="J3738" s="3">
        <v>5</v>
      </c>
      <c r="K3738" s="3">
        <v>25631.05</v>
      </c>
      <c r="L3738" s="3">
        <f>Table1[[#This Row],[Price Per Unit]]*Table1[[#This Row],[Units Sold]]</f>
        <v>128155.25</v>
      </c>
      <c r="M3738" s="3" t="s">
        <v>115</v>
      </c>
      <c r="N3738" s="3">
        <v>45</v>
      </c>
      <c r="O3738" s="3" t="s">
        <v>20</v>
      </c>
      <c r="P3738" s="3" t="s">
        <v>31</v>
      </c>
      <c r="Q3738" s="4">
        <v>2</v>
      </c>
      <c r="R3738" s="4" t="str">
        <f>IF(Table1[[#This Row],[Customer Ratings]]&gt;=4, "Good",IF(Table1[[#This Row],[Customer Ratings]]=3, "Average","Poor"))</f>
        <v>Poor</v>
      </c>
      <c r="S3738" s="3" t="s">
        <v>46</v>
      </c>
    </row>
    <row r="3739" spans="1:19" x14ac:dyDescent="0.25">
      <c r="A3739" s="3">
        <v>3738</v>
      </c>
      <c r="B3739" s="5">
        <f>DATE(Table1[[#This Row],[Year]],Table1[[#This Row],[Month]],Table1[[#This Row],[Day]])</f>
        <v>45545</v>
      </c>
      <c r="C3739" s="3">
        <v>10</v>
      </c>
      <c r="D3739" s="3">
        <v>9</v>
      </c>
      <c r="E3739" s="3">
        <v>2024</v>
      </c>
      <c r="F3739" s="3" t="str">
        <f>"Qtr"&amp; " " &amp;CHOOSE(MONTH(Table1[[#This Row],[Date]]),1,1,1,2,2,2,3,3,3,4,4,4)</f>
        <v>Qtr 3</v>
      </c>
      <c r="G3739" s="3" t="str">
        <f>TEXT(Table1[[#This Row],[Date]],"mmmm")</f>
        <v>September</v>
      </c>
      <c r="H3739" s="3" t="s">
        <v>1082</v>
      </c>
      <c r="I3739" s="3" t="s">
        <v>33</v>
      </c>
      <c r="J3739" s="3">
        <v>2</v>
      </c>
      <c r="K3739" s="3">
        <v>48747.42</v>
      </c>
      <c r="L3739" s="3">
        <f>Table1[[#This Row],[Price Per Unit]]*Table1[[#This Row],[Units Sold]]</f>
        <v>97494.84</v>
      </c>
      <c r="M3739" s="3" t="s">
        <v>368</v>
      </c>
      <c r="N3739" s="3">
        <v>21</v>
      </c>
      <c r="O3739" s="3" t="s">
        <v>137</v>
      </c>
      <c r="P3739" s="3" t="s">
        <v>31</v>
      </c>
      <c r="Q3739" s="4">
        <v>5</v>
      </c>
      <c r="R3739" s="4" t="str">
        <f>IF(Table1[[#This Row],[Customer Ratings]]&gt;=4, "Good",IF(Table1[[#This Row],[Customer Ratings]]=3, "Average","Poor"))</f>
        <v>Good</v>
      </c>
      <c r="S3739" s="3" t="s">
        <v>83</v>
      </c>
    </row>
    <row r="3740" spans="1:19" x14ac:dyDescent="0.25">
      <c r="A3740" s="3">
        <v>3739</v>
      </c>
      <c r="B3740" s="5">
        <f>DATE(Table1[[#This Row],[Year]],Table1[[#This Row],[Month]],Table1[[#This Row],[Day]])</f>
        <v>45546</v>
      </c>
      <c r="C3740" s="3">
        <v>11</v>
      </c>
      <c r="D3740" s="3">
        <v>9</v>
      </c>
      <c r="E3740" s="3">
        <v>2024</v>
      </c>
      <c r="F3740" s="3" t="str">
        <f>"Qtr"&amp; " " &amp;CHOOSE(MONTH(Table1[[#This Row],[Date]]),1,1,1,2,2,2,3,3,3,4,4,4)</f>
        <v>Qtr 3</v>
      </c>
      <c r="G3740" s="3" t="str">
        <f>TEXT(Table1[[#This Row],[Date]],"mmmm")</f>
        <v>September</v>
      </c>
      <c r="H3740" s="3" t="s">
        <v>1083</v>
      </c>
      <c r="I3740" s="3" t="s">
        <v>39</v>
      </c>
      <c r="J3740" s="3">
        <v>6</v>
      </c>
      <c r="K3740" s="3">
        <v>17055.98</v>
      </c>
      <c r="L3740" s="3">
        <f>Table1[[#This Row],[Price Per Unit]]*Table1[[#This Row],[Units Sold]]</f>
        <v>102335.88</v>
      </c>
      <c r="M3740" s="3" t="s">
        <v>313</v>
      </c>
      <c r="N3740" s="3">
        <v>58</v>
      </c>
      <c r="O3740" s="3" t="s">
        <v>30</v>
      </c>
      <c r="P3740" s="3" t="s">
        <v>45</v>
      </c>
      <c r="Q3740" s="4">
        <v>4</v>
      </c>
      <c r="R3740" s="4" t="str">
        <f>IF(Table1[[#This Row],[Customer Ratings]]&gt;=4, "Good",IF(Table1[[#This Row],[Customer Ratings]]=3, "Average","Poor"))</f>
        <v>Good</v>
      </c>
      <c r="S3740" s="3" t="s">
        <v>76</v>
      </c>
    </row>
    <row r="3741" spans="1:19" x14ac:dyDescent="0.25">
      <c r="A3741" s="3">
        <v>3740</v>
      </c>
      <c r="B3741" s="5">
        <f>DATE(Table1[[#This Row],[Year]],Table1[[#This Row],[Month]],Table1[[#This Row],[Day]])</f>
        <v>45546</v>
      </c>
      <c r="C3741" s="3">
        <v>11</v>
      </c>
      <c r="D3741" s="3">
        <v>9</v>
      </c>
      <c r="E3741" s="3">
        <v>2024</v>
      </c>
      <c r="F3741" s="3" t="str">
        <f>"Qtr"&amp; " " &amp;CHOOSE(MONTH(Table1[[#This Row],[Date]]),1,1,1,2,2,2,3,3,3,4,4,4)</f>
        <v>Qtr 3</v>
      </c>
      <c r="G3741" s="3" t="str">
        <f>TEXT(Table1[[#This Row],[Date]],"mmmm")</f>
        <v>September</v>
      </c>
      <c r="H3741" s="3" t="s">
        <v>1083</v>
      </c>
      <c r="I3741" s="3" t="s">
        <v>28</v>
      </c>
      <c r="J3741" s="3">
        <v>9</v>
      </c>
      <c r="K3741" s="3">
        <v>66898.559999999998</v>
      </c>
      <c r="L3741" s="3">
        <f>Table1[[#This Row],[Price Per Unit]]*Table1[[#This Row],[Units Sold]]</f>
        <v>602087.04</v>
      </c>
      <c r="M3741" s="3" t="s">
        <v>255</v>
      </c>
      <c r="N3741" s="3">
        <v>35</v>
      </c>
      <c r="O3741" s="3" t="s">
        <v>20</v>
      </c>
      <c r="P3741" s="3" t="s">
        <v>16</v>
      </c>
      <c r="Q3741" s="4">
        <v>2</v>
      </c>
      <c r="R3741" s="4" t="str">
        <f>IF(Table1[[#This Row],[Customer Ratings]]&gt;=4, "Good",IF(Table1[[#This Row],[Customer Ratings]]=3, "Average","Poor"))</f>
        <v>Poor</v>
      </c>
      <c r="S3741" s="3" t="s">
        <v>38</v>
      </c>
    </row>
    <row r="3742" spans="1:19" x14ac:dyDescent="0.25">
      <c r="A3742" s="3">
        <v>3741</v>
      </c>
      <c r="B3742" s="5">
        <f>DATE(Table1[[#This Row],[Year]],Table1[[#This Row],[Month]],Table1[[#This Row],[Day]])</f>
        <v>45546</v>
      </c>
      <c r="C3742" s="3">
        <v>11</v>
      </c>
      <c r="D3742" s="3">
        <v>9</v>
      </c>
      <c r="E3742" s="3">
        <v>2024</v>
      </c>
      <c r="F3742" s="3" t="str">
        <f>"Qtr"&amp; " " &amp;CHOOSE(MONTH(Table1[[#This Row],[Date]]),1,1,1,2,2,2,3,3,3,4,4,4)</f>
        <v>Qtr 3</v>
      </c>
      <c r="G3742" s="3" t="str">
        <f>TEXT(Table1[[#This Row],[Date]],"mmmm")</f>
        <v>September</v>
      </c>
      <c r="H3742" s="3" t="s">
        <v>1083</v>
      </c>
      <c r="I3742" s="3" t="s">
        <v>28</v>
      </c>
      <c r="J3742" s="3">
        <v>1</v>
      </c>
      <c r="K3742" s="3">
        <v>23488.77</v>
      </c>
      <c r="L3742" s="3">
        <f>Table1[[#This Row],[Price Per Unit]]*Table1[[#This Row],[Units Sold]]</f>
        <v>23488.77</v>
      </c>
      <c r="M3742" s="3" t="s">
        <v>894</v>
      </c>
      <c r="N3742" s="3">
        <v>56</v>
      </c>
      <c r="O3742" s="3" t="s">
        <v>120</v>
      </c>
      <c r="P3742" s="3" t="s">
        <v>16</v>
      </c>
      <c r="Q3742" s="4">
        <v>4</v>
      </c>
      <c r="R3742" s="4" t="str">
        <f>IF(Table1[[#This Row],[Customer Ratings]]&gt;=4, "Good",IF(Table1[[#This Row],[Customer Ratings]]=3, "Average","Poor"))</f>
        <v>Good</v>
      </c>
      <c r="S3742" s="3" t="s">
        <v>32</v>
      </c>
    </row>
    <row r="3743" spans="1:19" x14ac:dyDescent="0.25">
      <c r="A3743" s="3">
        <v>3742</v>
      </c>
      <c r="B3743" s="5">
        <f>DATE(Table1[[#This Row],[Year]],Table1[[#This Row],[Month]],Table1[[#This Row],[Day]])</f>
        <v>45547</v>
      </c>
      <c r="C3743" s="3">
        <v>12</v>
      </c>
      <c r="D3743" s="3">
        <v>9</v>
      </c>
      <c r="E3743" s="3">
        <v>2024</v>
      </c>
      <c r="F3743" s="3" t="str">
        <f>"Qtr"&amp; " " &amp;CHOOSE(MONTH(Table1[[#This Row],[Date]]),1,1,1,2,2,2,3,3,3,4,4,4)</f>
        <v>Qtr 3</v>
      </c>
      <c r="G3743" s="3" t="str">
        <f>TEXT(Table1[[#This Row],[Date]],"mmmm")</f>
        <v>September</v>
      </c>
      <c r="H3743" s="3" t="s">
        <v>1084</v>
      </c>
      <c r="I3743" s="3" t="s">
        <v>39</v>
      </c>
      <c r="J3743" s="3">
        <v>4</v>
      </c>
      <c r="K3743" s="3">
        <v>69978.14</v>
      </c>
      <c r="L3743" s="3">
        <f>Table1[[#This Row],[Price Per Unit]]*Table1[[#This Row],[Units Sold]]</f>
        <v>279912.56</v>
      </c>
      <c r="M3743" s="3" t="s">
        <v>545</v>
      </c>
      <c r="N3743" s="3">
        <v>42</v>
      </c>
      <c r="O3743" s="3" t="s">
        <v>120</v>
      </c>
      <c r="P3743" s="3" t="s">
        <v>21</v>
      </c>
      <c r="Q3743" s="4">
        <v>2</v>
      </c>
      <c r="R3743" s="4" t="str">
        <f>IF(Table1[[#This Row],[Customer Ratings]]&gt;=4, "Good",IF(Table1[[#This Row],[Customer Ratings]]=3, "Average","Poor"))</f>
        <v>Poor</v>
      </c>
      <c r="S3743" s="3" t="s">
        <v>76</v>
      </c>
    </row>
    <row r="3744" spans="1:19" x14ac:dyDescent="0.25">
      <c r="A3744" s="3">
        <v>3743</v>
      </c>
      <c r="B3744" s="5">
        <f>DATE(Table1[[#This Row],[Year]],Table1[[#This Row],[Month]],Table1[[#This Row],[Day]])</f>
        <v>45547</v>
      </c>
      <c r="C3744" s="3">
        <v>12</v>
      </c>
      <c r="D3744" s="3">
        <v>9</v>
      </c>
      <c r="E3744" s="3">
        <v>2024</v>
      </c>
      <c r="F3744" s="3" t="str">
        <f>"Qtr"&amp; " " &amp;CHOOSE(MONTH(Table1[[#This Row],[Date]]),1,1,1,2,2,2,3,3,3,4,4,4)</f>
        <v>Qtr 3</v>
      </c>
      <c r="G3744" s="3" t="str">
        <f>TEXT(Table1[[#This Row],[Date]],"mmmm")</f>
        <v>September</v>
      </c>
      <c r="H3744" s="3" t="s">
        <v>1084</v>
      </c>
      <c r="I3744" s="3" t="s">
        <v>28</v>
      </c>
      <c r="J3744" s="3">
        <v>1</v>
      </c>
      <c r="K3744" s="3">
        <v>39744.03</v>
      </c>
      <c r="L3744" s="3">
        <f>Table1[[#This Row],[Price Per Unit]]*Table1[[#This Row],[Units Sold]]</f>
        <v>39744.03</v>
      </c>
      <c r="M3744" s="3" t="s">
        <v>230</v>
      </c>
      <c r="N3744" s="3">
        <v>35</v>
      </c>
      <c r="O3744" s="3" t="s">
        <v>24</v>
      </c>
      <c r="P3744" s="3" t="s">
        <v>21</v>
      </c>
      <c r="Q3744" s="4">
        <v>4</v>
      </c>
      <c r="R3744" s="4" t="str">
        <f>IF(Table1[[#This Row],[Customer Ratings]]&gt;=4, "Good",IF(Table1[[#This Row],[Customer Ratings]]=3, "Average","Poor"))</f>
        <v>Good</v>
      </c>
      <c r="S3744" s="3" t="s">
        <v>32</v>
      </c>
    </row>
    <row r="3745" spans="1:19" x14ac:dyDescent="0.25">
      <c r="A3745" s="3">
        <v>3744</v>
      </c>
      <c r="B3745" s="5">
        <f>DATE(Table1[[#This Row],[Year]],Table1[[#This Row],[Month]],Table1[[#This Row],[Day]])</f>
        <v>45547</v>
      </c>
      <c r="C3745" s="3">
        <v>12</v>
      </c>
      <c r="D3745" s="3">
        <v>9</v>
      </c>
      <c r="E3745" s="3">
        <v>2024</v>
      </c>
      <c r="F3745" s="3" t="str">
        <f>"Qtr"&amp; " " &amp;CHOOSE(MONTH(Table1[[#This Row],[Date]]),1,1,1,2,2,2,3,3,3,4,4,4)</f>
        <v>Qtr 3</v>
      </c>
      <c r="G3745" s="3" t="str">
        <f>TEXT(Table1[[#This Row],[Date]],"mmmm")</f>
        <v>September</v>
      </c>
      <c r="H3745" s="3" t="s">
        <v>1084</v>
      </c>
      <c r="I3745" s="3" t="s">
        <v>33</v>
      </c>
      <c r="J3745" s="3">
        <v>1</v>
      </c>
      <c r="K3745" s="3">
        <v>56285.8</v>
      </c>
      <c r="L3745" s="3">
        <f>Table1[[#This Row],[Price Per Unit]]*Table1[[#This Row],[Units Sold]]</f>
        <v>56285.8</v>
      </c>
      <c r="M3745" s="3" t="s">
        <v>854</v>
      </c>
      <c r="N3745" s="3">
        <v>23</v>
      </c>
      <c r="O3745" s="3" t="s">
        <v>52</v>
      </c>
      <c r="P3745" s="3" t="s">
        <v>31</v>
      </c>
      <c r="Q3745" s="4">
        <v>5</v>
      </c>
      <c r="R3745" s="4" t="str">
        <f>IF(Table1[[#This Row],[Customer Ratings]]&gt;=4, "Good",IF(Table1[[#This Row],[Customer Ratings]]=3, "Average","Poor"))</f>
        <v>Good</v>
      </c>
      <c r="S3745" s="3" t="s">
        <v>83</v>
      </c>
    </row>
    <row r="3746" spans="1:19" x14ac:dyDescent="0.25">
      <c r="A3746" s="3">
        <v>3745</v>
      </c>
      <c r="B3746" s="5">
        <f>DATE(Table1[[#This Row],[Year]],Table1[[#This Row],[Month]],Table1[[#This Row],[Day]])</f>
        <v>45548</v>
      </c>
      <c r="C3746" s="3">
        <v>13</v>
      </c>
      <c r="D3746" s="3">
        <v>9</v>
      </c>
      <c r="E3746" s="3">
        <v>2024</v>
      </c>
      <c r="F3746" s="3" t="str">
        <f>"Qtr"&amp; " " &amp;CHOOSE(MONTH(Table1[[#This Row],[Date]]),1,1,1,2,2,2,3,3,3,4,4,4)</f>
        <v>Qtr 3</v>
      </c>
      <c r="G3746" s="3" t="str">
        <f>TEXT(Table1[[#This Row],[Date]],"mmmm")</f>
        <v>September</v>
      </c>
      <c r="H3746" s="3" t="s">
        <v>1085</v>
      </c>
      <c r="I3746" s="3" t="s">
        <v>33</v>
      </c>
      <c r="J3746" s="3">
        <v>8</v>
      </c>
      <c r="K3746" s="3">
        <v>10131.049999999999</v>
      </c>
      <c r="L3746" s="3">
        <f>Table1[[#This Row],[Price Per Unit]]*Table1[[#This Row],[Units Sold]]</f>
        <v>81048.399999999994</v>
      </c>
      <c r="M3746" s="3" t="s">
        <v>397</v>
      </c>
      <c r="N3746" s="3">
        <v>36</v>
      </c>
      <c r="O3746" s="3" t="s">
        <v>24</v>
      </c>
      <c r="P3746" s="3" t="s">
        <v>21</v>
      </c>
      <c r="Q3746" s="4">
        <v>5</v>
      </c>
      <c r="R3746" s="4" t="str">
        <f>IF(Table1[[#This Row],[Customer Ratings]]&gt;=4, "Good",IF(Table1[[#This Row],[Customer Ratings]]=3, "Average","Poor"))</f>
        <v>Good</v>
      </c>
      <c r="S3746" s="3" t="s">
        <v>83</v>
      </c>
    </row>
    <row r="3747" spans="1:19" x14ac:dyDescent="0.25">
      <c r="A3747" s="3">
        <v>3746</v>
      </c>
      <c r="B3747" s="5">
        <f>DATE(Table1[[#This Row],[Year]],Table1[[#This Row],[Month]],Table1[[#This Row],[Day]])</f>
        <v>45548</v>
      </c>
      <c r="C3747" s="3">
        <v>13</v>
      </c>
      <c r="D3747" s="3">
        <v>9</v>
      </c>
      <c r="E3747" s="3">
        <v>2024</v>
      </c>
      <c r="F3747" s="3" t="str">
        <f>"Qtr"&amp; " " &amp;CHOOSE(MONTH(Table1[[#This Row],[Date]]),1,1,1,2,2,2,3,3,3,4,4,4)</f>
        <v>Qtr 3</v>
      </c>
      <c r="G3747" s="3" t="str">
        <f>TEXT(Table1[[#This Row],[Date]],"mmmm")</f>
        <v>September</v>
      </c>
      <c r="H3747" s="3" t="s">
        <v>1085</v>
      </c>
      <c r="I3747" s="3" t="s">
        <v>13</v>
      </c>
      <c r="J3747" s="3">
        <v>2</v>
      </c>
      <c r="K3747" s="3">
        <v>63324.78</v>
      </c>
      <c r="L3747" s="3">
        <f>Table1[[#This Row],[Price Per Unit]]*Table1[[#This Row],[Units Sold]]</f>
        <v>126649.56</v>
      </c>
      <c r="M3747" s="3" t="s">
        <v>445</v>
      </c>
      <c r="N3747" s="3">
        <v>29</v>
      </c>
      <c r="O3747" s="3" t="s">
        <v>20</v>
      </c>
      <c r="P3747" s="3" t="s">
        <v>31</v>
      </c>
      <c r="Q3747" s="4">
        <v>3</v>
      </c>
      <c r="R3747" s="4" t="str">
        <f>IF(Table1[[#This Row],[Customer Ratings]]&gt;=4, "Good",IF(Table1[[#This Row],[Customer Ratings]]=3, "Average","Poor"))</f>
        <v>Average</v>
      </c>
      <c r="S3747" s="3" t="s">
        <v>17</v>
      </c>
    </row>
    <row r="3748" spans="1:19" x14ac:dyDescent="0.25">
      <c r="A3748" s="3">
        <v>3747</v>
      </c>
      <c r="B3748" s="5">
        <f>DATE(Table1[[#This Row],[Year]],Table1[[#This Row],[Month]],Table1[[#This Row],[Day]])</f>
        <v>45548</v>
      </c>
      <c r="C3748" s="3">
        <v>13</v>
      </c>
      <c r="D3748" s="3">
        <v>9</v>
      </c>
      <c r="E3748" s="3">
        <v>2024</v>
      </c>
      <c r="F3748" s="3" t="str">
        <f>"Qtr"&amp; " " &amp;CHOOSE(MONTH(Table1[[#This Row],[Date]]),1,1,1,2,2,2,3,3,3,4,4,4)</f>
        <v>Qtr 3</v>
      </c>
      <c r="G3748" s="3" t="str">
        <f>TEXT(Table1[[#This Row],[Date]],"mmmm")</f>
        <v>September</v>
      </c>
      <c r="H3748" s="3" t="s">
        <v>1085</v>
      </c>
      <c r="I3748" s="3" t="s">
        <v>39</v>
      </c>
      <c r="J3748" s="3">
        <v>1</v>
      </c>
      <c r="K3748" s="3">
        <v>26200.12</v>
      </c>
      <c r="L3748" s="3">
        <f>Table1[[#This Row],[Price Per Unit]]*Table1[[#This Row],[Units Sold]]</f>
        <v>26200.12</v>
      </c>
      <c r="M3748" s="3" t="s">
        <v>382</v>
      </c>
      <c r="N3748" s="3">
        <v>42</v>
      </c>
      <c r="O3748" s="3" t="s">
        <v>105</v>
      </c>
      <c r="P3748" s="3" t="s">
        <v>45</v>
      </c>
      <c r="Q3748" s="4">
        <v>2</v>
      </c>
      <c r="R3748" s="4" t="str">
        <f>IF(Table1[[#This Row],[Customer Ratings]]&gt;=4, "Good",IF(Table1[[#This Row],[Customer Ratings]]=3, "Average","Poor"))</f>
        <v>Poor</v>
      </c>
      <c r="S3748" s="3" t="s">
        <v>90</v>
      </c>
    </row>
    <row r="3749" spans="1:19" x14ac:dyDescent="0.25">
      <c r="A3749" s="3">
        <v>3748</v>
      </c>
      <c r="B3749" s="5">
        <f>DATE(Table1[[#This Row],[Year]],Table1[[#This Row],[Month]],Table1[[#This Row],[Day]])</f>
        <v>45549</v>
      </c>
      <c r="C3749" s="3">
        <v>14</v>
      </c>
      <c r="D3749" s="3">
        <v>9</v>
      </c>
      <c r="E3749" s="3">
        <v>2024</v>
      </c>
      <c r="F3749" s="3" t="str">
        <f>"Qtr"&amp; " " &amp;CHOOSE(MONTH(Table1[[#This Row],[Date]]),1,1,1,2,2,2,3,3,3,4,4,4)</f>
        <v>Qtr 3</v>
      </c>
      <c r="G3749" s="3" t="str">
        <f>TEXT(Table1[[#This Row],[Date]],"mmmm")</f>
        <v>September</v>
      </c>
      <c r="H3749" s="3" t="s">
        <v>1079</v>
      </c>
      <c r="I3749" s="3" t="s">
        <v>18</v>
      </c>
      <c r="J3749" s="3">
        <v>8</v>
      </c>
      <c r="K3749" s="3">
        <v>50076.2</v>
      </c>
      <c r="L3749" s="3">
        <f>Table1[[#This Row],[Price Per Unit]]*Table1[[#This Row],[Units Sold]]</f>
        <v>400609.6</v>
      </c>
      <c r="M3749" s="3" t="s">
        <v>26</v>
      </c>
      <c r="N3749" s="3">
        <v>52</v>
      </c>
      <c r="O3749" s="3" t="s">
        <v>20</v>
      </c>
      <c r="P3749" s="3" t="s">
        <v>16</v>
      </c>
      <c r="Q3749" s="4">
        <v>3</v>
      </c>
      <c r="R3749" s="4" t="str">
        <f>IF(Table1[[#This Row],[Customer Ratings]]&gt;=4, "Good",IF(Table1[[#This Row],[Customer Ratings]]=3, "Average","Poor"))</f>
        <v>Average</v>
      </c>
      <c r="S3749" s="3" t="s">
        <v>22</v>
      </c>
    </row>
    <row r="3750" spans="1:19" x14ac:dyDescent="0.25">
      <c r="A3750" s="3">
        <v>3749</v>
      </c>
      <c r="B3750" s="5">
        <f>DATE(Table1[[#This Row],[Year]],Table1[[#This Row],[Month]],Table1[[#This Row],[Day]])</f>
        <v>45549</v>
      </c>
      <c r="C3750" s="3">
        <v>14</v>
      </c>
      <c r="D3750" s="3">
        <v>9</v>
      </c>
      <c r="E3750" s="3">
        <v>2024</v>
      </c>
      <c r="F3750" s="3" t="str">
        <f>"Qtr"&amp; " " &amp;CHOOSE(MONTH(Table1[[#This Row],[Date]]),1,1,1,2,2,2,3,3,3,4,4,4)</f>
        <v>Qtr 3</v>
      </c>
      <c r="G3750" s="3" t="str">
        <f>TEXT(Table1[[#This Row],[Date]],"mmmm")</f>
        <v>September</v>
      </c>
      <c r="H3750" s="3" t="s">
        <v>1079</v>
      </c>
      <c r="I3750" s="3" t="s">
        <v>18</v>
      </c>
      <c r="J3750" s="3">
        <v>4</v>
      </c>
      <c r="K3750" s="3">
        <v>58381.32</v>
      </c>
      <c r="L3750" s="3">
        <f>Table1[[#This Row],[Price Per Unit]]*Table1[[#This Row],[Units Sold]]</f>
        <v>233525.28</v>
      </c>
      <c r="M3750" s="3" t="s">
        <v>1024</v>
      </c>
      <c r="N3750" s="3">
        <v>18</v>
      </c>
      <c r="O3750" s="3" t="s">
        <v>137</v>
      </c>
      <c r="P3750" s="3" t="s">
        <v>16</v>
      </c>
      <c r="Q3750" s="4">
        <v>3</v>
      </c>
      <c r="R3750" s="4" t="str">
        <f>IF(Table1[[#This Row],[Customer Ratings]]&gt;=4, "Good",IF(Table1[[#This Row],[Customer Ratings]]=3, "Average","Poor"))</f>
        <v>Average</v>
      </c>
      <c r="S3750" s="3" t="s">
        <v>25</v>
      </c>
    </row>
    <row r="3751" spans="1:19" x14ac:dyDescent="0.25">
      <c r="A3751" s="3">
        <v>3750</v>
      </c>
      <c r="B3751" s="5">
        <f>DATE(Table1[[#This Row],[Year]],Table1[[#This Row],[Month]],Table1[[#This Row],[Day]])</f>
        <v>45549</v>
      </c>
      <c r="C3751" s="3">
        <v>14</v>
      </c>
      <c r="D3751" s="3">
        <v>9</v>
      </c>
      <c r="E3751" s="3">
        <v>2024</v>
      </c>
      <c r="F3751" s="3" t="str">
        <f>"Qtr"&amp; " " &amp;CHOOSE(MONTH(Table1[[#This Row],[Date]]),1,1,1,2,2,2,3,3,3,4,4,4)</f>
        <v>Qtr 3</v>
      </c>
      <c r="G3751" s="3" t="str">
        <f>TEXT(Table1[[#This Row],[Date]],"mmmm")</f>
        <v>September</v>
      </c>
      <c r="H3751" s="3" t="s">
        <v>1079</v>
      </c>
      <c r="I3751" s="3" t="s">
        <v>13</v>
      </c>
      <c r="J3751" s="3">
        <v>3</v>
      </c>
      <c r="K3751" s="3">
        <v>19848.86</v>
      </c>
      <c r="L3751" s="3">
        <f>Table1[[#This Row],[Price Per Unit]]*Table1[[#This Row],[Units Sold]]</f>
        <v>59546.58</v>
      </c>
      <c r="M3751" s="3" t="s">
        <v>782</v>
      </c>
      <c r="N3751" s="3">
        <v>22</v>
      </c>
      <c r="O3751" s="3" t="s">
        <v>20</v>
      </c>
      <c r="P3751" s="3" t="s">
        <v>31</v>
      </c>
      <c r="Q3751" s="4">
        <v>4</v>
      </c>
      <c r="R3751" s="4" t="str">
        <f>IF(Table1[[#This Row],[Customer Ratings]]&gt;=4, "Good",IF(Table1[[#This Row],[Customer Ratings]]=3, "Average","Poor"))</f>
        <v>Good</v>
      </c>
      <c r="S3751" s="3" t="s">
        <v>17</v>
      </c>
    </row>
    <row r="3752" spans="1:19" x14ac:dyDescent="0.25">
      <c r="A3752" s="3">
        <v>3751</v>
      </c>
      <c r="B3752" s="5">
        <f>DATE(Table1[[#This Row],[Year]],Table1[[#This Row],[Month]],Table1[[#This Row],[Day]])</f>
        <v>45549</v>
      </c>
      <c r="C3752" s="3">
        <v>14</v>
      </c>
      <c r="D3752" s="3">
        <v>9</v>
      </c>
      <c r="E3752" s="3">
        <v>2024</v>
      </c>
      <c r="F3752" s="3" t="str">
        <f>"Qtr"&amp; " " &amp;CHOOSE(MONTH(Table1[[#This Row],[Date]]),1,1,1,2,2,2,3,3,3,4,4,4)</f>
        <v>Qtr 3</v>
      </c>
      <c r="G3752" s="3" t="str">
        <f>TEXT(Table1[[#This Row],[Date]],"mmmm")</f>
        <v>September</v>
      </c>
      <c r="H3752" s="3" t="s">
        <v>1079</v>
      </c>
      <c r="I3752" s="3" t="s">
        <v>13</v>
      </c>
      <c r="J3752" s="3">
        <v>4</v>
      </c>
      <c r="K3752" s="3">
        <v>36550.57</v>
      </c>
      <c r="L3752" s="3">
        <f>Table1[[#This Row],[Price Per Unit]]*Table1[[#This Row],[Units Sold]]</f>
        <v>146202.28</v>
      </c>
      <c r="M3752" s="3" t="s">
        <v>718</v>
      </c>
      <c r="N3752" s="3">
        <v>18</v>
      </c>
      <c r="O3752" s="3" t="s">
        <v>35</v>
      </c>
      <c r="P3752" s="3" t="s">
        <v>16</v>
      </c>
      <c r="Q3752" s="4">
        <v>5</v>
      </c>
      <c r="R3752" s="4" t="str">
        <f>IF(Table1[[#This Row],[Customer Ratings]]&gt;=4, "Good",IF(Table1[[#This Row],[Customer Ratings]]=3, "Average","Poor"))</f>
        <v>Good</v>
      </c>
      <c r="S3752" s="3" t="s">
        <v>17</v>
      </c>
    </row>
    <row r="3753" spans="1:19" x14ac:dyDescent="0.25">
      <c r="A3753" s="3">
        <v>3752</v>
      </c>
      <c r="B3753" s="5">
        <f>DATE(Table1[[#This Row],[Year]],Table1[[#This Row],[Month]],Table1[[#This Row],[Day]])</f>
        <v>45550</v>
      </c>
      <c r="C3753" s="3">
        <v>15</v>
      </c>
      <c r="D3753" s="3">
        <v>9</v>
      </c>
      <c r="E3753" s="3">
        <v>2024</v>
      </c>
      <c r="F3753" s="3" t="str">
        <f>"Qtr"&amp; " " &amp;CHOOSE(MONTH(Table1[[#This Row],[Date]]),1,1,1,2,2,2,3,3,3,4,4,4)</f>
        <v>Qtr 3</v>
      </c>
      <c r="G3753" s="3" t="str">
        <f>TEXT(Table1[[#This Row],[Date]],"mmmm")</f>
        <v>September</v>
      </c>
      <c r="H3753" s="3" t="s">
        <v>1080</v>
      </c>
      <c r="I3753" s="3" t="s">
        <v>28</v>
      </c>
      <c r="J3753" s="3">
        <v>5</v>
      </c>
      <c r="K3753" s="3">
        <v>39630.160000000003</v>
      </c>
      <c r="L3753" s="3">
        <f>Table1[[#This Row],[Price Per Unit]]*Table1[[#This Row],[Units Sold]]</f>
        <v>198150.80000000002</v>
      </c>
      <c r="M3753" s="3" t="s">
        <v>895</v>
      </c>
      <c r="N3753" s="3">
        <v>25</v>
      </c>
      <c r="O3753" s="3" t="s">
        <v>20</v>
      </c>
      <c r="P3753" s="3" t="s">
        <v>45</v>
      </c>
      <c r="Q3753" s="4">
        <v>4</v>
      </c>
      <c r="R3753" s="4" t="str">
        <f>IF(Table1[[#This Row],[Customer Ratings]]&gt;=4, "Good",IF(Table1[[#This Row],[Customer Ratings]]=3, "Average","Poor"))</f>
        <v>Good</v>
      </c>
      <c r="S3753" s="3" t="s">
        <v>32</v>
      </c>
    </row>
    <row r="3754" spans="1:19" x14ac:dyDescent="0.25">
      <c r="A3754" s="3">
        <v>3753</v>
      </c>
      <c r="B3754" s="5">
        <f>DATE(Table1[[#This Row],[Year]],Table1[[#This Row],[Month]],Table1[[#This Row],[Day]])</f>
        <v>45550</v>
      </c>
      <c r="C3754" s="3">
        <v>15</v>
      </c>
      <c r="D3754" s="3">
        <v>9</v>
      </c>
      <c r="E3754" s="3">
        <v>2024</v>
      </c>
      <c r="F3754" s="3" t="str">
        <f>"Qtr"&amp; " " &amp;CHOOSE(MONTH(Table1[[#This Row],[Date]]),1,1,1,2,2,2,3,3,3,4,4,4)</f>
        <v>Qtr 3</v>
      </c>
      <c r="G3754" s="3" t="str">
        <f>TEXT(Table1[[#This Row],[Date]],"mmmm")</f>
        <v>September</v>
      </c>
      <c r="H3754" s="3" t="s">
        <v>1080</v>
      </c>
      <c r="I3754" s="3" t="s">
        <v>13</v>
      </c>
      <c r="J3754" s="3">
        <v>1</v>
      </c>
      <c r="K3754" s="3">
        <v>28727.17</v>
      </c>
      <c r="L3754" s="3">
        <f>Table1[[#This Row],[Price Per Unit]]*Table1[[#This Row],[Units Sold]]</f>
        <v>28727.17</v>
      </c>
      <c r="M3754" s="3" t="s">
        <v>666</v>
      </c>
      <c r="N3754" s="3">
        <v>56</v>
      </c>
      <c r="O3754" s="3" t="s">
        <v>24</v>
      </c>
      <c r="P3754" s="3" t="s">
        <v>21</v>
      </c>
      <c r="Q3754" s="4">
        <v>3</v>
      </c>
      <c r="R3754" s="4" t="str">
        <f>IF(Table1[[#This Row],[Customer Ratings]]&gt;=4, "Good",IF(Table1[[#This Row],[Customer Ratings]]=3, "Average","Poor"))</f>
        <v>Average</v>
      </c>
      <c r="S3754" s="3" t="s">
        <v>17</v>
      </c>
    </row>
    <row r="3755" spans="1:19" x14ac:dyDescent="0.25">
      <c r="A3755" s="3">
        <v>3754</v>
      </c>
      <c r="B3755" s="5">
        <f>DATE(Table1[[#This Row],[Year]],Table1[[#This Row],[Month]],Table1[[#This Row],[Day]])</f>
        <v>45550</v>
      </c>
      <c r="C3755" s="3">
        <v>15</v>
      </c>
      <c r="D3755" s="3">
        <v>9</v>
      </c>
      <c r="E3755" s="3">
        <v>2024</v>
      </c>
      <c r="F3755" s="3" t="str">
        <f>"Qtr"&amp; " " &amp;CHOOSE(MONTH(Table1[[#This Row],[Date]]),1,1,1,2,2,2,3,3,3,4,4,4)</f>
        <v>Qtr 3</v>
      </c>
      <c r="G3755" s="3" t="str">
        <f>TEXT(Table1[[#This Row],[Date]],"mmmm")</f>
        <v>September</v>
      </c>
      <c r="H3755" s="3" t="s">
        <v>1080</v>
      </c>
      <c r="I3755" s="3" t="s">
        <v>13</v>
      </c>
      <c r="J3755" s="3">
        <v>1</v>
      </c>
      <c r="K3755" s="3">
        <v>38905.35</v>
      </c>
      <c r="L3755" s="3">
        <f>Table1[[#This Row],[Price Per Unit]]*Table1[[#This Row],[Units Sold]]</f>
        <v>38905.35</v>
      </c>
      <c r="M3755" s="3" t="s">
        <v>189</v>
      </c>
      <c r="N3755" s="3">
        <v>35</v>
      </c>
      <c r="O3755" s="3" t="s">
        <v>65</v>
      </c>
      <c r="P3755" s="3" t="s">
        <v>45</v>
      </c>
      <c r="Q3755" s="4">
        <v>5</v>
      </c>
      <c r="R3755" s="4" t="str">
        <f>IF(Table1[[#This Row],[Customer Ratings]]&gt;=4, "Good",IF(Table1[[#This Row],[Customer Ratings]]=3, "Average","Poor"))</f>
        <v>Good</v>
      </c>
      <c r="S3755" s="3" t="s">
        <v>27</v>
      </c>
    </row>
    <row r="3756" spans="1:19" x14ac:dyDescent="0.25">
      <c r="A3756" s="3">
        <v>3755</v>
      </c>
      <c r="B3756" s="5">
        <f>DATE(Table1[[#This Row],[Year]],Table1[[#This Row],[Month]],Table1[[#This Row],[Day]])</f>
        <v>45550</v>
      </c>
      <c r="C3756" s="3">
        <v>15</v>
      </c>
      <c r="D3756" s="3">
        <v>9</v>
      </c>
      <c r="E3756" s="3">
        <v>2024</v>
      </c>
      <c r="F3756" s="3" t="str">
        <f>"Qtr"&amp; " " &amp;CHOOSE(MONTH(Table1[[#This Row],[Date]]),1,1,1,2,2,2,3,3,3,4,4,4)</f>
        <v>Qtr 3</v>
      </c>
      <c r="G3756" s="3" t="str">
        <f>TEXT(Table1[[#This Row],[Date]],"mmmm")</f>
        <v>September</v>
      </c>
      <c r="H3756" s="3" t="s">
        <v>1080</v>
      </c>
      <c r="I3756" s="3" t="s">
        <v>18</v>
      </c>
      <c r="J3756" s="3">
        <v>3</v>
      </c>
      <c r="K3756" s="3">
        <v>29052.74</v>
      </c>
      <c r="L3756" s="3">
        <f>Table1[[#This Row],[Price Per Unit]]*Table1[[#This Row],[Units Sold]]</f>
        <v>87158.22</v>
      </c>
      <c r="M3756" s="3" t="s">
        <v>401</v>
      </c>
      <c r="N3756" s="3">
        <v>26</v>
      </c>
      <c r="O3756" s="3" t="s">
        <v>35</v>
      </c>
      <c r="P3756" s="3" t="s">
        <v>16</v>
      </c>
      <c r="Q3756" s="4">
        <v>5</v>
      </c>
      <c r="R3756" s="4" t="str">
        <f>IF(Table1[[#This Row],[Customer Ratings]]&gt;=4, "Good",IF(Table1[[#This Row],[Customer Ratings]]=3, "Average","Poor"))</f>
        <v>Good</v>
      </c>
      <c r="S3756" s="3" t="s">
        <v>22</v>
      </c>
    </row>
    <row r="3757" spans="1:19" x14ac:dyDescent="0.25">
      <c r="A3757" s="3">
        <v>3756</v>
      </c>
      <c r="B3757" s="5">
        <f>DATE(Table1[[#This Row],[Year]],Table1[[#This Row],[Month]],Table1[[#This Row],[Day]])</f>
        <v>45551</v>
      </c>
      <c r="C3757" s="3">
        <v>16</v>
      </c>
      <c r="D3757" s="3">
        <v>9</v>
      </c>
      <c r="E3757" s="3">
        <v>2024</v>
      </c>
      <c r="F3757" s="3" t="str">
        <f>"Qtr"&amp; " " &amp;CHOOSE(MONTH(Table1[[#This Row],[Date]]),1,1,1,2,2,2,3,3,3,4,4,4)</f>
        <v>Qtr 3</v>
      </c>
      <c r="G3757" s="3" t="str">
        <f>TEXT(Table1[[#This Row],[Date]],"mmmm")</f>
        <v>September</v>
      </c>
      <c r="H3757" s="3" t="s">
        <v>1081</v>
      </c>
      <c r="I3757" s="3" t="s">
        <v>28</v>
      </c>
      <c r="J3757" s="3">
        <v>6</v>
      </c>
      <c r="K3757" s="3">
        <v>31644.86</v>
      </c>
      <c r="L3757" s="3">
        <f>Table1[[#This Row],[Price Per Unit]]*Table1[[#This Row],[Units Sold]]</f>
        <v>189869.16</v>
      </c>
      <c r="M3757" s="3" t="s">
        <v>731</v>
      </c>
      <c r="N3757" s="3">
        <v>22</v>
      </c>
      <c r="O3757" s="3" t="s">
        <v>65</v>
      </c>
      <c r="P3757" s="3" t="s">
        <v>45</v>
      </c>
      <c r="Q3757" s="4">
        <v>5</v>
      </c>
      <c r="R3757" s="4" t="str">
        <f>IF(Table1[[#This Row],[Customer Ratings]]&gt;=4, "Good",IF(Table1[[#This Row],[Customer Ratings]]=3, "Average","Poor"))</f>
        <v>Good</v>
      </c>
      <c r="S3757" s="3" t="s">
        <v>87</v>
      </c>
    </row>
    <row r="3758" spans="1:19" x14ac:dyDescent="0.25">
      <c r="A3758" s="3">
        <v>3757</v>
      </c>
      <c r="B3758" s="5">
        <f>DATE(Table1[[#This Row],[Year]],Table1[[#This Row],[Month]],Table1[[#This Row],[Day]])</f>
        <v>45551</v>
      </c>
      <c r="C3758" s="3">
        <v>16</v>
      </c>
      <c r="D3758" s="3">
        <v>9</v>
      </c>
      <c r="E3758" s="3">
        <v>2024</v>
      </c>
      <c r="F3758" s="3" t="str">
        <f>"Qtr"&amp; " " &amp;CHOOSE(MONTH(Table1[[#This Row],[Date]]),1,1,1,2,2,2,3,3,3,4,4,4)</f>
        <v>Qtr 3</v>
      </c>
      <c r="G3758" s="3" t="str">
        <f>TEXT(Table1[[#This Row],[Date]],"mmmm")</f>
        <v>September</v>
      </c>
      <c r="H3758" s="3" t="s">
        <v>1081</v>
      </c>
      <c r="I3758" s="3" t="s">
        <v>13</v>
      </c>
      <c r="J3758" s="3">
        <v>1</v>
      </c>
      <c r="K3758" s="3">
        <v>50159.87</v>
      </c>
      <c r="L3758" s="3">
        <f>Table1[[#This Row],[Price Per Unit]]*Table1[[#This Row],[Units Sold]]</f>
        <v>50159.87</v>
      </c>
      <c r="M3758" s="3" t="s">
        <v>138</v>
      </c>
      <c r="N3758" s="3">
        <v>21</v>
      </c>
      <c r="O3758" s="3" t="s">
        <v>20</v>
      </c>
      <c r="P3758" s="3" t="s">
        <v>16</v>
      </c>
      <c r="Q3758" s="4">
        <v>3</v>
      </c>
      <c r="R3758" s="4" t="str">
        <f>IF(Table1[[#This Row],[Customer Ratings]]&gt;=4, "Good",IF(Table1[[#This Row],[Customer Ratings]]=3, "Average","Poor"))</f>
        <v>Average</v>
      </c>
      <c r="S3758" s="3" t="s">
        <v>72</v>
      </c>
    </row>
    <row r="3759" spans="1:19" x14ac:dyDescent="0.25">
      <c r="A3759" s="3">
        <v>3758</v>
      </c>
      <c r="B3759" s="5">
        <f>DATE(Table1[[#This Row],[Year]],Table1[[#This Row],[Month]],Table1[[#This Row],[Day]])</f>
        <v>45551</v>
      </c>
      <c r="C3759" s="3">
        <v>16</v>
      </c>
      <c r="D3759" s="3">
        <v>9</v>
      </c>
      <c r="E3759" s="3">
        <v>2024</v>
      </c>
      <c r="F3759" s="3" t="str">
        <f>"Qtr"&amp; " " &amp;CHOOSE(MONTH(Table1[[#This Row],[Date]]),1,1,1,2,2,2,3,3,3,4,4,4)</f>
        <v>Qtr 3</v>
      </c>
      <c r="G3759" s="3" t="str">
        <f>TEXT(Table1[[#This Row],[Date]],"mmmm")</f>
        <v>September</v>
      </c>
      <c r="H3759" s="3" t="s">
        <v>1081</v>
      </c>
      <c r="I3759" s="3" t="s">
        <v>13</v>
      </c>
      <c r="J3759" s="3">
        <v>2</v>
      </c>
      <c r="K3759" s="3">
        <v>47955.6</v>
      </c>
      <c r="L3759" s="3">
        <f>Table1[[#This Row],[Price Per Unit]]*Table1[[#This Row],[Units Sold]]</f>
        <v>95911.2</v>
      </c>
      <c r="M3759" s="3" t="s">
        <v>585</v>
      </c>
      <c r="N3759" s="3">
        <v>46</v>
      </c>
      <c r="O3759" s="3" t="s">
        <v>58</v>
      </c>
      <c r="P3759" s="3" t="s">
        <v>31</v>
      </c>
      <c r="Q3759" s="4">
        <v>4</v>
      </c>
      <c r="R3759" s="4" t="str">
        <f>IF(Table1[[#This Row],[Customer Ratings]]&gt;=4, "Good",IF(Table1[[#This Row],[Customer Ratings]]=3, "Average","Poor"))</f>
        <v>Good</v>
      </c>
      <c r="S3759" s="3" t="s">
        <v>17</v>
      </c>
    </row>
    <row r="3760" spans="1:19" x14ac:dyDescent="0.25">
      <c r="A3760" s="3">
        <v>3759</v>
      </c>
      <c r="B3760" s="5">
        <f>DATE(Table1[[#This Row],[Year]],Table1[[#This Row],[Month]],Table1[[#This Row],[Day]])</f>
        <v>45552</v>
      </c>
      <c r="C3760" s="3">
        <v>17</v>
      </c>
      <c r="D3760" s="3">
        <v>9</v>
      </c>
      <c r="E3760" s="3">
        <v>2024</v>
      </c>
      <c r="F3760" s="3" t="str">
        <f>"Qtr"&amp; " " &amp;CHOOSE(MONTH(Table1[[#This Row],[Date]]),1,1,1,2,2,2,3,3,3,4,4,4)</f>
        <v>Qtr 3</v>
      </c>
      <c r="G3760" s="3" t="str">
        <f>TEXT(Table1[[#This Row],[Date]],"mmmm")</f>
        <v>September</v>
      </c>
      <c r="H3760" s="3" t="s">
        <v>1082</v>
      </c>
      <c r="I3760" s="3" t="s">
        <v>28</v>
      </c>
      <c r="J3760" s="3">
        <v>7</v>
      </c>
      <c r="K3760" s="3">
        <v>23935.94</v>
      </c>
      <c r="L3760" s="3">
        <f>Table1[[#This Row],[Price Per Unit]]*Table1[[#This Row],[Units Sold]]</f>
        <v>167551.57999999999</v>
      </c>
      <c r="M3760" s="3" t="s">
        <v>708</v>
      </c>
      <c r="N3760" s="3">
        <v>18</v>
      </c>
      <c r="O3760" s="3" t="s">
        <v>20</v>
      </c>
      <c r="P3760" s="3" t="s">
        <v>21</v>
      </c>
      <c r="Q3760" s="4">
        <v>5</v>
      </c>
      <c r="R3760" s="4" t="str">
        <f>IF(Table1[[#This Row],[Customer Ratings]]&gt;=4, "Good",IF(Table1[[#This Row],[Customer Ratings]]=3, "Average","Poor"))</f>
        <v>Good</v>
      </c>
      <c r="S3760" s="3" t="s">
        <v>87</v>
      </c>
    </row>
    <row r="3761" spans="1:19" x14ac:dyDescent="0.25">
      <c r="A3761" s="3">
        <v>3760</v>
      </c>
      <c r="B3761" s="5">
        <f>DATE(Table1[[#This Row],[Year]],Table1[[#This Row],[Month]],Table1[[#This Row],[Day]])</f>
        <v>45552</v>
      </c>
      <c r="C3761" s="3">
        <v>17</v>
      </c>
      <c r="D3761" s="3">
        <v>9</v>
      </c>
      <c r="E3761" s="3">
        <v>2024</v>
      </c>
      <c r="F3761" s="3" t="str">
        <f>"Qtr"&amp; " " &amp;CHOOSE(MONTH(Table1[[#This Row],[Date]]),1,1,1,2,2,2,3,3,3,4,4,4)</f>
        <v>Qtr 3</v>
      </c>
      <c r="G3761" s="3" t="str">
        <f>TEXT(Table1[[#This Row],[Date]],"mmmm")</f>
        <v>September</v>
      </c>
      <c r="H3761" s="3" t="s">
        <v>1082</v>
      </c>
      <c r="I3761" s="3" t="s">
        <v>39</v>
      </c>
      <c r="J3761" s="3">
        <v>1</v>
      </c>
      <c r="K3761" s="3">
        <v>63848.97</v>
      </c>
      <c r="L3761" s="3">
        <f>Table1[[#This Row],[Price Per Unit]]*Table1[[#This Row],[Units Sold]]</f>
        <v>63848.97</v>
      </c>
      <c r="M3761" s="3" t="s">
        <v>326</v>
      </c>
      <c r="N3761" s="3">
        <v>47</v>
      </c>
      <c r="O3761" s="3" t="s">
        <v>52</v>
      </c>
      <c r="P3761" s="3" t="s">
        <v>21</v>
      </c>
      <c r="Q3761" s="4">
        <v>2</v>
      </c>
      <c r="R3761" s="4" t="str">
        <f>IF(Table1[[#This Row],[Customer Ratings]]&gt;=4, "Good",IF(Table1[[#This Row],[Customer Ratings]]=3, "Average","Poor"))</f>
        <v>Poor</v>
      </c>
      <c r="S3761" s="3" t="s">
        <v>90</v>
      </c>
    </row>
    <row r="3762" spans="1:19" x14ac:dyDescent="0.25">
      <c r="A3762" s="3">
        <v>3761</v>
      </c>
      <c r="B3762" s="5">
        <f>DATE(Table1[[#This Row],[Year]],Table1[[#This Row],[Month]],Table1[[#This Row],[Day]])</f>
        <v>45552</v>
      </c>
      <c r="C3762" s="3">
        <v>17</v>
      </c>
      <c r="D3762" s="3">
        <v>9</v>
      </c>
      <c r="E3762" s="3">
        <v>2024</v>
      </c>
      <c r="F3762" s="3" t="str">
        <f>"Qtr"&amp; " " &amp;CHOOSE(MONTH(Table1[[#This Row],[Date]]),1,1,1,2,2,2,3,3,3,4,4,4)</f>
        <v>Qtr 3</v>
      </c>
      <c r="G3762" s="3" t="str">
        <f>TEXT(Table1[[#This Row],[Date]],"mmmm")</f>
        <v>September</v>
      </c>
      <c r="H3762" s="3" t="s">
        <v>1082</v>
      </c>
      <c r="I3762" s="3" t="s">
        <v>28</v>
      </c>
      <c r="J3762" s="3">
        <v>7</v>
      </c>
      <c r="K3762" s="3">
        <v>61767.31</v>
      </c>
      <c r="L3762" s="3">
        <f>Table1[[#This Row],[Price Per Unit]]*Table1[[#This Row],[Units Sold]]</f>
        <v>432371.17</v>
      </c>
      <c r="M3762" s="3" t="s">
        <v>1011</v>
      </c>
      <c r="N3762" s="3">
        <v>18</v>
      </c>
      <c r="O3762" s="3" t="s">
        <v>20</v>
      </c>
      <c r="P3762" s="3" t="s">
        <v>16</v>
      </c>
      <c r="Q3762" s="4">
        <v>4</v>
      </c>
      <c r="R3762" s="4" t="str">
        <f>IF(Table1[[#This Row],[Customer Ratings]]&gt;=4, "Good",IF(Table1[[#This Row],[Customer Ratings]]=3, "Average","Poor"))</f>
        <v>Good</v>
      </c>
      <c r="S3762" s="3" t="s">
        <v>32</v>
      </c>
    </row>
    <row r="3763" spans="1:19" x14ac:dyDescent="0.25">
      <c r="A3763" s="3">
        <v>3762</v>
      </c>
      <c r="B3763" s="5">
        <f>DATE(Table1[[#This Row],[Year]],Table1[[#This Row],[Month]],Table1[[#This Row],[Day]])</f>
        <v>45553</v>
      </c>
      <c r="C3763" s="3">
        <v>18</v>
      </c>
      <c r="D3763" s="3">
        <v>9</v>
      </c>
      <c r="E3763" s="3">
        <v>2024</v>
      </c>
      <c r="F3763" s="3" t="str">
        <f>"Qtr"&amp; " " &amp;CHOOSE(MONTH(Table1[[#This Row],[Date]]),1,1,1,2,2,2,3,3,3,4,4,4)</f>
        <v>Qtr 3</v>
      </c>
      <c r="G3763" s="3" t="str">
        <f>TEXT(Table1[[#This Row],[Date]],"mmmm")</f>
        <v>September</v>
      </c>
      <c r="H3763" s="3" t="s">
        <v>1083</v>
      </c>
      <c r="I3763" s="3" t="s">
        <v>18</v>
      </c>
      <c r="J3763" s="3">
        <v>4</v>
      </c>
      <c r="K3763" s="3">
        <v>40545</v>
      </c>
      <c r="L3763" s="3">
        <f>Table1[[#This Row],[Price Per Unit]]*Table1[[#This Row],[Units Sold]]</f>
        <v>162180</v>
      </c>
      <c r="M3763" s="3" t="s">
        <v>349</v>
      </c>
      <c r="N3763" s="3">
        <v>20</v>
      </c>
      <c r="O3763" s="3" t="s">
        <v>20</v>
      </c>
      <c r="P3763" s="3" t="s">
        <v>16</v>
      </c>
      <c r="Q3763" s="4">
        <v>5</v>
      </c>
      <c r="R3763" s="4" t="str">
        <f>IF(Table1[[#This Row],[Customer Ratings]]&gt;=4, "Good",IF(Table1[[#This Row],[Customer Ratings]]=3, "Average","Poor"))</f>
        <v>Good</v>
      </c>
      <c r="S3763" s="3" t="s">
        <v>22</v>
      </c>
    </row>
    <row r="3764" spans="1:19" x14ac:dyDescent="0.25">
      <c r="A3764" s="3">
        <v>3763</v>
      </c>
      <c r="B3764" s="5">
        <f>DATE(Table1[[#This Row],[Year]],Table1[[#This Row],[Month]],Table1[[#This Row],[Day]])</f>
        <v>45553</v>
      </c>
      <c r="C3764" s="3">
        <v>18</v>
      </c>
      <c r="D3764" s="3">
        <v>9</v>
      </c>
      <c r="E3764" s="3">
        <v>2024</v>
      </c>
      <c r="F3764" s="3" t="str">
        <f>"Qtr"&amp; " " &amp;CHOOSE(MONTH(Table1[[#This Row],[Date]]),1,1,1,2,2,2,3,3,3,4,4,4)</f>
        <v>Qtr 3</v>
      </c>
      <c r="G3764" s="3" t="str">
        <f>TEXT(Table1[[#This Row],[Date]],"mmmm")</f>
        <v>September</v>
      </c>
      <c r="H3764" s="3" t="s">
        <v>1083</v>
      </c>
      <c r="I3764" s="3" t="s">
        <v>39</v>
      </c>
      <c r="J3764" s="3">
        <v>6</v>
      </c>
      <c r="K3764" s="3">
        <v>35995.040000000001</v>
      </c>
      <c r="L3764" s="3">
        <f>Table1[[#This Row],[Price Per Unit]]*Table1[[#This Row],[Units Sold]]</f>
        <v>215970.24</v>
      </c>
      <c r="M3764" s="3" t="s">
        <v>142</v>
      </c>
      <c r="N3764" s="3">
        <v>39</v>
      </c>
      <c r="O3764" s="3" t="s">
        <v>78</v>
      </c>
      <c r="P3764" s="3" t="s">
        <v>21</v>
      </c>
      <c r="Q3764" s="4">
        <v>4</v>
      </c>
      <c r="R3764" s="4" t="str">
        <f>IF(Table1[[#This Row],[Customer Ratings]]&gt;=4, "Good",IF(Table1[[#This Row],[Customer Ratings]]=3, "Average","Poor"))</f>
        <v>Good</v>
      </c>
      <c r="S3764" s="3" t="s">
        <v>42</v>
      </c>
    </row>
    <row r="3765" spans="1:19" x14ac:dyDescent="0.25">
      <c r="A3765" s="3">
        <v>3764</v>
      </c>
      <c r="B3765" s="5">
        <f>DATE(Table1[[#This Row],[Year]],Table1[[#This Row],[Month]],Table1[[#This Row],[Day]])</f>
        <v>45553</v>
      </c>
      <c r="C3765" s="3">
        <v>18</v>
      </c>
      <c r="D3765" s="3">
        <v>9</v>
      </c>
      <c r="E3765" s="3">
        <v>2024</v>
      </c>
      <c r="F3765" s="3" t="str">
        <f>"Qtr"&amp; " " &amp;CHOOSE(MONTH(Table1[[#This Row],[Date]]),1,1,1,2,2,2,3,3,3,4,4,4)</f>
        <v>Qtr 3</v>
      </c>
      <c r="G3765" s="3" t="str">
        <f>TEXT(Table1[[#This Row],[Date]],"mmmm")</f>
        <v>September</v>
      </c>
      <c r="H3765" s="3" t="s">
        <v>1083</v>
      </c>
      <c r="I3765" s="3" t="s">
        <v>33</v>
      </c>
      <c r="J3765" s="3">
        <v>8</v>
      </c>
      <c r="K3765" s="3">
        <v>32611.360000000001</v>
      </c>
      <c r="L3765" s="3">
        <f>Table1[[#This Row],[Price Per Unit]]*Table1[[#This Row],[Units Sold]]</f>
        <v>260890.88</v>
      </c>
      <c r="M3765" s="3" t="s">
        <v>612</v>
      </c>
      <c r="N3765" s="3">
        <v>25</v>
      </c>
      <c r="O3765" s="3" t="s">
        <v>20</v>
      </c>
      <c r="P3765" s="3" t="s">
        <v>45</v>
      </c>
      <c r="Q3765" s="4">
        <v>2</v>
      </c>
      <c r="R3765" s="4" t="str">
        <f>IF(Table1[[#This Row],[Customer Ratings]]&gt;=4, "Good",IF(Table1[[#This Row],[Customer Ratings]]=3, "Average","Poor"))</f>
        <v>Poor</v>
      </c>
      <c r="S3765" s="3" t="s">
        <v>83</v>
      </c>
    </row>
    <row r="3766" spans="1:19" x14ac:dyDescent="0.25">
      <c r="A3766" s="3">
        <v>3765</v>
      </c>
      <c r="B3766" s="5">
        <f>DATE(Table1[[#This Row],[Year]],Table1[[#This Row],[Month]],Table1[[#This Row],[Day]])</f>
        <v>45554</v>
      </c>
      <c r="C3766" s="3">
        <v>19</v>
      </c>
      <c r="D3766" s="3">
        <v>9</v>
      </c>
      <c r="E3766" s="3">
        <v>2024</v>
      </c>
      <c r="F3766" s="3" t="str">
        <f>"Qtr"&amp; " " &amp;CHOOSE(MONTH(Table1[[#This Row],[Date]]),1,1,1,2,2,2,3,3,3,4,4,4)</f>
        <v>Qtr 3</v>
      </c>
      <c r="G3766" s="3" t="str">
        <f>TEXT(Table1[[#This Row],[Date]],"mmmm")</f>
        <v>September</v>
      </c>
      <c r="H3766" s="3" t="s">
        <v>1084</v>
      </c>
      <c r="I3766" s="3" t="s">
        <v>28</v>
      </c>
      <c r="J3766" s="3">
        <v>9</v>
      </c>
      <c r="K3766" s="3">
        <v>52436.08</v>
      </c>
      <c r="L3766" s="3">
        <f>Table1[[#This Row],[Price Per Unit]]*Table1[[#This Row],[Units Sold]]</f>
        <v>471924.72000000003</v>
      </c>
      <c r="M3766" s="3" t="s">
        <v>770</v>
      </c>
      <c r="N3766" s="3">
        <v>35</v>
      </c>
      <c r="O3766" s="3" t="s">
        <v>98</v>
      </c>
      <c r="P3766" s="3" t="s">
        <v>45</v>
      </c>
      <c r="Q3766" s="4">
        <v>5</v>
      </c>
      <c r="R3766" s="4" t="str">
        <f>IF(Table1[[#This Row],[Customer Ratings]]&gt;=4, "Good",IF(Table1[[#This Row],[Customer Ratings]]=3, "Average","Poor"))</f>
        <v>Good</v>
      </c>
      <c r="S3766" s="3" t="s">
        <v>87</v>
      </c>
    </row>
    <row r="3767" spans="1:19" x14ac:dyDescent="0.25">
      <c r="A3767" s="3">
        <v>3766</v>
      </c>
      <c r="B3767" s="5">
        <f>DATE(Table1[[#This Row],[Year]],Table1[[#This Row],[Month]],Table1[[#This Row],[Day]])</f>
        <v>45554</v>
      </c>
      <c r="C3767" s="3">
        <v>19</v>
      </c>
      <c r="D3767" s="3">
        <v>9</v>
      </c>
      <c r="E3767" s="3">
        <v>2024</v>
      </c>
      <c r="F3767" s="3" t="str">
        <f>"Qtr"&amp; " " &amp;CHOOSE(MONTH(Table1[[#This Row],[Date]]),1,1,1,2,2,2,3,3,3,4,4,4)</f>
        <v>Qtr 3</v>
      </c>
      <c r="G3767" s="3" t="str">
        <f>TEXT(Table1[[#This Row],[Date]],"mmmm")</f>
        <v>September</v>
      </c>
      <c r="H3767" s="3" t="s">
        <v>1084</v>
      </c>
      <c r="I3767" s="3" t="s">
        <v>18</v>
      </c>
      <c r="J3767" s="3">
        <v>6</v>
      </c>
      <c r="K3767" s="3">
        <v>50299.96</v>
      </c>
      <c r="L3767" s="3">
        <f>Table1[[#This Row],[Price Per Unit]]*Table1[[#This Row],[Units Sold]]</f>
        <v>301799.76</v>
      </c>
      <c r="M3767" s="3" t="s">
        <v>547</v>
      </c>
      <c r="N3767" s="3">
        <v>42</v>
      </c>
      <c r="O3767" s="3" t="s">
        <v>20</v>
      </c>
      <c r="P3767" s="3" t="s">
        <v>45</v>
      </c>
      <c r="Q3767" s="4">
        <v>5</v>
      </c>
      <c r="R3767" s="4" t="str">
        <f>IF(Table1[[#This Row],[Customer Ratings]]&gt;=4, "Good",IF(Table1[[#This Row],[Customer Ratings]]=3, "Average","Poor"))</f>
        <v>Good</v>
      </c>
      <c r="S3767" s="3" t="s">
        <v>25</v>
      </c>
    </row>
    <row r="3768" spans="1:19" x14ac:dyDescent="0.25">
      <c r="A3768" s="3">
        <v>3767</v>
      </c>
      <c r="B3768" s="5">
        <f>DATE(Table1[[#This Row],[Year]],Table1[[#This Row],[Month]],Table1[[#This Row],[Day]])</f>
        <v>45554</v>
      </c>
      <c r="C3768" s="3">
        <v>19</v>
      </c>
      <c r="D3768" s="3">
        <v>9</v>
      </c>
      <c r="E3768" s="3">
        <v>2024</v>
      </c>
      <c r="F3768" s="3" t="str">
        <f>"Qtr"&amp; " " &amp;CHOOSE(MONTH(Table1[[#This Row],[Date]]),1,1,1,2,2,2,3,3,3,4,4,4)</f>
        <v>Qtr 3</v>
      </c>
      <c r="G3768" s="3" t="str">
        <f>TEXT(Table1[[#This Row],[Date]],"mmmm")</f>
        <v>September</v>
      </c>
      <c r="H3768" s="3" t="s">
        <v>1084</v>
      </c>
      <c r="I3768" s="3" t="s">
        <v>39</v>
      </c>
      <c r="J3768" s="3">
        <v>9</v>
      </c>
      <c r="K3768" s="3">
        <v>21770.84</v>
      </c>
      <c r="L3768" s="3">
        <f>Table1[[#This Row],[Price Per Unit]]*Table1[[#This Row],[Units Sold]]</f>
        <v>195937.56</v>
      </c>
      <c r="M3768" s="3" t="s">
        <v>798</v>
      </c>
      <c r="N3768" s="3">
        <v>37</v>
      </c>
      <c r="O3768" s="3" t="s">
        <v>41</v>
      </c>
      <c r="P3768" s="3" t="s">
        <v>21</v>
      </c>
      <c r="Q3768" s="4">
        <v>2</v>
      </c>
      <c r="R3768" s="4" t="str">
        <f>IF(Table1[[#This Row],[Customer Ratings]]&gt;=4, "Good",IF(Table1[[#This Row],[Customer Ratings]]=3, "Average","Poor"))</f>
        <v>Poor</v>
      </c>
      <c r="S3768" s="3" t="s">
        <v>42</v>
      </c>
    </row>
    <row r="3769" spans="1:19" x14ac:dyDescent="0.25">
      <c r="A3769" s="3">
        <v>3768</v>
      </c>
      <c r="B3769" s="5">
        <f>DATE(Table1[[#This Row],[Year]],Table1[[#This Row],[Month]],Table1[[#This Row],[Day]])</f>
        <v>45554</v>
      </c>
      <c r="C3769" s="3">
        <v>19</v>
      </c>
      <c r="D3769" s="3">
        <v>9</v>
      </c>
      <c r="E3769" s="3">
        <v>2024</v>
      </c>
      <c r="F3769" s="3" t="str">
        <f>"Qtr"&amp; " " &amp;CHOOSE(MONTH(Table1[[#This Row],[Date]]),1,1,1,2,2,2,3,3,3,4,4,4)</f>
        <v>Qtr 3</v>
      </c>
      <c r="G3769" s="3" t="str">
        <f>TEXT(Table1[[#This Row],[Date]],"mmmm")</f>
        <v>September</v>
      </c>
      <c r="H3769" s="3" t="s">
        <v>1084</v>
      </c>
      <c r="I3769" s="3" t="s">
        <v>28</v>
      </c>
      <c r="J3769" s="3">
        <v>4</v>
      </c>
      <c r="K3769" s="3">
        <v>50287.48</v>
      </c>
      <c r="L3769" s="3">
        <f>Table1[[#This Row],[Price Per Unit]]*Table1[[#This Row],[Units Sold]]</f>
        <v>201149.92</v>
      </c>
      <c r="M3769" s="3" t="s">
        <v>775</v>
      </c>
      <c r="N3769" s="3">
        <v>48</v>
      </c>
      <c r="O3769" s="3" t="s">
        <v>35</v>
      </c>
      <c r="P3769" s="3" t="s">
        <v>31</v>
      </c>
      <c r="Q3769" s="4">
        <v>2</v>
      </c>
      <c r="R3769" s="4" t="str">
        <f>IF(Table1[[#This Row],[Customer Ratings]]&gt;=4, "Good",IF(Table1[[#This Row],[Customer Ratings]]=3, "Average","Poor"))</f>
        <v>Poor</v>
      </c>
      <c r="S3769" s="3" t="s">
        <v>38</v>
      </c>
    </row>
    <row r="3770" spans="1:19" x14ac:dyDescent="0.25">
      <c r="A3770" s="3">
        <v>3769</v>
      </c>
      <c r="B3770" s="5">
        <f>DATE(Table1[[#This Row],[Year]],Table1[[#This Row],[Month]],Table1[[#This Row],[Day]])</f>
        <v>45555</v>
      </c>
      <c r="C3770" s="3">
        <v>20</v>
      </c>
      <c r="D3770" s="3">
        <v>9</v>
      </c>
      <c r="E3770" s="3">
        <v>2024</v>
      </c>
      <c r="F3770" s="3" t="str">
        <f>"Qtr"&amp; " " &amp;CHOOSE(MONTH(Table1[[#This Row],[Date]]),1,1,1,2,2,2,3,3,3,4,4,4)</f>
        <v>Qtr 3</v>
      </c>
      <c r="G3770" s="3" t="str">
        <f>TEXT(Table1[[#This Row],[Date]],"mmmm")</f>
        <v>September</v>
      </c>
      <c r="H3770" s="3" t="s">
        <v>1085</v>
      </c>
      <c r="I3770" s="3" t="s">
        <v>13</v>
      </c>
      <c r="J3770" s="3">
        <v>6</v>
      </c>
      <c r="K3770" s="3">
        <v>25145.87</v>
      </c>
      <c r="L3770" s="3">
        <f>Table1[[#This Row],[Price Per Unit]]*Table1[[#This Row],[Units Sold]]</f>
        <v>150875.22</v>
      </c>
      <c r="M3770" s="3" t="s">
        <v>124</v>
      </c>
      <c r="N3770" s="3">
        <v>47</v>
      </c>
      <c r="O3770" s="3" t="s">
        <v>58</v>
      </c>
      <c r="P3770" s="3" t="s">
        <v>16</v>
      </c>
      <c r="Q3770" s="4">
        <v>3</v>
      </c>
      <c r="R3770" s="4" t="str">
        <f>IF(Table1[[#This Row],[Customer Ratings]]&gt;=4, "Good",IF(Table1[[#This Row],[Customer Ratings]]=3, "Average","Poor"))</f>
        <v>Average</v>
      </c>
      <c r="S3770" s="3" t="s">
        <v>27</v>
      </c>
    </row>
    <row r="3771" spans="1:19" x14ac:dyDescent="0.25">
      <c r="A3771" s="3">
        <v>3770</v>
      </c>
      <c r="B3771" s="5">
        <f>DATE(Table1[[#This Row],[Year]],Table1[[#This Row],[Month]],Table1[[#This Row],[Day]])</f>
        <v>45555</v>
      </c>
      <c r="C3771" s="3">
        <v>20</v>
      </c>
      <c r="D3771" s="3">
        <v>9</v>
      </c>
      <c r="E3771" s="3">
        <v>2024</v>
      </c>
      <c r="F3771" s="3" t="str">
        <f>"Qtr"&amp; " " &amp;CHOOSE(MONTH(Table1[[#This Row],[Date]]),1,1,1,2,2,2,3,3,3,4,4,4)</f>
        <v>Qtr 3</v>
      </c>
      <c r="G3771" s="3" t="str">
        <f>TEXT(Table1[[#This Row],[Date]],"mmmm")</f>
        <v>September</v>
      </c>
      <c r="H3771" s="3" t="s">
        <v>1085</v>
      </c>
      <c r="I3771" s="3" t="s">
        <v>28</v>
      </c>
      <c r="J3771" s="3">
        <v>8</v>
      </c>
      <c r="K3771" s="3">
        <v>11113.5</v>
      </c>
      <c r="L3771" s="3">
        <f>Table1[[#This Row],[Price Per Unit]]*Table1[[#This Row],[Units Sold]]</f>
        <v>88908</v>
      </c>
      <c r="M3771" s="3" t="s">
        <v>430</v>
      </c>
      <c r="N3771" s="3">
        <v>33</v>
      </c>
      <c r="O3771" s="3" t="s">
        <v>52</v>
      </c>
      <c r="P3771" s="3" t="s">
        <v>16</v>
      </c>
      <c r="Q3771" s="4">
        <v>5</v>
      </c>
      <c r="R3771" s="4" t="str">
        <f>IF(Table1[[#This Row],[Customer Ratings]]&gt;=4, "Good",IF(Table1[[#This Row],[Customer Ratings]]=3, "Average","Poor"))</f>
        <v>Good</v>
      </c>
      <c r="S3771" s="3" t="s">
        <v>32</v>
      </c>
    </row>
    <row r="3772" spans="1:19" x14ac:dyDescent="0.25">
      <c r="A3772" s="3">
        <v>3771</v>
      </c>
      <c r="B3772" s="5">
        <f>DATE(Table1[[#This Row],[Year]],Table1[[#This Row],[Month]],Table1[[#This Row],[Day]])</f>
        <v>45555</v>
      </c>
      <c r="C3772" s="3">
        <v>20</v>
      </c>
      <c r="D3772" s="3">
        <v>9</v>
      </c>
      <c r="E3772" s="3">
        <v>2024</v>
      </c>
      <c r="F3772" s="3" t="str">
        <f>"Qtr"&amp; " " &amp;CHOOSE(MONTH(Table1[[#This Row],[Date]]),1,1,1,2,2,2,3,3,3,4,4,4)</f>
        <v>Qtr 3</v>
      </c>
      <c r="G3772" s="3" t="str">
        <f>TEXT(Table1[[#This Row],[Date]],"mmmm")</f>
        <v>September</v>
      </c>
      <c r="H3772" s="3" t="s">
        <v>1085</v>
      </c>
      <c r="I3772" s="3" t="s">
        <v>33</v>
      </c>
      <c r="J3772" s="3">
        <v>9</v>
      </c>
      <c r="K3772" s="3">
        <v>51952.52</v>
      </c>
      <c r="L3772" s="3">
        <f>Table1[[#This Row],[Price Per Unit]]*Table1[[#This Row],[Units Sold]]</f>
        <v>467572.68</v>
      </c>
      <c r="M3772" s="3" t="s">
        <v>332</v>
      </c>
      <c r="N3772" s="3">
        <v>19</v>
      </c>
      <c r="O3772" s="3" t="s">
        <v>120</v>
      </c>
      <c r="P3772" s="3" t="s">
        <v>21</v>
      </c>
      <c r="Q3772" s="4">
        <v>3</v>
      </c>
      <c r="R3772" s="4" t="str">
        <f>IF(Table1[[#This Row],[Customer Ratings]]&gt;=4, "Good",IF(Table1[[#This Row],[Customer Ratings]]=3, "Average","Poor"))</f>
        <v>Average</v>
      </c>
      <c r="S3772" s="3" t="s">
        <v>83</v>
      </c>
    </row>
    <row r="3773" spans="1:19" x14ac:dyDescent="0.25">
      <c r="A3773" s="3">
        <v>3772</v>
      </c>
      <c r="B3773" s="5">
        <f>DATE(Table1[[#This Row],[Year]],Table1[[#This Row],[Month]],Table1[[#This Row],[Day]])</f>
        <v>45556</v>
      </c>
      <c r="C3773" s="3">
        <v>21</v>
      </c>
      <c r="D3773" s="3">
        <v>9</v>
      </c>
      <c r="E3773" s="3">
        <v>2024</v>
      </c>
      <c r="F3773" s="3" t="str">
        <f>"Qtr"&amp; " " &amp;CHOOSE(MONTH(Table1[[#This Row],[Date]]),1,1,1,2,2,2,3,3,3,4,4,4)</f>
        <v>Qtr 3</v>
      </c>
      <c r="G3773" s="3" t="str">
        <f>TEXT(Table1[[#This Row],[Date]],"mmmm")</f>
        <v>September</v>
      </c>
      <c r="H3773" s="3" t="s">
        <v>1079</v>
      </c>
      <c r="I3773" s="3" t="s">
        <v>28</v>
      </c>
      <c r="J3773" s="3">
        <v>3</v>
      </c>
      <c r="K3773" s="3">
        <v>48687.62</v>
      </c>
      <c r="L3773" s="3">
        <f>Table1[[#This Row],[Price Per Unit]]*Table1[[#This Row],[Units Sold]]</f>
        <v>146062.86000000002</v>
      </c>
      <c r="M3773" s="3" t="s">
        <v>855</v>
      </c>
      <c r="N3773" s="3">
        <v>34</v>
      </c>
      <c r="O3773" s="3" t="s">
        <v>20</v>
      </c>
      <c r="P3773" s="3" t="s">
        <v>31</v>
      </c>
      <c r="Q3773" s="4">
        <v>4</v>
      </c>
      <c r="R3773" s="4" t="str">
        <f>IF(Table1[[#This Row],[Customer Ratings]]&gt;=4, "Good",IF(Table1[[#This Row],[Customer Ratings]]=3, "Average","Poor"))</f>
        <v>Good</v>
      </c>
      <c r="S3773" s="3" t="s">
        <v>87</v>
      </c>
    </row>
    <row r="3774" spans="1:19" x14ac:dyDescent="0.25">
      <c r="A3774" s="3">
        <v>3773</v>
      </c>
      <c r="B3774" s="5">
        <f>DATE(Table1[[#This Row],[Year]],Table1[[#This Row],[Month]],Table1[[#This Row],[Day]])</f>
        <v>45556</v>
      </c>
      <c r="C3774" s="3">
        <v>21</v>
      </c>
      <c r="D3774" s="3">
        <v>9</v>
      </c>
      <c r="E3774" s="3">
        <v>2024</v>
      </c>
      <c r="F3774" s="3" t="str">
        <f>"Qtr"&amp; " " &amp;CHOOSE(MONTH(Table1[[#This Row],[Date]]),1,1,1,2,2,2,3,3,3,4,4,4)</f>
        <v>Qtr 3</v>
      </c>
      <c r="G3774" s="3" t="str">
        <f>TEXT(Table1[[#This Row],[Date]],"mmmm")</f>
        <v>September</v>
      </c>
      <c r="H3774" s="3" t="s">
        <v>1079</v>
      </c>
      <c r="I3774" s="3" t="s">
        <v>39</v>
      </c>
      <c r="J3774" s="3">
        <v>2</v>
      </c>
      <c r="K3774" s="3">
        <v>34648.559999999998</v>
      </c>
      <c r="L3774" s="3">
        <f>Table1[[#This Row],[Price Per Unit]]*Table1[[#This Row],[Units Sold]]</f>
        <v>69297.119999999995</v>
      </c>
      <c r="M3774" s="3" t="s">
        <v>516</v>
      </c>
      <c r="N3774" s="3">
        <v>27</v>
      </c>
      <c r="O3774" s="3" t="s">
        <v>24</v>
      </c>
      <c r="P3774" s="3" t="s">
        <v>21</v>
      </c>
      <c r="Q3774" s="4">
        <v>2</v>
      </c>
      <c r="R3774" s="4" t="str">
        <f>IF(Table1[[#This Row],[Customer Ratings]]&gt;=4, "Good",IF(Table1[[#This Row],[Customer Ratings]]=3, "Average","Poor"))</f>
        <v>Poor</v>
      </c>
      <c r="S3774" s="3" t="s">
        <v>76</v>
      </c>
    </row>
    <row r="3775" spans="1:19" x14ac:dyDescent="0.25">
      <c r="A3775" s="3">
        <v>3774</v>
      </c>
      <c r="B3775" s="5">
        <f>DATE(Table1[[#This Row],[Year]],Table1[[#This Row],[Month]],Table1[[#This Row],[Day]])</f>
        <v>45556</v>
      </c>
      <c r="C3775" s="3">
        <v>21</v>
      </c>
      <c r="D3775" s="3">
        <v>9</v>
      </c>
      <c r="E3775" s="3">
        <v>2024</v>
      </c>
      <c r="F3775" s="3" t="str">
        <f>"Qtr"&amp; " " &amp;CHOOSE(MONTH(Table1[[#This Row],[Date]]),1,1,1,2,2,2,3,3,3,4,4,4)</f>
        <v>Qtr 3</v>
      </c>
      <c r="G3775" s="3" t="str">
        <f>TEXT(Table1[[#This Row],[Date]],"mmmm")</f>
        <v>September</v>
      </c>
      <c r="H3775" s="3" t="s">
        <v>1079</v>
      </c>
      <c r="I3775" s="3" t="s">
        <v>39</v>
      </c>
      <c r="J3775" s="3">
        <v>6</v>
      </c>
      <c r="K3775" s="3">
        <v>41541.160000000003</v>
      </c>
      <c r="L3775" s="3">
        <f>Table1[[#This Row],[Price Per Unit]]*Table1[[#This Row],[Units Sold]]</f>
        <v>249246.96000000002</v>
      </c>
      <c r="M3775" s="3" t="s">
        <v>1038</v>
      </c>
      <c r="N3775" s="3">
        <v>24</v>
      </c>
      <c r="O3775" s="3" t="s">
        <v>15</v>
      </c>
      <c r="P3775" s="3" t="s">
        <v>45</v>
      </c>
      <c r="Q3775" s="4">
        <v>3</v>
      </c>
      <c r="R3775" s="4" t="str">
        <f>IF(Table1[[#This Row],[Customer Ratings]]&gt;=4, "Good",IF(Table1[[#This Row],[Customer Ratings]]=3, "Average","Poor"))</f>
        <v>Average</v>
      </c>
      <c r="S3775" s="3" t="s">
        <v>90</v>
      </c>
    </row>
    <row r="3776" spans="1:19" x14ac:dyDescent="0.25">
      <c r="A3776" s="3">
        <v>3775</v>
      </c>
      <c r="B3776" s="5">
        <f>DATE(Table1[[#This Row],[Year]],Table1[[#This Row],[Month]],Table1[[#This Row],[Day]])</f>
        <v>45556</v>
      </c>
      <c r="C3776" s="3">
        <v>21</v>
      </c>
      <c r="D3776" s="3">
        <v>9</v>
      </c>
      <c r="E3776" s="3">
        <v>2024</v>
      </c>
      <c r="F3776" s="3" t="str">
        <f>"Qtr"&amp; " " &amp;CHOOSE(MONTH(Table1[[#This Row],[Date]]),1,1,1,2,2,2,3,3,3,4,4,4)</f>
        <v>Qtr 3</v>
      </c>
      <c r="G3776" s="3" t="str">
        <f>TEXT(Table1[[#This Row],[Date]],"mmmm")</f>
        <v>September</v>
      </c>
      <c r="H3776" s="3" t="s">
        <v>1079</v>
      </c>
      <c r="I3776" s="3" t="s">
        <v>28</v>
      </c>
      <c r="J3776" s="3">
        <v>4</v>
      </c>
      <c r="K3776" s="3">
        <v>66830.149999999994</v>
      </c>
      <c r="L3776" s="3">
        <f>Table1[[#This Row],[Price Per Unit]]*Table1[[#This Row],[Units Sold]]</f>
        <v>267320.59999999998</v>
      </c>
      <c r="M3776" s="3" t="s">
        <v>797</v>
      </c>
      <c r="N3776" s="3">
        <v>59</v>
      </c>
      <c r="O3776" s="3" t="s">
        <v>98</v>
      </c>
      <c r="P3776" s="3" t="s">
        <v>45</v>
      </c>
      <c r="Q3776" s="4">
        <v>5</v>
      </c>
      <c r="R3776" s="4" t="str">
        <f>IF(Table1[[#This Row],[Customer Ratings]]&gt;=4, "Good",IF(Table1[[#This Row],[Customer Ratings]]=3, "Average","Poor"))</f>
        <v>Good</v>
      </c>
      <c r="S3776" s="3" t="s">
        <v>87</v>
      </c>
    </row>
    <row r="3777" spans="1:19" x14ac:dyDescent="0.25">
      <c r="A3777" s="3">
        <v>3776</v>
      </c>
      <c r="B3777" s="5">
        <f>DATE(Table1[[#This Row],[Year]],Table1[[#This Row],[Month]],Table1[[#This Row],[Day]])</f>
        <v>45557</v>
      </c>
      <c r="C3777" s="3">
        <v>22</v>
      </c>
      <c r="D3777" s="3">
        <v>9</v>
      </c>
      <c r="E3777" s="3">
        <v>2024</v>
      </c>
      <c r="F3777" s="3" t="str">
        <f>"Qtr"&amp; " " &amp;CHOOSE(MONTH(Table1[[#This Row],[Date]]),1,1,1,2,2,2,3,3,3,4,4,4)</f>
        <v>Qtr 3</v>
      </c>
      <c r="G3777" s="3" t="str">
        <f>TEXT(Table1[[#This Row],[Date]],"mmmm")</f>
        <v>September</v>
      </c>
      <c r="H3777" s="3" t="s">
        <v>1080</v>
      </c>
      <c r="I3777" s="3" t="s">
        <v>39</v>
      </c>
      <c r="J3777" s="3">
        <v>1</v>
      </c>
      <c r="K3777" s="3">
        <v>45712.01</v>
      </c>
      <c r="L3777" s="3">
        <f>Table1[[#This Row],[Price Per Unit]]*Table1[[#This Row],[Units Sold]]</f>
        <v>45712.01</v>
      </c>
      <c r="M3777" s="3" t="s">
        <v>653</v>
      </c>
      <c r="N3777" s="3">
        <v>26</v>
      </c>
      <c r="O3777" s="3" t="s">
        <v>98</v>
      </c>
      <c r="P3777" s="3" t="s">
        <v>16</v>
      </c>
      <c r="Q3777" s="4">
        <v>5</v>
      </c>
      <c r="R3777" s="4" t="str">
        <f>IF(Table1[[#This Row],[Customer Ratings]]&gt;=4, "Good",IF(Table1[[#This Row],[Customer Ratings]]=3, "Average","Poor"))</f>
        <v>Good</v>
      </c>
      <c r="S3777" s="3" t="s">
        <v>90</v>
      </c>
    </row>
    <row r="3778" spans="1:19" x14ac:dyDescent="0.25">
      <c r="A3778" s="3">
        <v>3777</v>
      </c>
      <c r="B3778" s="5">
        <f>DATE(Table1[[#This Row],[Year]],Table1[[#This Row],[Month]],Table1[[#This Row],[Day]])</f>
        <v>45557</v>
      </c>
      <c r="C3778" s="3">
        <v>22</v>
      </c>
      <c r="D3778" s="3">
        <v>9</v>
      </c>
      <c r="E3778" s="3">
        <v>2024</v>
      </c>
      <c r="F3778" s="3" t="str">
        <f>"Qtr"&amp; " " &amp;CHOOSE(MONTH(Table1[[#This Row],[Date]]),1,1,1,2,2,2,3,3,3,4,4,4)</f>
        <v>Qtr 3</v>
      </c>
      <c r="G3778" s="3" t="str">
        <f>TEXT(Table1[[#This Row],[Date]],"mmmm")</f>
        <v>September</v>
      </c>
      <c r="H3778" s="3" t="s">
        <v>1080</v>
      </c>
      <c r="I3778" s="3" t="s">
        <v>13</v>
      </c>
      <c r="J3778" s="3">
        <v>8</v>
      </c>
      <c r="K3778" s="3">
        <v>49473.04</v>
      </c>
      <c r="L3778" s="3">
        <f>Table1[[#This Row],[Price Per Unit]]*Table1[[#This Row],[Units Sold]]</f>
        <v>395784.32</v>
      </c>
      <c r="M3778" s="3" t="s">
        <v>303</v>
      </c>
      <c r="N3778" s="3">
        <v>34</v>
      </c>
      <c r="O3778" s="3" t="s">
        <v>24</v>
      </c>
      <c r="P3778" s="3" t="s">
        <v>16</v>
      </c>
      <c r="Q3778" s="4">
        <v>2</v>
      </c>
      <c r="R3778" s="4" t="str">
        <f>IF(Table1[[#This Row],[Customer Ratings]]&gt;=4, "Good",IF(Table1[[#This Row],[Customer Ratings]]=3, "Average","Poor"))</f>
        <v>Poor</v>
      </c>
      <c r="S3778" s="3" t="s">
        <v>72</v>
      </c>
    </row>
    <row r="3779" spans="1:19" x14ac:dyDescent="0.25">
      <c r="A3779" s="3">
        <v>3778</v>
      </c>
      <c r="B3779" s="5">
        <f>DATE(Table1[[#This Row],[Year]],Table1[[#This Row],[Month]],Table1[[#This Row],[Day]])</f>
        <v>45557</v>
      </c>
      <c r="C3779" s="3">
        <v>22</v>
      </c>
      <c r="D3779" s="3">
        <v>9</v>
      </c>
      <c r="E3779" s="3">
        <v>2024</v>
      </c>
      <c r="F3779" s="3" t="str">
        <f>"Qtr"&amp; " " &amp;CHOOSE(MONTH(Table1[[#This Row],[Date]]),1,1,1,2,2,2,3,3,3,4,4,4)</f>
        <v>Qtr 3</v>
      </c>
      <c r="G3779" s="3" t="str">
        <f>TEXT(Table1[[#This Row],[Date]],"mmmm")</f>
        <v>September</v>
      </c>
      <c r="H3779" s="3" t="s">
        <v>1080</v>
      </c>
      <c r="I3779" s="3" t="s">
        <v>28</v>
      </c>
      <c r="J3779" s="3">
        <v>9</v>
      </c>
      <c r="K3779" s="3">
        <v>13834.68</v>
      </c>
      <c r="L3779" s="3">
        <f>Table1[[#This Row],[Price Per Unit]]*Table1[[#This Row],[Units Sold]]</f>
        <v>124512.12</v>
      </c>
      <c r="M3779" s="3" t="s">
        <v>249</v>
      </c>
      <c r="N3779" s="3">
        <v>26</v>
      </c>
      <c r="O3779" s="3" t="s">
        <v>24</v>
      </c>
      <c r="P3779" s="3" t="s">
        <v>16</v>
      </c>
      <c r="Q3779" s="4">
        <v>3</v>
      </c>
      <c r="R3779" s="4" t="str">
        <f>IF(Table1[[#This Row],[Customer Ratings]]&gt;=4, "Good",IF(Table1[[#This Row],[Customer Ratings]]=3, "Average","Poor"))</f>
        <v>Average</v>
      </c>
      <c r="S3779" s="3" t="s">
        <v>32</v>
      </c>
    </row>
    <row r="3780" spans="1:19" x14ac:dyDescent="0.25">
      <c r="A3780" s="3">
        <v>3779</v>
      </c>
      <c r="B3780" s="5">
        <f>DATE(Table1[[#This Row],[Year]],Table1[[#This Row],[Month]],Table1[[#This Row],[Day]])</f>
        <v>45558</v>
      </c>
      <c r="C3780" s="3">
        <v>23</v>
      </c>
      <c r="D3780" s="3">
        <v>9</v>
      </c>
      <c r="E3780" s="3">
        <v>2024</v>
      </c>
      <c r="F3780" s="3" t="str">
        <f>"Qtr"&amp; " " &amp;CHOOSE(MONTH(Table1[[#This Row],[Date]]),1,1,1,2,2,2,3,3,3,4,4,4)</f>
        <v>Qtr 3</v>
      </c>
      <c r="G3780" s="3" t="str">
        <f>TEXT(Table1[[#This Row],[Date]],"mmmm")</f>
        <v>September</v>
      </c>
      <c r="H3780" s="3" t="s">
        <v>1081</v>
      </c>
      <c r="I3780" s="3" t="s">
        <v>13</v>
      </c>
      <c r="J3780" s="3">
        <v>9</v>
      </c>
      <c r="K3780" s="3">
        <v>19959.669999999998</v>
      </c>
      <c r="L3780" s="3">
        <f>Table1[[#This Row],[Price Per Unit]]*Table1[[#This Row],[Units Sold]]</f>
        <v>179637.02999999997</v>
      </c>
      <c r="M3780" s="3" t="s">
        <v>601</v>
      </c>
      <c r="N3780" s="3">
        <v>26</v>
      </c>
      <c r="O3780" s="3" t="s">
        <v>58</v>
      </c>
      <c r="P3780" s="3" t="s">
        <v>16</v>
      </c>
      <c r="Q3780" s="4">
        <v>5</v>
      </c>
      <c r="R3780" s="4" t="str">
        <f>IF(Table1[[#This Row],[Customer Ratings]]&gt;=4, "Good",IF(Table1[[#This Row],[Customer Ratings]]=3, "Average","Poor"))</f>
        <v>Good</v>
      </c>
      <c r="S3780" s="3" t="s">
        <v>17</v>
      </c>
    </row>
    <row r="3781" spans="1:19" x14ac:dyDescent="0.25">
      <c r="A3781" s="3">
        <v>3780</v>
      </c>
      <c r="B3781" s="5">
        <f>DATE(Table1[[#This Row],[Year]],Table1[[#This Row],[Month]],Table1[[#This Row],[Day]])</f>
        <v>45558</v>
      </c>
      <c r="C3781" s="3">
        <v>23</v>
      </c>
      <c r="D3781" s="3">
        <v>9</v>
      </c>
      <c r="E3781" s="3">
        <v>2024</v>
      </c>
      <c r="F3781" s="3" t="str">
        <f>"Qtr"&amp; " " &amp;CHOOSE(MONTH(Table1[[#This Row],[Date]]),1,1,1,2,2,2,3,3,3,4,4,4)</f>
        <v>Qtr 3</v>
      </c>
      <c r="G3781" s="3" t="str">
        <f>TEXT(Table1[[#This Row],[Date]],"mmmm")</f>
        <v>September</v>
      </c>
      <c r="H3781" s="3" t="s">
        <v>1081</v>
      </c>
      <c r="I3781" s="3" t="s">
        <v>13</v>
      </c>
      <c r="J3781" s="3">
        <v>2</v>
      </c>
      <c r="K3781" s="3">
        <v>28057.14</v>
      </c>
      <c r="L3781" s="3">
        <f>Table1[[#This Row],[Price Per Unit]]*Table1[[#This Row],[Units Sold]]</f>
        <v>56114.28</v>
      </c>
      <c r="M3781" s="3" t="s">
        <v>92</v>
      </c>
      <c r="N3781" s="3">
        <v>54</v>
      </c>
      <c r="O3781" s="3" t="s">
        <v>20</v>
      </c>
      <c r="P3781" s="3" t="s">
        <v>45</v>
      </c>
      <c r="Q3781" s="4">
        <v>2</v>
      </c>
      <c r="R3781" s="4" t="str">
        <f>IF(Table1[[#This Row],[Customer Ratings]]&gt;=4, "Good",IF(Table1[[#This Row],[Customer Ratings]]=3, "Average","Poor"))</f>
        <v>Poor</v>
      </c>
      <c r="S3781" s="3" t="s">
        <v>27</v>
      </c>
    </row>
    <row r="3782" spans="1:19" x14ac:dyDescent="0.25">
      <c r="A3782" s="3">
        <v>3781</v>
      </c>
      <c r="B3782" s="5">
        <f>DATE(Table1[[#This Row],[Year]],Table1[[#This Row],[Month]],Table1[[#This Row],[Day]])</f>
        <v>45558</v>
      </c>
      <c r="C3782" s="3">
        <v>23</v>
      </c>
      <c r="D3782" s="3">
        <v>9</v>
      </c>
      <c r="E3782" s="3">
        <v>2024</v>
      </c>
      <c r="F3782" s="3" t="str">
        <f>"Qtr"&amp; " " &amp;CHOOSE(MONTH(Table1[[#This Row],[Date]]),1,1,1,2,2,2,3,3,3,4,4,4)</f>
        <v>Qtr 3</v>
      </c>
      <c r="G3782" s="3" t="str">
        <f>TEXT(Table1[[#This Row],[Date]],"mmmm")</f>
        <v>September</v>
      </c>
      <c r="H3782" s="3" t="s">
        <v>1081</v>
      </c>
      <c r="I3782" s="3" t="s">
        <v>18</v>
      </c>
      <c r="J3782" s="3">
        <v>9</v>
      </c>
      <c r="K3782" s="3">
        <v>42362.76</v>
      </c>
      <c r="L3782" s="3">
        <f>Table1[[#This Row],[Price Per Unit]]*Table1[[#This Row],[Units Sold]]</f>
        <v>381264.84</v>
      </c>
      <c r="M3782" s="3" t="s">
        <v>132</v>
      </c>
      <c r="N3782" s="3">
        <v>41</v>
      </c>
      <c r="O3782" s="3" t="s">
        <v>58</v>
      </c>
      <c r="P3782" s="3" t="s">
        <v>45</v>
      </c>
      <c r="Q3782" s="4">
        <v>4</v>
      </c>
      <c r="R3782" s="4" t="str">
        <f>IF(Table1[[#This Row],[Customer Ratings]]&gt;=4, "Good",IF(Table1[[#This Row],[Customer Ratings]]=3, "Average","Poor"))</f>
        <v>Good</v>
      </c>
      <c r="S3782" s="3" t="s">
        <v>22</v>
      </c>
    </row>
    <row r="3783" spans="1:19" x14ac:dyDescent="0.25">
      <c r="A3783" s="3">
        <v>3782</v>
      </c>
      <c r="B3783" s="5">
        <f>DATE(Table1[[#This Row],[Year]],Table1[[#This Row],[Month]],Table1[[#This Row],[Day]])</f>
        <v>45559</v>
      </c>
      <c r="C3783" s="3">
        <v>24</v>
      </c>
      <c r="D3783" s="3">
        <v>9</v>
      </c>
      <c r="E3783" s="3">
        <v>2024</v>
      </c>
      <c r="F3783" s="3" t="str">
        <f>"Qtr"&amp; " " &amp;CHOOSE(MONTH(Table1[[#This Row],[Date]]),1,1,1,2,2,2,3,3,3,4,4,4)</f>
        <v>Qtr 3</v>
      </c>
      <c r="G3783" s="3" t="str">
        <f>TEXT(Table1[[#This Row],[Date]],"mmmm")</f>
        <v>September</v>
      </c>
      <c r="H3783" s="3" t="s">
        <v>1082</v>
      </c>
      <c r="I3783" s="3" t="s">
        <v>28</v>
      </c>
      <c r="J3783" s="3">
        <v>7</v>
      </c>
      <c r="K3783" s="3">
        <v>56595.45</v>
      </c>
      <c r="L3783" s="3">
        <f>Table1[[#This Row],[Price Per Unit]]*Table1[[#This Row],[Units Sold]]</f>
        <v>396168.14999999997</v>
      </c>
      <c r="M3783" s="3" t="s">
        <v>859</v>
      </c>
      <c r="N3783" s="3">
        <v>56</v>
      </c>
      <c r="O3783" s="3" t="s">
        <v>52</v>
      </c>
      <c r="P3783" s="3" t="s">
        <v>31</v>
      </c>
      <c r="Q3783" s="4">
        <v>3</v>
      </c>
      <c r="R3783" s="4" t="str">
        <f>IF(Table1[[#This Row],[Customer Ratings]]&gt;=4, "Good",IF(Table1[[#This Row],[Customer Ratings]]=3, "Average","Poor"))</f>
        <v>Average</v>
      </c>
      <c r="S3783" s="3" t="s">
        <v>38</v>
      </c>
    </row>
    <row r="3784" spans="1:19" x14ac:dyDescent="0.25">
      <c r="A3784" s="3">
        <v>3783</v>
      </c>
      <c r="B3784" s="5">
        <f>DATE(Table1[[#This Row],[Year]],Table1[[#This Row],[Month]],Table1[[#This Row],[Day]])</f>
        <v>45559</v>
      </c>
      <c r="C3784" s="3">
        <v>24</v>
      </c>
      <c r="D3784" s="3">
        <v>9</v>
      </c>
      <c r="E3784" s="3">
        <v>2024</v>
      </c>
      <c r="F3784" s="3" t="str">
        <f>"Qtr"&amp; " " &amp;CHOOSE(MONTH(Table1[[#This Row],[Date]]),1,1,1,2,2,2,3,3,3,4,4,4)</f>
        <v>Qtr 3</v>
      </c>
      <c r="G3784" s="3" t="str">
        <f>TEXT(Table1[[#This Row],[Date]],"mmmm")</f>
        <v>September</v>
      </c>
      <c r="H3784" s="3" t="s">
        <v>1082</v>
      </c>
      <c r="I3784" s="3" t="s">
        <v>39</v>
      </c>
      <c r="J3784" s="3">
        <v>5</v>
      </c>
      <c r="K3784" s="3">
        <v>29274.45</v>
      </c>
      <c r="L3784" s="3">
        <f>Table1[[#This Row],[Price Per Unit]]*Table1[[#This Row],[Units Sold]]</f>
        <v>146372.25</v>
      </c>
      <c r="M3784" s="3" t="s">
        <v>491</v>
      </c>
      <c r="N3784" s="3">
        <v>28</v>
      </c>
      <c r="O3784" s="3" t="s">
        <v>65</v>
      </c>
      <c r="P3784" s="3" t="s">
        <v>16</v>
      </c>
      <c r="Q3784" s="4">
        <v>3</v>
      </c>
      <c r="R3784" s="4" t="str">
        <f>IF(Table1[[#This Row],[Customer Ratings]]&gt;=4, "Good",IF(Table1[[#This Row],[Customer Ratings]]=3, "Average","Poor"))</f>
        <v>Average</v>
      </c>
      <c r="S3784" s="3" t="s">
        <v>90</v>
      </c>
    </row>
    <row r="3785" spans="1:19" x14ac:dyDescent="0.25">
      <c r="A3785" s="3">
        <v>3784</v>
      </c>
      <c r="B3785" s="5">
        <f>DATE(Table1[[#This Row],[Year]],Table1[[#This Row],[Month]],Table1[[#This Row],[Day]])</f>
        <v>45559</v>
      </c>
      <c r="C3785" s="3">
        <v>24</v>
      </c>
      <c r="D3785" s="3">
        <v>9</v>
      </c>
      <c r="E3785" s="3">
        <v>2024</v>
      </c>
      <c r="F3785" s="3" t="str">
        <f>"Qtr"&amp; " " &amp;CHOOSE(MONTH(Table1[[#This Row],[Date]]),1,1,1,2,2,2,3,3,3,4,4,4)</f>
        <v>Qtr 3</v>
      </c>
      <c r="G3785" s="3" t="str">
        <f>TEXT(Table1[[#This Row],[Date]],"mmmm")</f>
        <v>September</v>
      </c>
      <c r="H3785" s="3" t="s">
        <v>1082</v>
      </c>
      <c r="I3785" s="3" t="s">
        <v>13</v>
      </c>
      <c r="J3785" s="3">
        <v>7</v>
      </c>
      <c r="K3785" s="3">
        <v>31382.95</v>
      </c>
      <c r="L3785" s="3">
        <f>Table1[[#This Row],[Price Per Unit]]*Table1[[#This Row],[Units Sold]]</f>
        <v>219680.65</v>
      </c>
      <c r="M3785" s="3" t="s">
        <v>842</v>
      </c>
      <c r="N3785" s="3">
        <v>25</v>
      </c>
      <c r="O3785" s="3" t="s">
        <v>65</v>
      </c>
      <c r="P3785" s="3" t="s">
        <v>21</v>
      </c>
      <c r="Q3785" s="4">
        <v>2</v>
      </c>
      <c r="R3785" s="4" t="str">
        <f>IF(Table1[[#This Row],[Customer Ratings]]&gt;=4, "Good",IF(Table1[[#This Row],[Customer Ratings]]=3, "Average","Poor"))</f>
        <v>Poor</v>
      </c>
      <c r="S3785" s="3" t="s">
        <v>72</v>
      </c>
    </row>
    <row r="3786" spans="1:19" x14ac:dyDescent="0.25">
      <c r="A3786" s="3">
        <v>3785</v>
      </c>
      <c r="B3786" s="5">
        <f>DATE(Table1[[#This Row],[Year]],Table1[[#This Row],[Month]],Table1[[#This Row],[Day]])</f>
        <v>45560</v>
      </c>
      <c r="C3786" s="3">
        <v>25</v>
      </c>
      <c r="D3786" s="3">
        <v>9</v>
      </c>
      <c r="E3786" s="3">
        <v>2024</v>
      </c>
      <c r="F3786" s="3" t="str">
        <f>"Qtr"&amp; " " &amp;CHOOSE(MONTH(Table1[[#This Row],[Date]]),1,1,1,2,2,2,3,3,3,4,4,4)</f>
        <v>Qtr 3</v>
      </c>
      <c r="G3786" s="3" t="str">
        <f>TEXT(Table1[[#This Row],[Date]],"mmmm")</f>
        <v>September</v>
      </c>
      <c r="H3786" s="3" t="s">
        <v>1083</v>
      </c>
      <c r="I3786" s="3" t="s">
        <v>18</v>
      </c>
      <c r="J3786" s="3">
        <v>9</v>
      </c>
      <c r="K3786" s="3">
        <v>25369.05</v>
      </c>
      <c r="L3786" s="3">
        <f>Table1[[#This Row],[Price Per Unit]]*Table1[[#This Row],[Units Sold]]</f>
        <v>228321.44999999998</v>
      </c>
      <c r="M3786" s="3" t="s">
        <v>306</v>
      </c>
      <c r="N3786" s="3">
        <v>42</v>
      </c>
      <c r="O3786" s="3" t="s">
        <v>20</v>
      </c>
      <c r="P3786" s="3" t="s">
        <v>31</v>
      </c>
      <c r="Q3786" s="4">
        <v>3</v>
      </c>
      <c r="R3786" s="4" t="str">
        <f>IF(Table1[[#This Row],[Customer Ratings]]&gt;=4, "Good",IF(Table1[[#This Row],[Customer Ratings]]=3, "Average","Poor"))</f>
        <v>Average</v>
      </c>
      <c r="S3786" s="3" t="s">
        <v>25</v>
      </c>
    </row>
    <row r="3787" spans="1:19" x14ac:dyDescent="0.25">
      <c r="A3787" s="3">
        <v>3786</v>
      </c>
      <c r="B3787" s="5">
        <f>DATE(Table1[[#This Row],[Year]],Table1[[#This Row],[Month]],Table1[[#This Row],[Day]])</f>
        <v>45560</v>
      </c>
      <c r="C3787" s="3">
        <v>25</v>
      </c>
      <c r="D3787" s="3">
        <v>9</v>
      </c>
      <c r="E3787" s="3">
        <v>2024</v>
      </c>
      <c r="F3787" s="3" t="str">
        <f>"Qtr"&amp; " " &amp;CHOOSE(MONTH(Table1[[#This Row],[Date]]),1,1,1,2,2,2,3,3,3,4,4,4)</f>
        <v>Qtr 3</v>
      </c>
      <c r="G3787" s="3" t="str">
        <f>TEXT(Table1[[#This Row],[Date]],"mmmm")</f>
        <v>September</v>
      </c>
      <c r="H3787" s="3" t="s">
        <v>1083</v>
      </c>
      <c r="I3787" s="3" t="s">
        <v>28</v>
      </c>
      <c r="J3787" s="3">
        <v>8</v>
      </c>
      <c r="K3787" s="3">
        <v>25276.560000000001</v>
      </c>
      <c r="L3787" s="3">
        <f>Table1[[#This Row],[Price Per Unit]]*Table1[[#This Row],[Units Sold]]</f>
        <v>202212.48000000001</v>
      </c>
      <c r="M3787" s="3" t="s">
        <v>352</v>
      </c>
      <c r="N3787" s="3">
        <v>19</v>
      </c>
      <c r="O3787" s="3" t="s">
        <v>20</v>
      </c>
      <c r="P3787" s="3" t="s">
        <v>31</v>
      </c>
      <c r="Q3787" s="4">
        <v>3</v>
      </c>
      <c r="R3787" s="4" t="str">
        <f>IF(Table1[[#This Row],[Customer Ratings]]&gt;=4, "Good",IF(Table1[[#This Row],[Customer Ratings]]=3, "Average","Poor"))</f>
        <v>Average</v>
      </c>
      <c r="S3787" s="3" t="s">
        <v>38</v>
      </c>
    </row>
    <row r="3788" spans="1:19" x14ac:dyDescent="0.25">
      <c r="A3788" s="3">
        <v>3787</v>
      </c>
      <c r="B3788" s="5">
        <f>DATE(Table1[[#This Row],[Year]],Table1[[#This Row],[Month]],Table1[[#This Row],[Day]])</f>
        <v>45560</v>
      </c>
      <c r="C3788" s="3">
        <v>25</v>
      </c>
      <c r="D3788" s="3">
        <v>9</v>
      </c>
      <c r="E3788" s="3">
        <v>2024</v>
      </c>
      <c r="F3788" s="3" t="str">
        <f>"Qtr"&amp; " " &amp;CHOOSE(MONTH(Table1[[#This Row],[Date]]),1,1,1,2,2,2,3,3,3,4,4,4)</f>
        <v>Qtr 3</v>
      </c>
      <c r="G3788" s="3" t="str">
        <f>TEXT(Table1[[#This Row],[Date]],"mmmm")</f>
        <v>September</v>
      </c>
      <c r="H3788" s="3" t="s">
        <v>1083</v>
      </c>
      <c r="I3788" s="3" t="s">
        <v>28</v>
      </c>
      <c r="J3788" s="3">
        <v>6</v>
      </c>
      <c r="K3788" s="3">
        <v>66931.83</v>
      </c>
      <c r="L3788" s="3">
        <f>Table1[[#This Row],[Price Per Unit]]*Table1[[#This Row],[Units Sold]]</f>
        <v>401590.98</v>
      </c>
      <c r="M3788" s="3" t="s">
        <v>110</v>
      </c>
      <c r="N3788" s="3">
        <v>27</v>
      </c>
      <c r="O3788" s="3" t="s">
        <v>20</v>
      </c>
      <c r="P3788" s="3" t="s">
        <v>45</v>
      </c>
      <c r="Q3788" s="4">
        <v>4</v>
      </c>
      <c r="R3788" s="4" t="str">
        <f>IF(Table1[[#This Row],[Customer Ratings]]&gt;=4, "Good",IF(Table1[[#This Row],[Customer Ratings]]=3, "Average","Poor"))</f>
        <v>Good</v>
      </c>
      <c r="S3788" s="3" t="s">
        <v>87</v>
      </c>
    </row>
    <row r="3789" spans="1:19" x14ac:dyDescent="0.25">
      <c r="A3789" s="3">
        <v>3788</v>
      </c>
      <c r="B3789" s="5">
        <f>DATE(Table1[[#This Row],[Year]],Table1[[#This Row],[Month]],Table1[[#This Row],[Day]])</f>
        <v>45561</v>
      </c>
      <c r="C3789" s="3">
        <v>26</v>
      </c>
      <c r="D3789" s="3">
        <v>9</v>
      </c>
      <c r="E3789" s="3">
        <v>2024</v>
      </c>
      <c r="F3789" s="3" t="str">
        <f>"Qtr"&amp; " " &amp;CHOOSE(MONTH(Table1[[#This Row],[Date]]),1,1,1,2,2,2,3,3,3,4,4,4)</f>
        <v>Qtr 3</v>
      </c>
      <c r="G3789" s="3" t="str">
        <f>TEXT(Table1[[#This Row],[Date]],"mmmm")</f>
        <v>September</v>
      </c>
      <c r="H3789" s="3" t="s">
        <v>1084</v>
      </c>
      <c r="I3789" s="3" t="s">
        <v>33</v>
      </c>
      <c r="J3789" s="3">
        <v>4</v>
      </c>
      <c r="K3789" s="3">
        <v>48127.43</v>
      </c>
      <c r="L3789" s="3">
        <f>Table1[[#This Row],[Price Per Unit]]*Table1[[#This Row],[Units Sold]]</f>
        <v>192509.72</v>
      </c>
      <c r="M3789" s="3" t="s">
        <v>685</v>
      </c>
      <c r="N3789" s="3">
        <v>41</v>
      </c>
      <c r="O3789" s="3" t="s">
        <v>24</v>
      </c>
      <c r="P3789" s="3" t="s">
        <v>16</v>
      </c>
      <c r="Q3789" s="4">
        <v>4</v>
      </c>
      <c r="R3789" s="4" t="str">
        <f>IF(Table1[[#This Row],[Customer Ratings]]&gt;=4, "Good",IF(Table1[[#This Row],[Customer Ratings]]=3, "Average","Poor"))</f>
        <v>Good</v>
      </c>
      <c r="S3789" s="3" t="s">
        <v>83</v>
      </c>
    </row>
    <row r="3790" spans="1:19" x14ac:dyDescent="0.25">
      <c r="A3790" s="3">
        <v>3789</v>
      </c>
      <c r="B3790" s="5">
        <f>DATE(Table1[[#This Row],[Year]],Table1[[#This Row],[Month]],Table1[[#This Row],[Day]])</f>
        <v>45561</v>
      </c>
      <c r="C3790" s="3">
        <v>26</v>
      </c>
      <c r="D3790" s="3">
        <v>9</v>
      </c>
      <c r="E3790" s="3">
        <v>2024</v>
      </c>
      <c r="F3790" s="3" t="str">
        <f>"Qtr"&amp; " " &amp;CHOOSE(MONTH(Table1[[#This Row],[Date]]),1,1,1,2,2,2,3,3,3,4,4,4)</f>
        <v>Qtr 3</v>
      </c>
      <c r="G3790" s="3" t="str">
        <f>TEXT(Table1[[#This Row],[Date]],"mmmm")</f>
        <v>September</v>
      </c>
      <c r="H3790" s="3" t="s">
        <v>1084</v>
      </c>
      <c r="I3790" s="3" t="s">
        <v>33</v>
      </c>
      <c r="J3790" s="3">
        <v>1</v>
      </c>
      <c r="K3790" s="3">
        <v>19354.07</v>
      </c>
      <c r="L3790" s="3">
        <f>Table1[[#This Row],[Price Per Unit]]*Table1[[#This Row],[Units Sold]]</f>
        <v>19354.07</v>
      </c>
      <c r="M3790" s="3" t="s">
        <v>863</v>
      </c>
      <c r="N3790" s="3">
        <v>33</v>
      </c>
      <c r="O3790" s="3" t="s">
        <v>24</v>
      </c>
      <c r="P3790" s="3" t="s">
        <v>31</v>
      </c>
      <c r="Q3790" s="4">
        <v>5</v>
      </c>
      <c r="R3790" s="4" t="str">
        <f>IF(Table1[[#This Row],[Customer Ratings]]&gt;=4, "Good",IF(Table1[[#This Row],[Customer Ratings]]=3, "Average","Poor"))</f>
        <v>Good</v>
      </c>
      <c r="S3790" s="3" t="s">
        <v>46</v>
      </c>
    </row>
    <row r="3791" spans="1:19" x14ac:dyDescent="0.25">
      <c r="A3791" s="3">
        <v>3790</v>
      </c>
      <c r="B3791" s="5">
        <f>DATE(Table1[[#This Row],[Year]],Table1[[#This Row],[Month]],Table1[[#This Row],[Day]])</f>
        <v>45561</v>
      </c>
      <c r="C3791" s="3">
        <v>26</v>
      </c>
      <c r="D3791" s="3">
        <v>9</v>
      </c>
      <c r="E3791" s="3">
        <v>2024</v>
      </c>
      <c r="F3791" s="3" t="str">
        <f>"Qtr"&amp; " " &amp;CHOOSE(MONTH(Table1[[#This Row],[Date]]),1,1,1,2,2,2,3,3,3,4,4,4)</f>
        <v>Qtr 3</v>
      </c>
      <c r="G3791" s="3" t="str">
        <f>TEXT(Table1[[#This Row],[Date]],"mmmm")</f>
        <v>September</v>
      </c>
      <c r="H3791" s="3" t="s">
        <v>1084</v>
      </c>
      <c r="I3791" s="3" t="s">
        <v>13</v>
      </c>
      <c r="J3791" s="3">
        <v>6</v>
      </c>
      <c r="K3791" s="3">
        <v>53334.91</v>
      </c>
      <c r="L3791" s="3">
        <f>Table1[[#This Row],[Price Per Unit]]*Table1[[#This Row],[Units Sold]]</f>
        <v>320009.46000000002</v>
      </c>
      <c r="M3791" s="3" t="s">
        <v>432</v>
      </c>
      <c r="N3791" s="3">
        <v>36</v>
      </c>
      <c r="O3791" s="3" t="s">
        <v>24</v>
      </c>
      <c r="P3791" s="3" t="s">
        <v>16</v>
      </c>
      <c r="Q3791" s="4">
        <v>4</v>
      </c>
      <c r="R3791" s="4" t="str">
        <f>IF(Table1[[#This Row],[Customer Ratings]]&gt;=4, "Good",IF(Table1[[#This Row],[Customer Ratings]]=3, "Average","Poor"))</f>
        <v>Good</v>
      </c>
      <c r="S3791" s="3" t="s">
        <v>17</v>
      </c>
    </row>
    <row r="3792" spans="1:19" x14ac:dyDescent="0.25">
      <c r="A3792" s="3">
        <v>3791</v>
      </c>
      <c r="B3792" s="5">
        <f>DATE(Table1[[#This Row],[Year]],Table1[[#This Row],[Month]],Table1[[#This Row],[Day]])</f>
        <v>45561</v>
      </c>
      <c r="C3792" s="3">
        <v>26</v>
      </c>
      <c r="D3792" s="3">
        <v>9</v>
      </c>
      <c r="E3792" s="3">
        <v>2024</v>
      </c>
      <c r="F3792" s="3" t="str">
        <f>"Qtr"&amp; " " &amp;CHOOSE(MONTH(Table1[[#This Row],[Date]]),1,1,1,2,2,2,3,3,3,4,4,4)</f>
        <v>Qtr 3</v>
      </c>
      <c r="G3792" s="3" t="str">
        <f>TEXT(Table1[[#This Row],[Date]],"mmmm")</f>
        <v>September</v>
      </c>
      <c r="H3792" s="3" t="s">
        <v>1084</v>
      </c>
      <c r="I3792" s="3" t="s">
        <v>33</v>
      </c>
      <c r="J3792" s="3">
        <v>3</v>
      </c>
      <c r="K3792" s="3">
        <v>53321.27</v>
      </c>
      <c r="L3792" s="3">
        <f>Table1[[#This Row],[Price Per Unit]]*Table1[[#This Row],[Units Sold]]</f>
        <v>159963.81</v>
      </c>
      <c r="M3792" s="3" t="s">
        <v>708</v>
      </c>
      <c r="N3792" s="3">
        <v>48</v>
      </c>
      <c r="O3792" s="3" t="s">
        <v>48</v>
      </c>
      <c r="P3792" s="3" t="s">
        <v>45</v>
      </c>
      <c r="Q3792" s="4">
        <v>5</v>
      </c>
      <c r="R3792" s="4" t="str">
        <f>IF(Table1[[#This Row],[Customer Ratings]]&gt;=4, "Good",IF(Table1[[#This Row],[Customer Ratings]]=3, "Average","Poor"))</f>
        <v>Good</v>
      </c>
      <c r="S3792" s="3" t="s">
        <v>46</v>
      </c>
    </row>
    <row r="3793" spans="1:19" x14ac:dyDescent="0.25">
      <c r="A3793" s="3">
        <v>3792</v>
      </c>
      <c r="B3793" s="5">
        <f>DATE(Table1[[#This Row],[Year]],Table1[[#This Row],[Month]],Table1[[#This Row],[Day]])</f>
        <v>45562</v>
      </c>
      <c r="C3793" s="3">
        <v>27</v>
      </c>
      <c r="D3793" s="3">
        <v>9</v>
      </c>
      <c r="E3793" s="3">
        <v>2024</v>
      </c>
      <c r="F3793" s="3" t="str">
        <f>"Qtr"&amp; " " &amp;CHOOSE(MONTH(Table1[[#This Row],[Date]]),1,1,1,2,2,2,3,3,3,4,4,4)</f>
        <v>Qtr 3</v>
      </c>
      <c r="G3793" s="3" t="str">
        <f>TEXT(Table1[[#This Row],[Date]],"mmmm")</f>
        <v>September</v>
      </c>
      <c r="H3793" s="3" t="s">
        <v>1085</v>
      </c>
      <c r="I3793" s="3" t="s">
        <v>13</v>
      </c>
      <c r="J3793" s="3">
        <v>6</v>
      </c>
      <c r="K3793" s="3">
        <v>49988.21</v>
      </c>
      <c r="L3793" s="3">
        <f>Table1[[#This Row],[Price Per Unit]]*Table1[[#This Row],[Units Sold]]</f>
        <v>299929.26</v>
      </c>
      <c r="M3793" s="3" t="s">
        <v>962</v>
      </c>
      <c r="N3793" s="3">
        <v>28</v>
      </c>
      <c r="O3793" s="3" t="s">
        <v>20</v>
      </c>
      <c r="P3793" s="3" t="s">
        <v>31</v>
      </c>
      <c r="Q3793" s="4">
        <v>4</v>
      </c>
      <c r="R3793" s="4" t="str">
        <f>IF(Table1[[#This Row],[Customer Ratings]]&gt;=4, "Good",IF(Table1[[#This Row],[Customer Ratings]]=3, "Average","Poor"))</f>
        <v>Good</v>
      </c>
      <c r="S3793" s="3" t="s">
        <v>27</v>
      </c>
    </row>
    <row r="3794" spans="1:19" x14ac:dyDescent="0.25">
      <c r="A3794" s="3">
        <v>3793</v>
      </c>
      <c r="B3794" s="5">
        <f>DATE(Table1[[#This Row],[Year]],Table1[[#This Row],[Month]],Table1[[#This Row],[Day]])</f>
        <v>45562</v>
      </c>
      <c r="C3794" s="3">
        <v>27</v>
      </c>
      <c r="D3794" s="3">
        <v>9</v>
      </c>
      <c r="E3794" s="3">
        <v>2024</v>
      </c>
      <c r="F3794" s="3" t="str">
        <f>"Qtr"&amp; " " &amp;CHOOSE(MONTH(Table1[[#This Row],[Date]]),1,1,1,2,2,2,3,3,3,4,4,4)</f>
        <v>Qtr 3</v>
      </c>
      <c r="G3794" s="3" t="str">
        <f>TEXT(Table1[[#This Row],[Date]],"mmmm")</f>
        <v>September</v>
      </c>
      <c r="H3794" s="3" t="s">
        <v>1085</v>
      </c>
      <c r="I3794" s="3" t="s">
        <v>39</v>
      </c>
      <c r="J3794" s="3">
        <v>6</v>
      </c>
      <c r="K3794" s="3">
        <v>18083.23</v>
      </c>
      <c r="L3794" s="3">
        <f>Table1[[#This Row],[Price Per Unit]]*Table1[[#This Row],[Units Sold]]</f>
        <v>108499.38</v>
      </c>
      <c r="M3794" s="3" t="s">
        <v>543</v>
      </c>
      <c r="N3794" s="3">
        <v>23</v>
      </c>
      <c r="O3794" s="3" t="s">
        <v>20</v>
      </c>
      <c r="P3794" s="3" t="s">
        <v>31</v>
      </c>
      <c r="Q3794" s="4">
        <v>5</v>
      </c>
      <c r="R3794" s="4" t="str">
        <f>IF(Table1[[#This Row],[Customer Ratings]]&gt;=4, "Good",IF(Table1[[#This Row],[Customer Ratings]]=3, "Average","Poor"))</f>
        <v>Good</v>
      </c>
      <c r="S3794" s="3" t="s">
        <v>76</v>
      </c>
    </row>
    <row r="3795" spans="1:19" x14ac:dyDescent="0.25">
      <c r="A3795" s="3">
        <v>3794</v>
      </c>
      <c r="B3795" s="5">
        <f>DATE(Table1[[#This Row],[Year]],Table1[[#This Row],[Month]],Table1[[#This Row],[Day]])</f>
        <v>45562</v>
      </c>
      <c r="C3795" s="3">
        <v>27</v>
      </c>
      <c r="D3795" s="3">
        <v>9</v>
      </c>
      <c r="E3795" s="3">
        <v>2024</v>
      </c>
      <c r="F3795" s="3" t="str">
        <f>"Qtr"&amp; " " &amp;CHOOSE(MONTH(Table1[[#This Row],[Date]]),1,1,1,2,2,2,3,3,3,4,4,4)</f>
        <v>Qtr 3</v>
      </c>
      <c r="G3795" s="3" t="str">
        <f>TEXT(Table1[[#This Row],[Date]],"mmmm")</f>
        <v>September</v>
      </c>
      <c r="H3795" s="3" t="s">
        <v>1085</v>
      </c>
      <c r="I3795" s="3" t="s">
        <v>13</v>
      </c>
      <c r="J3795" s="3">
        <v>4</v>
      </c>
      <c r="K3795" s="3">
        <v>34479.49</v>
      </c>
      <c r="L3795" s="3">
        <f>Table1[[#This Row],[Price Per Unit]]*Table1[[#This Row],[Units Sold]]</f>
        <v>137917.96</v>
      </c>
      <c r="M3795" s="3" t="s">
        <v>242</v>
      </c>
      <c r="N3795" s="3">
        <v>23</v>
      </c>
      <c r="O3795" s="3" t="s">
        <v>125</v>
      </c>
      <c r="P3795" s="3" t="s">
        <v>21</v>
      </c>
      <c r="Q3795" s="4">
        <v>4</v>
      </c>
      <c r="R3795" s="4" t="str">
        <f>IF(Table1[[#This Row],[Customer Ratings]]&gt;=4, "Good",IF(Table1[[#This Row],[Customer Ratings]]=3, "Average","Poor"))</f>
        <v>Good</v>
      </c>
      <c r="S3795" s="3" t="s">
        <v>72</v>
      </c>
    </row>
    <row r="3796" spans="1:19" x14ac:dyDescent="0.25">
      <c r="A3796" s="3">
        <v>3795</v>
      </c>
      <c r="B3796" s="5">
        <f>DATE(Table1[[#This Row],[Year]],Table1[[#This Row],[Month]],Table1[[#This Row],[Day]])</f>
        <v>45562</v>
      </c>
      <c r="C3796" s="3">
        <v>27</v>
      </c>
      <c r="D3796" s="3">
        <v>9</v>
      </c>
      <c r="E3796" s="3">
        <v>2024</v>
      </c>
      <c r="F3796" s="3" t="str">
        <f>"Qtr"&amp; " " &amp;CHOOSE(MONTH(Table1[[#This Row],[Date]]),1,1,1,2,2,2,3,3,3,4,4,4)</f>
        <v>Qtr 3</v>
      </c>
      <c r="G3796" s="3" t="str">
        <f>TEXT(Table1[[#This Row],[Date]],"mmmm")</f>
        <v>September</v>
      </c>
      <c r="H3796" s="3" t="s">
        <v>1085</v>
      </c>
      <c r="I3796" s="3" t="s">
        <v>33</v>
      </c>
      <c r="J3796" s="3">
        <v>2</v>
      </c>
      <c r="K3796" s="3">
        <v>16405.38</v>
      </c>
      <c r="L3796" s="3">
        <f>Table1[[#This Row],[Price Per Unit]]*Table1[[#This Row],[Units Sold]]</f>
        <v>32810.76</v>
      </c>
      <c r="M3796" s="3" t="s">
        <v>512</v>
      </c>
      <c r="N3796" s="3">
        <v>49</v>
      </c>
      <c r="O3796" s="3" t="s">
        <v>41</v>
      </c>
      <c r="P3796" s="3" t="s">
        <v>45</v>
      </c>
      <c r="Q3796" s="4">
        <v>4</v>
      </c>
      <c r="R3796" s="4" t="str">
        <f>IF(Table1[[#This Row],[Customer Ratings]]&gt;=4, "Good",IF(Table1[[#This Row],[Customer Ratings]]=3, "Average","Poor"))</f>
        <v>Good</v>
      </c>
      <c r="S3796" s="3" t="s">
        <v>83</v>
      </c>
    </row>
    <row r="3797" spans="1:19" x14ac:dyDescent="0.25">
      <c r="A3797" s="3">
        <v>3796</v>
      </c>
      <c r="B3797" s="5">
        <f>DATE(Table1[[#This Row],[Year]],Table1[[#This Row],[Month]],Table1[[#This Row],[Day]])</f>
        <v>45563</v>
      </c>
      <c r="C3797" s="3">
        <v>28</v>
      </c>
      <c r="D3797" s="3">
        <v>9</v>
      </c>
      <c r="E3797" s="3">
        <v>2024</v>
      </c>
      <c r="F3797" s="3" t="str">
        <f>"Qtr"&amp; " " &amp;CHOOSE(MONTH(Table1[[#This Row],[Date]]),1,1,1,2,2,2,3,3,3,4,4,4)</f>
        <v>Qtr 3</v>
      </c>
      <c r="G3797" s="3" t="str">
        <f>TEXT(Table1[[#This Row],[Date]],"mmmm")</f>
        <v>September</v>
      </c>
      <c r="H3797" s="3" t="s">
        <v>1079</v>
      </c>
      <c r="I3797" s="3" t="s">
        <v>39</v>
      </c>
      <c r="J3797" s="3">
        <v>9</v>
      </c>
      <c r="K3797" s="3">
        <v>58997.23</v>
      </c>
      <c r="L3797" s="3">
        <f>Table1[[#This Row],[Price Per Unit]]*Table1[[#This Row],[Units Sold]]</f>
        <v>530975.07000000007</v>
      </c>
      <c r="M3797" s="3" t="s">
        <v>736</v>
      </c>
      <c r="N3797" s="3">
        <v>56</v>
      </c>
      <c r="O3797" s="3" t="s">
        <v>78</v>
      </c>
      <c r="P3797" s="3" t="s">
        <v>21</v>
      </c>
      <c r="Q3797" s="4">
        <v>2</v>
      </c>
      <c r="R3797" s="4" t="str">
        <f>IF(Table1[[#This Row],[Customer Ratings]]&gt;=4, "Good",IF(Table1[[#This Row],[Customer Ratings]]=3, "Average","Poor"))</f>
        <v>Poor</v>
      </c>
      <c r="S3797" s="3" t="s">
        <v>90</v>
      </c>
    </row>
    <row r="3798" spans="1:19" x14ac:dyDescent="0.25">
      <c r="A3798" s="3">
        <v>3797</v>
      </c>
      <c r="B3798" s="5">
        <f>DATE(Table1[[#This Row],[Year]],Table1[[#This Row],[Month]],Table1[[#This Row],[Day]])</f>
        <v>45563</v>
      </c>
      <c r="C3798" s="3">
        <v>28</v>
      </c>
      <c r="D3798" s="3">
        <v>9</v>
      </c>
      <c r="E3798" s="3">
        <v>2024</v>
      </c>
      <c r="F3798" s="3" t="str">
        <f>"Qtr"&amp; " " &amp;CHOOSE(MONTH(Table1[[#This Row],[Date]]),1,1,1,2,2,2,3,3,3,4,4,4)</f>
        <v>Qtr 3</v>
      </c>
      <c r="G3798" s="3" t="str">
        <f>TEXT(Table1[[#This Row],[Date]],"mmmm")</f>
        <v>September</v>
      </c>
      <c r="H3798" s="3" t="s">
        <v>1079</v>
      </c>
      <c r="I3798" s="3" t="s">
        <v>33</v>
      </c>
      <c r="J3798" s="3">
        <v>2</v>
      </c>
      <c r="K3798" s="3">
        <v>49310.33</v>
      </c>
      <c r="L3798" s="3">
        <f>Table1[[#This Row],[Price Per Unit]]*Table1[[#This Row],[Units Sold]]</f>
        <v>98620.66</v>
      </c>
      <c r="M3798" s="3" t="s">
        <v>213</v>
      </c>
      <c r="N3798" s="3">
        <v>30</v>
      </c>
      <c r="O3798" s="3" t="s">
        <v>20</v>
      </c>
      <c r="P3798" s="3" t="s">
        <v>45</v>
      </c>
      <c r="Q3798" s="4">
        <v>4</v>
      </c>
      <c r="R3798" s="4" t="str">
        <f>IF(Table1[[#This Row],[Customer Ratings]]&gt;=4, "Good",IF(Table1[[#This Row],[Customer Ratings]]=3, "Average","Poor"))</f>
        <v>Good</v>
      </c>
      <c r="S3798" s="3" t="s">
        <v>46</v>
      </c>
    </row>
    <row r="3799" spans="1:19" x14ac:dyDescent="0.25">
      <c r="A3799" s="3">
        <v>3798</v>
      </c>
      <c r="B3799" s="5">
        <f>DATE(Table1[[#This Row],[Year]],Table1[[#This Row],[Month]],Table1[[#This Row],[Day]])</f>
        <v>45563</v>
      </c>
      <c r="C3799" s="3">
        <v>28</v>
      </c>
      <c r="D3799" s="3">
        <v>9</v>
      </c>
      <c r="E3799" s="3">
        <v>2024</v>
      </c>
      <c r="F3799" s="3" t="str">
        <f>"Qtr"&amp; " " &amp;CHOOSE(MONTH(Table1[[#This Row],[Date]]),1,1,1,2,2,2,3,3,3,4,4,4)</f>
        <v>Qtr 3</v>
      </c>
      <c r="G3799" s="3" t="str">
        <f>TEXT(Table1[[#This Row],[Date]],"mmmm")</f>
        <v>September</v>
      </c>
      <c r="H3799" s="3" t="s">
        <v>1079</v>
      </c>
      <c r="I3799" s="3" t="s">
        <v>13</v>
      </c>
      <c r="J3799" s="3">
        <v>3</v>
      </c>
      <c r="K3799" s="3">
        <v>40432.239999999998</v>
      </c>
      <c r="L3799" s="3">
        <f>Table1[[#This Row],[Price Per Unit]]*Table1[[#This Row],[Units Sold]]</f>
        <v>121296.72</v>
      </c>
      <c r="M3799" s="3" t="s">
        <v>456</v>
      </c>
      <c r="N3799" s="3">
        <v>20</v>
      </c>
      <c r="O3799" s="3" t="s">
        <v>20</v>
      </c>
      <c r="P3799" s="3" t="s">
        <v>21</v>
      </c>
      <c r="Q3799" s="4">
        <v>5</v>
      </c>
      <c r="R3799" s="4" t="str">
        <f>IF(Table1[[#This Row],[Customer Ratings]]&gt;=4, "Good",IF(Table1[[#This Row],[Customer Ratings]]=3, "Average","Poor"))</f>
        <v>Good</v>
      </c>
      <c r="S3799" s="3" t="s">
        <v>27</v>
      </c>
    </row>
    <row r="3800" spans="1:19" x14ac:dyDescent="0.25">
      <c r="A3800" s="3">
        <v>3799</v>
      </c>
      <c r="B3800" s="5">
        <f>DATE(Table1[[#This Row],[Year]],Table1[[#This Row],[Month]],Table1[[#This Row],[Day]])</f>
        <v>45564</v>
      </c>
      <c r="C3800" s="3">
        <v>29</v>
      </c>
      <c r="D3800" s="3">
        <v>9</v>
      </c>
      <c r="E3800" s="3">
        <v>2024</v>
      </c>
      <c r="F3800" s="3" t="str">
        <f>"Qtr"&amp; " " &amp;CHOOSE(MONTH(Table1[[#This Row],[Date]]),1,1,1,2,2,2,3,3,3,4,4,4)</f>
        <v>Qtr 3</v>
      </c>
      <c r="G3800" s="3" t="str">
        <f>TEXT(Table1[[#This Row],[Date]],"mmmm")</f>
        <v>September</v>
      </c>
      <c r="H3800" s="3" t="s">
        <v>1080</v>
      </c>
      <c r="I3800" s="3" t="s">
        <v>18</v>
      </c>
      <c r="J3800" s="3">
        <v>1</v>
      </c>
      <c r="K3800" s="3">
        <v>30580.93</v>
      </c>
      <c r="L3800" s="3">
        <f>Table1[[#This Row],[Price Per Unit]]*Table1[[#This Row],[Units Sold]]</f>
        <v>30580.93</v>
      </c>
      <c r="M3800" s="3" t="s">
        <v>69</v>
      </c>
      <c r="N3800" s="3">
        <v>58</v>
      </c>
      <c r="O3800" s="3" t="s">
        <v>30</v>
      </c>
      <c r="P3800" s="3" t="s">
        <v>45</v>
      </c>
      <c r="Q3800" s="4">
        <v>2</v>
      </c>
      <c r="R3800" s="4" t="str">
        <f>IF(Table1[[#This Row],[Customer Ratings]]&gt;=4, "Good",IF(Table1[[#This Row],[Customer Ratings]]=3, "Average","Poor"))</f>
        <v>Poor</v>
      </c>
      <c r="S3800" s="3" t="s">
        <v>55</v>
      </c>
    </row>
    <row r="3801" spans="1:19" x14ac:dyDescent="0.25">
      <c r="A3801" s="3">
        <v>3800</v>
      </c>
      <c r="B3801" s="5">
        <f>DATE(Table1[[#This Row],[Year]],Table1[[#This Row],[Month]],Table1[[#This Row],[Day]])</f>
        <v>45564</v>
      </c>
      <c r="C3801" s="3">
        <v>29</v>
      </c>
      <c r="D3801" s="3">
        <v>9</v>
      </c>
      <c r="E3801" s="3">
        <v>2024</v>
      </c>
      <c r="F3801" s="3" t="str">
        <f>"Qtr"&amp; " " &amp;CHOOSE(MONTH(Table1[[#This Row],[Date]]),1,1,1,2,2,2,3,3,3,4,4,4)</f>
        <v>Qtr 3</v>
      </c>
      <c r="G3801" s="3" t="str">
        <f>TEXT(Table1[[#This Row],[Date]],"mmmm")</f>
        <v>September</v>
      </c>
      <c r="H3801" s="3" t="s">
        <v>1080</v>
      </c>
      <c r="I3801" s="3" t="s">
        <v>28</v>
      </c>
      <c r="J3801" s="3">
        <v>7</v>
      </c>
      <c r="K3801" s="3">
        <v>21054.97</v>
      </c>
      <c r="L3801" s="3">
        <f>Table1[[#This Row],[Price Per Unit]]*Table1[[#This Row],[Units Sold]]</f>
        <v>147384.79</v>
      </c>
      <c r="M3801" s="3" t="s">
        <v>570</v>
      </c>
      <c r="N3801" s="3">
        <v>52</v>
      </c>
      <c r="O3801" s="3" t="s">
        <v>65</v>
      </c>
      <c r="P3801" s="3" t="s">
        <v>45</v>
      </c>
      <c r="Q3801" s="4">
        <v>5</v>
      </c>
      <c r="R3801" s="4" t="str">
        <f>IF(Table1[[#This Row],[Customer Ratings]]&gt;=4, "Good",IF(Table1[[#This Row],[Customer Ratings]]=3, "Average","Poor"))</f>
        <v>Good</v>
      </c>
      <c r="S3801" s="3" t="s">
        <v>87</v>
      </c>
    </row>
    <row r="3802" spans="1:19" x14ac:dyDescent="0.25">
      <c r="A3802" s="3">
        <v>3801</v>
      </c>
      <c r="B3802" s="5">
        <f>DATE(Table1[[#This Row],[Year]],Table1[[#This Row],[Month]],Table1[[#This Row],[Day]])</f>
        <v>45564</v>
      </c>
      <c r="C3802" s="3">
        <v>29</v>
      </c>
      <c r="D3802" s="3">
        <v>9</v>
      </c>
      <c r="E3802" s="3">
        <v>2024</v>
      </c>
      <c r="F3802" s="3" t="str">
        <f>"Qtr"&amp; " " &amp;CHOOSE(MONTH(Table1[[#This Row],[Date]]),1,1,1,2,2,2,3,3,3,4,4,4)</f>
        <v>Qtr 3</v>
      </c>
      <c r="G3802" s="3" t="str">
        <f>TEXT(Table1[[#This Row],[Date]],"mmmm")</f>
        <v>September</v>
      </c>
      <c r="H3802" s="3" t="s">
        <v>1080</v>
      </c>
      <c r="I3802" s="3" t="s">
        <v>33</v>
      </c>
      <c r="J3802" s="3">
        <v>1</v>
      </c>
      <c r="K3802" s="3">
        <v>16386.86</v>
      </c>
      <c r="L3802" s="3">
        <f>Table1[[#This Row],[Price Per Unit]]*Table1[[#This Row],[Units Sold]]</f>
        <v>16386.86</v>
      </c>
      <c r="M3802" s="3" t="s">
        <v>234</v>
      </c>
      <c r="N3802" s="3">
        <v>55</v>
      </c>
      <c r="O3802" s="3" t="s">
        <v>24</v>
      </c>
      <c r="P3802" s="3" t="s">
        <v>31</v>
      </c>
      <c r="Q3802" s="4">
        <v>4</v>
      </c>
      <c r="R3802" s="4" t="str">
        <f>IF(Table1[[#This Row],[Customer Ratings]]&gt;=4, "Good",IF(Table1[[#This Row],[Customer Ratings]]=3, "Average","Poor"))</f>
        <v>Good</v>
      </c>
      <c r="S3802" s="3" t="s">
        <v>36</v>
      </c>
    </row>
    <row r="3803" spans="1:19" x14ac:dyDescent="0.25">
      <c r="A3803" s="3">
        <v>3802</v>
      </c>
      <c r="B3803" s="5">
        <f>DATE(Table1[[#This Row],[Year]],Table1[[#This Row],[Month]],Table1[[#This Row],[Day]])</f>
        <v>45565</v>
      </c>
      <c r="C3803" s="3">
        <v>30</v>
      </c>
      <c r="D3803" s="3">
        <v>9</v>
      </c>
      <c r="E3803" s="3">
        <v>2024</v>
      </c>
      <c r="F3803" s="3" t="str">
        <f>"Qtr"&amp; " " &amp;CHOOSE(MONTH(Table1[[#This Row],[Date]]),1,1,1,2,2,2,3,3,3,4,4,4)</f>
        <v>Qtr 3</v>
      </c>
      <c r="G3803" s="3" t="str">
        <f>TEXT(Table1[[#This Row],[Date]],"mmmm")</f>
        <v>September</v>
      </c>
      <c r="H3803" s="3" t="s">
        <v>1081</v>
      </c>
      <c r="I3803" s="3" t="s">
        <v>13</v>
      </c>
      <c r="J3803" s="3">
        <v>9</v>
      </c>
      <c r="K3803" s="3">
        <v>68154.44</v>
      </c>
      <c r="L3803" s="3">
        <f>Table1[[#This Row],[Price Per Unit]]*Table1[[#This Row],[Units Sold]]</f>
        <v>613389.96</v>
      </c>
      <c r="M3803" s="3" t="s">
        <v>568</v>
      </c>
      <c r="N3803" s="3">
        <v>34</v>
      </c>
      <c r="O3803" s="3" t="s">
        <v>81</v>
      </c>
      <c r="P3803" s="3" t="s">
        <v>21</v>
      </c>
      <c r="Q3803" s="4">
        <v>4</v>
      </c>
      <c r="R3803" s="4" t="str">
        <f>IF(Table1[[#This Row],[Customer Ratings]]&gt;=4, "Good",IF(Table1[[#This Row],[Customer Ratings]]=3, "Average","Poor"))</f>
        <v>Good</v>
      </c>
      <c r="S3803" s="3" t="s">
        <v>17</v>
      </c>
    </row>
    <row r="3804" spans="1:19" x14ac:dyDescent="0.25">
      <c r="A3804" s="3">
        <v>3803</v>
      </c>
      <c r="B3804" s="5">
        <f>DATE(Table1[[#This Row],[Year]],Table1[[#This Row],[Month]],Table1[[#This Row],[Day]])</f>
        <v>45565</v>
      </c>
      <c r="C3804" s="3">
        <v>30</v>
      </c>
      <c r="D3804" s="3">
        <v>9</v>
      </c>
      <c r="E3804" s="3">
        <v>2024</v>
      </c>
      <c r="F3804" s="3" t="str">
        <f>"Qtr"&amp; " " &amp;CHOOSE(MONTH(Table1[[#This Row],[Date]]),1,1,1,2,2,2,3,3,3,4,4,4)</f>
        <v>Qtr 3</v>
      </c>
      <c r="G3804" s="3" t="str">
        <f>TEXT(Table1[[#This Row],[Date]],"mmmm")</f>
        <v>September</v>
      </c>
      <c r="H3804" s="3" t="s">
        <v>1081</v>
      </c>
      <c r="I3804" s="3" t="s">
        <v>39</v>
      </c>
      <c r="J3804" s="3">
        <v>1</v>
      </c>
      <c r="K3804" s="3">
        <v>21978.92</v>
      </c>
      <c r="L3804" s="3">
        <f>Table1[[#This Row],[Price Per Unit]]*Table1[[#This Row],[Units Sold]]</f>
        <v>21978.92</v>
      </c>
      <c r="M3804" s="3" t="s">
        <v>519</v>
      </c>
      <c r="N3804" s="3">
        <v>20</v>
      </c>
      <c r="O3804" s="3" t="s">
        <v>20</v>
      </c>
      <c r="P3804" s="3" t="s">
        <v>21</v>
      </c>
      <c r="Q3804" s="4">
        <v>5</v>
      </c>
      <c r="R3804" s="4" t="str">
        <f>IF(Table1[[#This Row],[Customer Ratings]]&gt;=4, "Good",IF(Table1[[#This Row],[Customer Ratings]]=3, "Average","Poor"))</f>
        <v>Good</v>
      </c>
      <c r="S3804" s="3" t="s">
        <v>76</v>
      </c>
    </row>
    <row r="3805" spans="1:19" x14ac:dyDescent="0.25">
      <c r="A3805" s="3">
        <v>3804</v>
      </c>
      <c r="B3805" s="5">
        <f>DATE(Table1[[#This Row],[Year]],Table1[[#This Row],[Month]],Table1[[#This Row],[Day]])</f>
        <v>45565</v>
      </c>
      <c r="C3805" s="3">
        <v>30</v>
      </c>
      <c r="D3805" s="3">
        <v>9</v>
      </c>
      <c r="E3805" s="3">
        <v>2024</v>
      </c>
      <c r="F3805" s="3" t="str">
        <f>"Qtr"&amp; " " &amp;CHOOSE(MONTH(Table1[[#This Row],[Date]]),1,1,1,2,2,2,3,3,3,4,4,4)</f>
        <v>Qtr 3</v>
      </c>
      <c r="G3805" s="3" t="str">
        <f>TEXT(Table1[[#This Row],[Date]],"mmmm")</f>
        <v>September</v>
      </c>
      <c r="H3805" s="3" t="s">
        <v>1081</v>
      </c>
      <c r="I3805" s="3" t="s">
        <v>33</v>
      </c>
      <c r="J3805" s="3">
        <v>5</v>
      </c>
      <c r="K3805" s="3">
        <v>13592.48</v>
      </c>
      <c r="L3805" s="3">
        <f>Table1[[#This Row],[Price Per Unit]]*Table1[[#This Row],[Units Sold]]</f>
        <v>67962.399999999994</v>
      </c>
      <c r="M3805" s="3" t="s">
        <v>1002</v>
      </c>
      <c r="N3805" s="3">
        <v>51</v>
      </c>
      <c r="O3805" s="3" t="s">
        <v>41</v>
      </c>
      <c r="P3805" s="3" t="s">
        <v>21</v>
      </c>
      <c r="Q3805" s="4">
        <v>3</v>
      </c>
      <c r="R3805" s="4" t="str">
        <f>IF(Table1[[#This Row],[Customer Ratings]]&gt;=4, "Good",IF(Table1[[#This Row],[Customer Ratings]]=3, "Average","Poor"))</f>
        <v>Average</v>
      </c>
      <c r="S3805" s="3" t="s">
        <v>46</v>
      </c>
    </row>
    <row r="3806" spans="1:19" x14ac:dyDescent="0.25">
      <c r="A3806" s="3">
        <v>3805</v>
      </c>
      <c r="B3806" s="5">
        <f>DATE(Table1[[#This Row],[Year]],Table1[[#This Row],[Month]],Table1[[#This Row],[Day]])</f>
        <v>45565</v>
      </c>
      <c r="C3806" s="3">
        <v>30</v>
      </c>
      <c r="D3806" s="3">
        <v>9</v>
      </c>
      <c r="E3806" s="3">
        <v>2024</v>
      </c>
      <c r="F3806" s="3" t="str">
        <f>"Qtr"&amp; " " &amp;CHOOSE(MONTH(Table1[[#This Row],[Date]]),1,1,1,2,2,2,3,3,3,4,4,4)</f>
        <v>Qtr 3</v>
      </c>
      <c r="G3806" s="3" t="str">
        <f>TEXT(Table1[[#This Row],[Date]],"mmmm")</f>
        <v>September</v>
      </c>
      <c r="H3806" s="3" t="s">
        <v>1081</v>
      </c>
      <c r="I3806" s="3" t="s">
        <v>33</v>
      </c>
      <c r="J3806" s="3">
        <v>7</v>
      </c>
      <c r="K3806" s="3">
        <v>67700.009999999995</v>
      </c>
      <c r="L3806" s="3">
        <f>Table1[[#This Row],[Price Per Unit]]*Table1[[#This Row],[Units Sold]]</f>
        <v>473900.06999999995</v>
      </c>
      <c r="M3806" s="3" t="s">
        <v>451</v>
      </c>
      <c r="N3806" s="3">
        <v>29</v>
      </c>
      <c r="O3806" s="3" t="s">
        <v>24</v>
      </c>
      <c r="P3806" s="3" t="s">
        <v>31</v>
      </c>
      <c r="Q3806" s="4">
        <v>2</v>
      </c>
      <c r="R3806" s="4" t="str">
        <f>IF(Table1[[#This Row],[Customer Ratings]]&gt;=4, "Good",IF(Table1[[#This Row],[Customer Ratings]]=3, "Average","Poor"))</f>
        <v>Poor</v>
      </c>
      <c r="S3806" s="3" t="s">
        <v>36</v>
      </c>
    </row>
    <row r="3807" spans="1:19" x14ac:dyDescent="0.25">
      <c r="A3807" s="3">
        <v>3806</v>
      </c>
      <c r="B3807" s="5">
        <f>DATE(Table1[[#This Row],[Year]],Table1[[#This Row],[Month]],Table1[[#This Row],[Day]])</f>
        <v>45566</v>
      </c>
      <c r="C3807" s="3">
        <v>1</v>
      </c>
      <c r="D3807" s="3">
        <v>10</v>
      </c>
      <c r="E3807" s="3">
        <v>2024</v>
      </c>
      <c r="F3807" s="3" t="str">
        <f>"Qtr"&amp; " " &amp;CHOOSE(MONTH(Table1[[#This Row],[Date]]),1,1,1,2,2,2,3,3,3,4,4,4)</f>
        <v>Qtr 4</v>
      </c>
      <c r="G3807" s="3" t="str">
        <f>TEXT(Table1[[#This Row],[Date]],"mmmm")</f>
        <v>October</v>
      </c>
      <c r="H3807" s="3" t="s">
        <v>1082</v>
      </c>
      <c r="I3807" s="3" t="s">
        <v>28</v>
      </c>
      <c r="J3807" s="3">
        <v>3</v>
      </c>
      <c r="K3807" s="3">
        <v>42937.1</v>
      </c>
      <c r="L3807" s="3">
        <f>Table1[[#This Row],[Price Per Unit]]*Table1[[#This Row],[Units Sold]]</f>
        <v>128811.29999999999</v>
      </c>
      <c r="M3807" s="3" t="s">
        <v>978</v>
      </c>
      <c r="N3807" s="3">
        <v>41</v>
      </c>
      <c r="O3807" s="3" t="s">
        <v>125</v>
      </c>
      <c r="P3807" s="3" t="s">
        <v>16</v>
      </c>
      <c r="Q3807" s="4">
        <v>2</v>
      </c>
      <c r="R3807" s="4" t="str">
        <f>IF(Table1[[#This Row],[Customer Ratings]]&gt;=4, "Good",IF(Table1[[#This Row],[Customer Ratings]]=3, "Average","Poor"))</f>
        <v>Poor</v>
      </c>
      <c r="S3807" s="3" t="s">
        <v>38</v>
      </c>
    </row>
    <row r="3808" spans="1:19" x14ac:dyDescent="0.25">
      <c r="A3808" s="3">
        <v>3807</v>
      </c>
      <c r="B3808" s="5">
        <f>DATE(Table1[[#This Row],[Year]],Table1[[#This Row],[Month]],Table1[[#This Row],[Day]])</f>
        <v>45566</v>
      </c>
      <c r="C3808" s="3">
        <v>1</v>
      </c>
      <c r="D3808" s="3">
        <v>10</v>
      </c>
      <c r="E3808" s="3">
        <v>2024</v>
      </c>
      <c r="F3808" s="3" t="str">
        <f>"Qtr"&amp; " " &amp;CHOOSE(MONTH(Table1[[#This Row],[Date]]),1,1,1,2,2,2,3,3,3,4,4,4)</f>
        <v>Qtr 4</v>
      </c>
      <c r="G3808" s="3" t="str">
        <f>TEXT(Table1[[#This Row],[Date]],"mmmm")</f>
        <v>October</v>
      </c>
      <c r="H3808" s="3" t="s">
        <v>1082</v>
      </c>
      <c r="I3808" s="3" t="s">
        <v>13</v>
      </c>
      <c r="J3808" s="3">
        <v>9</v>
      </c>
      <c r="K3808" s="3">
        <v>57799.4</v>
      </c>
      <c r="L3808" s="3">
        <f>Table1[[#This Row],[Price Per Unit]]*Table1[[#This Row],[Units Sold]]</f>
        <v>520194.60000000003</v>
      </c>
      <c r="M3808" s="3" t="s">
        <v>927</v>
      </c>
      <c r="N3808" s="3">
        <v>23</v>
      </c>
      <c r="O3808" s="3" t="s">
        <v>137</v>
      </c>
      <c r="P3808" s="3" t="s">
        <v>45</v>
      </c>
      <c r="Q3808" s="4">
        <v>4</v>
      </c>
      <c r="R3808" s="4" t="str">
        <f>IF(Table1[[#This Row],[Customer Ratings]]&gt;=4, "Good",IF(Table1[[#This Row],[Customer Ratings]]=3, "Average","Poor"))</f>
        <v>Good</v>
      </c>
      <c r="S3808" s="3" t="s">
        <v>17</v>
      </c>
    </row>
    <row r="3809" spans="1:19" x14ac:dyDescent="0.25">
      <c r="A3809" s="3">
        <v>3808</v>
      </c>
      <c r="B3809" s="5">
        <f>DATE(Table1[[#This Row],[Year]],Table1[[#This Row],[Month]],Table1[[#This Row],[Day]])</f>
        <v>45566</v>
      </c>
      <c r="C3809" s="3">
        <v>1</v>
      </c>
      <c r="D3809" s="3">
        <v>10</v>
      </c>
      <c r="E3809" s="3">
        <v>2024</v>
      </c>
      <c r="F3809" s="3" t="str">
        <f>"Qtr"&amp; " " &amp;CHOOSE(MONTH(Table1[[#This Row],[Date]]),1,1,1,2,2,2,3,3,3,4,4,4)</f>
        <v>Qtr 4</v>
      </c>
      <c r="G3809" s="3" t="str">
        <f>TEXT(Table1[[#This Row],[Date]],"mmmm")</f>
        <v>October</v>
      </c>
      <c r="H3809" s="3" t="s">
        <v>1082</v>
      </c>
      <c r="I3809" s="3" t="s">
        <v>18</v>
      </c>
      <c r="J3809" s="3">
        <v>8</v>
      </c>
      <c r="K3809" s="3">
        <v>12625.95</v>
      </c>
      <c r="L3809" s="3">
        <f>Table1[[#This Row],[Price Per Unit]]*Table1[[#This Row],[Units Sold]]</f>
        <v>101007.6</v>
      </c>
      <c r="M3809" s="3" t="s">
        <v>1043</v>
      </c>
      <c r="N3809" s="3">
        <v>59</v>
      </c>
      <c r="O3809" s="3" t="s">
        <v>20</v>
      </c>
      <c r="P3809" s="3" t="s">
        <v>21</v>
      </c>
      <c r="Q3809" s="4">
        <v>2</v>
      </c>
      <c r="R3809" s="4" t="str">
        <f>IF(Table1[[#This Row],[Customer Ratings]]&gt;=4, "Good",IF(Table1[[#This Row],[Customer Ratings]]=3, "Average","Poor"))</f>
        <v>Poor</v>
      </c>
      <c r="S3809" s="3" t="s">
        <v>22</v>
      </c>
    </row>
    <row r="3810" spans="1:19" x14ac:dyDescent="0.25">
      <c r="A3810" s="3">
        <v>3809</v>
      </c>
      <c r="B3810" s="5">
        <f>DATE(Table1[[#This Row],[Year]],Table1[[#This Row],[Month]],Table1[[#This Row],[Day]])</f>
        <v>45566</v>
      </c>
      <c r="C3810" s="3">
        <v>1</v>
      </c>
      <c r="D3810" s="3">
        <v>10</v>
      </c>
      <c r="E3810" s="3">
        <v>2024</v>
      </c>
      <c r="F3810" s="3" t="str">
        <f>"Qtr"&amp; " " &amp;CHOOSE(MONTH(Table1[[#This Row],[Date]]),1,1,1,2,2,2,3,3,3,4,4,4)</f>
        <v>Qtr 4</v>
      </c>
      <c r="G3810" s="3" t="str">
        <f>TEXT(Table1[[#This Row],[Date]],"mmmm")</f>
        <v>October</v>
      </c>
      <c r="H3810" s="3" t="s">
        <v>1082</v>
      </c>
      <c r="I3810" s="3" t="s">
        <v>39</v>
      </c>
      <c r="J3810" s="3">
        <v>3</v>
      </c>
      <c r="K3810" s="3">
        <v>44016.75</v>
      </c>
      <c r="L3810" s="3">
        <f>Table1[[#This Row],[Price Per Unit]]*Table1[[#This Row],[Units Sold]]</f>
        <v>132050.25</v>
      </c>
      <c r="M3810" s="3" t="s">
        <v>414</v>
      </c>
      <c r="N3810" s="3">
        <v>28</v>
      </c>
      <c r="O3810" s="3" t="s">
        <v>20</v>
      </c>
      <c r="P3810" s="3" t="s">
        <v>45</v>
      </c>
      <c r="Q3810" s="4">
        <v>5</v>
      </c>
      <c r="R3810" s="4" t="str">
        <f>IF(Table1[[#This Row],[Customer Ratings]]&gt;=4, "Good",IF(Table1[[#This Row],[Customer Ratings]]=3, "Average","Poor"))</f>
        <v>Good</v>
      </c>
      <c r="S3810" s="3" t="s">
        <v>90</v>
      </c>
    </row>
    <row r="3811" spans="1:19" x14ac:dyDescent="0.25">
      <c r="A3811" s="3">
        <v>3810</v>
      </c>
      <c r="B3811" s="5">
        <f>DATE(Table1[[#This Row],[Year]],Table1[[#This Row],[Month]],Table1[[#This Row],[Day]])</f>
        <v>45567</v>
      </c>
      <c r="C3811" s="3">
        <v>2</v>
      </c>
      <c r="D3811" s="3">
        <v>10</v>
      </c>
      <c r="E3811" s="3">
        <v>2024</v>
      </c>
      <c r="F3811" s="3" t="str">
        <f>"Qtr"&amp; " " &amp;CHOOSE(MONTH(Table1[[#This Row],[Date]]),1,1,1,2,2,2,3,3,3,4,4,4)</f>
        <v>Qtr 4</v>
      </c>
      <c r="G3811" s="3" t="str">
        <f>TEXT(Table1[[#This Row],[Date]],"mmmm")</f>
        <v>October</v>
      </c>
      <c r="H3811" s="3" t="s">
        <v>1083</v>
      </c>
      <c r="I3811" s="3" t="s">
        <v>13</v>
      </c>
      <c r="J3811" s="3">
        <v>5</v>
      </c>
      <c r="K3811" s="3">
        <v>33892.6</v>
      </c>
      <c r="L3811" s="3">
        <f>Table1[[#This Row],[Price Per Unit]]*Table1[[#This Row],[Units Sold]]</f>
        <v>169463</v>
      </c>
      <c r="M3811" s="3" t="s">
        <v>631</v>
      </c>
      <c r="N3811" s="3">
        <v>44</v>
      </c>
      <c r="O3811" s="3" t="s">
        <v>35</v>
      </c>
      <c r="P3811" s="3" t="s">
        <v>31</v>
      </c>
      <c r="Q3811" s="4">
        <v>4</v>
      </c>
      <c r="R3811" s="4" t="str">
        <f>IF(Table1[[#This Row],[Customer Ratings]]&gt;=4, "Good",IF(Table1[[#This Row],[Customer Ratings]]=3, "Average","Poor"))</f>
        <v>Good</v>
      </c>
      <c r="S3811" s="3" t="s">
        <v>72</v>
      </c>
    </row>
    <row r="3812" spans="1:19" x14ac:dyDescent="0.25">
      <c r="A3812" s="3">
        <v>3811</v>
      </c>
      <c r="B3812" s="5">
        <f>DATE(Table1[[#This Row],[Year]],Table1[[#This Row],[Month]],Table1[[#This Row],[Day]])</f>
        <v>45567</v>
      </c>
      <c r="C3812" s="3">
        <v>2</v>
      </c>
      <c r="D3812" s="3">
        <v>10</v>
      </c>
      <c r="E3812" s="3">
        <v>2024</v>
      </c>
      <c r="F3812" s="3" t="str">
        <f>"Qtr"&amp; " " &amp;CHOOSE(MONTH(Table1[[#This Row],[Date]]),1,1,1,2,2,2,3,3,3,4,4,4)</f>
        <v>Qtr 4</v>
      </c>
      <c r="G3812" s="3" t="str">
        <f>TEXT(Table1[[#This Row],[Date]],"mmmm")</f>
        <v>October</v>
      </c>
      <c r="H3812" s="3" t="s">
        <v>1083</v>
      </c>
      <c r="I3812" s="3" t="s">
        <v>39</v>
      </c>
      <c r="J3812" s="3">
        <v>7</v>
      </c>
      <c r="K3812" s="3">
        <v>56317.87</v>
      </c>
      <c r="L3812" s="3">
        <f>Table1[[#This Row],[Price Per Unit]]*Table1[[#This Row],[Units Sold]]</f>
        <v>394225.09</v>
      </c>
      <c r="M3812" s="3" t="s">
        <v>442</v>
      </c>
      <c r="N3812" s="3">
        <v>41</v>
      </c>
      <c r="O3812" s="3" t="s">
        <v>58</v>
      </c>
      <c r="P3812" s="3" t="s">
        <v>45</v>
      </c>
      <c r="Q3812" s="4">
        <v>2</v>
      </c>
      <c r="R3812" s="4" t="str">
        <f>IF(Table1[[#This Row],[Customer Ratings]]&gt;=4, "Good",IF(Table1[[#This Row],[Customer Ratings]]=3, "Average","Poor"))</f>
        <v>Poor</v>
      </c>
      <c r="S3812" s="3" t="s">
        <v>76</v>
      </c>
    </row>
    <row r="3813" spans="1:19" x14ac:dyDescent="0.25">
      <c r="A3813" s="3">
        <v>3812</v>
      </c>
      <c r="B3813" s="5">
        <f>DATE(Table1[[#This Row],[Year]],Table1[[#This Row],[Month]],Table1[[#This Row],[Day]])</f>
        <v>45567</v>
      </c>
      <c r="C3813" s="3">
        <v>2</v>
      </c>
      <c r="D3813" s="3">
        <v>10</v>
      </c>
      <c r="E3813" s="3">
        <v>2024</v>
      </c>
      <c r="F3813" s="3" t="str">
        <f>"Qtr"&amp; " " &amp;CHOOSE(MONTH(Table1[[#This Row],[Date]]),1,1,1,2,2,2,3,3,3,4,4,4)</f>
        <v>Qtr 4</v>
      </c>
      <c r="G3813" s="3" t="str">
        <f>TEXT(Table1[[#This Row],[Date]],"mmmm")</f>
        <v>October</v>
      </c>
      <c r="H3813" s="3" t="s">
        <v>1083</v>
      </c>
      <c r="I3813" s="3" t="s">
        <v>33</v>
      </c>
      <c r="J3813" s="3">
        <v>4</v>
      </c>
      <c r="K3813" s="3">
        <v>12305.54</v>
      </c>
      <c r="L3813" s="3">
        <f>Table1[[#This Row],[Price Per Unit]]*Table1[[#This Row],[Units Sold]]</f>
        <v>49222.16</v>
      </c>
      <c r="M3813" s="3" t="s">
        <v>118</v>
      </c>
      <c r="N3813" s="3">
        <v>35</v>
      </c>
      <c r="O3813" s="3" t="s">
        <v>81</v>
      </c>
      <c r="P3813" s="3" t="s">
        <v>31</v>
      </c>
      <c r="Q3813" s="4">
        <v>5</v>
      </c>
      <c r="R3813" s="4" t="str">
        <f>IF(Table1[[#This Row],[Customer Ratings]]&gt;=4, "Good",IF(Table1[[#This Row],[Customer Ratings]]=3, "Average","Poor"))</f>
        <v>Good</v>
      </c>
      <c r="S3813" s="3" t="s">
        <v>46</v>
      </c>
    </row>
    <row r="3814" spans="1:19" x14ac:dyDescent="0.25">
      <c r="A3814" s="3">
        <v>3813</v>
      </c>
      <c r="B3814" s="5">
        <f>DATE(Table1[[#This Row],[Year]],Table1[[#This Row],[Month]],Table1[[#This Row],[Day]])</f>
        <v>45567</v>
      </c>
      <c r="C3814" s="3">
        <v>2</v>
      </c>
      <c r="D3814" s="3">
        <v>10</v>
      </c>
      <c r="E3814" s="3">
        <v>2024</v>
      </c>
      <c r="F3814" s="3" t="str">
        <f>"Qtr"&amp; " " &amp;CHOOSE(MONTH(Table1[[#This Row],[Date]]),1,1,1,2,2,2,3,3,3,4,4,4)</f>
        <v>Qtr 4</v>
      </c>
      <c r="G3814" s="3" t="str">
        <f>TEXT(Table1[[#This Row],[Date]],"mmmm")</f>
        <v>October</v>
      </c>
      <c r="H3814" s="3" t="s">
        <v>1083</v>
      </c>
      <c r="I3814" s="3" t="s">
        <v>28</v>
      </c>
      <c r="J3814" s="3">
        <v>5</v>
      </c>
      <c r="K3814" s="3">
        <v>34101.43</v>
      </c>
      <c r="L3814" s="3">
        <f>Table1[[#This Row],[Price Per Unit]]*Table1[[#This Row],[Units Sold]]</f>
        <v>170507.15</v>
      </c>
      <c r="M3814" s="3" t="s">
        <v>781</v>
      </c>
      <c r="N3814" s="3">
        <v>44</v>
      </c>
      <c r="O3814" s="3" t="s">
        <v>20</v>
      </c>
      <c r="P3814" s="3" t="s">
        <v>16</v>
      </c>
      <c r="Q3814" s="4">
        <v>2</v>
      </c>
      <c r="R3814" s="4" t="str">
        <f>IF(Table1[[#This Row],[Customer Ratings]]&gt;=4, "Good",IF(Table1[[#This Row],[Customer Ratings]]=3, "Average","Poor"))</f>
        <v>Poor</v>
      </c>
      <c r="S3814" s="3" t="s">
        <v>87</v>
      </c>
    </row>
    <row r="3815" spans="1:19" x14ac:dyDescent="0.25">
      <c r="A3815" s="3">
        <v>3814</v>
      </c>
      <c r="B3815" s="5">
        <f>DATE(Table1[[#This Row],[Year]],Table1[[#This Row],[Month]],Table1[[#This Row],[Day]])</f>
        <v>45568</v>
      </c>
      <c r="C3815" s="3">
        <v>3</v>
      </c>
      <c r="D3815" s="3">
        <v>10</v>
      </c>
      <c r="E3815" s="3">
        <v>2024</v>
      </c>
      <c r="F3815" s="3" t="str">
        <f>"Qtr"&amp; " " &amp;CHOOSE(MONTH(Table1[[#This Row],[Date]]),1,1,1,2,2,2,3,3,3,4,4,4)</f>
        <v>Qtr 4</v>
      </c>
      <c r="G3815" s="3" t="str">
        <f>TEXT(Table1[[#This Row],[Date]],"mmmm")</f>
        <v>October</v>
      </c>
      <c r="H3815" s="3" t="s">
        <v>1084</v>
      </c>
      <c r="I3815" s="3" t="s">
        <v>28</v>
      </c>
      <c r="J3815" s="3">
        <v>3</v>
      </c>
      <c r="K3815" s="3">
        <v>57944.41</v>
      </c>
      <c r="L3815" s="3">
        <f>Table1[[#This Row],[Price Per Unit]]*Table1[[#This Row],[Units Sold]]</f>
        <v>173833.23</v>
      </c>
      <c r="M3815" s="3" t="s">
        <v>484</v>
      </c>
      <c r="N3815" s="3">
        <v>58</v>
      </c>
      <c r="O3815" s="3" t="s">
        <v>81</v>
      </c>
      <c r="P3815" s="3" t="s">
        <v>21</v>
      </c>
      <c r="Q3815" s="4">
        <v>5</v>
      </c>
      <c r="R3815" s="4" t="str">
        <f>IF(Table1[[#This Row],[Customer Ratings]]&gt;=4, "Good",IF(Table1[[#This Row],[Customer Ratings]]=3, "Average","Poor"))</f>
        <v>Good</v>
      </c>
      <c r="S3815" s="3" t="s">
        <v>38</v>
      </c>
    </row>
    <row r="3816" spans="1:19" x14ac:dyDescent="0.25">
      <c r="A3816" s="3">
        <v>3815</v>
      </c>
      <c r="B3816" s="5">
        <f>DATE(Table1[[#This Row],[Year]],Table1[[#This Row],[Month]],Table1[[#This Row],[Day]])</f>
        <v>45568</v>
      </c>
      <c r="C3816" s="3">
        <v>3</v>
      </c>
      <c r="D3816" s="3">
        <v>10</v>
      </c>
      <c r="E3816" s="3">
        <v>2024</v>
      </c>
      <c r="F3816" s="3" t="str">
        <f>"Qtr"&amp; " " &amp;CHOOSE(MONTH(Table1[[#This Row],[Date]]),1,1,1,2,2,2,3,3,3,4,4,4)</f>
        <v>Qtr 4</v>
      </c>
      <c r="G3816" s="3" t="str">
        <f>TEXT(Table1[[#This Row],[Date]],"mmmm")</f>
        <v>October</v>
      </c>
      <c r="H3816" s="3" t="s">
        <v>1084</v>
      </c>
      <c r="I3816" s="3" t="s">
        <v>18</v>
      </c>
      <c r="J3816" s="3">
        <v>9</v>
      </c>
      <c r="K3816" s="3">
        <v>41361.839999999997</v>
      </c>
      <c r="L3816" s="3">
        <f>Table1[[#This Row],[Price Per Unit]]*Table1[[#This Row],[Units Sold]]</f>
        <v>372256.55999999994</v>
      </c>
      <c r="M3816" s="3" t="s">
        <v>143</v>
      </c>
      <c r="N3816" s="3">
        <v>38</v>
      </c>
      <c r="O3816" s="3" t="s">
        <v>20</v>
      </c>
      <c r="P3816" s="3" t="s">
        <v>31</v>
      </c>
      <c r="Q3816" s="4">
        <v>2</v>
      </c>
      <c r="R3816" s="4" t="str">
        <f>IF(Table1[[#This Row],[Customer Ratings]]&gt;=4, "Good",IF(Table1[[#This Row],[Customer Ratings]]=3, "Average","Poor"))</f>
        <v>Poor</v>
      </c>
      <c r="S3816" s="3" t="s">
        <v>22</v>
      </c>
    </row>
    <row r="3817" spans="1:19" x14ac:dyDescent="0.25">
      <c r="A3817" s="3">
        <v>3816</v>
      </c>
      <c r="B3817" s="5">
        <f>DATE(Table1[[#This Row],[Year]],Table1[[#This Row],[Month]],Table1[[#This Row],[Day]])</f>
        <v>45568</v>
      </c>
      <c r="C3817" s="3">
        <v>3</v>
      </c>
      <c r="D3817" s="3">
        <v>10</v>
      </c>
      <c r="E3817" s="3">
        <v>2024</v>
      </c>
      <c r="F3817" s="3" t="str">
        <f>"Qtr"&amp; " " &amp;CHOOSE(MONTH(Table1[[#This Row],[Date]]),1,1,1,2,2,2,3,3,3,4,4,4)</f>
        <v>Qtr 4</v>
      </c>
      <c r="G3817" s="3" t="str">
        <f>TEXT(Table1[[#This Row],[Date]],"mmmm")</f>
        <v>October</v>
      </c>
      <c r="H3817" s="3" t="s">
        <v>1084</v>
      </c>
      <c r="I3817" s="3" t="s">
        <v>28</v>
      </c>
      <c r="J3817" s="3">
        <v>9</v>
      </c>
      <c r="K3817" s="3">
        <v>43002.32</v>
      </c>
      <c r="L3817" s="3">
        <f>Table1[[#This Row],[Price Per Unit]]*Table1[[#This Row],[Units Sold]]</f>
        <v>387020.88</v>
      </c>
      <c r="M3817" s="3" t="s">
        <v>251</v>
      </c>
      <c r="N3817" s="3">
        <v>51</v>
      </c>
      <c r="O3817" s="3" t="s">
        <v>20</v>
      </c>
      <c r="P3817" s="3" t="s">
        <v>45</v>
      </c>
      <c r="Q3817" s="4">
        <v>3</v>
      </c>
      <c r="R3817" s="4" t="str">
        <f>IF(Table1[[#This Row],[Customer Ratings]]&gt;=4, "Good",IF(Table1[[#This Row],[Customer Ratings]]=3, "Average","Poor"))</f>
        <v>Average</v>
      </c>
      <c r="S3817" s="3" t="s">
        <v>38</v>
      </c>
    </row>
    <row r="3818" spans="1:19" x14ac:dyDescent="0.25">
      <c r="A3818" s="3">
        <v>3817</v>
      </c>
      <c r="B3818" s="5">
        <f>DATE(Table1[[#This Row],[Year]],Table1[[#This Row],[Month]],Table1[[#This Row],[Day]])</f>
        <v>45568</v>
      </c>
      <c r="C3818" s="3">
        <v>3</v>
      </c>
      <c r="D3818" s="3">
        <v>10</v>
      </c>
      <c r="E3818" s="3">
        <v>2024</v>
      </c>
      <c r="F3818" s="3" t="str">
        <f>"Qtr"&amp; " " &amp;CHOOSE(MONTH(Table1[[#This Row],[Date]]),1,1,1,2,2,2,3,3,3,4,4,4)</f>
        <v>Qtr 4</v>
      </c>
      <c r="G3818" s="3" t="str">
        <f>TEXT(Table1[[#This Row],[Date]],"mmmm")</f>
        <v>October</v>
      </c>
      <c r="H3818" s="3" t="s">
        <v>1084</v>
      </c>
      <c r="I3818" s="3" t="s">
        <v>33</v>
      </c>
      <c r="J3818" s="3">
        <v>7</v>
      </c>
      <c r="K3818" s="3">
        <v>15829.88</v>
      </c>
      <c r="L3818" s="3">
        <f>Table1[[#This Row],[Price Per Unit]]*Table1[[#This Row],[Units Sold]]</f>
        <v>110809.15999999999</v>
      </c>
      <c r="M3818" s="3" t="s">
        <v>37</v>
      </c>
      <c r="N3818" s="3">
        <v>50</v>
      </c>
      <c r="O3818" s="3" t="s">
        <v>52</v>
      </c>
      <c r="P3818" s="3" t="s">
        <v>31</v>
      </c>
      <c r="Q3818" s="4">
        <v>3</v>
      </c>
      <c r="R3818" s="4" t="str">
        <f>IF(Table1[[#This Row],[Customer Ratings]]&gt;=4, "Good",IF(Table1[[#This Row],[Customer Ratings]]=3, "Average","Poor"))</f>
        <v>Average</v>
      </c>
      <c r="S3818" s="3" t="s">
        <v>36</v>
      </c>
    </row>
    <row r="3819" spans="1:19" x14ac:dyDescent="0.25">
      <c r="A3819" s="3">
        <v>3818</v>
      </c>
      <c r="B3819" s="5">
        <f>DATE(Table1[[#This Row],[Year]],Table1[[#This Row],[Month]],Table1[[#This Row],[Day]])</f>
        <v>45569</v>
      </c>
      <c r="C3819" s="3">
        <v>4</v>
      </c>
      <c r="D3819" s="3">
        <v>10</v>
      </c>
      <c r="E3819" s="3">
        <v>2024</v>
      </c>
      <c r="F3819" s="3" t="str">
        <f>"Qtr"&amp; " " &amp;CHOOSE(MONTH(Table1[[#This Row],[Date]]),1,1,1,2,2,2,3,3,3,4,4,4)</f>
        <v>Qtr 4</v>
      </c>
      <c r="G3819" s="3" t="str">
        <f>TEXT(Table1[[#This Row],[Date]],"mmmm")</f>
        <v>October</v>
      </c>
      <c r="H3819" s="3" t="s">
        <v>1085</v>
      </c>
      <c r="I3819" s="3" t="s">
        <v>18</v>
      </c>
      <c r="J3819" s="3">
        <v>2</v>
      </c>
      <c r="K3819" s="3">
        <v>17939.830000000002</v>
      </c>
      <c r="L3819" s="3">
        <f>Table1[[#This Row],[Price Per Unit]]*Table1[[#This Row],[Units Sold]]</f>
        <v>35879.660000000003</v>
      </c>
      <c r="M3819" s="3" t="s">
        <v>897</v>
      </c>
      <c r="N3819" s="3">
        <v>35</v>
      </c>
      <c r="O3819" s="3" t="s">
        <v>20</v>
      </c>
      <c r="P3819" s="3" t="s">
        <v>31</v>
      </c>
      <c r="Q3819" s="4">
        <v>4</v>
      </c>
      <c r="R3819" s="4" t="str">
        <f>IF(Table1[[#This Row],[Customer Ratings]]&gt;=4, "Good",IF(Table1[[#This Row],[Customer Ratings]]=3, "Average","Poor"))</f>
        <v>Good</v>
      </c>
      <c r="S3819" s="3" t="s">
        <v>22</v>
      </c>
    </row>
    <row r="3820" spans="1:19" x14ac:dyDescent="0.25">
      <c r="A3820" s="3">
        <v>3819</v>
      </c>
      <c r="B3820" s="5">
        <f>DATE(Table1[[#This Row],[Year]],Table1[[#This Row],[Month]],Table1[[#This Row],[Day]])</f>
        <v>45569</v>
      </c>
      <c r="C3820" s="3">
        <v>4</v>
      </c>
      <c r="D3820" s="3">
        <v>10</v>
      </c>
      <c r="E3820" s="3">
        <v>2024</v>
      </c>
      <c r="F3820" s="3" t="str">
        <f>"Qtr"&amp; " " &amp;CHOOSE(MONTH(Table1[[#This Row],[Date]]),1,1,1,2,2,2,3,3,3,4,4,4)</f>
        <v>Qtr 4</v>
      </c>
      <c r="G3820" s="3" t="str">
        <f>TEXT(Table1[[#This Row],[Date]],"mmmm")</f>
        <v>October</v>
      </c>
      <c r="H3820" s="3" t="s">
        <v>1085</v>
      </c>
      <c r="I3820" s="3" t="s">
        <v>13</v>
      </c>
      <c r="J3820" s="3">
        <v>7</v>
      </c>
      <c r="K3820" s="3">
        <v>50619.98</v>
      </c>
      <c r="L3820" s="3">
        <f>Table1[[#This Row],[Price Per Unit]]*Table1[[#This Row],[Units Sold]]</f>
        <v>354339.86000000004</v>
      </c>
      <c r="M3820" s="3" t="s">
        <v>699</v>
      </c>
      <c r="N3820" s="3">
        <v>20</v>
      </c>
      <c r="O3820" s="3" t="s">
        <v>24</v>
      </c>
      <c r="P3820" s="3" t="s">
        <v>16</v>
      </c>
      <c r="Q3820" s="4">
        <v>3</v>
      </c>
      <c r="R3820" s="4" t="str">
        <f>IF(Table1[[#This Row],[Customer Ratings]]&gt;=4, "Good",IF(Table1[[#This Row],[Customer Ratings]]=3, "Average","Poor"))</f>
        <v>Average</v>
      </c>
      <c r="S3820" s="3" t="s">
        <v>27</v>
      </c>
    </row>
    <row r="3821" spans="1:19" x14ac:dyDescent="0.25">
      <c r="A3821" s="3">
        <v>3820</v>
      </c>
      <c r="B3821" s="5">
        <f>DATE(Table1[[#This Row],[Year]],Table1[[#This Row],[Month]],Table1[[#This Row],[Day]])</f>
        <v>45569</v>
      </c>
      <c r="C3821" s="3">
        <v>4</v>
      </c>
      <c r="D3821" s="3">
        <v>10</v>
      </c>
      <c r="E3821" s="3">
        <v>2024</v>
      </c>
      <c r="F3821" s="3" t="str">
        <f>"Qtr"&amp; " " &amp;CHOOSE(MONTH(Table1[[#This Row],[Date]]),1,1,1,2,2,2,3,3,3,4,4,4)</f>
        <v>Qtr 4</v>
      </c>
      <c r="G3821" s="3" t="str">
        <f>TEXT(Table1[[#This Row],[Date]],"mmmm")</f>
        <v>October</v>
      </c>
      <c r="H3821" s="3" t="s">
        <v>1085</v>
      </c>
      <c r="I3821" s="3" t="s">
        <v>28</v>
      </c>
      <c r="J3821" s="3">
        <v>7</v>
      </c>
      <c r="K3821" s="3">
        <v>50502.8</v>
      </c>
      <c r="L3821" s="3">
        <f>Table1[[#This Row],[Price Per Unit]]*Table1[[#This Row],[Units Sold]]</f>
        <v>353519.60000000003</v>
      </c>
      <c r="M3821" s="3" t="s">
        <v>688</v>
      </c>
      <c r="N3821" s="3">
        <v>41</v>
      </c>
      <c r="O3821" s="3" t="s">
        <v>54</v>
      </c>
      <c r="P3821" s="3" t="s">
        <v>21</v>
      </c>
      <c r="Q3821" s="4">
        <v>5</v>
      </c>
      <c r="R3821" s="4" t="str">
        <f>IF(Table1[[#This Row],[Customer Ratings]]&gt;=4, "Good",IF(Table1[[#This Row],[Customer Ratings]]=3, "Average","Poor"))</f>
        <v>Good</v>
      </c>
      <c r="S3821" s="3" t="s">
        <v>38</v>
      </c>
    </row>
    <row r="3822" spans="1:19" x14ac:dyDescent="0.25">
      <c r="A3822" s="3">
        <v>3821</v>
      </c>
      <c r="B3822" s="5">
        <f>DATE(Table1[[#This Row],[Year]],Table1[[#This Row],[Month]],Table1[[#This Row],[Day]])</f>
        <v>45570</v>
      </c>
      <c r="C3822" s="3">
        <v>5</v>
      </c>
      <c r="D3822" s="3">
        <v>10</v>
      </c>
      <c r="E3822" s="3">
        <v>2024</v>
      </c>
      <c r="F3822" s="3" t="str">
        <f>"Qtr"&amp; " " &amp;CHOOSE(MONTH(Table1[[#This Row],[Date]]),1,1,1,2,2,2,3,3,3,4,4,4)</f>
        <v>Qtr 4</v>
      </c>
      <c r="G3822" s="3" t="str">
        <f>TEXT(Table1[[#This Row],[Date]],"mmmm")</f>
        <v>October</v>
      </c>
      <c r="H3822" s="3" t="s">
        <v>1079</v>
      </c>
      <c r="I3822" s="3" t="s">
        <v>18</v>
      </c>
      <c r="J3822" s="3">
        <v>5</v>
      </c>
      <c r="K3822" s="3">
        <v>68746.2</v>
      </c>
      <c r="L3822" s="3">
        <f>Table1[[#This Row],[Price Per Unit]]*Table1[[#This Row],[Units Sold]]</f>
        <v>343731</v>
      </c>
      <c r="M3822" s="3" t="s">
        <v>870</v>
      </c>
      <c r="N3822" s="3">
        <v>18</v>
      </c>
      <c r="O3822" s="3" t="s">
        <v>20</v>
      </c>
      <c r="P3822" s="3" t="s">
        <v>31</v>
      </c>
      <c r="Q3822" s="4">
        <v>5</v>
      </c>
      <c r="R3822" s="4" t="str">
        <f>IF(Table1[[#This Row],[Customer Ratings]]&gt;=4, "Good",IF(Table1[[#This Row],[Customer Ratings]]=3, "Average","Poor"))</f>
        <v>Good</v>
      </c>
      <c r="S3822" s="3" t="s">
        <v>25</v>
      </c>
    </row>
    <row r="3823" spans="1:19" x14ac:dyDescent="0.25">
      <c r="A3823" s="3">
        <v>3822</v>
      </c>
      <c r="B3823" s="5">
        <f>DATE(Table1[[#This Row],[Year]],Table1[[#This Row],[Month]],Table1[[#This Row],[Day]])</f>
        <v>45570</v>
      </c>
      <c r="C3823" s="3">
        <v>5</v>
      </c>
      <c r="D3823" s="3">
        <v>10</v>
      </c>
      <c r="E3823" s="3">
        <v>2024</v>
      </c>
      <c r="F3823" s="3" t="str">
        <f>"Qtr"&amp; " " &amp;CHOOSE(MONTH(Table1[[#This Row],[Date]]),1,1,1,2,2,2,3,3,3,4,4,4)</f>
        <v>Qtr 4</v>
      </c>
      <c r="G3823" s="3" t="str">
        <f>TEXT(Table1[[#This Row],[Date]],"mmmm")</f>
        <v>October</v>
      </c>
      <c r="H3823" s="3" t="s">
        <v>1079</v>
      </c>
      <c r="I3823" s="3" t="s">
        <v>33</v>
      </c>
      <c r="J3823" s="3">
        <v>9</v>
      </c>
      <c r="K3823" s="3">
        <v>52717.18</v>
      </c>
      <c r="L3823" s="3">
        <f>Table1[[#This Row],[Price Per Unit]]*Table1[[#This Row],[Units Sold]]</f>
        <v>474454.62</v>
      </c>
      <c r="M3823" s="3" t="s">
        <v>694</v>
      </c>
      <c r="N3823" s="3">
        <v>23</v>
      </c>
      <c r="O3823" s="3" t="s">
        <v>98</v>
      </c>
      <c r="P3823" s="3" t="s">
        <v>31</v>
      </c>
      <c r="Q3823" s="4">
        <v>5</v>
      </c>
      <c r="R3823" s="4" t="str">
        <f>IF(Table1[[#This Row],[Customer Ratings]]&gt;=4, "Good",IF(Table1[[#This Row],[Customer Ratings]]=3, "Average","Poor"))</f>
        <v>Good</v>
      </c>
      <c r="S3823" s="3" t="s">
        <v>83</v>
      </c>
    </row>
    <row r="3824" spans="1:19" x14ac:dyDescent="0.25">
      <c r="A3824" s="3">
        <v>3823</v>
      </c>
      <c r="B3824" s="5">
        <f>DATE(Table1[[#This Row],[Year]],Table1[[#This Row],[Month]],Table1[[#This Row],[Day]])</f>
        <v>45570</v>
      </c>
      <c r="C3824" s="3">
        <v>5</v>
      </c>
      <c r="D3824" s="3">
        <v>10</v>
      </c>
      <c r="E3824" s="3">
        <v>2024</v>
      </c>
      <c r="F3824" s="3" t="str">
        <f>"Qtr"&amp; " " &amp;CHOOSE(MONTH(Table1[[#This Row],[Date]]),1,1,1,2,2,2,3,3,3,4,4,4)</f>
        <v>Qtr 4</v>
      </c>
      <c r="G3824" s="3" t="str">
        <f>TEXT(Table1[[#This Row],[Date]],"mmmm")</f>
        <v>October</v>
      </c>
      <c r="H3824" s="3" t="s">
        <v>1079</v>
      </c>
      <c r="I3824" s="3" t="s">
        <v>39</v>
      </c>
      <c r="J3824" s="3">
        <v>3</v>
      </c>
      <c r="K3824" s="3">
        <v>39594.61</v>
      </c>
      <c r="L3824" s="3">
        <f>Table1[[#This Row],[Price Per Unit]]*Table1[[#This Row],[Units Sold]]</f>
        <v>118783.83</v>
      </c>
      <c r="M3824" s="3" t="s">
        <v>450</v>
      </c>
      <c r="N3824" s="3">
        <v>36</v>
      </c>
      <c r="O3824" s="3" t="s">
        <v>52</v>
      </c>
      <c r="P3824" s="3" t="s">
        <v>45</v>
      </c>
      <c r="Q3824" s="4">
        <v>4</v>
      </c>
      <c r="R3824" s="4" t="str">
        <f>IF(Table1[[#This Row],[Customer Ratings]]&gt;=4, "Good",IF(Table1[[#This Row],[Customer Ratings]]=3, "Average","Poor"))</f>
        <v>Good</v>
      </c>
      <c r="S3824" s="3" t="s">
        <v>90</v>
      </c>
    </row>
    <row r="3825" spans="1:19" x14ac:dyDescent="0.25">
      <c r="A3825" s="3">
        <v>3824</v>
      </c>
      <c r="B3825" s="5">
        <f>DATE(Table1[[#This Row],[Year]],Table1[[#This Row],[Month]],Table1[[#This Row],[Day]])</f>
        <v>45570</v>
      </c>
      <c r="C3825" s="3">
        <v>5</v>
      </c>
      <c r="D3825" s="3">
        <v>10</v>
      </c>
      <c r="E3825" s="3">
        <v>2024</v>
      </c>
      <c r="F3825" s="3" t="str">
        <f>"Qtr"&amp; " " &amp;CHOOSE(MONTH(Table1[[#This Row],[Date]]),1,1,1,2,2,2,3,3,3,4,4,4)</f>
        <v>Qtr 4</v>
      </c>
      <c r="G3825" s="3" t="str">
        <f>TEXT(Table1[[#This Row],[Date]],"mmmm")</f>
        <v>October</v>
      </c>
      <c r="H3825" s="3" t="s">
        <v>1079</v>
      </c>
      <c r="I3825" s="3" t="s">
        <v>39</v>
      </c>
      <c r="J3825" s="3">
        <v>4</v>
      </c>
      <c r="K3825" s="3">
        <v>61439.67</v>
      </c>
      <c r="L3825" s="3">
        <f>Table1[[#This Row],[Price Per Unit]]*Table1[[#This Row],[Units Sold]]</f>
        <v>245758.68</v>
      </c>
      <c r="M3825" s="3" t="s">
        <v>437</v>
      </c>
      <c r="N3825" s="3">
        <v>39</v>
      </c>
      <c r="O3825" s="3" t="s">
        <v>81</v>
      </c>
      <c r="P3825" s="3" t="s">
        <v>31</v>
      </c>
      <c r="Q3825" s="4">
        <v>4</v>
      </c>
      <c r="R3825" s="4" t="str">
        <f>IF(Table1[[#This Row],[Customer Ratings]]&gt;=4, "Good",IF(Table1[[#This Row],[Customer Ratings]]=3, "Average","Poor"))</f>
        <v>Good</v>
      </c>
      <c r="S3825" s="3" t="s">
        <v>76</v>
      </c>
    </row>
    <row r="3826" spans="1:19" x14ac:dyDescent="0.25">
      <c r="A3826" s="3">
        <v>3825</v>
      </c>
      <c r="B3826" s="5">
        <f>DATE(Table1[[#This Row],[Year]],Table1[[#This Row],[Month]],Table1[[#This Row],[Day]])</f>
        <v>45571</v>
      </c>
      <c r="C3826" s="3">
        <v>6</v>
      </c>
      <c r="D3826" s="3">
        <v>10</v>
      </c>
      <c r="E3826" s="3">
        <v>2024</v>
      </c>
      <c r="F3826" s="3" t="str">
        <f>"Qtr"&amp; " " &amp;CHOOSE(MONTH(Table1[[#This Row],[Date]]),1,1,1,2,2,2,3,3,3,4,4,4)</f>
        <v>Qtr 4</v>
      </c>
      <c r="G3826" s="3" t="str">
        <f>TEXT(Table1[[#This Row],[Date]],"mmmm")</f>
        <v>October</v>
      </c>
      <c r="H3826" s="3" t="s">
        <v>1080</v>
      </c>
      <c r="I3826" s="3" t="s">
        <v>33</v>
      </c>
      <c r="J3826" s="3">
        <v>1</v>
      </c>
      <c r="K3826" s="3">
        <v>16268.38</v>
      </c>
      <c r="L3826" s="3">
        <f>Table1[[#This Row],[Price Per Unit]]*Table1[[#This Row],[Units Sold]]</f>
        <v>16268.38</v>
      </c>
      <c r="M3826" s="3" t="s">
        <v>290</v>
      </c>
      <c r="N3826" s="3">
        <v>25</v>
      </c>
      <c r="O3826" s="3" t="s">
        <v>81</v>
      </c>
      <c r="P3826" s="3" t="s">
        <v>31</v>
      </c>
      <c r="Q3826" s="4">
        <v>3</v>
      </c>
      <c r="R3826" s="4" t="str">
        <f>IF(Table1[[#This Row],[Customer Ratings]]&gt;=4, "Good",IF(Table1[[#This Row],[Customer Ratings]]=3, "Average","Poor"))</f>
        <v>Average</v>
      </c>
      <c r="S3826" s="3" t="s">
        <v>83</v>
      </c>
    </row>
    <row r="3827" spans="1:19" x14ac:dyDescent="0.25">
      <c r="A3827" s="3">
        <v>3826</v>
      </c>
      <c r="B3827" s="5">
        <f>DATE(Table1[[#This Row],[Year]],Table1[[#This Row],[Month]],Table1[[#This Row],[Day]])</f>
        <v>45571</v>
      </c>
      <c r="C3827" s="3">
        <v>6</v>
      </c>
      <c r="D3827" s="3">
        <v>10</v>
      </c>
      <c r="E3827" s="3">
        <v>2024</v>
      </c>
      <c r="F3827" s="3" t="str">
        <f>"Qtr"&amp; " " &amp;CHOOSE(MONTH(Table1[[#This Row],[Date]]),1,1,1,2,2,2,3,3,3,4,4,4)</f>
        <v>Qtr 4</v>
      </c>
      <c r="G3827" s="3" t="str">
        <f>TEXT(Table1[[#This Row],[Date]],"mmmm")</f>
        <v>October</v>
      </c>
      <c r="H3827" s="3" t="s">
        <v>1080</v>
      </c>
      <c r="I3827" s="3" t="s">
        <v>33</v>
      </c>
      <c r="J3827" s="3">
        <v>6</v>
      </c>
      <c r="K3827" s="3">
        <v>36957.75</v>
      </c>
      <c r="L3827" s="3">
        <f>Table1[[#This Row],[Price Per Unit]]*Table1[[#This Row],[Units Sold]]</f>
        <v>221746.5</v>
      </c>
      <c r="M3827" s="3" t="s">
        <v>976</v>
      </c>
      <c r="N3827" s="3">
        <v>22</v>
      </c>
      <c r="O3827" s="3" t="s">
        <v>20</v>
      </c>
      <c r="P3827" s="3" t="s">
        <v>21</v>
      </c>
      <c r="Q3827" s="4">
        <v>5</v>
      </c>
      <c r="R3827" s="4" t="str">
        <f>IF(Table1[[#This Row],[Customer Ratings]]&gt;=4, "Good",IF(Table1[[#This Row],[Customer Ratings]]=3, "Average","Poor"))</f>
        <v>Good</v>
      </c>
      <c r="S3827" s="3" t="s">
        <v>83</v>
      </c>
    </row>
    <row r="3828" spans="1:19" x14ac:dyDescent="0.25">
      <c r="A3828" s="3">
        <v>3827</v>
      </c>
      <c r="B3828" s="5">
        <f>DATE(Table1[[#This Row],[Year]],Table1[[#This Row],[Month]],Table1[[#This Row],[Day]])</f>
        <v>45571</v>
      </c>
      <c r="C3828" s="3">
        <v>6</v>
      </c>
      <c r="D3828" s="3">
        <v>10</v>
      </c>
      <c r="E3828" s="3">
        <v>2024</v>
      </c>
      <c r="F3828" s="3" t="str">
        <f>"Qtr"&amp; " " &amp;CHOOSE(MONTH(Table1[[#This Row],[Date]]),1,1,1,2,2,2,3,3,3,4,4,4)</f>
        <v>Qtr 4</v>
      </c>
      <c r="G3828" s="3" t="str">
        <f>TEXT(Table1[[#This Row],[Date]],"mmmm")</f>
        <v>October</v>
      </c>
      <c r="H3828" s="3" t="s">
        <v>1080</v>
      </c>
      <c r="I3828" s="3" t="s">
        <v>39</v>
      </c>
      <c r="J3828" s="3">
        <v>4</v>
      </c>
      <c r="K3828" s="3">
        <v>27226.55</v>
      </c>
      <c r="L3828" s="3">
        <f>Table1[[#This Row],[Price Per Unit]]*Table1[[#This Row],[Units Sold]]</f>
        <v>108906.2</v>
      </c>
      <c r="M3828" s="3" t="s">
        <v>332</v>
      </c>
      <c r="N3828" s="3">
        <v>26</v>
      </c>
      <c r="O3828" s="3" t="s">
        <v>105</v>
      </c>
      <c r="P3828" s="3" t="s">
        <v>21</v>
      </c>
      <c r="Q3828" s="4">
        <v>3</v>
      </c>
      <c r="R3828" s="4" t="str">
        <f>IF(Table1[[#This Row],[Customer Ratings]]&gt;=4, "Good",IF(Table1[[#This Row],[Customer Ratings]]=3, "Average","Poor"))</f>
        <v>Average</v>
      </c>
      <c r="S3828" s="3" t="s">
        <v>76</v>
      </c>
    </row>
    <row r="3829" spans="1:19" x14ac:dyDescent="0.25">
      <c r="A3829" s="3">
        <v>3828</v>
      </c>
      <c r="B3829" s="5">
        <f>DATE(Table1[[#This Row],[Year]],Table1[[#This Row],[Month]],Table1[[#This Row],[Day]])</f>
        <v>45572</v>
      </c>
      <c r="C3829" s="3">
        <v>7</v>
      </c>
      <c r="D3829" s="3">
        <v>10</v>
      </c>
      <c r="E3829" s="3">
        <v>2024</v>
      </c>
      <c r="F3829" s="3" t="str">
        <f>"Qtr"&amp; " " &amp;CHOOSE(MONTH(Table1[[#This Row],[Date]]),1,1,1,2,2,2,3,3,3,4,4,4)</f>
        <v>Qtr 4</v>
      </c>
      <c r="G3829" s="3" t="str">
        <f>TEXT(Table1[[#This Row],[Date]],"mmmm")</f>
        <v>October</v>
      </c>
      <c r="H3829" s="3" t="s">
        <v>1081</v>
      </c>
      <c r="I3829" s="3" t="s">
        <v>18</v>
      </c>
      <c r="J3829" s="3">
        <v>1</v>
      </c>
      <c r="K3829" s="3">
        <v>16278.27</v>
      </c>
      <c r="L3829" s="3">
        <f>Table1[[#This Row],[Price Per Unit]]*Table1[[#This Row],[Units Sold]]</f>
        <v>16278.27</v>
      </c>
      <c r="M3829" s="3" t="s">
        <v>116</v>
      </c>
      <c r="N3829" s="3">
        <v>38</v>
      </c>
      <c r="O3829" s="3" t="s">
        <v>102</v>
      </c>
      <c r="P3829" s="3" t="s">
        <v>45</v>
      </c>
      <c r="Q3829" s="4">
        <v>5</v>
      </c>
      <c r="R3829" s="4" t="str">
        <f>IF(Table1[[#This Row],[Customer Ratings]]&gt;=4, "Good",IF(Table1[[#This Row],[Customer Ratings]]=3, "Average","Poor"))</f>
        <v>Good</v>
      </c>
      <c r="S3829" s="3" t="s">
        <v>22</v>
      </c>
    </row>
    <row r="3830" spans="1:19" x14ac:dyDescent="0.25">
      <c r="A3830" s="3">
        <v>3829</v>
      </c>
      <c r="B3830" s="5">
        <f>DATE(Table1[[#This Row],[Year]],Table1[[#This Row],[Month]],Table1[[#This Row],[Day]])</f>
        <v>45572</v>
      </c>
      <c r="C3830" s="3">
        <v>7</v>
      </c>
      <c r="D3830" s="3">
        <v>10</v>
      </c>
      <c r="E3830" s="3">
        <v>2024</v>
      </c>
      <c r="F3830" s="3" t="str">
        <f>"Qtr"&amp; " " &amp;CHOOSE(MONTH(Table1[[#This Row],[Date]]),1,1,1,2,2,2,3,3,3,4,4,4)</f>
        <v>Qtr 4</v>
      </c>
      <c r="G3830" s="3" t="str">
        <f>TEXT(Table1[[#This Row],[Date]],"mmmm")</f>
        <v>October</v>
      </c>
      <c r="H3830" s="3" t="s">
        <v>1081</v>
      </c>
      <c r="I3830" s="3" t="s">
        <v>39</v>
      </c>
      <c r="J3830" s="3">
        <v>2</v>
      </c>
      <c r="K3830" s="3">
        <v>55810.13</v>
      </c>
      <c r="L3830" s="3">
        <f>Table1[[#This Row],[Price Per Unit]]*Table1[[#This Row],[Units Sold]]</f>
        <v>111620.26</v>
      </c>
      <c r="M3830" s="3" t="s">
        <v>1009</v>
      </c>
      <c r="N3830" s="3">
        <v>45</v>
      </c>
      <c r="O3830" s="3" t="s">
        <v>78</v>
      </c>
      <c r="P3830" s="3" t="s">
        <v>31</v>
      </c>
      <c r="Q3830" s="4">
        <v>5</v>
      </c>
      <c r="R3830" s="4" t="str">
        <f>IF(Table1[[#This Row],[Customer Ratings]]&gt;=4, "Good",IF(Table1[[#This Row],[Customer Ratings]]=3, "Average","Poor"))</f>
        <v>Good</v>
      </c>
      <c r="S3830" s="3" t="s">
        <v>42</v>
      </c>
    </row>
    <row r="3831" spans="1:19" x14ac:dyDescent="0.25">
      <c r="A3831" s="3">
        <v>3830</v>
      </c>
      <c r="B3831" s="5">
        <f>DATE(Table1[[#This Row],[Year]],Table1[[#This Row],[Month]],Table1[[#This Row],[Day]])</f>
        <v>45572</v>
      </c>
      <c r="C3831" s="3">
        <v>7</v>
      </c>
      <c r="D3831" s="3">
        <v>10</v>
      </c>
      <c r="E3831" s="3">
        <v>2024</v>
      </c>
      <c r="F3831" s="3" t="str">
        <f>"Qtr"&amp; " " &amp;CHOOSE(MONTH(Table1[[#This Row],[Date]]),1,1,1,2,2,2,3,3,3,4,4,4)</f>
        <v>Qtr 4</v>
      </c>
      <c r="G3831" s="3" t="str">
        <f>TEXT(Table1[[#This Row],[Date]],"mmmm")</f>
        <v>October</v>
      </c>
      <c r="H3831" s="3" t="s">
        <v>1081</v>
      </c>
      <c r="I3831" s="3" t="s">
        <v>33</v>
      </c>
      <c r="J3831" s="3">
        <v>3</v>
      </c>
      <c r="K3831" s="3">
        <v>40647.519999999997</v>
      </c>
      <c r="L3831" s="3">
        <f>Table1[[#This Row],[Price Per Unit]]*Table1[[#This Row],[Units Sold]]</f>
        <v>121942.56</v>
      </c>
      <c r="M3831" s="3" t="s">
        <v>864</v>
      </c>
      <c r="N3831" s="3">
        <v>21</v>
      </c>
      <c r="O3831" s="3" t="s">
        <v>20</v>
      </c>
      <c r="P3831" s="3" t="s">
        <v>31</v>
      </c>
      <c r="Q3831" s="4">
        <v>5</v>
      </c>
      <c r="R3831" s="4" t="str">
        <f>IF(Table1[[#This Row],[Customer Ratings]]&gt;=4, "Good",IF(Table1[[#This Row],[Customer Ratings]]=3, "Average","Poor"))</f>
        <v>Good</v>
      </c>
      <c r="S3831" s="3" t="s">
        <v>83</v>
      </c>
    </row>
    <row r="3832" spans="1:19" x14ac:dyDescent="0.25">
      <c r="A3832" s="3">
        <v>3831</v>
      </c>
      <c r="B3832" s="5">
        <f>DATE(Table1[[#This Row],[Year]],Table1[[#This Row],[Month]],Table1[[#This Row],[Day]])</f>
        <v>45572</v>
      </c>
      <c r="C3832" s="3">
        <v>7</v>
      </c>
      <c r="D3832" s="3">
        <v>10</v>
      </c>
      <c r="E3832" s="3">
        <v>2024</v>
      </c>
      <c r="F3832" s="3" t="str">
        <f>"Qtr"&amp; " " &amp;CHOOSE(MONTH(Table1[[#This Row],[Date]]),1,1,1,2,2,2,3,3,3,4,4,4)</f>
        <v>Qtr 4</v>
      </c>
      <c r="G3832" s="3" t="str">
        <f>TEXT(Table1[[#This Row],[Date]],"mmmm")</f>
        <v>October</v>
      </c>
      <c r="H3832" s="3" t="s">
        <v>1081</v>
      </c>
      <c r="I3832" s="3" t="s">
        <v>28</v>
      </c>
      <c r="J3832" s="3">
        <v>9</v>
      </c>
      <c r="K3832" s="3">
        <v>43406.12</v>
      </c>
      <c r="L3832" s="3">
        <f>Table1[[#This Row],[Price Per Unit]]*Table1[[#This Row],[Units Sold]]</f>
        <v>390655.08</v>
      </c>
      <c r="M3832" s="3" t="s">
        <v>507</v>
      </c>
      <c r="N3832" s="3">
        <v>41</v>
      </c>
      <c r="O3832" s="3" t="s">
        <v>24</v>
      </c>
      <c r="P3832" s="3" t="s">
        <v>31</v>
      </c>
      <c r="Q3832" s="4">
        <v>5</v>
      </c>
      <c r="R3832" s="4" t="str">
        <f>IF(Table1[[#This Row],[Customer Ratings]]&gt;=4, "Good",IF(Table1[[#This Row],[Customer Ratings]]=3, "Average","Poor"))</f>
        <v>Good</v>
      </c>
      <c r="S3832" s="3" t="s">
        <v>87</v>
      </c>
    </row>
    <row r="3833" spans="1:19" x14ac:dyDescent="0.25">
      <c r="A3833" s="3">
        <v>3832</v>
      </c>
      <c r="B3833" s="5">
        <f>DATE(Table1[[#This Row],[Year]],Table1[[#This Row],[Month]],Table1[[#This Row],[Day]])</f>
        <v>45573</v>
      </c>
      <c r="C3833" s="3">
        <v>8</v>
      </c>
      <c r="D3833" s="3">
        <v>10</v>
      </c>
      <c r="E3833" s="3">
        <v>2024</v>
      </c>
      <c r="F3833" s="3" t="str">
        <f>"Qtr"&amp; " " &amp;CHOOSE(MONTH(Table1[[#This Row],[Date]]),1,1,1,2,2,2,3,3,3,4,4,4)</f>
        <v>Qtr 4</v>
      </c>
      <c r="G3833" s="3" t="str">
        <f>TEXT(Table1[[#This Row],[Date]],"mmmm")</f>
        <v>October</v>
      </c>
      <c r="H3833" s="3" t="s">
        <v>1082</v>
      </c>
      <c r="I3833" s="3" t="s">
        <v>13</v>
      </c>
      <c r="J3833" s="3">
        <v>8</v>
      </c>
      <c r="K3833" s="3">
        <v>34675.31</v>
      </c>
      <c r="L3833" s="3">
        <f>Table1[[#This Row],[Price Per Unit]]*Table1[[#This Row],[Units Sold]]</f>
        <v>277402.48</v>
      </c>
      <c r="M3833" s="3" t="s">
        <v>397</v>
      </c>
      <c r="N3833" s="3">
        <v>25</v>
      </c>
      <c r="O3833" s="3" t="s">
        <v>35</v>
      </c>
      <c r="P3833" s="3" t="s">
        <v>16</v>
      </c>
      <c r="Q3833" s="4">
        <v>2</v>
      </c>
      <c r="R3833" s="4" t="str">
        <f>IF(Table1[[#This Row],[Customer Ratings]]&gt;=4, "Good",IF(Table1[[#This Row],[Customer Ratings]]=3, "Average","Poor"))</f>
        <v>Poor</v>
      </c>
      <c r="S3833" s="3" t="s">
        <v>72</v>
      </c>
    </row>
    <row r="3834" spans="1:19" x14ac:dyDescent="0.25">
      <c r="A3834" s="3">
        <v>3833</v>
      </c>
      <c r="B3834" s="5">
        <f>DATE(Table1[[#This Row],[Year]],Table1[[#This Row],[Month]],Table1[[#This Row],[Day]])</f>
        <v>45573</v>
      </c>
      <c r="C3834" s="3">
        <v>8</v>
      </c>
      <c r="D3834" s="3">
        <v>10</v>
      </c>
      <c r="E3834" s="3">
        <v>2024</v>
      </c>
      <c r="F3834" s="3" t="str">
        <f>"Qtr"&amp; " " &amp;CHOOSE(MONTH(Table1[[#This Row],[Date]]),1,1,1,2,2,2,3,3,3,4,4,4)</f>
        <v>Qtr 4</v>
      </c>
      <c r="G3834" s="3" t="str">
        <f>TEXT(Table1[[#This Row],[Date]],"mmmm")</f>
        <v>October</v>
      </c>
      <c r="H3834" s="3" t="s">
        <v>1082</v>
      </c>
      <c r="I3834" s="3" t="s">
        <v>28</v>
      </c>
      <c r="J3834" s="3">
        <v>7</v>
      </c>
      <c r="K3834" s="3">
        <v>37620.230000000003</v>
      </c>
      <c r="L3834" s="3">
        <f>Table1[[#This Row],[Price Per Unit]]*Table1[[#This Row],[Units Sold]]</f>
        <v>263341.61000000004</v>
      </c>
      <c r="M3834" s="3" t="s">
        <v>445</v>
      </c>
      <c r="N3834" s="3">
        <v>34</v>
      </c>
      <c r="O3834" s="3" t="s">
        <v>41</v>
      </c>
      <c r="P3834" s="3" t="s">
        <v>16</v>
      </c>
      <c r="Q3834" s="4">
        <v>5</v>
      </c>
      <c r="R3834" s="4" t="str">
        <f>IF(Table1[[#This Row],[Customer Ratings]]&gt;=4, "Good",IF(Table1[[#This Row],[Customer Ratings]]=3, "Average","Poor"))</f>
        <v>Good</v>
      </c>
      <c r="S3834" s="3" t="s">
        <v>87</v>
      </c>
    </row>
    <row r="3835" spans="1:19" x14ac:dyDescent="0.25">
      <c r="A3835" s="3">
        <v>3834</v>
      </c>
      <c r="B3835" s="5">
        <f>DATE(Table1[[#This Row],[Year]],Table1[[#This Row],[Month]],Table1[[#This Row],[Day]])</f>
        <v>45573</v>
      </c>
      <c r="C3835" s="3">
        <v>8</v>
      </c>
      <c r="D3835" s="3">
        <v>10</v>
      </c>
      <c r="E3835" s="3">
        <v>2024</v>
      </c>
      <c r="F3835" s="3" t="str">
        <f>"Qtr"&amp; " " &amp;CHOOSE(MONTH(Table1[[#This Row],[Date]]),1,1,1,2,2,2,3,3,3,4,4,4)</f>
        <v>Qtr 4</v>
      </c>
      <c r="G3835" s="3" t="str">
        <f>TEXT(Table1[[#This Row],[Date]],"mmmm")</f>
        <v>October</v>
      </c>
      <c r="H3835" s="3" t="s">
        <v>1082</v>
      </c>
      <c r="I3835" s="3" t="s">
        <v>28</v>
      </c>
      <c r="J3835" s="3">
        <v>4</v>
      </c>
      <c r="K3835" s="3">
        <v>16961.04</v>
      </c>
      <c r="L3835" s="3">
        <f>Table1[[#This Row],[Price Per Unit]]*Table1[[#This Row],[Units Sold]]</f>
        <v>67844.160000000003</v>
      </c>
      <c r="M3835" s="3" t="s">
        <v>1021</v>
      </c>
      <c r="N3835" s="3">
        <v>51</v>
      </c>
      <c r="O3835" s="3" t="s">
        <v>24</v>
      </c>
      <c r="P3835" s="3" t="s">
        <v>45</v>
      </c>
      <c r="Q3835" s="4">
        <v>5</v>
      </c>
      <c r="R3835" s="4" t="str">
        <f>IF(Table1[[#This Row],[Customer Ratings]]&gt;=4, "Good",IF(Table1[[#This Row],[Customer Ratings]]=3, "Average","Poor"))</f>
        <v>Good</v>
      </c>
      <c r="S3835" s="3" t="s">
        <v>87</v>
      </c>
    </row>
    <row r="3836" spans="1:19" x14ac:dyDescent="0.25">
      <c r="A3836" s="3">
        <v>3835</v>
      </c>
      <c r="B3836" s="5">
        <f>DATE(Table1[[#This Row],[Year]],Table1[[#This Row],[Month]],Table1[[#This Row],[Day]])</f>
        <v>45573</v>
      </c>
      <c r="C3836" s="3">
        <v>8</v>
      </c>
      <c r="D3836" s="3">
        <v>10</v>
      </c>
      <c r="E3836" s="3">
        <v>2024</v>
      </c>
      <c r="F3836" s="3" t="str">
        <f>"Qtr"&amp; " " &amp;CHOOSE(MONTH(Table1[[#This Row],[Date]]),1,1,1,2,2,2,3,3,3,4,4,4)</f>
        <v>Qtr 4</v>
      </c>
      <c r="G3836" s="3" t="str">
        <f>TEXT(Table1[[#This Row],[Date]],"mmmm")</f>
        <v>October</v>
      </c>
      <c r="H3836" s="3" t="s">
        <v>1082</v>
      </c>
      <c r="I3836" s="3" t="s">
        <v>33</v>
      </c>
      <c r="J3836" s="3">
        <v>1</v>
      </c>
      <c r="K3836" s="3">
        <v>50375.07</v>
      </c>
      <c r="L3836" s="3">
        <f>Table1[[#This Row],[Price Per Unit]]*Table1[[#This Row],[Units Sold]]</f>
        <v>50375.07</v>
      </c>
      <c r="M3836" s="3" t="s">
        <v>841</v>
      </c>
      <c r="N3836" s="3">
        <v>37</v>
      </c>
      <c r="O3836" s="3" t="s">
        <v>125</v>
      </c>
      <c r="P3836" s="3" t="s">
        <v>16</v>
      </c>
      <c r="Q3836" s="4">
        <v>3</v>
      </c>
      <c r="R3836" s="4" t="str">
        <f>IF(Table1[[#This Row],[Customer Ratings]]&gt;=4, "Good",IF(Table1[[#This Row],[Customer Ratings]]=3, "Average","Poor"))</f>
        <v>Average</v>
      </c>
      <c r="S3836" s="3" t="s">
        <v>46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Mobile Sales Analysis</vt:lpstr>
      <vt:lpstr>Mobile Sales Report</vt:lpstr>
      <vt:lpstr>Mobile Sales Dataset</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Ayaan Sharma</dc:creator>
  <cp:lastModifiedBy>Ayaan Sharma</cp:lastModifiedBy>
  <dcterms:created xsi:type="dcterms:W3CDTF">2025-03-11T11:49:51Z</dcterms:created>
  <dcterms:modified xsi:type="dcterms:W3CDTF">2026-04-29T06:19:37Z</dcterms:modified>
</cp:coreProperties>
</file>